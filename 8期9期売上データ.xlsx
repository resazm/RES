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2A502697-DCB8-4B99-8005-0F5263E85048}" xr6:coauthVersionLast="47" xr6:coauthVersionMax="47" xr10:uidLastSave="{00000000-0000-0000-0000-000000000000}"/>
  <bookViews>
    <workbookView xWindow="2040" yWindow="750" windowWidth="25440" windowHeight="13605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N5065" i="2"/>
  <c r="O5065" i="2" s="1"/>
  <c r="O5064" i="2"/>
  <c r="N5064" i="2"/>
  <c r="N5063" i="2"/>
  <c r="O5063" i="2" s="1"/>
  <c r="O5062" i="2"/>
  <c r="N5062" i="2"/>
  <c r="O5061" i="2"/>
  <c r="N5061" i="2"/>
  <c r="N5060" i="2"/>
  <c r="O5060" i="2" s="1"/>
  <c r="N5059" i="2"/>
  <c r="O5059" i="2" s="1"/>
  <c r="N5058" i="2"/>
  <c r="O5058" i="2" s="1"/>
  <c r="N5057" i="2"/>
  <c r="O5057" i="2" s="1"/>
  <c r="O5056" i="2"/>
  <c r="N5056" i="2"/>
  <c r="O5055" i="2"/>
  <c r="N5055" i="2"/>
  <c r="O5054" i="2"/>
  <c r="N5054" i="2"/>
  <c r="O5053" i="2"/>
  <c r="N5053" i="2"/>
  <c r="N5052" i="2"/>
  <c r="O5052" i="2" s="1"/>
  <c r="O5051" i="2"/>
  <c r="N5051" i="2"/>
  <c r="O5050" i="2"/>
  <c r="N5050" i="2"/>
  <c r="N5049" i="2"/>
  <c r="O5049" i="2" s="1"/>
  <c r="O5048" i="2"/>
  <c r="N5048" i="2"/>
  <c r="O5047" i="2"/>
  <c r="N5047" i="2"/>
  <c r="O5046" i="2"/>
  <c r="N5046" i="2"/>
  <c r="O5045" i="2"/>
  <c r="N5045" i="2"/>
  <c r="N5044" i="2"/>
  <c r="O5044" i="2" s="1"/>
  <c r="O5043" i="2"/>
  <c r="N5043" i="2"/>
  <c r="O5042" i="2"/>
  <c r="N5042" i="2"/>
  <c r="N5041" i="2"/>
  <c r="O5041" i="2" s="1"/>
  <c r="O5040" i="2"/>
  <c r="N5040" i="2"/>
  <c r="O5039" i="2"/>
  <c r="N5039" i="2"/>
  <c r="O5038" i="2"/>
  <c r="N5038" i="2"/>
  <c r="O5037" i="2"/>
  <c r="N5037" i="2"/>
  <c r="O5036" i="2"/>
  <c r="N5036" i="2"/>
  <c r="O5035" i="2"/>
  <c r="N5035" i="2"/>
  <c r="O5034" i="2"/>
  <c r="N5034" i="2"/>
  <c r="O5033" i="2"/>
  <c r="N5033" i="2"/>
  <c r="O5032" i="2"/>
  <c r="N5032" i="2"/>
  <c r="O5031" i="2"/>
  <c r="N5031" i="2"/>
  <c r="O5030" i="2"/>
  <c r="N5030" i="2"/>
  <c r="O5029" i="2"/>
  <c r="N5029" i="2"/>
  <c r="O5028" i="2"/>
  <c r="N5028" i="2"/>
  <c r="O5027" i="2"/>
  <c r="N5027" i="2"/>
  <c r="O5026" i="2"/>
  <c r="N5026" i="2"/>
  <c r="O5025" i="2"/>
  <c r="N5025" i="2"/>
  <c r="O5024" i="2"/>
  <c r="N5024" i="2"/>
  <c r="O5023" i="2"/>
  <c r="N5023" i="2"/>
  <c r="O5022" i="2"/>
  <c r="N5022" i="2"/>
  <c r="O5021" i="2"/>
  <c r="N5021" i="2"/>
  <c r="O5020" i="2"/>
  <c r="N5020" i="2"/>
  <c r="O5019" i="2"/>
  <c r="N5019" i="2"/>
  <c r="O5018" i="2"/>
  <c r="N5018" i="2"/>
  <c r="O5017" i="2"/>
  <c r="N5017" i="2"/>
  <c r="O5016" i="2"/>
  <c r="N5016" i="2"/>
  <c r="O5015" i="2"/>
  <c r="N5015" i="2"/>
  <c r="O5014" i="2"/>
  <c r="N5014" i="2"/>
  <c r="O5013" i="2"/>
  <c r="N5013" i="2"/>
  <c r="O5012" i="2"/>
  <c r="N5012" i="2"/>
  <c r="O5011" i="2"/>
  <c r="N5011" i="2"/>
  <c r="O5010" i="2"/>
  <c r="N5010" i="2"/>
  <c r="O5009" i="2"/>
  <c r="N5009" i="2"/>
  <c r="O5008" i="2"/>
  <c r="N5008" i="2"/>
  <c r="O5007" i="2"/>
  <c r="N5007" i="2"/>
  <c r="O5006" i="2"/>
  <c r="N5006" i="2"/>
  <c r="O5005" i="2"/>
  <c r="N5005" i="2"/>
  <c r="O5004" i="2"/>
  <c r="N5004" i="2"/>
  <c r="O5003" i="2"/>
  <c r="N5003" i="2"/>
  <c r="O5002" i="2"/>
  <c r="N5002" i="2"/>
  <c r="O5001" i="2"/>
  <c r="N5001" i="2"/>
  <c r="O5000" i="2"/>
  <c r="N5000" i="2"/>
  <c r="O4999" i="2"/>
  <c r="N4999" i="2"/>
  <c r="O4998" i="2"/>
  <c r="N4998" i="2"/>
  <c r="O4997" i="2"/>
  <c r="N4997" i="2"/>
  <c r="O4996" i="2"/>
  <c r="N4996" i="2"/>
  <c r="O4995" i="2"/>
  <c r="N4995" i="2"/>
  <c r="O4994" i="2"/>
  <c r="N4994" i="2"/>
  <c r="O4993" i="2"/>
  <c r="N4993" i="2"/>
  <c r="O4992" i="2"/>
  <c r="N4992" i="2"/>
  <c r="O4991" i="2"/>
  <c r="N4991" i="2"/>
  <c r="O4990" i="2"/>
  <c r="N4990" i="2"/>
  <c r="O4989" i="2"/>
  <c r="N4989" i="2"/>
  <c r="O4988" i="2"/>
  <c r="N4988" i="2"/>
  <c r="O4987" i="2"/>
  <c r="N4987" i="2"/>
  <c r="O4986" i="2"/>
  <c r="N4986" i="2"/>
  <c r="O4985" i="2"/>
  <c r="N4985" i="2"/>
  <c r="O4984" i="2"/>
  <c r="N4984" i="2"/>
  <c r="O4983" i="2"/>
  <c r="N4983" i="2"/>
  <c r="O4982" i="2"/>
  <c r="N4982" i="2"/>
  <c r="O4981" i="2"/>
  <c r="N4981" i="2"/>
  <c r="O4980" i="2"/>
  <c r="N4980" i="2"/>
  <c r="O4979" i="2"/>
  <c r="N4979" i="2"/>
  <c r="O4978" i="2"/>
  <c r="N4978" i="2"/>
  <c r="O4977" i="2"/>
  <c r="N4977" i="2"/>
  <c r="O4976" i="2"/>
  <c r="N4976" i="2"/>
  <c r="O4975" i="2"/>
  <c r="N4975" i="2"/>
  <c r="O4974" i="2"/>
  <c r="N4974" i="2"/>
  <c r="O4973" i="2"/>
  <c r="N4973" i="2"/>
  <c r="N4972" i="2"/>
  <c r="O4972" i="2" s="1"/>
  <c r="O4971" i="2"/>
  <c r="N4971" i="2"/>
  <c r="O4970" i="2"/>
  <c r="N4970" i="2"/>
  <c r="N4969" i="2"/>
  <c r="O4969" i="2" s="1"/>
  <c r="O4968" i="2"/>
  <c r="N4968" i="2"/>
  <c r="O4967" i="2"/>
  <c r="N4967" i="2"/>
  <c r="O4966" i="2"/>
  <c r="N4966" i="2"/>
  <c r="O4965" i="2"/>
  <c r="N4965" i="2"/>
  <c r="N4964" i="2"/>
  <c r="O4964" i="2" s="1"/>
  <c r="O4963" i="2"/>
  <c r="N4963" i="2"/>
  <c r="O4962" i="2"/>
  <c r="N4962" i="2"/>
  <c r="N4961" i="2"/>
  <c r="O4961" i="2" s="1"/>
  <c r="O4960" i="2"/>
  <c r="N4960" i="2"/>
  <c r="O4959" i="2"/>
  <c r="N4959" i="2"/>
  <c r="N4958" i="2"/>
  <c r="O4958" i="2" s="1"/>
  <c r="O4957" i="2"/>
  <c r="N4957" i="2"/>
  <c r="N4956" i="2"/>
  <c r="O4956" i="2" s="1"/>
  <c r="O4955" i="2"/>
  <c r="N4955" i="2"/>
  <c r="O4954" i="2"/>
  <c r="N4954" i="2"/>
  <c r="N4953" i="2"/>
  <c r="O4953" i="2" s="1"/>
  <c r="O4952" i="2"/>
  <c r="N4952" i="2"/>
  <c r="O4951" i="2"/>
  <c r="N4951" i="2"/>
  <c r="O4950" i="2"/>
  <c r="N4950" i="2"/>
  <c r="O4949" i="2"/>
  <c r="N4949" i="2"/>
  <c r="N4948" i="2"/>
  <c r="O4948" i="2" s="1"/>
  <c r="O4947" i="2"/>
  <c r="N4947" i="2"/>
  <c r="O4946" i="2"/>
  <c r="N4946" i="2"/>
  <c r="N4945" i="2"/>
  <c r="O4945" i="2" s="1"/>
  <c r="O4944" i="2"/>
  <c r="N4944" i="2"/>
  <c r="O4943" i="2"/>
  <c r="N4943" i="2"/>
  <c r="O4942" i="2"/>
  <c r="N4942" i="2"/>
  <c r="O4941" i="2"/>
  <c r="N4941" i="2"/>
  <c r="N4940" i="2"/>
  <c r="O4940" i="2" s="1"/>
  <c r="O4939" i="2"/>
  <c r="N4939" i="2"/>
  <c r="O4938" i="2"/>
  <c r="N4938" i="2"/>
  <c r="N4937" i="2"/>
  <c r="O4937" i="2" s="1"/>
  <c r="O4936" i="2"/>
  <c r="N4936" i="2"/>
  <c r="O4935" i="2"/>
  <c r="N4935" i="2"/>
  <c r="O4934" i="2"/>
  <c r="N4934" i="2"/>
  <c r="O4933" i="2"/>
  <c r="N4933" i="2"/>
  <c r="N4932" i="2"/>
  <c r="O4932" i="2" s="1"/>
  <c r="O4931" i="2"/>
  <c r="N4931" i="2"/>
  <c r="O4930" i="2"/>
  <c r="N4930" i="2"/>
  <c r="N4929" i="2"/>
  <c r="O4929" i="2" s="1"/>
  <c r="O4928" i="2"/>
  <c r="N4928" i="2"/>
  <c r="O4927" i="2"/>
  <c r="N4927" i="2"/>
  <c r="O4926" i="2"/>
  <c r="N4926" i="2"/>
  <c r="O4925" i="2"/>
  <c r="N4925" i="2"/>
  <c r="N4924" i="2"/>
  <c r="O4924" i="2" s="1"/>
  <c r="O4923" i="2"/>
  <c r="N4923" i="2"/>
  <c r="O4922" i="2"/>
  <c r="N4922" i="2"/>
  <c r="N4921" i="2"/>
  <c r="O4921" i="2" s="1"/>
  <c r="O4920" i="2"/>
  <c r="N4920" i="2"/>
  <c r="O4919" i="2"/>
  <c r="N4919" i="2"/>
  <c r="O4918" i="2"/>
  <c r="N4918" i="2"/>
  <c r="O4917" i="2"/>
  <c r="N4917" i="2"/>
  <c r="N4916" i="2"/>
  <c r="O4916" i="2" s="1"/>
  <c r="O4915" i="2"/>
  <c r="N4915" i="2"/>
  <c r="O4914" i="2"/>
  <c r="N4914" i="2"/>
  <c r="N4913" i="2"/>
  <c r="O4913" i="2" s="1"/>
  <c r="O4912" i="2"/>
  <c r="N4912" i="2"/>
  <c r="O4911" i="2"/>
  <c r="N4911" i="2"/>
  <c r="O4910" i="2"/>
  <c r="N4910" i="2"/>
  <c r="O4909" i="2"/>
  <c r="N4909" i="2"/>
  <c r="N4908" i="2"/>
  <c r="O4908" i="2" s="1"/>
  <c r="O4907" i="2"/>
  <c r="N4907" i="2"/>
  <c r="O4906" i="2"/>
  <c r="N4906" i="2"/>
  <c r="N4905" i="2"/>
  <c r="O4905" i="2" s="1"/>
  <c r="O4904" i="2"/>
  <c r="N4904" i="2"/>
  <c r="O4903" i="2"/>
  <c r="N4903" i="2"/>
  <c r="O4902" i="2"/>
  <c r="N4902" i="2"/>
  <c r="O4901" i="2"/>
  <c r="N4901" i="2"/>
  <c r="N4900" i="2"/>
  <c r="O4900" i="2" s="1"/>
  <c r="O4899" i="2"/>
  <c r="N4899" i="2"/>
  <c r="O4898" i="2"/>
  <c r="N4898" i="2"/>
  <c r="N4897" i="2"/>
  <c r="O4897" i="2" s="1"/>
  <c r="O4896" i="2"/>
  <c r="N4896" i="2"/>
  <c r="O4895" i="2"/>
  <c r="N4895" i="2"/>
  <c r="O4894" i="2"/>
  <c r="N4894" i="2"/>
  <c r="O4893" i="2"/>
  <c r="N4893" i="2"/>
  <c r="N4892" i="2"/>
  <c r="O4892" i="2" s="1"/>
  <c r="O4891" i="2"/>
  <c r="N4891" i="2"/>
  <c r="O4890" i="2"/>
  <c r="N4890" i="2"/>
  <c r="N4889" i="2"/>
  <c r="O4889" i="2" s="1"/>
  <c r="O4888" i="2"/>
  <c r="N4888" i="2"/>
  <c r="O4887" i="2"/>
  <c r="N4887" i="2"/>
  <c r="O4886" i="2"/>
  <c r="N4886" i="2"/>
  <c r="O4885" i="2"/>
  <c r="N4885" i="2"/>
  <c r="N4884" i="2"/>
  <c r="O4884" i="2" s="1"/>
  <c r="O4883" i="2"/>
  <c r="N4883" i="2"/>
  <c r="O4882" i="2"/>
  <c r="N4882" i="2"/>
  <c r="N4881" i="2"/>
  <c r="O4881" i="2" s="1"/>
  <c r="O4880" i="2"/>
  <c r="N4880" i="2"/>
  <c r="O4879" i="2"/>
  <c r="N4879" i="2"/>
  <c r="O4878" i="2"/>
  <c r="N4878" i="2"/>
  <c r="O4877" i="2"/>
  <c r="N4877" i="2"/>
  <c r="N4876" i="2"/>
  <c r="O4876" i="2" s="1"/>
  <c r="O4875" i="2"/>
  <c r="N4875" i="2"/>
  <c r="O4874" i="2"/>
  <c r="N4874" i="2"/>
  <c r="N4873" i="2"/>
  <c r="O4873" i="2" s="1"/>
  <c r="O4872" i="2"/>
  <c r="N4872" i="2"/>
  <c r="O4871" i="2"/>
  <c r="N4871" i="2"/>
  <c r="O4870" i="2"/>
  <c r="N4870" i="2"/>
  <c r="O4869" i="2"/>
  <c r="N4869" i="2"/>
  <c r="N4868" i="2"/>
  <c r="O4868" i="2" s="1"/>
  <c r="O4867" i="2"/>
  <c r="N4867" i="2"/>
  <c r="O4866" i="2"/>
  <c r="N4866" i="2"/>
  <c r="N4865" i="2"/>
  <c r="O4865" i="2" s="1"/>
  <c r="O4864" i="2"/>
  <c r="N4864" i="2"/>
  <c r="O4863" i="2"/>
  <c r="N4863" i="2"/>
  <c r="O4862" i="2"/>
  <c r="N4862" i="2"/>
  <c r="N4861" i="2"/>
  <c r="O4861" i="2" s="1"/>
  <c r="N4860" i="2"/>
  <c r="O4860" i="2" s="1"/>
  <c r="O4859" i="2"/>
  <c r="N4859" i="2"/>
  <c r="O4858" i="2"/>
  <c r="N4858" i="2"/>
  <c r="N4857" i="2"/>
  <c r="O4857" i="2" s="1"/>
  <c r="O4856" i="2"/>
  <c r="N4856" i="2"/>
  <c r="O4855" i="2"/>
  <c r="N4855" i="2"/>
  <c r="O4854" i="2"/>
  <c r="N4854" i="2"/>
  <c r="O4853" i="2"/>
  <c r="N4853" i="2"/>
  <c r="N4852" i="2"/>
  <c r="O4852" i="2" s="1"/>
  <c r="O4851" i="2"/>
  <c r="N4851" i="2"/>
  <c r="O4850" i="2"/>
  <c r="N4850" i="2"/>
  <c r="N4849" i="2"/>
  <c r="O4849" i="2" s="1"/>
  <c r="O4848" i="2"/>
  <c r="N4848" i="2"/>
  <c r="O4847" i="2"/>
  <c r="N4847" i="2"/>
  <c r="O4846" i="2"/>
  <c r="N4846" i="2"/>
  <c r="O4845" i="2"/>
  <c r="N4845" i="2"/>
  <c r="N4844" i="2"/>
  <c r="O4844" i="2" s="1"/>
  <c r="O4843" i="2"/>
  <c r="N4843" i="2"/>
  <c r="O4842" i="2"/>
  <c r="N4842" i="2"/>
  <c r="N4841" i="2"/>
  <c r="O4841" i="2" s="1"/>
  <c r="O4840" i="2"/>
  <c r="N4840" i="2"/>
  <c r="O4839" i="2"/>
  <c r="N4839" i="2"/>
  <c r="O4838" i="2"/>
  <c r="N4838" i="2"/>
  <c r="O4837" i="2"/>
  <c r="N4837" i="2"/>
  <c r="N4836" i="2"/>
  <c r="O4836" i="2" s="1"/>
  <c r="O4835" i="2"/>
  <c r="N4835" i="2"/>
  <c r="O4834" i="2"/>
  <c r="N4834" i="2"/>
  <c r="N4833" i="2"/>
  <c r="O4833" i="2" s="1"/>
  <c r="O4832" i="2"/>
  <c r="N4832" i="2"/>
  <c r="O4831" i="2"/>
  <c r="N4831" i="2"/>
  <c r="O4830" i="2"/>
  <c r="N4830" i="2"/>
  <c r="O4829" i="2"/>
  <c r="N4829" i="2"/>
  <c r="N4828" i="2"/>
  <c r="O4828" i="2" s="1"/>
  <c r="O4827" i="2"/>
  <c r="N4827" i="2"/>
  <c r="O4826" i="2"/>
  <c r="N4826" i="2"/>
  <c r="N4825" i="2"/>
  <c r="O4825" i="2" s="1"/>
  <c r="O4824" i="2"/>
  <c r="N4824" i="2"/>
  <c r="O4823" i="2"/>
  <c r="N4823" i="2"/>
  <c r="O4822" i="2"/>
  <c r="N4822" i="2"/>
  <c r="O4821" i="2"/>
  <c r="N4821" i="2"/>
  <c r="N4820" i="2"/>
  <c r="O4820" i="2" s="1"/>
  <c r="O4819" i="2"/>
  <c r="N4819" i="2"/>
  <c r="O4818" i="2"/>
  <c r="N4818" i="2"/>
  <c r="N4817" i="2"/>
  <c r="O4817" i="2" s="1"/>
  <c r="O4816" i="2"/>
  <c r="N4816" i="2"/>
  <c r="O4815" i="2"/>
  <c r="N4815" i="2"/>
  <c r="O4814" i="2"/>
  <c r="N4814" i="2"/>
  <c r="N4813" i="2"/>
  <c r="O4813" i="2" s="1"/>
  <c r="N4812" i="2"/>
  <c r="O4812" i="2" s="1"/>
  <c r="O4811" i="2"/>
  <c r="N4811" i="2"/>
  <c r="O4810" i="2"/>
  <c r="N4810" i="2"/>
  <c r="N4809" i="2"/>
  <c r="O4809" i="2" s="1"/>
  <c r="O4808" i="2"/>
  <c r="N4808" i="2"/>
  <c r="O4807" i="2"/>
  <c r="N4807" i="2"/>
  <c r="O4806" i="2"/>
  <c r="N4806" i="2"/>
  <c r="O4805" i="2"/>
  <c r="N4805" i="2"/>
  <c r="N4804" i="2"/>
  <c r="O4804" i="2" s="1"/>
  <c r="O4803" i="2"/>
  <c r="N4803" i="2"/>
  <c r="O4802" i="2"/>
  <c r="N4802" i="2"/>
  <c r="N4801" i="2"/>
  <c r="O4801" i="2" s="1"/>
  <c r="O4800" i="2"/>
  <c r="N4800" i="2"/>
  <c r="O4799" i="2"/>
  <c r="N4799" i="2"/>
  <c r="O4798" i="2"/>
  <c r="N4798" i="2"/>
  <c r="O4797" i="2"/>
  <c r="N4797" i="2"/>
  <c r="N4796" i="2"/>
  <c r="O4796" i="2" s="1"/>
  <c r="O4795" i="2"/>
  <c r="N4795" i="2"/>
  <c r="O4388" i="2" l="1"/>
  <c r="N4651" i="2"/>
  <c r="O4651" i="2" s="1"/>
  <c r="N4650" i="2"/>
  <c r="O4650" i="2" s="1"/>
  <c r="N4649" i="2"/>
  <c r="O4649" i="2" s="1"/>
  <c r="N4648" i="2"/>
  <c r="O4648" i="2" s="1"/>
  <c r="N4647" i="2"/>
  <c r="O4647" i="2" s="1"/>
  <c r="N4646" i="2"/>
  <c r="O4646" i="2" s="1"/>
  <c r="N4645" i="2"/>
  <c r="O4645" i="2" s="1"/>
  <c r="N4644" i="2"/>
  <c r="O4644" i="2" s="1"/>
  <c r="N4643" i="2"/>
  <c r="O4643" i="2" s="1"/>
  <c r="N4642" i="2"/>
  <c r="O4642" i="2" s="1"/>
  <c r="N4641" i="2"/>
  <c r="O4641" i="2" s="1"/>
  <c r="N4640" i="2"/>
  <c r="O4640" i="2" s="1"/>
  <c r="N4639" i="2"/>
  <c r="O4639" i="2" s="1"/>
  <c r="N4638" i="2"/>
  <c r="O4638" i="2" s="1"/>
  <c r="N4637" i="2"/>
  <c r="O4637" i="2" s="1"/>
  <c r="N4636" i="2"/>
  <c r="O4636" i="2" s="1"/>
  <c r="N4635" i="2"/>
  <c r="O4635" i="2" s="1"/>
  <c r="N4634" i="2"/>
  <c r="O4634" i="2" s="1"/>
  <c r="N4633" i="2"/>
  <c r="O4633" i="2" s="1"/>
  <c r="N4632" i="2"/>
  <c r="O4632" i="2" s="1"/>
  <c r="N4631" i="2"/>
  <c r="O4631" i="2" s="1"/>
  <c r="N4630" i="2"/>
  <c r="O4630" i="2" s="1"/>
  <c r="N4629" i="2"/>
  <c r="O4629" i="2" s="1"/>
  <c r="N4628" i="2"/>
  <c r="O4628" i="2" s="1"/>
  <c r="N4627" i="2"/>
  <c r="O4627" i="2" s="1"/>
  <c r="N4626" i="2"/>
  <c r="O4626" i="2" s="1"/>
  <c r="N4625" i="2"/>
  <c r="O4625" i="2" s="1"/>
  <c r="N4624" i="2"/>
  <c r="O4624" i="2" s="1"/>
  <c r="N4623" i="2"/>
  <c r="O4623" i="2" s="1"/>
  <c r="N4622" i="2"/>
  <c r="O4622" i="2" s="1"/>
  <c r="N4621" i="2"/>
  <c r="O4621" i="2" s="1"/>
  <c r="N4620" i="2"/>
  <c r="O4620" i="2" s="1"/>
  <c r="N4619" i="2"/>
  <c r="O4619" i="2" s="1"/>
  <c r="N4618" i="2"/>
  <c r="O4618" i="2" s="1"/>
  <c r="N4617" i="2"/>
  <c r="N4616" i="2"/>
  <c r="N4615" i="2"/>
  <c r="N4614" i="2"/>
  <c r="N4613" i="2"/>
  <c r="N4612" i="2"/>
  <c r="N4611" i="2"/>
  <c r="N4610" i="2"/>
  <c r="N4609" i="2"/>
  <c r="N4608" i="2"/>
  <c r="O4607" i="2"/>
  <c r="N4607" i="2"/>
  <c r="O4606" i="2"/>
  <c r="N4606" i="2"/>
  <c r="O4605" i="2"/>
  <c r="N4605" i="2"/>
  <c r="O4604" i="2"/>
  <c r="N4604" i="2"/>
  <c r="O4603" i="2"/>
  <c r="N4603" i="2"/>
  <c r="O4602" i="2"/>
  <c r="N4602" i="2"/>
  <c r="O4601" i="2"/>
  <c r="N4601" i="2"/>
  <c r="O4600" i="2"/>
  <c r="N4600" i="2"/>
  <c r="O4599" i="2"/>
  <c r="N4599" i="2"/>
  <c r="O4598" i="2"/>
  <c r="N4598" i="2"/>
  <c r="O4597" i="2"/>
  <c r="N4597" i="2"/>
  <c r="N4596" i="2"/>
  <c r="O4596" i="2" s="1"/>
  <c r="N4595" i="2"/>
  <c r="O4595" i="2" s="1"/>
  <c r="N4594" i="2"/>
  <c r="O4594" i="2" s="1"/>
  <c r="N4593" i="2"/>
  <c r="O4593" i="2" s="1"/>
  <c r="N4592" i="2"/>
  <c r="O4592" i="2" s="1"/>
  <c r="N4591" i="2"/>
  <c r="O4591" i="2" s="1"/>
  <c r="N4590" i="2"/>
  <c r="O4590" i="2" s="1"/>
  <c r="N4589" i="2"/>
  <c r="O4589" i="2" s="1"/>
  <c r="N4588" i="2"/>
  <c r="O4588" i="2" s="1"/>
  <c r="N4587" i="2"/>
  <c r="O4587" i="2" s="1"/>
  <c r="N4586" i="2"/>
  <c r="O4586" i="2" s="1"/>
  <c r="N4585" i="2"/>
  <c r="O4585" i="2" s="1"/>
  <c r="N4584" i="2"/>
  <c r="O4584" i="2" s="1"/>
  <c r="N4583" i="2"/>
  <c r="O4583" i="2" s="1"/>
  <c r="N4582" i="2"/>
  <c r="O4582" i="2" s="1"/>
  <c r="N4581" i="2"/>
  <c r="O4581" i="2" s="1"/>
  <c r="N4580" i="2"/>
  <c r="O4580" i="2" s="1"/>
  <c r="N4579" i="2"/>
  <c r="O4579" i="2" s="1"/>
  <c r="N4578" i="2"/>
  <c r="O4578" i="2" s="1"/>
  <c r="N4577" i="2"/>
  <c r="O4577" i="2" s="1"/>
  <c r="N4576" i="2"/>
  <c r="O4576" i="2" s="1"/>
  <c r="N4575" i="2"/>
  <c r="O4575" i="2" s="1"/>
  <c r="N4574" i="2"/>
  <c r="O4574" i="2" s="1"/>
  <c r="N4573" i="2"/>
  <c r="O4573" i="2" s="1"/>
  <c r="N4572" i="2"/>
  <c r="O4572" i="2" s="1"/>
  <c r="N4571" i="2"/>
  <c r="O4571" i="2" s="1"/>
  <c r="N4570" i="2"/>
  <c r="O4570" i="2" s="1"/>
  <c r="N4569" i="2"/>
  <c r="O4569" i="2" s="1"/>
  <c r="N4568" i="2"/>
  <c r="O4568" i="2" s="1"/>
  <c r="N4567" i="2"/>
  <c r="O4567" i="2" s="1"/>
  <c r="N4566" i="2"/>
  <c r="O4566" i="2" s="1"/>
  <c r="N4565" i="2"/>
  <c r="O4565" i="2" s="1"/>
  <c r="N4564" i="2"/>
  <c r="O4564" i="2" s="1"/>
  <c r="N4563" i="2"/>
  <c r="O4563" i="2" s="1"/>
  <c r="N4562" i="2"/>
  <c r="O4562" i="2" s="1"/>
  <c r="N4561" i="2"/>
  <c r="O4561" i="2" s="1"/>
  <c r="N4560" i="2"/>
  <c r="O4560" i="2" s="1"/>
  <c r="N4559" i="2"/>
  <c r="O4559" i="2" s="1"/>
  <c r="N4558" i="2"/>
  <c r="O4558" i="2" s="1"/>
  <c r="N4557" i="2"/>
  <c r="O4557" i="2" s="1"/>
  <c r="N4556" i="2"/>
  <c r="O4556" i="2" s="1"/>
  <c r="N4555" i="2"/>
  <c r="O4555" i="2" s="1"/>
  <c r="N4554" i="2"/>
  <c r="O4554" i="2" s="1"/>
  <c r="N4553" i="2"/>
  <c r="O4553" i="2" s="1"/>
  <c r="N4552" i="2"/>
  <c r="O4552" i="2" s="1"/>
  <c r="N4551" i="2"/>
  <c r="O4551" i="2" s="1"/>
  <c r="N4550" i="2"/>
  <c r="O4550" i="2" s="1"/>
  <c r="N4549" i="2"/>
  <c r="O4549" i="2" s="1"/>
  <c r="N4548" i="2"/>
  <c r="O4548" i="2" s="1"/>
  <c r="N4547" i="2"/>
  <c r="O4547" i="2" s="1"/>
  <c r="N4546" i="2"/>
  <c r="O4546" i="2" s="1"/>
  <c r="N4545" i="2"/>
  <c r="O4545" i="2" s="1"/>
  <c r="N4544" i="2"/>
  <c r="O4544" i="2" s="1"/>
  <c r="N4543" i="2"/>
  <c r="O4543" i="2" s="1"/>
  <c r="N4542" i="2"/>
  <c r="O4542" i="2" s="1"/>
  <c r="N4541" i="2"/>
  <c r="O4541" i="2" s="1"/>
  <c r="N4540" i="2"/>
  <c r="O4540" i="2" s="1"/>
  <c r="N4539" i="2"/>
  <c r="O4539" i="2" s="1"/>
  <c r="N4538" i="2"/>
  <c r="O4538" i="2" s="1"/>
  <c r="N4537" i="2"/>
  <c r="O4537" i="2" s="1"/>
  <c r="N4536" i="2"/>
  <c r="O4536" i="2" s="1"/>
  <c r="N4535" i="2"/>
  <c r="O4535" i="2" s="1"/>
  <c r="N4534" i="2"/>
  <c r="O4534" i="2" s="1"/>
  <c r="N4533" i="2"/>
  <c r="O4533" i="2" s="1"/>
  <c r="N4532" i="2"/>
  <c r="O4532" i="2" s="1"/>
  <c r="N4531" i="2"/>
  <c r="O4531" i="2" s="1"/>
  <c r="N4530" i="2"/>
  <c r="O4530" i="2" s="1"/>
  <c r="N4529" i="2"/>
  <c r="O4529" i="2" s="1"/>
  <c r="N4528" i="2"/>
  <c r="O4528" i="2" s="1"/>
  <c r="N4527" i="2"/>
  <c r="O4527" i="2" s="1"/>
  <c r="N4526" i="2"/>
  <c r="O4526" i="2" s="1"/>
  <c r="N4525" i="2"/>
  <c r="O4525" i="2" s="1"/>
  <c r="N4524" i="2"/>
  <c r="O4524" i="2" s="1"/>
  <c r="N4523" i="2"/>
  <c r="O4523" i="2" s="1"/>
  <c r="N4522" i="2"/>
  <c r="O4522" i="2" s="1"/>
  <c r="N4521" i="2"/>
  <c r="O4521" i="2" s="1"/>
  <c r="N4520" i="2"/>
  <c r="O4520" i="2" s="1"/>
  <c r="N4519" i="2"/>
  <c r="O4519" i="2" s="1"/>
  <c r="N4518" i="2"/>
  <c r="O4518" i="2" s="1"/>
  <c r="N4517" i="2"/>
  <c r="O4517" i="2" s="1"/>
  <c r="N4516" i="2"/>
  <c r="O4516" i="2" s="1"/>
  <c r="N4515" i="2"/>
  <c r="O4515" i="2" s="1"/>
  <c r="N4514" i="2"/>
  <c r="O4514" i="2" s="1"/>
  <c r="N4513" i="2"/>
  <c r="O4513" i="2" s="1"/>
  <c r="N4512" i="2"/>
  <c r="O4512" i="2" s="1"/>
  <c r="N4511" i="2"/>
  <c r="O4511" i="2" s="1"/>
  <c r="N4510" i="2"/>
  <c r="O4510" i="2" s="1"/>
  <c r="N4509" i="2"/>
  <c r="O4509" i="2" s="1"/>
  <c r="N4508" i="2"/>
  <c r="O4508" i="2" s="1"/>
  <c r="N4507" i="2"/>
  <c r="O4507" i="2" s="1"/>
  <c r="N4506" i="2"/>
  <c r="O4506" i="2" s="1"/>
  <c r="N4505" i="2"/>
  <c r="O4505" i="2" s="1"/>
  <c r="N4504" i="2"/>
  <c r="O4504" i="2" s="1"/>
  <c r="N4503" i="2"/>
  <c r="O4503" i="2" s="1"/>
  <c r="N4502" i="2"/>
  <c r="O4502" i="2" s="1"/>
  <c r="N4501" i="2"/>
  <c r="O4501" i="2" s="1"/>
  <c r="N4500" i="2"/>
  <c r="O4500" i="2" s="1"/>
  <c r="N4499" i="2"/>
  <c r="O4499" i="2" s="1"/>
  <c r="N4498" i="2"/>
  <c r="O4498" i="2" s="1"/>
  <c r="N4497" i="2"/>
  <c r="O4497" i="2" s="1"/>
  <c r="N4496" i="2"/>
  <c r="O4496" i="2" s="1"/>
  <c r="N4495" i="2"/>
  <c r="O4495" i="2" s="1"/>
  <c r="N4494" i="2"/>
  <c r="O4494" i="2" s="1"/>
  <c r="N4493" i="2"/>
  <c r="O4493" i="2" s="1"/>
  <c r="N4492" i="2"/>
  <c r="O4492" i="2" s="1"/>
  <c r="N4491" i="2"/>
  <c r="O4491" i="2" s="1"/>
  <c r="N4490" i="2"/>
  <c r="O4490" i="2" s="1"/>
  <c r="N4489" i="2"/>
  <c r="O4489" i="2" s="1"/>
  <c r="N4488" i="2"/>
  <c r="O4488" i="2" s="1"/>
  <c r="N4487" i="2"/>
  <c r="O4487" i="2" s="1"/>
  <c r="N4486" i="2"/>
  <c r="O4486" i="2" s="1"/>
  <c r="N4485" i="2"/>
  <c r="O4485" i="2" s="1"/>
  <c r="N4484" i="2"/>
  <c r="O4484" i="2" s="1"/>
  <c r="N4483" i="2"/>
  <c r="O4483" i="2" s="1"/>
  <c r="N4482" i="2"/>
  <c r="O4482" i="2" s="1"/>
  <c r="N4481" i="2"/>
  <c r="O4481" i="2" s="1"/>
  <c r="N4480" i="2"/>
  <c r="O4480" i="2" s="1"/>
  <c r="N4479" i="2"/>
  <c r="O4479" i="2" s="1"/>
  <c r="N4478" i="2"/>
  <c r="O4478" i="2" s="1"/>
  <c r="N4477" i="2"/>
  <c r="O4477" i="2" s="1"/>
  <c r="N4476" i="2"/>
  <c r="O4476" i="2" s="1"/>
  <c r="N4475" i="2"/>
  <c r="O4475" i="2" s="1"/>
  <c r="N4474" i="2"/>
  <c r="O4474" i="2" s="1"/>
  <c r="N4473" i="2"/>
  <c r="O4473" i="2" s="1"/>
  <c r="N4472" i="2" l="1"/>
  <c r="O4472" i="2" s="1"/>
  <c r="N4471" i="2"/>
  <c r="O4471" i="2" s="1"/>
  <c r="N4470" i="2"/>
  <c r="O4470" i="2" s="1"/>
  <c r="N4469" i="2"/>
  <c r="O4469" i="2" s="1"/>
  <c r="N4468" i="2"/>
  <c r="O4468" i="2" s="1"/>
  <c r="N4467" i="2"/>
  <c r="O4467" i="2" s="1"/>
  <c r="N4466" i="2"/>
  <c r="O4466" i="2" s="1"/>
  <c r="N4465" i="2"/>
  <c r="O4465" i="2" s="1"/>
  <c r="N4464" i="2"/>
  <c r="O4464" i="2" s="1"/>
  <c r="N4463" i="2"/>
  <c r="O4463" i="2" s="1"/>
  <c r="N4462" i="2"/>
  <c r="O4462" i="2" s="1"/>
  <c r="N4461" i="2"/>
  <c r="O4461" i="2" s="1"/>
  <c r="N4460" i="2"/>
  <c r="O4460" i="2" s="1"/>
  <c r="N4459" i="2"/>
  <c r="O4459" i="2" s="1"/>
  <c r="N4458" i="2"/>
  <c r="O4458" i="2" s="1"/>
  <c r="N4457" i="2"/>
  <c r="O4457" i="2" s="1"/>
  <c r="N4456" i="2"/>
  <c r="O4456" i="2" s="1"/>
  <c r="N4455" i="2"/>
  <c r="O4455" i="2" s="1"/>
  <c r="N4454" i="2"/>
  <c r="O4454" i="2" s="1"/>
  <c r="N4453" i="2"/>
  <c r="O4453" i="2" s="1"/>
  <c r="N4452" i="2"/>
  <c r="O4452" i="2" s="1"/>
  <c r="N4451" i="2"/>
  <c r="O4451" i="2" s="1"/>
  <c r="N4450" i="2"/>
  <c r="O4450" i="2" s="1"/>
  <c r="N4449" i="2"/>
  <c r="O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N4413" i="2"/>
  <c r="O4412" i="2"/>
  <c r="N4412" i="2"/>
  <c r="O4411" i="2"/>
  <c r="N4411" i="2"/>
  <c r="N4410" i="2"/>
  <c r="O4410" i="2" s="1"/>
  <c r="N4409" i="2"/>
  <c r="O4409" i="2" s="1"/>
  <c r="N4408" i="2"/>
  <c r="O4408" i="2" s="1"/>
  <c r="N4407" i="2"/>
  <c r="O4407" i="2" s="1"/>
  <c r="N4406" i="2"/>
  <c r="O4406" i="2" s="1"/>
  <c r="N4405" i="2"/>
  <c r="O4405" i="2" s="1"/>
  <c r="N4404" i="2"/>
  <c r="O4404" i="2" s="1"/>
  <c r="N4403" i="2"/>
  <c r="O4403" i="2" s="1"/>
  <c r="N4402" i="2"/>
  <c r="O4402" i="2" s="1"/>
  <c r="N4401" i="2"/>
  <c r="O4401" i="2" s="1"/>
  <c r="N4400" i="2"/>
  <c r="O4400" i="2" s="1"/>
  <c r="N4399" i="2"/>
  <c r="O4399" i="2" s="1"/>
  <c r="N4398" i="2"/>
  <c r="O4398" i="2" s="1"/>
  <c r="N4397" i="2"/>
  <c r="O4397" i="2" s="1"/>
  <c r="N4396" i="2"/>
  <c r="O4396" i="2" s="1"/>
  <c r="N4395" i="2"/>
  <c r="O4395" i="2" s="1"/>
  <c r="N4394" i="2"/>
  <c r="O4394" i="2" s="1"/>
  <c r="N4393" i="2"/>
  <c r="O4393" i="2" s="1"/>
  <c r="N4392" i="2"/>
  <c r="O4392" i="2" s="1"/>
  <c r="N4391" i="2"/>
  <c r="O4391" i="2" s="1"/>
  <c r="N4390" i="2"/>
  <c r="O4390" i="2" s="1"/>
  <c r="N4389" i="2"/>
  <c r="O4389" i="2" s="1"/>
  <c r="N4388" i="2"/>
  <c r="N4387" i="2"/>
  <c r="O4387" i="2" s="1"/>
  <c r="N4386" i="2"/>
  <c r="O4386" i="2" s="1"/>
  <c r="N4385" i="2"/>
  <c r="O4385" i="2" s="1"/>
  <c r="N4384" i="2"/>
  <c r="O4384" i="2" s="1"/>
  <c r="N4383" i="2"/>
  <c r="O4383" i="2" s="1"/>
  <c r="N4382" i="2"/>
  <c r="O4382" i="2" s="1"/>
  <c r="N4381" i="2"/>
  <c r="O4381" i="2" s="1"/>
  <c r="N4380" i="2"/>
  <c r="O4380" i="2" s="1"/>
  <c r="N4379" i="2"/>
  <c r="O4379" i="2" s="1"/>
  <c r="N4378" i="2"/>
  <c r="O4378" i="2" s="1"/>
  <c r="N4377" i="2"/>
  <c r="O4377" i="2" s="1"/>
  <c r="N4376" i="2"/>
  <c r="O4376" i="2" s="1"/>
  <c r="N4375" i="2"/>
  <c r="O4375" i="2" s="1"/>
  <c r="N4374" i="2"/>
  <c r="O4374" i="2" s="1"/>
  <c r="N4373" i="2"/>
  <c r="O4373" i="2" s="1"/>
  <c r="N4372" i="2"/>
  <c r="O4372" i="2" s="1"/>
  <c r="N4371" i="2"/>
  <c r="O4371" i="2" s="1"/>
  <c r="N4370" i="2"/>
  <c r="O4370" i="2" s="1"/>
  <c r="N4369" i="2"/>
  <c r="O4369" i="2" s="1"/>
  <c r="N4368" i="2"/>
  <c r="O4368" i="2" s="1"/>
  <c r="N4367" i="2"/>
  <c r="O4367" i="2" s="1"/>
  <c r="N4366" i="2"/>
  <c r="O4366" i="2" s="1"/>
  <c r="N4365" i="2"/>
  <c r="O4365" i="2" s="1"/>
  <c r="N4364" i="2"/>
  <c r="O4364" i="2" s="1"/>
  <c r="N4363" i="2"/>
  <c r="O4363" i="2" s="1"/>
  <c r="N4362" i="2"/>
  <c r="O4362" i="2" s="1"/>
  <c r="N4361" i="2"/>
  <c r="O4361" i="2" s="1"/>
  <c r="N4360" i="2"/>
  <c r="O4360" i="2" s="1"/>
  <c r="N4359" i="2"/>
  <c r="O4359" i="2" s="1"/>
  <c r="N4358" i="2"/>
  <c r="O4358" i="2" s="1"/>
  <c r="N4357" i="2"/>
  <c r="O4357" i="2" s="1"/>
  <c r="N4356" i="2"/>
  <c r="O4356" i="2" s="1"/>
  <c r="N4355" i="2"/>
  <c r="O4355" i="2" s="1"/>
  <c r="N4354" i="2"/>
  <c r="O4354" i="2" s="1"/>
  <c r="N4353" i="2"/>
  <c r="O4353" i="2" s="1"/>
  <c r="N4352" i="2"/>
  <c r="O4352" i="2" s="1"/>
  <c r="N4351" i="2"/>
  <c r="O4351" i="2" s="1"/>
  <c r="N4350" i="2"/>
  <c r="O4350" i="2" s="1"/>
  <c r="N4349" i="2"/>
  <c r="O4349" i="2" s="1"/>
  <c r="N4348" i="2"/>
  <c r="O4348" i="2" s="1"/>
  <c r="N4347" i="2"/>
  <c r="O4347" i="2" s="1"/>
  <c r="N4346" i="2"/>
  <c r="O4346" i="2" s="1"/>
  <c r="N4345" i="2"/>
  <c r="O4345" i="2" s="1"/>
  <c r="N4344" i="2"/>
  <c r="O4344" i="2" s="1"/>
  <c r="N4343" i="2"/>
  <c r="O4343" i="2" s="1"/>
  <c r="N4342" i="2"/>
  <c r="O4342" i="2" s="1"/>
  <c r="N4341" i="2"/>
  <c r="O4341" i="2" s="1"/>
  <c r="N4340" i="2"/>
  <c r="O4340" i="2" s="1"/>
  <c r="N4339" i="2"/>
  <c r="O4339" i="2" s="1"/>
  <c r="N4338" i="2"/>
  <c r="O4338" i="2" s="1"/>
  <c r="N4337" i="2"/>
  <c r="O4337" i="2" s="1"/>
  <c r="N4336" i="2"/>
  <c r="O4336" i="2" s="1"/>
  <c r="N4335" i="2"/>
  <c r="O4335" i="2" s="1"/>
  <c r="N4334" i="2"/>
  <c r="O4334" i="2" s="1"/>
  <c r="N4333" i="2"/>
  <c r="O4333" i="2" s="1"/>
  <c r="N4332" i="2"/>
  <c r="O4332" i="2" s="1"/>
  <c r="N4331" i="2"/>
  <c r="O4331" i="2" s="1"/>
  <c r="N4330" i="2"/>
  <c r="O4330" i="2" s="1"/>
  <c r="N4329" i="2"/>
  <c r="O4329" i="2" s="1"/>
  <c r="N4328" i="2"/>
  <c r="O4328" i="2" s="1"/>
  <c r="N4327" i="2"/>
  <c r="O4327" i="2" s="1"/>
  <c r="N4326" i="2"/>
  <c r="O4326" i="2" s="1"/>
  <c r="N4325" i="2"/>
  <c r="O4325" i="2" s="1"/>
  <c r="N4324" i="2"/>
  <c r="O4324" i="2" s="1"/>
  <c r="N4323" i="2"/>
  <c r="O4323" i="2" s="1"/>
  <c r="N4322" i="2"/>
  <c r="O4322" i="2" s="1"/>
  <c r="N4321" i="2"/>
  <c r="O4321" i="2" s="1"/>
  <c r="N4320" i="2"/>
  <c r="O4320" i="2" s="1"/>
  <c r="N4319" i="2"/>
  <c r="O4319" i="2" s="1"/>
  <c r="N4318" i="2"/>
  <c r="O4318" i="2" s="1"/>
  <c r="N4317" i="2"/>
  <c r="O4317" i="2" s="1"/>
  <c r="N4316" i="2"/>
  <c r="O4316" i="2" s="1"/>
  <c r="N4315" i="2"/>
  <c r="O4315" i="2" s="1"/>
  <c r="N4314" i="2"/>
  <c r="O4314" i="2" s="1"/>
  <c r="N4313" i="2"/>
  <c r="O4313" i="2" s="1"/>
  <c r="N4312" i="2"/>
  <c r="O4312" i="2" s="1"/>
  <c r="N4311" i="2"/>
  <c r="O4311" i="2" s="1"/>
  <c r="N4310" i="2"/>
  <c r="O4310" i="2" s="1"/>
  <c r="N4309" i="2"/>
  <c r="O4309" i="2" s="1"/>
  <c r="N4308" i="2"/>
  <c r="O4308" i="2" s="1"/>
  <c r="N4307" i="2"/>
  <c r="O4307" i="2" s="1"/>
  <c r="N4306" i="2"/>
  <c r="O4306" i="2" s="1"/>
  <c r="N4305" i="2"/>
  <c r="O4305" i="2" s="1"/>
  <c r="N4304" i="2"/>
  <c r="O4304" i="2" s="1"/>
  <c r="N4303" i="2"/>
  <c r="O4303" i="2" s="1"/>
  <c r="N4302" i="2"/>
  <c r="O4302" i="2" s="1"/>
  <c r="N4301" i="2"/>
  <c r="O4301" i="2" s="1"/>
  <c r="N4300" i="2"/>
  <c r="O4300" i="2" s="1"/>
  <c r="N4299" i="2"/>
  <c r="O4299" i="2" s="1"/>
  <c r="N4298" i="2"/>
  <c r="O4298" i="2" s="1"/>
  <c r="N4297" i="2"/>
  <c r="O4297" i="2" s="1"/>
  <c r="N4296" i="2"/>
  <c r="O4296" i="2" s="1"/>
  <c r="N4295" i="2"/>
  <c r="O4295" i="2" s="1"/>
  <c r="N4294" i="2"/>
  <c r="O4294" i="2" s="1"/>
  <c r="N4293" i="2"/>
  <c r="O4293" i="2" s="1"/>
  <c r="N4292" i="2"/>
  <c r="O4292" i="2" s="1"/>
  <c r="N4291" i="2"/>
  <c r="O4291" i="2" s="1"/>
  <c r="N4290" i="2"/>
  <c r="O4290" i="2" s="1"/>
  <c r="N4289" i="2"/>
  <c r="O4289" i="2" s="1"/>
  <c r="N4288" i="2"/>
  <c r="O4288" i="2" s="1"/>
  <c r="N4287" i="2"/>
  <c r="O4287" i="2" s="1"/>
  <c r="N4286" i="2"/>
  <c r="O4286" i="2" s="1"/>
  <c r="N4285" i="2"/>
  <c r="O4285" i="2" s="1"/>
  <c r="N4284" i="2"/>
  <c r="O4284" i="2" s="1"/>
  <c r="N4283" i="2"/>
  <c r="O4283" i="2" s="1"/>
  <c r="N4282" i="2"/>
  <c r="O4282" i="2" s="1"/>
  <c r="N4281" i="2"/>
  <c r="O4281" i="2" s="1"/>
  <c r="N4280" i="2"/>
  <c r="O4280" i="2" s="1"/>
  <c r="N4279" i="2"/>
  <c r="O4279" i="2" s="1"/>
  <c r="N4238" i="2" l="1"/>
  <c r="N4239" i="2"/>
  <c r="N4278" i="2"/>
  <c r="O4278" i="2" s="1"/>
  <c r="N4277" i="2"/>
  <c r="O4277" i="2" s="1"/>
  <c r="N4276" i="2"/>
  <c r="O4276" i="2" s="1"/>
  <c r="N4275" i="2"/>
  <c r="O4275" i="2" s="1"/>
  <c r="N4274" i="2"/>
  <c r="O4274" i="2" s="1"/>
  <c r="N4273" i="2"/>
  <c r="O4273" i="2" s="1"/>
  <c r="N4272" i="2"/>
  <c r="O4272" i="2" s="1"/>
  <c r="N4271" i="2"/>
  <c r="O4271" i="2" s="1"/>
  <c r="N4270" i="2"/>
  <c r="O4270" i="2" s="1"/>
  <c r="N4269" i="2"/>
  <c r="O4269" i="2" s="1"/>
  <c r="N4268" i="2"/>
  <c r="O4268" i="2" s="1"/>
  <c r="N4267" i="2"/>
  <c r="O4267" i="2" s="1"/>
  <c r="N4266" i="2"/>
  <c r="O4266" i="2" s="1"/>
  <c r="N4265" i="2"/>
  <c r="O4265" i="2" s="1"/>
  <c r="N4264" i="2"/>
  <c r="O4264" i="2" s="1"/>
  <c r="N4263" i="2"/>
  <c r="O4263" i="2" s="1"/>
  <c r="N4262" i="2"/>
  <c r="O4262" i="2" s="1"/>
  <c r="N4261" i="2"/>
  <c r="O4261" i="2" s="1"/>
  <c r="N4260" i="2"/>
  <c r="O4260" i="2" s="1"/>
  <c r="N4259" i="2"/>
  <c r="O4259" i="2" s="1"/>
  <c r="N4258" i="2"/>
  <c r="O4258" i="2" s="1"/>
  <c r="N4257" i="2"/>
  <c r="O4257" i="2" s="1"/>
  <c r="N4256" i="2"/>
  <c r="O4256" i="2" s="1"/>
  <c r="N4255" i="2"/>
  <c r="O4255" i="2" s="1"/>
  <c r="N4254" i="2"/>
  <c r="O4254" i="2" s="1"/>
  <c r="N4253" i="2"/>
  <c r="O4253" i="2" s="1"/>
  <c r="N4252" i="2"/>
  <c r="O4252" i="2" s="1"/>
  <c r="N4251" i="2"/>
  <c r="O4251" i="2" s="1"/>
  <c r="N4250" i="2"/>
  <c r="O4250" i="2" s="1"/>
  <c r="N4249" i="2"/>
  <c r="O4249" i="2" s="1"/>
  <c r="N4248" i="2"/>
  <c r="O4248" i="2" s="1"/>
  <c r="N4247" i="2"/>
  <c r="O4247" i="2" s="1"/>
  <c r="N4246" i="2"/>
  <c r="O4246" i="2" s="1"/>
  <c r="N4245" i="2"/>
  <c r="O4245" i="2" s="1"/>
  <c r="N4244" i="2"/>
  <c r="O4244" i="2" s="1"/>
  <c r="O4243" i="2"/>
  <c r="N4243" i="2"/>
  <c r="O4242" i="2"/>
  <c r="N4242" i="2"/>
  <c r="O4241" i="2"/>
  <c r="N4241" i="2"/>
  <c r="O4240" i="2"/>
  <c r="N4240" i="2"/>
  <c r="O4239" i="2"/>
  <c r="O4238" i="2"/>
  <c r="N4237" i="2"/>
  <c r="O4237" i="2" s="1"/>
  <c r="N4236" i="2"/>
  <c r="O4236" i="2" s="1"/>
  <c r="N4235" i="2"/>
  <c r="O4235" i="2" s="1"/>
  <c r="N4234" i="2"/>
  <c r="O4234" i="2" s="1"/>
  <c r="N4233" i="2"/>
  <c r="O4233" i="2" s="1"/>
  <c r="N4232" i="2"/>
  <c r="O4232" i="2" s="1"/>
  <c r="N4231" i="2"/>
  <c r="O4231" i="2" s="1"/>
  <c r="N4230" i="2"/>
  <c r="O4230" i="2" s="1"/>
  <c r="N4229" i="2"/>
  <c r="O4229" i="2" s="1"/>
  <c r="N4228" i="2"/>
  <c r="O4228" i="2" s="1"/>
  <c r="N4227" i="2"/>
  <c r="O4227" i="2" s="1"/>
  <c r="N4226" i="2"/>
  <c r="O4226" i="2" s="1"/>
  <c r="N4225" i="2"/>
  <c r="O4225" i="2" s="1"/>
  <c r="N4224" i="2"/>
  <c r="O4224" i="2" s="1"/>
  <c r="N4223" i="2"/>
  <c r="O4223" i="2" s="1"/>
  <c r="N4222" i="2"/>
  <c r="O4222" i="2" s="1"/>
  <c r="N4221" i="2"/>
  <c r="O4221" i="2" s="1"/>
  <c r="N4220" i="2"/>
  <c r="O4220" i="2" s="1"/>
  <c r="N4219" i="2"/>
  <c r="O4219" i="2" s="1"/>
  <c r="N4218" i="2"/>
  <c r="O4218" i="2" s="1"/>
  <c r="N4217" i="2"/>
  <c r="O4217" i="2" s="1"/>
  <c r="N4216" i="2"/>
  <c r="O4216" i="2" s="1"/>
  <c r="N4215" i="2"/>
  <c r="O4215" i="2" s="1"/>
  <c r="N4214" i="2"/>
  <c r="O4214" i="2" s="1"/>
  <c r="N4213" i="2"/>
  <c r="O4213" i="2" s="1"/>
  <c r="N4212" i="2"/>
  <c r="O4212" i="2" s="1"/>
  <c r="N4211" i="2"/>
  <c r="O4211" i="2" s="1"/>
  <c r="N4210" i="2"/>
  <c r="O4210" i="2" s="1"/>
  <c r="N4209" i="2"/>
  <c r="O4209" i="2" s="1"/>
  <c r="N4208" i="2"/>
  <c r="O4208" i="2" s="1"/>
  <c r="N4207" i="2"/>
  <c r="O4207" i="2" s="1"/>
  <c r="N4206" i="2"/>
  <c r="O4206" i="2" s="1"/>
  <c r="N4205" i="2"/>
  <c r="O4205" i="2" s="1"/>
  <c r="N4204" i="2"/>
  <c r="O4204" i="2" s="1"/>
  <c r="N4203" i="2"/>
  <c r="O4203" i="2" s="1"/>
  <c r="N4202" i="2"/>
  <c r="O4202" i="2" s="1"/>
  <c r="N4201" i="2"/>
  <c r="O4201" i="2" s="1"/>
  <c r="N4200" i="2"/>
  <c r="O4200" i="2" s="1"/>
  <c r="N4199" i="2"/>
  <c r="O4199" i="2" s="1"/>
  <c r="N4198" i="2"/>
  <c r="O4198" i="2" s="1"/>
  <c r="N4197" i="2"/>
  <c r="O4197" i="2" s="1"/>
  <c r="N4196" i="2"/>
  <c r="O4196" i="2" s="1"/>
  <c r="N4195" i="2"/>
  <c r="O4195" i="2" s="1"/>
  <c r="N4194" i="2"/>
  <c r="O4194" i="2" s="1"/>
  <c r="N4193" i="2"/>
  <c r="O4193" i="2" s="1"/>
  <c r="N4192" i="2"/>
  <c r="O4192" i="2" s="1"/>
  <c r="N4191" i="2"/>
  <c r="O4191" i="2" s="1"/>
  <c r="N4190" i="2"/>
  <c r="O4190" i="2" s="1"/>
  <c r="N4189" i="2"/>
  <c r="O4189" i="2" s="1"/>
  <c r="N4188" i="2"/>
  <c r="O4188" i="2" s="1"/>
  <c r="N4187" i="2"/>
  <c r="O4187" i="2" s="1"/>
  <c r="N4186" i="2"/>
  <c r="O4186" i="2" s="1"/>
  <c r="N4185" i="2"/>
  <c r="O4185" i="2" s="1"/>
  <c r="N4184" i="2"/>
  <c r="O4184" i="2" s="1"/>
  <c r="N4183" i="2"/>
  <c r="O4183" i="2" s="1"/>
  <c r="N4182" i="2"/>
  <c r="O4182" i="2" s="1"/>
  <c r="N4181" i="2"/>
  <c r="O4181" i="2" s="1"/>
  <c r="N4180" i="2"/>
  <c r="O4180" i="2" s="1"/>
  <c r="N4179" i="2"/>
  <c r="O4179" i="2" s="1"/>
  <c r="N4178" i="2"/>
  <c r="O4178" i="2" s="1"/>
  <c r="N4177" i="2"/>
  <c r="O4177" i="2" s="1"/>
  <c r="N4176" i="2"/>
  <c r="O4176" i="2" s="1"/>
  <c r="N4175" i="2"/>
  <c r="O4175" i="2" s="1"/>
  <c r="N4174" i="2"/>
  <c r="O4174" i="2" s="1"/>
  <c r="N4173" i="2"/>
  <c r="O4173" i="2" s="1"/>
  <c r="N4172" i="2"/>
  <c r="O4172" i="2" s="1"/>
  <c r="N4171" i="2"/>
  <c r="O4171" i="2" s="1"/>
  <c r="N4170" i="2"/>
  <c r="O4170" i="2" s="1"/>
  <c r="N4169" i="2"/>
  <c r="O4169" i="2" s="1"/>
  <c r="N4168" i="2"/>
  <c r="O4168" i="2" s="1"/>
  <c r="N4167" i="2"/>
  <c r="O4167" i="2" s="1"/>
  <c r="N4166" i="2"/>
  <c r="O4166" i="2" s="1"/>
  <c r="N4165" i="2"/>
  <c r="O4165" i="2" s="1"/>
  <c r="N4164" i="2"/>
  <c r="O4164" i="2" s="1"/>
  <c r="N4163" i="2"/>
  <c r="O4163" i="2" s="1"/>
  <c r="N4162" i="2"/>
  <c r="O4162" i="2" s="1"/>
  <c r="N4161" i="2"/>
  <c r="O4161" i="2" s="1"/>
  <c r="N4160" i="2"/>
  <c r="O4160" i="2" s="1"/>
  <c r="N4159" i="2"/>
  <c r="O4159" i="2" s="1"/>
  <c r="N4158" i="2"/>
  <c r="O4158" i="2" s="1"/>
  <c r="N4157" i="2"/>
  <c r="O4157" i="2" s="1"/>
  <c r="N4156" i="2"/>
  <c r="O4156" i="2" s="1"/>
  <c r="N4155" i="2"/>
  <c r="O4155" i="2" s="1"/>
  <c r="N4154" i="2"/>
  <c r="O4154" i="2" s="1"/>
  <c r="N4153" i="2"/>
  <c r="O4153" i="2" s="1"/>
  <c r="N4152" i="2"/>
  <c r="O4152" i="2" s="1"/>
  <c r="N4151" i="2"/>
  <c r="O4151" i="2" s="1"/>
  <c r="N4150" i="2"/>
  <c r="O4150" i="2" s="1"/>
  <c r="N4149" i="2"/>
  <c r="O4149" i="2" s="1"/>
  <c r="N4148" i="2"/>
  <c r="O4148" i="2" s="1"/>
  <c r="N4147" i="2"/>
  <c r="O4147" i="2" s="1"/>
  <c r="N4146" i="2"/>
  <c r="O4146" i="2" s="1"/>
  <c r="N4145" i="2"/>
  <c r="O4145" i="2" s="1"/>
  <c r="N4144" i="2"/>
  <c r="O4144" i="2" s="1"/>
  <c r="N4143" i="2"/>
  <c r="O4143" i="2" s="1"/>
  <c r="N4142" i="2"/>
  <c r="O4142" i="2" s="1"/>
  <c r="N4141" i="2"/>
  <c r="O4141" i="2" s="1"/>
  <c r="N4140" i="2"/>
  <c r="O4140" i="2" s="1"/>
  <c r="N4139" i="2"/>
  <c r="O4139" i="2" s="1"/>
  <c r="N4138" i="2"/>
  <c r="O4138" i="2" s="1"/>
  <c r="N4137" i="2"/>
  <c r="O4137" i="2" s="1"/>
  <c r="N4136" i="2"/>
  <c r="O4136" i="2" s="1"/>
  <c r="N4135" i="2"/>
  <c r="O4135" i="2" s="1"/>
  <c r="N4134" i="2"/>
  <c r="O4134" i="2" s="1"/>
  <c r="N4133" i="2"/>
  <c r="O4133" i="2" s="1"/>
  <c r="N4132" i="2"/>
  <c r="O4132" i="2" s="1"/>
  <c r="N4131" i="2"/>
  <c r="O4131" i="2" s="1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<sst xmlns="http://schemas.openxmlformats.org/spreadsheetml/2006/main" count="24327" uniqueCount="3338">
  <si>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</si>
  <si>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</si>
  <si>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</si>
  <si>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</si>
  <si>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</si>
  <si>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</si>
  <si>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</si>
  <si>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</si>
  <si>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</si>
  <si>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</si>
  <si>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</si>
  <si>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</si>
  <si>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</si>
  <si>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</si>
  <si>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</si>
  <si>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</si>
  <si>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</si>
  <si>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</si>
  <si>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</si>
  <si>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</si>
  <si>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</si>
  <si>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</si>
  <si>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</si>
  <si>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</si>
  <si>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</si>
  <si>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</si>
  <si>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</si>
  <si>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</si>
  <si>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</si>
  <si>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</si>
  <si>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</si>
  <si>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</si>
  <si>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</si>
  <si>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</si>
  <si>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</si>
  <si>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</si>
  <si>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</si>
  <si>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</si>
  <si>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</si>
  <si>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</si>
  <si>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</si>
  <si>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</si>
  <si>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</si>
  <si>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</si>
  <si>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</si>
  <si>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</si>
  <si>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</si>
  <si>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</si>
  <si>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</si>
  <si>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</si>
  <si>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</si>
  <si>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</si>
  <si>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</si>
  <si>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</si>
  <si>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</si>
  <si>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</si>
  <si>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</si>
  <si>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</si>
  <si>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</si>
  <si>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</si>
  <si>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</si>
  <si>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</si>
  <si>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</si>
  <si>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</si>
  <si>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</si>
  <si>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</si>
  <si>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</si>
  <si>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</si>
  <si>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</si>
  <si>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</si>
  <si>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</si>
  <si>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</si>
  <si>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</si>
  <si>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</si>
  <si>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</si>
  <si>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</si>
  <si>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</si>
  <si>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</si>
  <si>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</si>
  <si>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</si>
  <si>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</si>
  <si>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</si>
  <si>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</si>
  <si>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</si>
  <si>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</si>
  <si>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</si>
  <si>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</si>
  <si>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</si>
  <si>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</si>
  <si>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</si>
  <si>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</si>
  <si>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</si>
  <si>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</si>
  <si>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</si>
  <si>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</si>
  <si>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</si>
  <si>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</si>
  <si>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</si>
  <si>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</si>
  <si>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</si>
  <si>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</si>
  <si>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</si>
  <si>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</si>
  <si>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</si>
  <si>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</si>
  <si>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</si>
  <si>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</si>
  <si>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</si>
  <si>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</si>
  <si>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</si>
  <si>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</si>
  <si>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</si>
  <si>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</si>
  <si>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</si>
  <si>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</si>
  <si>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</si>
  <si>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</si>
  <si>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</si>
  <si>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</si>
  <si>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</si>
  <si>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</si>
  <si>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</si>
  <si>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</si>
  <si>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</si>
  <si>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</si>
  <si>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</si>
  <si>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</si>
  <si>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</si>
  <si>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</si>
  <si>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</si>
  <si>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</si>
  <si>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</si>
  <si>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</si>
  <si>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</si>
  <si>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</si>
  <si>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</si>
  <si>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</si>
  <si>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</si>
  <si>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</si>
  <si>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</si>
  <si>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</si>
  <si>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</si>
  <si>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</si>
  <si>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</si>
  <si>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</si>
  <si>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</si>
  <si>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</si>
  <si>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</si>
  <si>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</si>
  <si>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</si>
  <si>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</si>
  <si>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</si>
  <si>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</si>
  <si>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</si>
  <si>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</si>
  <si>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</si>
  <si>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</si>
  <si>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</si>
  <si>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</si>
  <si>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</si>
  <si>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</si>
  <si>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</si>
  <si>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</si>
  <si>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</si>
  <si>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</si>
  <si>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</si>
  <si>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</si>
  <si>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</si>
  <si>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</si>
  <si>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</si>
  <si>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</si>
  <si>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</si>
  <si>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</si>
  <si>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</si>
  <si>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</si>
  <si>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</si>
  <si>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</si>
  <si>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</si>
  <si>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</si>
  <si>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</si>
  <si>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</si>
  <si>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</si>
  <si>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</si>
  <si>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</si>
  <si>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</si>
  <si>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</si>
  <si>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</si>
  <si>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</si>
  <si>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</si>
  <si>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</si>
  <si>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</si>
  <si>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</si>
  <si>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</si>
  <si>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</si>
  <si>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</si>
  <si>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</si>
  <si>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</si>
  <si>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</si>
  <si>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</si>
  <si>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</si>
  <si>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</si>
  <si>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</si>
  <si>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</si>
  <si>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</si>
  <si>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</si>
  <si>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</si>
  <si>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</si>
  <si>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</si>
  <si>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</si>
  <si>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</si>
  <si>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</si>
  <si>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</si>
  <si>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</si>
  <si>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</si>
  <si>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</si>
  <si>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</si>
  <si>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</si>
  <si>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</si>
  <si>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</si>
  <si>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</si>
  <si>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</si>
  <si>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</si>
  <si>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</si>
  <si>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</si>
  <si>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</si>
  <si>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</si>
  <si>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</si>
  <si>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</si>
  <si>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</si>
  <si>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</si>
  <si>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</si>
  <si>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</si>
  <si>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</si>
  <si>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</si>
  <si>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</si>
  <si>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</si>
  <si>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</si>
  <si>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</si>
  <si>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</si>
  <si>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</si>
  <si>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</si>
  <si>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</si>
  <si>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</si>
  <si>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</si>
  <si>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</si>
  <si>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</si>
  <si>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</si>
  <si>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</si>
  <si>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</si>
  <si>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</si>
  <si>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</si>
  <si>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</si>
  <si>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</si>
  <si>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</si>
  <si>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</si>
  <si>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</si>
  <si>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</si>
  <si>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</si>
  <si>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</si>
  <si>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</si>
  <si>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</si>
  <si>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</si>
  <si>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</si>
  <si>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</si>
  <si>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</si>
  <si>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</si>
  <si>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</si>
  <si>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</si>
  <si>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</si>
  <si>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</si>
  <si>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</si>
  <si>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</si>
  <si>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</si>
  <si>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</si>
  <si>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</si>
  <si>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</si>
  <si>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</si>
  <si>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</si>
  <si>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</si>
  <si>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</si>
  <si>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</si>
  <si>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</si>
  <si>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</si>
  <si>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</si>
  <si>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</si>
  <si>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</si>
  <si>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</si>
  <si>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</si>
  <si>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</si>
  <si>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</si>
  <si>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</si>
  <si>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</si>
  <si>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</si>
  <si>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</si>
  <si>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</si>
  <si>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</si>
  <si>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</si>
  <si>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</si>
  <si>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</si>
  <si>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</si>
  <si>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</si>
  <si>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</si>
  <si>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</si>
  <si>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</si>
  <si>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</si>
  <si>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</si>
  <si>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</si>
  <si>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</si>
  <si>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</si>
  <si>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</si>
  <si>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</si>
  <si>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</si>
  <si>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</si>
  <si>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</si>
  <si>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</si>
  <si>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</si>
  <si>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</si>
  <si>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</si>
  <si>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</si>
  <si>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</si>
  <si>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</si>
  <si>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</si>
  <si>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</si>
  <si>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</si>
  <si>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</si>
  <si>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</si>
  <si>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</si>
  <si>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</si>
  <si>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</si>
  <si>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</si>
  <si>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</si>
  <si>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</si>
  <si>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</si>
  <si>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</si>
  <si>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</si>
  <si>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</si>
  <si>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</si>
  <si>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</si>
  <si>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</si>
  <si>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</si>
  <si>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</si>
  <si>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</si>
  <si>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</si>
  <si>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</si>
  <si>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</si>
  <si>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</si>
  <si>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</si>
  <si>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</si>
  <si>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</si>
  <si>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</si>
  <si>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</si>
  <si>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</si>
  <si>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</si>
  <si>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</si>
  <si>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</si>
  <si>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</si>
  <si>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</si>
  <si>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</si>
  <si>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</si>
  <si>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</si>
  <si>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</si>
  <si>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</si>
  <si>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</si>
  <si>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</si>
  <si>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</si>
  <si>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</si>
  <si>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</si>
  <si>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</si>
  <si>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</si>
  <si>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</si>
  <si>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</si>
  <si>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</si>
  <si>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</si>
  <si>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</si>
  <si>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</si>
  <si>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</si>
  <si>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</si>
  <si>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</si>
  <si>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</si>
  <si>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</si>
  <si>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</si>
  <si>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</si>
  <si>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</si>
  <si>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</si>
  <si>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</si>
  <si>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</si>
  <si>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</si>
  <si>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</si>
  <si>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</si>
  <si>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</si>
  <si>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</si>
  <si>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</si>
  <si>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</si>
  <si>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</si>
  <si>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</si>
  <si>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</si>
  <si>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</si>
  <si>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</si>
  <si>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</si>
  <si>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</si>
  <si>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</si>
  <si>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</si>
  <si>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</si>
  <si>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</si>
  <si>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</si>
  <si>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</si>
  <si>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</si>
  <si>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</si>
  <si>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</si>
  <si>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</si>
  <si>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</si>
  <si>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</si>
  <si>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</si>
  <si>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</si>
  <si>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</si>
  <si>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</si>
  <si>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</si>
  <si>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</si>
  <si>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</si>
  <si>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</si>
  <si>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</si>
  <si>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</si>
  <si>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</si>
  <si>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</si>
  <si>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</si>
  <si>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</si>
  <si>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</si>
  <si>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</si>
  <si>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</si>
  <si>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</si>
  <si>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</si>
  <si>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</si>
  <si>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</si>
  <si>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</si>
  <si>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</si>
  <si>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</si>
  <si>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</si>
  <si>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</si>
  <si>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</si>
  <si>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</si>
  <si>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</si>
  <si>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</si>
  <si>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</si>
  <si>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</si>
  <si>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</si>
  <si>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</si>
  <si>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</si>
  <si>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</si>
  <si>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</si>
  <si>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</si>
  <si>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</si>
  <si>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</si>
  <si>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</si>
  <si>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</si>
  <si>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</si>
  <si>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</si>
  <si>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</si>
  <si>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</si>
  <si>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</si>
  <si>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</si>
  <si>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</si>
  <si>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</si>
  <si>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</si>
  <si>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</si>
  <si>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</si>
  <si>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</si>
  <si>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</si>
  <si>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</si>
  <si>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</si>
  <si>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</si>
  <si>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</si>
  <si>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</si>
  <si>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</si>
  <si>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</si>
  <si>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</si>
  <si>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</si>
  <si>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</si>
  <si>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</si>
  <si>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</si>
  <si>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</si>
  <si>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</si>
  <si>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</si>
  <si>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</si>
  <si>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</si>
  <si>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</si>
  <si>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</si>
  <si>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</si>
  <si>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</si>
  <si>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</si>
  <si>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</si>
  <si>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</si>
  <si>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</si>
  <si>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</si>
  <si>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</si>
  <si>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</si>
  <si>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</si>
  <si>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</si>
  <si>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</si>
  <si>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</si>
  <si>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</si>
  <si>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</si>
  <si>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</si>
  <si>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</si>
  <si>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</si>
  <si>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</si>
  <si>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</si>
  <si>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</si>
  <si>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</si>
  <si>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</si>
  <si>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</si>
  <si>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</si>
  <si>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</si>
  <si>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</si>
  <si>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</si>
  <si>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</si>
  <si>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</si>
  <si>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</si>
  <si>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</si>
  <si>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</si>
  <si>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</si>
  <si>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</si>
  <si>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</si>
  <si>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</si>
  <si>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</si>
  <si>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</si>
  <si>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</si>
  <si>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</si>
  <si>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</si>
  <si>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</si>
  <si>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</si>
  <si>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</si>
  <si>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</si>
  <si>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</si>
  <si>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</si>
  <si>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</si>
  <si>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</si>
  <si>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</si>
  <si>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</si>
  <si>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</si>
  <si>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</si>
  <si>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</si>
  <si>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</si>
  <si>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</si>
  <si>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</si>
  <si>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</si>
  <si>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</si>
  <si>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</si>
  <si>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</si>
  <si>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</si>
  <si>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</si>
  <si>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</si>
  <si>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</si>
  <si>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</si>
  <si>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</si>
  <si>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</si>
  <si>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</si>
  <si>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</si>
  <si>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</si>
  <si>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</si>
  <si>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</si>
  <si>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</si>
  <si>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</si>
  <si>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</si>
  <si>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</si>
  <si>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</si>
  <si>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</si>
  <si>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</si>
  <si>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</si>
  <si>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</si>
  <si>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</si>
  <si>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</si>
  <si>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</si>
  <si>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</si>
  <si>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</si>
  <si>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</si>
  <si>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</si>
  <si>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</si>
  <si>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</si>
  <si>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</si>
  <si>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</si>
  <si>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</si>
  <si>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</si>
  <si>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</si>
  <si>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</si>
  <si>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</si>
  <si>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</si>
  <si>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</si>
  <si>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</si>
  <si>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</si>
  <si>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</si>
  <si>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</si>
  <si>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</si>
  <si>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</si>
  <si>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</si>
  <si>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</si>
  <si>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</si>
  <si>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</si>
  <si>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</si>
  <si>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</si>
  <si>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</si>
  <si>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</si>
  <si>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</si>
  <si>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</si>
  <si>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</si>
  <si>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</si>
  <si>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</si>
  <si>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</si>
  <si>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</si>
  <si>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</si>
  <si>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</si>
  <si>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</si>
  <si>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</si>
  <si>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</si>
  <si>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</si>
  <si>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</si>
  <si>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</si>
  <si>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</si>
  <si>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</si>
  <si>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</si>
  <si>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</si>
  <si>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</si>
  <si>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</si>
  <si>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</si>
  <si>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</si>
  <si>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</si>
  <si>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</si>
  <si>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</si>
  <si>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</si>
  <si>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</si>
  <si>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</si>
  <si>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</si>
  <si>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</si>
  <si>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</si>
  <si>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</si>
  <si>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</si>
  <si>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</si>
  <si>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</si>
  <si>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</si>
  <si>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</si>
  <si>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</si>
  <si>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</si>
  <si>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</si>
  <si>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</si>
  <si>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</si>
  <si>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</si>
  <si>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</si>
  <si>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</si>
  <si>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</si>
  <si>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</si>
  <si>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</si>
  <si>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</si>
  <si>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</si>
  <si>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</si>
  <si>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</si>
  <si>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</si>
  <si>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</si>
  <si>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</si>
  <si>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</si>
  <si>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</si>
  <si>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</si>
  <si>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</si>
  <si>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</si>
  <si>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</si>
  <si>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</si>
  <si>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</si>
  <si>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</si>
  <si>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</si>
  <si>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</si>
  <si>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</si>
  <si>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</si>
  <si>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</si>
  <si>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</si>
  <si>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</si>
  <si>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</si>
  <si>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</si>
  <si>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</si>
  <si>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</si>
  <si>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</si>
  <si>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</si>
  <si>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</si>
  <si>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</si>
  <si>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</si>
  <si>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</si>
  <si>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</si>
  <si>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</si>
  <si>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</si>
  <si>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</si>
  <si>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</si>
  <si>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</si>
  <si>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</si>
  <si>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</si>
  <si>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</si>
  <si>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</si>
  <si>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</si>
  <si>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</si>
  <si>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</si>
  <si>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</si>
  <si>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</si>
  <si>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</si>
  <si>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</si>
  <si>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</si>
  <si>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</si>
  <si>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</si>
  <si>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</si>
  <si>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</si>
  <si>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</si>
  <si>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</si>
  <si>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</si>
  <si>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</si>
  <si>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</si>
  <si>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</si>
  <si>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</si>
  <si>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</si>
  <si>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</si>
  <si>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</si>
  <si>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</si>
  <si>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</si>
  <si>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</si>
  <si>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</si>
  <si>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</si>
  <si>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</si>
  <si>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</si>
  <si>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</si>
  <si>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</si>
  <si>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</si>
  <si>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</si>
  <si>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</si>
  <si>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</si>
  <si>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</si>
  <si>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</si>
  <si>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</si>
  <si>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</si>
  <si>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</si>
  <si>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</si>
  <si>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</si>
  <si>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</si>
  <si>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</si>
  <si>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</si>
  <si>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</si>
  <si>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</si>
  <si>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</si>
  <si>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</si>
  <si>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</si>
  <si>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</si>
  <si>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</si>
  <si>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</si>
  <si>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</si>
  <si>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</si>
  <si>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</si>
  <si>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</si>
  <si>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</si>
  <si>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</si>
  <si>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</si>
  <si>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</si>
  <si>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</si>
  <si>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</si>
  <si>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</si>
  <si>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</si>
  <si>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</si>
  <si>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</si>
  <si>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</si>
  <si>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</si>
  <si>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</si>
  <si>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</si>
  <si>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</si>
  <si>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</si>
  <si>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</si>
  <si>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</si>
  <si>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</si>
  <si>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</si>
  <si>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</si>
  <si>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</si>
  <si>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</si>
  <si>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</si>
  <si>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</si>
  <si>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</si>
  <si>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</si>
  <si>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</si>
  <si>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</si>
  <si>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</si>
  <si>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</si>
  <si>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</si>
  <si>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</si>
  <si>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</si>
  <si>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</si>
  <si>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</si>
  <si>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</si>
  <si>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</si>
  <si>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</si>
  <si>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</si>
  <si>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</si>
  <si>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</si>
  <si>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</si>
  <si>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</si>
  <si>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</si>
  <si>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</si>
  <si>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</si>
  <si>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</si>
  <si>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</si>
  <si>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</si>
  <si>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</si>
  <si>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</si>
  <si>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</si>
  <si>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</si>
  <si>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</si>
  <si>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</si>
  <si>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</si>
  <si>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</si>
  <si>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</si>
  <si>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</si>
  <si>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</si>
  <si>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</si>
  <si>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</si>
  <si>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</si>
  <si>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</si>
  <si>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</si>
  <si>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</si>
  <si>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</si>
  <si>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</si>
  <si>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</si>
  <si>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</si>
  <si>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</si>
  <si>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</si>
  <si>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</si>
  <si>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</si>
  <si>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</si>
  <si>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</si>
  <si>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</si>
  <si>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</si>
  <si>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</si>
  <si>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</si>
  <si>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</si>
  <si>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</si>
  <si>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</si>
  <si>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</si>
  <si>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</si>
  <si>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</si>
  <si>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</si>
  <si>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</si>
  <si>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</si>
  <si>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</si>
  <si>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</si>
  <si>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</si>
  <si>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</si>
  <si>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</si>
  <si>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</si>
  <si>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</si>
  <si>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</si>
  <si>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</si>
  <si>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</si>
  <si>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</si>
  <si>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</si>
  <si>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</si>
  <si>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</si>
  <si>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</si>
  <si>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</si>
  <si>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</si>
  <si>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</si>
  <si>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</si>
  <si>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</si>
  <si>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</si>
  <si>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</si>
  <si>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</si>
  <si>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</si>
  <si>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</si>
  <si>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</si>
  <si>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</si>
  <si>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</si>
  <si>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</si>
  <si>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</si>
  <si>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</si>
  <si>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</si>
  <si>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</si>
  <si>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</si>
  <si>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</si>
  <si>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</si>
  <si>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</si>
  <si>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</si>
  <si>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</si>
  <si>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</si>
  <si>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</si>
  <si>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</si>
  <si>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</si>
  <si>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</si>
  <si>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</si>
  <si>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</si>
  <si>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</si>
  <si>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</si>
  <si>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</si>
  <si>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</si>
  <si>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</si>
  <si>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</si>
  <si>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</si>
  <si>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</si>
  <si>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</si>
  <si>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</si>
  <si>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</si>
  <si>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</si>
  <si>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</si>
  <si>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</si>
  <si>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</si>
  <si>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</si>
  <si>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</si>
  <si>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</si>
  <si>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</si>
  <si>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</si>
  <si>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</si>
  <si>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</si>
  <si>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</si>
  <si>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</si>
  <si>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</si>
  <si>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</si>
  <si>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</si>
  <si>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</si>
  <si>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</si>
  <si>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</si>
  <si>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</si>
  <si>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</si>
  <si>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</si>
  <si>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</si>
  <si>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</si>
  <si>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</si>
  <si>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</si>
  <si>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</si>
  <si>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</si>
  <si>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</si>
  <si>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</si>
  <si>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</si>
  <si>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</si>
  <si>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</si>
  <si>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</si>
  <si>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</si>
  <si>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</si>
  <si>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</si>
  <si>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</si>
  <si>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</si>
  <si>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</si>
  <si>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</si>
  <si>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</si>
  <si>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</si>
  <si>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</si>
  <si>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</si>
  <si>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</si>
  <si>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</si>
  <si>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</si>
  <si>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</si>
  <si>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</si>
  <si>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</si>
  <si>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</si>
  <si>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</si>
  <si>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</si>
  <si>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</si>
  <si>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</si>
  <si>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</si>
  <si>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</si>
  <si>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</si>
  <si>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</si>
  <si>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</si>
  <si>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</si>
  <si>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</si>
  <si>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</si>
  <si>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</si>
  <si>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</si>
  <si>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</si>
  <si>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</si>
  <si>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</si>
  <si>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</si>
  <si>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</si>
  <si>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</si>
  <si>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</si>
  <si>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</si>
  <si>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</si>
  <si>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</si>
  <si>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</si>
  <si>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</si>
  <si>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</si>
  <si>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</si>
  <si>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</si>
  <si>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</si>
  <si>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</si>
  <si>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</si>
  <si>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</si>
  <si>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</si>
  <si>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</si>
  <si>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</si>
  <si>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</si>
  <si>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</si>
  <si>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</si>
  <si>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</si>
  <si>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</si>
  <si>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</si>
  <si>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</si>
  <si>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</si>
  <si>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</si>
  <si>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</si>
  <si>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</si>
  <si>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</si>
  <si>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</si>
  <si>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</si>
  <si>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</si>
  <si>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</si>
  <si>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</si>
  <si>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</si>
  <si>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</si>
  <si>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</si>
  <si>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</si>
  <si>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</si>
  <si>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</si>
  <si>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</si>
  <si>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</si>
  <si>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</si>
  <si>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</si>
  <si>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</si>
  <si>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</si>
  <si>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</si>
  <si>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</si>
  <si>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</si>
  <si>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</si>
  <si>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</si>
  <si>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</si>
  <si>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</si>
  <si>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</si>
  <si>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</si>
  <si>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</si>
  <si>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</si>
  <si>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</si>
  <si>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</si>
  <si>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</si>
  <si>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</si>
  <si>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</si>
  <si>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</si>
  <si>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</si>
  <si>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</si>
  <si>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</si>
  <si>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</si>
  <si>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</si>
  <si>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</si>
  <si>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</si>
  <si>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</si>
  <si>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</si>
  <si>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</si>
  <si>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</si>
  <si>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</si>
  <si>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</si>
  <si>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</si>
  <si>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</si>
  <si>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</si>
  <si>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</si>
  <si>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</si>
  <si>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</si>
  <si>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</si>
  <si>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</si>
  <si>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</si>
  <si>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</si>
  <si>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</si>
  <si>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</si>
  <si>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</si>
  <si>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</si>
  <si>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</si>
  <si>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</si>
  <si>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</si>
  <si>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</si>
  <si>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</si>
  <si>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</si>
  <si>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</si>
  <si>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</si>
  <si>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</si>
  <si>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</si>
  <si>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</si>
  <si>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</si>
  <si>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</si>
  <si>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</si>
  <si>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</si>
  <si>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</si>
  <si>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</si>
  <si>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</si>
  <si>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</si>
  <si>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</si>
  <si>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</si>
  <si>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</si>
  <si>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</si>
  <si>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</si>
  <si>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</si>
  <si>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</si>
  <si>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</si>
  <si>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</si>
  <si>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</si>
  <si>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</si>
  <si>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</si>
  <si>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</si>
  <si>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</si>
  <si>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</si>
  <si>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</si>
  <si>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</si>
  <si>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</si>
  <si>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</si>
  <si>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</si>
  <si>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</si>
  <si>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</si>
  <si>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</si>
  <si>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</si>
  <si>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</si>
  <si>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</si>
  <si>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</si>
  <si>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</si>
  <si>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</si>
  <si>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</si>
  <si>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</si>
  <si>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</si>
  <si>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</si>
  <si>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</si>
  <si>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</si>
  <si>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</si>
  <si>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</si>
  <si>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</si>
  <si>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</si>
  <si>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</si>
  <si>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</si>
  <si>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</si>
  <si>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</si>
  <si>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</si>
  <si>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</si>
  <si>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</si>
  <si>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</si>
  <si>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</si>
  <si>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</si>
  <si>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</si>
  <si>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</si>
  <si>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</si>
  <si>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</si>
  <si>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</si>
  <si>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</si>
  <si>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</si>
  <si>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</si>
  <si>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</si>
  <si>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</si>
  <si>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</si>
  <si>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</si>
  <si>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</si>
  <si>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</si>
  <si>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</si>
  <si>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</si>
  <si>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</si>
  <si>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</si>
  <si>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</si>
  <si>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</si>
  <si>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</si>
  <si>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</si>
  <si>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</si>
  <si>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</si>
  <si>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</si>
  <si>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</si>
  <si>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</si>
  <si>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</si>
  <si>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</si>
  <si>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</si>
  <si>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</si>
  <si>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</si>
  <si>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</si>
  <si>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</si>
  <si>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</si>
  <si>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</si>
  <si>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</si>
  <si>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</si>
  <si>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</si>
  <si>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</si>
  <si>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</si>
  <si>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</si>
  <si>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</si>
  <si>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</si>
  <si>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</si>
  <si>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</si>
  <si>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</si>
  <si>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</si>
  <si>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</si>
  <si>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</si>
  <si>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</si>
  <si>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</si>
  <si>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</si>
  <si>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</si>
  <si>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</si>
  <si>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</si>
  <si>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</si>
  <si>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</si>
  <si>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</si>
  <si>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</si>
  <si>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</si>
  <si>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</si>
  <si>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</si>
  <si>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</si>
  <si>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</si>
  <si>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</si>
  <si>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</si>
  <si>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</si>
  <si>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</si>
  <si>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</si>
  <si>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</si>
  <si>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</si>
  <si>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</si>
  <si>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</si>
  <si>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</si>
  <si>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</si>
  <si>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</si>
  <si>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</si>
  <si>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</si>
  <si>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</si>
  <si>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</si>
  <si>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</si>
  <si>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</si>
  <si>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</si>
  <si>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</si>
  <si>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</si>
  <si>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</si>
  <si>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</si>
  <si>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</si>
  <si>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</si>
  <si>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</si>
  <si>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</si>
  <si>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</si>
  <si>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</si>
  <si>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</si>
  <si>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</si>
  <si>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</si>
  <si>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</si>
  <si>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</si>
  <si>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</si>
  <si>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</si>
  <si>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</si>
  <si>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</si>
  <si>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</si>
  <si>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</si>
  <si>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</si>
  <si>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</si>
  <si>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</si>
  <si>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</si>
  <si>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</si>
  <si>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</si>
  <si>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</si>
  <si>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</si>
  <si>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</si>
  <si>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</si>
  <si>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</si>
  <si>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</si>
  <si>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</si>
  <si>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</si>
  <si>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</si>
  <si>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</si>
  <si>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</si>
  <si>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</si>
  <si>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</si>
  <si>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</si>
  <si>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</si>
  <si>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</si>
  <si>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</si>
  <si>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</si>
  <si>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</si>
  <si>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</si>
  <si>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</si>
  <si>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</si>
  <si>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</si>
  <si>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</si>
  <si>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</si>
  <si>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</si>
  <si>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</si>
  <si>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</si>
  <si>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</si>
  <si>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</si>
  <si>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</si>
  <si>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</si>
  <si>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</si>
  <si>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</si>
  <si>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</si>
  <si>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</si>
  <si>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</si>
  <si>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</si>
  <si>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</si>
  <si>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</si>
  <si>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</si>
  <si>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</si>
  <si>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</si>
  <si>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</si>
  <si>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</si>
  <si>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</si>
  <si>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</si>
  <si>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</si>
  <si>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</si>
  <si>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</si>
  <si>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</si>
  <si>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</si>
  <si>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</si>
  <si>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</si>
  <si>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</si>
  <si>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</si>
  <si>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</si>
  <si>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</si>
  <si>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</si>
  <si>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</si>
  <si>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</si>
  <si>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</si>
  <si>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</si>
  <si>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</si>
  <si>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</si>
  <si>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</si>
  <si>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</si>
  <si>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</si>
  <si>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</si>
  <si>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</si>
  <si>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</si>
  <si>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</si>
  <si>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</si>
  <si>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</si>
  <si>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</si>
  <si>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</si>
  <si>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</si>
  <si>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</si>
  <si>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</si>
  <si>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</si>
  <si>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</si>
  <si>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</si>
  <si>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</si>
  <si>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</si>
  <si>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</si>
  <si>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</si>
  <si>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</si>
  <si>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</si>
  <si>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</si>
  <si>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</si>
  <si>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</si>
  <si>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</si>
  <si>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</si>
  <si>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</si>
  <si>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</si>
  <si>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</si>
  <si>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</si>
  <si>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</si>
  <si>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</si>
  <si>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</si>
  <si>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</si>
  <si>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</si>
  <si>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</si>
  <si>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</si>
  <si>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</si>
  <si>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</si>
  <si>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</si>
  <si>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</si>
  <si>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</si>
  <si>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</si>
  <si>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</si>
  <si>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</si>
  <si>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</si>
  <si>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</si>
  <si>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</si>
  <si>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</si>
  <si>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</si>
  <si>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</si>
  <si>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</si>
  <si>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</si>
  <si>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</si>
  <si>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</si>
  <si>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</si>
  <si>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</si>
  <si>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</si>
  <si>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</si>
  <si>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</si>
  <si>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</si>
  <si>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</si>
  <si>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</si>
  <si>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</si>
  <si>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</si>
  <si>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</si>
  <si>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</si>
  <si>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</si>
  <si>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</si>
  <si>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</si>
  <si>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</si>
  <si>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</si>
  <si>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</si>
  <si>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</si>
  <si>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</si>
  <si>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</si>
  <si>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</si>
  <si>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</si>
  <si>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</si>
  <si>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</si>
  <si>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</si>
  <si>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</si>
  <si>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</si>
  <si>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</si>
  <si>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</si>
  <si>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</si>
  <si>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</si>
  <si>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</si>
  <si>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</si>
  <si>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</si>
  <si>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</si>
  <si>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</si>
  <si>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</si>
  <si>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</si>
  <si>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</si>
  <si>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</si>
  <si>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</si>
  <si>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</si>
  <si>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</si>
  <si>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</si>
  <si>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</si>
  <si>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</si>
  <si>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</si>
  <si>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</si>
  <si>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</si>
  <si>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</si>
  <si>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</si>
  <si>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</si>
  <si>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</si>
  <si>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</si>
  <si>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</si>
  <si>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</si>
  <si>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</si>
  <si>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</si>
  <si>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</si>
  <si>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</si>
  <si>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</si>
  <si>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</si>
  <si>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</si>
  <si>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</si>
  <si>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</si>
  <si>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</si>
  <si>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</si>
  <si>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</si>
  <si>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</si>
  <si>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</si>
  <si>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</si>
  <si>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</si>
  <si>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</si>
  <si>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</si>
  <si>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</si>
  <si>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</si>
  <si>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</si>
  <si>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</si>
  <si>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</si>
  <si>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</si>
  <si>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</si>
  <si>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</si>
  <si>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</si>
  <si>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</si>
  <si>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</si>
  <si>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</si>
  <si>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</si>
  <si>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</si>
  <si>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</si>
  <si>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</si>
  <si>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</si>
  <si>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</si>
  <si>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</si>
  <si>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</si>
  <si>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</si>
  <si>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</si>
  <si>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</si>
  <si>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</si>
  <si>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</si>
  <si>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</si>
  <si>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</si>
  <si>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</si>
  <si>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</si>
  <si>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</si>
  <si>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</si>
  <si>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</si>
  <si>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</si>
  <si>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</si>
  <si>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</si>
  <si>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</si>
  <si>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</si>
  <si>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</si>
  <si>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</si>
  <si>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</si>
  <si>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</si>
  <si>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</si>
  <si>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</si>
  <si>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</si>
  <si>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</si>
  <si>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</si>
  <si>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</si>
  <si>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</si>
  <si>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</si>
  <si>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</si>
  <si>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</si>
  <si>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</si>
  <si>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</si>
  <si>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</si>
  <si>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</si>
  <si>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</si>
  <si>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</si>
  <si>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</si>
  <si>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</si>
  <si>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</si>
  <si>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</si>
  <si>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</si>
  <si>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</si>
  <si>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</si>
  <si>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</si>
  <si>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</si>
  <si>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</si>
  <si>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</si>
  <si>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</si>
  <si>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</si>
  <si>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</si>
  <si>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</si>
  <si>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</si>
  <si>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</si>
  <si>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</si>
  <si>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</si>
  <si>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</si>
  <si>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</si>
  <si>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</si>
  <si>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</si>
  <si>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</si>
  <si>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</si>
  <si>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</si>
  <si>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</si>
  <si>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</si>
  <si>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</si>
  <si>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</si>
  <si>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</si>
  <si>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</si>
  <si>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</si>
  <si>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</si>
  <si>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</si>
  <si>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</si>
  <si>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</si>
  <si>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</si>
  <si>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</si>
  <si>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</si>
  <si>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</si>
  <si>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</si>
  <si>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</si>
  <si>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</si>
  <si>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</si>
  <si>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</si>
  <si>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</si>
  <si>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</si>
  <si>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</si>
  <si>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</si>
  <si>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</si>
  <si>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</si>
  <si>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</si>
  <si>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</si>
  <si>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</si>
  <si>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</si>
  <si>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</si>
  <si>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</si>
  <si>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</si>
  <si>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</si>
  <si>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</si>
  <si>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</si>
  <si>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</si>
  <si>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</si>
  <si>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</si>
  <si>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</si>
  <si>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</si>
  <si>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</si>
  <si>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</si>
  <si>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</si>
  <si>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</si>
  <si>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</si>
  <si>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</si>
  <si>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</si>
  <si>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</si>
  <si>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</si>
  <si>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</si>
  <si>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</si>
  <si>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</si>
  <si>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</si>
  <si>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</si>
  <si>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</si>
  <si>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</si>
  <si>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</si>
  <si>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</si>
  <si>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</si>
  <si>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</si>
  <si>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</si>
  <si>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</si>
  <si>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</si>
  <si>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</si>
  <si>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</si>
  <si>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</si>
  <si>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</si>
  <si>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</si>
  <si>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</si>
  <si>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</si>
  <si>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</si>
  <si>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</si>
  <si>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</si>
  <si>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</si>
  <si>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</si>
  <si>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</si>
  <si>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</si>
  <si>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</si>
  <si>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</si>
  <si>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</si>
  <si>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</si>
  <si>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</si>
  <si>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</si>
  <si>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</si>
  <si>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</si>
  <si>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</si>
  <si>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</si>
  <si>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</si>
  <si>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</si>
  <si>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</si>
  <si>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</si>
  <si>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</si>
  <si>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</si>
  <si>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</si>
  <si>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</si>
  <si>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</si>
  <si>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</si>
  <si>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</si>
  <si>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</si>
  <si>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</si>
  <si>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</si>
  <si>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</si>
  <si>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</si>
  <si>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</si>
  <si>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</si>
  <si>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</si>
  <si>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</si>
  <si>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</si>
  <si>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</si>
  <si>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</si>
  <si>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</si>
  <si>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</si>
  <si>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</si>
  <si>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</si>
  <si>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</si>
  <si>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</si>
  <si>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</si>
  <si>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</si>
  <si>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</si>
  <si>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</si>
  <si>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</si>
  <si>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</si>
  <si>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</si>
  <si>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</si>
  <si>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</si>
  <si>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</si>
  <si>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</si>
  <si>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</si>
  <si>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</si>
  <si>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</si>
  <si>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</si>
  <si>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</si>
  <si>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</si>
  <si>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</si>
  <si>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</si>
  <si>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</si>
  <si>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</si>
  <si>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</si>
  <si>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</si>
  <si>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</si>
  <si>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</si>
  <si>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</si>
  <si>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</si>
  <si>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</si>
  <si>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</si>
  <si>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</si>
  <si>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</si>
  <si>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</si>
  <si>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</si>
  <si>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</si>
  <si>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</si>
  <si>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</si>
  <si>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</si>
  <si>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</si>
  <si>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</si>
  <si>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</si>
  <si>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</si>
  <si>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</si>
  <si>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</si>
  <si>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</si>
  <si>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</si>
  <si>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</si>
  <si>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</si>
  <si>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</si>
  <si>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</si>
  <si>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</si>
  <si>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</si>
  <si>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</si>
  <si>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</si>
  <si>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</si>
  <si>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</si>
  <si>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</si>
  <si>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</si>
  <si>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</si>
  <si>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</si>
  <si>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</si>
  <si>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</si>
  <si>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</si>
  <si>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</si>
  <si>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</si>
  <si>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</si>
  <si>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</si>
  <si>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</si>
  <si>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</si>
  <si>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</si>
  <si>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</si>
  <si>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</si>
  <si>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</si>
  <si>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</si>
  <si>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</si>
  <si>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</si>
  <si>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</si>
  <si>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</si>
  <si>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</si>
  <si>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</si>
  <si>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</si>
  <si>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</si>
  <si>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</si>
  <si>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</si>
  <si>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</si>
  <si>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</si>
  <si>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</si>
  <si>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</si>
  <si>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</si>
  <si>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</si>
  <si>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</si>
  <si>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</si>
  <si>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</si>
  <si>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</si>
  <si>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</si>
  <si>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</si>
  <si>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</si>
  <si>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</si>
  <si>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</si>
  <si>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</si>
  <si>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</si>
  <si>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</si>
  <si>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</si>
  <si>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</si>
  <si>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</si>
  <si>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</si>
  <si>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</si>
  <si>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</si>
  <si>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</si>
  <si>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</si>
  <si>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</si>
  <si>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</si>
  <si>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</si>
  <si>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</si>
  <si>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</si>
  <si>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</si>
  <si>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</si>
  <si>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</si>
  <si>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</si>
  <si>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</si>
  <si>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</si>
  <si>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</si>
  <si>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</si>
  <si>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</si>
  <si>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</si>
  <si>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</si>
  <si>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</si>
  <si>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</si>
  <si>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</si>
  <si>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</si>
  <si>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</si>
  <si>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</si>
  <si>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</si>
  <si>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</si>
  <si>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</si>
  <si>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</si>
  <si>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</si>
  <si>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</si>
  <si>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</si>
  <si>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</si>
  <si>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</si>
  <si>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</si>
  <si>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</si>
  <si>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</si>
  <si>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</si>
  <si>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</si>
  <si>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</si>
  <si>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</si>
  <si>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</si>
  <si>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</si>
  <si>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</si>
  <si>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</si>
  <si>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</si>
  <si>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</si>
  <si>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</si>
  <si>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</si>
  <si>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</si>
  <si>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</si>
  <si>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</si>
  <si>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</si>
  <si>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</si>
  <si>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</si>
  <si>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</si>
  <si>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</si>
  <si>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</si>
  <si>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</si>
  <si>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</si>
  <si>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</si>
  <si>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</si>
  <si>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</si>
  <si>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</si>
  <si>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</si>
  <si>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</si>
  <si>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</si>
  <si>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</si>
  <si>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</si>
  <si>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</si>
  <si>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</si>
  <si>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</si>
  <si>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</si>
  <si>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</si>
  <si>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</si>
  <si>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</si>
  <si>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</si>
  <si>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</si>
  <si>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</si>
  <si>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</si>
  <si>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</si>
  <si>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</si>
  <si>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</si>
  <si>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</si>
  <si>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</si>
  <si>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</si>
  <si>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</si>
  <si>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</si>
  <si>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</si>
  <si>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</si>
  <si>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</si>
  <si>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</si>
  <si>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</si>
  <si>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</si>
  <si>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</si>
  <si>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</si>
  <si>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</si>
  <si>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</si>
  <si>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</si>
  <si>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</si>
  <si>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</si>
  <si>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</si>
  <si>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</si>
  <si>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</si>
  <si>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</si>
  <si>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</si>
  <si>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</si>
  <si>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</si>
  <si>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</si>
  <si>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</si>
  <si>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</si>
  <si>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</si>
  <si>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</si>
  <si>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</si>
  <si>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</si>
  <si>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</si>
  <si>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</si>
  <si>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</si>
  <si>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</si>
  <si>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</si>
  <si>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</si>
  <si>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</si>
  <si>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</si>
  <si>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</si>
  <si>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</si>
  <si>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</si>
  <si>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</si>
  <si>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</si>
  <si>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</si>
  <si>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</si>
  <si>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</si>
  <si>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</si>
  <si>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</si>
  <si>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</si>
  <si>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</si>
  <si>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</si>
  <si>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</si>
  <si>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</si>
  <si>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</si>
  <si>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</si>
  <si>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</si>
  <si>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</si>
  <si>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</si>
  <si>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</si>
  <si>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</si>
  <si>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</si>
  <si>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</si>
  <si>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</si>
  <si>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</si>
  <si>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</si>
  <si>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</si>
  <si>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</si>
  <si>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</si>
  <si>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</si>
  <si>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</si>
  <si>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</si>
  <si>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</si>
  <si>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</si>
  <si>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</si>
  <si>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</si>
  <si>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</si>
  <si>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</si>
  <si>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</si>
  <si>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</si>
  <si>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</si>
  <si>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</si>
  <si>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</si>
  <si>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</si>
  <si>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</si>
  <si>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</si>
  <si>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</si>
  <si>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</si>
  <si>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</si>
  <si>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</si>
  <si>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</si>
  <si>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</si>
  <si>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</si>
  <si>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</si>
  <si>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</si>
  <si>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</si>
  <si>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</si>
  <si>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</si>
  <si>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</si>
  <si>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</si>
  <si>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</si>
  <si>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</si>
  <si>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</si>
  <si>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</si>
  <si>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</si>
  <si>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</si>
  <si>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</si>
  <si>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</si>
  <si>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</si>
  <si>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</si>
  <si>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</si>
  <si>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</si>
  <si>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</si>
  <si>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</si>
  <si>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</si>
  <si>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</si>
  <si>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</si>
  <si>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</si>
  <si>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</si>
  <si>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</si>
  <si>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</si>
  <si>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</si>
  <si>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</si>
  <si>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</si>
  <si>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</si>
  <si>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</si>
  <si>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</si>
  <si>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</si>
  <si>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</si>
  <si>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</si>
  <si>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</si>
  <si>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</si>
  <si>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</si>
  <si>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</si>
  <si>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</si>
  <si>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</si>
  <si>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</si>
  <si>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</si>
  <si>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</si>
  <si>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</si>
  <si>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</si>
  <si>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</si>
  <si>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</si>
  <si>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</si>
  <si>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</si>
  <si>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</si>
  <si>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</si>
  <si>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</si>
  <si>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</si>
  <si>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</si>
  <si>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</si>
  <si>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</si>
  <si>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</si>
  <si>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</si>
  <si>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</si>
  <si>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</si>
  <si>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</si>
  <si>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</si>
  <si>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</si>
  <si>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</si>
  <si>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</si>
  <si>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</si>
  <si>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</si>
  <si>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</si>
  <si>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</si>
  <si>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</si>
  <si>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</si>
  <si>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</si>
  <si>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</si>
  <si>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</si>
  <si>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</si>
  <si>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</si>
  <si>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</si>
  <si>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</si>
  <si>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</si>
  <si>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</si>
  <si>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</si>
  <si>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</si>
  <si>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</si>
  <si>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</si>
  <si>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</si>
  <si>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</si>
  <si>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</si>
  <si>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</si>
  <si>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</si>
  <si>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</si>
  <si>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</si>
  <si>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</si>
  <si>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</si>
  <si>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</si>
  <si>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</si>
  <si>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</si>
  <si>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</si>
  <si>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</si>
  <si>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</si>
  <si>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</si>
  <si>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</si>
  <si>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</si>
  <si>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</si>
  <si>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</si>
  <si>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</si>
  <si>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</si>
  <si>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</si>
  <si>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</si>
  <si>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</si>
  <si>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</si>
  <si>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</si>
  <si>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</si>
  <si>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</si>
  <si>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</si>
  <si>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</si>
  <si>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</si>
  <si>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</si>
  <si>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</si>
  <si>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</si>
  <si>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</si>
  <si>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</si>
  <si>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</si>
  <si>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</si>
  <si>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</si>
  <si>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</si>
  <si>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</si>
  <si>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</si>
  <si>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</si>
  <si>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</si>
  <si>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</si>
  <si>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</si>
  <si>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</si>
  <si>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</si>
  <si>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</si>
  <si>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</si>
  <si>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</si>
  <si>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</si>
  <si>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</si>
  <si>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</si>
  <si>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</si>
  <si>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</si>
  <si>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</si>
  <si>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</si>
  <si>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</si>
  <si>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</si>
  <si>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</si>
  <si>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</si>
  <si>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</si>
  <si>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</si>
  <si>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</si>
  <si>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</si>
  <si>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</si>
  <si>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</si>
  <si>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</si>
  <si>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</si>
  <si>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</si>
  <si>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</si>
  <si>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</si>
  <si>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</si>
  <si>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</si>
  <si>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</si>
  <si>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</si>
  <si>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</si>
  <si>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</si>
  <si>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</si>
  <si>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</si>
  <si>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</si>
  <si>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</si>
  <si>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</si>
  <si>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</si>
  <si>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</si>
  <si>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</si>
  <si>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</si>
  <si>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</si>
  <si>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</si>
  <si>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</si>
  <si>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</si>
  <si>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</si>
  <si>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</si>
  <si>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</si>
  <si>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</si>
  <si>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</si>
  <si>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</si>
  <si>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</si>
  <si>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</si>
  <si>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</si>
  <si>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</si>
  <si>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</si>
  <si>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</si>
  <si>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</si>
  <si>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</si>
  <si>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</si>
  <si>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</si>
  <si>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</si>
  <si>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</si>
  <si>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</si>
  <si>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</si>
  <si>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</si>
  <si>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</si>
  <si>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</si>
  <si>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</si>
  <si>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</si>
  <si>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</si>
  <si>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</si>
  <si>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</si>
  <si>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</si>
  <si>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</si>
  <si>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</si>
  <si>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</si>
  <si>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</si>
  <si>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</si>
  <si>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</si>
  <si>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</si>
  <si>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</si>
  <si>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</si>
  <si>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</si>
  <si>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</si>
  <si>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</si>
  <si>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</si>
  <si>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</si>
  <si>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</si>
  <si>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</si>
  <si>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</si>
  <si>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</si>
  <si>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</si>
  <si>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</si>
  <si>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</si>
  <si>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</si>
  <si>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</si>
  <si>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</si>
  <si>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</si>
  <si>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</si>
  <si>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</si>
  <si>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</si>
  <si>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</si>
  <si>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</si>
  <si>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</si>
  <si>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</si>
  <si>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</si>
  <si>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</si>
  <si>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</si>
  <si>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</si>
  <si>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</si>
  <si>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</si>
  <si>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</si>
  <si>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</si>
  <si>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</si>
  <si>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</si>
  <si>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</si>
  <si>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</si>
  <si>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</si>
  <si>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</si>
  <si>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</si>
  <si>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</si>
  <si>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</si>
  <si>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</si>
  <si>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</si>
  <si>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</si>
  <si>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</si>
  <si>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</si>
  <si>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</si>
  <si>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</si>
  <si>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</si>
  <si>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</si>
  <si>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</si>
  <si>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</si>
  <si>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</si>
  <si>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</si>
  <si>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</si>
  <si>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</si>
  <si>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</si>
  <si>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</si>
  <si>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</si>
  <si>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</si>
  <si>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</si>
  <si>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</si>
  <si>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</si>
  <si>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</si>
  <si>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</si>
  <si>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</si>
  <si>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</si>
  <si>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</si>
  <si>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</si>
  <si>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</si>
  <si>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</si>
  <si>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</si>
  <si>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</si>
  <si>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</si>
  <si>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</si>
  <si>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</si>
  <si>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</si>
  <si>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</si>
  <si>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</si>
  <si>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</si>
  <si>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</si>
  <si>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</si>
  <si>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</si>
  <si>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</si>
  <si>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</si>
  <si>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</si>
  <si>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</si>
  <si>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</si>
  <si>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</si>
  <si>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</si>
  <si>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</si>
  <si>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</si>
  <si>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</si>
  <si>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</si>
  <si>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</si>
  <si>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</si>
  <si>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</si>
  <si>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</si>
  <si>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</si>
  <si>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</si>
  <si>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</si>
  <si>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</si>
  <si>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</si>
  <si>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</si>
  <si>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</si>
  <si>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</si>
  <si>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</si>
  <si>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</si>
  <si>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</si>
  <si>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</si>
  <si>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</si>
  <si>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</si>
  <si>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</si>
  <si>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</si>
  <si>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</si>
  <si>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</si>
  <si>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</si>
  <si>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</si>
  <si>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</si>
  <si>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</si>
  <si>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</si>
  <si>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</si>
  <si>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</si>
  <si>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</si>
  <si>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</si>
  <si>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</si>
  <si>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</si>
  <si>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</si>
  <si>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</si>
  <si>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</si>
  <si>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</si>
  <si>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</si>
  <si>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</si>
  <si>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</si>
  <si>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</si>
  <si>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</si>
  <si>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</si>
  <si>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</si>
  <si>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</si>
  <si>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</si>
  <si>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</si>
  <si>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</si>
  <si>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</si>
  <si>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</si>
  <si>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</si>
  <si>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</si>
  <si>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</si>
  <si>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</si>
  <si>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</si>
  <si>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</si>
  <si>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</si>
  <si>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</si>
  <si>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</si>
  <si>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</si>
  <si>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</si>
  <si>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</si>
  <si>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</si>
  <si>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</si>
  <si>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</si>
  <si>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</si>
  <si>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</si>
  <si>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</si>
  <si>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</si>
  <si>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</si>
  <si>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</si>
  <si>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</si>
  <si>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</si>
  <si>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</si>
  <si>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</si>
  <si>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</si>
  <si>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</si>
  <si>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</si>
  <si>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</si>
  <si>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</si>
  <si>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</si>
  <si>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</si>
  <si>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</si>
  <si>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</si>
  <si>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</si>
  <si>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</si>
  <si>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</si>
  <si>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</si>
  <si>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</si>
  <si>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</si>
  <si>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</si>
  <si>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</si>
  <si>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</si>
  <si>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</si>
  <si>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</si>
  <si>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</si>
  <si>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</si>
  <si>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</si>
  <si>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</si>
  <si>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</si>
  <si>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</si>
  <si>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</si>
  <si>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</si>
  <si>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</si>
  <si>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</si>
  <si>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</si>
  <si>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</si>
  <si>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</si>
  <si>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</si>
  <si>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</si>
  <si>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</si>
  <si>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</si>
  <si>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</si>
  <si>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</si>
  <si>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</si>
  <si>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</si>
  <si>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</si>
  <si>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</si>
  <si>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</si>
  <si>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</si>
  <si>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</si>
  <si>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</si>
  <si>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</si>
  <si>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</si>
  <si>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</si>
  <si>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</si>
  <si>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</si>
  <si>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</si>
  <si>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</si>
  <si>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</si>
  <si>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</si>
  <si>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</si>
  <si>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</si>
  <si>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</si>
  <si>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</si>
  <si>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</si>
  <si>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</si>
  <si>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</si>
  <si>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</si>
  <si>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</si>
  <si>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</si>
  <si>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</si>
  <si>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</si>
  <si>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</si>
  <si>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</si>
  <si>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</si>
  <si>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</si>
  <si>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</si>
  <si>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</si>
  <si>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</si>
  <si>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</si>
  <si>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</si>
  <si>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</si>
  <si>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</si>
  <si>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</si>
  <si>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</si>
  <si>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</si>
  <si>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</si>
  <si>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</si>
  <si>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</si>
  <si>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</si>
  <si>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</si>
  <si>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</si>
  <si>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</si>
  <si>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</si>
  <si>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</si>
  <si>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</si>
  <si>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</si>
  <si>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</si>
  <si>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</si>
  <si>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</si>
  <si>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</si>
  <si>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</si>
  <si>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</si>
  <si>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</si>
  <si>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</si>
  <si>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</si>
  <si>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</si>
  <si>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</si>
  <si>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</si>
  <si>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</si>
  <si>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</si>
  <si>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</si>
  <si>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</si>
  <si>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</si>
  <si>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</si>
  <si>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</si>
  <si>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</si>
  <si>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</si>
  <si>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</si>
  <si>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</si>
  <si>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</si>
  <si>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</si>
  <si>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</si>
  <si>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</si>
  <si>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</si>
  <si>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</si>
  <si>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</si>
  <si>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</si>
  <si>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</si>
  <si>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</si>
  <si>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</si>
  <si>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</si>
  <si>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</si>
  <si>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</si>
  <si>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</si>
  <si>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</si>
  <si>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</si>
  <si>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</si>
  <si>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</si>
  <si>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</si>
  <si>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</si>
  <si>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</si>
  <si>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</si>
  <si>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</si>
  <si>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</si>
  <si>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</si>
  <si>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</si>
  <si>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</si>
  <si>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</si>
  <si>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</si>
  <si>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</si>
  <si>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</si>
  <si>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</si>
  <si>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</si>
  <si>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</si>
  <si>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</si>
  <si>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</si>
  <si>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</si>
  <si>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</si>
  <si>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</si>
  <si>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</si>
  <si>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</si>
  <si>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</si>
  <si>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</si>
  <si>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</si>
  <si>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</si>
  <si>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</si>
  <si>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</si>
  <si>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</si>
  <si>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</si>
  <si>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</si>
  <si>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</si>
  <si>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</si>
  <si>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</si>
  <si>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</si>
  <si>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</si>
  <si>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</si>
  <si>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</si>
  <si>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</si>
  <si>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</si>
  <si>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</si>
  <si>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</si>
  <si>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</si>
  <si>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</si>
  <si>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</si>
  <si>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</si>
  <si>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</si>
  <si>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</si>
  <si>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</si>
  <si>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</si>
  <si>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</si>
  <si>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</si>
  <si>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</si>
  <si>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</si>
  <si>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</si>
  <si>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</si>
  <si>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</si>
  <si>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</si>
  <si>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</si>
  <si>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</si>
  <si>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</si>
  <si>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</si>
  <si>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</si>
  <si>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</si>
  <si>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</si>
  <si>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</si>
  <si>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</si>
  <si>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</si>
  <si>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</si>
  <si>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</si>
  <si>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</si>
  <si>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</si>
  <si>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</si>
  <si>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</si>
  <si>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</si>
  <si>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</si>
  <si>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</si>
  <si>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</si>
  <si>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</si>
  <si>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</si>
  <si>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</si>
  <si>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</si>
  <si>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</si>
  <si>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</si>
  <si>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</si>
  <si>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</si>
  <si>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</si>
  <si>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</si>
  <si>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</si>
  <si>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</si>
  <si>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</si>
  <si>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</si>
  <si>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</si>
  <si>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</si>
  <si>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</si>
  <si>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</si>
  <si>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</si>
  <si>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</si>
  <si>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</si>
  <si>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</si>
  <si>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</si>
  <si>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</si>
  <si>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</si>
  <si>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</si>
  <si>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</si>
  <si>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</si>
  <si>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</si>
  <si>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</si>
  <si>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</si>
  <si>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</si>
  <si>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</si>
  <si>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</si>
  <si>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</si>
  <si>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</si>
  <si>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</si>
  <si>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</si>
  <si>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</si>
  <si>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</si>
  <si>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</si>
  <si>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</si>
  <si>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</si>
  <si>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</si>
  <si>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</si>
  <si>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</si>
  <si>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</si>
  <si>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</si>
  <si>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</si>
  <si>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</si>
  <si>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</si>
  <si>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</si>
  <si>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</si>
  <si>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</si>
  <si>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</si>
  <si>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</si>
  <si>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</si>
  <si>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</si>
  <si>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</si>
  <si>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</si>
  <si>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</si>
  <si>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</si>
  <si>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</si>
  <si>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</si>
  <si>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</si>
  <si>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</si>
  <si>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</si>
  <si>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</si>
  <si>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</si>
  <si>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</si>
  <si>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</si>
  <si>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</si>
  <si>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</si>
  <si>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</si>
  <si>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</si>
  <si>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</si>
  <si>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</si>
  <si>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</si>
  <si>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</si>
  <si>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</si>
  <si>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</si>
  <si>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</si>
  <si>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</si>
  <si>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</si>
  <si>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</si>
  <si>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</si>
  <si>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</si>
  <si>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</si>
  <si>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</si>
  <si>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</si>
  <si>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</si>
  <si>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</si>
  <si>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</si>
  <si>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</si>
  <si>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</si>
  <si>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</si>
  <si>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</si>
  <si>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</si>
  <si>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</si>
  <si>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</si>
  <si>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</si>
  <si>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</si>
  <si>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</si>
  <si>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</si>
  <si>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</si>
  <si>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</si>
  <si>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</si>
  <si>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</si>
  <si>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</si>
  <si>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</si>
  <si>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</si>
  <si>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</si>
  <si>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</si>
  <si>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</si>
  <si>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</si>
  <si>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</si>
  <si>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</si>
  <si>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</si>
  <si>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</si>
  <si>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</si>
  <si>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</si>
  <si>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</si>
  <si>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</si>
  <si>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</si>
  <si>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</si>
  <si>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</si>
  <si>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</si>
  <si>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</si>
  <si>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</si>
  <si>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</si>
  <si>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</si>
  <si>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</si>
  <si>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</si>
  <si>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</si>
  <si>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</si>
  <si>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</si>
  <si>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</si>
  <si>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</si>
  <si>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</si>
  <si>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</si>
  <si>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</si>
  <si>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</si>
  <si>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</si>
  <si>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</si>
  <si>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</si>
  <si>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</si>
  <si>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</si>
  <si>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</si>
  <si>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</si>
  <si>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</si>
  <si>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</si>
  <si>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</si>
  <si>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</si>
  <si>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</si>
  <si>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</si>
  <si>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</si>
  <si>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</si>
  <si>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</si>
  <si>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</si>
  <si>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</si>
  <si>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</si>
  <si>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</si>
  <si>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</si>
  <si>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</si>
  <si>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</si>
  <si>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</si>
  <si>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</si>
  <si>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</si>
  <si>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</si>
  <si>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</si>
  <si>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</si>
  <si>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</si>
  <si>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</si>
  <si>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</si>
  <si>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</si>
  <si>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</si>
  <si>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</si>
  <si>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</si>
  <si>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</si>
  <si>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</si>
  <si>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</si>
  <si>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</si>
  <si>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</si>
  <si>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</si>
  <si>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</si>
  <si>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</si>
  <si>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</si>
  <si>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</si>
  <si>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</si>
  <si>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</si>
  <si>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</si>
  <si>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</si>
  <si>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</si>
  <si>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</si>
  <si>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</si>
  <si>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</si>
  <si>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</si>
  <si>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</si>
  <si>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</si>
  <si>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</si>
  <si>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</si>
  <si>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</si>
  <si>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</si>
  <si>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</si>
  <si>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</si>
  <si>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</si>
  <si>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</si>
  <si>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</si>
  <si>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</si>
  <si>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</si>
  <si>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</si>
  <si>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</si>
  <si>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</si>
  <si>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</si>
  <si>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</si>
  <si>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</si>
  <si>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</si>
  <si>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</si>
  <si>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</si>
  <si>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</si>
  <si>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</si>
  <si>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</si>
  <si>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</si>
  <si>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</si>
  <si>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</si>
  <si>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</si>
  <si>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</si>
  <si>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</si>
  <si>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</si>
  <si>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</si>
  <si>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</si>
  <si>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</si>
  <si>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</si>
  <si>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</si>
  <si>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</si>
  <si>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</si>
  <si>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</si>
  <si>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</si>
  <si>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</si>
  <si>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</si>
  <si>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</si>
  <si>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</si>
  <si>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</si>
  <si>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</si>
  <si>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</si>
  <si>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</si>
  <si>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</si>
  <si>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</si>
  <si>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</si>
  <si>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</si>
  <si>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</si>
  <si>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</si>
  <si>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</si>
  <si>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</si>
  <si>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</si>
  <si>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</si>
  <si>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</si>
  <si>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</si>
  <si>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</si>
  <si>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</si>
  <si>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</si>
  <si>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</si>
  <si>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</si>
  <si>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</si>
  <si>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</si>
  <si>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</si>
  <si>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</si>
  <si>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</si>
  <si>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</si>
  <si>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</si>
  <si>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</si>
  <si>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</si>
  <si>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</si>
  <si>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</si>
  <si>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</si>
  <si>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</si>
  <si>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</si>
  <si>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</si>
  <si>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</si>
  <si>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</si>
  <si>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</si>
  <si>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</si>
  <si>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</si>
  <si>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</si>
  <si>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</si>
  <si>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</si>
  <si>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</si>
  <si>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</si>
  <si>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</si>
  <si>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</si>
  <si>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</si>
  <si>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</si>
  <si>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</si>
  <si>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</si>
  <si>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</si>
  <si>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</si>
  <si>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</si>
  <si>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</si>
  <si>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</si>
  <si>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</si>
  <si>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</si>
  <si>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</si>
  <si>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</si>
  <si>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</si>
  <si>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</si>
  <si>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</si>
  <si>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</si>
  <si>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</si>
  <si>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</si>
  <si>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</si>
  <si>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</si>
  <si>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</si>
  <si>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</si>
  <si>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</si>
  <si>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</si>
  <si>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</si>
  <si>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</si>
  <si>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</si>
  <si>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</si>
  <si>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</si>
  <si>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</si>
  <si>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</si>
  <si>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</si>
  <si>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</si>
  <si>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</si>
  <si>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</si>
  <si>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</si>
  <si>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</si>
  <si>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</si>
  <si>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</si>
  <si>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</si>
  <si>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</si>
  <si>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</si>
  <si>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</si>
  <si>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</si>
  <si>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</si>
  <si>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</si>
  <si>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</si>
  <si>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</si>
  <si>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</si>
  <si>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</si>
  <si>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</si>
  <si>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</si>
  <si>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</si>
  <si>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</si>
  <si>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</si>
  <si>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</si>
  <si>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</si>
  <si>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</si>
  <si>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</si>
  <si>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</si>
  <si>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</si>
  <si>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</si>
  <si>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</si>
  <si>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</si>
  <si>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</si>
  <si>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</si>
  <si>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</si>
  <si>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</si>
  <si>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</si>
  <si>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</si>
  <si>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</si>
  <si>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</si>
  <si>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</si>
  <si>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</si>
  <si>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</si>
  <si>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</si>
  <si>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</si>
  <si>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</si>
  <si>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</si>
  <si>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</si>
  <si>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</si>
  <si>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</si>
  <si>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</si>
  <si>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</si>
  <si>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</si>
  <si>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</si>
  <si>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</si>
  <si>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</si>
  <si>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</si>
  <si>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</si>
  <si>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</si>
  <si>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</si>
  <si>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</si>
  <si>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</si>
  <si>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</si>
  <si>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</si>
  <si>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</si>
  <si>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</si>
  <si>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</si>
  <si>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</si>
  <si>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</si>
  <si>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</si>
  <si>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</si>
  <si>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</si>
  <si>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</si>
  <si>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</si>
  <si>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</si>
  <si>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</si>
  <si>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</si>
  <si>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</si>
  <si>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</si>
  <si>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</si>
  <si>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</si>
  <si>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</si>
  <si>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</si>
  <si>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</si>
  <si>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</si>
  <si>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</si>
  <si>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</si>
  <si>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</si>
  <si>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</si>
  <si>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</si>
  <si>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</si>
  <si>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</si>
  <si>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</si>
  <si>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</si>
  <si>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</si>
  <si>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</si>
  <si>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</si>
  <si>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</si>
  <si>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</si>
  <si>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</si>
  <si>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</si>
  <si>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</si>
  <si>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</si>
  <si>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</si>
  <si>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</si>
  <si>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</si>
  <si>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</si>
  <si>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</si>
  <si>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</si>
  <si>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</si>
  <si>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</si>
  <si>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</si>
  <si>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</si>
  <si>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</si>
  <si>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</si>
  <si>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</si>
  <si>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</si>
  <si>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</si>
  <si>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</si>
  <si>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</si>
  <si>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</si>
  <si>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</si>
  <si>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</si>
  <si>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</si>
  <si>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</si>
  <si>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</si>
  <si>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</si>
  <si>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</si>
  <si>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</si>
  <si>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</si>
  <si>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</si>
  <si>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</si>
  <si>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</si>
  <si>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</si>
  <si>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</si>
  <si>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</si>
  <si>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</si>
  <si>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</si>
  <si>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</si>
  <si>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</si>
  <si>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</si>
  <si>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</si>
  <si>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</si>
  <si>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</si>
  <si>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</si>
  <si>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</si>
  <si>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</si>
  <si>
    <t>「マネバ」株式投資スクール(12分割)【P】　6回目/12分割</t>
  </si>
  <si>
    <t>「マネバ」株式投資スクール（新）　11回目/12分割</t>
  </si>
  <si>
    <t>「マネバ」株式投資スクール【K】(12分割)</t>
  </si>
  <si>
    <t>「マネバ」株式投資スクール　継続コース(半年一括) 定期課金用　11～4月分　※分割記載11月分</t>
    <phoneticPr fontId="3"/>
  </si>
  <si>
    <t>「マネバ」株式投資スクール　継続コース(半年一括) 定期課金用　11～4月分　※分割記載12月分</t>
  </si>
  <si>
    <t>「マネバ」株式投資スクール　継続コース(半年一括) 定期課金用　11～4月分　※分割記載1月分</t>
    <phoneticPr fontId="3"/>
  </si>
  <si>
    <t>「マネバ」株式投資スクール　継続コース(半年一括) 定期課金用　11～4月分　※分割記載2月分</t>
  </si>
  <si>
    <t>「マネバ」株式投資スクール　継続コース(半年一括) 定期課金用　11～4月分　※分割記載3月分</t>
  </si>
  <si>
    <t>「マネバ」株式投資スクール　継続コース(半年一括) 定期課金用　11～4月分　※分割記載4月分</t>
  </si>
  <si>
    <t>「マネバ」株式投資スクール　継続コース（定期課金用）11月分</t>
  </si>
  <si>
    <t>トレンドサイン継続利用プラン（継続課金用）11月分</t>
  </si>
  <si>
    <t>CLEAR TRADEブートキャンプVol.17　5回目/6分割</t>
  </si>
  <si>
    <t>CLEAR TRADEブートキャンプVol.17 プライム　5回目/6分割</t>
  </si>
  <si>
    <t>ブートキャンプvol.17プライム（MP）　6回目/6分割</t>
  </si>
  <si>
    <t>リブーストキャンプvol.17プライム　5回目/6分割</t>
  </si>
  <si>
    <t>CLEAR TRADEエッセンシャルマスタープログラム（決済エラー用）11月分</t>
  </si>
  <si>
    <t>CLEAR TRADEエッセンシャルマスタープログラム（定期課金用）11月分</t>
  </si>
  <si>
    <t>CLEAR TRADEエッセンシャルマスタープログラム11月分</t>
  </si>
  <si>
    <t>PEAK FINDER -ONE-11月分</t>
  </si>
  <si>
    <t>PEAKFINDER -ONE-（定期課金用）11月分</t>
  </si>
  <si>
    <t>Mr.K来日講演イベント（二次募集）</t>
  </si>
  <si>
    <t>THE 筋トレーダーズ！（スタンダード）　4回目/5分割</t>
  </si>
  <si>
    <t>CLEARTRADEコミュニティ（3ヶ月）クレジットカード用　11～1月分　※分割記載12月分</t>
  </si>
  <si>
    <t>CLEARTRADEコミュニティ（3ヶ月プラン）クレジットカード決済用　11～1月分　※分割記載12月分</t>
  </si>
  <si>
    <t>CLEARTRADEコミュニティ（6ヶ月）クレジットカード用　11～4月分　※分割記載12月分</t>
  </si>
  <si>
    <t>CLEARTRADEコミュニティ（6ヶ月）クレジットカード用　11～4月分　※分割記載2月分</t>
  </si>
  <si>
    <t>CLEARTRADEコミュニティ（6ヶ月）クレジットカード用　11～4月分　※分割記載3月分</t>
  </si>
  <si>
    <t>CLEARTRADEコミュニティ（6ヶ月）クレジットカード用　11～4月分　※分割記載4月分</t>
  </si>
  <si>
    <t>CLEARTRADEコミュニティ（6ヶ月プラン）決済エラー用　10～3月分　※分割記載10月分</t>
    <phoneticPr fontId="3"/>
  </si>
  <si>
    <t>CLEARTRADEコミュニティ（6ヶ月プラン）決済エラー用　10～3月分　※分割記載11月分</t>
  </si>
  <si>
    <t>CLEARTRADEコミュニティ（6ヶ月プラン）決済エラー用　10～3月分　※分割記載12月分</t>
  </si>
  <si>
    <t>CLEARTRADEコミュニティ（6ヶ月プラン）決済エラー用　10～3月分　※分割記載1月分</t>
    <phoneticPr fontId="3"/>
  </si>
  <si>
    <t>CLEARTRADEコミュニティ（6ヶ月プラン）決済エラー用　10～3月分　※分割記載2月分</t>
  </si>
  <si>
    <t>CLEARTRADEコミュニティ（6ヶ月プラン）決済エラー用　10～3月分　※分割記載3月分</t>
  </si>
  <si>
    <t>CLEARTRADEコミュニティ（6ヶ月プラン）決済エラー用　11～4月分　※分割記載12月分</t>
  </si>
  <si>
    <t>CLEARTRADEコミュニティ（6ヶ月プラン）決済エラー用　11～4月分　※分割記載2月分</t>
  </si>
  <si>
    <t>CLEARTRADEコミュニティ（6ヶ月プラン）決済エラー用　11～4月分　※分割記載3月分</t>
  </si>
  <si>
    <t>CLEARTRADEコミュニティ（6ヶ月プラン）決済エラー用　11～4月分　※分割記載4月分</t>
  </si>
  <si>
    <t>CLEAR TRADEコミュニティ Apexコース 月次プラン（定期課金用）11月分</t>
  </si>
  <si>
    <t>CLEAR TRADEコミュニティApexコース　月次プラン11月分</t>
  </si>
  <si>
    <t>CLEARTRADEコミュニテイ 【ライトコース】課金用11月分</t>
  </si>
  <si>
    <t>CLEARTRADEコミュニティ（決済エラー用）11月分</t>
  </si>
  <si>
    <t>CLEARTRADEコミュニティ11月分</t>
  </si>
  <si>
    <t>奥村尚の金融リテラシー向上委員会(モニター価格)（継続課金）11月分</t>
  </si>
  <si>
    <t>エアポケット配信　懇親会参加費</t>
  </si>
  <si>
    <t>「マネバ」株式投資スクール【K】</t>
  </si>
  <si>
    <t>「マネバ」株式投資スクール　継続コース(半年一括) 銀行振込用　11～4月分　※分割記載2月分</t>
  </si>
  <si>
    <t>「マネバ」株式投資スクール　継続コース(半年一括) 銀行振込用　11～4月分　※分割記載3月分</t>
  </si>
  <si>
    <t>「マネバ」株式投資スクール　継続コース(半年一括) 銀行振込用　11～4月分　※分割記載4月分</t>
  </si>
  <si>
    <t>CLEAR TRADEコミュニティApexコース　年次プラン　銀行振込用　2025年11月～2026年10月分　※分割記載11月分</t>
    <phoneticPr fontId="3"/>
  </si>
  <si>
    <t>CLEAR TRADEコミュニティApexコース　年次プラン　銀行振込用　2025年11月～2026年10月分　※分割記載12月分</t>
  </si>
  <si>
    <t>CLEAR TRADEコミュニティApexコース　年次プラン　銀行振込用　2025年11月～2026年10月分　※分割記載1月分</t>
    <phoneticPr fontId="3"/>
  </si>
  <si>
    <t>CLEAR TRADEコミュニティApexコース　年次プラン　銀行振込用　2025年11月～2026年10月分　※分割記載2月分</t>
  </si>
  <si>
    <t>CLEAR TRADEコミュニティApexコース　年次プラン　銀行振込用　2025年11月～2026年10月分　※分割記載3月分</t>
  </si>
  <si>
    <t>CLEAR TRADEコミュニティApexコース　年次プラン　銀行振込用　2025年11月～2026年10月分　※分割記載4月分</t>
  </si>
  <si>
    <t>CLEAR TRADEコミュニティApexコース　年次プラン　銀行振込用　2025年11月～2026年10月分　※分割記載5月分</t>
  </si>
  <si>
    <t>CLEAR TRADEコミュニティApexコース　年次プラン　銀行振込用　2025年11月～2026年10月分　※分割記載6月分</t>
  </si>
  <si>
    <t>CLEAR TRADEコミュニティApexコース　年次プラン　銀行振込用　2025年11月～2026年10月分　※分割記載7月分</t>
  </si>
  <si>
    <t>CLEAR TRADEコミュニティApexコース　年次プラン　銀行振込用　2025年11月～2026年10月分　※分割記載8月分</t>
  </si>
  <si>
    <t>CLEAR TRADEコミュニティApexコース　年次プラン　銀行振込用　2025年11月～2026年10月分　※分割記載9月分</t>
  </si>
  <si>
    <t>CLEAR TRADEコミュニティApexコース　年次プラン　銀行振込用　2025年11月～2026年10月分　※分割記載10月分</t>
  </si>
  <si>
    <t>CLEARTRADEコミュニティ（6ヶ月プラン）銀行振込用　11～4月分　※分割記載12月分</t>
  </si>
  <si>
    <t>CLEARTRADEコミュニティ（6ヶ月プラン）銀行振込用　11～4月分　※分割記載13月分</t>
  </si>
  <si>
    <t>CLEARTRADEコミュニティ（6ヶ月プラン）銀行振込用　11～4月分　※分割記載14月分</t>
  </si>
  <si>
    <t>CLEARTRADEコミュニティ（6ヶ月プラン）銀行振込用　11～4月分　※分割記載15月分</t>
  </si>
  <si>
    <t>CLEARTRADEコミュニティ（6ヶ月プラン）銀行振込用　11～4月分　※分割記載16月分</t>
  </si>
  <si>
    <t>秋田式日刊エントリーポイント解説初級コース（継続課金）11月分</t>
  </si>
  <si>
    <t>「Shinobi」コミュニティ継続コース（定期課金用）11月分</t>
  </si>
  <si>
    <t>カルロスのFX相場思考（継続課金）11月分</t>
  </si>
  <si>
    <t>トレンドサイン特別プラン　6ヶ月おまとめ　11月～4月　※分割記載11月分</t>
    <rPh sb="23" eb="24">
      <t>ガツ</t>
    </rPh>
    <rPh sb="26" eb="27">
      <t>ガツ</t>
    </rPh>
    <phoneticPr fontId="8"/>
  </si>
  <si>
    <t>トレンドサイン特別プラン　6ヶ月おまとめ　11月～4月　※分割記載12月分</t>
    <rPh sb="23" eb="24">
      <t>ガツ</t>
    </rPh>
    <rPh sb="26" eb="27">
      <t>ガツ</t>
    </rPh>
    <phoneticPr fontId="8"/>
  </si>
  <si>
    <t>トレンドサイン特別プラン　6ヶ月おまとめ　11月～4月　※分割記載1月分</t>
    <rPh sb="23" eb="24">
      <t>ガツ</t>
    </rPh>
    <rPh sb="26" eb="27">
      <t>ガツ</t>
    </rPh>
    <phoneticPr fontId="8"/>
  </si>
  <si>
    <t>トレンドサイン特別プラン　6ヶ月おまとめ　11月～4月　※分割記載2月分</t>
    <rPh sb="23" eb="24">
      <t>ガツ</t>
    </rPh>
    <rPh sb="26" eb="27">
      <t>ガツ</t>
    </rPh>
    <phoneticPr fontId="8"/>
  </si>
  <si>
    <t>トレンドサイン特別プラン　6ヶ月おまとめ　11月～4月　※分割記載3月分</t>
    <rPh sb="23" eb="24">
      <t>ガツ</t>
    </rPh>
    <rPh sb="26" eb="27">
      <t>ガツ</t>
    </rPh>
    <phoneticPr fontId="8"/>
  </si>
  <si>
    <t>トレンドサイン特別プラン　6ヶ月おまとめ　11月～4月　※分割記載4月分</t>
    <rPh sb="23" eb="24">
      <t>ガツ</t>
    </rPh>
    <rPh sb="26" eb="27">
      <t>ガツ</t>
    </rPh>
    <phoneticPr fontId="8"/>
  </si>
  <si>
    <t>秋田式FXオンラインプログラム Premium(251005)</t>
  </si>
  <si>
    <t>秋田式日刊エントリーポイント解説 3ヶ月おまとめコース（上級）銀行振込　4,5,6月分　バックナンバー購入</t>
    <rPh sb="51" eb="53">
      <t>コウニュウ</t>
    </rPh>
    <phoneticPr fontId="8"/>
  </si>
  <si>
    <t>秋田式日刊エントリーポイント解説 3ヶ月おまとめコース（上級）銀行振込　7,8,9月分　バックナンバー購入</t>
    <phoneticPr fontId="8"/>
  </si>
  <si>
    <t>“初めてのゴールド”特別コラボセミナー</t>
  </si>
  <si>
    <t>トレンドサイン特別プラン　6ヶ月おまとめ ※分割記載11月分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</si>
  <si>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※分割記載12月分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</si>
  <si>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※分割記載1月分</t>
    <rPh sb="22" eb="24">
      <t>ブンカツ</t>
    </rPh>
    <rPh sb="24" eb="26">
      <t>キサイ</t>
    </rPh>
    <rPh sb="27" eb="29">
      <t>ガツブン</t>
    </rPh>
    <phoneticPr fontId="5"/>
  </si>
  <si>
    <t>トレンドサイン特別プラン　6ヶ月おまとめ ※分割記載2月分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</si>
  <si>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※分割記載3月分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</si>
  <si>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※分割記載4月分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</si>
  <si>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トレンドサイン継続利用プラン11月分</t>
  </si>
  <si>
    <t>トレンドサイン特別プラン（継続課金用）11月分</t>
  </si>
  <si>
    <t>トレンドサインマスター講座【D】</t>
  </si>
  <si>
    <t>秋田式FX オンラインプログラム(251019)</t>
  </si>
  <si>
    <t>秋田式日刊エントリーポイント解説　初級コース11月分</t>
  </si>
  <si>
    <t>秋田式日刊エントリーポイント解説　上級コース（課金用）11月分</t>
  </si>
  <si>
    <t>KTDプログラム　月額コース（グループ）（定期課金用）11月分</t>
  </si>
  <si>
    <t>Rewrite FX ライトコース</t>
  </si>
  <si>
    <t>高子流デイトレーダー養成講座　継続コース【3】（継続課金用）11月分</t>
  </si>
  <si>
    <t>㈱TED　販売報酬　THE EARNING(SHL) 9月</t>
    <phoneticPr fontId="3"/>
  </si>
  <si>
    <t>㈱TED　販売報酬　ﾐﾘｱｶｱﾁｰﾌﾞﾒﾝﾄｺｰｽ 9月</t>
    <phoneticPr fontId="3"/>
  </si>
  <si>
    <t>㈱ﾒﾃﾞｨｱﾊﾟﾙ　書籍注文送品　89月</t>
    <phoneticPr fontId="3"/>
  </si>
  <si>
    <t>「マネバ」株式投資スクール　継続コース(1年一括) クレジットカード決済用　※分割記載12月分</t>
  </si>
  <si>
    <t>「マネバ」株式投資スクール　継続コース(1年一括) クレジットカード決済用　※分割記載1月分</t>
  </si>
  <si>
    <t>「マネバ」株式投資スクール　継続コース(1年一括) クレジットカード決済用　※分割記載2月分</t>
  </si>
  <si>
    <t>「マネバ」株式投資スクール　継続コース(1年一括) クレジットカード決済用　※分割記載3月分</t>
  </si>
  <si>
    <t>「マネバ」株式投資スクール　継続コース(1年一括) クレジットカード決済用　※分割記載4月分</t>
  </si>
  <si>
    <t>「マネバ」株式投資スクール　継続コース(1年一括) クレジットカード決済用　※分割記載5月分</t>
  </si>
  <si>
    <t>「マネバ」株式投資スクール　継続コース(1年一括) クレジットカード決済用　※分割記載6月分</t>
  </si>
  <si>
    <t>「マネバ」株式投資スクール　継続コース(1年一括) クレジットカード決済用　※分割記載7月分</t>
  </si>
  <si>
    <t>「マネバ」株式投資スクール　継続コース(1年一括) クレジットカード決済用　※分割記載8月分</t>
  </si>
  <si>
    <t>「マネバ」株式投資スクール　継続コース(1年一括) クレジットカード決済用　※分割記載9月分</t>
  </si>
  <si>
    <t>「マネバ」株式投資スクール　継続コース(1年一括) クレジットカード決済用　※分割記載10月分</t>
  </si>
  <si>
    <t>「マネバ」株式投資スクール　継続コース(1年一括) クレジットカード決済用　※分割記載11月分</t>
  </si>
  <si>
    <t>「マネバ」株式投資スクール(12分割)【P】　7回目/12分割</t>
  </si>
  <si>
    <t>「マネバ」株式投資スクール（新）　12回目/12分割</t>
  </si>
  <si>
    <t>「マネバ」株式投資スクール　継続コース（定期課金用）12月分</t>
  </si>
  <si>
    <t>トレンドサイン継続利用プラン（継続課金用）12月分</t>
  </si>
  <si>
    <t>CLEAR TRADEブートキャンプVol.17　6回目/6分割</t>
  </si>
  <si>
    <t>CLEAR TRADEブートキャンプVol.17 プライム　6回目/6分割</t>
  </si>
  <si>
    <t>リブーストキャンプvol.17プライム　6回目/6分割</t>
  </si>
  <si>
    <t>CLEAR TRADEエッセンシャルマスタープログラム（定期課金用）12月分</t>
  </si>
  <si>
    <t>PEAK FINDER -ONE-12月分</t>
  </si>
  <si>
    <t>PEAKFINDER -ONE-（定期課金用）12月分</t>
  </si>
  <si>
    <t>THE 筋トレーダーズ！（スタンダード）　5回目/5分割</t>
  </si>
  <si>
    <t>CLEARTRADEコミュニティ（3ヶ月）クレジットカード用　12～2月分　※分割記載12月分</t>
  </si>
  <si>
    <t>CLEARTRADEコミュニティ（3ヶ月）クレジットカード用　12～2月分　※分割記載1月分</t>
  </si>
  <si>
    <t>CLEARTRADEコミュニティ（3ヶ月）クレジットカード用　12～2月分　※分割記載2月分</t>
  </si>
  <si>
    <t>CLEARTRADEコミュニティ（6ヶ月）クレジットカード用　12～5月分　※分割記載12月分</t>
  </si>
  <si>
    <t>CLEARTRADEコミュニティ（6ヶ月）クレジットカード用　12～5月分　※分割記載1月分</t>
  </si>
  <si>
    <t>CLEARTRADEコミュニティ（6ヶ月）クレジットカード用　12～5月分　※分割記載2月分</t>
  </si>
  <si>
    <t>CLEARTRADEコミュニティ（6ヶ月）クレジットカード用　12～5月分　※分割記載3月分</t>
  </si>
  <si>
    <t>CLEARTRADEコミュニティ（6ヶ月）クレジットカード用　12～5月分　※分割記載4月分</t>
  </si>
  <si>
    <t>CLEARTRADEコミュニティ（6ヶ月）クレジットカード用　12～5月分　※分割記載5月分</t>
  </si>
  <si>
    <t>CLEARTRADEコミュニティ（6ヶ月プラン）決済エラー用　12～5月分　※分割記載12月分</t>
  </si>
  <si>
    <t>CLEARTRADEコミュニティ（6ヶ月プラン）決済エラー用　12～5月分　※分割記載1月分</t>
  </si>
  <si>
    <t>CLEARTRADEコミュニティ（6ヶ月プラン）決済エラー用　12～5月分　※分割記載2月分</t>
  </si>
  <si>
    <t>CLEARTRADEコミュニティ（6ヶ月プラン）決済エラー用　12～5月分　※分割記載3月分</t>
  </si>
  <si>
    <t>CLEARTRADEコミュニティ（6ヶ月プラン）決済エラー用　12～5月分　※分割記載4月分</t>
  </si>
  <si>
    <t>CLEARTRADEコミュニティ（6ヶ月プラン）決済エラー用　12～5月分　※分割記載5月分</t>
  </si>
  <si>
    <t>CLEAR TRADEコミュニティ Apexコース 月次プラン（定期課金用）12月分</t>
  </si>
  <si>
    <t>CLEARTRADEコミュニテイ 【ライトコース】課金用12月分</t>
  </si>
  <si>
    <t>CLEARTRADEコミュニティ（決済エラー用）12月分</t>
  </si>
  <si>
    <t>CLEARTRADEコミュニティ（3ヶ月プラン）クレジットカード決済用　12～2月分　※分割記載12月分</t>
  </si>
  <si>
    <t>CLEARTRADEコミュニティ（3ヶ月プラン）クレジットカード決済用　12～2月分　※分割記載1月分</t>
  </si>
  <si>
    <t>CLEARTRADEコミュニティ（3ヶ月プラン）クレジットカード決済用　12～2月分　※分割記載2月分</t>
  </si>
  <si>
    <t>奥村尚の金融リテラシー向上委員会(モニター価格)（継続課金）12月分</t>
  </si>
  <si>
    <t>CLEAR TRADEエッセンシャルマスタープログラム（銀振3ヶ月）43,500円　12～2月分　※分割記載12月分</t>
  </si>
  <si>
    <t>CLEAR TRADEエッセンシャルマスタープログラム（銀振3ヶ月）43,500円　12～2月分　※分割記載13月分</t>
  </si>
  <si>
    <t>CLEAR TRADEエッセンシャルマスタープログラム（銀振3ヶ月）43,500円　12～2月分　※分割記載14月分</t>
  </si>
  <si>
    <t>CLEARTRADEコミュニティ（6ヶ月プラン）決済エラー用　銀行振込　11～4月分　※分割記載11月分</t>
  </si>
  <si>
    <t>CLEARTRADEコミュニティ（6ヶ月プラン）決済エラー用　銀行振込　11～4月分　※分割記載12月分</t>
  </si>
  <si>
    <t>CLEARTRADEコミュニティ（6ヶ月プラン）決済エラー用　銀行振込　11～4月分　※分割記載1月分</t>
  </si>
  <si>
    <t>CLEARTRADEコミュニティ（6ヶ月プラン）決済エラー用　銀行振込　11～4月分　※分割記載2月分</t>
  </si>
  <si>
    <t>CLEARTRADEコミュニティ（6ヶ月プラン）決済エラー用　銀行振込　11～4月分　※分割記載3月分</t>
  </si>
  <si>
    <t>CLEARTRADEコミュニティ（6ヶ月プラン）決済エラー用　銀行振込　11～4月分　※分割記載4月分</t>
  </si>
  <si>
    <t>秋田式日刊エントリーポイント解説　上級コース（課金用）12月分</t>
  </si>
  <si>
    <t>「Shinobi」コミュニティ継続コース（定期課金用）12月分</t>
  </si>
  <si>
    <t>秋田式日刊エントリーポイント解説初級コース（継続課金）12月分</t>
  </si>
  <si>
    <t>カルロスのFX相場思考（継続課金）12月分</t>
  </si>
  <si>
    <t>秋田式FXオンラインプログラム Premium(251109)</t>
  </si>
  <si>
    <t>秋田式FX オンラインプログラム(251123)</t>
  </si>
  <si>
    <t>秋田式FX オンラインプログラムSTEP1(251116)</t>
  </si>
  <si>
    <t>返金手数料</t>
    <rPh sb="0" eb="2">
      <t>ヘンキン</t>
    </rPh>
    <rPh sb="2" eb="5">
      <t>テスウリョウ</t>
    </rPh>
    <phoneticPr fontId="3"/>
  </si>
  <si>
    <t>トレンドサイン継続利用プラン　6ヶ月おまとめ※分割記載12月分</t>
    <rPh sb="23" eb="27">
      <t>ブンカツキサイ</t>
    </rPh>
    <rPh sb="29" eb="31">
      <t>ガツブン</t>
    </rPh>
    <phoneticPr fontId="5"/>
  </si>
  <si>
    <t>トレンドサイン継続利用プラン　6ヶ月おまとめ※分割記載1月分</t>
    <rPh sb="23" eb="27">
      <t>ブンカツキサイ</t>
    </rPh>
    <rPh sb="28" eb="30">
      <t>ガツブン</t>
    </rPh>
    <phoneticPr fontId="5"/>
  </si>
  <si>
    <t>トレンドサイン継続利用プラン　6ヶ月おまとめ※分割記載2月分</t>
    <rPh sb="22" eb="27">
      <t>コメブンカツキサイ</t>
    </rPh>
    <rPh sb="28" eb="30">
      <t>ガツブン</t>
    </rPh>
    <phoneticPr fontId="5"/>
  </si>
  <si>
    <t>トレンドサイン継続利用プラン　6ヶ月おまとめ※分割記載3月分</t>
    <rPh sb="23" eb="27">
      <t>ブンカツキサイ</t>
    </rPh>
    <rPh sb="28" eb="30">
      <t>ガツブン</t>
    </rPh>
    <phoneticPr fontId="5"/>
  </si>
  <si>
    <t>トレンドサイン継続利用プラン　6ヶ月おまとめ※分割記載4月分</t>
    <rPh sb="23" eb="27">
      <t>ブンカツキサイ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</si>
  <si>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7">
      <t>ブンカツキサイ</t>
    </rPh>
    <rPh sb="28" eb="30">
      <t>ガツブン</t>
    </rPh>
    <phoneticPr fontId="5"/>
  </si>
  <si>
    <t>トレンドサイン継続利用プラン12月分</t>
  </si>
  <si>
    <t>トレンドサイン特別プラン（継続課金用）12月分</t>
  </si>
  <si>
    <t>秋田式FX オンラインプログラムSTEP1+2(251116)</t>
  </si>
  <si>
    <t>秋田式FXオンラインプログラム Premium(251123)</t>
  </si>
  <si>
    <t>秋田式日刊エントリーポイント解説 3ヶ月おまとめコース（上級）12～2月分</t>
  </si>
  <si>
    <t>秋田式日刊エントリーポイント解説　初級コース12月分</t>
  </si>
  <si>
    <t>秋田式日刊エントリーポイント解説　上級コース12月分</t>
  </si>
  <si>
    <t>KTDプログラム　月額コース（グループ）（定期課金用）12月分</t>
  </si>
  <si>
    <t>SHINOBI・忍・コミュニティ</t>
  </si>
  <si>
    <t>Active Day Trading -Next-（スタンダード）6ヶ月おまとめプラン※分割記載12月分</t>
    <rPh sb="44" eb="48">
      <t>ブンカツキサイ</t>
    </rPh>
    <rPh sb="50" eb="52">
      <t>ガツブン</t>
    </rPh>
    <phoneticPr fontId="5"/>
  </si>
  <si>
    <t>Active Day Trading -Next-（スタンダード）6ヶ月おまとめプラン※分割記載1月分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</si>
  <si>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-Next-（スタンダード）6ヶ月おまとめプラン※分割記載2月分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</si>
  <si>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-Next-（スタンダード）6ヶ月おまとめプラン※分割記載3月分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</si>
  <si>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-Next-（スタンダード）6ヶ月おまとめプラン※分割記載4月分</t>
    <rPh sb="44" eb="48">
      <t>ブンカツキサイ</t>
    </rPh>
    <rPh sb="49" eb="51">
      <t>ガツブン</t>
    </rPh>
    <phoneticPr fontId="5"/>
  </si>
  <si>
    <t>Active Day Trading -Next-（スタンダード）6ヶ月おまとめプラン※分割記載5月分</t>
    <rPh sb="44" eb="48">
      <t>ブンカツキサイ</t>
    </rPh>
    <rPh sb="49" eb="50">
      <t>ガツ</t>
    </rPh>
    <rPh sb="50" eb="51">
      <t>ブン</t>
    </rPh>
    <phoneticPr fontId="5"/>
  </si>
  <si>
    <t>高子流デイトレーダー養成講座　継続コース【3】（継続課金用）12月分</t>
  </si>
  <si>
    <t>CFCトレードマスタープラン</t>
  </si>
  <si>
    <t>㈱TED　販売報酬　THE EARNING(SHL) 10月</t>
  </si>
  <si>
    <t>㈱TED　販売報酬　ﾐﾘｱｶｱﾁｰﾌﾞﾒﾝﾄｺｰｽ 10月</t>
  </si>
  <si>
    <t>mediapal</t>
  </si>
  <si>
    <t>㈱ﾒﾃﾞｨｱﾊﾟﾙ　書籍注文送品　10月</t>
  </si>
  <si>
    <t>㈱ﾒﾃﾞｨｱﾊﾟﾙ　書籍委託送品　10月</t>
    <rPh sb="12" eb="14">
      <t>イタク</t>
    </rPh>
    <phoneticPr fontId="3"/>
  </si>
  <si>
    <t>saito_bank</t>
  </si>
  <si>
    <t>㈱rewrite　売上預け金　10月</t>
  </si>
  <si>
    <t>「マネバ」株式投資スクール　継続コース(1年一括)  定期課金用　2026年1～12月分　※分割記載1月分</t>
    <phoneticPr fontId="3"/>
  </si>
  <si>
    <t>「マネバ」株式投資スクール　継続コース(1年一括)  定期課金用　2026年1～12月分　※分割記載2月分</t>
  </si>
  <si>
    <t>「マネバ」株式投資スクール　継続コース(1年一括)  定期課金用　2026年1～12月分　※分割記載3月分</t>
  </si>
  <si>
    <t>「マネバ」株式投資スクール　継続コース(1年一括)  定期課金用　2026年1～12月分　※分割記載4月分</t>
  </si>
  <si>
    <t>「マネバ」株式投資スクール　継続コース(1年一括)  定期課金用　2026年1～12月分　※分割記載5月分</t>
  </si>
  <si>
    <t>「マネバ」株式投資スクール　継続コース(1年一括)  定期課金用　2026年1～12月分　※分割記載6月分</t>
  </si>
  <si>
    <t>「マネバ」株式投資スクール　継続コース(1年一括)  定期課金用　2026年1～12月分　※分割記載7月分</t>
  </si>
  <si>
    <t>「マネバ」株式投資スクール　継続コース(1年一括)  定期課金用　2026年1～12月分　※分割記載8月分</t>
  </si>
  <si>
    <t>「マネバ」株式投資スクール　継続コース(1年一括)  定期課金用　2026年1～12月分　※分割記載9月分</t>
  </si>
  <si>
    <t>「マネバ」株式投資スクール　継続コース(1年一括)  定期課金用　2026年1～12月分　※分割記載10月分</t>
  </si>
  <si>
    <t>「マネバ」株式投資スクール　継続コース(1年一括)  定期課金用　2026年1～12月分　※分割記載11月分</t>
  </si>
  <si>
    <t>「マネバ」株式投資スクール　継続コース(1年一括)  定期課金用　2026年1～12月分　※分割記載12月分</t>
  </si>
  <si>
    <t>11期</t>
    <rPh sb="2" eb="3">
      <t>キ</t>
    </rPh>
    <phoneticPr fontId="3"/>
  </si>
  <si>
    <t>「マネバ」株式投資スクール　継続コース(1年一括) クレジットカード決済用　2026年1～12月分　※分割記載1月分</t>
    <phoneticPr fontId="3"/>
  </si>
  <si>
    <t>「マネバ」株式投資スクール　継続コース(1年一括) クレジットカード決済用　2026年1～12月分　※分割記載2月分</t>
  </si>
  <si>
    <t>「マネバ」株式投資スクール　継続コース(1年一括) クレジットカード決済用　2026年1～12月分　※分割記載3月分</t>
  </si>
  <si>
    <t>「マネバ」株式投資スクール　継続コース(1年一括) クレジットカード決済用　2026年1～12月分　※分割記載4月分</t>
  </si>
  <si>
    <t>「マネバ」株式投資スクール　継続コース(1年一括) クレジットカード決済用　2026年1～12月分　※分割記載5月分</t>
  </si>
  <si>
    <t>「マネバ」株式投資スクール　継続コース(1年一括) クレジットカード決済用　2026年1～12月分　※分割記載6月分</t>
  </si>
  <si>
    <t>「マネバ」株式投資スクール　継続コース(1年一括) クレジットカード決済用　2026年1～12月分　※分割記載7月分</t>
  </si>
  <si>
    <t>「マネバ」株式投資スクール　継続コース(1年一括) クレジットカード決済用　2026年1～12月分　※分割記載8月分</t>
  </si>
  <si>
    <t>「マネバ」株式投資スクール　継続コース(1年一括) クレジットカード決済用　2026年1～12月分　※分割記載9月分</t>
  </si>
  <si>
    <t>「マネバ」株式投資スクール　継続コース(1年一括) クレジットカード決済用　2026年1～12月分　※分割記載10月分</t>
  </si>
  <si>
    <t>「マネバ」株式投資スクール　継続コース(1年一括) クレジットカード決済用　2026年1～12月分　※分割記載11月分</t>
  </si>
  <si>
    <t>「マネバ」株式投資スクール　継続コース(1年一括) クレジットカード決済用　2026年1～12月分　※分割記載12月分</t>
  </si>
  <si>
    <t>「マネバ」株式投資スクール(12分割)【P】　8回目/12分割</t>
  </si>
  <si>
    <t>「マネバ」株式投資スクール　継続コース(半年一括) クレジットカード決済用　1～6月分　※分割記載2月分</t>
  </si>
  <si>
    <t>「マネバ」株式投資スクール　継続コース(半年一括) クレジットカード決済用　1～6月分　※分割記載3月分</t>
  </si>
  <si>
    <t>「マネバ」株式投資スクール　継続コース(半年一括) クレジットカード決済用　1～6月分　※分割記載4月分</t>
  </si>
  <si>
    <t>「マネバ」株式投資スクール　継続コース(半年一括) クレジットカード決済用　1～6月分　※分割記載5月分</t>
  </si>
  <si>
    <t>「マネバ」株式投資スクール　継続コース(半年一括) クレジットカード決済用　1～6月分　※分割記載6月分</t>
  </si>
  <si>
    <t>「マネバ」株式投資スクール　継続コース(半年一括) 定期課金用　1～6月分　※分割記載2月分</t>
  </si>
  <si>
    <t>「マネバ」株式投資スクール　継続コース(半年一括) 定期課金用　1～6月分　※分割記載3月分</t>
  </si>
  <si>
    <t>「マネバ」株式投資スクール　継続コース(半年一括) 定期課金用　1～6月分　※分割記載4月分</t>
  </si>
  <si>
    <t>「マネバ」株式投資スクール　継続コース(半年一括) 定期課金用　1～6月分　※分割記載5月分</t>
  </si>
  <si>
    <t>「マネバ」株式投資スクール　継続コース(半年一括) 定期課金用　1～6月分　※分割記載6月分</t>
  </si>
  <si>
    <t>「マネバ」株式投資スクール　継続コース（定期課金用）1月分</t>
  </si>
  <si>
    <t>トレンドサイン継続利用プラン（継続課金用）1月分</t>
  </si>
  <si>
    <t>PEAK FINDER -ONE-　年次プラン　2026年1～12月分　※分割記載1月分</t>
    <phoneticPr fontId="3"/>
  </si>
  <si>
    <t>PEAK FINDER -ONE-　年次プラン　2026年1～12月分　※分割記載2月分</t>
  </si>
  <si>
    <t>PEAK FINDER -ONE-　年次プラン　2026年1～12月分　※分割記載3月分</t>
  </si>
  <si>
    <t>PEAK FINDER -ONE-　年次プラン　2026年1～12月分　※分割記載4月分</t>
  </si>
  <si>
    <t>PEAK FINDER -ONE-　年次プラン　2026年1～12月分　※分割記載5月分</t>
  </si>
  <si>
    <t>PEAK FINDER -ONE-　年次プラン　2026年1～12月分　※分割記載6月分</t>
  </si>
  <si>
    <t>PEAK FINDER -ONE-　年次プラン　2026年1～12月分　※分割記載7月分</t>
  </si>
  <si>
    <t>PEAK FINDER -ONE-　年次プラン　2026年1～12月分　※分割記載8月分</t>
  </si>
  <si>
    <t>PEAK FINDER -ONE-　年次プラン　2026年1～12月分　※分割記載9月分</t>
  </si>
  <si>
    <t>PEAK FINDER -ONE-　年次プラン　2026年1～12月分　※分割記載10月分</t>
  </si>
  <si>
    <t>PEAK FINDER -ONE-　年次プラン　2026年1～12月分　※分割記載11月分</t>
  </si>
  <si>
    <t>PEAK FINDER -ONE-　年次プラン　2026年1～12月分　※分割記載12月分</t>
  </si>
  <si>
    <t>CLEAR TRADEエッセンシャルマスタープログラム（定期課金用）1月分</t>
  </si>
  <si>
    <t>PEAKFINDER -ONE-（定期課金用）1月分</t>
  </si>
  <si>
    <t>CLEAR TRADEコミュニティ Apexコース 年次プラン（定期課金用）2026年1～12月分　※分割記載1月分</t>
    <phoneticPr fontId="3"/>
  </si>
  <si>
    <t>CLEAR TRADEコミュニティ Apexコース 年次プラン（定期課金用）2026年1～12月分　※分割記載2月分</t>
  </si>
  <si>
    <t>CLEAR TRADEコミュニティ Apexコース 年次プラン（定期課金用）2026年1～12月分　※分割記載3月分</t>
  </si>
  <si>
    <t>CLEAR TRADEコミュニティ Apexコース 年次プラン（定期課金用）2026年1～12月分　※分割記載4月分</t>
  </si>
  <si>
    <t>CLEAR TRADEコミュニティ Apexコース 年次プラン（定期課金用）2026年1～12月分　※分割記載5月分</t>
  </si>
  <si>
    <t>CLEAR TRADEコミュニティ Apexコース 年次プラン（定期課金用）2026年1～12月分　※分割記載6月分</t>
  </si>
  <si>
    <t>CLEAR TRADEコミュニティ Apexコース 年次プラン（定期課金用）2026年1～12月分　※分割記載7月分</t>
  </si>
  <si>
    <t>CLEAR TRADEコミュニティ Apexコース 年次プラン（定期課金用）2026年1～12月分　※分割記載8月分</t>
  </si>
  <si>
    <t>CLEAR TRADEコミュニティ Apexコース 年次プラン（定期課金用）2026年1～12月分　※分割記載9月分</t>
  </si>
  <si>
    <t>CLEAR TRADEコミュニティ Apexコース 年次プラン（定期課金用）2026年1～12月分　※分割記載10月分</t>
  </si>
  <si>
    <t>CLEAR TRADEコミュニティ Apexコース 年次プラン（定期課金用）2026年1～12月分　※分割記載11月分</t>
  </si>
  <si>
    <t>CLEAR TRADEコミュニティ Apexコース 年次プラン（定期課金用）2026年1～12月分　※分割記載12月分</t>
  </si>
  <si>
    <t>CLEARTRADEコミュニティ（3ヶ月）クレジットカード用　1～3月分　※分割記載1月分</t>
    <phoneticPr fontId="3"/>
  </si>
  <si>
    <t>CLEARTRADEコミュニティ（3ヶ月）クレジットカード用　1～3月分　※分割記載2月分</t>
  </si>
  <si>
    <t>CLEARTRADEコミュニティ（3ヶ月）クレジットカード用　1～3月分　※分割記載3月分</t>
  </si>
  <si>
    <t>CLEARTRADEコミュニティ（3ヶ月プラン）クレジットカード決済用　1～3月分　※分割記載2月分</t>
  </si>
  <si>
    <t>CLEARTRADEコミュニティ（3ヶ月プラン）クレジットカード決済用　1～3月分　※分割記載3月分</t>
  </si>
  <si>
    <t>CLEARTRADEコミュニティ（6ヶ月）クレジットカード用　1～6月分　※分割記載1月分</t>
    <phoneticPr fontId="3"/>
  </si>
  <si>
    <t>CLEARTRADEコミュニティ（6ヶ月）クレジットカード用　1～6月分　※分割記載2月分</t>
  </si>
  <si>
    <t>CLEARTRADEコミュニティ（6ヶ月）クレジットカード用　1～6月分　※分割記載3月分</t>
  </si>
  <si>
    <t>CLEARTRADEコミュニティ（6ヶ月）クレジットカード用　1～6月分　※分割記載4月分</t>
  </si>
  <si>
    <t>CLEARTRADEコミュニティ（6ヶ月）クレジットカード用　1～6月分　※分割記載5月分</t>
  </si>
  <si>
    <t>CLEARTRADEコミュニティ（6ヶ月）クレジットカード用　1～6月分　※分割記載6月分</t>
  </si>
  <si>
    <t>CLEARTRADEコミュニティ（6ヶ月プラン）クレジットカード決済用　1～6月分　※分割記載2月分</t>
  </si>
  <si>
    <t>CLEARTRADEコミュニティ（6ヶ月プラン）クレジットカード決済用　1～6月分　※分割記載3月分</t>
  </si>
  <si>
    <t>CLEARTRADEコミュニティ（6ヶ月プラン）クレジットカード決済用　1～6月分　※分割記載4月分</t>
  </si>
  <si>
    <t>CLEARTRADEコミュニティ（6ヶ月プラン）クレジットカード決済用　1～6月分　※分割記載5月分</t>
  </si>
  <si>
    <t>CLEARTRADEコミュニティ（6ヶ月プラン）クレジットカード決済用　1～6月分　※分割記載6月分</t>
  </si>
  <si>
    <t>CLEARTRADEコミュニティ（6ヶ月プラン）クレジットカード決済用　2026年4～9月分　※分割記載4月分</t>
    <phoneticPr fontId="3"/>
  </si>
  <si>
    <t>CLEARTRADEコミュニティ（6ヶ月プラン）クレジットカード決済用　2026年4～9月分　※分割記載5月分</t>
  </si>
  <si>
    <t>CLEARTRADEコミュニティ（6ヶ月プラン）クレジットカード決済用　2026年4～9月分　※分割記載6月分</t>
  </si>
  <si>
    <t>CLEARTRADEコミュニティ（6ヶ月プラン）クレジットカード決済用　2026年4～9月分　※分割記載7月分</t>
  </si>
  <si>
    <t>CLEARTRADEコミュニティ（6ヶ月プラン）クレジットカード決済用　2026年4～9月分　※分割記載8月分</t>
  </si>
  <si>
    <t>CLEARTRADEコミュニティ（6ヶ月プラン）クレジットカード決済用　2026年4～9月分　※分割記載9月分</t>
  </si>
  <si>
    <t>CLEARTRADEコミュニティ（6ヶ月プラン）決済エラー用　1～6月分　※分割記載2月分</t>
  </si>
  <si>
    <t>CLEARTRADEコミュニティ（6ヶ月プラン）決済エラー用　1～6月分　※分割記載3月分</t>
  </si>
  <si>
    <t>CLEARTRADEコミュニティ（6ヶ月プラン）決済エラー用　1～6月分　※分割記載4月分</t>
  </si>
  <si>
    <t>CLEARTRADEコミュニティ（6ヶ月プラン）決済エラー用　1～6月分　※分割記載5月分</t>
  </si>
  <si>
    <t>CLEARTRADEコミュニティ（6ヶ月プラン）決済エラー用　1～6月分　※分割記載6月分</t>
  </si>
  <si>
    <t>CLEARTRADEコミュニティ（6ヶ月プラン）決済エラー用　プラン変更　12～5月分　※分割記載12月分</t>
    <phoneticPr fontId="3"/>
  </si>
  <si>
    <t>CLEARTRADEコミュニティ（6ヶ月プラン）決済エラー用　プラン変更　12～5月分　※分割記載1月分</t>
    <phoneticPr fontId="3"/>
  </si>
  <si>
    <t>CLEARTRADEコミュニティ（6ヶ月プラン）決済エラー用　プラン変更　12～5月分　※分割記載2月分</t>
  </si>
  <si>
    <t>CLEARTRADEコミュニティ（6ヶ月プラン）決済エラー用　プラン変更　12～5月分　※分割記載3月分</t>
  </si>
  <si>
    <t>CLEARTRADEコミュニティ（6ヶ月プラン）決済エラー用　プラン変更　12～5月分　※分割記載4月分</t>
  </si>
  <si>
    <t>CLEARTRADEコミュニティ（6ヶ月プラン）決済エラー用　プラン変更　12～5月分　※分割記載5月分</t>
  </si>
  <si>
    <t>CLEARTRADEコミュニティ（プラン変更）6ヶ月　クレジットカード決済用　1～6月分　※分割記載1月分</t>
    <phoneticPr fontId="3"/>
  </si>
  <si>
    <t>CLEARTRADEコミュニティ（プラン変更）6ヶ月　クレジットカード決済用　1～6月分　※分割記載2月分</t>
  </si>
  <si>
    <t>CLEARTRADEコミュニティ（プラン変更）6ヶ月　クレジットカード決済用　1～6月分　※分割記載3月分</t>
  </si>
  <si>
    <t>CLEARTRADEコミュニティ（プラン変更）6ヶ月　クレジットカード決済用　1～6月分　※分割記載4月分</t>
  </si>
  <si>
    <t>CLEARTRADEコミュニティ（プラン変更）6ヶ月　クレジットカード決済用　1～6月分　※分割記載5月分</t>
  </si>
  <si>
    <t>CLEARTRADEコミュニティ（プラン変更）6ヶ月　クレジットカード決済用　1～6月分　※分割記載6月分</t>
  </si>
  <si>
    <t>CLEAR TRADEコミュニティ Apexコース 月次プラン（定期課金用）1月分</t>
  </si>
  <si>
    <t>CLEARTRADEコミュニテイ 【ライトコース】課金用1月分</t>
  </si>
  <si>
    <t>CLEARTRADEコミュニティ（プラン変更）1月分</t>
  </si>
  <si>
    <t>CLEARTRADEコミュニティ1月分</t>
  </si>
  <si>
    <t>奥村尚の金融リテラシー向上委員会(モニター価格)（継続課金）1月分</t>
  </si>
  <si>
    <t>10ヶ月</t>
  </si>
  <si>
    <t>エアポケットシグナル配信（10ヶ月）</t>
  </si>
  <si>
    <t>「マネバ」株式投資スクール　継続コース(1年一括) 銀行振込用　2025年12月～2026年11月分　※分割記載12月分</t>
    <phoneticPr fontId="3"/>
  </si>
  <si>
    <t>「マネバ」株式投資スクール　継続コース(1年一括) 銀行振込用　2025年12月～2026年11月分　※分割記載1月分</t>
    <phoneticPr fontId="3"/>
  </si>
  <si>
    <t>「マネバ」株式投資スクール　継続コース(1年一括) 銀行振込用　2025年12月～2026年11月分　※分割記載2月分</t>
  </si>
  <si>
    <t>「マネバ」株式投資スクール　継続コース(1年一括) 銀行振込用　2025年12月～2026年11月分　※分割記載3月分</t>
  </si>
  <si>
    <t>「マネバ」株式投資スクール　継続コース(1年一括) 銀行振込用　2025年12月～2026年11月分　※分割記載4月分</t>
  </si>
  <si>
    <t>「マネバ」株式投資スクール　継続コース(1年一括) 銀行振込用　2025年12月～2026年11月分　※分割記載5月分</t>
  </si>
  <si>
    <t>「マネバ」株式投資スクール　継続コース(1年一括) 銀行振込用　2025年12月～2026年11月分　※分割記載6月分</t>
  </si>
  <si>
    <t>「マネバ」株式投資スクール　継続コース(1年一括) 銀行振込用　2025年12月～2026年11月分　※分割記載7月分</t>
  </si>
  <si>
    <t>「マネバ」株式投資スクール　継続コース(1年一括) 銀行振込用　2025年12月～2026年11月分　※分割記載8月分</t>
  </si>
  <si>
    <t>「マネバ」株式投資スクール　継続コース(1年一括) 銀行振込用　2025年12月～2026年11月分　※分割記載9月分</t>
  </si>
  <si>
    <t>「マネバ」株式投資スクール　継続コース(1年一括) 銀行振込用　2025年12月～2026年11月分　※分割記載10月分</t>
  </si>
  <si>
    <t>「マネバ」株式投資スクール　継続コース(1年一括) 銀行振込用　2025年12月～2026年11月分　※分割記載11月分</t>
  </si>
  <si>
    <t>「マネバ」株式投資スクール　継続コース(半年一括) 銀行振込用　12～5月分　※分割記載12月分</t>
    <phoneticPr fontId="3"/>
  </si>
  <si>
    <t>「マネバ」株式投資スクール　継続コース(半年一括) 銀行振込用　12～5月分　※分割記載1月分</t>
    <phoneticPr fontId="3"/>
  </si>
  <si>
    <t>「マネバ」株式投資スクール　継続コース(半年一括) 銀行振込用　12～5月分　※分割記載2月分</t>
  </si>
  <si>
    <t>「マネバ」株式投資スクール　継続コース(半年一括) 銀行振込用　12～5月分　※分割記載3月分</t>
  </si>
  <si>
    <t>「マネバ」株式投資スクール　継続コース(半年一括) 銀行振込用　12～5月分　※分割記載4月分</t>
  </si>
  <si>
    <t>「マネバ」株式投資スクール　継続コース(半年一括) 銀行振込用　12～5月分　※分割記載5月分</t>
  </si>
  <si>
    <t>CLEAR TRADEエッセンシャルマスタープログラム（銀振3ヶ月）43,500円　1～3月分　※分割記載2月分</t>
  </si>
  <si>
    <t>CLEAR TRADEエッセンシャルマスタープログラム（銀振3ヶ月）43,500円　1～3月分　※分割記載3月分</t>
  </si>
  <si>
    <t>CLEARTRADEコミュニティ（3ヶ月プラン）銀行振込用　1～3月分　※分割記載2月分</t>
  </si>
  <si>
    <t>CLEARTRADEコミュニティ（3ヶ月プラン）銀行振込用　1～3月分　※分割記載3月分</t>
  </si>
  <si>
    <t>CLEARTRADEコミュニティ（6ヶ月プラン）銀行振込用　1～6月分　※分割記載2月分</t>
  </si>
  <si>
    <t>CLEARTRADEコミュニティ（6ヶ月プラン）銀行振込用　1～6月分　※分割記載3月分</t>
  </si>
  <si>
    <t>CLEARTRADEコミュニティ（6ヶ月プラン）銀行振込用　1～6月分　※分割記載4月分</t>
  </si>
  <si>
    <t>CLEARTRADEコミュニティ（6ヶ月プラン）銀行振込用　1～6月分　※分割記載5月分</t>
  </si>
  <si>
    <t>CLEARTRADEコミュニティ（6ヶ月プラン）銀行振込用　1～6月分　※分割記載6月分</t>
  </si>
  <si>
    <t>秋田式日刊エントリーポイント解説　上級コース（課金用）1月分</t>
  </si>
  <si>
    <t>「Shinobi」コミュニティ継続コース（定期課金用）1月分</t>
  </si>
  <si>
    <t>秋田式日刊エントリーポイント解説初級コース（継続課金）1月分</t>
  </si>
  <si>
    <t>カルロスのFX相場思考（継続課金）1月分</t>
  </si>
  <si>
    <t>トレンドサイン継続利用プラン　6ヶ月おまとめ　12月～5月分 　※分割記載12月分</t>
    <rPh sb="33" eb="37">
      <t>ブンカツキサイ</t>
    </rPh>
    <rPh sb="39" eb="41">
      <t>ガツブン</t>
    </rPh>
    <phoneticPr fontId="8"/>
  </si>
  <si>
    <t>トレンドサイン継続利用プラン　6ヶ月おまとめ　12月～5月分 　※分割記載1月分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</si>
  <si>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※分割記載2月分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</si>
  <si>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※分割記載3月分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</si>
  <si>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※分割記載4月分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</si>
  <si>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※分割記載5月分</t>
    <rPh sb="33" eb="37">
      <t>ブンカツキサイ</t>
    </rPh>
    <rPh sb="38" eb="40">
      <t>ガツブン</t>
    </rPh>
    <phoneticPr fontId="8"/>
  </si>
  <si>
    <t>秋田式FXオンラインプログラム Premium(251207)</t>
  </si>
  <si>
    <t>秋田式FXオンラインプログラム Premium(251221)</t>
  </si>
  <si>
    <t>Rewrite FX ライトコース（銀行振込）</t>
  </si>
  <si>
    <t>SHINOBI・忍・コミュニティ（銀行振込）</t>
  </si>
  <si>
    <t>株ハックプロ　トライアルプラン（B）</t>
  </si>
  <si>
    <t>トレンドサイン特別プラン（継続課金用）1月分</t>
  </si>
  <si>
    <t>秋田式FXオンラインプログラム Premium(251217)</t>
  </si>
  <si>
    <t>秋田式FX オンラインプログラム(251217)</t>
  </si>
  <si>
    <t>秋田式FX オンラインプログラム(251221)</t>
  </si>
  <si>
    <t>KTDプログラム　月額コース（グループ）（定期課金用）1月分</t>
  </si>
  <si>
    <t>高子流デイトレーダー養成講座　継続コース【3】（継続課金用）1月分</t>
  </si>
  <si>
    <t>株ハックプロ　フルアクセスプラン（B）</t>
  </si>
  <si>
    <t>㈱TED　販売報酬　THE EARNING(SHL) 11月</t>
    <phoneticPr fontId="3"/>
  </si>
  <si>
    <t>㈱TED　販売報酬　ﾐﾘｱｶｱﾁｰﾌﾞﾒﾝﾄｺｰｽ 11月</t>
    <phoneticPr fontId="3"/>
  </si>
  <si>
    <t>㈱ﾒﾃﾞｨｱﾊﾟﾙ　書籍注文送品　11月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</si>
</sst>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62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  <xf numFmtId="38" fontId="0" fillId="6" borderId="0" xfId="1" applyFont="1" applyFill="1">
      <alignment vertical="center"/>
    </xf>
    <xf numFmtId="179" fontId="11" fillId="6" borderId="0" xfId="3" applyNumberFormat="1" applyFont="1" applyFill="1"/>
    <xf numFmtId="178" fontId="0" fillId="6" borderId="0" xfId="1" applyNumberFormat="1" applyFont="1" applyFill="1">
      <alignment vertical="center"/>
    </xf>
    <xf numFmtId="178" fontId="0" fillId="0" borderId="10" xfId="1" applyNumberFormat="1" applyFont="1" applyFill="1" applyBorder="1">
      <alignment vertical="center"/>
    </xf>
    <xf numFmtId="38" fontId="0" fillId="0" borderId="0" xfId="1" applyNumberFormat="1" applyFont="1" applyFill="1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9" fillId="0" borderId="0" xfId="0" applyFont="1" applyBorder="1" applyAlignment="1">
      <alignment vertical="center" shrinkToFit="1"/>
    </xf>
    <xf numFmtId="179" fontId="11" fillId="0" borderId="0" xfId="3" applyNumberFormat="1" applyFont="1" applyFill="1" applyBorder="1" applyAlignment="1">
      <alignment horizontal="right"/>
    </xf>
    <xf numFmtId="49" fontId="11" fillId="0" borderId="0" xfId="3" applyNumberFormat="1" applyFont="1" applyFill="1" applyBorder="1" applyProtection="1">
      <protection locked="0"/>
    </xf>
    <xf numFmtId="179" fontId="11" fillId="0" borderId="0" xfId="3" applyNumberFormat="1" applyFont="1" applyFill="1" applyBorder="1"/>
    <xf numFmtId="38" fontId="0" fillId="0" borderId="0" xfId="1" applyNumberFormat="1" applyFont="1" applyBorder="1">
      <alignment vertical="center"/>
    </xf>
    <xf numFmtId="0" fontId="9" fillId="5" borderId="0" xfId="0" applyFont="1" applyFill="1" applyBorder="1">
      <alignment vertical="center"/>
    </xf>
    <xf numFmtId="176" fontId="9" fillId="5" borderId="0" xfId="0" applyNumberFormat="1" applyFont="1" applyFill="1" applyBorder="1" applyAlignment="1">
      <alignment horizontal="right" vertical="center"/>
    </xf>
    <xf numFmtId="0" fontId="9" fillId="0" borderId="0" xfId="0" applyFont="1" applyBorder="1">
      <alignment vertical="center"/>
    </xf>
    <xf numFmtId="176" fontId="9" fillId="0" borderId="0" xfId="0" applyNumberFormat="1" applyFont="1" applyBorder="1" applyAlignment="1">
      <alignment horizontal="right" vertical="center"/>
    </xf>
    <xf numFmtId="0" fontId="9" fillId="5" borderId="0" xfId="0" applyFont="1" applyFill="1" applyBorder="1" applyAlignment="1">
      <alignment horizontal="left" vertical="center" shrinkToFit="1"/>
    </xf>
    <xf numFmtId="0" fontId="9" fillId="0" borderId="0" xfId="0" applyFont="1" applyBorder="1" applyAlignment="1">
      <alignment horizontal="left" vertical="center" shrinkToFit="1"/>
    </xf>
    <xf numFmtId="179" fontId="11" fillId="0" borderId="0" xfId="3" quotePrefix="1" applyNumberFormat="1" applyFont="1" applyFill="1" applyBorder="1"/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5065" totalsRowShown="0" headerRowDxfId="12" tableBorderDxfId="11" headerRowCellStyle="桁区切り"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5065"/>
  <sheetViews>
    <sheetView tabSelected="1" topLeftCell="A5046" zoomScale="70" zoomScaleNormal="70" workbookViewId="0">
      <selection activeCell="D5072" sqref="D5072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5" max="15" width="16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+テーブル1[[#This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+テーブル1[[#This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+テーブル1[[#This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+テーブル1[[#This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+テーブル1[[#This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+テーブル1[[#This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+テーブル1[[#This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+テーブル1[[#This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+テーブル1[[#This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+テーブル1[[#This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+テーブル1[[#This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+テーブル1[[#This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+テーブル1[[#This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+テーブル1[[#This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+テーブル1[[#This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+テーブル1[[#This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+テーブル1[[#This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+テーブル1[[#This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+テーブル1[[#This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+テーブル1[[#This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+テーブル1[[#This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+テーブル1[[#This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+テーブル1[[#This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+テーブル1[[#This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+テーブル1[[#This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+テーブル1[[#This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+テーブル1[[#This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+テーブル1[[#This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+テーブル1[[#This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+テーブル1[[#This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+テーブル1[[#This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+テーブル1[[#This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+テーブル1[[#This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+テーブル1[[#This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+テーブル1[[#This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+テーブル1[[#This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+テーブル1[[#This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+テーブル1[[#This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+テーブル1[[#This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+テーブル1[[#This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+テーブル1[[#This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+テーブル1[[#This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+テーブル1[[#This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+テーブル1[[#This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+テーブル1[[#This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+テーブル1[[#This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+テーブル1[[#This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+テーブル1[[#This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+テーブル1[[#This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+テーブル1[[#This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+テーブル1[[#This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+テーブル1[[#This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+テーブル1[[#This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+テーブル1[[#This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+テーブル1[[#This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+テーブル1[[#This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+テーブル1[[#This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+テーブル1[[#This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+テーブル1[[#This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+テーブル1[[#This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+テーブル1[[#This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+テーブル1[[#This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+テーブル1[[#This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+テーブル1[[#This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+テーブル1[[#This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+テーブル1[[#This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+テーブル1[[#This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+テーブル1[[#This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+テーブル1[[#This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+テーブル1[[#This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+テーブル1[[#This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+テーブル1[[#This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+テーブル1[[#This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+テーブル1[[#This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+テーブル1[[#This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+テーブル1[[#This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+テーブル1[[#This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+テーブル1[[#This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+テーブル1[[#This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+テーブル1[[#This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+テーブル1[[#This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+テーブル1[[#This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+テーブル1[[#This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+テーブル1[[#This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+テーブル1[[#This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+テーブル1[[#This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+テーブル1[[#This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+テーブル1[[#This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+テーブル1[[#This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+テーブル1[[#This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+テーブル1[[#This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+テーブル1[[#This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+テーブル1[[#This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+テーブル1[[#This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+テーブル1[[#This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+テーブル1[[#This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+テーブル1[[#This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+テーブル1[[#This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+テーブル1[[#This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+テーブル1[[#This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+テーブル1[[#This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+テーブル1[[#This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+テーブル1[[#This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+テーブル1[[#This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+テーブル1[[#This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+テーブル1[[#This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+テーブル1[[#This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+テーブル1[[#This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+テーブル1[[#This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+テーブル1[[#This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+テーブル1[[#This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+テーブル1[[#This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+テーブル1[[#This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+テーブル1[[#This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+テーブル1[[#This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+テーブル1[[#This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+テーブル1[[#This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+テーブル1[[#This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+テーブル1[[#This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+テーブル1[[#This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+テーブル1[[#This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+テーブル1[[#This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+テーブル1[[#This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+テーブル1[[#This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+テーブル1[[#This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+テーブル1[[#This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+テーブル1[[#This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+テーブル1[[#This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+テーブル1[[#This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+テーブル1[[#This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+テーブル1[[#This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+テーブル1[[#This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+テーブル1[[#This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+テーブル1[[#This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+テーブル1[[#This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+テーブル1[[#This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+テーブル1[[#This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+テーブル1[[#This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+テーブル1[[#This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+テーブル1[[#This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+テーブル1[[#This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+テーブル1[[#This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+テーブル1[[#This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+テーブル1[[#This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+テーブル1[[#This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+テーブル1[[#This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+テーブル1[[#This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+テーブル1[[#This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+テーブル1[[#This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+テーブル1[[#This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+テーブル1[[#This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+テーブル1[[#This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+テーブル1[[#This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+テーブル1[[#This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+テーブル1[[#This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+テーブル1[[#This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+テーブル1[[#This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+テーブル1[[#This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+テーブル1[[#This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+テーブル1[[#This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+テーブル1[[#This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+テーブル1[[#This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+テーブル1[[#This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+テーブル1[[#This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+テーブル1[[#This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+テーブル1[[#This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+テーブル1[[#This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+テーブル1[[#This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+テーブル1[[#This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+テーブル1[[#This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+テーブル1[[#This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+テーブル1[[#This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+テーブル1[[#This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+テーブル1[[#This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+テーブル1[[#This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+テーブル1[[#This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+テーブル1[[#This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+テーブル1[[#This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+テーブル1[[#This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+テーブル1[[#This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+テーブル1[[#This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+テーブル1[[#This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+テーブル1[[#This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+テーブル1[[#This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+テーブル1[[#This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+テーブル1[[#This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+テーブル1[[#This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+テーブル1[[#This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+テーブル1[[#This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+テーブル1[[#This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+テーブル1[[#This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+テーブル1[[#This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+テーブル1[[#This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+テーブル1[[#This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+テーブル1[[#This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+テーブル1[[#This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+テーブル1[[#This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+テーブル1[[#This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+テーブル1[[#This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+テーブル1[[#This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+テーブル1[[#This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+テーブル1[[#This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+テーブル1[[#This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+テーブル1[[#This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+テーブル1[[#This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+テーブル1[[#This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+テーブル1[[#This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+テーブル1[[#This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+テーブル1[[#This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+テーブル1[[#This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+テーブル1[[#This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+テーブル1[[#This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+テーブル1[[#This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+テーブル1[[#This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+テーブル1[[#This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+テーブル1[[#This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+テーブル1[[#This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+テーブル1[[#This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+テーブル1[[#This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+テーブル1[[#This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+テーブル1[[#This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+テーブル1[[#This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+テーブル1[[#This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+テーブル1[[#This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+テーブル1[[#This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+テーブル1[[#This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+テーブル1[[#This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+テーブル1[[#This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+テーブル1[[#This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+テーブル1[[#This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+テーブル1[[#This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+テーブル1[[#This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+テーブル1[[#This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+テーブル1[[#This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+テーブル1[[#This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+テーブル1[[#This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+テーブル1[[#This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+テーブル1[[#This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+テーブル1[[#This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+テーブル1[[#This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+テーブル1[[#This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+テーブル1[[#This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+テーブル1[[#This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+テーブル1[[#This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+テーブル1[[#This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+テーブル1[[#This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+テーブル1[[#This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+テーブル1[[#This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+テーブル1[[#This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+テーブル1[[#This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+テーブル1[[#This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+テーブル1[[#This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+テーブル1[[#This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+テーブル1[[#This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+テーブル1[[#This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+テーブル1[[#This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+テーブル1[[#This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+テーブル1[[#This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+テーブル1[[#This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+テーブル1[[#This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+テーブル1[[#This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+テーブル1[[#This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+テーブル1[[#This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+テーブル1[[#This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+テーブル1[[#This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+テーブル1[[#This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+テーブル1[[#This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+テーブル1[[#This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+テーブル1[[#This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+テーブル1[[#This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+テーブル1[[#This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+テーブル1[[#This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+テーブル1[[#This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+テーブル1[[#This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+テーブル1[[#This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+テーブル1[[#This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+テーブル1[[#This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+テーブル1[[#This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+テーブル1[[#This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+テーブル1[[#This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+テーブル1[[#This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+テーブル1[[#This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+テーブル1[[#This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+テーブル1[[#This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+テーブル1[[#This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+テーブル1[[#This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+テーブル1[[#This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+テーブル1[[#This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+テーブル1[[#This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+テーブル1[[#This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+テーブル1[[#This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+テーブル1[[#This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+テーブル1[[#This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+テーブル1[[#This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+テーブル1[[#This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+テーブル1[[#This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+テーブル1[[#This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+テーブル1[[#This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+テーブル1[[#This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+テーブル1[[#This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+テーブル1[[#This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+テーブル1[[#This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+テーブル1[[#This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+テーブル1[[#This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+テーブル1[[#This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+テーブル1[[#This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+テーブル1[[#This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+テーブル1[[#This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+テーブル1[[#This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+テーブル1[[#This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+テーブル1[[#This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+テーブル1[[#This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+テーブル1[[#This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+テーブル1[[#This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+テーブル1[[#This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+テーブル1[[#This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+テーブル1[[#This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+テーブル1[[#This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+テーブル1[[#This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+テーブル1[[#This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+テーブル1[[#This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+テーブル1[[#This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+テーブル1[[#This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+テーブル1[[#This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+テーブル1[[#This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+テーブル1[[#This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+テーブル1[[#This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+テーブル1[[#This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+テーブル1[[#This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+テーブル1[[#This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+テーブル1[[#This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+テーブル1[[#This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+テーブル1[[#This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+テーブル1[[#This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+テーブル1[[#This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+テーブル1[[#This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+テーブル1[[#This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+テーブル1[[#This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+テーブル1[[#This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+テーブル1[[#This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+テーブル1[[#This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+テーブル1[[#This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+テーブル1[[#This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+テーブル1[[#This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+テーブル1[[#This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+テーブル1[[#This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+テーブル1[[#This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+テーブル1[[#This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+テーブル1[[#This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+テーブル1[[#This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+テーブル1[[#This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+テーブル1[[#This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+テーブル1[[#This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+テーブル1[[#This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+テーブル1[[#This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+テーブル1[[#This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+テーブル1[[#This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+テーブル1[[#This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+テーブル1[[#This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+テーブル1[[#This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+テーブル1[[#This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+テーブル1[[#This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+テーブル1[[#This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+テーブル1[[#This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+テーブル1[[#This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+テーブル1[[#This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+テーブル1[[#This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+テーブル1[[#This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+テーブル1[[#This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+テーブル1[[#This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+テーブル1[[#This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+テーブル1[[#This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+テーブル1[[#This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+テーブル1[[#This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+テーブル1[[#This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+テーブル1[[#This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+テーブル1[[#This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+テーブル1[[#This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+テーブル1[[#This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+テーブル1[[#This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+テーブル1[[#This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+テーブル1[[#This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+テーブル1[[#This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+テーブル1[[#This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+テーブル1[[#This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+テーブル1[[#This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+テーブル1[[#This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+テーブル1[[#This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+テーブル1[[#This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+テーブル1[[#This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+テーブル1[[#This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+テーブル1[[#This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+テーブル1[[#This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+テーブル1[[#This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+テーブル1[[#This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+テーブル1[[#This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+テーブル1[[#This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+テーブル1[[#This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+テーブル1[[#This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+テーブル1[[#This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+テーブル1[[#This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+テーブル1[[#This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+テーブル1[[#This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+テーブル1[[#This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+テーブル1[[#This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+テーブル1[[#This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+テーブル1[[#This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+テーブル1[[#This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+テーブル1[[#This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+テーブル1[[#This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+テーブル1[[#This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+テーブル1[[#This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+テーブル1[[#This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+テーブル1[[#This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+テーブル1[[#This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+テーブル1[[#This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+テーブル1[[#This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+テーブル1[[#This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+テーブル1[[#This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+テーブル1[[#This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+テーブル1[[#This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+テーブル1[[#This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+テーブル1[[#This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+テーブル1[[#This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+テーブル1[[#This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+テーブル1[[#This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+テーブル1[[#This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+テーブル1[[#This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+テーブル1[[#This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+テーブル1[[#This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+テーブル1[[#This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+テーブル1[[#This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+テーブル1[[#This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+テーブル1[[#This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+テーブル1[[#This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+テーブル1[[#This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+テーブル1[[#This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+テーブル1[[#This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+テーブル1[[#This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+テーブル1[[#This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+テーブル1[[#This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+テーブル1[[#This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+テーブル1[[#This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+テーブル1[[#This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+テーブル1[[#This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+テーブル1[[#This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+テーブル1[[#This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+テーブル1[[#This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+テーブル1[[#This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+テーブル1[[#This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+テーブル1[[#This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+テーブル1[[#This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+テーブル1[[#This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+テーブル1[[#This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+テーブル1[[#This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+テーブル1[[#This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+テーブル1[[#This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+テーブル1[[#This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+テーブル1[[#This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+テーブル1[[#This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+テーブル1[[#This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+テーブル1[[#This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+テーブル1[[#This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+テーブル1[[#This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+テーブル1[[#This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+テーブル1[[#This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+テーブル1[[#This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+テーブル1[[#This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+テーブル1[[#This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+テーブル1[[#This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+テーブル1[[#This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+テーブル1[[#This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+テーブル1[[#This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+テーブル1[[#This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+テーブル1[[#This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+テーブル1[[#This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+テーブル1[[#This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+テーブル1[[#This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+テーブル1[[#This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+テーブル1[[#This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+テーブル1[[#This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+テーブル1[[#This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+テーブル1[[#This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+テーブル1[[#This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+テーブル1[[#This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+テーブル1[[#This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+テーブル1[[#This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+テーブル1[[#This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+テーブル1[[#This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+テーブル1[[#This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+テーブル1[[#This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+テーブル1[[#This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+テーブル1[[#This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+テーブル1[[#This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+テーブル1[[#This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+テーブル1[[#This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+テーブル1[[#This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+テーブル1[[#This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+テーブル1[[#This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+テーブル1[[#This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+テーブル1[[#This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+テーブル1[[#This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+テーブル1[[#This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+テーブル1[[#This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+テーブル1[[#This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+テーブル1[[#This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+テーブル1[[#This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+テーブル1[[#This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+テーブル1[[#This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+テーブル1[[#This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+テーブル1[[#This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+テーブル1[[#This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+テーブル1[[#This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+テーブル1[[#This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+テーブル1[[#This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+テーブル1[[#This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+テーブル1[[#This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+テーブル1[[#This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+テーブル1[[#This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+テーブル1[[#This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+テーブル1[[#This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+テーブル1[[#This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+テーブル1[[#This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+テーブル1[[#This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+テーブル1[[#This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+テーブル1[[#This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+テーブル1[[#This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+テーブル1[[#This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+テーブル1[[#This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+テーブル1[[#This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+テーブル1[[#This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+テーブル1[[#This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+テーブル1[[#This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+テーブル1[[#This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+テーブル1[[#This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+テーブル1[[#This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+テーブル1[[#This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+テーブル1[[#This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+テーブル1[[#This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+テーブル1[[#This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+テーブル1[[#This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+テーブル1[[#This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+テーブル1[[#This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+テーブル1[[#This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+テーブル1[[#This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+テーブル1[[#This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+テーブル1[[#This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+テーブル1[[#This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+テーブル1[[#This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+テーブル1[[#This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+テーブル1[[#This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+テーブル1[[#This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+テーブル1[[#This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+テーブル1[[#This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+テーブル1[[#This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+テーブル1[[#This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+テーブル1[[#This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+テーブル1[[#This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+テーブル1[[#This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+テーブル1[[#This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+テーブル1[[#This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+テーブル1[[#This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+テーブル1[[#This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+テーブル1[[#This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+テーブル1[[#This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+テーブル1[[#This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+テーブル1[[#This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+テーブル1[[#This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+テーブル1[[#This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+テーブル1[[#This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+テーブル1[[#This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+テーブル1[[#This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+テーブル1[[#This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+テーブル1[[#This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+テーブル1[[#This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+テーブル1[[#This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+テーブル1[[#This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+テーブル1[[#This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+テーブル1[[#This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+テーブル1[[#This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+テーブル1[[#This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+テーブル1[[#This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+テーブル1[[#This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+テーブル1[[#This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+テーブル1[[#This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+テーブル1[[#This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+テーブル1[[#This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+テーブル1[[#This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+テーブル1[[#This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+テーブル1[[#This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+テーブル1[[#This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+テーブル1[[#This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+テーブル1[[#This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+テーブル1[[#This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+テーブル1[[#This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+テーブル1[[#This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+テーブル1[[#This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+テーブル1[[#This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+テーブル1[[#This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+テーブル1[[#This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+テーブル1[[#This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+テーブル1[[#This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+テーブル1[[#This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+テーブル1[[#This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+テーブル1[[#This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+テーブル1[[#This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+テーブル1[[#This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+テーブル1[[#This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+テーブル1[[#This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+テーブル1[[#This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+テーブル1[[#This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+テーブル1[[#This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+テーブル1[[#This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+テーブル1[[#This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+テーブル1[[#This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+テーブル1[[#This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+テーブル1[[#This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+テーブル1[[#This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+テーブル1[[#This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+テーブル1[[#This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+テーブル1[[#This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+テーブル1[[#This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+テーブル1[[#This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+テーブル1[[#This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+テーブル1[[#This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+テーブル1[[#This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+テーブル1[[#This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+テーブル1[[#This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+テーブル1[[#This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+テーブル1[[#This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+テーブル1[[#This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+テーブル1[[#This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+テーブル1[[#This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+テーブル1[[#This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+テーブル1[[#This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+テーブル1[[#This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+テーブル1[[#This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+テーブル1[[#This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+テーブル1[[#This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+テーブル1[[#This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+テーブル1[[#This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+テーブル1[[#This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+テーブル1[[#This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+テーブル1[[#This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+テーブル1[[#This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+テーブル1[[#This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+テーブル1[[#This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+テーブル1[[#This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+テーブル1[[#This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+テーブル1[[#This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+テーブル1[[#This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+テーブル1[[#This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+テーブル1[[#This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+テーブル1[[#This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+テーブル1[[#This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+テーブル1[[#This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+テーブル1[[#This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+テーブル1[[#This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+テーブル1[[#This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+テーブル1[[#This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+テーブル1[[#This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+テーブル1[[#This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+テーブル1[[#This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+テーブル1[[#This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+テーブル1[[#This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+テーブル1[[#This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+テーブル1[[#This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+テーブル1[[#This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+テーブル1[[#This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+テーブル1[[#This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+テーブル1[[#This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+テーブル1[[#This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+テーブル1[[#This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+テーブル1[[#This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+テーブル1[[#This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+テーブル1[[#This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+テーブル1[[#This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+テーブル1[[#This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+テーブル1[[#This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+テーブル1[[#This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+テーブル1[[#This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+テーブル1[[#This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+テーブル1[[#This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+テーブル1[[#This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+テーブル1[[#This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+テーブル1[[#This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+テーブル1[[#This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+テーブル1[[#This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+テーブル1[[#This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+テーブル1[[#This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+テーブル1[[#This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+テーブル1[[#This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+テーブル1[[#This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+テーブル1[[#This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+テーブル1[[#This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+テーブル1[[#This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+テーブル1[[#This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+テーブル1[[#This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+テーブル1[[#This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+テーブル1[[#This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+テーブル1[[#This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+テーブル1[[#This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+テーブル1[[#This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+テーブル1[[#This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+テーブル1[[#This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+テーブル1[[#This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+テーブル1[[#This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+テーブル1[[#This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+テーブル1[[#This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+テーブル1[[#This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+テーブル1[[#This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+テーブル1[[#This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+テーブル1[[#This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+テーブル1[[#This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+テーブル1[[#This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+テーブル1[[#This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+テーブル1[[#This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+テーブル1[[#This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+テーブル1[[#This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+テーブル1[[#This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+テーブル1[[#This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+テーブル1[[#This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+テーブル1[[#This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+テーブル1[[#This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+テーブル1[[#This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+テーブル1[[#This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+テーブル1[[#This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+テーブル1[[#This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+テーブル1[[#This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+テーブル1[[#This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+テーブル1[[#This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+テーブル1[[#This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+テーブル1[[#This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+テーブル1[[#This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+テーブル1[[#This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+テーブル1[[#This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+テーブル1[[#This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+テーブル1[[#This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+テーブル1[[#This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+テーブル1[[#This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+テーブル1[[#This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+テーブル1[[#This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+テーブル1[[#This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+テーブル1[[#This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+テーブル1[[#This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+テーブル1[[#This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+テーブル1[[#This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+テーブル1[[#This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+テーブル1[[#This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+テーブル1[[#This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+テーブル1[[#This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+テーブル1[[#This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+テーブル1[[#This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+テーブル1[[#This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+テーブル1[[#This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+テーブル1[[#This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+テーブル1[[#This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+テーブル1[[#This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+テーブル1[[#This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+テーブル1[[#This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+テーブル1[[#This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+テーブル1[[#This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+テーブル1[[#This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+テーブル1[[#This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+テーブル1[[#This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+テーブル1[[#This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+テーブル1[[#This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+テーブル1[[#This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+テーブル1[[#This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+テーブル1[[#This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+テーブル1[[#This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+テーブル1[[#This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+テーブル1[[#This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+テーブル1[[#This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+テーブル1[[#This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+テーブル1[[#This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+テーブル1[[#This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+テーブル1[[#This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+テーブル1[[#This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+テーブル1[[#This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+テーブル1[[#This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+テーブル1[[#This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+テーブル1[[#This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+テーブル1[[#This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+テーブル1[[#This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+テーブル1[[#This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+テーブル1[[#This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+テーブル1[[#This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+テーブル1[[#This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+テーブル1[[#This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+テーブル1[[#This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+テーブル1[[#This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+テーブル1[[#This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+テーブル1[[#This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+テーブル1[[#This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+テーブル1[[#This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+テーブル1[[#This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+テーブル1[[#This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+テーブル1[[#This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+テーブル1[[#This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+テーブル1[[#This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+テーブル1[[#This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+テーブル1[[#This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+テーブル1[[#This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+テーブル1[[#This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+テーブル1[[#This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+テーブル1[[#This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+テーブル1[[#This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+テーブル1[[#This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+テーブル1[[#This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+テーブル1[[#This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+テーブル1[[#This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+テーブル1[[#This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+テーブル1[[#This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+テーブル1[[#This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+テーブル1[[#This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+テーブル1[[#This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+テーブル1[[#This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+テーブル1[[#This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+テーブル1[[#This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+テーブル1[[#This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+テーブル1[[#This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+テーブル1[[#This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+テーブル1[[#This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+テーブル1[[#This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+テーブル1[[#This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+テーブル1[[#This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+テーブル1[[#This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+テーブル1[[#This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+テーブル1[[#This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+テーブル1[[#This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+テーブル1[[#This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+テーブル1[[#This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+テーブル1[[#This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+テーブル1[[#This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+テーブル1[[#This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+テーブル1[[#This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+テーブル1[[#This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+テーブル1[[#This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+テーブル1[[#This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+テーブル1[[#This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+テーブル1[[#This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+テーブル1[[#This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+テーブル1[[#This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+テーブル1[[#This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+テーブル1[[#This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+テーブル1[[#This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+テーブル1[[#This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+テーブル1[[#This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+テーブル1[[#This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+テーブル1[[#This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+テーブル1[[#This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+テーブル1[[#This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+テーブル1[[#This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+テーブル1[[#This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+テーブル1[[#This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+テーブル1[[#This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+テーブル1[[#This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+テーブル1[[#This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+テーブル1[[#This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+テーブル1[[#This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+テーブル1[[#This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+テーブル1[[#This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+テーブル1[[#This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+テーブル1[[#This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+テーブル1[[#This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+テーブル1[[#This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+テーブル1[[#This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+テーブル1[[#This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+テーブル1[[#This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+テーブル1[[#This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+テーブル1[[#This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+テーブル1[[#This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+テーブル1[[#This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+テーブル1[[#This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+テーブル1[[#This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+テーブル1[[#This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+テーブル1[[#This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+テーブル1[[#This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+テーブル1[[#This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+テーブル1[[#This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+テーブル1[[#This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+テーブル1[[#This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+テーブル1[[#This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+テーブル1[[#This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+テーブル1[[#This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+テーブル1[[#This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+テーブル1[[#This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+テーブル1[[#This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+テーブル1[[#This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+テーブル1[[#This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+テーブル1[[#This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+テーブル1[[#This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+テーブル1[[#This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+テーブル1[[#This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+テーブル1[[#This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+テーブル1[[#This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+テーブル1[[#This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+テーブル1[[#This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+テーブル1[[#This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+テーブル1[[#This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+テーブル1[[#This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+テーブル1[[#This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+テーブル1[[#This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+テーブル1[[#This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+テーブル1[[#This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+テーブル1[[#This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+テーブル1[[#This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+テーブル1[[#This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+テーブル1[[#This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+テーブル1[[#This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+テーブル1[[#This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+テーブル1[[#This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+テーブル1[[#This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+テーブル1[[#This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+テーブル1[[#This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+テーブル1[[#This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+テーブル1[[#This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+テーブル1[[#This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+テーブル1[[#This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+テーブル1[[#This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+テーブル1[[#This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+テーブル1[[#This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+テーブル1[[#This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+テーブル1[[#This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+テーブル1[[#This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+テーブル1[[#This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+テーブル1[[#This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+テーブル1[[#This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+テーブル1[[#This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+テーブル1[[#This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+テーブル1[[#This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+テーブル1[[#This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+テーブル1[[#This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+テーブル1[[#This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+テーブル1[[#This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+テーブル1[[#This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+テーブル1[[#This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+テーブル1[[#This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+テーブル1[[#This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+テーブル1[[#This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+テーブル1[[#This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+テーブル1[[#This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+テーブル1[[#This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+テーブル1[[#This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+テーブル1[[#This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+テーブル1[[#This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+テーブル1[[#This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+テーブル1[[#This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+テーブル1[[#This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+テーブル1[[#This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+テーブル1[[#This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+テーブル1[[#This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+テーブル1[[#This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+テーブル1[[#This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+テーブル1[[#This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+テーブル1[[#This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+テーブル1[[#This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+テーブル1[[#This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+テーブル1[[#This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+テーブル1[[#This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+テーブル1[[#This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+テーブル1[[#This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+テーブル1[[#This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+テーブル1[[#This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+テーブル1[[#This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+テーブル1[[#This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+テーブル1[[#This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+テーブル1[[#This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+テーブル1[[#This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+テーブル1[[#This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+テーブル1[[#This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+テーブル1[[#This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+テーブル1[[#This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+テーブル1[[#This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+テーブル1[[#This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+テーブル1[[#This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+テーブル1[[#This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+テーブル1[[#This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+テーブル1[[#This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+テーブル1[[#This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+テーブル1[[#This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+テーブル1[[#This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+テーブル1[[#This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+テーブル1[[#This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+テーブル1[[#This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+テーブル1[[#This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+テーブル1[[#This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+テーブル1[[#This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+テーブル1[[#This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+テーブル1[[#This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+テーブル1[[#This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+テーブル1[[#This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+テーブル1[[#This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+テーブル1[[#This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+テーブル1[[#This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+テーブル1[[#This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+テーブル1[[#This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+テーブル1[[#This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+テーブル1[[#This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+テーブル1[[#This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+テーブル1[[#This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+テーブル1[[#This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+テーブル1[[#This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+テーブル1[[#This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+テーブル1[[#This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+テーブル1[[#This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+テーブル1[[#This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+テーブル1[[#This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+テーブル1[[#This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+テーブル1[[#This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+テーブル1[[#This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+テーブル1[[#This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+テーブル1[[#This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+テーブル1[[#This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+テーブル1[[#This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+テーブル1[[#This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+テーブル1[[#This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+テーブル1[[#This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+テーブル1[[#This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+テーブル1[[#This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+テーブル1[[#This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+テーブル1[[#This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+テーブル1[[#This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+テーブル1[[#This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+テーブル1[[#This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+テーブル1[[#This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+テーブル1[[#This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+テーブル1[[#This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+テーブル1[[#This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+テーブル1[[#This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+テーブル1[[#This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+テーブル1[[#This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+テーブル1[[#This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+テーブル1[[#This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+テーブル1[[#This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+テーブル1[[#This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+テーブル1[[#This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+テーブル1[[#This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+テーブル1[[#This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+テーブル1[[#This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+テーブル1[[#This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+テーブル1[[#This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+テーブル1[[#This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+テーブル1[[#This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+テーブル1[[#This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+テーブル1[[#This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+テーブル1[[#This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+テーブル1[[#This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+テーブル1[[#This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+テーブル1[[#This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+テーブル1[[#This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+テーブル1[[#This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+テーブル1[[#This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+テーブル1[[#This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+テーブル1[[#This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+テーブル1[[#This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+テーブル1[[#This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+テーブル1[[#This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+テーブル1[[#This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+テーブル1[[#This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+テーブル1[[#This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+テーブル1[[#This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+テーブル1[[#This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+テーブル1[[#This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+テーブル1[[#This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+テーブル1[[#This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+テーブル1[[#This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+テーブル1[[#This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+テーブル1[[#This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+テーブル1[[#This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+テーブル1[[#This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+テーブル1[[#This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+テーブル1[[#This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+テーブル1[[#This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+テーブル1[[#This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+テーブル1[[#This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+テーブル1[[#This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+テーブル1[[#This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+テーブル1[[#This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+テーブル1[[#This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+テーブル1[[#This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+テーブル1[[#This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+テーブル1[[#This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+テーブル1[[#This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+テーブル1[[#This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+テーブル1[[#This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+テーブル1[[#This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+テーブル1[[#This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+テーブル1[[#This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+テーブル1[[#This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+テーブル1[[#This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+テーブル1[[#This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+テーブル1[[#This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+テーブル1[[#This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+テーブル1[[#This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+テーブル1[[#This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+テーブル1[[#This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+テーブル1[[#This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+テーブル1[[#This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+テーブル1[[#This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+テーブル1[[#This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+テーブル1[[#This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+テーブル1[[#This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+テーブル1[[#This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+テーブル1[[#This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+テーブル1[[#This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+テーブル1[[#This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+テーブル1[[#This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+テーブル1[[#This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+テーブル1[[#This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+テーブル1[[#This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+テーブル1[[#This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+テーブル1[[#This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+テーブル1[[#This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+テーブル1[[#This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+テーブル1[[#This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+テーブル1[[#This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+テーブル1[[#This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+テーブル1[[#This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+テーブル1[[#This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+テーブル1[[#This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+テーブル1[[#This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+テーブル1[[#This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+テーブル1[[#This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+テーブル1[[#This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+テーブル1[[#This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+テーブル1[[#This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+テーブル1[[#This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+テーブル1[[#This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+テーブル1[[#This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+テーブル1[[#This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+テーブル1[[#This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+テーブル1[[#This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+テーブル1[[#This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+テーブル1[[#This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+テーブル1[[#This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+テーブル1[[#This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+テーブル1[[#This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+テーブル1[[#This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+テーブル1[[#This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+テーブル1[[#This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+テーブル1[[#This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+テーブル1[[#This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+テーブル1[[#This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+テーブル1[[#This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+テーブル1[[#This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+テーブル1[[#This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+テーブル1[[#This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+テーブル1[[#This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+テーブル1[[#This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+テーブル1[[#This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+テーブル1[[#This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+テーブル1[[#This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+テーブル1[[#This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+テーブル1[[#This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+テーブル1[[#This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+テーブル1[[#This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+テーブル1[[#This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+テーブル1[[#This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+テーブル1[[#This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+テーブル1[[#This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+テーブル1[[#This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+テーブル1[[#This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+テーブル1[[#This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+テーブル1[[#This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+テーブル1[[#This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+テーブル1[[#This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+テーブル1[[#This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+テーブル1[[#This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+テーブル1[[#This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+テーブル1[[#This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+テーブル1[[#This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+テーブル1[[#This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+テーブル1[[#This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+テーブル1[[#This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+テーブル1[[#This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+テーブル1[[#This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+テーブル1[[#This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+テーブル1[[#This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+テーブル1[[#This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+テーブル1[[#This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+テーブル1[[#This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+テーブル1[[#This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+テーブル1[[#This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+テーブル1[[#This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+テーブル1[[#This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+テーブル1[[#This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+テーブル1[[#This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+テーブル1[[#This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+テーブル1[[#This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+テーブル1[[#This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+テーブル1[[#This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+テーブル1[[#This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+テーブル1[[#This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+テーブル1[[#This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+テーブル1[[#This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+テーブル1[[#This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+テーブル1[[#This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+テーブル1[[#This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+テーブル1[[#This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+テーブル1[[#This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+テーブル1[[#This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+テーブル1[[#This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+テーブル1[[#This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+テーブル1[[#This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+テーブル1[[#This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+テーブル1[[#This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+テーブル1[[#This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+テーブル1[[#This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+テーブル1[[#This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+テーブル1[[#This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+テーブル1[[#This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+テーブル1[[#This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+テーブル1[[#This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+テーブル1[[#This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+テーブル1[[#This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+テーブル1[[#This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+テーブル1[[#This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+テーブル1[[#This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+テーブル1[[#This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+テーブル1[[#This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+テーブル1[[#This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+テーブル1[[#This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+テーブル1[[#This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+テーブル1[[#This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+テーブル1[[#This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+テーブル1[[#This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+テーブル1[[#This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+テーブル1[[#This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+テーブル1[[#This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+テーブル1[[#This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+テーブル1[[#This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+テーブル1[[#This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+テーブル1[[#This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+テーブル1[[#This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+テーブル1[[#This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+テーブル1[[#This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+テーブル1[[#This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+テーブル1[[#This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+テーブル1[[#This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+テーブル1[[#This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+テーブル1[[#This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+テーブル1[[#This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+テーブル1[[#This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+テーブル1[[#This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+テーブル1[[#This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+テーブル1[[#This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+テーブル1[[#This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+テーブル1[[#This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+テーブル1[[#This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+テーブル1[[#This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+テーブル1[[#This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+テーブル1[[#This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+テーブル1[[#This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+テーブル1[[#This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+テーブル1[[#This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+テーブル1[[#This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+テーブル1[[#This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+テーブル1[[#This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+テーブル1[[#This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+テーブル1[[#This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+テーブル1[[#This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+テーブル1[[#This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+テーブル1[[#This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+テーブル1[[#This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+テーブル1[[#This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+テーブル1[[#This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+テーブル1[[#This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+テーブル1[[#This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+テーブル1[[#This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+テーブル1[[#This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+テーブル1[[#This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+テーブル1[[#This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+テーブル1[[#This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+テーブル1[[#This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+テーブル1[[#This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+テーブル1[[#This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+テーブル1[[#This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+テーブル1[[#This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+テーブル1[[#This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+テーブル1[[#This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+テーブル1[[#This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+テーブル1[[#This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+テーブル1[[#This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+テーブル1[[#This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+テーブル1[[#This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+テーブル1[[#This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+テーブル1[[#This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+テーブル1[[#This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+テーブル1[[#This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+テーブル1[[#This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+テーブル1[[#This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+テーブル1[[#This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+テーブル1[[#This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+テーブル1[[#This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+テーブル1[[#This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+テーブル1[[#This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+テーブル1[[#This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+テーブル1[[#This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+テーブル1[[#This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+テーブル1[[#This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+テーブル1[[#This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+テーブル1[[#This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+テーブル1[[#This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+テーブル1[[#This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+テーブル1[[#This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+テーブル1[[#This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+テーブル1[[#This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+テーブル1[[#This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+テーブル1[[#This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+テーブル1[[#This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+テーブル1[[#This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+テーブル1[[#This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+テーブル1[[#This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+テーブル1[[#This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+テーブル1[[#This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+テーブル1[[#This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+テーブル1[[#This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+テーブル1[[#This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+テーブル1[[#This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+テーブル1[[#This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+テーブル1[[#This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+テーブル1[[#This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+テーブル1[[#This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+テーブル1[[#This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+テーブル1[[#This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+テーブル1[[#This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+テーブル1[[#This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+テーブル1[[#This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+テーブル1[[#This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+テーブル1[[#This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+テーブル1[[#This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+テーブル1[[#This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+テーブル1[[#This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+テーブル1[[#This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+テーブル1[[#This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+テーブル1[[#This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+テーブル1[[#This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+テーブル1[[#This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+テーブル1[[#This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+テーブル1[[#This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+テーブル1[[#This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+テーブル1[[#This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+テーブル1[[#This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+テーブル1[[#This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+テーブル1[[#This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+テーブル1[[#This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+テーブル1[[#This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+テーブル1[[#This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+テーブル1[[#This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+テーブル1[[#This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+テーブル1[[#This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+テーブル1[[#This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+テーブル1[[#This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+テーブル1[[#This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+テーブル1[[#This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+テーブル1[[#This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+テーブル1[[#This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+テーブル1[[#This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+テーブル1[[#This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+テーブル1[[#This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+テーブル1[[#This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+テーブル1[[#This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+テーブル1[[#This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+テーブル1[[#This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+テーブル1[[#This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+テーブル1[[#This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+テーブル1[[#This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+テーブル1[[#This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+テーブル1[[#This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+テーブル1[[#This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+テーブル1[[#This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+テーブル1[[#This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+テーブル1[[#This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+テーブル1[[#This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+テーブル1[[#This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+テーブル1[[#This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+テーブル1[[#This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+テーブル1[[#This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+テーブル1[[#This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+テーブル1[[#This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+テーブル1[[#This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+テーブル1[[#This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+テーブル1[[#This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+テーブル1[[#This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+テーブル1[[#This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+テーブル1[[#This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+テーブル1[[#This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+テーブル1[[#This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+テーブル1[[#This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+テーブル1[[#This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+テーブル1[[#This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+テーブル1[[#This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+テーブル1[[#This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+テーブル1[[#This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+テーブル1[[#This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+テーブル1[[#This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+テーブル1[[#This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+テーブル1[[#This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+テーブル1[[#This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+テーブル1[[#This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+テーブル1[[#This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+テーブル1[[#This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+テーブル1[[#This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+テーブル1[[#This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+テーブル1[[#This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+テーブル1[[#This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+テーブル1[[#This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+テーブル1[[#This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+テーブル1[[#This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+テーブル1[[#This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+テーブル1[[#This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+テーブル1[[#This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+テーブル1[[#This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+テーブル1[[#This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+テーブル1[[#This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+テーブル1[[#This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+テーブル1[[#This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+テーブル1[[#This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+テーブル1[[#This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+テーブル1[[#This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+テーブル1[[#This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+テーブル1[[#This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+テーブル1[[#This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+テーブル1[[#This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+テーブル1[[#This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+テーブル1[[#This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+テーブル1[[#This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+テーブル1[[#This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+テーブル1[[#This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+テーブル1[[#This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+テーブル1[[#This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+テーブル1[[#This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+テーブル1[[#This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+テーブル1[[#This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+テーブル1[[#This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+テーブル1[[#This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+テーブル1[[#This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+テーブル1[[#This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+テーブル1[[#This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+テーブル1[[#This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+テーブル1[[#This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+テーブル1[[#This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+テーブル1[[#This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+テーブル1[[#This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+テーブル1[[#This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+テーブル1[[#This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+テーブル1[[#This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+テーブル1[[#This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+テーブル1[[#This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+テーブル1[[#This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+テーブル1[[#This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+テーブル1[[#This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+テーブル1[[#This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+テーブル1[[#This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+テーブル1[[#This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+テーブル1[[#This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+テーブル1[[#This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+テーブル1[[#This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+テーブル1[[#This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+テーブル1[[#This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+テーブル1[[#This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+テーブル1[[#This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+テーブル1[[#This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+テーブル1[[#This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+テーブル1[[#This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+テーブル1[[#This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+テーブル1[[#This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+テーブル1[[#This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+テーブル1[[#This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+テーブル1[[#This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+テーブル1[[#This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+テーブル1[[#This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+テーブル1[[#This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+テーブル1[[#This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+テーブル1[[#This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+テーブル1[[#This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+テーブル1[[#This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+テーブル1[[#This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+テーブル1[[#This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+テーブル1[[#This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+テーブル1[[#This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+テーブル1[[#This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+テーブル1[[#This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+テーブル1[[#This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+テーブル1[[#This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+テーブル1[[#This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+テーブル1[[#This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+テーブル1[[#This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+テーブル1[[#This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+テーブル1[[#This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+テーブル1[[#This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+テーブル1[[#This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+テーブル1[[#This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+テーブル1[[#This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+テーブル1[[#This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+テーブル1[[#This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+テーブル1[[#This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+テーブル1[[#This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+テーブル1[[#This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+テーブル1[[#This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+テーブル1[[#This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+テーブル1[[#This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+テーブル1[[#This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+テーブル1[[#This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+テーブル1[[#This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+テーブル1[[#This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+テーブル1[[#This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+テーブル1[[#This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+テーブル1[[#This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+テーブル1[[#This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+テーブル1[[#This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+テーブル1[[#This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+テーブル1[[#This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+テーブル1[[#This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+テーブル1[[#This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+テーブル1[[#This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+テーブル1[[#This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+テーブル1[[#This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+テーブル1[[#This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+テーブル1[[#This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+テーブル1[[#This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+テーブル1[[#This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+テーブル1[[#This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+テーブル1[[#This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+テーブル1[[#This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+テーブル1[[#This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+テーブル1[[#This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+テーブル1[[#This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+テーブル1[[#This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+テーブル1[[#This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+テーブル1[[#This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+テーブル1[[#This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+テーブル1[[#This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+テーブル1[[#This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+テーブル1[[#This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+テーブル1[[#This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+テーブル1[[#This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+テーブル1[[#This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+テーブル1[[#This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+テーブル1[[#This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+テーブル1[[#This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+テーブル1[[#This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+テーブル1[[#This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+テーブル1[[#This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+テーブル1[[#This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+テーブル1[[#This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+テーブル1[[#This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+テーブル1[[#This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+テーブル1[[#This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+テーブル1[[#This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+テーブル1[[#This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+テーブル1[[#This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+テーブル1[[#This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+テーブル1[[#This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+テーブル1[[#This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+テーブル1[[#This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+テーブル1[[#This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+テーブル1[[#This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+テーブル1[[#This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+テーブル1[[#This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+テーブル1[[#This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+テーブル1[[#This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+テーブル1[[#This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+テーブル1[[#This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+テーブル1[[#This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+テーブル1[[#This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+テーブル1[[#This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+テーブル1[[#This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+テーブル1[[#This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+テーブル1[[#This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+テーブル1[[#This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+テーブル1[[#This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+テーブル1[[#This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+テーブル1[[#This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+テーブル1[[#This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+テーブル1[[#This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+テーブル1[[#This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+テーブル1[[#This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+テーブル1[[#This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+テーブル1[[#This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+テーブル1[[#This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+テーブル1[[#This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+テーブル1[[#This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+テーブル1[[#This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+テーブル1[[#This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+テーブル1[[#This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+テーブル1[[#This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+テーブル1[[#This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+テーブル1[[#This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+テーブル1[[#This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+テーブル1[[#This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+テーブル1[[#This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+テーブル1[[#This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+テーブル1[[#This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+テーブル1[[#This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+テーブル1[[#This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+テーブル1[[#This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+テーブル1[[#This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+テーブル1[[#This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+テーブル1[[#This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+テーブル1[[#This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+テーブル1[[#This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+テーブル1[[#This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+テーブル1[[#This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+テーブル1[[#This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+テーブル1[[#This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+テーブル1[[#This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+テーブル1[[#This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+テーブル1[[#This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+テーブル1[[#This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+テーブル1[[#This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+テーブル1[[#This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+テーブル1[[#This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+テーブル1[[#This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+テーブル1[[#This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+テーブル1[[#This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+テーブル1[[#This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+テーブル1[[#This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+テーブル1[[#This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+テーブル1[[#This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+テーブル1[[#This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+テーブル1[[#This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+テーブル1[[#This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+テーブル1[[#This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+テーブル1[[#This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+テーブル1[[#This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+テーブル1[[#This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+テーブル1[[#This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+テーブル1[[#This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+テーブル1[[#This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+テーブル1[[#This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+テーブル1[[#This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+テーブル1[[#This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+テーブル1[[#This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+テーブル1[[#This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+テーブル1[[#This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+テーブル1[[#This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+テーブル1[[#This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+テーブル1[[#This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+テーブル1[[#This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+テーブル1[[#This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+テーブル1[[#This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+テーブル1[[#This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+テーブル1[[#This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+テーブル1[[#This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+テーブル1[[#This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+テーブル1[[#This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+テーブル1[[#This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+テーブル1[[#This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+テーブル1[[#This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+テーブル1[[#This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+テーブル1[[#This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+テーブル1[[#This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+テーブル1[[#This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+テーブル1[[#This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+テーブル1[[#This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+テーブル1[[#This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+テーブル1[[#This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+テーブル1[[#This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+テーブル1[[#This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+テーブル1[[#This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+テーブル1[[#This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+テーブル1[[#This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+テーブル1[[#This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+テーブル1[[#This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+テーブル1[[#This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+テーブル1[[#This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+テーブル1[[#This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+テーブル1[[#This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+テーブル1[[#This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+テーブル1[[#This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+テーブル1[[#This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+テーブル1[[#This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+テーブル1[[#This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+テーブル1[[#This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+テーブル1[[#This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+テーブル1[[#This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+テーブル1[[#This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+テーブル1[[#This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+テーブル1[[#This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+テーブル1[[#This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+テーブル1[[#This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+テーブル1[[#This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+テーブル1[[#This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+テーブル1[[#This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+テーブル1[[#This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+テーブル1[[#This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+テーブル1[[#This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+テーブル1[[#This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+テーブル1[[#This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+テーブル1[[#This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+テーブル1[[#This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+テーブル1[[#This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+テーブル1[[#This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+テーブル1[[#This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+テーブル1[[#This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+テーブル1[[#This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+テーブル1[[#This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+テーブル1[[#This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+テーブル1[[#This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+テーブル1[[#This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+テーブル1[[#This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+テーブル1[[#This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+テーブル1[[#This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+テーブル1[[#This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+テーブル1[[#This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+テーブル1[[#This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+テーブル1[[#This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+テーブル1[[#This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+テーブル1[[#This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+テーブル1[[#This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+テーブル1[[#This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+テーブル1[[#This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+テーブル1[[#This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+テーブル1[[#This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+テーブル1[[#This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+テーブル1[[#This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+テーブル1[[#This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+テーブル1[[#This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+テーブル1[[#This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+テーブル1[[#This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+テーブル1[[#This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+テーブル1[[#This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+テーブル1[[#This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+テーブル1[[#This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+テーブル1[[#This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+テーブル1[[#This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+テーブル1[[#This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+テーブル1[[#This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+テーブル1[[#This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+テーブル1[[#This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+テーブル1[[#This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+テーブル1[[#This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+テーブル1[[#This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+テーブル1[[#This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+テーブル1[[#This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+テーブル1[[#This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+テーブル1[[#This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+テーブル1[[#This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+テーブル1[[#This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+テーブル1[[#This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+テーブル1[[#This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+テーブル1[[#This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+テーブル1[[#This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+テーブル1[[#This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+テーブル1[[#This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+テーブル1[[#This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+テーブル1[[#This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+テーブル1[[#This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+テーブル1[[#This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+テーブル1[[#This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+テーブル1[[#This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+テーブル1[[#This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+テーブル1[[#This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+テーブル1[[#This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+テーブル1[[#This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+テーブル1[[#This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+テーブル1[[#This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+テーブル1[[#This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+テーブル1[[#This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+テーブル1[[#This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+テーブル1[[#This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+テーブル1[[#This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+テーブル1[[#This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+テーブル1[[#This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+テーブル1[[#This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+テーブル1[[#This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+テーブル1[[#This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+テーブル1[[#This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+テーブル1[[#This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+テーブル1[[#This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+テーブル1[[#This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+テーブル1[[#This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+テーブル1[[#This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+テーブル1[[#This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+テーブル1[[#This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+テーブル1[[#This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+テーブル1[[#This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+テーブル1[[#This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+テーブル1[[#This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+テーブル1[[#This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+テーブル1[[#This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+テーブル1[[#This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+テーブル1[[#This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+テーブル1[[#This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+テーブル1[[#This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+テーブル1[[#This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+テーブル1[[#This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+テーブル1[[#This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+テーブル1[[#This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+テーブル1[[#This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+テーブル1[[#This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+テーブル1[[#This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+テーブル1[[#This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+テーブル1[[#This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+テーブル1[[#This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+テーブル1[[#This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+テーブル1[[#This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+テーブル1[[#This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+テーブル1[[#This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+テーブル1[[#This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+テーブル1[[#This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+テーブル1[[#This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+テーブル1[[#This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+テーブル1[[#This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+テーブル1[[#This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+テーブル1[[#This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+テーブル1[[#This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+テーブル1[[#This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+テーブル1[[#This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+テーブル1[[#This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+テーブル1[[#This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+テーブル1[[#This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+テーブル1[[#This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+テーブル1[[#This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+テーブル1[[#This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+テーブル1[[#This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+テーブル1[[#This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+テーブル1[[#This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+テーブル1[[#This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+テーブル1[[#This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+テーブル1[[#This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+テーブル1[[#This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+テーブル1[[#This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+テーブル1[[#This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+テーブル1[[#This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+テーブル1[[#This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+テーブル1[[#This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+テーブル1[[#This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+テーブル1[[#This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+テーブル1[[#This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+テーブル1[[#This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+テーブル1[[#This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+テーブル1[[#This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+テーブル1[[#This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+テーブル1[[#This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+テーブル1[[#This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+テーブル1[[#This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+テーブル1[[#This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+テーブル1[[#This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+テーブル1[[#This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+テーブル1[[#This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+テーブル1[[#This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+テーブル1[[#This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+テーブル1[[#This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+テーブル1[[#This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+テーブル1[[#This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+テーブル1[[#This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+テーブル1[[#This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+テーブル1[[#This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+テーブル1[[#This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+テーブル1[[#This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+テーブル1[[#This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+テーブル1[[#This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+テーブル1[[#This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+テーブル1[[#This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+テーブル1[[#This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+テーブル1[[#This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+テーブル1[[#This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+テーブル1[[#This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+テーブル1[[#This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+テーブル1[[#This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+テーブル1[[#This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+テーブル1[[#This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+テーブル1[[#This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+テーブル1[[#This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+テーブル1[[#This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+テーブル1[[#This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+テーブル1[[#This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+テーブル1[[#This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+テーブル1[[#This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+テーブル1[[#This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+テーブル1[[#This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+テーブル1[[#This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+テーブル1[[#This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+テーブル1[[#This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+テーブル1[[#This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+テーブル1[[#This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+テーブル1[[#This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+テーブル1[[#This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+テーブル1[[#This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+テーブル1[[#This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+テーブル1[[#This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+テーブル1[[#This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+テーブル1[[#This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+テーブル1[[#This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+テーブル1[[#This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+テーブル1[[#This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+テーブル1[[#This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+テーブル1[[#This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+テーブル1[[#This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+テーブル1[[#This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+テーブル1[[#This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+テーブル1[[#This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+テーブル1[[#This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+テーブル1[[#This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+テーブル1[[#This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+テーブル1[[#This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+テーブル1[[#This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+テーブル1[[#This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+テーブル1[[#This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+テーブル1[[#This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+テーブル1[[#This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+テーブル1[[#This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+テーブル1[[#This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+テーブル1[[#This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+テーブル1[[#This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+テーブル1[[#This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+テーブル1[[#This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+テーブル1[[#This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+テーブル1[[#This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+テーブル1[[#This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+テーブル1[[#This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+テーブル1[[#This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+テーブル1[[#This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+テーブル1[[#This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+テーブル1[[#This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+テーブル1[[#This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+テーブル1[[#This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+テーブル1[[#This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+テーブル1[[#This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+テーブル1[[#This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+テーブル1[[#This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+テーブル1[[#This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+テーブル1[[#This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+テーブル1[[#This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+テーブル1[[#This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+テーブル1[[#This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+テーブル1[[#This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+テーブル1[[#This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+テーブル1[[#This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+テーブル1[[#This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+テーブル1[[#This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+テーブル1[[#This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+テーブル1[[#This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+テーブル1[[#This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+テーブル1[[#This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+テーブル1[[#This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+テーブル1[[#This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+テーブル1[[#This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+テーブル1[[#This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+テーブル1[[#This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+テーブル1[[#This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+テーブル1[[#This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+テーブル1[[#This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+テーブル1[[#This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+テーブル1[[#This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+テーブル1[[#This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+テーブル1[[#This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+テーブル1[[#This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+テーブル1[[#This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+テーブル1[[#This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+テーブル1[[#This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+テーブル1[[#This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+テーブル1[[#This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+テーブル1[[#This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+テーブル1[[#This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+テーブル1[[#This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+テーブル1[[#This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+テーブル1[[#This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+テーブル1[[#This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+テーブル1[[#This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+テーブル1[[#This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+テーブル1[[#This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+テーブル1[[#This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+テーブル1[[#This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+テーブル1[[#This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+テーブル1[[#This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+テーブル1[[#This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+テーブル1[[#This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+テーブル1[[#This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+テーブル1[[#This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+テーブル1[[#This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+テーブル1[[#This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+テーブル1[[#This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+テーブル1[[#This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+テーブル1[[#This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+テーブル1[[#This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+テーブル1[[#This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+テーブル1[[#This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+テーブル1[[#This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+テーブル1[[#This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+テーブル1[[#This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+テーブル1[[#This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+テーブル1[[#This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+テーブル1[[#This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+テーブル1[[#This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+テーブル1[[#This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+テーブル1[[#This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+テーブル1[[#This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+テーブル1[[#This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+テーブル1[[#This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+テーブル1[[#This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+テーブル1[[#This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+テーブル1[[#This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+テーブル1[[#This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+テーブル1[[#This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+テーブル1[[#This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+テーブル1[[#This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+テーブル1[[#This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+テーブル1[[#This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+テーブル1[[#This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+テーブル1[[#This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+テーブル1[[#This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+テーブル1[[#This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+テーブル1[[#This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+テーブル1[[#This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+テーブル1[[#This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+テーブル1[[#This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+テーブル1[[#This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+テーブル1[[#This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+テーブル1[[#This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+テーブル1[[#This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+テーブル1[[#This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+テーブル1[[#This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+テーブル1[[#This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+テーブル1[[#This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+テーブル1[[#This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+テーブル1[[#This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+テーブル1[[#This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+テーブル1[[#This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+テーブル1[[#This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+テーブル1[[#This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+テーブル1[[#This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+テーブル1[[#This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+テーブル1[[#This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+テーブル1[[#This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+テーブル1[[#This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+テーブル1[[#This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+テーブル1[[#This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+テーブル1[[#This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+テーブル1[[#This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+テーブル1[[#This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+テーブル1[[#This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+テーブル1[[#This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+テーブル1[[#This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+テーブル1[[#This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+テーブル1[[#This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+テーブル1[[#This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+テーブル1[[#This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+テーブル1[[#This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+テーブル1[[#This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+テーブル1[[#This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+テーブル1[[#This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+テーブル1[[#This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+テーブル1[[#This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+テーブル1[[#This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+テーブル1[[#This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+テーブル1[[#This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+テーブル1[[#This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+テーブル1[[#This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+テーブル1[[#This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+テーブル1[[#This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+テーブル1[[#This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+テーブル1[[#This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+テーブル1[[#This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+テーブル1[[#This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+テーブル1[[#This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+テーブル1[[#This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+テーブル1[[#This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+テーブル1[[#This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+テーブル1[[#This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+テーブル1[[#This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+テーブル1[[#This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+テーブル1[[#This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+テーブル1[[#This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+テーブル1[[#This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+テーブル1[[#This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+テーブル1[[#This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+テーブル1[[#This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+テーブル1[[#This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+テーブル1[[#This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+テーブル1[[#This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+テーブル1[[#This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+テーブル1[[#This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+テーブル1[[#This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+テーブル1[[#This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+テーブル1[[#This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+テーブル1[[#This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+テーブル1[[#This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+テーブル1[[#This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+テーブル1[[#This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+テーブル1[[#This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+テーブル1[[#This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+テーブル1[[#This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+テーブル1[[#This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+テーブル1[[#This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+テーブル1[[#This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+テーブル1[[#This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+テーブル1[[#This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+テーブル1[[#This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+テーブル1[[#This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+テーブル1[[#This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+テーブル1[[#This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+テーブル1[[#This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+テーブル1[[#This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+テーブル1[[#This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+テーブル1[[#This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+テーブル1[[#This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+テーブル1[[#This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+テーブル1[[#This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+テーブル1[[#This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+テーブル1[[#This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+テーブル1[[#This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+テーブル1[[#This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+テーブル1[[#This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+テーブル1[[#This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+テーブル1[[#This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+テーブル1[[#This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+テーブル1[[#This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+テーブル1[[#This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+テーブル1[[#This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+テーブル1[[#This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+テーブル1[[#This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+テーブル1[[#This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+テーブル1[[#This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+テーブル1[[#This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+テーブル1[[#This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+テーブル1[[#This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+テーブル1[[#This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+テーブル1[[#This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+テーブル1[[#This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+テーブル1[[#This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+テーブル1[[#This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+テーブル1[[#This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+テーブル1[[#This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+テーブル1[[#This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+テーブル1[[#This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+テーブル1[[#This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+テーブル1[[#This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+テーブル1[[#This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+テーブル1[[#This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+テーブル1[[#This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+テーブル1[[#This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+テーブル1[[#This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+テーブル1[[#This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+テーブル1[[#This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+テーブル1[[#This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+テーブル1[[#This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+テーブル1[[#This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+テーブル1[[#This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+テーブル1[[#This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+テーブル1[[#This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+テーブル1[[#This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+テーブル1[[#This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+テーブル1[[#This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+テーブル1[[#This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+テーブル1[[#This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+テーブル1[[#This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+テーブル1[[#This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+テーブル1[[#This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+テーブル1[[#This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+テーブル1[[#This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+テーブル1[[#This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+テーブル1[[#This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+テーブル1[[#This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+テーブル1[[#This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+テーブル1[[#This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+テーブル1[[#This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+テーブル1[[#This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+テーブル1[[#This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+テーブル1[[#This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+テーブル1[[#This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+テーブル1[[#This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+テーブル1[[#This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+テーブル1[[#This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+テーブル1[[#This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+テーブル1[[#This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+テーブル1[[#This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+テーブル1[[#This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+テーブル1[[#This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+テーブル1[[#This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+テーブル1[[#This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+テーブル1[[#This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+テーブル1[[#This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+テーブル1[[#This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+テーブル1[[#This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+テーブル1[[#This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+テーブル1[[#This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+テーブル1[[#This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+テーブル1[[#This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+テーブル1[[#This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+テーブル1[[#This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+テーブル1[[#This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+テーブル1[[#This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+テーブル1[[#This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+テーブル1[[#This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+テーブル1[[#This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+テーブル1[[#This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+テーブル1[[#This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+テーブル1[[#This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+テーブル1[[#This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+テーブル1[[#This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+テーブル1[[#This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+テーブル1[[#This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+テーブル1[[#This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+テーブル1[[#This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+テーブル1[[#This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+テーブル1[[#This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+テーブル1[[#This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+テーブル1[[#This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+テーブル1[[#This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+テーブル1[[#This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+テーブル1[[#This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+テーブル1[[#This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+テーブル1[[#This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+テーブル1[[#This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+テーブル1[[#This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+テーブル1[[#This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+テーブル1[[#This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+テーブル1[[#This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+テーブル1[[#This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+テーブル1[[#This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+テーブル1[[#This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+テーブル1[[#This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+テーブル1[[#This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+テーブル1[[#This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+テーブル1[[#This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+テーブル1[[#This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+テーブル1[[#This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+テーブル1[[#This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+テーブル1[[#This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+テーブル1[[#This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+テーブル1[[#This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+テーブル1[[#This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+テーブル1[[#This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+テーブル1[[#This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+テーブル1[[#This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+テーブル1[[#This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+テーブル1[[#This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+テーブル1[[#This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+テーブル1[[#This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+テーブル1[[#This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+テーブル1[[#This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+テーブル1[[#This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+テーブル1[[#This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+テーブル1[[#This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+テーブル1[[#This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+テーブル1[[#This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+テーブル1[[#This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+テーブル1[[#This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+テーブル1[[#This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+テーブル1[[#This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+テーブル1[[#This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+テーブル1[[#This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+テーブル1[[#This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+テーブル1[[#This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+テーブル1[[#This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+テーブル1[[#This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+テーブル1[[#This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+テーブル1[[#This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+テーブル1[[#This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+テーブル1[[#This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+テーブル1[[#This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+テーブル1[[#This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+テーブル1[[#This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+テーブル1[[#This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+テーブル1[[#This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+テーブル1[[#This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+テーブル1[[#This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+テーブル1[[#This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+テーブル1[[#This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+テーブル1[[#This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+テーブル1[[#This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+テーブル1[[#This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+テーブル1[[#This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+テーブル1[[#This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+テーブル1[[#This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+テーブル1[[#This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+テーブル1[[#This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+テーブル1[[#This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+テーブル1[[#This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+テーブル1[[#This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+テーブル1[[#This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+テーブル1[[#This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+テーブル1[[#This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+テーブル1[[#This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+テーブル1[[#This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+テーブル1[[#This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+テーブル1[[#This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+テーブル1[[#This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+テーブル1[[#This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+テーブル1[[#This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+テーブル1[[#This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+テーブル1[[#This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+テーブル1[[#This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+テーブル1[[#This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+テーブル1[[#This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+テーブル1[[#This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+テーブル1[[#This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+テーブル1[[#This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+テーブル1[[#This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+テーブル1[[#This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+テーブル1[[#This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+テーブル1[[#This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+テーブル1[[#This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+テーブル1[[#This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+テーブル1[[#This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+テーブル1[[#This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+テーブル1[[#This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+テーブル1[[#This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+テーブル1[[#This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+テーブル1[[#This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+テーブル1[[#This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+テーブル1[[#This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+テーブル1[[#This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+テーブル1[[#This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+テーブル1[[#This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+テーブル1[[#This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+テーブル1[[#This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+テーブル1[[#This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+テーブル1[[#This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+テーブル1[[#This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+テーブル1[[#This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+テーブル1[[#This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+テーブル1[[#This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+テーブル1[[#This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+テーブル1[[#This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+テーブル1[[#This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+テーブル1[[#This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+テーブル1[[#This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+テーブル1[[#This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+テーブル1[[#This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+テーブル1[[#This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+テーブル1[[#This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+テーブル1[[#This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+テーブル1[[#This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+テーブル1[[#This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+テーブル1[[#This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+テーブル1[[#This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+テーブル1[[#This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+テーブル1[[#This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+テーブル1[[#This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+テーブル1[[#This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+テーブル1[[#This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+テーブル1[[#This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+テーブル1[[#This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+テーブル1[[#This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+テーブル1[[#This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+テーブル1[[#This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+テーブル1[[#This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+テーブル1[[#This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+テーブル1[[#This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+テーブル1[[#This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+テーブル1[[#This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+テーブル1[[#This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+テーブル1[[#This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+テーブル1[[#This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+テーブル1[[#This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+テーブル1[[#This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+テーブル1[[#This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+テーブル1[[#This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+テーブル1[[#This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+テーブル1[[#This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+テーブル1[[#This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+テーブル1[[#This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+テーブル1[[#This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+テーブル1[[#This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+テーブル1[[#This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+テーブル1[[#This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+テーブル1[[#This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+テーブル1[[#This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+テーブル1[[#This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+テーブル1[[#This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+テーブル1[[#This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+テーブル1[[#This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+テーブル1[[#This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+テーブル1[[#This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+テーブル1[[#This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+テーブル1[[#This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+テーブル1[[#This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+テーブル1[[#This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+テーブル1[[#This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+テーブル1[[#This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+テーブル1[[#This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+テーブル1[[#This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+テーブル1[[#This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+テーブル1[[#This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+テーブル1[[#This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+テーブル1[[#This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+テーブル1[[#This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+テーブル1[[#This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+テーブル1[[#This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+テーブル1[[#This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+テーブル1[[#This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+テーブル1[[#This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+テーブル1[[#This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+テーブル1[[#This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+テーブル1[[#This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+テーブル1[[#This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+テーブル1[[#This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+テーブル1[[#This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+テーブル1[[#This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+テーブル1[[#This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+テーブル1[[#This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+テーブル1[[#This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+テーブル1[[#This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+テーブル1[[#This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+テーブル1[[#This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+テーブル1[[#This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+テーブル1[[#This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+テーブル1[[#This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+テーブル1[[#This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+テーブル1[[#This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+テーブル1[[#This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+テーブル1[[#This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+テーブル1[[#This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+テーブル1[[#This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+テーブル1[[#This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+テーブル1[[#This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+テーブル1[[#This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+テーブル1[[#This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+テーブル1[[#This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+テーブル1[[#This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+テーブル1[[#This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+テーブル1[[#This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+テーブル1[[#This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+テーブル1[[#This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+テーブル1[[#This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+テーブル1[[#This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+テーブル1[[#This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+テーブル1[[#This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+テーブル1[[#This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+テーブル1[[#This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+テーブル1[[#This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+テーブル1[[#This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+テーブル1[[#This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+テーブル1[[#This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+テーブル1[[#This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+テーブル1[[#This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+テーブル1[[#This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+テーブル1[[#This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+テーブル1[[#This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+テーブル1[[#This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+テーブル1[[#This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+テーブル1[[#This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+テーブル1[[#This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+テーブル1[[#This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+テーブル1[[#This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+テーブル1[[#This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+テーブル1[[#This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+テーブル1[[#This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+テーブル1[[#This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+テーブル1[[#This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+テーブル1[[#This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+テーブル1[[#This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+テーブル1[[#This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+テーブル1[[#This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+テーブル1[[#This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+テーブル1[[#This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+テーブル1[[#This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+テーブル1[[#This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+テーブル1[[#This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+テーブル1[[#This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+テーブル1[[#This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+テーブル1[[#This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+テーブル1[[#This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+テーブル1[[#This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+テーブル1[[#This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+テーブル1[[#This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+テーブル1[[#This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+テーブル1[[#This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+テーブル1[[#This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+テーブル1[[#This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+テーブル1[[#This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+テーブル1[[#This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+テーブル1[[#This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+テーブル1[[#This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+テーブル1[[#This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+テーブル1[[#This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+テーブル1[[#This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+テーブル1[[#This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+テーブル1[[#This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+テーブル1[[#This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+テーブル1[[#This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+テーブル1[[#This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+テーブル1[[#This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+テーブル1[[#This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+テーブル1[[#This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+テーブル1[[#This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+テーブル1[[#This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+テーブル1[[#This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+テーブル1[[#This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+テーブル1[[#This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+テーブル1[[#This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+テーブル1[[#This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+テーブル1[[#This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+テーブル1[[#This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+テーブル1[[#This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+テーブル1[[#This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+テーブル1[[#This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+テーブル1[[#This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+テーブル1[[#This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+テーブル1[[#This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+テーブル1[[#This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+テーブル1[[#This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+テーブル1[[#This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+テーブル1[[#This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+テーブル1[[#This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+テーブル1[[#This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+テーブル1[[#This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+テーブル1[[#This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+テーブル1[[#This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+テーブル1[[#This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+テーブル1[[#This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+テーブル1[[#This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+テーブル1[[#This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+テーブル1[[#This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+テーブル1[[#This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+テーブル1[[#This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+テーブル1[[#This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+テーブル1[[#This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+テーブル1[[#This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+テーブル1[[#This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+テーブル1[[#This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+テーブル1[[#This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+テーブル1[[#This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+テーブル1[[#This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+テーブル1[[#This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+テーブル1[[#This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+テーブル1[[#This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+テーブル1[[#This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+テーブル1[[#This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+テーブル1[[#This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+テーブル1[[#This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+テーブル1[[#This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+テーブル1[[#This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+テーブル1[[#This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+テーブル1[[#This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+テーブル1[[#This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+テーブル1[[#This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+テーブル1[[#This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+テーブル1[[#This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+テーブル1[[#This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+テーブル1[[#This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+テーブル1[[#This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+テーブル1[[#This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+テーブル1[[#This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+テーブル1[[#This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+テーブル1[[#This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+テーブル1[[#This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+テーブル1[[#This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+テーブル1[[#This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+テーブル1[[#This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+テーブル1[[#This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+テーブル1[[#This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+テーブル1[[#This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+テーブル1[[#This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+テーブル1[[#This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+テーブル1[[#This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+テーブル1[[#This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+テーブル1[[#This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+テーブル1[[#This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+テーブル1[[#This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+テーブル1[[#This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+テーブル1[[#This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+テーブル1[[#This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+テーブル1[[#This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+テーブル1[[#This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+テーブル1[[#This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+テーブル1[[#This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+テーブル1[[#This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+テーブル1[[#This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+テーブル1[[#This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+テーブル1[[#This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+テーブル1[[#This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+テーブル1[[#This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+テーブル1[[#This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+テーブル1[[#This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+テーブル1[[#This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+テーブル1[[#This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+テーブル1[[#This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+テーブル1[[#This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+テーブル1[[#This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+テーブル1[[#This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+テーブル1[[#This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+テーブル1[[#This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+テーブル1[[#This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+テーブル1[[#This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+テーブル1[[#This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+テーブル1[[#This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+テーブル1[[#This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+テーブル1[[#This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+テーブル1[[#This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+テーブル1[[#This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+テーブル1[[#This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+テーブル1[[#This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+テーブル1[[#This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+テーブル1[[#This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+テーブル1[[#This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+テーブル1[[#This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+テーブル1[[#This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+テーブル1[[#This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+テーブル1[[#This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+テーブル1[[#This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+テーブル1[[#This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+テーブル1[[#This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+テーブル1[[#This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+テーブル1[[#This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+テーブル1[[#This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+テーブル1[[#This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+テーブル1[[#This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+テーブル1[[#This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+テーブル1[[#This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+テーブル1[[#This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+テーブル1[[#This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+テーブル1[[#This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+テーブル1[[#This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+テーブル1[[#This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+テーブル1[[#This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+テーブル1[[#This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+テーブル1[[#This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+テーブル1[[#This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+テーブル1[[#This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+テーブル1[[#This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+テーブル1[[#This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+テーブル1[[#This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+テーブル1[[#This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+テーブル1[[#This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+テーブル1[[#This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+テーブル1[[#This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+テーブル1[[#This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+テーブル1[[#This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+テーブル1[[#This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+テーブル1[[#This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+テーブル1[[#This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+テーブル1[[#This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+テーブル1[[#This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+テーブル1[[#This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+テーブル1[[#This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+テーブル1[[#This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+テーブル1[[#This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+テーブル1[[#This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+テーブル1[[#This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+テーブル1[[#This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+テーブル1[[#This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+テーブル1[[#This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+テーブル1[[#This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+テーブル1[[#This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+テーブル1[[#This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+テーブル1[[#This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+テーブル1[[#This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+テーブル1[[#This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+テーブル1[[#This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+テーブル1[[#This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+テーブル1[[#This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+テーブル1[[#This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+テーブル1[[#This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+テーブル1[[#This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+テーブル1[[#This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+テーブル1[[#This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+テーブル1[[#This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+テーブル1[[#This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+テーブル1[[#This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+テーブル1[[#This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+テーブル1[[#This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+テーブル1[[#This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+テーブル1[[#This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+テーブル1[[#This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+テーブル1[[#This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+テーブル1[[#This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+テーブル1[[#This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+テーブル1[[#This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+テーブル1[[#This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+テーブル1[[#This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+テーブル1[[#This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+テーブル1[[#This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+テーブル1[[#This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+テーブル1[[#This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+テーブル1[[#This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+テーブル1[[#This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+テーブル1[[#This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+テーブル1[[#This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+テーブル1[[#This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+テーブル1[[#This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+テーブル1[[#This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+テーブル1[[#This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+テーブル1[[#This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+テーブル1[[#This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+テーブル1[[#This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+テーブル1[[#This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+テーブル1[[#This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+テーブル1[[#This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+テーブル1[[#This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+テーブル1[[#This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+テーブル1[[#This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+テーブル1[[#This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+テーブル1[[#This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+テーブル1[[#This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+テーブル1[[#This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+テーブル1[[#This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+テーブル1[[#This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+テーブル1[[#This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+テーブル1[[#This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+テーブル1[[#This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+テーブル1[[#This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+テーブル1[[#This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+テーブル1[[#This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+テーブル1[[#This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+テーブル1[[#This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+テーブル1[[#This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+テーブル1[[#This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+テーブル1[[#This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+テーブル1[[#This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+テーブル1[[#This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+テーブル1[[#This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+テーブル1[[#This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+テーブル1[[#This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+テーブル1[[#This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+テーブル1[[#This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+テーブル1[[#This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+テーブル1[[#This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+テーブル1[[#This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+テーブル1[[#This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+テーブル1[[#This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+テーブル1[[#This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+テーブル1[[#This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+テーブル1[[#This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+テーブル1[[#This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+テーブル1[[#This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+テーブル1[[#This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+テーブル1[[#This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+テーブル1[[#This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+テーブル1[[#This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+テーブル1[[#This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+テーブル1[[#This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+テーブル1[[#This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+テーブル1[[#This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+テーブル1[[#This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+テーブル1[[#This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+テーブル1[[#This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+テーブル1[[#This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+テーブル1[[#This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+テーブル1[[#This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+テーブル1[[#This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+テーブル1[[#This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+テーブル1[[#This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+テーブル1[[#This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+テーブル1[[#This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+テーブル1[[#This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+テーブル1[[#This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+テーブル1[[#This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+テーブル1[[#This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+テーブル1[[#This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+テーブル1[[#This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+テーブル1[[#This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+テーブル1[[#This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+テーブル1[[#This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+テーブル1[[#This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+テーブル1[[#This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+テーブル1[[#This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+テーブル1[[#This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+テーブル1[[#This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+テーブル1[[#This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+テーブル1[[#This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+テーブル1[[#This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+テーブル1[[#This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+テーブル1[[#This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+テーブル1[[#This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+テーブル1[[#This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+テーブル1[[#This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+テーブル1[[#This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+テーブル1[[#This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+テーブル1[[#This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+テーブル1[[#This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+テーブル1[[#This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+テーブル1[[#This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+テーブル1[[#This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+テーブル1[[#This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+テーブル1[[#This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+テーブル1[[#This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+テーブル1[[#This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+テーブル1[[#This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+テーブル1[[#This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+テーブル1[[#This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+テーブル1[[#This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+テーブル1[[#This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+テーブル1[[#This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+テーブル1[[#This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+テーブル1[[#This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+テーブル1[[#This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+テーブル1[[#This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+テーブル1[[#This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+テーブル1[[#This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+テーブル1[[#This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+テーブル1[[#This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+テーブル1[[#This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+テーブル1[[#This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+テーブル1[[#This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+テーブル1[[#This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+テーブル1[[#This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+テーブル1[[#This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+テーブル1[[#This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+テーブル1[[#This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+テーブル1[[#This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+テーブル1[[#This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+テーブル1[[#This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+テーブル1[[#This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+テーブル1[[#This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+テーブル1[[#This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+テーブル1[[#This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+テーブル1[[#This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+テーブル1[[#This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+テーブル1[[#This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+テーブル1[[#This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+テーブル1[[#This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+テーブル1[[#This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+テーブル1[[#This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+テーブル1[[#This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+テーブル1[[#This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+テーブル1[[#This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+テーブル1[[#This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+テーブル1[[#This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+テーブル1[[#This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+テーブル1[[#This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+テーブル1[[#This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+テーブル1[[#This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+テーブル1[[#This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+テーブル1[[#This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+テーブル1[[#This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+テーブル1[[#This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+テーブル1[[#This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+テーブル1[[#This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+テーブル1[[#This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+テーブル1[[#This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+テーブル1[[#This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+テーブル1[[#This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+テーブル1[[#This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+テーブル1[[#This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+テーブル1[[#This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+テーブル1[[#This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+テーブル1[[#This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+テーブル1[[#This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+テーブル1[[#This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+テーブル1[[#This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+テーブル1[[#This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+テーブル1[[#This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+テーブル1[[#This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+テーブル1[[#This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+テーブル1[[#This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+テーブル1[[#This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+テーブル1[[#This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+テーブル1[[#This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+テーブル1[[#This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+テーブル1[[#This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+テーブル1[[#This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+テーブル1[[#This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+テーブル1[[#This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+テーブル1[[#This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+テーブル1[[#This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+テーブル1[[#This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+テーブル1[[#This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+テーブル1[[#This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+テーブル1[[#This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+テーブル1[[#This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+テーブル1[[#This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+テーブル1[[#This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+テーブル1[[#This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+テーブル1[[#This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+テーブル1[[#This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+テーブル1[[#This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+テーブル1[[#This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+テーブル1[[#This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+テーブル1[[#This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+テーブル1[[#This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+テーブル1[[#This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+テーブル1[[#This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+テーブル1[[#This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+テーブル1[[#This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+テーブル1[[#This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+テーブル1[[#This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+テーブル1[[#This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+テーブル1[[#This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+テーブル1[[#This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+テーブル1[[#This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+テーブル1[[#This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+テーブル1[[#This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+テーブル1[[#This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+テーブル1[[#This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+テーブル1[[#This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+テーブル1[[#This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+テーブル1[[#This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+テーブル1[[#This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+テーブル1[[#This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+テーブル1[[#This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+テーブル1[[#This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+テーブル1[[#This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+テーブル1[[#This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+テーブル1[[#This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+テーブル1[[#This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+テーブル1[[#This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+テーブル1[[#This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+テーブル1[[#This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+テーブル1[[#This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+テーブル1[[#This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+テーブル1[[#This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+テーブル1[[#This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+テーブル1[[#This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+テーブル1[[#This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+テーブル1[[#This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+テーブル1[[#This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+テーブル1[[#This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+テーブル1[[#This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+テーブル1[[#This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+テーブル1[[#This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+テーブル1[[#This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+テーブル1[[#This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+テーブル1[[#This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+テーブル1[[#This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+テーブル1[[#This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+テーブル1[[#This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+テーブル1[[#This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+テーブル1[[#This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+テーブル1[[#This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+テーブル1[[#This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+テーブル1[[#This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+テーブル1[[#This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+テーブル1[[#This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+テーブル1[[#This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+テーブル1[[#This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+テーブル1[[#This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+テーブル1[[#This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+テーブル1[[#This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+テーブル1[[#This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+テーブル1[[#This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+テーブル1[[#This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+テーブル1[[#This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+テーブル1[[#This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+テーブル1[[#This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+テーブル1[[#This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+テーブル1[[#This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+テーブル1[[#This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+テーブル1[[#This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+テーブル1[[#This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+テーブル1[[#This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+テーブル1[[#This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+テーブル1[[#This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+テーブル1[[#This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+テーブル1[[#This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+テーブル1[[#This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+テーブル1[[#This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+テーブル1[[#This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+テーブル1[[#This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+テーブル1[[#This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+テーブル1[[#This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+テーブル1[[#This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+テーブル1[[#This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+テーブル1[[#This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+テーブル1[[#This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+テーブル1[[#This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+テーブル1[[#This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+テーブル1[[#This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+テーブル1[[#This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+テーブル1[[#This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+テーブル1[[#This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+テーブル1[[#This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+テーブル1[[#This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+テーブル1[[#This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+テーブル1[[#This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+テーブル1[[#This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+テーブル1[[#This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+テーブル1[[#This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+テーブル1[[#This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+テーブル1[[#This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+テーブル1[[#This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+テーブル1[[#This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+テーブル1[[#This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+テーブル1[[#This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+テーブル1[[#This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+テーブル1[[#This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+テーブル1[[#This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+テーブル1[[#This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+テーブル1[[#This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+テーブル1[[#This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+テーブル1[[#This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+テーブル1[[#This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+テーブル1[[#This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+テーブル1[[#This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+テーブル1[[#This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+テーブル1[[#This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+テーブル1[[#This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+テーブル1[[#This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+テーブル1[[#This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+テーブル1[[#This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+テーブル1[[#This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+テーブル1[[#This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+テーブル1[[#This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+テーブル1[[#This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+テーブル1[[#This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+テーブル1[[#This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+テーブル1[[#This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+テーブル1[[#This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+テーブル1[[#This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+テーブル1[[#This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+テーブル1[[#This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+テーブル1[[#This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+テーブル1[[#This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+テーブル1[[#This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+テーブル1[[#This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+テーブル1[[#This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+テーブル1[[#This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+テーブル1[[#This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+テーブル1[[#This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+テーブル1[[#This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+テーブル1[[#This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+テーブル1[[#This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+テーブル1[[#This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+テーブル1[[#This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+テーブル1[[#This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+テーブル1[[#This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+テーブル1[[#This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+テーブル1[[#This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+テーブル1[[#This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+テーブル1[[#This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+テーブル1[[#This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+テーブル1[[#This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+テーブル1[[#This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+テーブル1[[#This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+テーブル1[[#This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+テーブル1[[#This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+テーブル1[[#This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+テーブル1[[#This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+テーブル1[[#This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+テーブル1[[#This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+テーブル1[[#This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+テーブル1[[#This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+テーブル1[[#This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+テーブル1[[#This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+テーブル1[[#This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+テーブル1[[#This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+テーブル1[[#This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+テーブル1[[#This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+テーブル1[[#This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+テーブル1[[#This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+テーブル1[[#This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+テーブル1[[#This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+テーブル1[[#This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+テーブル1[[#This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+テーブル1[[#This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+テーブル1[[#This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+テーブル1[[#This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+テーブル1[[#This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+テーブル1[[#This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+テーブル1[[#This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+テーブル1[[#This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+テーブル1[[#This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+テーブル1[[#This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+テーブル1[[#This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+テーブル1[[#This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+テーブル1[[#This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+テーブル1[[#This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+テーブル1[[#This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+テーブル1[[#This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+テーブル1[[#This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+テーブル1[[#This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+テーブル1[[#This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+テーブル1[[#This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+テーブル1[[#This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+テーブル1[[#This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+テーブル1[[#This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+テーブル1[[#This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+テーブル1[[#This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+テーブル1[[#This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+テーブル1[[#This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+テーブル1[[#This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+テーブル1[[#This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+テーブル1[[#This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+テーブル1[[#This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+テーブル1[[#This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+テーブル1[[#This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+テーブル1[[#This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+テーブル1[[#This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+テーブル1[[#This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+テーブル1[[#This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+テーブル1[[#This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+テーブル1[[#This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+テーブル1[[#This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+テーブル1[[#This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+テーブル1[[#This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+テーブル1[[#This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+テーブル1[[#This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+テーブル1[[#This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+テーブル1[[#This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+テーブル1[[#This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+テーブル1[[#This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+テーブル1[[#This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+テーブル1[[#This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+テーブル1[[#This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+テーブル1[[#This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+テーブル1[[#This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+テーブル1[[#This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+テーブル1[[#This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+テーブル1[[#This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+テーブル1[[#This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+テーブル1[[#This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+テーブル1[[#This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+テーブル1[[#This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+テーブル1[[#This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+テーブル1[[#This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+テーブル1[[#This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+テーブル1[[#This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+テーブル1[[#This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+テーブル1[[#This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+テーブル1[[#This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+テーブル1[[#This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+テーブル1[[#This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+テーブル1[[#This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+テーブル1[[#This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+テーブル1[[#This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+テーブル1[[#This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+テーブル1[[#This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+テーブル1[[#This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+テーブル1[[#This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+テーブル1[[#This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+テーブル1[[#This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+テーブル1[[#This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+テーブル1[[#This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+テーブル1[[#This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+テーブル1[[#This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+テーブル1[[#This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+テーブル1[[#This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+テーブル1[[#This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+テーブル1[[#This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+テーブル1[[#This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+テーブル1[[#This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+テーブル1[[#This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+テーブル1[[#This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+テーブル1[[#This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+テーブル1[[#This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+テーブル1[[#This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+テーブル1[[#This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+テーブル1[[#This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+テーブル1[[#This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+テーブル1[[#This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+テーブル1[[#This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+テーブル1[[#This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+テーブル1[[#This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+テーブル1[[#This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+テーブル1[[#This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+テーブル1[[#This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+テーブル1[[#This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+テーブル1[[#This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+テーブル1[[#This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+テーブル1[[#This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+テーブル1[[#This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+テーブル1[[#This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+テーブル1[[#This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+テーブル1[[#This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+テーブル1[[#This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+テーブル1[[#This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+テーブル1[[#This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+テーブル1[[#This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+テーブル1[[#This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+テーブル1[[#This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+テーブル1[[#This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+テーブル1[[#This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+テーブル1[[#This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+テーブル1[[#This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+テーブル1[[#This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+テーブル1[[#This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+テーブル1[[#This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+テーブル1[[#This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+テーブル1[[#This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+テーブル1[[#This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+テーブル1[[#This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+テーブル1[[#This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+テーブル1[[#This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+テーブル1[[#This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+テーブル1[[#This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+テーブル1[[#This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+テーブル1[[#This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+テーブル1[[#This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+テーブル1[[#This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+テーブル1[[#This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+テーブル1[[#This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+テーブル1[[#This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+テーブル1[[#This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+テーブル1[[#This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+テーブル1[[#This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+テーブル1[[#This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+テーブル1[[#This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+テーブル1[[#This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+テーブル1[[#This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+テーブル1[[#This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+テーブル1[[#This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+テーブル1[[#This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+テーブル1[[#This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+テーブル1[[#This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+テーブル1[[#This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+テーブル1[[#This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+テーブル1[[#This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+テーブル1[[#This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+テーブル1[[#This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+テーブル1[[#This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+テーブル1[[#This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+テーブル1[[#This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+テーブル1[[#This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+テーブル1[[#This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+テーブル1[[#This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+テーブル1[[#This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+テーブル1[[#This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+テーブル1[[#This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+テーブル1[[#This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+テーブル1[[#This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+テーブル1[[#This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+テーブル1[[#This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+テーブル1[[#This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+テーブル1[[#This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+テーブル1[[#This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+テーブル1[[#This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+テーブル1[[#This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+テーブル1[[#This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+テーブル1[[#This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+テーブル1[[#This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+テーブル1[[#This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+テーブル1[[#This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+テーブル1[[#This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+テーブル1[[#This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+テーブル1[[#This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+テーブル1[[#This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+テーブル1[[#This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+テーブル1[[#This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+テーブル1[[#This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+テーブル1[[#This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+テーブル1[[#This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+テーブル1[[#This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+テーブル1[[#This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+テーブル1[[#This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+テーブル1[[#This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+テーブル1[[#This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+テーブル1[[#This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+テーブル1[[#This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+テーブル1[[#This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+テーブル1[[#This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+テーブル1[[#This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+テーブル1[[#This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+テーブル1[[#This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+テーブル1[[#This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+テーブル1[[#This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+テーブル1[[#This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+テーブル1[[#This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+テーブル1[[#This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+テーブル1[[#This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+テーブル1[[#This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+テーブル1[[#This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+テーブル1[[#This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+テーブル1[[#This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+テーブル1[[#This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+テーブル1[[#This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+テーブル1[[#This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+テーブル1[[#This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+テーブル1[[#This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+テーブル1[[#This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+テーブル1[[#This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+テーブル1[[#This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+テーブル1[[#This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+テーブル1[[#This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+テーブル1[[#This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+テーブル1[[#This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+テーブル1[[#This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+テーブル1[[#This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+テーブル1[[#This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+テーブル1[[#This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+テーブル1[[#This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+テーブル1[[#This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+テーブル1[[#This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+テーブル1[[#This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+テーブル1[[#This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+テーブル1[[#This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+テーブル1[[#This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+テーブル1[[#This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+テーブル1[[#This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+テーブル1[[#This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+テーブル1[[#This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+テーブル1[[#This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+テーブル1[[#This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+テーブル1[[#This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+テーブル1[[#This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+テーブル1[[#This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+テーブル1[[#This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+テーブル1[[#This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+テーブル1[[#This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+テーブル1[[#This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+テーブル1[[#This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+テーブル1[[#This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+テーブル1[[#This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+テーブル1[[#This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+テーブル1[[#This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+テーブル1[[#This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+テーブル1[[#This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+テーブル1[[#This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+テーブル1[[#This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+テーブル1[[#This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+テーブル1[[#This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+テーブル1[[#This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+テーブル1[[#This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+テーブル1[[#This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+テーブル1[[#This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+テーブル1[[#This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+テーブル1[[#This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+テーブル1[[#This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+テーブル1[[#This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+テーブル1[[#This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+テーブル1[[#This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+テーブル1[[#This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+テーブル1[[#This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+テーブル1[[#This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+テーブル1[[#This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+テーブル1[[#This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+テーブル1[[#This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+テーブル1[[#This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+テーブル1[[#This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+テーブル1[[#This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+テーブル1[[#This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+テーブル1[[#This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+テーブル1[[#This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+テーブル1[[#This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+テーブル1[[#This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+テーブル1[[#This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+テーブル1[[#This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+テーブル1[[#This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+テーブル1[[#This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+テーブル1[[#This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+テーブル1[[#This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+テーブル1[[#This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+テーブル1[[#This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+テーブル1[[#This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+テーブル1[[#This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+テーブル1[[#This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+テーブル1[[#This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+テーブル1[[#This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+テーブル1[[#This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+テーブル1[[#This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+テーブル1[[#This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+テーブル1[[#This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+テーブル1[[#This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+テーブル1[[#This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+テーブル1[[#This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+テーブル1[[#This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+テーブル1[[#This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+テーブル1[[#This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+テーブル1[[#This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+テーブル1[[#This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+テーブル1[[#This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+テーブル1[[#This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+テーブル1[[#This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+テーブル1[[#This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+テーブル1[[#This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+テーブル1[[#This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+テーブル1[[#This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+テーブル1[[#This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+テーブル1[[#This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+テーブル1[[#This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+テーブル1[[#This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+テーブル1[[#This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+テーブル1[[#This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+テーブル1[[#This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+テーブル1[[#This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+テーブル1[[#This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+テーブル1[[#This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+テーブル1[[#This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+テーブル1[[#This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+テーブル1[[#This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+テーブル1[[#This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+テーブル1[[#This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+テーブル1[[#This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+テーブル1[[#This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+テーブル1[[#This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+テーブル1[[#This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+テーブル1[[#This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+テーブル1[[#This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+テーブル1[[#This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+テーブル1[[#This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+テーブル1[[#This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+テーブル1[[#This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+テーブル1[[#This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+テーブル1[[#This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+テーブル1[[#This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+テーブル1[[#This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+テーブル1[[#This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+テーブル1[[#This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+テーブル1[[#This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+テーブル1[[#This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+テーブル1[[#This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+テーブル1[[#This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+テーブル1[[#This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+テーブル1[[#This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+テーブル1[[#This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+テーブル1[[#This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+テーブル1[[#This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+テーブル1[[#This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+テーブル1[[#This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+テーブル1[[#This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+テーブル1[[#This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+テーブル1[[#This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+テーブル1[[#This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+テーブル1[[#This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+テーブル1[[#This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+テーブル1[[#This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+テーブル1[[#This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+テーブル1[[#This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+テーブル1[[#This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+テーブル1[[#This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+テーブル1[[#This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+テーブル1[[#This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+テーブル1[[#This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+テーブル1[[#This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+テーブル1[[#This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+テーブル1[[#This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+テーブル1[[#This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+テーブル1[[#This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+テーブル1[[#This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+テーブル1[[#This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+テーブル1[[#This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+テーブル1[[#This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+テーブル1[[#This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+テーブル1[[#This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+テーブル1[[#This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+テーブル1[[#This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+テーブル1[[#This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+テーブル1[[#This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+テーブル1[[#This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+テーブル1[[#This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+テーブル1[[#This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+テーブル1[[#This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+テーブル1[[#This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+テーブル1[[#This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+テーブル1[[#This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+テーブル1[[#This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+テーブル1[[#This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+テーブル1[[#This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+テーブル1[[#This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+テーブル1[[#This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+テーブル1[[#This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+テーブル1[[#This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+テーブル1[[#This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+テーブル1[[#This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+テーブル1[[#This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+テーブル1[[#This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+テーブル1[[#This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+テーブル1[[#This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+テーブル1[[#This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+テーブル1[[#This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+テーブル1[[#This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+テーブル1[[#This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+テーブル1[[#This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+テーブル1[[#This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+テーブル1[[#This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+テーブル1[[#This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+テーブル1[[#This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+テーブル1[[#This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+テーブル1[[#This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+テーブル1[[#This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+テーブル1[[#This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+テーブル1[[#This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+テーブル1[[#This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+テーブル1[[#This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+テーブル1[[#This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+テーブル1[[#This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+テーブル1[[#This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+テーブル1[[#This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+テーブル1[[#This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+テーブル1[[#This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+テーブル1[[#This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+テーブル1[[#This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+テーブル1[[#This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+テーブル1[[#This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+テーブル1[[#This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+テーブル1[[#This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+テーブル1[[#This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+テーブル1[[#This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+テーブル1[[#This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+テーブル1[[#This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+テーブル1[[#This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+テーブル1[[#This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+テーブル1[[#This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+テーブル1[[#This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+テーブル1[[#This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+テーブル1[[#This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+テーブル1[[#This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+テーブル1[[#This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+テーブル1[[#This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+テーブル1[[#This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+テーブル1[[#This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+テーブル1[[#This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+テーブル1[[#This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+テーブル1[[#This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+テーブル1[[#This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+テーブル1[[#This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+テーブル1[[#This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+テーブル1[[#This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+テーブル1[[#This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+テーブル1[[#This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+テーブル1[[#This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+テーブル1[[#This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+テーブル1[[#This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+テーブル1[[#This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+テーブル1[[#This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+テーブル1[[#This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+テーブル1[[#This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+テーブル1[[#This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+テーブル1[[#This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+テーブル1[[#This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+テーブル1[[#This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+テーブル1[[#This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+テーブル1[[#This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+テーブル1[[#This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+テーブル1[[#This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+テーブル1[[#This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+テーブル1[[#This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+テーブル1[[#This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+テーブル1[[#This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+テーブル1[[#This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+テーブル1[[#This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+テーブル1[[#This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+テーブル1[[#This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+テーブル1[[#This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+テーブル1[[#This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+テーブル1[[#This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+テーブル1[[#This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+テーブル1[[#This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+テーブル1[[#This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+テーブル1[[#This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+テーブル1[[#This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+テーブル1[[#This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+テーブル1[[#This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+テーブル1[[#This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+テーブル1[[#This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+テーブル1[[#This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+テーブル1[[#This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+テーブル1[[#This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+テーブル1[[#This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+テーブル1[[#This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+テーブル1[[#This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+テーブル1[[#This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+テーブル1[[#This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+テーブル1[[#This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+テーブル1[[#This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+テーブル1[[#This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+テーブル1[[#This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+テーブル1[[#This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+テーブル1[[#This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+テーブル1[[#This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+テーブル1[[#This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+テーブル1[[#This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+テーブル1[[#This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+テーブル1[[#This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+テーブル1[[#This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+テーブル1[[#This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+テーブル1[[#This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+テーブル1[[#This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+テーブル1[[#This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+テーブル1[[#This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+テーブル1[[#This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+テーブル1[[#This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+テーブル1[[#This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+テーブル1[[#This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+テーブル1[[#This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+テーブル1[[#This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+テーブル1[[#This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+テーブル1[[#This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+テーブル1[[#This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+テーブル1[[#This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+テーブル1[[#This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+テーブル1[[#This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+テーブル1[[#This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+テーブル1[[#This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+テーブル1[[#This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+テーブル1[[#This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+テーブル1[[#This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+テーブル1[[#This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+テーブル1[[#This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+テーブル1[[#This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+テーブル1[[#This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+テーブル1[[#This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+テーブル1[[#This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+テーブル1[[#This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+テーブル1[[#This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+テーブル1[[#This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+テーブル1[[#This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+テーブル1[[#This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+テーブル1[[#This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+テーブル1[[#This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+テーブル1[[#This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+テーブル1[[#This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+テーブル1[[#This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+テーブル1[[#This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+テーブル1[[#This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+テーブル1[[#This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+テーブル1[[#This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+テーブル1[[#This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+テーブル1[[#This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+テーブル1[[#This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+テーブル1[[#This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+テーブル1[[#This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+テーブル1[[#This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+テーブル1[[#This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+テーブル1[[#This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+テーブル1[[#This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+テーブル1[[#This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+テーブル1[[#This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+テーブル1[[#This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+テーブル1[[#This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+テーブル1[[#This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+テーブル1[[#This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+テーブル1[[#This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+テーブル1[[#This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+テーブル1[[#This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+テーブル1[[#This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+テーブル1[[#This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+テーブル1[[#This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+テーブル1[[#This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+テーブル1[[#This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+テーブル1[[#This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+テーブル1[[#This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+テーブル1[[#This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+テーブル1[[#This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+テーブル1[[#This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+テーブル1[[#This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+テーブル1[[#This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+テーブル1[[#This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+テーブル1[[#This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+テーブル1[[#This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+テーブル1[[#This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+テーブル1[[#This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+テーブル1[[#This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+テーブル1[[#This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+テーブル1[[#This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+テーブル1[[#This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+テーブル1[[#This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+テーブル1[[#This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+テーブル1[[#This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+テーブル1[[#This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+テーブル1[[#This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+テーブル1[[#This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+テーブル1[[#This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+テーブル1[[#This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+テーブル1[[#This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+テーブル1[[#This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+テーブル1[[#This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+テーブル1[[#This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+テーブル1[[#This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+テーブル1[[#This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+テーブル1[[#This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+テーブル1[[#This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+テーブル1[[#This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+テーブル1[[#This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+テーブル1[[#This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+テーブル1[[#This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+テーブル1[[#This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+テーブル1[[#This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+テーブル1[[#This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+テーブル1[[#This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+テーブル1[[#This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+テーブル1[[#This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+テーブル1[[#This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+テーブル1[[#This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+テーブル1[[#This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+テーブル1[[#This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+テーブル1[[#This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+テーブル1[[#This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+テーブル1[[#This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+テーブル1[[#This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+テーブル1[[#This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+テーブル1[[#This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+テーブル1[[#This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+テーブル1[[#This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+テーブル1[[#This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+テーブル1[[#This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+テーブル1[[#This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+テーブル1[[#This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+テーブル1[[#This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+テーブル1[[#This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+テーブル1[[#This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+テーブル1[[#This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+テーブル1[[#This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+テーブル1[[#This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+テーブル1[[#This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+テーブル1[[#This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+テーブル1[[#This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+テーブル1[[#This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+テーブル1[[#This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+テーブル1[[#This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+テーブル1[[#This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+テーブル1[[#This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+テーブル1[[#This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+テーブル1[[#This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+テーブル1[[#This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+テーブル1[[#This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+テーブル1[[#This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+テーブル1[[#This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+テーブル1[[#This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+テーブル1[[#This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+テーブル1[[#This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+テーブル1[[#This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+テーブル1[[#This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+テーブル1[[#This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+テーブル1[[#This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+テーブル1[[#This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+テーブル1[[#This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+テーブル1[[#This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+テーブル1[[#This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+テーブル1[[#This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+テーブル1[[#This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+テーブル1[[#This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+テーブル1[[#This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+テーブル1[[#This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+テーブル1[[#This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+テーブル1[[#This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+テーブル1[[#This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+テーブル1[[#This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+テーブル1[[#This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+テーブル1[[#This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+テーブル1[[#This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+テーブル1[[#This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+テーブル1[[#This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+テーブル1[[#This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+テーブル1[[#This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+テーブル1[[#This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+テーブル1[[#This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+テーブル1[[#This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+テーブル1[[#This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+テーブル1[[#This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+テーブル1[[#This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+テーブル1[[#This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+テーブル1[[#This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+テーブル1[[#This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+テーブル1[[#This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+テーブル1[[#This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+テーブル1[[#This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+テーブル1[[#This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+テーブル1[[#This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+テーブル1[[#This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+テーブル1[[#This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+テーブル1[[#This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+テーブル1[[#This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+テーブル1[[#This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+テーブル1[[#This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+テーブル1[[#This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+テーブル1[[#This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+テーブル1[[#This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+テーブル1[[#This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+テーブル1[[#This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+テーブル1[[#This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+テーブル1[[#This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+テーブル1[[#This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+テーブル1[[#This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+テーブル1[[#This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+テーブル1[[#This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+テーブル1[[#This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+テーブル1[[#This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+テーブル1[[#This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+テーブル1[[#This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+テーブル1[[#This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+テーブル1[[#This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+テーブル1[[#This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+テーブル1[[#This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+テーブル1[[#This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+テーブル1[[#This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+テーブル1[[#This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+テーブル1[[#This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+テーブル1[[#This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+テーブル1[[#This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+テーブル1[[#This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+テーブル1[[#This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+テーブル1[[#This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+テーブル1[[#This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+テーブル1[[#This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+テーブル1[[#This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+テーブル1[[#This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+テーブル1[[#This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+テーブル1[[#This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+テーブル1[[#This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+テーブル1[[#This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+テーブル1[[#This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+テーブル1[[#This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+テーブル1[[#This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+テーブル1[[#This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+テーブル1[[#This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+テーブル1[[#This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+テーブル1[[#This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+テーブル1[[#This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+テーブル1[[#This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+テーブル1[[#This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+テーブル1[[#This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+テーブル1[[#This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+テーブル1[[#This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+テーブル1[[#This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+テーブル1[[#This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+テーブル1[[#This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+テーブル1[[#This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+テーブル1[[#This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+テーブル1[[#This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+テーブル1[[#This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+テーブル1[[#This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+テーブル1[[#This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+テーブル1[[#This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+テーブル1[[#This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+テーブル1[[#This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+テーブル1[[#This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+テーブル1[[#This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+テーブル1[[#This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+テーブル1[[#This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+テーブル1[[#This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+テーブル1[[#This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+テーブル1[[#This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+テーブル1[[#This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+テーブル1[[#This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+テーブル1[[#This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+テーブル1[[#This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+テーブル1[[#This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+テーブル1[[#This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+テーブル1[[#This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+テーブル1[[#This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+テーブル1[[#This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+テーブル1[[#This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+テーブル1[[#This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+テーブル1[[#This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+テーブル1[[#This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+テーブル1[[#This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+テーブル1[[#This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+テーブル1[[#This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+テーブル1[[#This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+テーブル1[[#This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+テーブル1[[#This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+テーブル1[[#This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+テーブル1[[#This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+テーブル1[[#This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+テーブル1[[#This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+テーブル1[[#This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+テーブル1[[#This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+テーブル1[[#This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+テーブル1[[#This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+テーブル1[[#This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+テーブル1[[#This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+テーブル1[[#This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+テーブル1[[#This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+テーブル1[[#This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+テーブル1[[#This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+テーブル1[[#This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+テーブル1[[#This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+テーブル1[[#This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+テーブル1[[#This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+テーブル1[[#This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+テーブル1[[#This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 s="128">
        <v>249</v>
      </c>
      <c r="L3849">
        <v>0</v>
      </c>
      <c r="N3849" s="128">
        <v>249</v>
      </c>
      <c r="O3849" s="143">
        <v>4743450</v>
      </c>
      <c r="P3849" s="62">
        <v>785</v>
      </c>
      <c r="Q3849" t="s">
        <v>119</v>
      </c>
      <c r="R3849" s="50">
        <f>+テーブル1[[#This Row],[合計金額]]*テーブル1[[#This Row],[自社報酬率％]]/100</f>
        <v>2134552.5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 s="128">
        <v>249</v>
      </c>
      <c r="L3850">
        <v>0</v>
      </c>
      <c r="N3850" s="128">
        <v>249</v>
      </c>
      <c r="O3850" s="143">
        <v>4743450</v>
      </c>
      <c r="P3850" s="62">
        <v>786</v>
      </c>
      <c r="Q3850" t="s">
        <v>119</v>
      </c>
      <c r="R3850" s="50">
        <f>+テーブル1[[#This Row],[合計金額]]*テーブル1[[#This Row],[自社報酬率％]]/100</f>
        <v>2134552.5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 s="128">
        <v>249</v>
      </c>
      <c r="L3851">
        <v>0</v>
      </c>
      <c r="N3851" s="128">
        <v>249</v>
      </c>
      <c r="O3851" s="143">
        <v>4743450</v>
      </c>
      <c r="P3851" s="62">
        <v>787</v>
      </c>
      <c r="Q3851" t="s">
        <v>119</v>
      </c>
      <c r="R3851" s="50">
        <f>+テーブル1[[#This Row],[合計金額]]*テーブル1[[#This Row],[自社報酬率％]]/100</f>
        <v>2134552.5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 s="128">
        <v>249</v>
      </c>
      <c r="L3852">
        <v>0</v>
      </c>
      <c r="N3852" s="128">
        <v>249</v>
      </c>
      <c r="O3852" s="143">
        <v>4743450</v>
      </c>
      <c r="P3852" s="62">
        <v>788</v>
      </c>
      <c r="Q3852" t="s">
        <v>119</v>
      </c>
      <c r="R3852" s="50">
        <f>+テーブル1[[#This Row],[合計金額]]*テーブル1[[#This Row],[自社報酬率％]]/100</f>
        <v>2134552.5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 s="128">
        <v>249</v>
      </c>
      <c r="L3853">
        <v>0</v>
      </c>
      <c r="N3853" s="145">
        <v>249</v>
      </c>
      <c r="O3853" s="143">
        <v>4743450</v>
      </c>
      <c r="P3853" s="62">
        <v>789</v>
      </c>
      <c r="Q3853" t="s">
        <v>119</v>
      </c>
      <c r="R3853" s="50">
        <f>+テーブル1[[#This Row],[合計金額]]*テーブル1[[#This Row],[自社報酬率％]]/100</f>
        <v>2134552.5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 s="128">
        <v>249</v>
      </c>
      <c r="L3854">
        <v>0</v>
      </c>
      <c r="N3854" s="128">
        <v>249</v>
      </c>
      <c r="O3854" s="143">
        <v>4743450</v>
      </c>
      <c r="P3854" s="62">
        <v>790</v>
      </c>
      <c r="Q3854" t="s">
        <v>1928</v>
      </c>
      <c r="R3854" s="50">
        <f>+テーブル1[[#This Row],[合計金額]]*テーブル1[[#This Row],[自社報酬率％]]/100</f>
        <v>2134552.5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+テーブル1[[#This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+テーブル1[[#This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+テーブル1[[#This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+テーブル1[[#This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+テーブル1[[#This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+テーブル1[[#This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+テーブル1[[#This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+テーブル1[[#This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+テーブル1[[#This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+テーブル1[[#This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+テーブル1[[#This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+テーブル1[[#This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+テーブル1[[#This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+テーブル1[[#This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+テーブル1[[#This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+テーブル1[[#This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+テーブル1[[#This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+テーブル1[[#This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+テーブル1[[#This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+テーブル1[[#This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+テーブル1[[#This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+テーブル1[[#This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+テーブル1[[#This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+テーブル1[[#This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+テーブル1[[#This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+テーブル1[[#This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+テーブル1[[#This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+テーブル1[[#This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+テーブル1[[#This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+テーブル1[[#This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+テーブル1[[#This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+テーブル1[[#This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+テーブル1[[#This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+テーブル1[[#This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+テーブル1[[#This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+テーブル1[[#This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+テーブル1[[#This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+テーブル1[[#This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+テーブル1[[#This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+テーブル1[[#This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+テーブル1[[#This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+テーブル1[[#This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+テーブル1[[#This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+テーブル1[[#This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+テーブル1[[#This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+テーブル1[[#This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+テーブル1[[#This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+テーブル1[[#This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+テーブル1[[#This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+テーブル1[[#This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+テーブル1[[#This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+テーブル1[[#This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+テーブル1[[#This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+テーブル1[[#This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+テーブル1[[#This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+テーブル1[[#This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+テーブル1[[#This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+テーブル1[[#This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+テーブル1[[#This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+テーブル1[[#This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+テーブル1[[#This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+テーブル1[[#This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+テーブル1[[#This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+テーブル1[[#This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+テーブル1[[#This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+テーブル1[[#This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+テーブル1[[#This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+テーブル1[[#This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+テーブル1[[#This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+テーブル1[[#This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+テーブル1[[#This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+テーブル1[[#This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+テーブル1[[#This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+テーブル1[[#This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+テーブル1[[#This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+テーブル1[[#This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+テーブル1[[#This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+テーブル1[[#This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+テーブル1[[#This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+テーブル1[[#This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+テーブル1[[#This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+テーブル1[[#This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+テーブル1[[#This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+テーブル1[[#This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+テーブル1[[#This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+テーブル1[[#This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+テーブル1[[#This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+テーブル1[[#This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+テーブル1[[#This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+テーブル1[[#This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+テーブル1[[#This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+テーブル1[[#This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+テーブル1[[#This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+テーブル1[[#This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+テーブル1[[#This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+テーブル1[[#This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+テーブル1[[#This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+テーブル1[[#This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+テーブル1[[#This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+テーブル1[[#This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+テーブル1[[#This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+テーブル1[[#This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+テーブル1[[#This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+テーブル1[[#This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+テーブル1[[#This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+テーブル1[[#This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+テーブル1[[#This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+テーブル1[[#This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+テーブル1[[#This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+テーブル1[[#This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+テーブル1[[#This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+テーブル1[[#This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+テーブル1[[#This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+テーブル1[[#This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+テーブル1[[#This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+テーブル1[[#This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+テーブル1[[#This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+テーブル1[[#This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+テーブル1[[#This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+テーブル1[[#This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+テーブル1[[#This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+テーブル1[[#This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+テーブル1[[#This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+テーブル1[[#This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+テーブル1[[#This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+テーブル1[[#This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+テーブル1[[#This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+テーブル1[[#This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+テーブル1[[#This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+テーブル1[[#This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+テーブル1[[#This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+テーブル1[[#This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+テーブル1[[#This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+テーブル1[[#This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+テーブル1[[#This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+テーブル1[[#This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+テーブル1[[#This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+テーブル1[[#This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+テーブル1[[#This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+テーブル1[[#This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+テーブル1[[#This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+テーブル1[[#This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+テーブル1[[#This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+テーブル1[[#This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+テーブル1[[#This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+テーブル1[[#This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+テーブル1[[#This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+テーブル1[[#This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+テーブル1[[#This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+テーブル1[[#This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+テーブル1[[#This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+テーブル1[[#This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+テーブル1[[#This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+テーブル1[[#This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+テーブル1[[#This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+テーブル1[[#This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+テーブル1[[#This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+テーブル1[[#This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+テーブル1[[#This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+テーブル1[[#This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+テーブル1[[#This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+テーブル1[[#This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+テーブル1[[#This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+テーブル1[[#This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+テーブル1[[#This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+テーブル1[[#This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+テーブル1[[#This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+テーブル1[[#This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+テーブル1[[#This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+テーブル1[[#This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+テーブル1[[#This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+テーブル1[[#This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+テーブル1[[#This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+テーブル1[[#This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+テーブル1[[#This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+テーブル1[[#This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+テーブル1[[#This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+テーブル1[[#This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+テーブル1[[#This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+テーブル1[[#This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+テーブル1[[#This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+テーブル1[[#This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+テーブル1[[#This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+テーブル1[[#This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+テーブル1[[#This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+テーブル1[[#This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+テーブル1[[#This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+テーブル1[[#This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+テーブル1[[#This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+テーブル1[[#This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+テーブル1[[#This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+テーブル1[[#This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+テーブル1[[#This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+テーブル1[[#This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+テーブル1[[#This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+テーブル1[[#This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+テーブル1[[#This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+テーブル1[[#This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+テーブル1[[#This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+テーブル1[[#This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+テーブル1[[#This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+テーブル1[[#This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+テーブル1[[#This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+テーブル1[[#This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+テーブル1[[#This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+テーブル1[[#This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+テーブル1[[#This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+テーブル1[[#This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+テーブル1[[#This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+テーブル1[[#This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+テーブル1[[#This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+テーブル1[[#This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+テーブル1[[#This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+テーブル1[[#This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+テーブル1[[#This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+テーブル1[[#This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+テーブル1[[#This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+テーブル1[[#This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+テーブル1[[#This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+テーブル1[[#This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+テーブル1[[#This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+テーブル1[[#This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+テーブル1[[#This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+テーブル1[[#This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+テーブル1[[#This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+テーブル1[[#This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+テーブル1[[#This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+テーブル1[[#This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+テーブル1[[#This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144"/>
      <c r="J4084" s="49">
        <v>1</v>
      </c>
      <c r="L4084">
        <v>0</v>
      </c>
      <c r="N4084" s="64">
        <v>1</v>
      </c>
      <c r="O4084" s="143"/>
      <c r="P4084" s="62">
        <v>88</v>
      </c>
      <c r="Q4084" s="62" t="s">
        <v>119</v>
      </c>
      <c r="R4084" s="25">
        <f>+テーブル1[[#This Row],[合計金額]]*テーブル1[[#This Row],[自社報酬率％]]/100</f>
        <v>0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144"/>
      <c r="J4085" s="49">
        <v>1</v>
      </c>
      <c r="L4085">
        <v>0</v>
      </c>
      <c r="N4085" s="64">
        <v>1</v>
      </c>
      <c r="O4085" s="143"/>
      <c r="P4085" s="62">
        <v>89</v>
      </c>
      <c r="Q4085" s="62" t="s">
        <v>119</v>
      </c>
      <c r="R4085" s="25">
        <f>+テーブル1[[#This Row],[合計金額]]*テーブル1[[#This Row],[自社報酬率％]]/100</f>
        <v>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+テーブル1[[#This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+テーブル1[[#This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+テーブル1[[#This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+テーブル1[[#This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+テーブル1[[#This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+テーブル1[[#This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+テーブル1[[#This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+テーブル1[[#This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+テーブル1[[#This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+テーブル1[[#This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+テーブル1[[#This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+テーブル1[[#This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+テーブル1[[#This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+テーブル1[[#This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+テーブル1[[#This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+テーブル1[[#This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+テーブル1[[#This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+テーブル1[[#This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+テーブル1[[#This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+テーブル1[[#This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+テーブル1[[#This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+テーブル1[[#This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+テーブル1[[#This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+テーブル1[[#This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+テーブル1[[#This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+テーブル1[[#This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+テーブル1[[#This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+テーブル1[[#This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+テーブル1[[#This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+テーブル1[[#This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+テーブル1[[#This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+テーブル1[[#This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+テーブル1[[#This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+テーブル1[[#This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+テーブル1[[#This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+テーブル1[[#This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+テーブル1[[#This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+テーブル1[[#This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+テーブル1[[#This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+テーブル1[[#This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+テーブル1[[#This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+テーブル1[[#This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+テーブル1[[#This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+テーブル1[[#This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+テーブル1[[#This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+テーブル1[[#This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+テーブル1[[#This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+テーブル1[[#This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+テーブル1[[#This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+テーブル1[[#This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+テーブル1[[#This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+テーブル1[[#This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+テーブル1[[#This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+テーブル1[[#This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+テーブル1[[#This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+テーブル1[[#This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+テーブル1[[#This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+テーブル1[[#This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+テーブル1[[#This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+テーブル1[[#This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+テーブル1[[#This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+テーブル1[[#This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+テーブル1[[#This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+テーブル1[[#This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+テーブル1[[#This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+テーブル1[[#This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+テーブル1[[#This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+テーブル1[[#This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+テーブル1[[#This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+テーブル1[[#This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+テーブル1[[#This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+テーブル1[[#This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+テーブル1[[#This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+テーブル1[[#This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+テーブル1[[#This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+テーブル1[[#This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+テーブル1[[#This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+テーブル1[[#This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+テーブル1[[#This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+テーブル1[[#This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+テーブル1[[#This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+テーブル1[[#This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+テーブル1[[#This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+テーブル1[[#This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+テーブル1[[#This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+テーブル1[[#This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+テーブル1[[#This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+テーブル1[[#This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+テーブル1[[#This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+テーブル1[[#This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+テーブル1[[#This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+テーブル1[[#This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+テーブル1[[#This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+テーブル1[[#This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+テーブル1[[#This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+テーブル1[[#This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+テーブル1[[#This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+テーブル1[[#This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+テーブル1[[#This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+テーブル1[[#This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+テーブル1[[#This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+テーブル1[[#This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+テーブル1[[#This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+テーブル1[[#This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+テーブル1[[#This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+テーブル1[[#This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+テーブル1[[#This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+テーブル1[[#This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+テーブル1[[#This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+テーブル1[[#This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+テーブル1[[#This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+テーブル1[[#This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+テーブル1[[#This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+テーブル1[[#This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+テーブル1[[#This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+テーブル1[[#This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+テーブル1[[#This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+テーブル1[[#This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+テーブル1[[#This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+テーブル1[[#This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+テーブル1[[#This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+テーブル1[[#This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+テーブル1[[#This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+テーブル1[[#This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+テーブル1[[#This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+テーブル1[[#This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+テーブル1[[#This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+テーブル1[[#This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+テーブル1[[#This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+テーブル1[[#This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+テーブル1[[#This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+テーブル1[[#This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+テーブル1[[#This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+テーブル1[[#This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+テーブル1[[#This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+テーブル1[[#This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+テーブル1[[#This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+テーブル1[[#This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+テーブル1[[#This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+テーブル1[[#This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+テーブル1[[#This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+テーブル1[[#This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+テーブル1[[#This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+テーブル1[[#This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+テーブル1[[#This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+テーブル1[[#This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+テーブル1[[#This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+テーブル1[[#This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+テーブル1[[#This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+テーブル1[[#This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+テーブル1[[#This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+テーブル1[[#This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+テーブル1[[#This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+テーブル1[[#This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+テーブル1[[#This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+テーブル1[[#This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+テーブル1[[#This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+テーブル1[[#This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+テーブル1[[#This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+テーブル1[[#This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+テーブル1[[#This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+テーブル1[[#This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+テーブル1[[#This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+テーブル1[[#This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+テーブル1[[#This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+テーブル1[[#This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+テーブル1[[#This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+テーブル1[[#This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+テーブル1[[#This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+テーブル1[[#This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+テーブル1[[#This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+テーブル1[[#This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+テーブル1[[#This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+テーブル1[[#This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+テーブル1[[#This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+テーブル1[[#This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+テーブル1[[#This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+テーブル1[[#This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+テーブル1[[#This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+テーブル1[[#This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+テーブル1[[#This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+テーブル1[[#This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+テーブル1[[#This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+テーブル1[[#This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+テーブル1[[#This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+テーブル1[[#This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+テーブル1[[#This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+テーブル1[[#This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+テーブル1[[#This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+テーブル1[[#This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+テーブル1[[#This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+テーブル1[[#This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+テーブル1[[#This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+テーブル1[[#This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+テーブル1[[#This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+テーブル1[[#This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+テーブル1[[#This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+テーブル1[[#This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+テーブル1[[#This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+テーブル1[[#This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+テーブル1[[#This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+テーブル1[[#This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+テーブル1[[#This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+テーブル1[[#This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+テーブル1[[#This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+テーブル1[[#This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+テーブル1[[#This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+テーブル1[[#This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+テーブル1[[#This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+テーブル1[[#This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+テーブル1[[#This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+テーブル1[[#This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+テーブル1[[#This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+テーブル1[[#This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+テーブル1[[#This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+テーブル1[[#This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+テーブル1[[#This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+テーブル1[[#This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+テーブル1[[#This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+テーブル1[[#This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+テーブル1[[#This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+テーブル1[[#This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+テーブル1[[#This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+テーブル1[[#This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+テーブル1[[#This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+テーブル1[[#This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+テーブル1[[#This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+テーブル1[[#This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+テーブル1[[#This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+テーブル1[[#This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+テーブル1[[#This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+テーブル1[[#This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+テーブル1[[#This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+テーブル1[[#This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+テーブル1[[#This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+テーブル1[[#This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+テーブル1[[#This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+テーブル1[[#This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+テーブル1[[#This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+テーブル1[[#This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+テーブル1[[#This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+テーブル1[[#This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+テーブル1[[#This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+テーブル1[[#This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+テーブル1[[#This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+テーブル1[[#This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+テーブル1[[#This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+テーブル1[[#This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+テーブル1[[#This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+テーブル1[[#This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+テーブル1[[#This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+テーブル1[[#This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+テーブル1[[#This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+テーブル1[[#This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+テーブル1[[#This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+テーブル1[[#This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+テーブル1[[#This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+テーブル1[[#This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+テーブル1[[#This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+テーブル1[[#This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+テーブル1[[#This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+テーブル1[[#This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+テーブル1[[#This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+テーブル1[[#This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+テーブル1[[#This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+テーブル1[[#This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+テーブル1[[#This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+テーブル1[[#This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+テーブル1[[#This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+テーブル1[[#This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+テーブル1[[#This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+テーブル1[[#This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+テーブル1[[#This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+テーブル1[[#This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+テーブル1[[#This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+テーブル1[[#This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+テーブル1[[#This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+テーブル1[[#This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+テーブル1[[#This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+テーブル1[[#This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+テーブル1[[#This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+テーブル1[[#This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+テーブル1[[#This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+テーブル1[[#This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+テーブル1[[#This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+テーブル1[[#This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+テーブル1[[#This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+テーブル1[[#This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+テーブル1[[#This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+テーブル1[[#This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+テーブル1[[#This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+テーブル1[[#This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+テーブル1[[#This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+テーブル1[[#This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+テーブル1[[#This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+テーブル1[[#This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+テーブル1[[#This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+テーブル1[[#This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+テーブル1[[#This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+テーブル1[[#This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+テーブル1[[#This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+テーブル1[[#This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</f>
        <v>235200</v>
      </c>
      <c r="P4388" s="10">
        <v>1153</v>
      </c>
      <c r="Q4388" s="10" t="s">
        <v>1935</v>
      </c>
      <c r="R4388" s="50">
        <f>+テーブル1[[#This Row],[合計金額]]*テーブル1[[#This Row],[自社報酬率％]]/100</f>
        <v>117600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+テーブル1[[#This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+テーブル1[[#This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+テーブル1[[#This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+テーブル1[[#This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+テーブル1[[#This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+テーブル1[[#This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+テーブル1[[#This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+テーブル1[[#This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+テーブル1[[#This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+テーブル1[[#This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+テーブル1[[#This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+テーブル1[[#This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+テーブル1[[#This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+テーブル1[[#This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+テーブル1[[#This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+テーブル1[[#This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+テーブル1[[#This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+テーブル1[[#This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+テーブル1[[#This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+テーブル1[[#This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+テーブル1[[#This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+テーブル1[[#This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+テーブル1[[#This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+テーブル1[[#This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+テーブル1[[#This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+テーブル1[[#This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+テーブル1[[#This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+テーブル1[[#This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+テーブル1[[#This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+テーブル1[[#This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+テーブル1[[#This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+テーブル1[[#This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+テーブル1[[#This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+テーブル1[[#This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+テーブル1[[#This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+テーブル1[[#This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+テーブル1[[#This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+テーブル1[[#This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+テーブル1[[#This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+テーブル1[[#This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+テーブル1[[#This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+テーブル1[[#This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+テーブル1[[#This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+テーブル1[[#This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+テーブル1[[#This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+テーブル1[[#This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+テーブル1[[#This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+テーブル1[[#This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+テーブル1[[#This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+テーブル1[[#This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+テーブル1[[#This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+テーブル1[[#This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+テーブル1[[#This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+テーブル1[[#This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+テーブル1[[#This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+テーブル1[[#This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+テーブル1[[#This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+テーブル1[[#This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+テーブル1[[#This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+テーブル1[[#This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512" si="174">+I4449*N4449</f>
        <v>18000</v>
      </c>
      <c r="P4449" s="10">
        <v>266</v>
      </c>
      <c r="Q4449" s="10" t="s">
        <v>1935</v>
      </c>
      <c r="R4449" s="50">
        <f>+テーブル1[[#This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+テーブル1[[#This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+テーブル1[[#This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+テーブル1[[#This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+テーブル1[[#This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+テーブル1[[#This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+テーブル1[[#This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+テーブル1[[#This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+テーブル1[[#This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+テーブル1[[#This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+テーブル1[[#This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+テーブル1[[#This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+テーブル1[[#This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+テーブル1[[#This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+テーブル1[[#This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+テーブル1[[#This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+テーブル1[[#This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+テーブル1[[#This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+テーブル1[[#This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+テーブル1[[#This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+テーブル1[[#This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+テーブル1[[#This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+テーブル1[[#This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+テーブル1[[#This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1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25">
        <f>+テーブル1[[#This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2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25">
        <f>+テーブル1[[#This Row],[合計金額]]*テーブル1[[#This Row],[自社報酬率％]]/100</f>
        <v>367381</v>
      </c>
    </row>
    <row r="4475" spans="1:18">
      <c r="A4475" s="7">
        <v>45931</v>
      </c>
      <c r="B4475" t="s">
        <v>43</v>
      </c>
      <c r="C4475" s="18" t="s">
        <v>24</v>
      </c>
      <c r="D4475" s="41">
        <v>100</v>
      </c>
      <c r="E4475" s="41">
        <v>100</v>
      </c>
      <c r="F4475" s="18" t="s">
        <v>17</v>
      </c>
      <c r="G4475" s="28">
        <v>45931</v>
      </c>
      <c r="H4475" s="26" t="s">
        <v>1946</v>
      </c>
      <c r="I4475" s="49">
        <v>29975</v>
      </c>
      <c r="J4475" s="24">
        <v>1</v>
      </c>
      <c r="K4475" s="24"/>
      <c r="L4475" s="91">
        <v>0</v>
      </c>
      <c r="M4475" s="24"/>
      <c r="N4475" s="12">
        <f t="shared" ref="N4475:N4538" si="177">J4475-L4475</f>
        <v>1</v>
      </c>
      <c r="O4475" s="11">
        <f t="shared" si="174"/>
        <v>29975</v>
      </c>
      <c r="P4475" s="10">
        <v>1168</v>
      </c>
      <c r="Q4475" s="10" t="s">
        <v>1935</v>
      </c>
      <c r="R4475" s="50">
        <f>+テーブル1[[#This Row],[合計金額]]*テーブル1[[#This Row],[自社報酬率％]]/100</f>
        <v>29975</v>
      </c>
    </row>
    <row r="4476" spans="1:18">
      <c r="A4476" s="7">
        <v>45931</v>
      </c>
      <c r="B4476" t="s">
        <v>43</v>
      </c>
      <c r="C4476" s="18" t="s">
        <v>24</v>
      </c>
      <c r="D4476" s="41">
        <v>100</v>
      </c>
      <c r="E4476" s="41">
        <v>100</v>
      </c>
      <c r="F4476" s="18" t="s">
        <v>17</v>
      </c>
      <c r="G4476" s="28">
        <v>45931</v>
      </c>
      <c r="H4476" s="26" t="s">
        <v>2987</v>
      </c>
      <c r="I4476" s="49">
        <v>29975</v>
      </c>
      <c r="J4476" s="24">
        <v>1</v>
      </c>
      <c r="K4476" s="24"/>
      <c r="L4476" s="91">
        <v>0</v>
      </c>
      <c r="M4476" s="24"/>
      <c r="N4476" s="12">
        <f t="shared" si="177"/>
        <v>1</v>
      </c>
      <c r="O4476" s="11">
        <f t="shared" si="174"/>
        <v>29975</v>
      </c>
      <c r="P4476" s="10">
        <v>1169</v>
      </c>
      <c r="Q4476" s="10" t="s">
        <v>1935</v>
      </c>
      <c r="R4476" s="50">
        <f>+テーブル1[[#This Row],[合計金額]]*テーブル1[[#This Row],[自社報酬率％]]/100</f>
        <v>29975</v>
      </c>
    </row>
    <row r="4477" spans="1:18">
      <c r="A4477" s="7">
        <v>45931</v>
      </c>
      <c r="B4477" t="s">
        <v>43</v>
      </c>
      <c r="C4477" s="18" t="s">
        <v>24</v>
      </c>
      <c r="D4477" s="41">
        <v>100</v>
      </c>
      <c r="E4477" s="41">
        <v>100</v>
      </c>
      <c r="F4477" s="18" t="s">
        <v>17</v>
      </c>
      <c r="G4477" s="28">
        <v>45931</v>
      </c>
      <c r="H4477" s="26" t="s">
        <v>2988</v>
      </c>
      <c r="I4477" s="49">
        <v>27500</v>
      </c>
      <c r="J4477" s="24">
        <v>1</v>
      </c>
      <c r="K4477" s="24"/>
      <c r="L4477" s="91">
        <v>0</v>
      </c>
      <c r="M4477" s="24"/>
      <c r="N4477" s="12">
        <f t="shared" si="177"/>
        <v>1</v>
      </c>
      <c r="O4477" s="11">
        <f t="shared" si="174"/>
        <v>27500</v>
      </c>
      <c r="P4477" s="10">
        <v>1170</v>
      </c>
      <c r="Q4477" s="10" t="s">
        <v>1935</v>
      </c>
      <c r="R4477" s="50">
        <f>+テーブル1[[#This Row],[合計金額]]*テーブル1[[#This Row],[自社報酬率％]]/100</f>
        <v>27500</v>
      </c>
    </row>
    <row r="4478" spans="1:18">
      <c r="A4478" s="7">
        <v>45931</v>
      </c>
      <c r="B4478" t="s">
        <v>43</v>
      </c>
      <c r="C4478" s="18" t="s">
        <v>24</v>
      </c>
      <c r="D4478" s="41">
        <v>100</v>
      </c>
      <c r="E4478" s="41">
        <v>100</v>
      </c>
      <c r="F4478" s="18" t="s">
        <v>17</v>
      </c>
      <c r="G4478" s="28">
        <v>45931</v>
      </c>
      <c r="H4478" s="26" t="s">
        <v>2142</v>
      </c>
      <c r="I4478" s="49">
        <v>29975</v>
      </c>
      <c r="J4478" s="24">
        <v>6</v>
      </c>
      <c r="K4478" s="24"/>
      <c r="L4478" s="91">
        <v>0</v>
      </c>
      <c r="M4478" s="24"/>
      <c r="N4478" s="12">
        <f t="shared" si="177"/>
        <v>6</v>
      </c>
      <c r="O4478" s="11">
        <f t="shared" si="174"/>
        <v>179850</v>
      </c>
      <c r="P4478" s="10">
        <v>1171</v>
      </c>
      <c r="Q4478" s="10" t="s">
        <v>1935</v>
      </c>
      <c r="R4478" s="50">
        <f>+テーブル1[[#This Row],[合計金額]]*テーブル1[[#This Row],[自社報酬率％]]/100</f>
        <v>179850</v>
      </c>
    </row>
    <row r="4479" spans="1:18">
      <c r="A4479" s="7">
        <v>45931</v>
      </c>
      <c r="B4479" t="s">
        <v>43</v>
      </c>
      <c r="C4479" s="18" t="s">
        <v>24</v>
      </c>
      <c r="D4479" s="41">
        <v>100</v>
      </c>
      <c r="E4479" s="41">
        <v>100</v>
      </c>
      <c r="F4479" s="18" t="s">
        <v>17</v>
      </c>
      <c r="G4479" s="28">
        <v>45931</v>
      </c>
      <c r="H4479" s="26" t="s">
        <v>1947</v>
      </c>
      <c r="I4479" s="49">
        <v>29975</v>
      </c>
      <c r="J4479" s="24">
        <v>5</v>
      </c>
      <c r="K4479" s="24"/>
      <c r="L4479" s="91">
        <v>0</v>
      </c>
      <c r="M4479" s="24"/>
      <c r="N4479" s="12">
        <f t="shared" si="177"/>
        <v>5</v>
      </c>
      <c r="O4479" s="11">
        <f t="shared" si="174"/>
        <v>149875</v>
      </c>
      <c r="P4479" s="10">
        <v>1172</v>
      </c>
      <c r="Q4479" s="10" t="s">
        <v>1935</v>
      </c>
      <c r="R4479" s="50">
        <f>+テーブル1[[#This Row],[合計金額]]*テーブル1[[#This Row],[自社報酬率％]]/100</f>
        <v>149875</v>
      </c>
    </row>
    <row r="4480" spans="1:18">
      <c r="A4480" s="7">
        <v>45931</v>
      </c>
      <c r="B4480" t="s">
        <v>43</v>
      </c>
      <c r="C4480" s="18" t="s">
        <v>24</v>
      </c>
      <c r="D4480" s="41">
        <v>100</v>
      </c>
      <c r="E4480" s="41">
        <v>100</v>
      </c>
      <c r="F4480" s="18" t="s">
        <v>17</v>
      </c>
      <c r="G4480" s="28">
        <v>45931</v>
      </c>
      <c r="H4480" s="26" t="s">
        <v>2143</v>
      </c>
      <c r="I4480" s="49">
        <v>27500</v>
      </c>
      <c r="J4480" s="24">
        <v>1</v>
      </c>
      <c r="K4480" s="24"/>
      <c r="L4480" s="91">
        <v>0</v>
      </c>
      <c r="M4480" s="24"/>
      <c r="N4480" s="12">
        <f t="shared" si="177"/>
        <v>1</v>
      </c>
      <c r="O4480" s="11">
        <f t="shared" si="174"/>
        <v>27500</v>
      </c>
      <c r="P4480" s="10">
        <v>1173</v>
      </c>
      <c r="Q4480" s="10" t="s">
        <v>1935</v>
      </c>
      <c r="R4480" s="50">
        <f>+テーブル1[[#This Row],[合計金額]]*テーブル1[[#This Row],[自社報酬率％]]/100</f>
        <v>27500</v>
      </c>
    </row>
    <row r="4481" spans="1:18">
      <c r="A4481" s="7">
        <v>45931</v>
      </c>
      <c r="B4481" t="s">
        <v>43</v>
      </c>
      <c r="C4481" s="18" t="s">
        <v>24</v>
      </c>
      <c r="D4481" s="41">
        <v>100</v>
      </c>
      <c r="E4481" s="41">
        <v>100</v>
      </c>
      <c r="F4481" s="18" t="s">
        <v>17</v>
      </c>
      <c r="G4481" s="28">
        <v>45931</v>
      </c>
      <c r="H4481" s="26" t="s">
        <v>2296</v>
      </c>
      <c r="I4481" s="49">
        <v>29975</v>
      </c>
      <c r="J4481" s="24">
        <v>5</v>
      </c>
      <c r="K4481" s="24"/>
      <c r="L4481" s="91">
        <v>0</v>
      </c>
      <c r="M4481" s="24"/>
      <c r="N4481" s="12">
        <f t="shared" si="177"/>
        <v>5</v>
      </c>
      <c r="O4481" s="11">
        <f t="shared" si="174"/>
        <v>149875</v>
      </c>
      <c r="P4481" s="10">
        <v>1174</v>
      </c>
      <c r="Q4481" s="10" t="s">
        <v>1935</v>
      </c>
      <c r="R4481" s="50">
        <f>+テーブル1[[#This Row],[合計金額]]*テーブル1[[#This Row],[自社報酬率％]]/100</f>
        <v>149875</v>
      </c>
    </row>
    <row r="4482" spans="1:18">
      <c r="A4482" s="7">
        <v>45931</v>
      </c>
      <c r="B4482" t="s">
        <v>43</v>
      </c>
      <c r="C4482" s="18" t="s">
        <v>24</v>
      </c>
      <c r="D4482" s="41">
        <v>100</v>
      </c>
      <c r="E4482" s="41">
        <v>100</v>
      </c>
      <c r="F4482" s="18" t="s">
        <v>17</v>
      </c>
      <c r="G4482" s="28">
        <v>45931</v>
      </c>
      <c r="H4482" s="26" t="s">
        <v>2425</v>
      </c>
      <c r="I4482" s="49">
        <v>29975</v>
      </c>
      <c r="J4482" s="24">
        <v>3</v>
      </c>
      <c r="K4482" s="24"/>
      <c r="L4482" s="91">
        <v>0</v>
      </c>
      <c r="M4482" s="24"/>
      <c r="N4482" s="12">
        <f t="shared" si="177"/>
        <v>3</v>
      </c>
      <c r="O4482" s="11">
        <f t="shared" si="174"/>
        <v>89925</v>
      </c>
      <c r="P4482" s="10">
        <v>1175</v>
      </c>
      <c r="Q4482" s="10" t="s">
        <v>1935</v>
      </c>
      <c r="R4482" s="50">
        <f>+テーブル1[[#This Row],[合計金額]]*テーブル1[[#This Row],[自社報酬率％]]/100</f>
        <v>89925</v>
      </c>
    </row>
    <row r="4483" spans="1:18">
      <c r="A4483" s="7">
        <v>45931</v>
      </c>
      <c r="B4483" t="s">
        <v>43</v>
      </c>
      <c r="C4483" s="18" t="s">
        <v>24</v>
      </c>
      <c r="D4483" s="41">
        <v>100</v>
      </c>
      <c r="E4483" s="41">
        <v>100</v>
      </c>
      <c r="F4483" s="18" t="s">
        <v>17</v>
      </c>
      <c r="G4483" s="28">
        <v>45931</v>
      </c>
      <c r="H4483" s="26" t="s">
        <v>2522</v>
      </c>
      <c r="I4483" s="49">
        <v>27500</v>
      </c>
      <c r="J4483" s="24">
        <v>1</v>
      </c>
      <c r="K4483" s="24"/>
      <c r="L4483" s="91">
        <v>0</v>
      </c>
      <c r="M4483" s="24"/>
      <c r="N4483" s="12">
        <f t="shared" si="177"/>
        <v>1</v>
      </c>
      <c r="O4483" s="11">
        <f t="shared" si="174"/>
        <v>27500</v>
      </c>
      <c r="P4483" s="10">
        <v>1176</v>
      </c>
      <c r="Q4483" s="10" t="s">
        <v>1935</v>
      </c>
      <c r="R4483" s="50">
        <f>+テーブル1[[#This Row],[合計金額]]*テーブル1[[#This Row],[自社報酬率％]]/100</f>
        <v>27500</v>
      </c>
    </row>
    <row r="4484" spans="1:18">
      <c r="A4484" s="7">
        <v>45931</v>
      </c>
      <c r="B4484" t="s">
        <v>43</v>
      </c>
      <c r="C4484" s="18" t="s">
        <v>24</v>
      </c>
      <c r="D4484" s="41">
        <v>100</v>
      </c>
      <c r="E4484" s="41">
        <v>100</v>
      </c>
      <c r="F4484" s="18" t="s">
        <v>17</v>
      </c>
      <c r="G4484" s="28">
        <v>45931</v>
      </c>
      <c r="H4484" s="26" t="s">
        <v>2522</v>
      </c>
      <c r="I4484" s="49">
        <v>29975</v>
      </c>
      <c r="J4484" s="24">
        <v>6</v>
      </c>
      <c r="K4484" s="24"/>
      <c r="L4484" s="91">
        <v>0</v>
      </c>
      <c r="M4484" s="24"/>
      <c r="N4484" s="12">
        <f t="shared" si="177"/>
        <v>6</v>
      </c>
      <c r="O4484" s="11">
        <f t="shared" si="174"/>
        <v>179850</v>
      </c>
      <c r="P4484" s="10">
        <v>1177</v>
      </c>
      <c r="Q4484" s="10" t="s">
        <v>1935</v>
      </c>
      <c r="R4484" s="50">
        <f>+テーブル1[[#This Row],[合計金額]]*テーブル1[[#This Row],[自社報酬率％]]/100</f>
        <v>179850</v>
      </c>
    </row>
    <row r="4485" spans="1:18">
      <c r="A4485" s="7">
        <v>45931</v>
      </c>
      <c r="B4485" t="s">
        <v>43</v>
      </c>
      <c r="C4485" s="18" t="s">
        <v>24</v>
      </c>
      <c r="D4485" s="41">
        <v>100</v>
      </c>
      <c r="E4485" s="41">
        <v>100</v>
      </c>
      <c r="F4485" s="18" t="s">
        <v>17</v>
      </c>
      <c r="G4485" s="28">
        <v>45931</v>
      </c>
      <c r="H4485" s="26" t="s">
        <v>2676</v>
      </c>
      <c r="I4485" s="49">
        <v>29975</v>
      </c>
      <c r="J4485" s="24">
        <v>1</v>
      </c>
      <c r="K4485" s="24"/>
      <c r="L4485" s="91">
        <v>0</v>
      </c>
      <c r="M4485" s="24"/>
      <c r="N4485" s="12">
        <f t="shared" si="177"/>
        <v>1</v>
      </c>
      <c r="O4485" s="11">
        <f t="shared" si="174"/>
        <v>29975</v>
      </c>
      <c r="P4485" s="10">
        <v>1178</v>
      </c>
      <c r="Q4485" s="10" t="s">
        <v>1935</v>
      </c>
      <c r="R4485" s="50">
        <f>+テーブル1[[#This Row],[合計金額]]*テーブル1[[#This Row],[自社報酬率％]]/100</f>
        <v>29975</v>
      </c>
    </row>
    <row r="4486" spans="1:18">
      <c r="A4486" s="7">
        <v>45931</v>
      </c>
      <c r="B4486" t="s">
        <v>43</v>
      </c>
      <c r="C4486" s="18" t="s">
        <v>24</v>
      </c>
      <c r="D4486" s="41">
        <v>100</v>
      </c>
      <c r="E4486" s="41">
        <v>100</v>
      </c>
      <c r="F4486" s="18" t="s">
        <v>17</v>
      </c>
      <c r="G4486" s="28">
        <v>45931</v>
      </c>
      <c r="H4486" s="26" t="s">
        <v>2775</v>
      </c>
      <c r="I4486" s="49">
        <v>29975</v>
      </c>
      <c r="J4486" s="24">
        <v>6</v>
      </c>
      <c r="K4486" s="24"/>
      <c r="L4486" s="91">
        <v>0</v>
      </c>
      <c r="M4486" s="24"/>
      <c r="N4486" s="12">
        <f t="shared" si="177"/>
        <v>6</v>
      </c>
      <c r="O4486" s="11">
        <f t="shared" si="174"/>
        <v>179850</v>
      </c>
      <c r="P4486" s="10">
        <v>1179</v>
      </c>
      <c r="Q4486" s="10" t="s">
        <v>1935</v>
      </c>
      <c r="R4486" s="50">
        <f>+テーブル1[[#This Row],[合計金額]]*テーブル1[[#This Row],[自社報酬率％]]/100</f>
        <v>179850</v>
      </c>
    </row>
    <row r="4487" spans="1:18">
      <c r="A4487" s="7">
        <v>45931</v>
      </c>
      <c r="B4487" t="s">
        <v>43</v>
      </c>
      <c r="C4487" s="18" t="s">
        <v>24</v>
      </c>
      <c r="D4487" s="41">
        <v>100</v>
      </c>
      <c r="E4487" s="41">
        <v>100</v>
      </c>
      <c r="F4487" s="18" t="s">
        <v>17</v>
      </c>
      <c r="G4487" s="28">
        <v>45931</v>
      </c>
      <c r="H4487" s="26" t="s">
        <v>2989</v>
      </c>
      <c r="I4487" s="49">
        <v>29800</v>
      </c>
      <c r="J4487" s="24">
        <v>1</v>
      </c>
      <c r="K4487" s="24"/>
      <c r="L4487" s="91">
        <v>0</v>
      </c>
      <c r="M4487" s="24"/>
      <c r="N4487" s="12">
        <f t="shared" si="177"/>
        <v>1</v>
      </c>
      <c r="O4487" s="11">
        <f t="shared" si="174"/>
        <v>29800</v>
      </c>
      <c r="P4487" s="10">
        <v>1180</v>
      </c>
      <c r="Q4487" s="10" t="s">
        <v>1935</v>
      </c>
      <c r="R4487" s="50">
        <f>+テーブル1[[#This Row],[合計金額]]*テーブル1[[#This Row],[自社報酬率％]]/100</f>
        <v>29800</v>
      </c>
    </row>
    <row r="4488" spans="1:18">
      <c r="A4488" s="7">
        <v>45931</v>
      </c>
      <c r="B4488" t="s">
        <v>43</v>
      </c>
      <c r="C4488" s="18" t="s">
        <v>24</v>
      </c>
      <c r="D4488" s="41">
        <v>100</v>
      </c>
      <c r="E4488" s="41">
        <v>100</v>
      </c>
      <c r="F4488" s="72" t="s">
        <v>19</v>
      </c>
      <c r="G4488" s="85">
        <v>45962</v>
      </c>
      <c r="H4488" s="26" t="s">
        <v>2990</v>
      </c>
      <c r="I4488" s="49">
        <v>8900</v>
      </c>
      <c r="J4488" s="73">
        <v>2</v>
      </c>
      <c r="K4488" s="24"/>
      <c r="L4488" s="90">
        <v>0</v>
      </c>
      <c r="M4488" s="24"/>
      <c r="N4488" s="93">
        <f t="shared" si="177"/>
        <v>2</v>
      </c>
      <c r="O4488" s="11">
        <f t="shared" si="174"/>
        <v>17800</v>
      </c>
      <c r="P4488" s="10">
        <v>1181</v>
      </c>
      <c r="Q4488" s="10" t="s">
        <v>1935</v>
      </c>
      <c r="R4488" s="50">
        <f>+テーブル1[[#This Row],[合計金額]]*テーブル1[[#This Row],[自社報酬率％]]/100</f>
        <v>17800</v>
      </c>
    </row>
    <row r="4489" spans="1:18">
      <c r="A4489" s="7">
        <v>45931</v>
      </c>
      <c r="B4489" t="s">
        <v>43</v>
      </c>
      <c r="C4489" s="18" t="s">
        <v>24</v>
      </c>
      <c r="D4489" s="41">
        <v>100</v>
      </c>
      <c r="E4489" s="41">
        <v>100</v>
      </c>
      <c r="F4489" s="101" t="s">
        <v>19</v>
      </c>
      <c r="G4489" s="102">
        <v>45992</v>
      </c>
      <c r="H4489" s="26" t="s">
        <v>2991</v>
      </c>
      <c r="I4489" s="49">
        <v>8900</v>
      </c>
      <c r="J4489" s="24">
        <v>2</v>
      </c>
      <c r="K4489" s="24"/>
      <c r="L4489" s="91">
        <v>0</v>
      </c>
      <c r="M4489" s="24"/>
      <c r="N4489" s="94">
        <f t="shared" si="177"/>
        <v>2</v>
      </c>
      <c r="O4489" s="11">
        <f t="shared" si="174"/>
        <v>17800</v>
      </c>
      <c r="P4489" s="10">
        <v>1182</v>
      </c>
      <c r="Q4489" s="10" t="s">
        <v>1928</v>
      </c>
      <c r="R4489" s="50">
        <f>+テーブル1[[#This Row],[合計金額]]*テーブル1[[#This Row],[自社報酬率％]]/100</f>
        <v>17800</v>
      </c>
    </row>
    <row r="4490" spans="1:18">
      <c r="A4490" s="7">
        <v>45931</v>
      </c>
      <c r="B4490" t="s">
        <v>43</v>
      </c>
      <c r="C4490" s="18" t="s">
        <v>24</v>
      </c>
      <c r="D4490" s="41">
        <v>100</v>
      </c>
      <c r="E4490" s="41">
        <v>100</v>
      </c>
      <c r="F4490" s="101" t="s">
        <v>19</v>
      </c>
      <c r="G4490" s="102">
        <v>46023</v>
      </c>
      <c r="H4490" s="26" t="s">
        <v>2992</v>
      </c>
      <c r="I4490" s="49">
        <v>8900</v>
      </c>
      <c r="J4490" s="24">
        <v>2</v>
      </c>
      <c r="K4490" s="24"/>
      <c r="L4490" s="91">
        <v>0</v>
      </c>
      <c r="M4490" s="24"/>
      <c r="N4490" s="94">
        <f t="shared" si="177"/>
        <v>2</v>
      </c>
      <c r="O4490" s="11">
        <f t="shared" si="174"/>
        <v>17800</v>
      </c>
      <c r="P4490" s="10">
        <v>1183</v>
      </c>
      <c r="Q4490" s="10" t="s">
        <v>1928</v>
      </c>
      <c r="R4490" s="50">
        <f>+テーブル1[[#This Row],[合計金額]]*テーブル1[[#This Row],[自社報酬率％]]/100</f>
        <v>17800</v>
      </c>
    </row>
    <row r="4491" spans="1:18">
      <c r="A4491" s="7">
        <v>45931</v>
      </c>
      <c r="B4491" t="s">
        <v>43</v>
      </c>
      <c r="C4491" s="18" t="s">
        <v>24</v>
      </c>
      <c r="D4491" s="41">
        <v>100</v>
      </c>
      <c r="E4491" s="41">
        <v>100</v>
      </c>
      <c r="F4491" s="101" t="s">
        <v>19</v>
      </c>
      <c r="G4491" s="102">
        <v>46054</v>
      </c>
      <c r="H4491" s="26" t="s">
        <v>2993</v>
      </c>
      <c r="I4491" s="49">
        <v>8900</v>
      </c>
      <c r="J4491" s="24">
        <v>2</v>
      </c>
      <c r="K4491" s="24"/>
      <c r="L4491" s="91">
        <v>0</v>
      </c>
      <c r="M4491" s="24"/>
      <c r="N4491" s="94">
        <f t="shared" si="177"/>
        <v>2</v>
      </c>
      <c r="O4491" s="11">
        <f t="shared" si="174"/>
        <v>17800</v>
      </c>
      <c r="P4491" s="10">
        <v>1184</v>
      </c>
      <c r="Q4491" s="10" t="s">
        <v>1928</v>
      </c>
      <c r="R4491" s="50">
        <f>+テーブル1[[#This Row],[合計金額]]*テーブル1[[#This Row],[自社報酬率％]]/100</f>
        <v>17800</v>
      </c>
    </row>
    <row r="4492" spans="1:18">
      <c r="A4492" s="7">
        <v>45931</v>
      </c>
      <c r="B4492" t="s">
        <v>43</v>
      </c>
      <c r="C4492" s="18" t="s">
        <v>24</v>
      </c>
      <c r="D4492" s="41">
        <v>100</v>
      </c>
      <c r="E4492" s="41">
        <v>100</v>
      </c>
      <c r="F4492" s="101" t="s">
        <v>19</v>
      </c>
      <c r="G4492" s="102">
        <v>46082</v>
      </c>
      <c r="H4492" s="26" t="s">
        <v>2994</v>
      </c>
      <c r="I4492" s="49">
        <v>8900</v>
      </c>
      <c r="J4492" s="24">
        <v>2</v>
      </c>
      <c r="K4492" s="24"/>
      <c r="L4492" s="91">
        <v>0</v>
      </c>
      <c r="M4492" s="24"/>
      <c r="N4492" s="94">
        <f t="shared" si="177"/>
        <v>2</v>
      </c>
      <c r="O4492" s="11">
        <f t="shared" si="174"/>
        <v>17800</v>
      </c>
      <c r="P4492" s="10">
        <v>1185</v>
      </c>
      <c r="Q4492" s="10" t="s">
        <v>1928</v>
      </c>
      <c r="R4492" s="50">
        <f>+テーブル1[[#This Row],[合計金額]]*テーブル1[[#This Row],[自社報酬率％]]/100</f>
        <v>17800</v>
      </c>
    </row>
    <row r="4493" spans="1:18">
      <c r="A4493" s="7">
        <v>45931</v>
      </c>
      <c r="B4493" t="s">
        <v>43</v>
      </c>
      <c r="C4493" s="18" t="s">
        <v>24</v>
      </c>
      <c r="D4493" s="41">
        <v>100</v>
      </c>
      <c r="E4493" s="41">
        <v>100</v>
      </c>
      <c r="F4493" s="76" t="s">
        <v>19</v>
      </c>
      <c r="G4493" s="86">
        <v>46113</v>
      </c>
      <c r="H4493" s="26" t="s">
        <v>2995</v>
      </c>
      <c r="I4493" s="49">
        <v>8900</v>
      </c>
      <c r="J4493" s="77">
        <v>2</v>
      </c>
      <c r="K4493" s="24"/>
      <c r="L4493" s="92">
        <v>0</v>
      </c>
      <c r="M4493" s="24"/>
      <c r="N4493" s="95">
        <f t="shared" si="177"/>
        <v>2</v>
      </c>
      <c r="O4493" s="11">
        <f t="shared" si="174"/>
        <v>17800</v>
      </c>
      <c r="P4493" s="10">
        <v>1186</v>
      </c>
      <c r="Q4493" s="10" t="s">
        <v>1928</v>
      </c>
      <c r="R4493" s="50">
        <f>+テーブル1[[#This Row],[合計金額]]*テーブル1[[#This Row],[自社報酬率％]]/100</f>
        <v>17800</v>
      </c>
    </row>
    <row r="4494" spans="1:18">
      <c r="A4494" s="7">
        <v>45931</v>
      </c>
      <c r="B4494" t="s">
        <v>43</v>
      </c>
      <c r="C4494" s="18" t="s">
        <v>24</v>
      </c>
      <c r="D4494" s="41">
        <v>100</v>
      </c>
      <c r="E4494" s="41">
        <v>100</v>
      </c>
      <c r="F4494" s="101" t="s">
        <v>16</v>
      </c>
      <c r="G4494" s="102">
        <v>45962</v>
      </c>
      <c r="H4494" s="26" t="s">
        <v>2996</v>
      </c>
      <c r="I4494" s="49">
        <v>11000</v>
      </c>
      <c r="J4494" s="24">
        <v>1</v>
      </c>
      <c r="K4494" s="24"/>
      <c r="L4494" s="91">
        <v>0</v>
      </c>
      <c r="M4494" s="24"/>
      <c r="N4494" s="12">
        <f t="shared" si="177"/>
        <v>1</v>
      </c>
      <c r="O4494" s="11">
        <f t="shared" si="174"/>
        <v>11000</v>
      </c>
      <c r="P4494" s="10">
        <v>1187</v>
      </c>
      <c r="Q4494" s="10" t="s">
        <v>1935</v>
      </c>
      <c r="R4494" s="50">
        <f>+テーブル1[[#This Row],[合計金額]]*テーブル1[[#This Row],[自社報酬率％]]/100</f>
        <v>11000</v>
      </c>
    </row>
    <row r="4495" spans="1:18">
      <c r="A4495" s="7">
        <v>45931</v>
      </c>
      <c r="B4495" t="s">
        <v>43</v>
      </c>
      <c r="C4495" s="18" t="s">
        <v>24</v>
      </c>
      <c r="D4495" s="41">
        <v>100</v>
      </c>
      <c r="E4495" s="41">
        <v>100</v>
      </c>
      <c r="F4495" s="101" t="s">
        <v>16</v>
      </c>
      <c r="G4495" s="102">
        <v>45962</v>
      </c>
      <c r="H4495" s="26" t="s">
        <v>2997</v>
      </c>
      <c r="I4495" s="49">
        <v>3000</v>
      </c>
      <c r="J4495" s="24">
        <v>11</v>
      </c>
      <c r="K4495" s="24"/>
      <c r="L4495" s="91">
        <v>0</v>
      </c>
      <c r="M4495" s="24"/>
      <c r="N4495" s="12">
        <f t="shared" si="177"/>
        <v>11</v>
      </c>
      <c r="O4495" s="11">
        <f t="shared" si="174"/>
        <v>33000</v>
      </c>
      <c r="P4495" s="10">
        <v>1188</v>
      </c>
      <c r="Q4495" s="10" t="s">
        <v>1935</v>
      </c>
      <c r="R4495" s="50">
        <f>+テーブル1[[#This Row],[合計金額]]*テーブル1[[#This Row],[自社報酬率％]]/100</f>
        <v>33000</v>
      </c>
    </row>
    <row r="4496" spans="1:18">
      <c r="A4496" s="7">
        <v>45931</v>
      </c>
      <c r="B4496" t="s">
        <v>43</v>
      </c>
      <c r="C4496" s="18" t="s">
        <v>24</v>
      </c>
      <c r="D4496" s="41">
        <v>100</v>
      </c>
      <c r="E4496" s="41">
        <v>100</v>
      </c>
      <c r="F4496" s="82" t="s">
        <v>20</v>
      </c>
      <c r="G4496" s="87">
        <v>45931</v>
      </c>
      <c r="H4496" s="26" t="s">
        <v>2782</v>
      </c>
      <c r="I4496" s="49">
        <v>3000</v>
      </c>
      <c r="J4496" s="77">
        <v>0</v>
      </c>
      <c r="K4496" s="24"/>
      <c r="L4496" s="92">
        <v>0</v>
      </c>
      <c r="M4496" s="24"/>
      <c r="N4496" s="96">
        <f t="shared" si="177"/>
        <v>0</v>
      </c>
      <c r="O4496" s="11">
        <f t="shared" si="174"/>
        <v>0</v>
      </c>
      <c r="P4496" s="10">
        <v>1189</v>
      </c>
      <c r="Q4496" s="10" t="s">
        <v>1935</v>
      </c>
      <c r="R4496" s="50">
        <f>+テーブル1[[#This Row],[合計金額]]*テーブル1[[#This Row],[自社報酬率％]]/100</f>
        <v>0</v>
      </c>
    </row>
    <row r="4497" spans="1:18">
      <c r="A4497" s="7">
        <v>45931</v>
      </c>
      <c r="B4497" t="s">
        <v>43</v>
      </c>
      <c r="C4497" s="18" t="s">
        <v>1962</v>
      </c>
      <c r="D4497" s="41">
        <v>50</v>
      </c>
      <c r="E4497" s="41">
        <v>50</v>
      </c>
      <c r="F4497" s="18" t="s">
        <v>19</v>
      </c>
      <c r="G4497" s="28">
        <v>45931</v>
      </c>
      <c r="H4497" s="26" t="s">
        <v>2998</v>
      </c>
      <c r="I4497" s="49">
        <v>72050</v>
      </c>
      <c r="J4497" s="24">
        <v>53</v>
      </c>
      <c r="K4497" s="24"/>
      <c r="L4497" s="91">
        <v>0</v>
      </c>
      <c r="M4497" s="24"/>
      <c r="N4497" s="12">
        <f t="shared" si="177"/>
        <v>53</v>
      </c>
      <c r="O4497" s="11">
        <f t="shared" si="174"/>
        <v>3818650</v>
      </c>
      <c r="P4497" s="10">
        <v>1190</v>
      </c>
      <c r="Q4497" s="10" t="s">
        <v>1935</v>
      </c>
      <c r="R4497" s="50">
        <f>+テーブル1[[#This Row],[合計金額]]*テーブル1[[#This Row],[自社報酬率％]]/100</f>
        <v>1909325</v>
      </c>
    </row>
    <row r="4498" spans="1:18">
      <c r="A4498" s="7">
        <v>45931</v>
      </c>
      <c r="B4498" t="s">
        <v>43</v>
      </c>
      <c r="C4498" s="18" t="s">
        <v>1962</v>
      </c>
      <c r="D4498" s="41">
        <v>50</v>
      </c>
      <c r="E4498" s="41">
        <v>50</v>
      </c>
      <c r="F4498" s="18" t="s">
        <v>19</v>
      </c>
      <c r="G4498" s="28">
        <v>45931</v>
      </c>
      <c r="H4498" s="26" t="s">
        <v>2999</v>
      </c>
      <c r="I4498" s="49">
        <v>91700</v>
      </c>
      <c r="J4498" s="24">
        <v>4</v>
      </c>
      <c r="K4498" s="24"/>
      <c r="L4498" s="91">
        <v>0</v>
      </c>
      <c r="M4498" s="24"/>
      <c r="N4498" s="12">
        <f t="shared" si="177"/>
        <v>4</v>
      </c>
      <c r="O4498" s="11">
        <f t="shared" si="174"/>
        <v>366800</v>
      </c>
      <c r="P4498" s="10">
        <v>1191</v>
      </c>
      <c r="Q4498" s="10" t="s">
        <v>1935</v>
      </c>
      <c r="R4498" s="50">
        <f>+テーブル1[[#This Row],[合計金額]]*テーブル1[[#This Row],[自社報酬率％]]/100</f>
        <v>183400</v>
      </c>
    </row>
    <row r="4499" spans="1:18">
      <c r="A4499" s="7">
        <v>45931</v>
      </c>
      <c r="B4499" t="s">
        <v>43</v>
      </c>
      <c r="C4499" s="18" t="s">
        <v>1962</v>
      </c>
      <c r="D4499" s="41">
        <v>50</v>
      </c>
      <c r="E4499" s="41">
        <v>50</v>
      </c>
      <c r="F4499" s="18" t="s">
        <v>19</v>
      </c>
      <c r="G4499" s="28">
        <v>45931</v>
      </c>
      <c r="H4499" s="26" t="s">
        <v>1975</v>
      </c>
      <c r="I4499" s="49">
        <v>432300</v>
      </c>
      <c r="J4499" s="24">
        <v>92</v>
      </c>
      <c r="K4499" s="24"/>
      <c r="L4499" s="91">
        <v>0</v>
      </c>
      <c r="M4499" s="24"/>
      <c r="N4499" s="12">
        <f t="shared" si="177"/>
        <v>92</v>
      </c>
      <c r="O4499" s="11">
        <f t="shared" si="174"/>
        <v>39771600</v>
      </c>
      <c r="P4499" s="10">
        <v>1192</v>
      </c>
      <c r="Q4499" s="10" t="s">
        <v>1935</v>
      </c>
      <c r="R4499" s="50">
        <f>+テーブル1[[#This Row],[合計金額]]*テーブル1[[#This Row],[自社報酬率％]]/100</f>
        <v>19885800</v>
      </c>
    </row>
    <row r="4500" spans="1:18">
      <c r="A4500" s="7">
        <v>45931</v>
      </c>
      <c r="B4500" t="s">
        <v>43</v>
      </c>
      <c r="C4500" s="18" t="s">
        <v>1962</v>
      </c>
      <c r="D4500" s="41">
        <v>50</v>
      </c>
      <c r="E4500" s="41">
        <v>50</v>
      </c>
      <c r="F4500" s="18" t="s">
        <v>19</v>
      </c>
      <c r="G4500" s="28">
        <v>45931</v>
      </c>
      <c r="H4500" s="26" t="s">
        <v>2160</v>
      </c>
      <c r="I4500" s="49">
        <v>72050</v>
      </c>
      <c r="J4500" s="24">
        <v>1</v>
      </c>
      <c r="K4500" s="24"/>
      <c r="L4500" s="91">
        <v>0</v>
      </c>
      <c r="M4500" s="24"/>
      <c r="N4500" s="12">
        <f t="shared" si="177"/>
        <v>1</v>
      </c>
      <c r="O4500" s="11">
        <f t="shared" si="174"/>
        <v>72050</v>
      </c>
      <c r="P4500" s="10">
        <v>1193</v>
      </c>
      <c r="Q4500" s="10" t="s">
        <v>1935</v>
      </c>
      <c r="R4500" s="50">
        <f>+テーブル1[[#This Row],[合計金額]]*テーブル1[[#This Row],[自社報酬率％]]/100</f>
        <v>36025</v>
      </c>
    </row>
    <row r="4501" spans="1:18">
      <c r="A4501" s="7">
        <v>45931</v>
      </c>
      <c r="B4501" t="s">
        <v>43</v>
      </c>
      <c r="C4501" s="18" t="s">
        <v>1962</v>
      </c>
      <c r="D4501" s="41">
        <v>50</v>
      </c>
      <c r="E4501" s="41">
        <v>50</v>
      </c>
      <c r="F4501" s="18" t="s">
        <v>19</v>
      </c>
      <c r="G4501" s="28">
        <v>45931</v>
      </c>
      <c r="H4501" s="26" t="s">
        <v>2316</v>
      </c>
      <c r="I4501" s="49">
        <v>144100</v>
      </c>
      <c r="J4501" s="24">
        <v>1</v>
      </c>
      <c r="K4501" s="24"/>
      <c r="L4501" s="91">
        <v>0</v>
      </c>
      <c r="M4501" s="24"/>
      <c r="N4501" s="12">
        <f t="shared" si="177"/>
        <v>1</v>
      </c>
      <c r="O4501" s="11">
        <f t="shared" si="174"/>
        <v>144100</v>
      </c>
      <c r="P4501" s="10">
        <v>1194</v>
      </c>
      <c r="Q4501" s="10" t="s">
        <v>1935</v>
      </c>
      <c r="R4501" s="50">
        <f>+テーブル1[[#This Row],[合計金額]]*テーブル1[[#This Row],[自社報酬率％]]/100</f>
        <v>72050</v>
      </c>
    </row>
    <row r="4502" spans="1:18">
      <c r="A4502" s="7">
        <v>45931</v>
      </c>
      <c r="B4502" t="s">
        <v>43</v>
      </c>
      <c r="C4502" s="18" t="s">
        <v>1962</v>
      </c>
      <c r="D4502" s="41">
        <v>50</v>
      </c>
      <c r="E4502" s="41">
        <v>50</v>
      </c>
      <c r="F4502" s="18" t="s">
        <v>19</v>
      </c>
      <c r="G4502" s="28">
        <v>45931</v>
      </c>
      <c r="H4502" s="26" t="s">
        <v>2317</v>
      </c>
      <c r="I4502" s="49">
        <v>72050</v>
      </c>
      <c r="J4502" s="24">
        <v>21</v>
      </c>
      <c r="K4502" s="24"/>
      <c r="L4502" s="91">
        <v>0</v>
      </c>
      <c r="M4502" s="24"/>
      <c r="N4502" s="12">
        <f t="shared" si="177"/>
        <v>21</v>
      </c>
      <c r="O4502" s="11">
        <f t="shared" si="174"/>
        <v>1513050</v>
      </c>
      <c r="P4502" s="10">
        <v>1195</v>
      </c>
      <c r="Q4502" s="10" t="s">
        <v>1935</v>
      </c>
      <c r="R4502" s="50">
        <f>+テーブル1[[#This Row],[合計金額]]*テーブル1[[#This Row],[自社報酬率％]]/100</f>
        <v>756525</v>
      </c>
    </row>
    <row r="4503" spans="1:18">
      <c r="A4503" s="7">
        <v>45931</v>
      </c>
      <c r="B4503" t="s">
        <v>43</v>
      </c>
      <c r="C4503" s="18" t="s">
        <v>1962</v>
      </c>
      <c r="D4503" s="41">
        <v>50</v>
      </c>
      <c r="E4503" s="41">
        <v>50</v>
      </c>
      <c r="F4503" s="18" t="s">
        <v>19</v>
      </c>
      <c r="G4503" s="28">
        <v>45931</v>
      </c>
      <c r="H4503" s="26" t="s">
        <v>1976</v>
      </c>
      <c r="I4503" s="49">
        <v>72050</v>
      </c>
      <c r="J4503" s="24">
        <v>6</v>
      </c>
      <c r="K4503" s="24"/>
      <c r="L4503" s="91">
        <v>0</v>
      </c>
      <c r="M4503" s="24"/>
      <c r="N4503" s="12">
        <f t="shared" si="177"/>
        <v>6</v>
      </c>
      <c r="O4503" s="11">
        <f t="shared" si="174"/>
        <v>432300</v>
      </c>
      <c r="P4503" s="10">
        <v>1196</v>
      </c>
      <c r="Q4503" s="10" t="s">
        <v>1935</v>
      </c>
      <c r="R4503" s="50">
        <f>+テーブル1[[#This Row],[合計金額]]*テーブル1[[#This Row],[自社報酬率％]]/100</f>
        <v>216150</v>
      </c>
    </row>
    <row r="4504" spans="1:18">
      <c r="A4504" s="7">
        <v>45931</v>
      </c>
      <c r="B4504" t="s">
        <v>43</v>
      </c>
      <c r="C4504" s="18" t="s">
        <v>1962</v>
      </c>
      <c r="D4504" s="41">
        <v>50</v>
      </c>
      <c r="E4504" s="41">
        <v>50</v>
      </c>
      <c r="F4504" s="18" t="s">
        <v>19</v>
      </c>
      <c r="G4504" s="28">
        <v>45931</v>
      </c>
      <c r="H4504" s="26" t="s">
        <v>1977</v>
      </c>
      <c r="I4504" s="49">
        <v>216150</v>
      </c>
      <c r="J4504" s="24">
        <v>20</v>
      </c>
      <c r="K4504" s="24"/>
      <c r="L4504" s="91">
        <v>0</v>
      </c>
      <c r="M4504" s="24"/>
      <c r="N4504" s="12">
        <f t="shared" si="177"/>
        <v>20</v>
      </c>
      <c r="O4504" s="11">
        <f t="shared" si="174"/>
        <v>4323000</v>
      </c>
      <c r="P4504" s="10">
        <v>1197</v>
      </c>
      <c r="Q4504" s="10" t="s">
        <v>1935</v>
      </c>
      <c r="R4504" s="50">
        <f>+テーブル1[[#This Row],[合計金額]]*テーブル1[[#This Row],[自社報酬率％]]/100</f>
        <v>2161500</v>
      </c>
    </row>
    <row r="4505" spans="1:18">
      <c r="A4505" s="7">
        <v>45931</v>
      </c>
      <c r="B4505" t="s">
        <v>43</v>
      </c>
      <c r="C4505" s="18" t="s">
        <v>1962</v>
      </c>
      <c r="D4505" s="41">
        <v>50</v>
      </c>
      <c r="E4505" s="41">
        <v>50</v>
      </c>
      <c r="F4505" s="18" t="s">
        <v>19</v>
      </c>
      <c r="G4505" s="28">
        <v>45931</v>
      </c>
      <c r="H4505" s="26" t="s">
        <v>1978</v>
      </c>
      <c r="I4505" s="49">
        <v>144100</v>
      </c>
      <c r="J4505" s="24">
        <v>12</v>
      </c>
      <c r="K4505" s="24"/>
      <c r="L4505" s="91">
        <v>0</v>
      </c>
      <c r="M4505" s="24"/>
      <c r="N4505" s="12">
        <f t="shared" si="177"/>
        <v>12</v>
      </c>
      <c r="O4505" s="11">
        <f t="shared" si="174"/>
        <v>1729200</v>
      </c>
      <c r="P4505" s="10">
        <v>1198</v>
      </c>
      <c r="Q4505" s="10" t="s">
        <v>1935</v>
      </c>
      <c r="R4505" s="50">
        <f>+テーブル1[[#This Row],[合計金額]]*テーブル1[[#This Row],[自社報酬率％]]/100</f>
        <v>864600</v>
      </c>
    </row>
    <row r="4506" spans="1:18">
      <c r="A4506" s="7">
        <v>45931</v>
      </c>
      <c r="B4506" t="s">
        <v>43</v>
      </c>
      <c r="C4506" s="18" t="s">
        <v>1962</v>
      </c>
      <c r="D4506" s="41">
        <v>50</v>
      </c>
      <c r="E4506" s="41">
        <v>50</v>
      </c>
      <c r="F4506" s="18" t="s">
        <v>19</v>
      </c>
      <c r="G4506" s="28">
        <v>45931</v>
      </c>
      <c r="H4506" s="26" t="s">
        <v>1979</v>
      </c>
      <c r="I4506" s="49">
        <v>72050</v>
      </c>
      <c r="J4506" s="24">
        <v>56</v>
      </c>
      <c r="K4506" s="24"/>
      <c r="L4506" s="91">
        <v>0</v>
      </c>
      <c r="M4506" s="24"/>
      <c r="N4506" s="12">
        <f t="shared" si="177"/>
        <v>56</v>
      </c>
      <c r="O4506" s="11">
        <f t="shared" si="174"/>
        <v>4034800</v>
      </c>
      <c r="P4506" s="10">
        <v>1199</v>
      </c>
      <c r="Q4506" s="10" t="s">
        <v>1935</v>
      </c>
      <c r="R4506" s="50">
        <f>+テーブル1[[#This Row],[合計金額]]*テーブル1[[#This Row],[自社報酬率％]]/100</f>
        <v>2017400</v>
      </c>
    </row>
    <row r="4507" spans="1:18">
      <c r="A4507" s="7">
        <v>45931</v>
      </c>
      <c r="B4507" t="s">
        <v>43</v>
      </c>
      <c r="C4507" s="18" t="s">
        <v>1962</v>
      </c>
      <c r="D4507" s="41">
        <v>50</v>
      </c>
      <c r="E4507" s="41">
        <v>50</v>
      </c>
      <c r="F4507" s="18" t="s">
        <v>19</v>
      </c>
      <c r="G4507" s="28">
        <v>45931</v>
      </c>
      <c r="H4507" s="26" t="s">
        <v>1980</v>
      </c>
      <c r="I4507" s="49">
        <v>550000</v>
      </c>
      <c r="J4507" s="24">
        <v>5</v>
      </c>
      <c r="K4507" s="24"/>
      <c r="L4507" s="91">
        <v>0</v>
      </c>
      <c r="M4507" s="24"/>
      <c r="N4507" s="12">
        <f t="shared" si="177"/>
        <v>5</v>
      </c>
      <c r="O4507" s="11">
        <f t="shared" si="174"/>
        <v>2750000</v>
      </c>
      <c r="P4507" s="10">
        <v>1200</v>
      </c>
      <c r="Q4507" s="10" t="s">
        <v>1935</v>
      </c>
      <c r="R4507" s="50">
        <f>+テーブル1[[#This Row],[合計金額]]*テーブル1[[#This Row],[自社報酬率％]]/100</f>
        <v>1375000</v>
      </c>
    </row>
    <row r="4508" spans="1:18">
      <c r="A4508" s="7">
        <v>45931</v>
      </c>
      <c r="B4508" t="s">
        <v>43</v>
      </c>
      <c r="C4508" s="18" t="s">
        <v>1962</v>
      </c>
      <c r="D4508" s="41">
        <v>50</v>
      </c>
      <c r="E4508" s="41">
        <v>50</v>
      </c>
      <c r="F4508" s="18" t="s">
        <v>19</v>
      </c>
      <c r="G4508" s="28">
        <v>45931</v>
      </c>
      <c r="H4508" s="26" t="s">
        <v>2164</v>
      </c>
      <c r="I4508" s="49">
        <v>275000</v>
      </c>
      <c r="J4508" s="24">
        <v>1</v>
      </c>
      <c r="K4508" s="24"/>
      <c r="L4508" s="91">
        <v>0</v>
      </c>
      <c r="M4508" s="24"/>
      <c r="N4508" s="12">
        <f t="shared" si="177"/>
        <v>1</v>
      </c>
      <c r="O4508" s="11">
        <f t="shared" si="174"/>
        <v>275000</v>
      </c>
      <c r="P4508" s="10">
        <v>1201</v>
      </c>
      <c r="Q4508" s="10" t="s">
        <v>1935</v>
      </c>
      <c r="R4508" s="50">
        <f>+テーブル1[[#This Row],[合計金額]]*テーブル1[[#This Row],[自社報酬率％]]/100</f>
        <v>137500</v>
      </c>
    </row>
    <row r="4509" spans="1:18">
      <c r="A4509" s="7">
        <v>45931</v>
      </c>
      <c r="B4509" t="s">
        <v>43</v>
      </c>
      <c r="C4509" s="18" t="s">
        <v>1962</v>
      </c>
      <c r="D4509" s="41">
        <v>50</v>
      </c>
      <c r="E4509" s="41">
        <v>50</v>
      </c>
      <c r="F4509" s="18" t="s">
        <v>19</v>
      </c>
      <c r="G4509" s="28">
        <v>45931</v>
      </c>
      <c r="H4509" s="26" t="s">
        <v>1983</v>
      </c>
      <c r="I4509" s="49">
        <v>91700</v>
      </c>
      <c r="J4509" s="24">
        <v>3</v>
      </c>
      <c r="K4509" s="24"/>
      <c r="L4509" s="91">
        <v>0</v>
      </c>
      <c r="M4509" s="24"/>
      <c r="N4509" s="12">
        <f t="shared" si="177"/>
        <v>3</v>
      </c>
      <c r="O4509" s="11">
        <f t="shared" si="174"/>
        <v>275100</v>
      </c>
      <c r="P4509" s="10">
        <v>1202</v>
      </c>
      <c r="Q4509" s="10" t="s">
        <v>1935</v>
      </c>
      <c r="R4509" s="50">
        <f>+テーブル1[[#This Row],[合計金額]]*テーブル1[[#This Row],[自社報酬率％]]/100</f>
        <v>137550</v>
      </c>
    </row>
    <row r="4510" spans="1:18">
      <c r="A4510" s="7">
        <v>45931</v>
      </c>
      <c r="B4510" t="s">
        <v>43</v>
      </c>
      <c r="C4510" s="18" t="s">
        <v>1962</v>
      </c>
      <c r="D4510" s="41">
        <v>50</v>
      </c>
      <c r="E4510" s="41">
        <v>50</v>
      </c>
      <c r="F4510" s="18" t="s">
        <v>19</v>
      </c>
      <c r="G4510" s="28">
        <v>45931</v>
      </c>
      <c r="H4510" s="26" t="s">
        <v>3000</v>
      </c>
      <c r="I4510" s="49">
        <v>19620</v>
      </c>
      <c r="J4510" s="24">
        <v>1</v>
      </c>
      <c r="K4510" s="24"/>
      <c r="L4510" s="91">
        <v>0</v>
      </c>
      <c r="M4510" s="24"/>
      <c r="N4510" s="12">
        <f t="shared" si="177"/>
        <v>1</v>
      </c>
      <c r="O4510" s="11">
        <f t="shared" si="174"/>
        <v>19620</v>
      </c>
      <c r="P4510" s="10">
        <v>1203</v>
      </c>
      <c r="Q4510" s="10" t="s">
        <v>1935</v>
      </c>
      <c r="R4510" s="50">
        <f>+テーブル1[[#This Row],[合計金額]]*テーブル1[[#This Row],[自社報酬率％]]/100</f>
        <v>9810</v>
      </c>
    </row>
    <row r="4511" spans="1:18">
      <c r="A4511" s="7">
        <v>45931</v>
      </c>
      <c r="B4511" t="s">
        <v>43</v>
      </c>
      <c r="C4511" s="18" t="s">
        <v>1962</v>
      </c>
      <c r="D4511" s="41">
        <v>50</v>
      </c>
      <c r="E4511" s="41">
        <v>50</v>
      </c>
      <c r="F4511" s="18" t="s">
        <v>19</v>
      </c>
      <c r="G4511" s="28">
        <v>45931</v>
      </c>
      <c r="H4511" s="26" t="s">
        <v>3001</v>
      </c>
      <c r="I4511" s="49">
        <v>21140</v>
      </c>
      <c r="J4511" s="24">
        <v>10</v>
      </c>
      <c r="K4511" s="24"/>
      <c r="L4511" s="91">
        <v>0</v>
      </c>
      <c r="M4511" s="24"/>
      <c r="N4511" s="12">
        <f t="shared" si="177"/>
        <v>10</v>
      </c>
      <c r="O4511" s="11">
        <f t="shared" si="174"/>
        <v>211400</v>
      </c>
      <c r="P4511" s="10">
        <v>1204</v>
      </c>
      <c r="Q4511" s="10" t="s">
        <v>1935</v>
      </c>
      <c r="R4511" s="50">
        <f>+テーブル1[[#This Row],[合計金額]]*テーブル1[[#This Row],[自社報酬率％]]/100</f>
        <v>105700</v>
      </c>
    </row>
    <row r="4512" spans="1:18">
      <c r="A4512" s="7">
        <v>45931</v>
      </c>
      <c r="B4512" t="s">
        <v>43</v>
      </c>
      <c r="C4512" s="101" t="s">
        <v>1962</v>
      </c>
      <c r="D4512" s="41">
        <v>50</v>
      </c>
      <c r="E4512" s="41">
        <v>50</v>
      </c>
      <c r="F4512" s="101" t="s">
        <v>16</v>
      </c>
      <c r="G4512" s="102">
        <v>45962</v>
      </c>
      <c r="H4512" s="26" t="s">
        <v>3002</v>
      </c>
      <c r="I4512" s="49">
        <v>14500</v>
      </c>
      <c r="J4512" s="24">
        <v>1</v>
      </c>
      <c r="K4512" s="24"/>
      <c r="L4512" s="91">
        <v>0</v>
      </c>
      <c r="M4512" s="24"/>
      <c r="N4512" s="12">
        <f t="shared" si="177"/>
        <v>1</v>
      </c>
      <c r="O4512" s="11">
        <f t="shared" si="174"/>
        <v>14500</v>
      </c>
      <c r="P4512" s="10">
        <v>1205</v>
      </c>
      <c r="Q4512" s="10" t="s">
        <v>1935</v>
      </c>
      <c r="R4512" s="50">
        <f>+テーブル1[[#This Row],[合計金額]]*テーブル1[[#This Row],[自社報酬率％]]/100</f>
        <v>7250</v>
      </c>
    </row>
    <row r="4513" spans="1:18">
      <c r="A4513" s="7">
        <v>45931</v>
      </c>
      <c r="B4513" t="s">
        <v>43</v>
      </c>
      <c r="C4513" s="101" t="s">
        <v>1962</v>
      </c>
      <c r="D4513" s="41">
        <v>50</v>
      </c>
      <c r="E4513" s="41">
        <v>50</v>
      </c>
      <c r="F4513" s="101" t="s">
        <v>16</v>
      </c>
      <c r="G4513" s="102">
        <v>45962</v>
      </c>
      <c r="H4513" s="26" t="s">
        <v>3003</v>
      </c>
      <c r="I4513" s="49">
        <v>13200</v>
      </c>
      <c r="J4513" s="24">
        <v>6</v>
      </c>
      <c r="K4513" s="24"/>
      <c r="L4513" s="91">
        <v>0</v>
      </c>
      <c r="M4513" s="24"/>
      <c r="N4513" s="12">
        <f t="shared" si="177"/>
        <v>6</v>
      </c>
      <c r="O4513" s="11">
        <f t="shared" ref="O4513:O4576" si="178">+I4513*N4513</f>
        <v>79200</v>
      </c>
      <c r="P4513" s="10">
        <v>1206</v>
      </c>
      <c r="Q4513" s="10" t="s">
        <v>1935</v>
      </c>
      <c r="R4513" s="50">
        <f>+テーブル1[[#This Row],[合計金額]]*テーブル1[[#This Row],[自社報酬率％]]/100</f>
        <v>39600</v>
      </c>
    </row>
    <row r="4514" spans="1:18">
      <c r="A4514" s="7">
        <v>45931</v>
      </c>
      <c r="B4514" t="s">
        <v>43</v>
      </c>
      <c r="C4514" s="101" t="s">
        <v>1962</v>
      </c>
      <c r="D4514" s="41">
        <v>50</v>
      </c>
      <c r="E4514" s="41">
        <v>50</v>
      </c>
      <c r="F4514" s="101" t="s">
        <v>16</v>
      </c>
      <c r="G4514" s="102">
        <v>45962</v>
      </c>
      <c r="H4514" s="26" t="s">
        <v>3003</v>
      </c>
      <c r="I4514" s="49">
        <v>14500</v>
      </c>
      <c r="J4514" s="24">
        <v>26</v>
      </c>
      <c r="K4514" s="24"/>
      <c r="L4514" s="91">
        <v>0</v>
      </c>
      <c r="M4514" s="24"/>
      <c r="N4514" s="12">
        <f t="shared" si="177"/>
        <v>26</v>
      </c>
      <c r="O4514" s="11">
        <f t="shared" si="178"/>
        <v>377000</v>
      </c>
      <c r="P4514" s="10">
        <v>1207</v>
      </c>
      <c r="Q4514" s="10" t="s">
        <v>1935</v>
      </c>
      <c r="R4514" s="50">
        <f>+テーブル1[[#This Row],[合計金額]]*テーブル1[[#This Row],[自社報酬率％]]/100</f>
        <v>188500</v>
      </c>
    </row>
    <row r="4515" spans="1:18">
      <c r="A4515" s="7">
        <v>45931</v>
      </c>
      <c r="B4515" t="s">
        <v>43</v>
      </c>
      <c r="C4515" s="101" t="s">
        <v>1962</v>
      </c>
      <c r="D4515" s="41">
        <v>50</v>
      </c>
      <c r="E4515" s="41">
        <v>50</v>
      </c>
      <c r="F4515" s="101" t="s">
        <v>16</v>
      </c>
      <c r="G4515" s="102">
        <v>45962</v>
      </c>
      <c r="H4515" s="26" t="s">
        <v>3004</v>
      </c>
      <c r="I4515" s="49">
        <v>13200</v>
      </c>
      <c r="J4515" s="24">
        <v>1</v>
      </c>
      <c r="K4515" s="24"/>
      <c r="L4515" s="91">
        <v>0</v>
      </c>
      <c r="M4515" s="24"/>
      <c r="N4515" s="12">
        <f t="shared" si="177"/>
        <v>1</v>
      </c>
      <c r="O4515" s="11">
        <f t="shared" si="178"/>
        <v>13200</v>
      </c>
      <c r="P4515" s="10">
        <v>1208</v>
      </c>
      <c r="Q4515" s="10" t="s">
        <v>1935</v>
      </c>
      <c r="R4515" s="50">
        <f>+テーブル1[[#This Row],[合計金額]]*テーブル1[[#This Row],[自社報酬率％]]/100</f>
        <v>6600</v>
      </c>
    </row>
    <row r="4516" spans="1:18">
      <c r="A4516" s="7">
        <v>45931</v>
      </c>
      <c r="B4516" t="s">
        <v>43</v>
      </c>
      <c r="C4516" s="101" t="s">
        <v>1962</v>
      </c>
      <c r="D4516" s="41">
        <v>50</v>
      </c>
      <c r="E4516" s="41">
        <v>50</v>
      </c>
      <c r="F4516" s="101" t="s">
        <v>16</v>
      </c>
      <c r="G4516" s="102">
        <v>45962</v>
      </c>
      <c r="H4516" s="26" t="s">
        <v>3005</v>
      </c>
      <c r="I4516" s="49">
        <v>4830</v>
      </c>
      <c r="J4516" s="24">
        <v>2</v>
      </c>
      <c r="K4516" s="24"/>
      <c r="L4516" s="91">
        <v>0</v>
      </c>
      <c r="M4516" s="24"/>
      <c r="N4516" s="12">
        <f t="shared" si="177"/>
        <v>2</v>
      </c>
      <c r="O4516" s="11">
        <f t="shared" si="178"/>
        <v>9660</v>
      </c>
      <c r="P4516" s="10">
        <v>1209</v>
      </c>
      <c r="Q4516" s="10" t="s">
        <v>1935</v>
      </c>
      <c r="R4516" s="50">
        <f>+テーブル1[[#This Row],[合計金額]]*テーブル1[[#This Row],[自社報酬率％]]/100</f>
        <v>4830</v>
      </c>
    </row>
    <row r="4517" spans="1:18">
      <c r="A4517" s="7">
        <v>45931</v>
      </c>
      <c r="B4517" t="s">
        <v>43</v>
      </c>
      <c r="C4517" s="101" t="s">
        <v>1962</v>
      </c>
      <c r="D4517" s="41">
        <v>50</v>
      </c>
      <c r="E4517" s="41">
        <v>50</v>
      </c>
      <c r="F4517" s="101" t="s">
        <v>16</v>
      </c>
      <c r="G4517" s="102">
        <v>45962</v>
      </c>
      <c r="H4517" s="26" t="s">
        <v>3006</v>
      </c>
      <c r="I4517" s="49">
        <v>4830</v>
      </c>
      <c r="J4517" s="24">
        <v>2</v>
      </c>
      <c r="K4517" s="24"/>
      <c r="L4517" s="91">
        <v>0</v>
      </c>
      <c r="M4517" s="24"/>
      <c r="N4517" s="12">
        <f t="shared" si="177"/>
        <v>2</v>
      </c>
      <c r="O4517" s="11">
        <f t="shared" si="178"/>
        <v>9660</v>
      </c>
      <c r="P4517" s="10">
        <v>1210</v>
      </c>
      <c r="Q4517" s="10" t="s">
        <v>1935</v>
      </c>
      <c r="R4517" s="50">
        <f>+テーブル1[[#This Row],[合計金額]]*テーブル1[[#This Row],[自社報酬率％]]/100</f>
        <v>4830</v>
      </c>
    </row>
    <row r="4518" spans="1:18">
      <c r="A4518" s="7">
        <v>45931</v>
      </c>
      <c r="B4518" t="s">
        <v>43</v>
      </c>
      <c r="C4518" s="18" t="s">
        <v>1962</v>
      </c>
      <c r="D4518" s="41">
        <v>50</v>
      </c>
      <c r="E4518" s="41">
        <v>50</v>
      </c>
      <c r="F4518" s="18" t="s">
        <v>20</v>
      </c>
      <c r="G4518" s="28">
        <v>45931</v>
      </c>
      <c r="H4518" s="26" t="s">
        <v>2916</v>
      </c>
      <c r="I4518" s="49">
        <v>4900</v>
      </c>
      <c r="J4518" s="24">
        <v>28</v>
      </c>
      <c r="K4518" s="24"/>
      <c r="L4518" s="91">
        <v>0</v>
      </c>
      <c r="M4518" s="24"/>
      <c r="N4518" s="12">
        <f t="shared" si="177"/>
        <v>28</v>
      </c>
      <c r="O4518" s="11">
        <f t="shared" si="178"/>
        <v>137200</v>
      </c>
      <c r="P4518" s="10">
        <v>1211</v>
      </c>
      <c r="Q4518" s="10" t="s">
        <v>1935</v>
      </c>
      <c r="R4518" s="50">
        <f>+テーブル1[[#This Row],[合計金額]]*テーブル1[[#This Row],[自社報酬率％]]/100</f>
        <v>68600</v>
      </c>
    </row>
    <row r="4519" spans="1:18">
      <c r="A4519" s="7">
        <v>45931</v>
      </c>
      <c r="B4519" t="s">
        <v>43</v>
      </c>
      <c r="C4519" s="18" t="s">
        <v>1962</v>
      </c>
      <c r="D4519" s="41">
        <v>50</v>
      </c>
      <c r="E4519" s="41">
        <v>50</v>
      </c>
      <c r="F4519" s="18" t="s">
        <v>20</v>
      </c>
      <c r="G4519" s="28">
        <v>45931</v>
      </c>
      <c r="H4519" s="26" t="s">
        <v>3007</v>
      </c>
      <c r="I4519" s="49">
        <v>5700</v>
      </c>
      <c r="J4519" s="24">
        <v>1</v>
      </c>
      <c r="K4519" s="24"/>
      <c r="L4519" s="91">
        <v>0</v>
      </c>
      <c r="M4519" s="24"/>
      <c r="N4519" s="12">
        <f t="shared" si="177"/>
        <v>1</v>
      </c>
      <c r="O4519" s="11">
        <f t="shared" si="178"/>
        <v>5700</v>
      </c>
      <c r="P4519" s="10">
        <v>1212</v>
      </c>
      <c r="Q4519" s="10" t="s">
        <v>1935</v>
      </c>
      <c r="R4519" s="50">
        <f>+テーブル1[[#This Row],[合計金額]]*テーブル1[[#This Row],[自社報酬率％]]/100</f>
        <v>2850</v>
      </c>
    </row>
    <row r="4520" spans="1:18">
      <c r="A4520" s="7">
        <v>45931</v>
      </c>
      <c r="B4520" t="s">
        <v>43</v>
      </c>
      <c r="C4520" s="18" t="s">
        <v>1962</v>
      </c>
      <c r="D4520" s="41">
        <v>50</v>
      </c>
      <c r="E4520" s="41">
        <v>50</v>
      </c>
      <c r="F4520" s="18" t="s">
        <v>20</v>
      </c>
      <c r="G4520" s="28">
        <v>45931</v>
      </c>
      <c r="H4520" s="26" t="s">
        <v>2918</v>
      </c>
      <c r="I4520" s="49">
        <v>2400</v>
      </c>
      <c r="J4520" s="24">
        <v>2</v>
      </c>
      <c r="K4520" s="24"/>
      <c r="L4520" s="91">
        <v>0</v>
      </c>
      <c r="M4520" s="24"/>
      <c r="N4520" s="12">
        <f t="shared" si="177"/>
        <v>2</v>
      </c>
      <c r="O4520" s="11">
        <f t="shared" si="178"/>
        <v>4800</v>
      </c>
      <c r="P4520" s="10">
        <v>1213</v>
      </c>
      <c r="Q4520" s="10" t="s">
        <v>1935</v>
      </c>
      <c r="R4520" s="50">
        <f>+テーブル1[[#This Row],[合計金額]]*テーブル1[[#This Row],[自社報酬率％]]/100</f>
        <v>2400</v>
      </c>
    </row>
    <row r="4521" spans="1:18">
      <c r="A4521" s="7">
        <v>45931</v>
      </c>
      <c r="B4521" t="s">
        <v>43</v>
      </c>
      <c r="C4521" s="18" t="s">
        <v>1962</v>
      </c>
      <c r="D4521" s="41">
        <v>50</v>
      </c>
      <c r="E4521" s="41">
        <v>50</v>
      </c>
      <c r="F4521" s="18" t="s">
        <v>20</v>
      </c>
      <c r="G4521" s="28">
        <v>45931</v>
      </c>
      <c r="H4521" s="26" t="s">
        <v>3008</v>
      </c>
      <c r="I4521" s="49">
        <v>2400</v>
      </c>
      <c r="J4521" s="24">
        <v>1</v>
      </c>
      <c r="K4521" s="24"/>
      <c r="L4521" s="91">
        <v>0</v>
      </c>
      <c r="M4521" s="24"/>
      <c r="N4521" s="12">
        <f t="shared" si="177"/>
        <v>1</v>
      </c>
      <c r="O4521" s="11">
        <f t="shared" si="178"/>
        <v>2400</v>
      </c>
      <c r="P4521" s="10">
        <v>1214</v>
      </c>
      <c r="Q4521" s="10" t="s">
        <v>1935</v>
      </c>
      <c r="R4521" s="50">
        <f>+テーブル1[[#This Row],[合計金額]]*テーブル1[[#This Row],[自社報酬率％]]/100</f>
        <v>1200</v>
      </c>
    </row>
    <row r="4522" spans="1:18">
      <c r="A4522" s="7">
        <v>45931</v>
      </c>
      <c r="B4522" t="s">
        <v>43</v>
      </c>
      <c r="C4522" s="18" t="s">
        <v>1962</v>
      </c>
      <c r="D4522" s="41">
        <v>50</v>
      </c>
      <c r="E4522" s="41">
        <v>50</v>
      </c>
      <c r="F4522" s="18" t="s">
        <v>20</v>
      </c>
      <c r="G4522" s="28">
        <v>45931</v>
      </c>
      <c r="H4522" s="26" t="s">
        <v>2541</v>
      </c>
      <c r="I4522" s="49">
        <v>48900</v>
      </c>
      <c r="J4522" s="24">
        <v>27</v>
      </c>
      <c r="K4522" s="24"/>
      <c r="L4522" s="91">
        <v>0</v>
      </c>
      <c r="M4522" s="24"/>
      <c r="N4522" s="12">
        <f t="shared" si="177"/>
        <v>27</v>
      </c>
      <c r="O4522" s="11">
        <f t="shared" si="178"/>
        <v>1320300</v>
      </c>
      <c r="P4522" s="10">
        <v>1215</v>
      </c>
      <c r="Q4522" s="10" t="s">
        <v>1935</v>
      </c>
      <c r="R4522" s="50">
        <f>+テーブル1[[#This Row],[合計金額]]*テーブル1[[#This Row],[自社報酬率％]]/100</f>
        <v>660150</v>
      </c>
    </row>
    <row r="4523" spans="1:18">
      <c r="A4523" s="7">
        <v>45931</v>
      </c>
      <c r="B4523" t="s">
        <v>43</v>
      </c>
      <c r="C4523" s="18" t="s">
        <v>1962</v>
      </c>
      <c r="D4523" s="41">
        <v>50</v>
      </c>
      <c r="E4523" s="41">
        <v>50</v>
      </c>
      <c r="F4523" s="18" t="s">
        <v>20</v>
      </c>
      <c r="G4523" s="28">
        <v>45931</v>
      </c>
      <c r="H4523" s="26" t="s">
        <v>2326</v>
      </c>
      <c r="I4523" s="49">
        <v>9780</v>
      </c>
      <c r="J4523" s="24">
        <v>1</v>
      </c>
      <c r="K4523" s="24"/>
      <c r="L4523" s="91">
        <v>0</v>
      </c>
      <c r="M4523" s="24"/>
      <c r="N4523" s="12">
        <f t="shared" si="177"/>
        <v>1</v>
      </c>
      <c r="O4523" s="11">
        <f t="shared" si="178"/>
        <v>9780</v>
      </c>
      <c r="P4523" s="10">
        <v>1216</v>
      </c>
      <c r="Q4523" s="10" t="s">
        <v>1935</v>
      </c>
      <c r="R4523" s="50">
        <f>+テーブル1[[#This Row],[合計金額]]*テーブル1[[#This Row],[自社報酬率％]]/100</f>
        <v>4890</v>
      </c>
    </row>
    <row r="4524" spans="1:18">
      <c r="A4524" s="7">
        <v>45931</v>
      </c>
      <c r="B4524" t="s">
        <v>43</v>
      </c>
      <c r="C4524" s="18" t="s">
        <v>1962</v>
      </c>
      <c r="D4524" s="41">
        <v>50</v>
      </c>
      <c r="E4524" s="41">
        <v>50</v>
      </c>
      <c r="F4524" s="18" t="s">
        <v>20</v>
      </c>
      <c r="G4524" s="28">
        <v>45931</v>
      </c>
      <c r="H4524" s="26" t="s">
        <v>2440</v>
      </c>
      <c r="I4524" s="49">
        <v>9780</v>
      </c>
      <c r="J4524" s="24">
        <v>5</v>
      </c>
      <c r="K4524" s="24"/>
      <c r="L4524" s="91">
        <v>0</v>
      </c>
      <c r="M4524" s="24"/>
      <c r="N4524" s="12">
        <f t="shared" si="177"/>
        <v>5</v>
      </c>
      <c r="O4524" s="11">
        <f t="shared" si="178"/>
        <v>48900</v>
      </c>
      <c r="P4524" s="10">
        <v>1217</v>
      </c>
      <c r="Q4524" s="10" t="s">
        <v>1935</v>
      </c>
      <c r="R4524" s="50">
        <f>+テーブル1[[#This Row],[合計金額]]*テーブル1[[#This Row],[自社報酬率％]]/100</f>
        <v>24450</v>
      </c>
    </row>
    <row r="4525" spans="1:18">
      <c r="A4525" s="7">
        <v>45931</v>
      </c>
      <c r="B4525" t="s">
        <v>43</v>
      </c>
      <c r="C4525" s="18" t="s">
        <v>1962</v>
      </c>
      <c r="D4525" s="41">
        <v>50</v>
      </c>
      <c r="E4525" s="41">
        <v>50</v>
      </c>
      <c r="F4525" s="18" t="s">
        <v>20</v>
      </c>
      <c r="G4525" s="28">
        <v>45931</v>
      </c>
      <c r="H4525" s="26" t="s">
        <v>2171</v>
      </c>
      <c r="I4525" s="49">
        <v>8294</v>
      </c>
      <c r="J4525" s="24">
        <v>4</v>
      </c>
      <c r="K4525" s="24"/>
      <c r="L4525" s="91">
        <v>0</v>
      </c>
      <c r="M4525" s="24"/>
      <c r="N4525" s="12">
        <f t="shared" si="177"/>
        <v>4</v>
      </c>
      <c r="O4525" s="11">
        <f t="shared" si="178"/>
        <v>33176</v>
      </c>
      <c r="P4525" s="10">
        <v>1218</v>
      </c>
      <c r="Q4525" s="10" t="s">
        <v>1935</v>
      </c>
      <c r="R4525" s="50">
        <f>+テーブル1[[#This Row],[合計金額]]*テーブル1[[#This Row],[自社報酬率％]]/100</f>
        <v>16588</v>
      </c>
    </row>
    <row r="4526" spans="1:18">
      <c r="A4526" s="7">
        <v>45931</v>
      </c>
      <c r="B4526" t="s">
        <v>43</v>
      </c>
      <c r="C4526" s="18" t="s">
        <v>1962</v>
      </c>
      <c r="D4526" s="41">
        <v>50</v>
      </c>
      <c r="E4526" s="41">
        <v>50</v>
      </c>
      <c r="F4526" s="18" t="s">
        <v>20</v>
      </c>
      <c r="G4526" s="28">
        <v>45931</v>
      </c>
      <c r="H4526" s="26" t="s">
        <v>2543</v>
      </c>
      <c r="I4526" s="49">
        <v>9800</v>
      </c>
      <c r="J4526" s="24">
        <v>1</v>
      </c>
      <c r="K4526" s="24"/>
      <c r="L4526" s="91">
        <v>0</v>
      </c>
      <c r="M4526" s="24"/>
      <c r="N4526" s="12">
        <f t="shared" si="177"/>
        <v>1</v>
      </c>
      <c r="O4526" s="11">
        <f t="shared" si="178"/>
        <v>9800</v>
      </c>
      <c r="P4526" s="10">
        <v>1219</v>
      </c>
      <c r="Q4526" s="10" t="s">
        <v>1935</v>
      </c>
      <c r="R4526" s="50">
        <f>+テーブル1[[#This Row],[合計金額]]*テーブル1[[#This Row],[自社報酬率％]]/100</f>
        <v>4900</v>
      </c>
    </row>
    <row r="4527" spans="1:18">
      <c r="A4527" s="7">
        <v>45931</v>
      </c>
      <c r="B4527" t="s">
        <v>43</v>
      </c>
      <c r="C4527" s="18" t="s">
        <v>1962</v>
      </c>
      <c r="D4527" s="41">
        <v>50</v>
      </c>
      <c r="E4527" s="41">
        <v>50</v>
      </c>
      <c r="F4527" s="18" t="s">
        <v>20</v>
      </c>
      <c r="G4527" s="28">
        <v>45931</v>
      </c>
      <c r="H4527" s="26" t="s">
        <v>2544</v>
      </c>
      <c r="I4527" s="49">
        <v>9780</v>
      </c>
      <c r="J4527" s="24">
        <v>15</v>
      </c>
      <c r="K4527" s="24"/>
      <c r="L4527" s="91">
        <v>0</v>
      </c>
      <c r="M4527" s="24"/>
      <c r="N4527" s="12">
        <f t="shared" si="177"/>
        <v>15</v>
      </c>
      <c r="O4527" s="11">
        <f t="shared" si="178"/>
        <v>146700</v>
      </c>
      <c r="P4527" s="10">
        <v>1220</v>
      </c>
      <c r="Q4527" s="10" t="s">
        <v>1935</v>
      </c>
      <c r="R4527" s="50">
        <f>+テーブル1[[#This Row],[合計金額]]*テーブル1[[#This Row],[自社報酬率％]]/100</f>
        <v>73350</v>
      </c>
    </row>
    <row r="4528" spans="1:18">
      <c r="A4528" s="7">
        <v>45931</v>
      </c>
      <c r="B4528" t="s">
        <v>43</v>
      </c>
      <c r="C4528" s="79" t="s">
        <v>1962</v>
      </c>
      <c r="D4528" s="41">
        <v>55</v>
      </c>
      <c r="E4528" s="41">
        <v>45</v>
      </c>
      <c r="F4528" s="72" t="s">
        <v>18</v>
      </c>
      <c r="G4528" s="85">
        <v>45962</v>
      </c>
      <c r="H4528" s="26" t="s">
        <v>228</v>
      </c>
      <c r="I4528" s="49">
        <v>19800</v>
      </c>
      <c r="J4528" s="73">
        <v>15</v>
      </c>
      <c r="K4528" s="24"/>
      <c r="L4528" s="90">
        <v>0</v>
      </c>
      <c r="M4528" s="24"/>
      <c r="N4528" s="93">
        <f t="shared" si="177"/>
        <v>15</v>
      </c>
      <c r="O4528" s="11">
        <f t="shared" si="178"/>
        <v>297000</v>
      </c>
      <c r="P4528" s="10">
        <v>1221</v>
      </c>
      <c r="Q4528" s="10" t="s">
        <v>1935</v>
      </c>
      <c r="R4528" s="50">
        <f>+テーブル1[[#This Row],[合計金額]]*テーブル1[[#This Row],[自社報酬率％]]/100</f>
        <v>133650</v>
      </c>
    </row>
    <row r="4529" spans="1:18">
      <c r="A4529" s="7">
        <v>45931</v>
      </c>
      <c r="B4529" t="s">
        <v>43</v>
      </c>
      <c r="C4529" s="80" t="s">
        <v>1962</v>
      </c>
      <c r="D4529" s="41">
        <v>55</v>
      </c>
      <c r="E4529" s="41">
        <v>45</v>
      </c>
      <c r="F4529" s="101" t="s">
        <v>18</v>
      </c>
      <c r="G4529" s="102">
        <v>45992</v>
      </c>
      <c r="H4529" s="26" t="s">
        <v>3009</v>
      </c>
      <c r="I4529" s="49">
        <v>19800</v>
      </c>
      <c r="J4529" s="24">
        <v>15</v>
      </c>
      <c r="K4529" s="24"/>
      <c r="L4529" s="91">
        <v>0</v>
      </c>
      <c r="M4529" s="24"/>
      <c r="N4529" s="94">
        <f t="shared" si="177"/>
        <v>15</v>
      </c>
      <c r="O4529" s="11">
        <f t="shared" si="178"/>
        <v>297000</v>
      </c>
      <c r="P4529" s="10">
        <v>1222</v>
      </c>
      <c r="Q4529" s="10" t="s">
        <v>1928</v>
      </c>
      <c r="R4529" s="50">
        <f>+テーブル1[[#This Row],[合計金額]]*テーブル1[[#This Row],[自社報酬率％]]/100</f>
        <v>133650</v>
      </c>
    </row>
    <row r="4530" spans="1:18">
      <c r="A4530" s="7">
        <v>45931</v>
      </c>
      <c r="B4530" t="s">
        <v>43</v>
      </c>
      <c r="C4530" s="81" t="s">
        <v>1962</v>
      </c>
      <c r="D4530" s="41">
        <v>55</v>
      </c>
      <c r="E4530" s="41">
        <v>45</v>
      </c>
      <c r="F4530" s="76" t="s">
        <v>18</v>
      </c>
      <c r="G4530" s="86">
        <v>46023</v>
      </c>
      <c r="H4530" s="26" t="s">
        <v>258</v>
      </c>
      <c r="I4530" s="49">
        <v>19800</v>
      </c>
      <c r="J4530" s="77">
        <v>15</v>
      </c>
      <c r="K4530" s="24"/>
      <c r="L4530" s="92">
        <v>0</v>
      </c>
      <c r="M4530" s="24"/>
      <c r="N4530" s="95">
        <f t="shared" si="177"/>
        <v>15</v>
      </c>
      <c r="O4530" s="11">
        <f t="shared" si="178"/>
        <v>297000</v>
      </c>
      <c r="P4530" s="10">
        <v>1223</v>
      </c>
      <c r="Q4530" s="10" t="s">
        <v>1928</v>
      </c>
      <c r="R4530" s="50">
        <f>+テーブル1[[#This Row],[合計金額]]*テーブル1[[#This Row],[自社報酬率％]]/100</f>
        <v>133650</v>
      </c>
    </row>
    <row r="4531" spans="1:18">
      <c r="A4531" s="7">
        <v>45931</v>
      </c>
      <c r="B4531" t="s">
        <v>43</v>
      </c>
      <c r="C4531" s="79" t="s">
        <v>1962</v>
      </c>
      <c r="D4531" s="41">
        <v>55</v>
      </c>
      <c r="E4531" s="41">
        <v>45</v>
      </c>
      <c r="F4531" s="72" t="s">
        <v>18</v>
      </c>
      <c r="G4531" s="85">
        <v>45962</v>
      </c>
      <c r="H4531" s="26" t="s">
        <v>229</v>
      </c>
      <c r="I4531" s="49">
        <v>19800</v>
      </c>
      <c r="J4531" s="73">
        <v>2</v>
      </c>
      <c r="K4531" s="24"/>
      <c r="L4531" s="90">
        <v>0</v>
      </c>
      <c r="M4531" s="24"/>
      <c r="N4531" s="93">
        <f t="shared" si="177"/>
        <v>2</v>
      </c>
      <c r="O4531" s="11">
        <f t="shared" si="178"/>
        <v>39600</v>
      </c>
      <c r="P4531" s="10">
        <v>1224</v>
      </c>
      <c r="Q4531" s="10" t="s">
        <v>1935</v>
      </c>
      <c r="R4531" s="50">
        <f>+テーブル1[[#This Row],[合計金額]]*テーブル1[[#This Row],[自社報酬率％]]/100</f>
        <v>17820</v>
      </c>
    </row>
    <row r="4532" spans="1:18">
      <c r="A4532" s="7">
        <v>45931</v>
      </c>
      <c r="B4532" t="s">
        <v>43</v>
      </c>
      <c r="C4532" s="80" t="s">
        <v>1962</v>
      </c>
      <c r="D4532" s="41">
        <v>55</v>
      </c>
      <c r="E4532" s="41">
        <v>45</v>
      </c>
      <c r="F4532" s="101" t="s">
        <v>18</v>
      </c>
      <c r="G4532" s="102">
        <v>45992</v>
      </c>
      <c r="H4532" s="26" t="s">
        <v>3010</v>
      </c>
      <c r="I4532" s="49">
        <v>19800</v>
      </c>
      <c r="J4532" s="24">
        <v>2</v>
      </c>
      <c r="K4532" s="24"/>
      <c r="L4532" s="91">
        <v>0</v>
      </c>
      <c r="M4532" s="24"/>
      <c r="N4532" s="94">
        <f t="shared" si="177"/>
        <v>2</v>
      </c>
      <c r="O4532" s="11">
        <f t="shared" si="178"/>
        <v>39600</v>
      </c>
      <c r="P4532" s="10">
        <v>1225</v>
      </c>
      <c r="Q4532" s="10" t="s">
        <v>1928</v>
      </c>
      <c r="R4532" s="50">
        <f>+テーブル1[[#This Row],[合計金額]]*テーブル1[[#This Row],[自社報酬率％]]/100</f>
        <v>17820</v>
      </c>
    </row>
    <row r="4533" spans="1:18">
      <c r="A4533" s="7">
        <v>45931</v>
      </c>
      <c r="B4533" t="s">
        <v>43</v>
      </c>
      <c r="C4533" s="81" t="s">
        <v>1962</v>
      </c>
      <c r="D4533" s="41">
        <v>55</v>
      </c>
      <c r="E4533" s="41">
        <v>45</v>
      </c>
      <c r="F4533" s="76" t="s">
        <v>18</v>
      </c>
      <c r="G4533" s="86">
        <v>46023</v>
      </c>
      <c r="H4533" s="26" t="s">
        <v>245</v>
      </c>
      <c r="I4533" s="49">
        <v>19800</v>
      </c>
      <c r="J4533" s="77">
        <v>2</v>
      </c>
      <c r="K4533" s="24"/>
      <c r="L4533" s="92">
        <v>0</v>
      </c>
      <c r="M4533" s="24"/>
      <c r="N4533" s="95">
        <f t="shared" si="177"/>
        <v>2</v>
      </c>
      <c r="O4533" s="11">
        <f t="shared" si="178"/>
        <v>39600</v>
      </c>
      <c r="P4533" s="10">
        <v>1226</v>
      </c>
      <c r="Q4533" s="10" t="s">
        <v>1928</v>
      </c>
      <c r="R4533" s="50">
        <f>+テーブル1[[#This Row],[合計金額]]*テーブル1[[#This Row],[自社報酬率％]]/100</f>
        <v>17820</v>
      </c>
    </row>
    <row r="4534" spans="1:18">
      <c r="A4534" s="7">
        <v>45931</v>
      </c>
      <c r="B4534" t="s">
        <v>43</v>
      </c>
      <c r="C4534" s="79" t="s">
        <v>1962</v>
      </c>
      <c r="D4534" s="41">
        <v>55</v>
      </c>
      <c r="E4534" s="41">
        <v>45</v>
      </c>
      <c r="F4534" s="72" t="s">
        <v>19</v>
      </c>
      <c r="G4534" s="85">
        <v>45962</v>
      </c>
      <c r="H4534" s="26" t="s">
        <v>231</v>
      </c>
      <c r="I4534" s="49">
        <v>19050</v>
      </c>
      <c r="J4534" s="73">
        <v>91</v>
      </c>
      <c r="K4534" s="24"/>
      <c r="L4534" s="90">
        <v>0</v>
      </c>
      <c r="M4534" s="24"/>
      <c r="N4534" s="93">
        <f t="shared" si="177"/>
        <v>91</v>
      </c>
      <c r="O4534" s="11">
        <f t="shared" si="178"/>
        <v>1733550</v>
      </c>
      <c r="P4534" s="10">
        <v>1227</v>
      </c>
      <c r="Q4534" s="10" t="s">
        <v>1935</v>
      </c>
      <c r="R4534" s="50">
        <f>+テーブル1[[#This Row],[合計金額]]*テーブル1[[#This Row],[自社報酬率％]]/100</f>
        <v>780097.5</v>
      </c>
    </row>
    <row r="4535" spans="1:18">
      <c r="A4535" s="7">
        <v>45931</v>
      </c>
      <c r="B4535" t="s">
        <v>43</v>
      </c>
      <c r="C4535" s="80" t="s">
        <v>1962</v>
      </c>
      <c r="D4535" s="41">
        <v>55</v>
      </c>
      <c r="E4535" s="41">
        <v>45</v>
      </c>
      <c r="F4535" s="101" t="s">
        <v>19</v>
      </c>
      <c r="G4535" s="102">
        <v>45992</v>
      </c>
      <c r="H4535" s="26" t="s">
        <v>3011</v>
      </c>
      <c r="I4535" s="49">
        <v>19050</v>
      </c>
      <c r="J4535" s="24">
        <v>91</v>
      </c>
      <c r="K4535" s="24"/>
      <c r="L4535" s="91">
        <v>0</v>
      </c>
      <c r="M4535" s="24"/>
      <c r="N4535" s="94">
        <f t="shared" si="177"/>
        <v>91</v>
      </c>
      <c r="O4535" s="11">
        <f t="shared" si="178"/>
        <v>1733550</v>
      </c>
      <c r="P4535" s="10">
        <v>1228</v>
      </c>
      <c r="Q4535" s="10" t="s">
        <v>1928</v>
      </c>
      <c r="R4535" s="50">
        <f>+テーブル1[[#This Row],[合計金額]]*テーブル1[[#This Row],[自社報酬率％]]/100</f>
        <v>780097.5</v>
      </c>
    </row>
    <row r="4536" spans="1:18">
      <c r="A4536" s="7">
        <v>45931</v>
      </c>
      <c r="B4536" t="s">
        <v>43</v>
      </c>
      <c r="C4536" s="80" t="s">
        <v>1962</v>
      </c>
      <c r="D4536" s="41">
        <v>55</v>
      </c>
      <c r="E4536" s="41">
        <v>45</v>
      </c>
      <c r="F4536" s="101" t="s">
        <v>19</v>
      </c>
      <c r="G4536" s="102">
        <v>46023</v>
      </c>
      <c r="H4536" s="26" t="s">
        <v>240</v>
      </c>
      <c r="I4536" s="49">
        <v>19050</v>
      </c>
      <c r="J4536" s="24">
        <v>91</v>
      </c>
      <c r="K4536" s="24"/>
      <c r="L4536" s="91">
        <v>0</v>
      </c>
      <c r="M4536" s="24"/>
      <c r="N4536" s="94">
        <f t="shared" si="177"/>
        <v>91</v>
      </c>
      <c r="O4536" s="11">
        <f t="shared" si="178"/>
        <v>1733550</v>
      </c>
      <c r="P4536" s="10">
        <v>1229</v>
      </c>
      <c r="Q4536" s="10" t="s">
        <v>1928</v>
      </c>
      <c r="R4536" s="50">
        <f>+テーブル1[[#This Row],[合計金額]]*テーブル1[[#This Row],[自社報酬率％]]/100</f>
        <v>780097.5</v>
      </c>
    </row>
    <row r="4537" spans="1:18">
      <c r="A4537" s="7">
        <v>45931</v>
      </c>
      <c r="B4537" t="s">
        <v>43</v>
      </c>
      <c r="C4537" s="80" t="s">
        <v>1962</v>
      </c>
      <c r="D4537" s="41">
        <v>55</v>
      </c>
      <c r="E4537" s="41">
        <v>45</v>
      </c>
      <c r="F4537" s="101" t="s">
        <v>19</v>
      </c>
      <c r="G4537" s="102">
        <v>46054</v>
      </c>
      <c r="H4537" s="26" t="s">
        <v>3012</v>
      </c>
      <c r="I4537" s="49">
        <v>19050</v>
      </c>
      <c r="J4537" s="24">
        <v>91</v>
      </c>
      <c r="K4537" s="24"/>
      <c r="L4537" s="91">
        <v>0</v>
      </c>
      <c r="M4537" s="24"/>
      <c r="N4537" s="94">
        <f t="shared" si="177"/>
        <v>91</v>
      </c>
      <c r="O4537" s="11">
        <f t="shared" si="178"/>
        <v>1733550</v>
      </c>
      <c r="P4537" s="10">
        <v>1230</v>
      </c>
      <c r="Q4537" s="10" t="s">
        <v>1928</v>
      </c>
      <c r="R4537" s="50">
        <f>+テーブル1[[#This Row],[合計金額]]*テーブル1[[#This Row],[自社報酬率％]]/100</f>
        <v>780097.5</v>
      </c>
    </row>
    <row r="4538" spans="1:18">
      <c r="A4538" s="7">
        <v>45931</v>
      </c>
      <c r="B4538" t="s">
        <v>43</v>
      </c>
      <c r="C4538" s="80" t="s">
        <v>1962</v>
      </c>
      <c r="D4538" s="41">
        <v>55</v>
      </c>
      <c r="E4538" s="41">
        <v>45</v>
      </c>
      <c r="F4538" s="101" t="s">
        <v>19</v>
      </c>
      <c r="G4538" s="102">
        <v>46082</v>
      </c>
      <c r="H4538" s="26" t="s">
        <v>3013</v>
      </c>
      <c r="I4538" s="49">
        <v>19050</v>
      </c>
      <c r="J4538" s="24">
        <v>91</v>
      </c>
      <c r="K4538" s="24"/>
      <c r="L4538" s="91">
        <v>0</v>
      </c>
      <c r="M4538" s="24"/>
      <c r="N4538" s="94">
        <f t="shared" si="177"/>
        <v>91</v>
      </c>
      <c r="O4538" s="11">
        <f t="shared" si="178"/>
        <v>1733550</v>
      </c>
      <c r="P4538" s="10">
        <v>1231</v>
      </c>
      <c r="Q4538" s="10" t="s">
        <v>1928</v>
      </c>
      <c r="R4538" s="50">
        <f>+テーブル1[[#This Row],[合計金額]]*テーブル1[[#This Row],[自社報酬率％]]/100</f>
        <v>780097.5</v>
      </c>
    </row>
    <row r="4539" spans="1:18">
      <c r="A4539" s="7">
        <v>45931</v>
      </c>
      <c r="B4539" t="s">
        <v>43</v>
      </c>
      <c r="C4539" s="81" t="s">
        <v>1962</v>
      </c>
      <c r="D4539" s="41">
        <v>55</v>
      </c>
      <c r="E4539" s="41">
        <v>45</v>
      </c>
      <c r="F4539" s="76" t="s">
        <v>19</v>
      </c>
      <c r="G4539" s="86">
        <v>46113</v>
      </c>
      <c r="H4539" s="26" t="s">
        <v>3014</v>
      </c>
      <c r="I4539" s="49">
        <v>19050</v>
      </c>
      <c r="J4539" s="77">
        <v>91</v>
      </c>
      <c r="K4539" s="24"/>
      <c r="L4539" s="92">
        <v>0</v>
      </c>
      <c r="M4539" s="24"/>
      <c r="N4539" s="95">
        <f t="shared" ref="N4539:N4588" si="179">J4539-L4539</f>
        <v>91</v>
      </c>
      <c r="O4539" s="11">
        <f t="shared" si="178"/>
        <v>1733550</v>
      </c>
      <c r="P4539" s="10">
        <v>1232</v>
      </c>
      <c r="Q4539" s="10" t="s">
        <v>1928</v>
      </c>
      <c r="R4539" s="50">
        <f>+テーブル1[[#This Row],[合計金額]]*テーブル1[[#This Row],[自社報酬率％]]/100</f>
        <v>780097.5</v>
      </c>
    </row>
    <row r="4540" spans="1:18">
      <c r="A4540" s="7">
        <v>45931</v>
      </c>
      <c r="B4540" t="s">
        <v>43</v>
      </c>
      <c r="C4540" s="71" t="s">
        <v>1962</v>
      </c>
      <c r="D4540" s="41">
        <v>55</v>
      </c>
      <c r="E4540" s="41">
        <v>45</v>
      </c>
      <c r="F4540" s="112" t="s">
        <v>19</v>
      </c>
      <c r="G4540" s="124">
        <v>45931</v>
      </c>
      <c r="H4540" s="26" t="s">
        <v>3015</v>
      </c>
      <c r="I4540" s="49">
        <v>19050</v>
      </c>
      <c r="J4540" s="73">
        <v>1</v>
      </c>
      <c r="K4540" s="24"/>
      <c r="L4540" s="90">
        <v>0</v>
      </c>
      <c r="M4540" s="24"/>
      <c r="N4540" s="93">
        <f t="shared" si="179"/>
        <v>1</v>
      </c>
      <c r="O4540" s="11">
        <f t="shared" si="178"/>
        <v>19050</v>
      </c>
      <c r="P4540" s="10">
        <v>1233</v>
      </c>
      <c r="Q4540" s="10" t="s">
        <v>1935</v>
      </c>
      <c r="R4540" s="50">
        <f>+テーブル1[[#This Row],[合計金額]]*テーブル1[[#This Row],[自社報酬率％]]/100</f>
        <v>8572.5</v>
      </c>
    </row>
    <row r="4541" spans="1:18">
      <c r="A4541" s="7">
        <v>45931</v>
      </c>
      <c r="B4541" t="s">
        <v>43</v>
      </c>
      <c r="C4541" s="80" t="s">
        <v>1962</v>
      </c>
      <c r="D4541" s="41">
        <v>55</v>
      </c>
      <c r="E4541" s="41">
        <v>45</v>
      </c>
      <c r="F4541" s="101" t="s">
        <v>19</v>
      </c>
      <c r="G4541" s="102">
        <v>45962</v>
      </c>
      <c r="H4541" s="26" t="s">
        <v>3016</v>
      </c>
      <c r="I4541" s="49">
        <v>19050</v>
      </c>
      <c r="J4541" s="24">
        <v>1</v>
      </c>
      <c r="K4541" s="24"/>
      <c r="L4541" s="91">
        <v>0</v>
      </c>
      <c r="M4541" s="24"/>
      <c r="N4541" s="94">
        <f t="shared" si="179"/>
        <v>1</v>
      </c>
      <c r="O4541" s="11">
        <f t="shared" si="178"/>
        <v>19050</v>
      </c>
      <c r="P4541" s="10">
        <v>1234</v>
      </c>
      <c r="Q4541" s="10" t="s">
        <v>1935</v>
      </c>
      <c r="R4541" s="50">
        <f>+テーブル1[[#This Row],[合計金額]]*テーブル1[[#This Row],[自社報酬率％]]/100</f>
        <v>8572.5</v>
      </c>
    </row>
    <row r="4542" spans="1:18">
      <c r="A4542" s="7">
        <v>45931</v>
      </c>
      <c r="B4542" t="s">
        <v>43</v>
      </c>
      <c r="C4542" s="80" t="s">
        <v>1962</v>
      </c>
      <c r="D4542" s="41">
        <v>55</v>
      </c>
      <c r="E4542" s="41">
        <v>45</v>
      </c>
      <c r="F4542" s="101" t="s">
        <v>19</v>
      </c>
      <c r="G4542" s="102">
        <v>45992</v>
      </c>
      <c r="H4542" s="26" t="s">
        <v>3017</v>
      </c>
      <c r="I4542" s="49">
        <v>19050</v>
      </c>
      <c r="J4542" s="24">
        <v>1</v>
      </c>
      <c r="K4542" s="24"/>
      <c r="L4542" s="91">
        <v>0</v>
      </c>
      <c r="M4542" s="24"/>
      <c r="N4542" s="94">
        <f t="shared" si="179"/>
        <v>1</v>
      </c>
      <c r="O4542" s="11">
        <f t="shared" si="178"/>
        <v>19050</v>
      </c>
      <c r="P4542" s="10">
        <v>1235</v>
      </c>
      <c r="Q4542" s="10" t="s">
        <v>1928</v>
      </c>
      <c r="R4542" s="50">
        <f>+テーブル1[[#This Row],[合計金額]]*テーブル1[[#This Row],[自社報酬率％]]/100</f>
        <v>8572.5</v>
      </c>
    </row>
    <row r="4543" spans="1:18">
      <c r="A4543" s="7">
        <v>45931</v>
      </c>
      <c r="B4543" t="s">
        <v>43</v>
      </c>
      <c r="C4543" s="80" t="s">
        <v>1962</v>
      </c>
      <c r="D4543" s="41">
        <v>55</v>
      </c>
      <c r="E4543" s="41">
        <v>45</v>
      </c>
      <c r="F4543" s="101" t="s">
        <v>19</v>
      </c>
      <c r="G4543" s="102">
        <v>46023</v>
      </c>
      <c r="H4543" s="26" t="s">
        <v>3018</v>
      </c>
      <c r="I4543" s="49">
        <v>19050</v>
      </c>
      <c r="J4543" s="24">
        <v>1</v>
      </c>
      <c r="K4543" s="24"/>
      <c r="L4543" s="91">
        <v>0</v>
      </c>
      <c r="M4543" s="24"/>
      <c r="N4543" s="94">
        <f t="shared" si="179"/>
        <v>1</v>
      </c>
      <c r="O4543" s="11">
        <f t="shared" si="178"/>
        <v>19050</v>
      </c>
      <c r="P4543" s="10">
        <v>1236</v>
      </c>
      <c r="Q4543" s="10" t="s">
        <v>1928</v>
      </c>
      <c r="R4543" s="50">
        <f>+テーブル1[[#This Row],[合計金額]]*テーブル1[[#This Row],[自社報酬率％]]/100</f>
        <v>8572.5</v>
      </c>
    </row>
    <row r="4544" spans="1:18">
      <c r="A4544" s="7">
        <v>45931</v>
      </c>
      <c r="B4544" t="s">
        <v>43</v>
      </c>
      <c r="C4544" s="80" t="s">
        <v>1962</v>
      </c>
      <c r="D4544" s="41">
        <v>55</v>
      </c>
      <c r="E4544" s="41">
        <v>45</v>
      </c>
      <c r="F4544" s="101" t="s">
        <v>19</v>
      </c>
      <c r="G4544" s="102">
        <v>46054</v>
      </c>
      <c r="H4544" s="26" t="s">
        <v>3019</v>
      </c>
      <c r="I4544" s="49">
        <v>19050</v>
      </c>
      <c r="J4544" s="24">
        <v>1</v>
      </c>
      <c r="K4544" s="24"/>
      <c r="L4544" s="91">
        <v>0</v>
      </c>
      <c r="M4544" s="24"/>
      <c r="N4544" s="94">
        <f t="shared" si="179"/>
        <v>1</v>
      </c>
      <c r="O4544" s="11">
        <f t="shared" si="178"/>
        <v>19050</v>
      </c>
      <c r="P4544" s="10">
        <v>1237</v>
      </c>
      <c r="Q4544" s="10" t="s">
        <v>1928</v>
      </c>
      <c r="R4544" s="50">
        <f>+テーブル1[[#This Row],[合計金額]]*テーブル1[[#This Row],[自社報酬率％]]/100</f>
        <v>8572.5</v>
      </c>
    </row>
    <row r="4545" spans="1:18">
      <c r="A4545" s="7">
        <v>45931</v>
      </c>
      <c r="B4545" t="s">
        <v>43</v>
      </c>
      <c r="C4545" s="81" t="s">
        <v>1962</v>
      </c>
      <c r="D4545" s="41">
        <v>55</v>
      </c>
      <c r="E4545" s="41">
        <v>45</v>
      </c>
      <c r="F4545" s="76" t="s">
        <v>19</v>
      </c>
      <c r="G4545" s="86">
        <v>46082</v>
      </c>
      <c r="H4545" s="26" t="s">
        <v>3020</v>
      </c>
      <c r="I4545" s="49">
        <v>19050</v>
      </c>
      <c r="J4545" s="77">
        <v>1</v>
      </c>
      <c r="K4545" s="24"/>
      <c r="L4545" s="92">
        <v>0</v>
      </c>
      <c r="M4545" s="24"/>
      <c r="N4545" s="95">
        <f t="shared" si="179"/>
        <v>1</v>
      </c>
      <c r="O4545" s="11">
        <f t="shared" si="178"/>
        <v>19050</v>
      </c>
      <c r="P4545" s="10">
        <v>1238</v>
      </c>
      <c r="Q4545" s="10" t="s">
        <v>1928</v>
      </c>
      <c r="R4545" s="50">
        <f>+テーブル1[[#This Row],[合計金額]]*テーブル1[[#This Row],[自社報酬率％]]/100</f>
        <v>8572.5</v>
      </c>
    </row>
    <row r="4546" spans="1:18">
      <c r="A4546" s="7">
        <v>45931</v>
      </c>
      <c r="B4546" t="s">
        <v>43</v>
      </c>
      <c r="C4546" s="79" t="s">
        <v>1962</v>
      </c>
      <c r="D4546" s="41">
        <v>55</v>
      </c>
      <c r="E4546" s="41">
        <v>45</v>
      </c>
      <c r="F4546" s="72" t="s">
        <v>19</v>
      </c>
      <c r="G4546" s="85">
        <v>45962</v>
      </c>
      <c r="H4546" s="26" t="s">
        <v>235</v>
      </c>
      <c r="I4546" s="49">
        <v>19050</v>
      </c>
      <c r="J4546" s="73">
        <v>5</v>
      </c>
      <c r="K4546" s="24"/>
      <c r="L4546" s="90">
        <v>0</v>
      </c>
      <c r="M4546" s="24"/>
      <c r="N4546" s="93">
        <f t="shared" si="179"/>
        <v>5</v>
      </c>
      <c r="O4546" s="11">
        <f t="shared" si="178"/>
        <v>95250</v>
      </c>
      <c r="P4546" s="10">
        <v>1239</v>
      </c>
      <c r="Q4546" s="10" t="s">
        <v>1935</v>
      </c>
      <c r="R4546" s="50">
        <f>+テーブル1[[#This Row],[合計金額]]*テーブル1[[#This Row],[自社報酬率％]]/100</f>
        <v>42862.5</v>
      </c>
    </row>
    <row r="4547" spans="1:18">
      <c r="A4547" s="7">
        <v>45931</v>
      </c>
      <c r="B4547" t="s">
        <v>43</v>
      </c>
      <c r="C4547" s="80" t="s">
        <v>1962</v>
      </c>
      <c r="D4547" s="41">
        <v>55</v>
      </c>
      <c r="E4547" s="41">
        <v>45</v>
      </c>
      <c r="F4547" s="101" t="s">
        <v>19</v>
      </c>
      <c r="G4547" s="102">
        <v>45992</v>
      </c>
      <c r="H4547" s="26" t="s">
        <v>3021</v>
      </c>
      <c r="I4547" s="49">
        <v>19050</v>
      </c>
      <c r="J4547" s="24">
        <v>5</v>
      </c>
      <c r="K4547" s="24"/>
      <c r="L4547" s="91">
        <v>0</v>
      </c>
      <c r="M4547" s="24"/>
      <c r="N4547" s="94">
        <f t="shared" si="179"/>
        <v>5</v>
      </c>
      <c r="O4547" s="11">
        <f t="shared" si="178"/>
        <v>95250</v>
      </c>
      <c r="P4547" s="10">
        <v>1240</v>
      </c>
      <c r="Q4547" s="10" t="s">
        <v>1928</v>
      </c>
      <c r="R4547" s="50">
        <f>+テーブル1[[#This Row],[合計金額]]*テーブル1[[#This Row],[自社報酬率％]]/100</f>
        <v>42862.5</v>
      </c>
    </row>
    <row r="4548" spans="1:18">
      <c r="A4548" s="7">
        <v>45931</v>
      </c>
      <c r="B4548" t="s">
        <v>43</v>
      </c>
      <c r="C4548" s="80" t="s">
        <v>1962</v>
      </c>
      <c r="D4548" s="41">
        <v>55</v>
      </c>
      <c r="E4548" s="41">
        <v>45</v>
      </c>
      <c r="F4548" s="101" t="s">
        <v>19</v>
      </c>
      <c r="G4548" s="102">
        <v>46023</v>
      </c>
      <c r="H4548" s="26" t="s">
        <v>236</v>
      </c>
      <c r="I4548" s="49">
        <v>19050</v>
      </c>
      <c r="J4548" s="24">
        <v>5</v>
      </c>
      <c r="K4548" s="24"/>
      <c r="L4548" s="91">
        <v>0</v>
      </c>
      <c r="M4548" s="24"/>
      <c r="N4548" s="94">
        <f t="shared" si="179"/>
        <v>5</v>
      </c>
      <c r="O4548" s="11">
        <f t="shared" si="178"/>
        <v>95250</v>
      </c>
      <c r="P4548" s="10">
        <v>1241</v>
      </c>
      <c r="Q4548" s="10" t="s">
        <v>1928</v>
      </c>
      <c r="R4548" s="50">
        <f>+テーブル1[[#This Row],[合計金額]]*テーブル1[[#This Row],[自社報酬率％]]/100</f>
        <v>42862.5</v>
      </c>
    </row>
    <row r="4549" spans="1:18">
      <c r="A4549" s="7">
        <v>45931</v>
      </c>
      <c r="B4549" t="s">
        <v>43</v>
      </c>
      <c r="C4549" s="80" t="s">
        <v>1962</v>
      </c>
      <c r="D4549" s="41">
        <v>55</v>
      </c>
      <c r="E4549" s="41">
        <v>45</v>
      </c>
      <c r="F4549" s="101" t="s">
        <v>19</v>
      </c>
      <c r="G4549" s="102">
        <v>46054</v>
      </c>
      <c r="H4549" s="26" t="s">
        <v>3022</v>
      </c>
      <c r="I4549" s="49">
        <v>19050</v>
      </c>
      <c r="J4549" s="24">
        <v>5</v>
      </c>
      <c r="K4549" s="24"/>
      <c r="L4549" s="91">
        <v>0</v>
      </c>
      <c r="M4549" s="24"/>
      <c r="N4549" s="94">
        <f t="shared" si="179"/>
        <v>5</v>
      </c>
      <c r="O4549" s="11">
        <f t="shared" si="178"/>
        <v>95250</v>
      </c>
      <c r="P4549" s="10">
        <v>1242</v>
      </c>
      <c r="Q4549" s="10" t="s">
        <v>1928</v>
      </c>
      <c r="R4549" s="50">
        <f>+テーブル1[[#This Row],[合計金額]]*テーブル1[[#This Row],[自社報酬率％]]/100</f>
        <v>42862.5</v>
      </c>
    </row>
    <row r="4550" spans="1:18">
      <c r="A4550" s="7">
        <v>45931</v>
      </c>
      <c r="B4550" t="s">
        <v>43</v>
      </c>
      <c r="C4550" s="80" t="s">
        <v>1962</v>
      </c>
      <c r="D4550" s="41">
        <v>55</v>
      </c>
      <c r="E4550" s="41">
        <v>45</v>
      </c>
      <c r="F4550" s="101" t="s">
        <v>19</v>
      </c>
      <c r="G4550" s="102">
        <v>46082</v>
      </c>
      <c r="H4550" s="26" t="s">
        <v>3023</v>
      </c>
      <c r="I4550" s="49">
        <v>19050</v>
      </c>
      <c r="J4550" s="24">
        <v>5</v>
      </c>
      <c r="K4550" s="24"/>
      <c r="L4550" s="91">
        <v>0</v>
      </c>
      <c r="M4550" s="24"/>
      <c r="N4550" s="94">
        <f t="shared" si="179"/>
        <v>5</v>
      </c>
      <c r="O4550" s="11">
        <f t="shared" si="178"/>
        <v>95250</v>
      </c>
      <c r="P4550" s="10">
        <v>1243</v>
      </c>
      <c r="Q4550" s="10" t="s">
        <v>1928</v>
      </c>
      <c r="R4550" s="50">
        <f>+テーブル1[[#This Row],[合計金額]]*テーブル1[[#This Row],[自社報酬率％]]/100</f>
        <v>42862.5</v>
      </c>
    </row>
    <row r="4551" spans="1:18">
      <c r="A4551" s="7">
        <v>45931</v>
      </c>
      <c r="B4551" t="s">
        <v>43</v>
      </c>
      <c r="C4551" s="81" t="s">
        <v>1962</v>
      </c>
      <c r="D4551" s="41">
        <v>55</v>
      </c>
      <c r="E4551" s="41">
        <v>45</v>
      </c>
      <c r="F4551" s="76" t="s">
        <v>19</v>
      </c>
      <c r="G4551" s="86">
        <v>46113</v>
      </c>
      <c r="H4551" s="26" t="s">
        <v>3024</v>
      </c>
      <c r="I4551" s="49">
        <v>19050</v>
      </c>
      <c r="J4551" s="77">
        <v>5</v>
      </c>
      <c r="K4551" s="24"/>
      <c r="L4551" s="92">
        <v>0</v>
      </c>
      <c r="M4551" s="24"/>
      <c r="N4551" s="95">
        <f t="shared" si="179"/>
        <v>5</v>
      </c>
      <c r="O4551" s="11">
        <f t="shared" si="178"/>
        <v>95250</v>
      </c>
      <c r="P4551" s="10">
        <v>1244</v>
      </c>
      <c r="Q4551" s="10" t="s">
        <v>1928</v>
      </c>
      <c r="R4551" s="50">
        <f>+テーブル1[[#This Row],[合計金額]]*テーブル1[[#This Row],[自社報酬率％]]/100</f>
        <v>42862.5</v>
      </c>
    </row>
    <row r="4552" spans="1:18">
      <c r="A4552" s="7">
        <v>45931</v>
      </c>
      <c r="B4552" t="s">
        <v>43</v>
      </c>
      <c r="C4552" s="101" t="s">
        <v>1962</v>
      </c>
      <c r="D4552" s="41">
        <v>55</v>
      </c>
      <c r="E4552" s="41">
        <v>45</v>
      </c>
      <c r="F4552" s="101" t="s">
        <v>16</v>
      </c>
      <c r="G4552" s="102">
        <v>45962</v>
      </c>
      <c r="H4552" s="26" t="s">
        <v>3025</v>
      </c>
      <c r="I4552" s="49">
        <v>10485</v>
      </c>
      <c r="J4552" s="24">
        <v>52</v>
      </c>
      <c r="K4552" s="24"/>
      <c r="L4552" s="91">
        <v>0</v>
      </c>
      <c r="M4552" s="24"/>
      <c r="N4552" s="12">
        <f t="shared" si="179"/>
        <v>52</v>
      </c>
      <c r="O4552" s="11">
        <f t="shared" si="178"/>
        <v>545220</v>
      </c>
      <c r="P4552" s="10">
        <v>1245</v>
      </c>
      <c r="Q4552" s="10" t="s">
        <v>1935</v>
      </c>
      <c r="R4552" s="50">
        <f>+テーブル1[[#This Row],[合計金額]]*テーブル1[[#This Row],[自社報酬率％]]/100</f>
        <v>245349</v>
      </c>
    </row>
    <row r="4553" spans="1:18">
      <c r="A4553" s="7">
        <v>45931</v>
      </c>
      <c r="B4553" t="s">
        <v>43</v>
      </c>
      <c r="C4553" s="101" t="s">
        <v>1962</v>
      </c>
      <c r="D4553" s="41">
        <v>55</v>
      </c>
      <c r="E4553" s="41">
        <v>45</v>
      </c>
      <c r="F4553" s="101" t="s">
        <v>16</v>
      </c>
      <c r="G4553" s="102">
        <v>45962</v>
      </c>
      <c r="H4553" s="26" t="s">
        <v>3026</v>
      </c>
      <c r="I4553" s="49">
        <v>10485</v>
      </c>
      <c r="J4553" s="24">
        <v>1</v>
      </c>
      <c r="K4553" s="24"/>
      <c r="L4553" s="91">
        <v>0</v>
      </c>
      <c r="M4553" s="24"/>
      <c r="N4553" s="12">
        <f t="shared" si="179"/>
        <v>1</v>
      </c>
      <c r="O4553" s="11">
        <f t="shared" si="178"/>
        <v>10485</v>
      </c>
      <c r="P4553" s="10">
        <v>1246</v>
      </c>
      <c r="Q4553" s="10" t="s">
        <v>1935</v>
      </c>
      <c r="R4553" s="50">
        <f>+テーブル1[[#This Row],[合計金額]]*テーブル1[[#This Row],[自社報酬率％]]/100</f>
        <v>4718.25</v>
      </c>
    </row>
    <row r="4554" spans="1:18">
      <c r="A4554" s="7">
        <v>45931</v>
      </c>
      <c r="B4554" t="s">
        <v>43</v>
      </c>
      <c r="C4554" s="101" t="s">
        <v>1962</v>
      </c>
      <c r="D4554" s="41">
        <v>55</v>
      </c>
      <c r="E4554" s="41">
        <v>45</v>
      </c>
      <c r="F4554" s="101" t="s">
        <v>16</v>
      </c>
      <c r="G4554" s="102">
        <v>45962</v>
      </c>
      <c r="H4554" s="26" t="s">
        <v>3027</v>
      </c>
      <c r="I4554" s="49">
        <v>20970</v>
      </c>
      <c r="J4554" s="24">
        <v>58</v>
      </c>
      <c r="K4554" s="24"/>
      <c r="L4554" s="91">
        <v>0</v>
      </c>
      <c r="M4554" s="24"/>
      <c r="N4554" s="12">
        <f t="shared" si="179"/>
        <v>58</v>
      </c>
      <c r="O4554" s="11">
        <f t="shared" si="178"/>
        <v>1216260</v>
      </c>
      <c r="P4554" s="10">
        <v>1247</v>
      </c>
      <c r="Q4554" s="10" t="s">
        <v>1935</v>
      </c>
      <c r="R4554" s="50">
        <f>+テーブル1[[#This Row],[合計金額]]*テーブル1[[#This Row],[自社報酬率％]]/100</f>
        <v>547317</v>
      </c>
    </row>
    <row r="4555" spans="1:18">
      <c r="A4555" s="7">
        <v>45931</v>
      </c>
      <c r="B4555" t="s">
        <v>43</v>
      </c>
      <c r="C4555" s="101" t="s">
        <v>1962</v>
      </c>
      <c r="D4555" s="41">
        <v>55</v>
      </c>
      <c r="E4555" s="41">
        <v>45</v>
      </c>
      <c r="F4555" s="101" t="s">
        <v>16</v>
      </c>
      <c r="G4555" s="102">
        <v>45962</v>
      </c>
      <c r="H4555" s="26" t="s">
        <v>3028</v>
      </c>
      <c r="I4555" s="49">
        <v>20970</v>
      </c>
      <c r="J4555" s="24">
        <v>1</v>
      </c>
      <c r="K4555" s="24"/>
      <c r="L4555" s="91">
        <v>0</v>
      </c>
      <c r="M4555" s="24"/>
      <c r="N4555" s="12">
        <f t="shared" si="179"/>
        <v>1</v>
      </c>
      <c r="O4555" s="11">
        <f t="shared" si="178"/>
        <v>20970</v>
      </c>
      <c r="P4555" s="10">
        <v>1248</v>
      </c>
      <c r="Q4555" s="10" t="s">
        <v>1935</v>
      </c>
      <c r="R4555" s="50">
        <f>+テーブル1[[#This Row],[合計金額]]*テーブル1[[#This Row],[自社報酬率％]]/100</f>
        <v>9436.5</v>
      </c>
    </row>
    <row r="4556" spans="1:18">
      <c r="A4556" s="7">
        <v>45931</v>
      </c>
      <c r="B4556" t="s">
        <v>43</v>
      </c>
      <c r="C4556" s="101" t="s">
        <v>1962</v>
      </c>
      <c r="D4556" s="41">
        <v>55</v>
      </c>
      <c r="E4556" s="41">
        <v>45</v>
      </c>
      <c r="F4556" s="101" t="s">
        <v>16</v>
      </c>
      <c r="G4556" s="102">
        <v>45962</v>
      </c>
      <c r="H4556" s="26" t="s">
        <v>3029</v>
      </c>
      <c r="I4556" s="49">
        <v>20970</v>
      </c>
      <c r="J4556" s="24">
        <v>2</v>
      </c>
      <c r="K4556" s="24"/>
      <c r="L4556" s="91">
        <v>0</v>
      </c>
      <c r="M4556" s="24"/>
      <c r="N4556" s="12">
        <f t="shared" si="179"/>
        <v>2</v>
      </c>
      <c r="O4556" s="11">
        <f t="shared" si="178"/>
        <v>41940</v>
      </c>
      <c r="P4556" s="10">
        <v>1249</v>
      </c>
      <c r="Q4556" s="10" t="s">
        <v>1935</v>
      </c>
      <c r="R4556" s="50">
        <f>+テーブル1[[#This Row],[合計金額]]*テーブル1[[#This Row],[自社報酬率％]]/100</f>
        <v>18873</v>
      </c>
    </row>
    <row r="4557" spans="1:18">
      <c r="A4557" s="7">
        <v>45931</v>
      </c>
      <c r="B4557" t="s">
        <v>43</v>
      </c>
      <c r="C4557" s="18" t="s">
        <v>1962</v>
      </c>
      <c r="D4557" s="41">
        <v>80</v>
      </c>
      <c r="E4557" s="41">
        <v>20</v>
      </c>
      <c r="F4557" s="18" t="s">
        <v>19</v>
      </c>
      <c r="G4557" s="28">
        <v>45931</v>
      </c>
      <c r="H4557" s="26" t="s">
        <v>1975</v>
      </c>
      <c r="I4557" s="49">
        <v>432300</v>
      </c>
      <c r="J4557" s="24">
        <v>1</v>
      </c>
      <c r="K4557" s="24"/>
      <c r="L4557" s="91">
        <v>0</v>
      </c>
      <c r="M4557" s="24"/>
      <c r="N4557" s="12">
        <f t="shared" si="179"/>
        <v>1</v>
      </c>
      <c r="O4557" s="11">
        <f t="shared" si="178"/>
        <v>432300</v>
      </c>
      <c r="P4557" s="10">
        <v>1250</v>
      </c>
      <c r="Q4557" s="10" t="s">
        <v>1935</v>
      </c>
      <c r="R4557" s="50">
        <f>+テーブル1[[#This Row],[合計金額]]*テーブル1[[#This Row],[自社報酬率％]]/100</f>
        <v>86460</v>
      </c>
    </row>
    <row r="4558" spans="1:18">
      <c r="A4558" s="7">
        <v>45931</v>
      </c>
      <c r="B4558" t="s">
        <v>43</v>
      </c>
      <c r="C4558" s="101" t="s">
        <v>2023</v>
      </c>
      <c r="D4558" s="41">
        <v>50</v>
      </c>
      <c r="E4558" s="41">
        <v>50</v>
      </c>
      <c r="F4558" s="101" t="s">
        <v>16</v>
      </c>
      <c r="G4558" s="102">
        <v>45962</v>
      </c>
      <c r="H4558" s="26" t="s">
        <v>3030</v>
      </c>
      <c r="I4558" s="49">
        <v>3150</v>
      </c>
      <c r="J4558" s="24">
        <v>17</v>
      </c>
      <c r="K4558" s="24"/>
      <c r="L4558" s="91">
        <v>0</v>
      </c>
      <c r="M4558" s="24"/>
      <c r="N4558" s="12">
        <f t="shared" si="179"/>
        <v>17</v>
      </c>
      <c r="O4558" s="11">
        <f t="shared" si="178"/>
        <v>53550</v>
      </c>
      <c r="P4558" s="10">
        <v>1251</v>
      </c>
      <c r="Q4558" s="10" t="s">
        <v>1935</v>
      </c>
      <c r="R4558" s="50">
        <f>+テーブル1[[#This Row],[合計金額]]*テーブル1[[#This Row],[自社報酬率％]]/100</f>
        <v>26775</v>
      </c>
    </row>
    <row r="4559" spans="1:18">
      <c r="A4559" s="7">
        <v>45931</v>
      </c>
      <c r="B4559" t="s">
        <v>43</v>
      </c>
      <c r="C4559" s="82" t="s">
        <v>2375</v>
      </c>
      <c r="D4559" s="41">
        <v>50</v>
      </c>
      <c r="E4559" s="41">
        <v>50</v>
      </c>
      <c r="F4559" s="82" t="s">
        <v>20</v>
      </c>
      <c r="G4559" s="87">
        <v>45931</v>
      </c>
      <c r="H4559" s="26" t="s">
        <v>3031</v>
      </c>
      <c r="I4559" s="49">
        <v>5000</v>
      </c>
      <c r="J4559" s="77">
        <v>0</v>
      </c>
      <c r="K4559" s="24"/>
      <c r="L4559" s="92">
        <v>0</v>
      </c>
      <c r="M4559" s="24"/>
      <c r="N4559" s="96">
        <f t="shared" si="179"/>
        <v>0</v>
      </c>
      <c r="O4559" s="11">
        <f t="shared" si="178"/>
        <v>0</v>
      </c>
      <c r="P4559" s="10">
        <v>1252</v>
      </c>
      <c r="Q4559" s="10" t="s">
        <v>1935</v>
      </c>
      <c r="R4559" s="50">
        <f>+テーブル1[[#This Row],[合計金額]]*テーブル1[[#This Row],[自社報酬率％]]/100</f>
        <v>0</v>
      </c>
    </row>
    <row r="4560" spans="1:18">
      <c r="A4560" s="7">
        <v>45931</v>
      </c>
      <c r="B4560" t="s">
        <v>46</v>
      </c>
      <c r="C4560" s="18" t="s">
        <v>24</v>
      </c>
      <c r="D4560" s="41">
        <v>100</v>
      </c>
      <c r="E4560" s="41">
        <v>100</v>
      </c>
      <c r="F4560" s="18" t="s">
        <v>17</v>
      </c>
      <c r="G4560" s="28">
        <v>45931</v>
      </c>
      <c r="H4560" s="26" t="s">
        <v>3032</v>
      </c>
      <c r="I4560" s="49">
        <v>286000</v>
      </c>
      <c r="J4560" s="24">
        <v>4</v>
      </c>
      <c r="K4560" s="24"/>
      <c r="L4560" s="91">
        <v>0</v>
      </c>
      <c r="M4560" s="24"/>
      <c r="N4560" s="12">
        <f t="shared" si="179"/>
        <v>4</v>
      </c>
      <c r="O4560" s="11">
        <f t="shared" si="178"/>
        <v>1144000</v>
      </c>
      <c r="P4560" s="10">
        <v>1253</v>
      </c>
      <c r="Q4560" s="10" t="s">
        <v>1935</v>
      </c>
      <c r="R4560" s="50">
        <f>+テーブル1[[#This Row],[合計金額]]*テーブル1[[#This Row],[自社報酬率％]]/100</f>
        <v>1144000</v>
      </c>
    </row>
    <row r="4561" spans="1:18">
      <c r="A4561" s="7">
        <v>45931</v>
      </c>
      <c r="B4561" t="s">
        <v>46</v>
      </c>
      <c r="C4561" s="18" t="s">
        <v>24</v>
      </c>
      <c r="D4561" s="41">
        <v>100</v>
      </c>
      <c r="E4561" s="41">
        <v>100</v>
      </c>
      <c r="F4561" s="72" t="s">
        <v>19</v>
      </c>
      <c r="G4561" s="85">
        <v>45962</v>
      </c>
      <c r="H4561" s="26" t="s">
        <v>241</v>
      </c>
      <c r="I4561" s="49">
        <v>8900</v>
      </c>
      <c r="J4561" s="73">
        <v>2</v>
      </c>
      <c r="K4561" s="24"/>
      <c r="L4561" s="90">
        <v>0</v>
      </c>
      <c r="M4561" s="24"/>
      <c r="N4561" s="93">
        <f t="shared" si="179"/>
        <v>2</v>
      </c>
      <c r="O4561" s="11">
        <f t="shared" si="178"/>
        <v>17800</v>
      </c>
      <c r="P4561" s="10">
        <v>1254</v>
      </c>
      <c r="Q4561" s="10" t="s">
        <v>1935</v>
      </c>
      <c r="R4561" s="50">
        <f>+テーブル1[[#This Row],[合計金額]]*テーブル1[[#This Row],[自社報酬率％]]/100</f>
        <v>17800</v>
      </c>
    </row>
    <row r="4562" spans="1:18">
      <c r="A4562" s="7">
        <v>45931</v>
      </c>
      <c r="B4562" t="s">
        <v>46</v>
      </c>
      <c r="C4562" s="18" t="s">
        <v>24</v>
      </c>
      <c r="D4562" s="41">
        <v>100</v>
      </c>
      <c r="E4562" s="41">
        <v>100</v>
      </c>
      <c r="F4562" s="101" t="s">
        <v>19</v>
      </c>
      <c r="G4562" s="102">
        <v>45992</v>
      </c>
      <c r="H4562" s="26" t="s">
        <v>1289</v>
      </c>
      <c r="I4562" s="49">
        <v>8900</v>
      </c>
      <c r="J4562" s="24">
        <v>2</v>
      </c>
      <c r="K4562" s="24"/>
      <c r="L4562" s="91">
        <v>0</v>
      </c>
      <c r="M4562" s="24"/>
      <c r="N4562" s="94">
        <f t="shared" si="179"/>
        <v>2</v>
      </c>
      <c r="O4562" s="11">
        <f t="shared" si="178"/>
        <v>17800</v>
      </c>
      <c r="P4562" s="10">
        <v>1255</v>
      </c>
      <c r="Q4562" s="10" t="s">
        <v>1928</v>
      </c>
      <c r="R4562" s="50">
        <f>+テーブル1[[#This Row],[合計金額]]*テーブル1[[#This Row],[自社報酬率％]]/100</f>
        <v>17800</v>
      </c>
    </row>
    <row r="4563" spans="1:18">
      <c r="A4563" s="7">
        <v>45931</v>
      </c>
      <c r="B4563" t="s">
        <v>46</v>
      </c>
      <c r="C4563" s="18" t="s">
        <v>24</v>
      </c>
      <c r="D4563" s="41">
        <v>100</v>
      </c>
      <c r="E4563" s="41">
        <v>100</v>
      </c>
      <c r="F4563" s="101" t="s">
        <v>19</v>
      </c>
      <c r="G4563" s="102">
        <v>46023</v>
      </c>
      <c r="H4563" s="26" t="s">
        <v>254</v>
      </c>
      <c r="I4563" s="49">
        <v>8900</v>
      </c>
      <c r="J4563" s="24">
        <v>2</v>
      </c>
      <c r="K4563" s="24"/>
      <c r="L4563" s="91">
        <v>0</v>
      </c>
      <c r="M4563" s="24"/>
      <c r="N4563" s="94">
        <f t="shared" si="179"/>
        <v>2</v>
      </c>
      <c r="O4563" s="11">
        <f t="shared" si="178"/>
        <v>17800</v>
      </c>
      <c r="P4563" s="10">
        <v>1256</v>
      </c>
      <c r="Q4563" s="10" t="s">
        <v>1928</v>
      </c>
      <c r="R4563" s="50">
        <f>+テーブル1[[#This Row],[合計金額]]*テーブル1[[#This Row],[自社報酬率％]]/100</f>
        <v>17800</v>
      </c>
    </row>
    <row r="4564" spans="1:18">
      <c r="A4564" s="7">
        <v>45931</v>
      </c>
      <c r="B4564" t="s">
        <v>46</v>
      </c>
      <c r="C4564" s="18" t="s">
        <v>24</v>
      </c>
      <c r="D4564" s="41">
        <v>100</v>
      </c>
      <c r="E4564" s="41">
        <v>100</v>
      </c>
      <c r="F4564" s="101" t="s">
        <v>19</v>
      </c>
      <c r="G4564" s="102">
        <v>46054</v>
      </c>
      <c r="H4564" s="26" t="s">
        <v>3033</v>
      </c>
      <c r="I4564" s="49">
        <v>8900</v>
      </c>
      <c r="J4564" s="24">
        <v>2</v>
      </c>
      <c r="K4564" s="24"/>
      <c r="L4564" s="91">
        <v>0</v>
      </c>
      <c r="M4564" s="24"/>
      <c r="N4564" s="94">
        <f t="shared" si="179"/>
        <v>2</v>
      </c>
      <c r="O4564" s="11">
        <f t="shared" si="178"/>
        <v>17800</v>
      </c>
      <c r="P4564" s="10">
        <v>1257</v>
      </c>
      <c r="Q4564" s="10" t="s">
        <v>1928</v>
      </c>
      <c r="R4564" s="50">
        <f>+テーブル1[[#This Row],[合計金額]]*テーブル1[[#This Row],[自社報酬率％]]/100</f>
        <v>17800</v>
      </c>
    </row>
    <row r="4565" spans="1:18">
      <c r="A4565" s="7">
        <v>45931</v>
      </c>
      <c r="B4565" t="s">
        <v>46</v>
      </c>
      <c r="C4565" s="18" t="s">
        <v>24</v>
      </c>
      <c r="D4565" s="41">
        <v>100</v>
      </c>
      <c r="E4565" s="41">
        <v>100</v>
      </c>
      <c r="F4565" s="101" t="s">
        <v>19</v>
      </c>
      <c r="G4565" s="102">
        <v>46082</v>
      </c>
      <c r="H4565" s="26" t="s">
        <v>3034</v>
      </c>
      <c r="I4565" s="49">
        <v>8900</v>
      </c>
      <c r="J4565" s="24">
        <v>2</v>
      </c>
      <c r="K4565" s="24"/>
      <c r="L4565" s="91">
        <v>0</v>
      </c>
      <c r="M4565" s="24"/>
      <c r="N4565" s="94">
        <f t="shared" si="179"/>
        <v>2</v>
      </c>
      <c r="O4565" s="11">
        <f t="shared" si="178"/>
        <v>17800</v>
      </c>
      <c r="P4565" s="10">
        <v>1258</v>
      </c>
      <c r="Q4565" s="10" t="s">
        <v>1928</v>
      </c>
      <c r="R4565" s="50">
        <f>+テーブル1[[#This Row],[合計金額]]*テーブル1[[#This Row],[自社報酬率％]]/100</f>
        <v>17800</v>
      </c>
    </row>
    <row r="4566" spans="1:18">
      <c r="A4566" s="7">
        <v>45931</v>
      </c>
      <c r="B4566" t="s">
        <v>46</v>
      </c>
      <c r="C4566" s="18" t="s">
        <v>24</v>
      </c>
      <c r="D4566" s="41">
        <v>100</v>
      </c>
      <c r="E4566" s="41">
        <v>100</v>
      </c>
      <c r="F4566" s="76" t="s">
        <v>19</v>
      </c>
      <c r="G4566" s="86">
        <v>46113</v>
      </c>
      <c r="H4566" s="26" t="s">
        <v>3035</v>
      </c>
      <c r="I4566" s="49">
        <v>8900</v>
      </c>
      <c r="J4566" s="77">
        <v>2</v>
      </c>
      <c r="K4566" s="24"/>
      <c r="L4566" s="92">
        <v>0</v>
      </c>
      <c r="M4566" s="24"/>
      <c r="N4566" s="95">
        <f t="shared" si="179"/>
        <v>2</v>
      </c>
      <c r="O4566" s="11">
        <f t="shared" si="178"/>
        <v>17800</v>
      </c>
      <c r="P4566" s="10">
        <v>1259</v>
      </c>
      <c r="Q4566" s="10" t="s">
        <v>1928</v>
      </c>
      <c r="R4566" s="50">
        <f>+テーブル1[[#This Row],[合計金額]]*テーブル1[[#This Row],[自社報酬率％]]/100</f>
        <v>17800</v>
      </c>
    </row>
    <row r="4567" spans="1:18">
      <c r="A4567" s="7">
        <v>45931</v>
      </c>
      <c r="B4567" t="s">
        <v>46</v>
      </c>
      <c r="C4567" s="18" t="s">
        <v>1962</v>
      </c>
      <c r="D4567" s="41">
        <v>50</v>
      </c>
      <c r="E4567" s="41">
        <v>50</v>
      </c>
      <c r="F4567" s="18" t="s">
        <v>19</v>
      </c>
      <c r="G4567" s="28">
        <v>45931</v>
      </c>
      <c r="H4567" s="26" t="s">
        <v>1975</v>
      </c>
      <c r="I4567" s="49">
        <v>432300</v>
      </c>
      <c r="J4567" s="24">
        <v>26</v>
      </c>
      <c r="K4567" s="24"/>
      <c r="L4567" s="91">
        <v>0</v>
      </c>
      <c r="M4567" s="24"/>
      <c r="N4567" s="12">
        <f t="shared" si="179"/>
        <v>26</v>
      </c>
      <c r="O4567" s="11">
        <f t="shared" si="178"/>
        <v>11239800</v>
      </c>
      <c r="P4567" s="10">
        <v>1260</v>
      </c>
      <c r="Q4567" s="10" t="s">
        <v>1935</v>
      </c>
      <c r="R4567" s="50">
        <f>+テーブル1[[#This Row],[合計金額]]*テーブル1[[#This Row],[自社報酬率％]]/100</f>
        <v>5619900</v>
      </c>
    </row>
    <row r="4568" spans="1:18">
      <c r="A4568" s="7">
        <v>45931</v>
      </c>
      <c r="B4568" t="s">
        <v>46</v>
      </c>
      <c r="C4568" s="18" t="s">
        <v>1962</v>
      </c>
      <c r="D4568" s="41">
        <v>50</v>
      </c>
      <c r="E4568" s="41">
        <v>50</v>
      </c>
      <c r="F4568" s="18" t="s">
        <v>20</v>
      </c>
      <c r="G4568" s="28">
        <v>45931</v>
      </c>
      <c r="H4568" s="26" t="s">
        <v>2916</v>
      </c>
      <c r="I4568" s="49">
        <v>4900</v>
      </c>
      <c r="J4568" s="24">
        <v>13</v>
      </c>
      <c r="K4568" s="24"/>
      <c r="L4568" s="91">
        <v>0</v>
      </c>
      <c r="M4568" s="24"/>
      <c r="N4568" s="12">
        <f t="shared" si="179"/>
        <v>13</v>
      </c>
      <c r="O4568" s="11">
        <f t="shared" si="178"/>
        <v>63700</v>
      </c>
      <c r="P4568" s="10">
        <v>1261</v>
      </c>
      <c r="Q4568" s="10" t="s">
        <v>1935</v>
      </c>
      <c r="R4568" s="50">
        <f>+テーブル1[[#This Row],[合計金額]]*テーブル1[[#This Row],[自社報酬率％]]/100</f>
        <v>31850</v>
      </c>
    </row>
    <row r="4569" spans="1:18">
      <c r="A4569" s="7">
        <v>45931</v>
      </c>
      <c r="B4569" t="s">
        <v>46</v>
      </c>
      <c r="C4569" s="18" t="s">
        <v>1962</v>
      </c>
      <c r="D4569" s="41">
        <v>50</v>
      </c>
      <c r="E4569" s="41">
        <v>50</v>
      </c>
      <c r="F4569" s="18" t="s">
        <v>20</v>
      </c>
      <c r="G4569" s="28">
        <v>45931</v>
      </c>
      <c r="H4569" s="26" t="s">
        <v>2541</v>
      </c>
      <c r="I4569" s="49">
        <v>48900</v>
      </c>
      <c r="J4569" s="24">
        <v>8</v>
      </c>
      <c r="K4569" s="24"/>
      <c r="L4569" s="91">
        <v>0</v>
      </c>
      <c r="M4569" s="24"/>
      <c r="N4569" s="12">
        <f t="shared" si="179"/>
        <v>8</v>
      </c>
      <c r="O4569" s="11">
        <f t="shared" si="178"/>
        <v>391200</v>
      </c>
      <c r="P4569" s="10">
        <v>1262</v>
      </c>
      <c r="Q4569" s="10" t="s">
        <v>1935</v>
      </c>
      <c r="R4569" s="50">
        <f>+テーブル1[[#This Row],[合計金額]]*テーブル1[[#This Row],[自社報酬率％]]/100</f>
        <v>195600</v>
      </c>
    </row>
    <row r="4570" spans="1:18">
      <c r="A4570" s="7">
        <v>45931</v>
      </c>
      <c r="B4570" t="s">
        <v>46</v>
      </c>
      <c r="C4570" s="79" t="s">
        <v>1962</v>
      </c>
      <c r="D4570" s="41">
        <v>55</v>
      </c>
      <c r="E4570" s="41">
        <v>45</v>
      </c>
      <c r="F4570" s="72" t="s">
        <v>17</v>
      </c>
      <c r="G4570" s="85">
        <v>45962</v>
      </c>
      <c r="H4570" s="26" t="s">
        <v>3036</v>
      </c>
      <c r="I4570" s="49">
        <v>9435</v>
      </c>
      <c r="J4570" s="73">
        <v>1</v>
      </c>
      <c r="K4570" s="24"/>
      <c r="L4570" s="90">
        <v>0</v>
      </c>
      <c r="M4570" s="24"/>
      <c r="N4570" s="93">
        <f t="shared" si="179"/>
        <v>1</v>
      </c>
      <c r="O4570" s="11">
        <f t="shared" si="178"/>
        <v>9435</v>
      </c>
      <c r="P4570" s="10">
        <v>1263</v>
      </c>
      <c r="Q4570" s="10" t="s">
        <v>1935</v>
      </c>
      <c r="R4570" s="50">
        <f>+テーブル1[[#This Row],[合計金額]]*テーブル1[[#This Row],[自社報酬率％]]/100</f>
        <v>4245.75</v>
      </c>
    </row>
    <row r="4571" spans="1:18">
      <c r="A4571" s="7">
        <v>45931</v>
      </c>
      <c r="B4571" t="s">
        <v>46</v>
      </c>
      <c r="C4571" s="80" t="s">
        <v>1962</v>
      </c>
      <c r="D4571" s="41">
        <v>55</v>
      </c>
      <c r="E4571" s="41">
        <v>45</v>
      </c>
      <c r="F4571" s="101" t="s">
        <v>17</v>
      </c>
      <c r="G4571" s="102">
        <v>45992</v>
      </c>
      <c r="H4571" s="26" t="s">
        <v>3037</v>
      </c>
      <c r="I4571" s="49">
        <v>9435</v>
      </c>
      <c r="J4571" s="24">
        <v>1</v>
      </c>
      <c r="K4571" s="24"/>
      <c r="L4571" s="91">
        <v>0</v>
      </c>
      <c r="M4571" s="24"/>
      <c r="N4571" s="94">
        <f t="shared" si="179"/>
        <v>1</v>
      </c>
      <c r="O4571" s="11">
        <f t="shared" si="178"/>
        <v>9435</v>
      </c>
      <c r="P4571" s="10">
        <v>1264</v>
      </c>
      <c r="Q4571" s="10" t="s">
        <v>1928</v>
      </c>
      <c r="R4571" s="50">
        <f>+テーブル1[[#This Row],[合計金額]]*テーブル1[[#This Row],[自社報酬率％]]/100</f>
        <v>4245.75</v>
      </c>
    </row>
    <row r="4572" spans="1:18">
      <c r="A4572" s="7">
        <v>45931</v>
      </c>
      <c r="B4572" t="s">
        <v>46</v>
      </c>
      <c r="C4572" s="80" t="s">
        <v>1962</v>
      </c>
      <c r="D4572" s="41">
        <v>55</v>
      </c>
      <c r="E4572" s="41">
        <v>45</v>
      </c>
      <c r="F4572" s="101" t="s">
        <v>17</v>
      </c>
      <c r="G4572" s="102">
        <v>46023</v>
      </c>
      <c r="H4572" s="26" t="s">
        <v>3038</v>
      </c>
      <c r="I4572" s="49">
        <v>9435</v>
      </c>
      <c r="J4572" s="24">
        <v>1</v>
      </c>
      <c r="K4572" s="24"/>
      <c r="L4572" s="91">
        <v>0</v>
      </c>
      <c r="M4572" s="24"/>
      <c r="N4572" s="94">
        <f t="shared" si="179"/>
        <v>1</v>
      </c>
      <c r="O4572" s="11">
        <f t="shared" si="178"/>
        <v>9435</v>
      </c>
      <c r="P4572" s="10">
        <v>1265</v>
      </c>
      <c r="Q4572" s="10" t="s">
        <v>1928</v>
      </c>
      <c r="R4572" s="50">
        <f>+テーブル1[[#This Row],[合計金額]]*テーブル1[[#This Row],[自社報酬率％]]/100</f>
        <v>4245.75</v>
      </c>
    </row>
    <row r="4573" spans="1:18">
      <c r="A4573" s="7">
        <v>45931</v>
      </c>
      <c r="B4573" t="s">
        <v>46</v>
      </c>
      <c r="C4573" s="80" t="s">
        <v>1962</v>
      </c>
      <c r="D4573" s="41">
        <v>55</v>
      </c>
      <c r="E4573" s="41">
        <v>45</v>
      </c>
      <c r="F4573" s="101" t="s">
        <v>17</v>
      </c>
      <c r="G4573" s="102">
        <v>46054</v>
      </c>
      <c r="H4573" s="26" t="s">
        <v>3039</v>
      </c>
      <c r="I4573" s="49">
        <v>9435</v>
      </c>
      <c r="J4573" s="24">
        <v>1</v>
      </c>
      <c r="K4573" s="24"/>
      <c r="L4573" s="91">
        <v>0</v>
      </c>
      <c r="M4573" s="24"/>
      <c r="N4573" s="94">
        <f t="shared" si="179"/>
        <v>1</v>
      </c>
      <c r="O4573" s="11">
        <f t="shared" si="178"/>
        <v>9435</v>
      </c>
      <c r="P4573" s="10">
        <v>1266</v>
      </c>
      <c r="Q4573" s="10" t="s">
        <v>1928</v>
      </c>
      <c r="R4573" s="50">
        <f>+テーブル1[[#This Row],[合計金額]]*テーブル1[[#This Row],[自社報酬率％]]/100</f>
        <v>4245.75</v>
      </c>
    </row>
    <row r="4574" spans="1:18">
      <c r="A4574" s="7">
        <v>45931</v>
      </c>
      <c r="B4574" t="s">
        <v>46</v>
      </c>
      <c r="C4574" s="80" t="s">
        <v>1962</v>
      </c>
      <c r="D4574" s="41">
        <v>55</v>
      </c>
      <c r="E4574" s="41">
        <v>45</v>
      </c>
      <c r="F4574" s="101" t="s">
        <v>17</v>
      </c>
      <c r="G4574" s="102">
        <v>46082</v>
      </c>
      <c r="H4574" s="26" t="s">
        <v>3040</v>
      </c>
      <c r="I4574" s="49">
        <v>9435</v>
      </c>
      <c r="J4574" s="24">
        <v>1</v>
      </c>
      <c r="K4574" s="24"/>
      <c r="L4574" s="91">
        <v>0</v>
      </c>
      <c r="M4574" s="24"/>
      <c r="N4574" s="94">
        <f t="shared" si="179"/>
        <v>1</v>
      </c>
      <c r="O4574" s="11">
        <f t="shared" si="178"/>
        <v>9435</v>
      </c>
      <c r="P4574" s="10">
        <v>1267</v>
      </c>
      <c r="Q4574" s="10" t="s">
        <v>1928</v>
      </c>
      <c r="R4574" s="50">
        <f>+テーブル1[[#This Row],[合計金額]]*テーブル1[[#This Row],[自社報酬率％]]/100</f>
        <v>4245.75</v>
      </c>
    </row>
    <row r="4575" spans="1:18">
      <c r="A4575" s="7">
        <v>45931</v>
      </c>
      <c r="B4575" t="s">
        <v>46</v>
      </c>
      <c r="C4575" s="80" t="s">
        <v>1962</v>
      </c>
      <c r="D4575" s="41">
        <v>55</v>
      </c>
      <c r="E4575" s="41">
        <v>45</v>
      </c>
      <c r="F4575" s="101" t="s">
        <v>17</v>
      </c>
      <c r="G4575" s="102">
        <v>46113</v>
      </c>
      <c r="H4575" s="26" t="s">
        <v>3041</v>
      </c>
      <c r="I4575" s="49">
        <v>9435</v>
      </c>
      <c r="J4575" s="24">
        <v>1</v>
      </c>
      <c r="K4575" s="24"/>
      <c r="L4575" s="91">
        <v>0</v>
      </c>
      <c r="M4575" s="24"/>
      <c r="N4575" s="94">
        <f t="shared" si="179"/>
        <v>1</v>
      </c>
      <c r="O4575" s="11">
        <f t="shared" si="178"/>
        <v>9435</v>
      </c>
      <c r="P4575" s="10">
        <v>1268</v>
      </c>
      <c r="Q4575" s="10" t="s">
        <v>1928</v>
      </c>
      <c r="R4575" s="50">
        <f>+テーブル1[[#This Row],[合計金額]]*テーブル1[[#This Row],[自社報酬率％]]/100</f>
        <v>4245.75</v>
      </c>
    </row>
    <row r="4576" spans="1:18">
      <c r="A4576" s="7">
        <v>45931</v>
      </c>
      <c r="B4576" t="s">
        <v>46</v>
      </c>
      <c r="C4576" s="80" t="s">
        <v>1962</v>
      </c>
      <c r="D4576" s="41">
        <v>55</v>
      </c>
      <c r="E4576" s="41">
        <v>45</v>
      </c>
      <c r="F4576" s="101" t="s">
        <v>17</v>
      </c>
      <c r="G4576" s="102">
        <v>46143</v>
      </c>
      <c r="H4576" s="26" t="s">
        <v>3042</v>
      </c>
      <c r="I4576" s="49">
        <v>9435</v>
      </c>
      <c r="J4576" s="24">
        <v>1</v>
      </c>
      <c r="K4576" s="24"/>
      <c r="L4576" s="91">
        <v>0</v>
      </c>
      <c r="M4576" s="24"/>
      <c r="N4576" s="94">
        <f t="shared" si="179"/>
        <v>1</v>
      </c>
      <c r="O4576" s="11">
        <f t="shared" si="178"/>
        <v>9435</v>
      </c>
      <c r="P4576" s="10">
        <v>1269</v>
      </c>
      <c r="Q4576" s="10" t="s">
        <v>1928</v>
      </c>
      <c r="R4576" s="50">
        <f>+テーブル1[[#This Row],[合計金額]]*テーブル1[[#This Row],[自社報酬率％]]/100</f>
        <v>4245.75</v>
      </c>
    </row>
    <row r="4577" spans="1:18">
      <c r="A4577" s="7">
        <v>45931</v>
      </c>
      <c r="B4577" t="s">
        <v>46</v>
      </c>
      <c r="C4577" s="80" t="s">
        <v>1962</v>
      </c>
      <c r="D4577" s="41">
        <v>55</v>
      </c>
      <c r="E4577" s="41">
        <v>45</v>
      </c>
      <c r="F4577" s="101" t="s">
        <v>17</v>
      </c>
      <c r="G4577" s="102">
        <v>46174</v>
      </c>
      <c r="H4577" s="26" t="s">
        <v>3043</v>
      </c>
      <c r="I4577" s="49">
        <v>9435</v>
      </c>
      <c r="J4577" s="24">
        <v>1</v>
      </c>
      <c r="K4577" s="24"/>
      <c r="L4577" s="91">
        <v>0</v>
      </c>
      <c r="M4577" s="24"/>
      <c r="N4577" s="94">
        <f t="shared" si="179"/>
        <v>1</v>
      </c>
      <c r="O4577" s="11">
        <f t="shared" ref="O4577:O4596" si="180">+I4577*N4577</f>
        <v>9435</v>
      </c>
      <c r="P4577" s="10">
        <v>1270</v>
      </c>
      <c r="Q4577" s="10" t="s">
        <v>1928</v>
      </c>
      <c r="R4577" s="50">
        <f>+テーブル1[[#This Row],[合計金額]]*テーブル1[[#This Row],[自社報酬率％]]/100</f>
        <v>4245.75</v>
      </c>
    </row>
    <row r="4578" spans="1:18">
      <c r="A4578" s="7">
        <v>45931</v>
      </c>
      <c r="B4578" t="s">
        <v>46</v>
      </c>
      <c r="C4578" s="80" t="s">
        <v>1962</v>
      </c>
      <c r="D4578" s="41">
        <v>55</v>
      </c>
      <c r="E4578" s="41">
        <v>45</v>
      </c>
      <c r="F4578" s="101" t="s">
        <v>17</v>
      </c>
      <c r="G4578" s="102">
        <v>46204</v>
      </c>
      <c r="H4578" s="26" t="s">
        <v>3044</v>
      </c>
      <c r="I4578" s="49">
        <v>9435</v>
      </c>
      <c r="J4578" s="24">
        <v>1</v>
      </c>
      <c r="K4578" s="24"/>
      <c r="L4578" s="91">
        <v>0</v>
      </c>
      <c r="M4578" s="24"/>
      <c r="N4578" s="94">
        <f t="shared" si="179"/>
        <v>1</v>
      </c>
      <c r="O4578" s="11">
        <f t="shared" si="180"/>
        <v>9435</v>
      </c>
      <c r="P4578" s="10">
        <v>1271</v>
      </c>
      <c r="Q4578" s="10" t="s">
        <v>1928</v>
      </c>
      <c r="R4578" s="50">
        <f>+テーブル1[[#This Row],[合計金額]]*テーブル1[[#This Row],[自社報酬率％]]/100</f>
        <v>4245.75</v>
      </c>
    </row>
    <row r="4579" spans="1:18">
      <c r="A4579" s="7">
        <v>45931</v>
      </c>
      <c r="B4579" t="s">
        <v>46</v>
      </c>
      <c r="C4579" s="80" t="s">
        <v>1962</v>
      </c>
      <c r="D4579" s="41">
        <v>55</v>
      </c>
      <c r="E4579" s="41">
        <v>45</v>
      </c>
      <c r="F4579" s="101" t="s">
        <v>17</v>
      </c>
      <c r="G4579" s="102">
        <v>46235</v>
      </c>
      <c r="H4579" s="26" t="s">
        <v>3045</v>
      </c>
      <c r="I4579" s="49">
        <v>9435</v>
      </c>
      <c r="J4579" s="24">
        <v>1</v>
      </c>
      <c r="K4579" s="24"/>
      <c r="L4579" s="91">
        <v>0</v>
      </c>
      <c r="M4579" s="24"/>
      <c r="N4579" s="94">
        <f t="shared" si="179"/>
        <v>1</v>
      </c>
      <c r="O4579" s="11">
        <f t="shared" si="180"/>
        <v>9435</v>
      </c>
      <c r="P4579" s="10">
        <v>1272</v>
      </c>
      <c r="Q4579" s="10" t="s">
        <v>1928</v>
      </c>
      <c r="R4579" s="50">
        <f>+テーブル1[[#This Row],[合計金額]]*テーブル1[[#This Row],[自社報酬率％]]/100</f>
        <v>4245.75</v>
      </c>
    </row>
    <row r="4580" spans="1:18">
      <c r="A4580" s="7">
        <v>45931</v>
      </c>
      <c r="B4580" t="s">
        <v>46</v>
      </c>
      <c r="C4580" s="80" t="s">
        <v>1962</v>
      </c>
      <c r="D4580" s="41">
        <v>55</v>
      </c>
      <c r="E4580" s="41">
        <v>45</v>
      </c>
      <c r="F4580" s="101" t="s">
        <v>17</v>
      </c>
      <c r="G4580" s="102">
        <v>46266</v>
      </c>
      <c r="H4580" s="26" t="s">
        <v>3046</v>
      </c>
      <c r="I4580" s="49">
        <v>9435</v>
      </c>
      <c r="J4580" s="24">
        <v>1</v>
      </c>
      <c r="K4580" s="24"/>
      <c r="L4580" s="91">
        <v>0</v>
      </c>
      <c r="M4580" s="24"/>
      <c r="N4580" s="94">
        <f t="shared" si="179"/>
        <v>1</v>
      </c>
      <c r="O4580" s="11">
        <f t="shared" si="180"/>
        <v>9435</v>
      </c>
      <c r="P4580" s="10">
        <v>1273</v>
      </c>
      <c r="Q4580" s="10" t="s">
        <v>1928</v>
      </c>
      <c r="R4580" s="50">
        <f>+テーブル1[[#This Row],[合計金額]]*テーブル1[[#This Row],[自社報酬率％]]/100</f>
        <v>4245.75</v>
      </c>
    </row>
    <row r="4581" spans="1:18">
      <c r="A4581" s="7">
        <v>45931</v>
      </c>
      <c r="B4581" t="s">
        <v>46</v>
      </c>
      <c r="C4581" s="81" t="s">
        <v>1962</v>
      </c>
      <c r="D4581" s="41">
        <v>55</v>
      </c>
      <c r="E4581" s="41">
        <v>45</v>
      </c>
      <c r="F4581" s="76" t="s">
        <v>17</v>
      </c>
      <c r="G4581" s="86">
        <v>46296</v>
      </c>
      <c r="H4581" s="26" t="s">
        <v>3047</v>
      </c>
      <c r="I4581" s="49">
        <v>9435</v>
      </c>
      <c r="J4581" s="77">
        <v>1</v>
      </c>
      <c r="K4581" s="24"/>
      <c r="L4581" s="92">
        <v>0</v>
      </c>
      <c r="M4581" s="24"/>
      <c r="N4581" s="95">
        <f t="shared" si="179"/>
        <v>1</v>
      </c>
      <c r="O4581" s="11">
        <f t="shared" si="180"/>
        <v>9435</v>
      </c>
      <c r="P4581" s="10">
        <v>1274</v>
      </c>
      <c r="Q4581" s="10" t="s">
        <v>1928</v>
      </c>
      <c r="R4581" s="50">
        <f>+テーブル1[[#This Row],[合計金額]]*テーブル1[[#This Row],[自社報酬率％]]/100</f>
        <v>4245.75</v>
      </c>
    </row>
    <row r="4582" spans="1:18">
      <c r="A4582" s="7">
        <v>45931</v>
      </c>
      <c r="B4582" t="s">
        <v>46</v>
      </c>
      <c r="C4582" s="79" t="s">
        <v>1962</v>
      </c>
      <c r="D4582" s="41">
        <v>55</v>
      </c>
      <c r="E4582" s="41">
        <v>45</v>
      </c>
      <c r="F4582" s="72" t="s">
        <v>19</v>
      </c>
      <c r="G4582" s="85">
        <v>45962</v>
      </c>
      <c r="H4582" s="26" t="s">
        <v>246</v>
      </c>
      <c r="I4582" s="49">
        <v>19050</v>
      </c>
      <c r="J4582" s="73">
        <v>5</v>
      </c>
      <c r="K4582" s="24"/>
      <c r="L4582" s="90">
        <v>0</v>
      </c>
      <c r="M4582" s="24"/>
      <c r="N4582" s="93">
        <f t="shared" si="179"/>
        <v>5</v>
      </c>
      <c r="O4582" s="11">
        <f t="shared" si="180"/>
        <v>95250</v>
      </c>
      <c r="P4582" s="10">
        <v>1275</v>
      </c>
      <c r="Q4582" s="10" t="s">
        <v>1935</v>
      </c>
      <c r="R4582" s="50">
        <f>+テーブル1[[#This Row],[合計金額]]*テーブル1[[#This Row],[自社報酬率％]]/100</f>
        <v>42862.5</v>
      </c>
    </row>
    <row r="4583" spans="1:18">
      <c r="A4583" s="7">
        <v>45931</v>
      </c>
      <c r="B4583" t="s">
        <v>46</v>
      </c>
      <c r="C4583" s="80" t="s">
        <v>1962</v>
      </c>
      <c r="D4583" s="41">
        <v>55</v>
      </c>
      <c r="E4583" s="41">
        <v>45</v>
      </c>
      <c r="F4583" s="101" t="s">
        <v>19</v>
      </c>
      <c r="G4583" s="102">
        <v>45992</v>
      </c>
      <c r="H4583" s="26" t="s">
        <v>3048</v>
      </c>
      <c r="I4583" s="49">
        <v>19050</v>
      </c>
      <c r="J4583" s="24">
        <v>5</v>
      </c>
      <c r="K4583" s="24"/>
      <c r="L4583" s="91">
        <v>0</v>
      </c>
      <c r="M4583" s="24"/>
      <c r="N4583" s="94">
        <f t="shared" si="179"/>
        <v>5</v>
      </c>
      <c r="O4583" s="11">
        <f t="shared" si="180"/>
        <v>95250</v>
      </c>
      <c r="P4583" s="10">
        <v>1276</v>
      </c>
      <c r="Q4583" s="10" t="s">
        <v>1928</v>
      </c>
      <c r="R4583" s="50">
        <f>+テーブル1[[#This Row],[合計金額]]*テーブル1[[#This Row],[自社報酬率％]]/100</f>
        <v>42862.5</v>
      </c>
    </row>
    <row r="4584" spans="1:18">
      <c r="A4584" s="7">
        <v>45931</v>
      </c>
      <c r="B4584" t="s">
        <v>46</v>
      </c>
      <c r="C4584" s="80" t="s">
        <v>1962</v>
      </c>
      <c r="D4584" s="41">
        <v>55</v>
      </c>
      <c r="E4584" s="41">
        <v>45</v>
      </c>
      <c r="F4584" s="101" t="s">
        <v>19</v>
      </c>
      <c r="G4584" s="102">
        <v>46023</v>
      </c>
      <c r="H4584" s="26" t="s">
        <v>3049</v>
      </c>
      <c r="I4584" s="49">
        <v>19050</v>
      </c>
      <c r="J4584" s="24">
        <v>5</v>
      </c>
      <c r="K4584" s="24"/>
      <c r="L4584" s="91">
        <v>0</v>
      </c>
      <c r="M4584" s="24"/>
      <c r="N4584" s="94">
        <f t="shared" si="179"/>
        <v>5</v>
      </c>
      <c r="O4584" s="11">
        <f t="shared" si="180"/>
        <v>95250</v>
      </c>
      <c r="P4584" s="10">
        <v>1277</v>
      </c>
      <c r="Q4584" s="10" t="s">
        <v>1928</v>
      </c>
      <c r="R4584" s="50">
        <f>+テーブル1[[#This Row],[合計金額]]*テーブル1[[#This Row],[自社報酬率％]]/100</f>
        <v>42862.5</v>
      </c>
    </row>
    <row r="4585" spans="1:18">
      <c r="A4585" s="7">
        <v>45931</v>
      </c>
      <c r="B4585" t="s">
        <v>46</v>
      </c>
      <c r="C4585" s="80" t="s">
        <v>1962</v>
      </c>
      <c r="D4585" s="41">
        <v>55</v>
      </c>
      <c r="E4585" s="41">
        <v>45</v>
      </c>
      <c r="F4585" s="101" t="s">
        <v>19</v>
      </c>
      <c r="G4585" s="102">
        <v>46054</v>
      </c>
      <c r="H4585" s="26" t="s">
        <v>3050</v>
      </c>
      <c r="I4585" s="49">
        <v>19050</v>
      </c>
      <c r="J4585" s="24">
        <v>5</v>
      </c>
      <c r="K4585" s="24"/>
      <c r="L4585" s="91">
        <v>0</v>
      </c>
      <c r="M4585" s="24"/>
      <c r="N4585" s="94">
        <f t="shared" si="179"/>
        <v>5</v>
      </c>
      <c r="O4585" s="11">
        <f t="shared" si="180"/>
        <v>95250</v>
      </c>
      <c r="P4585" s="10">
        <v>1278</v>
      </c>
      <c r="Q4585" s="10" t="s">
        <v>1928</v>
      </c>
      <c r="R4585" s="50">
        <f>+テーブル1[[#This Row],[合計金額]]*テーブル1[[#This Row],[自社報酬率％]]/100</f>
        <v>42862.5</v>
      </c>
    </row>
    <row r="4586" spans="1:18">
      <c r="A4586" s="7">
        <v>45931</v>
      </c>
      <c r="B4586" t="s">
        <v>46</v>
      </c>
      <c r="C4586" s="80" t="s">
        <v>1962</v>
      </c>
      <c r="D4586" s="41">
        <v>55</v>
      </c>
      <c r="E4586" s="41">
        <v>45</v>
      </c>
      <c r="F4586" s="101" t="s">
        <v>19</v>
      </c>
      <c r="G4586" s="102">
        <v>46082</v>
      </c>
      <c r="H4586" s="26" t="s">
        <v>3051</v>
      </c>
      <c r="I4586" s="49">
        <v>19050</v>
      </c>
      <c r="J4586" s="24">
        <v>5</v>
      </c>
      <c r="K4586" s="24"/>
      <c r="L4586" s="91">
        <v>0</v>
      </c>
      <c r="M4586" s="24"/>
      <c r="N4586" s="94">
        <f t="shared" si="179"/>
        <v>5</v>
      </c>
      <c r="O4586" s="11">
        <f t="shared" si="180"/>
        <v>95250</v>
      </c>
      <c r="P4586" s="10">
        <v>1279</v>
      </c>
      <c r="Q4586" s="10" t="s">
        <v>1928</v>
      </c>
      <c r="R4586" s="50">
        <f>+テーブル1[[#This Row],[合計金額]]*テーブル1[[#This Row],[自社報酬率％]]/100</f>
        <v>42862.5</v>
      </c>
    </row>
    <row r="4587" spans="1:18">
      <c r="A4587" s="7">
        <v>45931</v>
      </c>
      <c r="B4587" t="s">
        <v>46</v>
      </c>
      <c r="C4587" s="81" t="s">
        <v>1962</v>
      </c>
      <c r="D4587" s="41">
        <v>55</v>
      </c>
      <c r="E4587" s="41">
        <v>45</v>
      </c>
      <c r="F4587" s="76" t="s">
        <v>19</v>
      </c>
      <c r="G4587" s="86">
        <v>46113</v>
      </c>
      <c r="H4587" s="26" t="s">
        <v>3052</v>
      </c>
      <c r="I4587" s="49">
        <v>19050</v>
      </c>
      <c r="J4587" s="77">
        <v>5</v>
      </c>
      <c r="K4587" s="24"/>
      <c r="L4587" s="92">
        <v>0</v>
      </c>
      <c r="M4587" s="24"/>
      <c r="N4587" s="95">
        <f t="shared" si="179"/>
        <v>5</v>
      </c>
      <c r="O4587" s="11">
        <f t="shared" si="180"/>
        <v>95250</v>
      </c>
      <c r="P4587" s="10">
        <v>1280</v>
      </c>
      <c r="Q4587" s="10" t="s">
        <v>1928</v>
      </c>
      <c r="R4587" s="50">
        <f>+テーブル1[[#This Row],[合計金額]]*テーブル1[[#This Row],[自社報酬率％]]/100</f>
        <v>42862.5</v>
      </c>
    </row>
    <row r="4588" spans="1:18">
      <c r="A4588" s="7">
        <v>45931</v>
      </c>
      <c r="B4588" t="s">
        <v>46</v>
      </c>
      <c r="C4588" s="82" t="s">
        <v>23</v>
      </c>
      <c r="D4588" s="41">
        <v>50</v>
      </c>
      <c r="E4588" s="41">
        <v>50</v>
      </c>
      <c r="F4588" s="82" t="s">
        <v>20</v>
      </c>
      <c r="G4588" s="87">
        <v>45931</v>
      </c>
      <c r="H4588" s="26" t="s">
        <v>3031</v>
      </c>
      <c r="I4588" s="49">
        <v>5000</v>
      </c>
      <c r="J4588" s="77">
        <v>0</v>
      </c>
      <c r="K4588" s="24"/>
      <c r="L4588" s="92">
        <v>0</v>
      </c>
      <c r="M4588" s="24"/>
      <c r="N4588" s="96">
        <f t="shared" si="179"/>
        <v>0</v>
      </c>
      <c r="O4588" s="11">
        <f t="shared" si="180"/>
        <v>0</v>
      </c>
      <c r="P4588" s="10">
        <v>1281</v>
      </c>
      <c r="Q4588" s="10" t="s">
        <v>1935</v>
      </c>
      <c r="R4588" s="50">
        <f>+テーブル1[[#This Row],[合計金額]]*テーブル1[[#This Row],[自社報酬率％]]/100</f>
        <v>0</v>
      </c>
    </row>
    <row r="4589" spans="1:18">
      <c r="A4589" s="7">
        <v>45931</v>
      </c>
      <c r="B4589" t="s">
        <v>14</v>
      </c>
      <c r="C4589" s="101" t="s">
        <v>2043</v>
      </c>
      <c r="D4589" s="41">
        <v>60</v>
      </c>
      <c r="E4589" s="41">
        <v>40</v>
      </c>
      <c r="F4589" s="101" t="s">
        <v>16</v>
      </c>
      <c r="G4589" s="102">
        <v>45962</v>
      </c>
      <c r="H4589" s="26" t="s">
        <v>3053</v>
      </c>
      <c r="I4589" s="49">
        <v>10780</v>
      </c>
      <c r="J4589" s="24">
        <v>1</v>
      </c>
      <c r="K4589" s="24">
        <v>0</v>
      </c>
      <c r="L4589" s="91">
        <v>0</v>
      </c>
      <c r="M4589" s="24">
        <v>0</v>
      </c>
      <c r="N4589" s="12">
        <f t="shared" ref="N4589:N4629" si="181">J4589-K4589-L4589-M4589</f>
        <v>1</v>
      </c>
      <c r="O4589" s="11">
        <f t="shared" si="180"/>
        <v>10780</v>
      </c>
      <c r="P4589" s="10">
        <v>84</v>
      </c>
      <c r="Q4589" s="10" t="s">
        <v>1935</v>
      </c>
      <c r="R4589" s="50">
        <f>+テーブル1[[#This Row],[合計金額]]*テーブル1[[#This Row],[自社報酬率％]]/100</f>
        <v>4312</v>
      </c>
    </row>
    <row r="4590" spans="1:18">
      <c r="A4590" s="7">
        <v>45931</v>
      </c>
      <c r="B4590" t="s">
        <v>14</v>
      </c>
      <c r="C4590" s="101" t="s">
        <v>1962</v>
      </c>
      <c r="D4590" s="41">
        <v>50</v>
      </c>
      <c r="E4590" s="41">
        <v>50</v>
      </c>
      <c r="F4590" s="101" t="s">
        <v>16</v>
      </c>
      <c r="G4590" s="102">
        <v>45962</v>
      </c>
      <c r="H4590" s="26" t="s">
        <v>3003</v>
      </c>
      <c r="I4590" s="49">
        <v>13200</v>
      </c>
      <c r="J4590" s="24">
        <v>9</v>
      </c>
      <c r="K4590" s="24">
        <v>0</v>
      </c>
      <c r="L4590" s="91">
        <v>0</v>
      </c>
      <c r="M4590" s="24">
        <v>0</v>
      </c>
      <c r="N4590" s="12">
        <f t="shared" si="181"/>
        <v>9</v>
      </c>
      <c r="O4590" s="11">
        <f t="shared" si="180"/>
        <v>118800</v>
      </c>
      <c r="P4590" s="10">
        <v>85</v>
      </c>
      <c r="Q4590" s="10" t="s">
        <v>1935</v>
      </c>
      <c r="R4590" s="50">
        <f>+テーブル1[[#This Row],[合計金額]]*テーブル1[[#This Row],[自社報酬率％]]/100</f>
        <v>59400</v>
      </c>
    </row>
    <row r="4591" spans="1:18">
      <c r="A4591" s="7">
        <v>45931</v>
      </c>
      <c r="B4591" t="s">
        <v>14</v>
      </c>
      <c r="C4591" s="101" t="s">
        <v>1962</v>
      </c>
      <c r="D4591" s="41">
        <v>50</v>
      </c>
      <c r="E4591" s="41">
        <v>50</v>
      </c>
      <c r="F4591" s="101" t="s">
        <v>16</v>
      </c>
      <c r="G4591" s="102">
        <v>45962</v>
      </c>
      <c r="H4591" s="26" t="s">
        <v>3003</v>
      </c>
      <c r="I4591" s="49">
        <v>14500</v>
      </c>
      <c r="J4591" s="24">
        <v>10</v>
      </c>
      <c r="K4591" s="24">
        <v>0</v>
      </c>
      <c r="L4591" s="91">
        <v>0</v>
      </c>
      <c r="M4591" s="24">
        <v>0</v>
      </c>
      <c r="N4591" s="12">
        <f t="shared" si="181"/>
        <v>10</v>
      </c>
      <c r="O4591" s="11">
        <f t="shared" si="180"/>
        <v>145000</v>
      </c>
      <c r="P4591" s="10">
        <v>86</v>
      </c>
      <c r="Q4591" s="10" t="s">
        <v>1935</v>
      </c>
      <c r="R4591" s="50">
        <f>+テーブル1[[#This Row],[合計金額]]*テーブル1[[#This Row],[自社報酬率％]]/100</f>
        <v>72500</v>
      </c>
    </row>
    <row r="4592" spans="1:18">
      <c r="A4592" s="7">
        <v>45931</v>
      </c>
      <c r="B4592" t="s">
        <v>14</v>
      </c>
      <c r="C4592" s="18" t="s">
        <v>2023</v>
      </c>
      <c r="D4592" s="41">
        <v>50</v>
      </c>
      <c r="E4592" s="41">
        <v>50</v>
      </c>
      <c r="F4592" s="18" t="s">
        <v>16</v>
      </c>
      <c r="G4592" s="28">
        <v>45931</v>
      </c>
      <c r="H4592" s="26" t="s">
        <v>2952</v>
      </c>
      <c r="I4592" s="49">
        <v>3150</v>
      </c>
      <c r="J4592" s="24">
        <v>1</v>
      </c>
      <c r="K4592" s="24">
        <v>0</v>
      </c>
      <c r="L4592" s="91">
        <v>0</v>
      </c>
      <c r="M4592" s="24">
        <v>0</v>
      </c>
      <c r="N4592" s="12">
        <f t="shared" si="181"/>
        <v>1</v>
      </c>
      <c r="O4592" s="11">
        <f t="shared" si="180"/>
        <v>3150</v>
      </c>
      <c r="P4592" s="10">
        <v>87</v>
      </c>
      <c r="Q4592" s="10" t="s">
        <v>1935</v>
      </c>
      <c r="R4592" s="50">
        <f>+テーブル1[[#This Row],[合計金額]]*テーブル1[[#This Row],[自社報酬率％]]/100</f>
        <v>1575</v>
      </c>
    </row>
    <row r="4593" spans="1:18">
      <c r="A4593" s="7">
        <v>45931</v>
      </c>
      <c r="B4593" t="s">
        <v>14</v>
      </c>
      <c r="C4593" s="101" t="s">
        <v>2023</v>
      </c>
      <c r="D4593" s="41">
        <v>50</v>
      </c>
      <c r="E4593" s="41">
        <v>50</v>
      </c>
      <c r="F4593" s="101" t="s">
        <v>16</v>
      </c>
      <c r="G4593" s="102">
        <v>45962</v>
      </c>
      <c r="H4593" s="26" t="s">
        <v>3030</v>
      </c>
      <c r="I4593" s="49">
        <v>3150</v>
      </c>
      <c r="J4593" s="24">
        <v>19</v>
      </c>
      <c r="K4593" s="24">
        <v>0</v>
      </c>
      <c r="L4593" s="91">
        <v>0</v>
      </c>
      <c r="M4593" s="24">
        <v>0</v>
      </c>
      <c r="N4593" s="12">
        <f t="shared" si="181"/>
        <v>19</v>
      </c>
      <c r="O4593" s="11">
        <f t="shared" si="180"/>
        <v>59850</v>
      </c>
      <c r="P4593" s="10">
        <v>88</v>
      </c>
      <c r="Q4593" s="10" t="s">
        <v>1935</v>
      </c>
      <c r="R4593" s="50">
        <f>+テーブル1[[#This Row],[合計金額]]*テーブル1[[#This Row],[自社報酬率％]]/100</f>
        <v>29925</v>
      </c>
    </row>
    <row r="4594" spans="1:18">
      <c r="A4594" s="7">
        <v>45931</v>
      </c>
      <c r="B4594" t="s">
        <v>14</v>
      </c>
      <c r="C4594" s="101" t="s">
        <v>2023</v>
      </c>
      <c r="D4594" s="41">
        <v>50</v>
      </c>
      <c r="E4594" s="41">
        <v>50</v>
      </c>
      <c r="F4594" s="101" t="s">
        <v>16</v>
      </c>
      <c r="G4594" s="102">
        <v>45962</v>
      </c>
      <c r="H4594" s="26" t="s">
        <v>3030</v>
      </c>
      <c r="I4594" s="49">
        <v>4980</v>
      </c>
      <c r="J4594" s="24">
        <v>3</v>
      </c>
      <c r="K4594" s="24">
        <v>0</v>
      </c>
      <c r="L4594" s="91">
        <v>0</v>
      </c>
      <c r="M4594" s="24">
        <v>0</v>
      </c>
      <c r="N4594" s="12">
        <f t="shared" si="181"/>
        <v>3</v>
      </c>
      <c r="O4594" s="11">
        <f t="shared" si="180"/>
        <v>14940</v>
      </c>
      <c r="P4594" s="10">
        <v>89</v>
      </c>
      <c r="Q4594" s="10" t="s">
        <v>1935</v>
      </c>
      <c r="R4594" s="50">
        <f>+テーブル1[[#This Row],[合計金額]]*テーブル1[[#This Row],[自社報酬率％]]/100</f>
        <v>7470</v>
      </c>
    </row>
    <row r="4595" spans="1:18">
      <c r="A4595" s="7">
        <v>45931</v>
      </c>
      <c r="B4595" t="s">
        <v>14</v>
      </c>
      <c r="C4595" s="101" t="s">
        <v>2045</v>
      </c>
      <c r="D4595" s="41">
        <v>40</v>
      </c>
      <c r="E4595" s="41">
        <v>60</v>
      </c>
      <c r="F4595" s="101" t="s">
        <v>16</v>
      </c>
      <c r="G4595" s="102">
        <v>45962</v>
      </c>
      <c r="H4595" s="26" t="s">
        <v>3054</v>
      </c>
      <c r="I4595" s="49">
        <v>16500</v>
      </c>
      <c r="J4595" s="24">
        <v>2</v>
      </c>
      <c r="K4595" s="24">
        <v>0</v>
      </c>
      <c r="L4595" s="91">
        <v>0</v>
      </c>
      <c r="M4595" s="24">
        <v>0</v>
      </c>
      <c r="N4595" s="12">
        <f t="shared" si="181"/>
        <v>2</v>
      </c>
      <c r="O4595" s="11">
        <f t="shared" si="180"/>
        <v>33000</v>
      </c>
      <c r="P4595" s="10">
        <v>90</v>
      </c>
      <c r="Q4595" s="10" t="s">
        <v>1935</v>
      </c>
      <c r="R4595" s="50">
        <f>+テーブル1[[#This Row],[合計金額]]*テーブル1[[#This Row],[自社報酬率％]]/100</f>
        <v>19800</v>
      </c>
    </row>
    <row r="4596" spans="1:18">
      <c r="A4596" s="7">
        <v>45931</v>
      </c>
      <c r="B4596" t="s">
        <v>14</v>
      </c>
      <c r="C4596" s="101" t="s">
        <v>2050</v>
      </c>
      <c r="D4596" s="41">
        <v>50</v>
      </c>
      <c r="E4596" s="41">
        <v>50</v>
      </c>
      <c r="F4596" s="101" t="s">
        <v>16</v>
      </c>
      <c r="G4596" s="102">
        <v>45962</v>
      </c>
      <c r="H4596" s="26" t="s">
        <v>3055</v>
      </c>
      <c r="I4596" s="49">
        <v>9800</v>
      </c>
      <c r="J4596" s="24">
        <v>2</v>
      </c>
      <c r="K4596" s="24">
        <v>0</v>
      </c>
      <c r="L4596" s="91">
        <v>0</v>
      </c>
      <c r="M4596" s="24">
        <v>0</v>
      </c>
      <c r="N4596" s="12">
        <f t="shared" si="181"/>
        <v>2</v>
      </c>
      <c r="O4596" s="11">
        <f t="shared" si="180"/>
        <v>19600</v>
      </c>
      <c r="P4596" s="10">
        <v>91</v>
      </c>
      <c r="Q4596" s="10" t="s">
        <v>1935</v>
      </c>
      <c r="R4596" s="50">
        <f>+テーブル1[[#This Row],[合計金額]]*テーブル1[[#This Row],[自社報酬率％]]/100</f>
        <v>9800</v>
      </c>
    </row>
    <row r="4597" spans="1:18">
      <c r="A4597" s="7">
        <v>45931</v>
      </c>
      <c r="B4597" t="s">
        <v>21</v>
      </c>
      <c r="C4597" s="18" t="s">
        <v>24</v>
      </c>
      <c r="D4597" s="41">
        <v>100</v>
      </c>
      <c r="E4597" s="41">
        <v>100</v>
      </c>
      <c r="F4597" s="18"/>
      <c r="G4597" s="85">
        <v>45962</v>
      </c>
      <c r="H4597" s="26" t="s">
        <v>3056</v>
      </c>
      <c r="I4597" s="49">
        <v>4970</v>
      </c>
      <c r="J4597" s="74">
        <v>4</v>
      </c>
      <c r="K4597" s="24"/>
      <c r="L4597" s="91"/>
      <c r="M4597" s="24"/>
      <c r="N4597" s="12">
        <f t="shared" si="181"/>
        <v>4</v>
      </c>
      <c r="O4597" s="11">
        <f t="shared" ref="O4597:O4607" si="182">+I4597*J4597</f>
        <v>19880</v>
      </c>
      <c r="P4597" s="10">
        <v>103</v>
      </c>
      <c r="Q4597" s="10" t="s">
        <v>1935</v>
      </c>
      <c r="R4597" s="50">
        <f>+テーブル1[[#This Row],[合計金額]]*テーブル1[[#This Row],[自社報酬率％]]/100</f>
        <v>19880</v>
      </c>
    </row>
    <row r="4598" spans="1:18">
      <c r="A4598" s="7">
        <v>45931</v>
      </c>
      <c r="B4598" t="s">
        <v>21</v>
      </c>
      <c r="C4598" s="18" t="s">
        <v>24</v>
      </c>
      <c r="D4598" s="41">
        <v>100</v>
      </c>
      <c r="E4598" s="41">
        <v>100</v>
      </c>
      <c r="F4598" s="18"/>
      <c r="G4598" s="102">
        <v>45992</v>
      </c>
      <c r="H4598" s="26" t="s">
        <v>3057</v>
      </c>
      <c r="I4598" s="49">
        <v>4966</v>
      </c>
      <c r="J4598" s="75">
        <v>4</v>
      </c>
      <c r="K4598" s="24"/>
      <c r="L4598" s="91"/>
      <c r="M4598" s="24"/>
      <c r="N4598" s="12">
        <f t="shared" si="181"/>
        <v>4</v>
      </c>
      <c r="O4598" s="11">
        <f t="shared" si="182"/>
        <v>19864</v>
      </c>
      <c r="P4598" s="10">
        <v>104</v>
      </c>
      <c r="Q4598" s="10" t="s">
        <v>1928</v>
      </c>
      <c r="R4598" s="50">
        <f>+テーブル1[[#This Row],[合計金額]]*テーブル1[[#This Row],[自社報酬率％]]/100</f>
        <v>19864</v>
      </c>
    </row>
    <row r="4599" spans="1:18">
      <c r="A4599" s="7">
        <v>45931</v>
      </c>
      <c r="B4599" t="s">
        <v>21</v>
      </c>
      <c r="C4599" s="18" t="s">
        <v>24</v>
      </c>
      <c r="D4599" s="41">
        <v>100</v>
      </c>
      <c r="E4599" s="41">
        <v>100</v>
      </c>
      <c r="F4599" s="18"/>
      <c r="G4599" s="102">
        <v>46023</v>
      </c>
      <c r="H4599" s="26" t="s">
        <v>3058</v>
      </c>
      <c r="I4599" s="49">
        <v>4966</v>
      </c>
      <c r="J4599" s="75">
        <v>4</v>
      </c>
      <c r="K4599" s="24"/>
      <c r="L4599" s="91"/>
      <c r="M4599" s="24"/>
      <c r="N4599" s="12">
        <f t="shared" si="181"/>
        <v>4</v>
      </c>
      <c r="O4599" s="11">
        <f t="shared" si="182"/>
        <v>19864</v>
      </c>
      <c r="P4599" s="10">
        <v>105</v>
      </c>
      <c r="Q4599" s="10" t="s">
        <v>1928</v>
      </c>
      <c r="R4599" s="50">
        <f>+テーブル1[[#This Row],[合計金額]]*テーブル1[[#This Row],[自社報酬率％]]/100</f>
        <v>19864</v>
      </c>
    </row>
    <row r="4600" spans="1:18">
      <c r="A4600" s="7">
        <v>45931</v>
      </c>
      <c r="B4600" t="s">
        <v>21</v>
      </c>
      <c r="C4600" s="18" t="s">
        <v>24</v>
      </c>
      <c r="D4600" s="41">
        <v>100</v>
      </c>
      <c r="E4600" s="41">
        <v>100</v>
      </c>
      <c r="F4600" s="18"/>
      <c r="G4600" s="102">
        <v>46054</v>
      </c>
      <c r="H4600" s="26" t="s">
        <v>3059</v>
      </c>
      <c r="I4600" s="49">
        <v>4966</v>
      </c>
      <c r="J4600" s="75">
        <v>4</v>
      </c>
      <c r="K4600" s="24"/>
      <c r="L4600" s="91"/>
      <c r="M4600" s="24"/>
      <c r="N4600" s="12">
        <f t="shared" si="181"/>
        <v>4</v>
      </c>
      <c r="O4600" s="11">
        <f t="shared" si="182"/>
        <v>19864</v>
      </c>
      <c r="P4600" s="10">
        <v>106</v>
      </c>
      <c r="Q4600" s="10" t="s">
        <v>1928</v>
      </c>
      <c r="R4600" s="50">
        <f>+テーブル1[[#This Row],[合計金額]]*テーブル1[[#This Row],[自社報酬率％]]/100</f>
        <v>19864</v>
      </c>
    </row>
    <row r="4601" spans="1:18">
      <c r="A4601" s="7">
        <v>45931</v>
      </c>
      <c r="B4601" t="s">
        <v>21</v>
      </c>
      <c r="C4601" s="18" t="s">
        <v>24</v>
      </c>
      <c r="D4601" s="41">
        <v>100</v>
      </c>
      <c r="E4601" s="41">
        <v>100</v>
      </c>
      <c r="F4601" s="18"/>
      <c r="G4601" s="102">
        <v>46082</v>
      </c>
      <c r="H4601" s="26" t="s">
        <v>3060</v>
      </c>
      <c r="I4601" s="49">
        <v>4966</v>
      </c>
      <c r="J4601" s="75">
        <v>4</v>
      </c>
      <c r="K4601" s="24"/>
      <c r="L4601" s="91"/>
      <c r="M4601" s="24"/>
      <c r="N4601" s="12">
        <f t="shared" si="181"/>
        <v>4</v>
      </c>
      <c r="O4601" s="11">
        <f t="shared" si="182"/>
        <v>19864</v>
      </c>
      <c r="P4601" s="10">
        <v>107</v>
      </c>
      <c r="Q4601" s="10" t="s">
        <v>1928</v>
      </c>
      <c r="R4601" s="50">
        <f>+テーブル1[[#This Row],[合計金額]]*テーブル1[[#This Row],[自社報酬率％]]/100</f>
        <v>19864</v>
      </c>
    </row>
    <row r="4602" spans="1:18">
      <c r="A4602" s="7">
        <v>45931</v>
      </c>
      <c r="B4602" t="s">
        <v>21</v>
      </c>
      <c r="C4602" s="18" t="s">
        <v>24</v>
      </c>
      <c r="D4602" s="41">
        <v>100</v>
      </c>
      <c r="E4602" s="41">
        <v>100</v>
      </c>
      <c r="F4602" s="18"/>
      <c r="G4602" s="86">
        <v>46113</v>
      </c>
      <c r="H4602" s="26" t="s">
        <v>3061</v>
      </c>
      <c r="I4602" s="49">
        <v>4966</v>
      </c>
      <c r="J4602" s="78">
        <v>4</v>
      </c>
      <c r="K4602" s="24"/>
      <c r="L4602" s="91"/>
      <c r="M4602" s="24"/>
      <c r="N4602" s="12">
        <f t="shared" si="181"/>
        <v>4</v>
      </c>
      <c r="O4602" s="11">
        <f t="shared" si="182"/>
        <v>19864</v>
      </c>
      <c r="P4602" s="10">
        <v>108</v>
      </c>
      <c r="Q4602" s="10" t="s">
        <v>1928</v>
      </c>
      <c r="R4602" s="50">
        <f>+テーブル1[[#This Row],[合計金額]]*テーブル1[[#This Row],[自社報酬率％]]/100</f>
        <v>19864</v>
      </c>
    </row>
    <row r="4603" spans="1:18">
      <c r="A4603" s="7">
        <v>45931</v>
      </c>
      <c r="B4603" t="s">
        <v>21</v>
      </c>
      <c r="C4603" s="112" t="s">
        <v>2043</v>
      </c>
      <c r="D4603" s="41">
        <v>60</v>
      </c>
      <c r="E4603" s="41">
        <v>40</v>
      </c>
      <c r="F4603" s="18"/>
      <c r="G4603" s="28">
        <v>45931</v>
      </c>
      <c r="H4603" s="26" t="s">
        <v>3062</v>
      </c>
      <c r="I4603" s="49">
        <v>349200</v>
      </c>
      <c r="J4603" s="73">
        <v>1</v>
      </c>
      <c r="K4603" s="24"/>
      <c r="L4603" s="91"/>
      <c r="M4603" s="24"/>
      <c r="N4603" s="12">
        <f t="shared" si="181"/>
        <v>1</v>
      </c>
      <c r="O4603" s="11">
        <f t="shared" si="182"/>
        <v>349200</v>
      </c>
      <c r="P4603" s="10">
        <v>109</v>
      </c>
      <c r="Q4603" s="10" t="s">
        <v>1935</v>
      </c>
      <c r="R4603" s="50">
        <f>+テーブル1[[#This Row],[合計金額]]*テーブル1[[#This Row],[自社報酬率％]]/100</f>
        <v>139680</v>
      </c>
    </row>
    <row r="4604" spans="1:18">
      <c r="A4604" s="7">
        <v>45931</v>
      </c>
      <c r="B4604" t="s">
        <v>21</v>
      </c>
      <c r="C4604" s="18" t="s">
        <v>2043</v>
      </c>
      <c r="D4604" s="41">
        <v>60</v>
      </c>
      <c r="E4604" s="41">
        <v>40</v>
      </c>
      <c r="F4604" s="18"/>
      <c r="G4604" s="28">
        <v>45931</v>
      </c>
      <c r="H4604" s="26" t="s">
        <v>2129</v>
      </c>
      <c r="I4604" s="49">
        <v>24800</v>
      </c>
      <c r="J4604" s="24">
        <v>3</v>
      </c>
      <c r="K4604" s="24"/>
      <c r="L4604" s="91"/>
      <c r="M4604" s="24"/>
      <c r="N4604" s="12">
        <f t="shared" si="181"/>
        <v>3</v>
      </c>
      <c r="O4604" s="11">
        <f t="shared" si="182"/>
        <v>74400</v>
      </c>
      <c r="P4604" s="10">
        <v>110</v>
      </c>
      <c r="Q4604" s="10" t="s">
        <v>1935</v>
      </c>
      <c r="R4604" s="50">
        <f>+テーブル1[[#This Row],[合計金額]]*テーブル1[[#This Row],[自社報酬率％]]/100</f>
        <v>29760</v>
      </c>
    </row>
    <row r="4605" spans="1:18">
      <c r="A4605" s="7">
        <v>45931</v>
      </c>
      <c r="B4605" t="s">
        <v>21</v>
      </c>
      <c r="C4605" s="18" t="s">
        <v>2043</v>
      </c>
      <c r="D4605" s="41">
        <v>60</v>
      </c>
      <c r="E4605" s="41">
        <v>40</v>
      </c>
      <c r="F4605" s="18"/>
      <c r="G4605" s="28">
        <v>45931</v>
      </c>
      <c r="H4605" s="26" t="s">
        <v>3063</v>
      </c>
      <c r="I4605" s="49">
        <v>29700</v>
      </c>
      <c r="J4605" s="24">
        <v>1</v>
      </c>
      <c r="K4605" s="24"/>
      <c r="L4605" s="91"/>
      <c r="M4605" s="24"/>
      <c r="N4605" s="12">
        <f t="shared" si="181"/>
        <v>1</v>
      </c>
      <c r="O4605" s="11">
        <f t="shared" si="182"/>
        <v>29700</v>
      </c>
      <c r="P4605" s="10">
        <v>111</v>
      </c>
      <c r="Q4605" s="10" t="s">
        <v>1935</v>
      </c>
      <c r="R4605" s="50">
        <f>+テーブル1[[#This Row],[合計金額]]*テーブル1[[#This Row],[自社報酬率％]]/100</f>
        <v>11880</v>
      </c>
    </row>
    <row r="4606" spans="1:18">
      <c r="A4606" s="7">
        <v>45931</v>
      </c>
      <c r="B4606" t="s">
        <v>21</v>
      </c>
      <c r="C4606" s="18" t="s">
        <v>2043</v>
      </c>
      <c r="D4606" s="41">
        <v>60</v>
      </c>
      <c r="E4606" s="41">
        <v>40</v>
      </c>
      <c r="F4606" s="18"/>
      <c r="G4606" s="28">
        <v>45931</v>
      </c>
      <c r="H4606" s="26" t="s">
        <v>3064</v>
      </c>
      <c r="I4606" s="49">
        <v>29700</v>
      </c>
      <c r="J4606" s="24">
        <v>1</v>
      </c>
      <c r="K4606" s="24"/>
      <c r="L4606" s="91"/>
      <c r="M4606" s="24"/>
      <c r="N4606" s="12">
        <f t="shared" si="181"/>
        <v>1</v>
      </c>
      <c r="O4606" s="11">
        <f t="shared" si="182"/>
        <v>29700</v>
      </c>
      <c r="P4606" s="10">
        <v>112</v>
      </c>
      <c r="Q4606" s="10" t="s">
        <v>1935</v>
      </c>
      <c r="R4606" s="50">
        <f>+テーブル1[[#This Row],[合計金額]]*テーブル1[[#This Row],[自社報酬率％]]/100</f>
        <v>11880</v>
      </c>
    </row>
    <row r="4607" spans="1:18">
      <c r="A4607" s="7">
        <v>45931</v>
      </c>
      <c r="B4607" t="s">
        <v>21</v>
      </c>
      <c r="C4607" s="18" t="s">
        <v>2045</v>
      </c>
      <c r="D4607" s="41">
        <v>40</v>
      </c>
      <c r="E4607" s="41">
        <v>60</v>
      </c>
      <c r="F4607" s="18"/>
      <c r="G4607" s="28">
        <v>45931</v>
      </c>
      <c r="H4607" s="26" t="s">
        <v>3065</v>
      </c>
      <c r="I4607" s="49">
        <v>3000</v>
      </c>
      <c r="J4607" s="24">
        <v>1</v>
      </c>
      <c r="K4607" s="24"/>
      <c r="L4607" s="91"/>
      <c r="M4607" s="24"/>
      <c r="N4607" s="12">
        <f t="shared" si="181"/>
        <v>1</v>
      </c>
      <c r="O4607" s="11">
        <f t="shared" si="182"/>
        <v>3000</v>
      </c>
      <c r="P4607" s="10">
        <v>113</v>
      </c>
      <c r="Q4607" s="10" t="s">
        <v>1935</v>
      </c>
      <c r="R4607" s="50">
        <f>+テーブル1[[#This Row],[合計金額]]*テーブル1[[#This Row],[自社報酬率％]]/100</f>
        <v>1800</v>
      </c>
    </row>
    <row r="4608" spans="1:18">
      <c r="A4608" s="7">
        <v>45931</v>
      </c>
      <c r="B4608" t="s">
        <v>21</v>
      </c>
      <c r="C4608" s="18" t="s">
        <v>1962</v>
      </c>
      <c r="D4608" s="41">
        <v>50</v>
      </c>
      <c r="E4608" s="41">
        <v>50</v>
      </c>
      <c r="F4608" s="18"/>
      <c r="G4608" s="28">
        <v>45931</v>
      </c>
      <c r="H4608" s="26" t="s">
        <v>2916</v>
      </c>
      <c r="I4608" s="49">
        <v>-4515</v>
      </c>
      <c r="J4608" s="24">
        <v>1</v>
      </c>
      <c r="K4608" s="24"/>
      <c r="L4608" s="91"/>
      <c r="M4608" s="24"/>
      <c r="N4608" s="12">
        <f t="shared" si="181"/>
        <v>1</v>
      </c>
      <c r="O4608" s="11">
        <v>-4515</v>
      </c>
      <c r="P4608" s="10">
        <v>135</v>
      </c>
      <c r="Q4608" s="10" t="s">
        <v>1935</v>
      </c>
      <c r="R4608" s="50">
        <f>+テーブル1[[#This Row],[合計金額]]*テーブル1[[#This Row],[自社報酬率％]]/100</f>
        <v>-2257.5</v>
      </c>
    </row>
    <row r="4609" spans="1:18">
      <c r="A4609" s="7">
        <v>45931</v>
      </c>
      <c r="B4609" t="s">
        <v>21</v>
      </c>
      <c r="C4609" s="18" t="s">
        <v>22</v>
      </c>
      <c r="D4609" s="41">
        <v>0</v>
      </c>
      <c r="E4609" s="41">
        <v>100</v>
      </c>
      <c r="F4609" s="18"/>
      <c r="G4609" s="28">
        <v>45931</v>
      </c>
      <c r="H4609" s="26"/>
      <c r="I4609" s="49">
        <v>-385</v>
      </c>
      <c r="J4609" s="24">
        <v>1</v>
      </c>
      <c r="K4609" s="24"/>
      <c r="L4609" s="91"/>
      <c r="M4609" s="24"/>
      <c r="N4609" s="12">
        <f t="shared" si="181"/>
        <v>1</v>
      </c>
      <c r="O4609" s="11">
        <v>-385</v>
      </c>
      <c r="P4609" s="10">
        <v>136</v>
      </c>
      <c r="Q4609" s="10" t="s">
        <v>1935</v>
      </c>
      <c r="R4609" s="50">
        <f>+テーブル1[[#This Row],[合計金額]]*テーブル1[[#This Row],[自社報酬率％]]/100</f>
        <v>-385</v>
      </c>
    </row>
    <row r="4610" spans="1:18">
      <c r="A4610" s="7">
        <v>45931</v>
      </c>
      <c r="B4610" t="s">
        <v>21</v>
      </c>
      <c r="C4610" s="18" t="s">
        <v>1962</v>
      </c>
      <c r="D4610" s="41">
        <v>50</v>
      </c>
      <c r="E4610" s="41">
        <v>50</v>
      </c>
      <c r="F4610" s="18"/>
      <c r="G4610" s="28">
        <v>45931</v>
      </c>
      <c r="H4610" s="26" t="s">
        <v>2916</v>
      </c>
      <c r="I4610" s="49">
        <v>-4515</v>
      </c>
      <c r="J4610" s="24">
        <v>1</v>
      </c>
      <c r="K4610" s="24"/>
      <c r="L4610" s="91"/>
      <c r="M4610" s="24"/>
      <c r="N4610" s="12">
        <f t="shared" si="181"/>
        <v>1</v>
      </c>
      <c r="O4610" s="11">
        <v>-4515</v>
      </c>
      <c r="P4610" s="10">
        <v>137</v>
      </c>
      <c r="Q4610" s="10" t="s">
        <v>1935</v>
      </c>
      <c r="R4610" s="50">
        <f>+テーブル1[[#This Row],[合計金額]]*テーブル1[[#This Row],[自社報酬率％]]/100</f>
        <v>-2257.5</v>
      </c>
    </row>
    <row r="4611" spans="1:18">
      <c r="A4611" s="7">
        <v>45931</v>
      </c>
      <c r="B4611" t="s">
        <v>21</v>
      </c>
      <c r="C4611" s="18" t="s">
        <v>22</v>
      </c>
      <c r="D4611" s="41">
        <v>0</v>
      </c>
      <c r="E4611" s="41">
        <v>100</v>
      </c>
      <c r="F4611" s="18"/>
      <c r="G4611" s="28">
        <v>45931</v>
      </c>
      <c r="H4611" s="26"/>
      <c r="I4611" s="49">
        <v>-385</v>
      </c>
      <c r="J4611" s="24">
        <v>1</v>
      </c>
      <c r="K4611" s="24"/>
      <c r="L4611" s="91"/>
      <c r="M4611" s="24"/>
      <c r="N4611" s="12">
        <f t="shared" si="181"/>
        <v>1</v>
      </c>
      <c r="O4611" s="11">
        <v>-385</v>
      </c>
      <c r="P4611" s="10">
        <v>138</v>
      </c>
      <c r="Q4611" s="10" t="s">
        <v>1935</v>
      </c>
      <c r="R4611" s="50">
        <f>+テーブル1[[#This Row],[合計金額]]*テーブル1[[#This Row],[自社報酬率％]]/100</f>
        <v>-385</v>
      </c>
    </row>
    <row r="4612" spans="1:18">
      <c r="A4612" s="7">
        <v>45931</v>
      </c>
      <c r="B4612" t="s">
        <v>21</v>
      </c>
      <c r="C4612" s="18" t="s">
        <v>1962</v>
      </c>
      <c r="D4612" s="41">
        <v>50</v>
      </c>
      <c r="E4612" s="41">
        <v>50</v>
      </c>
      <c r="F4612" s="18"/>
      <c r="G4612" s="28">
        <v>45931</v>
      </c>
      <c r="H4612" s="26" t="s">
        <v>2916</v>
      </c>
      <c r="I4612" s="49">
        <v>-4515</v>
      </c>
      <c r="J4612" s="24">
        <v>1</v>
      </c>
      <c r="K4612" s="24"/>
      <c r="L4612" s="91"/>
      <c r="M4612" s="24"/>
      <c r="N4612" s="12">
        <f t="shared" si="181"/>
        <v>1</v>
      </c>
      <c r="O4612" s="11">
        <v>-4515</v>
      </c>
      <c r="P4612" s="10">
        <v>139</v>
      </c>
      <c r="Q4612" s="10" t="s">
        <v>1935</v>
      </c>
      <c r="R4612" s="50">
        <f>+テーブル1[[#This Row],[合計金額]]*テーブル1[[#This Row],[自社報酬率％]]/100</f>
        <v>-2257.5</v>
      </c>
    </row>
    <row r="4613" spans="1:18">
      <c r="A4613" s="7">
        <v>45931</v>
      </c>
      <c r="B4613" t="s">
        <v>21</v>
      </c>
      <c r="C4613" s="18" t="s">
        <v>22</v>
      </c>
      <c r="D4613" s="41">
        <v>0</v>
      </c>
      <c r="E4613" s="41">
        <v>100</v>
      </c>
      <c r="F4613" s="18"/>
      <c r="G4613" s="28">
        <v>45931</v>
      </c>
      <c r="H4613" s="26"/>
      <c r="I4613" s="49">
        <v>-385</v>
      </c>
      <c r="J4613" s="24">
        <v>1</v>
      </c>
      <c r="K4613" s="24"/>
      <c r="L4613" s="91"/>
      <c r="M4613" s="24"/>
      <c r="N4613" s="12">
        <f t="shared" si="181"/>
        <v>1</v>
      </c>
      <c r="O4613" s="11">
        <v>-385</v>
      </c>
      <c r="P4613" s="10">
        <v>140</v>
      </c>
      <c r="Q4613" s="10" t="s">
        <v>1935</v>
      </c>
      <c r="R4613" s="50">
        <f>+テーブル1[[#This Row],[合計金額]]*テーブル1[[#This Row],[自社報酬率％]]/100</f>
        <v>-385</v>
      </c>
    </row>
    <row r="4614" spans="1:18">
      <c r="A4614" s="7">
        <v>45931</v>
      </c>
      <c r="B4614" t="s">
        <v>21</v>
      </c>
      <c r="C4614" s="18" t="s">
        <v>1962</v>
      </c>
      <c r="D4614" s="41">
        <v>50</v>
      </c>
      <c r="E4614" s="41">
        <v>50</v>
      </c>
      <c r="F4614" s="18"/>
      <c r="G4614" s="28">
        <v>45931</v>
      </c>
      <c r="H4614" s="26" t="s">
        <v>2916</v>
      </c>
      <c r="I4614" s="49">
        <v>-4515</v>
      </c>
      <c r="J4614" s="24">
        <v>1</v>
      </c>
      <c r="K4614" s="24"/>
      <c r="L4614" s="91"/>
      <c r="M4614" s="24"/>
      <c r="N4614" s="12">
        <f t="shared" si="181"/>
        <v>1</v>
      </c>
      <c r="O4614" s="11">
        <v>-4515</v>
      </c>
      <c r="P4614" s="10">
        <v>141</v>
      </c>
      <c r="Q4614" s="10" t="s">
        <v>1935</v>
      </c>
      <c r="R4614" s="50">
        <f>+テーブル1[[#This Row],[合計金額]]*テーブル1[[#This Row],[自社報酬率％]]/100</f>
        <v>-2257.5</v>
      </c>
    </row>
    <row r="4615" spans="1:18">
      <c r="A4615" s="7">
        <v>45931</v>
      </c>
      <c r="B4615" t="s">
        <v>21</v>
      </c>
      <c r="C4615" s="18" t="s">
        <v>22</v>
      </c>
      <c r="D4615" s="41">
        <v>0</v>
      </c>
      <c r="E4615" s="41">
        <v>100</v>
      </c>
      <c r="F4615" s="18"/>
      <c r="G4615" s="28">
        <v>45931</v>
      </c>
      <c r="H4615" s="26"/>
      <c r="I4615" s="49">
        <v>-385</v>
      </c>
      <c r="J4615" s="24">
        <v>1</v>
      </c>
      <c r="K4615" s="24"/>
      <c r="L4615" s="91"/>
      <c r="M4615" s="24"/>
      <c r="N4615" s="12">
        <f t="shared" si="181"/>
        <v>1</v>
      </c>
      <c r="O4615" s="11">
        <v>-385</v>
      </c>
      <c r="P4615" s="10">
        <v>142</v>
      </c>
      <c r="Q4615" s="10" t="s">
        <v>1935</v>
      </c>
      <c r="R4615" s="50">
        <f>+テーブル1[[#This Row],[合計金額]]*テーブル1[[#This Row],[自社報酬率％]]/100</f>
        <v>-385</v>
      </c>
    </row>
    <row r="4616" spans="1:18">
      <c r="A4616" s="7">
        <v>45931</v>
      </c>
      <c r="B4616" t="s">
        <v>21</v>
      </c>
      <c r="C4616" s="18" t="s">
        <v>1962</v>
      </c>
      <c r="D4616" s="41">
        <v>50</v>
      </c>
      <c r="E4616" s="41">
        <v>50</v>
      </c>
      <c r="F4616" s="18"/>
      <c r="G4616" s="28">
        <v>45931</v>
      </c>
      <c r="H4616" s="26" t="s">
        <v>1979</v>
      </c>
      <c r="I4616" s="49">
        <v>-72050</v>
      </c>
      <c r="J4616" s="24">
        <v>1</v>
      </c>
      <c r="K4616" s="24"/>
      <c r="L4616" s="91"/>
      <c r="M4616" s="24"/>
      <c r="N4616" s="12">
        <f t="shared" si="181"/>
        <v>1</v>
      </c>
      <c r="O4616" s="11">
        <v>-72050</v>
      </c>
      <c r="P4616" s="10">
        <v>143</v>
      </c>
      <c r="Q4616" s="10" t="s">
        <v>1935</v>
      </c>
      <c r="R4616" s="50">
        <f>+テーブル1[[#This Row],[合計金額]]*テーブル1[[#This Row],[自社報酬率％]]/100</f>
        <v>-36025</v>
      </c>
    </row>
    <row r="4617" spans="1:18">
      <c r="A4617" s="7">
        <v>45931</v>
      </c>
      <c r="B4617" t="s">
        <v>21</v>
      </c>
      <c r="C4617" s="18" t="s">
        <v>22</v>
      </c>
      <c r="D4617" s="41">
        <v>0</v>
      </c>
      <c r="E4617" s="41">
        <v>100</v>
      </c>
      <c r="F4617" s="18"/>
      <c r="G4617" s="28">
        <v>45931</v>
      </c>
      <c r="H4617" s="26"/>
      <c r="I4617" s="49">
        <v>-550</v>
      </c>
      <c r="J4617" s="24">
        <v>1</v>
      </c>
      <c r="K4617" s="24"/>
      <c r="L4617" s="91"/>
      <c r="M4617" s="24"/>
      <c r="N4617" s="12">
        <f t="shared" si="181"/>
        <v>1</v>
      </c>
      <c r="O4617" s="11">
        <v>-550</v>
      </c>
      <c r="P4617" s="10">
        <v>144</v>
      </c>
      <c r="Q4617" s="10" t="s">
        <v>1935</v>
      </c>
      <c r="R4617" s="50">
        <f>+テーブル1[[#This Row],[合計金額]]*テーブル1[[#This Row],[自社報酬率％]]/100</f>
        <v>-550</v>
      </c>
    </row>
    <row r="4618" spans="1:18">
      <c r="A4618" s="7">
        <v>45931</v>
      </c>
      <c r="B4618" t="s">
        <v>112</v>
      </c>
      <c r="C4618" s="18" t="s">
        <v>24</v>
      </c>
      <c r="D4618" s="41">
        <v>100</v>
      </c>
      <c r="E4618" s="41">
        <v>100</v>
      </c>
      <c r="F4618" s="83" t="s">
        <v>19</v>
      </c>
      <c r="G4618" s="85">
        <v>45962</v>
      </c>
      <c r="H4618" s="26" t="s">
        <v>3066</v>
      </c>
      <c r="I4618" s="49">
        <v>4965</v>
      </c>
      <c r="J4618" s="73">
        <v>4</v>
      </c>
      <c r="K4618" s="73">
        <v>0</v>
      </c>
      <c r="L4618" s="90">
        <v>0</v>
      </c>
      <c r="M4618" s="73">
        <v>0</v>
      </c>
      <c r="N4618" s="97">
        <f t="shared" si="181"/>
        <v>4</v>
      </c>
      <c r="O4618" s="11">
        <f t="shared" ref="O4618:O4651" si="183">+I4618*N4618</f>
        <v>19860</v>
      </c>
      <c r="P4618" s="10">
        <v>287</v>
      </c>
      <c r="Q4618" s="10" t="s">
        <v>1935</v>
      </c>
      <c r="R4618" s="50">
        <f>+テーブル1[[#This Row],[合計金額]]*テーブル1[[#This Row],[自社報酬率％]]/100</f>
        <v>19860</v>
      </c>
    </row>
    <row r="4619" spans="1:18">
      <c r="A4619" s="7">
        <v>45931</v>
      </c>
      <c r="B4619" t="s">
        <v>112</v>
      </c>
      <c r="C4619" s="18" t="s">
        <v>24</v>
      </c>
      <c r="D4619" s="41">
        <v>100</v>
      </c>
      <c r="E4619" s="41">
        <v>100</v>
      </c>
      <c r="F4619" s="104" t="s">
        <v>19</v>
      </c>
      <c r="G4619" s="102">
        <v>45992</v>
      </c>
      <c r="H4619" s="26" t="s">
        <v>3067</v>
      </c>
      <c r="I4619" s="49">
        <v>4967</v>
      </c>
      <c r="J4619" s="24">
        <v>4</v>
      </c>
      <c r="K4619" s="24">
        <v>0</v>
      </c>
      <c r="L4619" s="91">
        <v>0</v>
      </c>
      <c r="M4619" s="24">
        <v>0</v>
      </c>
      <c r="N4619" s="98">
        <f t="shared" si="181"/>
        <v>4</v>
      </c>
      <c r="O4619" s="11">
        <f t="shared" si="183"/>
        <v>19868</v>
      </c>
      <c r="P4619" s="10">
        <v>288</v>
      </c>
      <c r="Q4619" s="10" t="s">
        <v>1928</v>
      </c>
      <c r="R4619" s="50">
        <f>+テーブル1[[#This Row],[合計金額]]*テーブル1[[#This Row],[自社報酬率％]]/100</f>
        <v>19868</v>
      </c>
    </row>
    <row r="4620" spans="1:18">
      <c r="A4620" s="7">
        <v>45931</v>
      </c>
      <c r="B4620" t="s">
        <v>112</v>
      </c>
      <c r="C4620" s="18" t="s">
        <v>24</v>
      </c>
      <c r="D4620" s="41">
        <v>100</v>
      </c>
      <c r="E4620" s="41">
        <v>100</v>
      </c>
      <c r="F4620" s="104" t="s">
        <v>19</v>
      </c>
      <c r="G4620" s="102">
        <v>46023</v>
      </c>
      <c r="H4620" s="26" t="s">
        <v>3068</v>
      </c>
      <c r="I4620" s="49">
        <v>4967</v>
      </c>
      <c r="J4620" s="24">
        <v>4</v>
      </c>
      <c r="K4620" s="24">
        <v>0</v>
      </c>
      <c r="L4620" s="91">
        <v>0</v>
      </c>
      <c r="M4620" s="24">
        <v>0</v>
      </c>
      <c r="N4620" s="98">
        <f t="shared" si="181"/>
        <v>4</v>
      </c>
      <c r="O4620" s="11">
        <f t="shared" si="183"/>
        <v>19868</v>
      </c>
      <c r="P4620" s="10">
        <v>289</v>
      </c>
      <c r="Q4620" s="10" t="s">
        <v>1928</v>
      </c>
      <c r="R4620" s="50">
        <f>+テーブル1[[#This Row],[合計金額]]*テーブル1[[#This Row],[自社報酬率％]]/100</f>
        <v>19868</v>
      </c>
    </row>
    <row r="4621" spans="1:18">
      <c r="A4621" s="7">
        <v>45931</v>
      </c>
      <c r="B4621" t="s">
        <v>112</v>
      </c>
      <c r="C4621" s="18" t="s">
        <v>24</v>
      </c>
      <c r="D4621" s="41">
        <v>100</v>
      </c>
      <c r="E4621" s="41">
        <v>100</v>
      </c>
      <c r="F4621" s="104" t="s">
        <v>19</v>
      </c>
      <c r="G4621" s="102">
        <v>46054</v>
      </c>
      <c r="H4621" s="26" t="s">
        <v>3069</v>
      </c>
      <c r="I4621" s="49">
        <v>4967</v>
      </c>
      <c r="J4621" s="24">
        <v>4</v>
      </c>
      <c r="K4621" s="24">
        <v>0</v>
      </c>
      <c r="L4621" s="91">
        <v>0</v>
      </c>
      <c r="M4621" s="24">
        <v>0</v>
      </c>
      <c r="N4621" s="98">
        <f t="shared" si="181"/>
        <v>4</v>
      </c>
      <c r="O4621" s="11">
        <f t="shared" si="183"/>
        <v>19868</v>
      </c>
      <c r="P4621" s="10">
        <v>290</v>
      </c>
      <c r="Q4621" s="10" t="s">
        <v>1928</v>
      </c>
      <c r="R4621" s="50">
        <f>+テーブル1[[#This Row],[合計金額]]*テーブル1[[#This Row],[自社報酬率％]]/100</f>
        <v>19868</v>
      </c>
    </row>
    <row r="4622" spans="1:18">
      <c r="A4622" s="7">
        <v>45931</v>
      </c>
      <c r="B4622" t="s">
        <v>112</v>
      </c>
      <c r="C4622" s="18" t="s">
        <v>24</v>
      </c>
      <c r="D4622" s="41">
        <v>100</v>
      </c>
      <c r="E4622" s="41">
        <v>100</v>
      </c>
      <c r="F4622" s="104" t="s">
        <v>19</v>
      </c>
      <c r="G4622" s="102">
        <v>46082</v>
      </c>
      <c r="H4622" s="26" t="s">
        <v>3070</v>
      </c>
      <c r="I4622" s="49">
        <v>4967</v>
      </c>
      <c r="J4622" s="24">
        <v>4</v>
      </c>
      <c r="K4622" s="24">
        <v>0</v>
      </c>
      <c r="L4622" s="91">
        <v>0</v>
      </c>
      <c r="M4622" s="24">
        <v>0</v>
      </c>
      <c r="N4622" s="98">
        <f t="shared" si="181"/>
        <v>4</v>
      </c>
      <c r="O4622" s="11">
        <f t="shared" si="183"/>
        <v>19868</v>
      </c>
      <c r="P4622" s="10">
        <v>291</v>
      </c>
      <c r="Q4622" s="10" t="s">
        <v>1928</v>
      </c>
      <c r="R4622" s="50">
        <f>+テーブル1[[#This Row],[合計金額]]*テーブル1[[#This Row],[自社報酬率％]]/100</f>
        <v>19868</v>
      </c>
    </row>
    <row r="4623" spans="1:18">
      <c r="A4623" s="7">
        <v>45931</v>
      </c>
      <c r="B4623" t="s">
        <v>112</v>
      </c>
      <c r="C4623" s="18" t="s">
        <v>24</v>
      </c>
      <c r="D4623" s="41">
        <v>100</v>
      </c>
      <c r="E4623" s="41">
        <v>100</v>
      </c>
      <c r="F4623" s="84" t="s">
        <v>19</v>
      </c>
      <c r="G4623" s="86">
        <v>46113</v>
      </c>
      <c r="H4623" s="26" t="s">
        <v>3071</v>
      </c>
      <c r="I4623" s="49">
        <v>4967</v>
      </c>
      <c r="J4623" s="77">
        <v>4</v>
      </c>
      <c r="K4623" s="77">
        <v>0</v>
      </c>
      <c r="L4623" s="92">
        <v>0</v>
      </c>
      <c r="M4623" s="77">
        <v>0</v>
      </c>
      <c r="N4623" s="99">
        <f t="shared" si="181"/>
        <v>4</v>
      </c>
      <c r="O4623" s="11">
        <f t="shared" si="183"/>
        <v>19868</v>
      </c>
      <c r="P4623" s="10">
        <v>292</v>
      </c>
      <c r="Q4623" s="10" t="s">
        <v>1928</v>
      </c>
      <c r="R4623" s="50">
        <f>+テーブル1[[#This Row],[合計金額]]*テーブル1[[#This Row],[自社報酬率％]]/100</f>
        <v>19868</v>
      </c>
    </row>
    <row r="4624" spans="1:18">
      <c r="A4624" s="7">
        <v>45931</v>
      </c>
      <c r="B4624" t="s">
        <v>112</v>
      </c>
      <c r="C4624" s="18" t="s">
        <v>24</v>
      </c>
      <c r="D4624" s="41">
        <v>100</v>
      </c>
      <c r="E4624" s="41">
        <v>100</v>
      </c>
      <c r="F4624" s="104" t="s">
        <v>16</v>
      </c>
      <c r="G4624" s="102">
        <v>45962</v>
      </c>
      <c r="H4624" s="26" t="s">
        <v>2997</v>
      </c>
      <c r="I4624" s="49">
        <v>3000</v>
      </c>
      <c r="J4624" s="24">
        <v>6</v>
      </c>
      <c r="K4624" s="24">
        <v>0</v>
      </c>
      <c r="L4624" s="91">
        <v>0</v>
      </c>
      <c r="M4624" s="24">
        <v>0</v>
      </c>
      <c r="N4624" s="100">
        <f t="shared" si="181"/>
        <v>6</v>
      </c>
      <c r="O4624" s="11">
        <f t="shared" si="183"/>
        <v>18000</v>
      </c>
      <c r="P4624" s="10">
        <v>293</v>
      </c>
      <c r="Q4624" s="10" t="s">
        <v>1935</v>
      </c>
      <c r="R4624" s="50">
        <f>+テーブル1[[#This Row],[合計金額]]*テーブル1[[#This Row],[自社報酬率％]]/100</f>
        <v>18000</v>
      </c>
    </row>
    <row r="4625" spans="1:18">
      <c r="A4625" s="7">
        <v>45931</v>
      </c>
      <c r="B4625" t="s">
        <v>112</v>
      </c>
      <c r="C4625" s="18" t="s">
        <v>24</v>
      </c>
      <c r="D4625" s="41">
        <v>100</v>
      </c>
      <c r="E4625" s="41">
        <v>100</v>
      </c>
      <c r="F4625" s="104" t="s">
        <v>16</v>
      </c>
      <c r="G4625" s="102">
        <v>45962</v>
      </c>
      <c r="H4625" s="26" t="s">
        <v>3072</v>
      </c>
      <c r="I4625" s="49">
        <v>3000</v>
      </c>
      <c r="J4625" s="24">
        <v>1</v>
      </c>
      <c r="K4625" s="24">
        <v>0</v>
      </c>
      <c r="L4625" s="91">
        <v>0</v>
      </c>
      <c r="M4625" s="24">
        <v>0</v>
      </c>
      <c r="N4625" s="100">
        <f t="shared" si="181"/>
        <v>1</v>
      </c>
      <c r="O4625" s="11">
        <f t="shared" si="183"/>
        <v>3000</v>
      </c>
      <c r="P4625" s="10">
        <v>294</v>
      </c>
      <c r="Q4625" s="10" t="s">
        <v>1935</v>
      </c>
      <c r="R4625" s="50">
        <f>+テーブル1[[#This Row],[合計金額]]*テーブル1[[#This Row],[自社報酬率％]]/100</f>
        <v>3000</v>
      </c>
    </row>
    <row r="4626" spans="1:18">
      <c r="A4626" s="7">
        <v>45931</v>
      </c>
      <c r="B4626" t="s">
        <v>112</v>
      </c>
      <c r="C4626" s="18" t="s">
        <v>24</v>
      </c>
      <c r="D4626" s="41">
        <v>100</v>
      </c>
      <c r="E4626" s="41">
        <v>100</v>
      </c>
      <c r="F4626" s="104" t="s">
        <v>16</v>
      </c>
      <c r="G4626" s="102">
        <v>45962</v>
      </c>
      <c r="H4626" s="26" t="s">
        <v>3073</v>
      </c>
      <c r="I4626" s="49">
        <v>6300</v>
      </c>
      <c r="J4626" s="24">
        <v>1</v>
      </c>
      <c r="K4626" s="24">
        <v>0</v>
      </c>
      <c r="L4626" s="91">
        <v>0</v>
      </c>
      <c r="M4626" s="24">
        <v>0</v>
      </c>
      <c r="N4626" s="100">
        <f t="shared" si="181"/>
        <v>1</v>
      </c>
      <c r="O4626" s="11">
        <f t="shared" si="183"/>
        <v>6300</v>
      </c>
      <c r="P4626" s="10">
        <v>295</v>
      </c>
      <c r="Q4626" s="10" t="s">
        <v>1935</v>
      </c>
      <c r="R4626" s="50">
        <f>+テーブル1[[#This Row],[合計金額]]*テーブル1[[#This Row],[自社報酬率％]]/100</f>
        <v>6300</v>
      </c>
    </row>
    <row r="4627" spans="1:18">
      <c r="A4627" s="7">
        <v>45931</v>
      </c>
      <c r="B4627" t="s">
        <v>112</v>
      </c>
      <c r="C4627" s="18" t="s">
        <v>24</v>
      </c>
      <c r="D4627" s="41">
        <v>100</v>
      </c>
      <c r="E4627" s="41">
        <v>100</v>
      </c>
      <c r="F4627" s="105" t="s">
        <v>20</v>
      </c>
      <c r="G4627" s="28">
        <v>45931</v>
      </c>
      <c r="H4627" s="26" t="s">
        <v>2400</v>
      </c>
      <c r="I4627" s="49">
        <v>99800</v>
      </c>
      <c r="J4627" s="24">
        <v>1</v>
      </c>
      <c r="K4627" s="24">
        <v>0</v>
      </c>
      <c r="L4627" s="91">
        <v>0</v>
      </c>
      <c r="M4627" s="24">
        <v>0</v>
      </c>
      <c r="N4627" s="100">
        <f t="shared" si="181"/>
        <v>1</v>
      </c>
      <c r="O4627" s="11">
        <f t="shared" si="183"/>
        <v>99800</v>
      </c>
      <c r="P4627" s="10">
        <v>296</v>
      </c>
      <c r="Q4627" s="10" t="s">
        <v>1935</v>
      </c>
      <c r="R4627" s="50">
        <f>+テーブル1[[#This Row],[合計金額]]*テーブル1[[#This Row],[自社報酬率％]]/100</f>
        <v>99800</v>
      </c>
    </row>
    <row r="4628" spans="1:18">
      <c r="A4628" s="7">
        <v>45931</v>
      </c>
      <c r="B4628" t="s">
        <v>112</v>
      </c>
      <c r="C4628" s="18" t="s">
        <v>24</v>
      </c>
      <c r="D4628" s="41">
        <v>100</v>
      </c>
      <c r="E4628" s="41">
        <v>100</v>
      </c>
      <c r="F4628" s="105" t="s">
        <v>20</v>
      </c>
      <c r="G4628" s="28">
        <v>45931</v>
      </c>
      <c r="H4628" s="26" t="s">
        <v>2500</v>
      </c>
      <c r="I4628" s="49">
        <v>188000</v>
      </c>
      <c r="J4628" s="24">
        <v>1</v>
      </c>
      <c r="K4628" s="24">
        <v>0</v>
      </c>
      <c r="L4628" s="91">
        <v>0</v>
      </c>
      <c r="M4628" s="24">
        <v>0</v>
      </c>
      <c r="N4628" s="100">
        <f t="shared" si="181"/>
        <v>1</v>
      </c>
      <c r="O4628" s="11">
        <f t="shared" si="183"/>
        <v>188000</v>
      </c>
      <c r="P4628" s="10">
        <v>297</v>
      </c>
      <c r="Q4628" s="10" t="s">
        <v>1935</v>
      </c>
      <c r="R4628" s="50">
        <f>+テーブル1[[#This Row],[合計金額]]*テーブル1[[#This Row],[自社報酬率％]]/100</f>
        <v>188000</v>
      </c>
    </row>
    <row r="4629" spans="1:18">
      <c r="A4629" s="7">
        <v>45931</v>
      </c>
      <c r="B4629" t="s">
        <v>112</v>
      </c>
      <c r="C4629" s="18" t="s">
        <v>24</v>
      </c>
      <c r="D4629" s="41">
        <v>100</v>
      </c>
      <c r="E4629" s="41">
        <v>100</v>
      </c>
      <c r="F4629" s="105" t="s">
        <v>20</v>
      </c>
      <c r="G4629" s="28">
        <v>45931</v>
      </c>
      <c r="H4629" s="26" t="s">
        <v>3074</v>
      </c>
      <c r="I4629" s="49">
        <v>217800</v>
      </c>
      <c r="J4629" s="24">
        <v>1</v>
      </c>
      <c r="K4629" s="24">
        <v>0</v>
      </c>
      <c r="L4629" s="91">
        <v>0</v>
      </c>
      <c r="M4629" s="24">
        <v>0</v>
      </c>
      <c r="N4629" s="100">
        <f t="shared" si="181"/>
        <v>1</v>
      </c>
      <c r="O4629" s="11">
        <f t="shared" si="183"/>
        <v>217800</v>
      </c>
      <c r="P4629" s="10">
        <v>298</v>
      </c>
      <c r="Q4629" s="10" t="s">
        <v>1935</v>
      </c>
      <c r="R4629" s="50">
        <f>+テーブル1[[#This Row],[合計金額]]*テーブル1[[#This Row],[自社報酬率％]]/100</f>
        <v>217800</v>
      </c>
    </row>
    <row r="4630" spans="1:18">
      <c r="A4630" s="7">
        <v>45931</v>
      </c>
      <c r="B4630" t="s">
        <v>112</v>
      </c>
      <c r="C4630" s="18" t="s">
        <v>2043</v>
      </c>
      <c r="D4630" s="41">
        <v>60</v>
      </c>
      <c r="E4630" s="41">
        <v>40</v>
      </c>
      <c r="F4630" s="18" t="s">
        <v>17</v>
      </c>
      <c r="G4630" s="28">
        <v>45931</v>
      </c>
      <c r="H4630" s="26" t="s">
        <v>3062</v>
      </c>
      <c r="I4630" s="49">
        <v>349200</v>
      </c>
      <c r="J4630" s="24">
        <v>1</v>
      </c>
      <c r="K4630" s="24">
        <v>0</v>
      </c>
      <c r="L4630" s="91">
        <v>0</v>
      </c>
      <c r="M4630" s="24">
        <v>0</v>
      </c>
      <c r="N4630" s="12">
        <f>J4630-K4630-L4630-M4630</f>
        <v>1</v>
      </c>
      <c r="O4630" s="11">
        <f t="shared" si="183"/>
        <v>349200</v>
      </c>
      <c r="P4630" s="10">
        <v>299</v>
      </c>
      <c r="Q4630" s="10" t="s">
        <v>1935</v>
      </c>
      <c r="R4630" s="50">
        <f>+テーブル1[[#This Row],[合計金額]]*テーブル1[[#This Row],[自社報酬率％]]/100</f>
        <v>139680</v>
      </c>
    </row>
    <row r="4631" spans="1:18">
      <c r="A4631" s="7">
        <v>45931</v>
      </c>
      <c r="B4631" t="s">
        <v>112</v>
      </c>
      <c r="C4631" s="18" t="s">
        <v>2043</v>
      </c>
      <c r="D4631" s="41">
        <v>60</v>
      </c>
      <c r="E4631" s="41">
        <v>40</v>
      </c>
      <c r="F4631" s="18" t="s">
        <v>29</v>
      </c>
      <c r="G4631" s="28">
        <v>45931</v>
      </c>
      <c r="H4631" s="26" t="s">
        <v>2129</v>
      </c>
      <c r="I4631" s="49">
        <v>24800</v>
      </c>
      <c r="J4631" s="24">
        <v>4</v>
      </c>
      <c r="K4631" s="24">
        <v>0</v>
      </c>
      <c r="L4631" s="91">
        <v>0</v>
      </c>
      <c r="M4631" s="24">
        <v>0</v>
      </c>
      <c r="N4631" s="12">
        <f t="shared" ref="N4631:N4643" si="184">J4631-K4631-L4631-M4631</f>
        <v>4</v>
      </c>
      <c r="O4631" s="11">
        <f t="shared" si="183"/>
        <v>99200</v>
      </c>
      <c r="P4631" s="10">
        <v>300</v>
      </c>
      <c r="Q4631" s="10" t="s">
        <v>1935</v>
      </c>
      <c r="R4631" s="50">
        <f>+テーブル1[[#This Row],[合計金額]]*テーブル1[[#This Row],[自社報酬率％]]/100</f>
        <v>39680</v>
      </c>
    </row>
    <row r="4632" spans="1:18">
      <c r="A4632" s="7">
        <v>45931</v>
      </c>
      <c r="B4632" t="s">
        <v>112</v>
      </c>
      <c r="C4632" s="18" t="s">
        <v>2043</v>
      </c>
      <c r="D4632" s="41">
        <v>60</v>
      </c>
      <c r="E4632" s="41">
        <v>40</v>
      </c>
      <c r="F4632" s="18" t="s">
        <v>113</v>
      </c>
      <c r="G4632" s="28">
        <v>45931</v>
      </c>
      <c r="H4632" s="26" t="s">
        <v>2086</v>
      </c>
      <c r="I4632" s="49">
        <v>49800</v>
      </c>
      <c r="J4632" s="24">
        <v>2</v>
      </c>
      <c r="K4632" s="24">
        <v>0</v>
      </c>
      <c r="L4632" s="91">
        <v>0</v>
      </c>
      <c r="M4632" s="24">
        <v>0</v>
      </c>
      <c r="N4632" s="12">
        <f t="shared" si="184"/>
        <v>2</v>
      </c>
      <c r="O4632" s="11">
        <f t="shared" si="183"/>
        <v>99600</v>
      </c>
      <c r="P4632" s="10">
        <v>301</v>
      </c>
      <c r="Q4632" s="10" t="s">
        <v>1935</v>
      </c>
      <c r="R4632" s="50">
        <f>+テーブル1[[#This Row],[合計金額]]*テーブル1[[#This Row],[自社報酬率％]]/100</f>
        <v>39840</v>
      </c>
    </row>
    <row r="4633" spans="1:18">
      <c r="A4633" s="7">
        <v>45931</v>
      </c>
      <c r="B4633" t="s">
        <v>112</v>
      </c>
      <c r="C4633" s="18" t="s">
        <v>2043</v>
      </c>
      <c r="D4633" s="41">
        <v>60</v>
      </c>
      <c r="E4633" s="41">
        <v>40</v>
      </c>
      <c r="F4633" s="18" t="s">
        <v>19</v>
      </c>
      <c r="G4633" s="28">
        <v>45931</v>
      </c>
      <c r="H4633" s="26" t="s">
        <v>3075</v>
      </c>
      <c r="I4633" s="49">
        <v>198000</v>
      </c>
      <c r="J4633" s="24">
        <v>1</v>
      </c>
      <c r="K4633" s="24">
        <v>0</v>
      </c>
      <c r="L4633" s="91">
        <v>0</v>
      </c>
      <c r="M4633" s="24">
        <v>0</v>
      </c>
      <c r="N4633" s="12">
        <f t="shared" si="184"/>
        <v>1</v>
      </c>
      <c r="O4633" s="11">
        <f t="shared" si="183"/>
        <v>198000</v>
      </c>
      <c r="P4633" s="10">
        <v>302</v>
      </c>
      <c r="Q4633" s="10" t="s">
        <v>1935</v>
      </c>
      <c r="R4633" s="50">
        <f>+テーブル1[[#This Row],[合計金額]]*テーブル1[[#This Row],[自社報酬率％]]/100</f>
        <v>79200</v>
      </c>
    </row>
    <row r="4634" spans="1:18">
      <c r="A4634" s="7">
        <v>45931</v>
      </c>
      <c r="B4634" t="s">
        <v>112</v>
      </c>
      <c r="C4634" s="101" t="s">
        <v>2043</v>
      </c>
      <c r="D4634" s="41">
        <v>60</v>
      </c>
      <c r="E4634" s="41">
        <v>40</v>
      </c>
      <c r="F4634" s="101" t="s">
        <v>16</v>
      </c>
      <c r="G4634" s="102">
        <v>45962</v>
      </c>
      <c r="H4634" s="26" t="s">
        <v>3076</v>
      </c>
      <c r="I4634" s="49">
        <v>10780</v>
      </c>
      <c r="J4634" s="24">
        <v>2</v>
      </c>
      <c r="K4634" s="24">
        <v>0</v>
      </c>
      <c r="L4634" s="91">
        <v>0</v>
      </c>
      <c r="M4634" s="24">
        <v>0</v>
      </c>
      <c r="N4634" s="12">
        <f t="shared" si="184"/>
        <v>2</v>
      </c>
      <c r="O4634" s="11">
        <f t="shared" si="183"/>
        <v>21560</v>
      </c>
      <c r="P4634" s="10">
        <v>303</v>
      </c>
      <c r="Q4634" s="10" t="s">
        <v>1935</v>
      </c>
      <c r="R4634" s="50">
        <f>+テーブル1[[#This Row],[合計金額]]*テーブル1[[#This Row],[自社報酬率％]]/100</f>
        <v>8624</v>
      </c>
    </row>
    <row r="4635" spans="1:18">
      <c r="A4635" s="7">
        <v>45931</v>
      </c>
      <c r="B4635" t="s">
        <v>112</v>
      </c>
      <c r="C4635" s="101" t="s">
        <v>2043</v>
      </c>
      <c r="D4635" s="41">
        <v>60</v>
      </c>
      <c r="E4635" s="41">
        <v>40</v>
      </c>
      <c r="F4635" s="101" t="s">
        <v>16</v>
      </c>
      <c r="G4635" s="102">
        <v>45962</v>
      </c>
      <c r="H4635" s="26" t="s">
        <v>3077</v>
      </c>
      <c r="I4635" s="49">
        <v>10780</v>
      </c>
      <c r="J4635" s="24">
        <v>4</v>
      </c>
      <c r="K4635" s="24">
        <v>0</v>
      </c>
      <c r="L4635" s="91">
        <v>0</v>
      </c>
      <c r="M4635" s="24">
        <v>0</v>
      </c>
      <c r="N4635" s="12">
        <f t="shared" si="184"/>
        <v>4</v>
      </c>
      <c r="O4635" s="11">
        <f t="shared" si="183"/>
        <v>43120</v>
      </c>
      <c r="P4635" s="10">
        <v>304</v>
      </c>
      <c r="Q4635" s="10" t="s">
        <v>1935</v>
      </c>
      <c r="R4635" s="50">
        <f>+テーブル1[[#This Row],[合計金額]]*テーブル1[[#This Row],[自社報酬率％]]/100</f>
        <v>17248</v>
      </c>
    </row>
    <row r="4636" spans="1:18">
      <c r="A4636" s="7">
        <v>45931</v>
      </c>
      <c r="B4636" t="s">
        <v>112</v>
      </c>
      <c r="C4636" s="101" t="s">
        <v>2043</v>
      </c>
      <c r="D4636" s="41">
        <v>60</v>
      </c>
      <c r="E4636" s="41">
        <v>40</v>
      </c>
      <c r="F4636" s="101" t="s">
        <v>16</v>
      </c>
      <c r="G4636" s="102">
        <v>45962</v>
      </c>
      <c r="H4636" s="26" t="s">
        <v>3053</v>
      </c>
      <c r="I4636" s="49">
        <v>10780</v>
      </c>
      <c r="J4636" s="24">
        <v>4</v>
      </c>
      <c r="K4636" s="24">
        <v>0</v>
      </c>
      <c r="L4636" s="91">
        <v>0</v>
      </c>
      <c r="M4636" s="24">
        <v>0</v>
      </c>
      <c r="N4636" s="12">
        <f t="shared" si="184"/>
        <v>4</v>
      </c>
      <c r="O4636" s="11">
        <f t="shared" si="183"/>
        <v>43120</v>
      </c>
      <c r="P4636" s="10">
        <v>305</v>
      </c>
      <c r="Q4636" s="10" t="s">
        <v>1935</v>
      </c>
      <c r="R4636" s="50">
        <f>+テーブル1[[#This Row],[合計金額]]*テーブル1[[#This Row],[自社報酬率％]]/100</f>
        <v>17248</v>
      </c>
    </row>
    <row r="4637" spans="1:18">
      <c r="A4637" s="7">
        <v>45931</v>
      </c>
      <c r="B4637" t="s">
        <v>112</v>
      </c>
      <c r="C4637" s="101" t="s">
        <v>2048</v>
      </c>
      <c r="D4637" s="41">
        <v>50</v>
      </c>
      <c r="E4637" s="41">
        <v>50</v>
      </c>
      <c r="F4637" s="101" t="s">
        <v>16</v>
      </c>
      <c r="G4637" s="102">
        <v>45962</v>
      </c>
      <c r="H4637" s="26" t="s">
        <v>3078</v>
      </c>
      <c r="I4637" s="49">
        <v>27000</v>
      </c>
      <c r="J4637" s="24">
        <v>1</v>
      </c>
      <c r="K4637" s="24">
        <v>0</v>
      </c>
      <c r="L4637" s="91">
        <v>0</v>
      </c>
      <c r="M4637" s="24">
        <v>0</v>
      </c>
      <c r="N4637" s="12">
        <f t="shared" si="184"/>
        <v>1</v>
      </c>
      <c r="O4637" s="11">
        <f t="shared" si="183"/>
        <v>27000</v>
      </c>
      <c r="P4637" s="10">
        <v>306</v>
      </c>
      <c r="Q4637" s="10" t="s">
        <v>1935</v>
      </c>
      <c r="R4637" s="50">
        <f>+テーブル1[[#This Row],[合計金額]]*テーブル1[[#This Row],[自社報酬率％]]/100</f>
        <v>13500</v>
      </c>
    </row>
    <row r="4638" spans="1:18">
      <c r="A4638" s="7">
        <v>45931</v>
      </c>
      <c r="B4638" t="s">
        <v>112</v>
      </c>
      <c r="C4638" s="18" t="s">
        <v>2045</v>
      </c>
      <c r="D4638" s="41">
        <v>40</v>
      </c>
      <c r="E4638" s="41">
        <v>60</v>
      </c>
      <c r="F4638" s="18" t="s">
        <v>113</v>
      </c>
      <c r="G4638" s="28">
        <v>45931</v>
      </c>
      <c r="H4638" s="26" t="s">
        <v>3079</v>
      </c>
      <c r="I4638" s="49">
        <v>130000</v>
      </c>
      <c r="J4638" s="24">
        <v>1</v>
      </c>
      <c r="K4638" s="24">
        <v>0</v>
      </c>
      <c r="L4638" s="91">
        <v>0</v>
      </c>
      <c r="M4638" s="24">
        <v>0</v>
      </c>
      <c r="N4638" s="12">
        <f t="shared" si="184"/>
        <v>1</v>
      </c>
      <c r="O4638" s="11">
        <f t="shared" si="183"/>
        <v>130000</v>
      </c>
      <c r="P4638" s="10">
        <v>307</v>
      </c>
      <c r="Q4638" s="10" t="s">
        <v>1935</v>
      </c>
      <c r="R4638" s="50">
        <f>+テーブル1[[#This Row],[合計金額]]*テーブル1[[#This Row],[自社報酬率％]]/100</f>
        <v>78000</v>
      </c>
    </row>
    <row r="4639" spans="1:18">
      <c r="A4639" s="7">
        <v>45931</v>
      </c>
      <c r="B4639" t="s">
        <v>112</v>
      </c>
      <c r="C4639" s="101" t="s">
        <v>2045</v>
      </c>
      <c r="D4639" s="41">
        <v>40</v>
      </c>
      <c r="E4639" s="41">
        <v>60</v>
      </c>
      <c r="F4639" s="101" t="s">
        <v>16</v>
      </c>
      <c r="G4639" s="102">
        <v>45962</v>
      </c>
      <c r="H4639" s="26" t="s">
        <v>3054</v>
      </c>
      <c r="I4639" s="49">
        <v>16500</v>
      </c>
      <c r="J4639" s="24">
        <v>2</v>
      </c>
      <c r="K4639" s="24">
        <v>0</v>
      </c>
      <c r="L4639" s="91">
        <v>0</v>
      </c>
      <c r="M4639" s="24">
        <v>0</v>
      </c>
      <c r="N4639" s="12">
        <f t="shared" si="184"/>
        <v>2</v>
      </c>
      <c r="O4639" s="11">
        <f t="shared" si="183"/>
        <v>33000</v>
      </c>
      <c r="P4639" s="10">
        <v>308</v>
      </c>
      <c r="Q4639" s="10" t="s">
        <v>1935</v>
      </c>
      <c r="R4639" s="50">
        <f>+テーブル1[[#This Row],[合計金額]]*テーブル1[[#This Row],[自社報酬率％]]/100</f>
        <v>19800</v>
      </c>
    </row>
    <row r="4640" spans="1:18">
      <c r="A4640" s="7">
        <v>45931</v>
      </c>
      <c r="B4640" t="s">
        <v>112</v>
      </c>
      <c r="C4640" s="18" t="s">
        <v>2045</v>
      </c>
      <c r="D4640" s="41">
        <v>40</v>
      </c>
      <c r="E4640" s="41">
        <v>60</v>
      </c>
      <c r="F4640" s="18" t="s">
        <v>20</v>
      </c>
      <c r="G4640" s="28">
        <v>45931</v>
      </c>
      <c r="H4640" s="26" t="s">
        <v>3065</v>
      </c>
      <c r="I4640" s="49">
        <v>3000</v>
      </c>
      <c r="J4640" s="24">
        <v>6</v>
      </c>
      <c r="K4640" s="24">
        <v>0</v>
      </c>
      <c r="L4640" s="91">
        <v>0</v>
      </c>
      <c r="M4640" s="24">
        <v>0</v>
      </c>
      <c r="N4640" s="12">
        <f t="shared" si="184"/>
        <v>6</v>
      </c>
      <c r="O4640" s="11">
        <f t="shared" si="183"/>
        <v>18000</v>
      </c>
      <c r="P4640" s="10">
        <v>309</v>
      </c>
      <c r="Q4640" s="10" t="s">
        <v>1935</v>
      </c>
      <c r="R4640" s="50">
        <f>+テーブル1[[#This Row],[合計金額]]*テーブル1[[#This Row],[自社報酬率％]]/100</f>
        <v>10800</v>
      </c>
    </row>
    <row r="4641" spans="1:18">
      <c r="A4641" s="7">
        <v>45931</v>
      </c>
      <c r="B4641" t="s">
        <v>112</v>
      </c>
      <c r="C4641" s="18" t="s">
        <v>2094</v>
      </c>
      <c r="D4641" s="41">
        <v>40</v>
      </c>
      <c r="E4641" s="41">
        <v>60</v>
      </c>
      <c r="F4641" s="18" t="s">
        <v>27</v>
      </c>
      <c r="G4641" s="28">
        <v>45931</v>
      </c>
      <c r="H4641" s="26" t="s">
        <v>2513</v>
      </c>
      <c r="I4641" s="49">
        <v>99600</v>
      </c>
      <c r="J4641" s="24">
        <v>1</v>
      </c>
      <c r="K4641" s="24">
        <v>0</v>
      </c>
      <c r="L4641" s="91">
        <v>0</v>
      </c>
      <c r="M4641" s="24">
        <v>0</v>
      </c>
      <c r="N4641" s="12">
        <f t="shared" si="184"/>
        <v>1</v>
      </c>
      <c r="O4641" s="11">
        <f t="shared" si="183"/>
        <v>99600</v>
      </c>
      <c r="P4641" s="10">
        <v>310</v>
      </c>
      <c r="Q4641" s="10" t="s">
        <v>1935</v>
      </c>
      <c r="R4641" s="50">
        <f>+テーブル1[[#This Row],[合計金額]]*テーブル1[[#This Row],[自社報酬率％]]/100</f>
        <v>59760</v>
      </c>
    </row>
    <row r="4642" spans="1:18">
      <c r="A4642" s="7">
        <v>45931</v>
      </c>
      <c r="B4642" t="s">
        <v>112</v>
      </c>
      <c r="C4642" s="101" t="s">
        <v>2050</v>
      </c>
      <c r="D4642" s="41">
        <v>50</v>
      </c>
      <c r="E4642" s="41">
        <v>50</v>
      </c>
      <c r="F4642" s="101" t="s">
        <v>16</v>
      </c>
      <c r="G4642" s="102">
        <v>45962</v>
      </c>
      <c r="H4642" s="26" t="s">
        <v>3055</v>
      </c>
      <c r="I4642" s="49">
        <v>9800</v>
      </c>
      <c r="J4642" s="24">
        <v>2</v>
      </c>
      <c r="K4642" s="24">
        <v>0</v>
      </c>
      <c r="L4642" s="91">
        <v>0</v>
      </c>
      <c r="M4642" s="24">
        <v>0</v>
      </c>
      <c r="N4642" s="12">
        <f t="shared" si="184"/>
        <v>2</v>
      </c>
      <c r="O4642" s="11">
        <f t="shared" si="183"/>
        <v>19600</v>
      </c>
      <c r="P4642" s="10">
        <v>311</v>
      </c>
      <c r="Q4642" s="10" t="s">
        <v>1935</v>
      </c>
      <c r="R4642" s="50">
        <f>+テーブル1[[#This Row],[合計金額]]*テーブル1[[#This Row],[自社報酬率％]]/100</f>
        <v>9800</v>
      </c>
    </row>
    <row r="4643" spans="1:18">
      <c r="A4643" s="7">
        <v>45931</v>
      </c>
      <c r="B4643" t="s">
        <v>112</v>
      </c>
      <c r="C4643" s="101" t="s">
        <v>2038</v>
      </c>
      <c r="D4643" s="41">
        <v>50</v>
      </c>
      <c r="E4643" s="41">
        <v>50</v>
      </c>
      <c r="F4643" s="101" t="s">
        <v>16</v>
      </c>
      <c r="G4643" s="102">
        <v>45962</v>
      </c>
      <c r="H4643" s="26" t="s">
        <v>3080</v>
      </c>
      <c r="I4643" s="49">
        <v>30000</v>
      </c>
      <c r="J4643" s="24">
        <v>1</v>
      </c>
      <c r="K4643" s="24">
        <v>0</v>
      </c>
      <c r="L4643" s="91">
        <v>0</v>
      </c>
      <c r="M4643" s="24">
        <v>0</v>
      </c>
      <c r="N4643" s="12">
        <f t="shared" si="184"/>
        <v>1</v>
      </c>
      <c r="O4643" s="11">
        <f t="shared" si="183"/>
        <v>30000</v>
      </c>
      <c r="P4643" s="10">
        <v>312</v>
      </c>
      <c r="Q4643" s="10" t="s">
        <v>1935</v>
      </c>
      <c r="R4643" s="50">
        <f>+テーブル1[[#This Row],[合計金額]]*テーブル1[[#This Row],[自社報酬率％]]/100</f>
        <v>15000</v>
      </c>
    </row>
    <row r="4644" spans="1:18">
      <c r="A4644" s="7">
        <v>45901</v>
      </c>
      <c r="B4644" t="s">
        <v>118</v>
      </c>
      <c r="C4644" s="18" t="s">
        <v>2050</v>
      </c>
      <c r="D4644" s="41">
        <v>50</v>
      </c>
      <c r="E4644" s="41">
        <v>50</v>
      </c>
      <c r="F4644" s="18" t="s">
        <v>20</v>
      </c>
      <c r="G4644" s="28">
        <v>45901</v>
      </c>
      <c r="H4644" s="26" t="s">
        <v>2422</v>
      </c>
      <c r="I4644" s="49">
        <v>398000</v>
      </c>
      <c r="J4644" s="24">
        <v>1</v>
      </c>
      <c r="K4644" s="24">
        <v>0</v>
      </c>
      <c r="L4644" s="91">
        <v>0</v>
      </c>
      <c r="M4644" s="24">
        <v>0</v>
      </c>
      <c r="N4644" s="12">
        <f>J4644-K4644-L4644-M4644</f>
        <v>1</v>
      </c>
      <c r="O4644" s="11">
        <f t="shared" si="183"/>
        <v>398000</v>
      </c>
      <c r="P4644" s="10">
        <v>13</v>
      </c>
      <c r="Q4644" s="10" t="s">
        <v>1935</v>
      </c>
      <c r="R4644" s="50">
        <f>+テーブル1[[#This Row],[合計金額]]*テーブル1[[#This Row],[自社報酬率％]]/100</f>
        <v>199000</v>
      </c>
    </row>
    <row r="4645" spans="1:18">
      <c r="A4645" s="7">
        <v>45901</v>
      </c>
      <c r="B4645" t="s">
        <v>118</v>
      </c>
      <c r="C4645" s="18" t="s">
        <v>2050</v>
      </c>
      <c r="D4645" s="41">
        <v>50</v>
      </c>
      <c r="E4645" s="41">
        <v>50</v>
      </c>
      <c r="F4645" s="18" t="s">
        <v>20</v>
      </c>
      <c r="G4645" s="28">
        <v>45901</v>
      </c>
      <c r="H4645" s="26" t="s">
        <v>2422</v>
      </c>
      <c r="I4645" s="49">
        <v>298000</v>
      </c>
      <c r="J4645" s="24">
        <v>1</v>
      </c>
      <c r="K4645" s="24">
        <v>0</v>
      </c>
      <c r="L4645" s="91">
        <v>0</v>
      </c>
      <c r="M4645" s="24">
        <v>0</v>
      </c>
      <c r="N4645" s="12">
        <f>J4645-K4645-L4645-M4645</f>
        <v>1</v>
      </c>
      <c r="O4645" s="11">
        <f t="shared" si="183"/>
        <v>298000</v>
      </c>
      <c r="P4645" s="10">
        <v>14</v>
      </c>
      <c r="Q4645" s="10" t="s">
        <v>1935</v>
      </c>
      <c r="R4645" s="50">
        <f>+テーブル1[[#This Row],[合計金額]]*テーブル1[[#This Row],[自社報酬率％]]/100</f>
        <v>149000</v>
      </c>
    </row>
    <row r="4646" spans="1:18">
      <c r="A4646" s="7">
        <v>45901</v>
      </c>
      <c r="B4646" t="s">
        <v>118</v>
      </c>
      <c r="C4646" s="18" t="s">
        <v>2050</v>
      </c>
      <c r="D4646" s="41">
        <v>50</v>
      </c>
      <c r="E4646" s="41">
        <v>50</v>
      </c>
      <c r="F4646" s="18" t="s">
        <v>20</v>
      </c>
      <c r="G4646" s="28">
        <v>45901</v>
      </c>
      <c r="H4646" s="26" t="s">
        <v>2422</v>
      </c>
      <c r="I4646" s="49">
        <v>298000</v>
      </c>
      <c r="J4646" s="24">
        <v>5</v>
      </c>
      <c r="K4646" s="24">
        <v>0</v>
      </c>
      <c r="L4646" s="91">
        <v>0</v>
      </c>
      <c r="M4646" s="24">
        <v>0</v>
      </c>
      <c r="N4646" s="12">
        <f>J4646-K4646-L4646-M4646</f>
        <v>5</v>
      </c>
      <c r="O4646" s="11">
        <f t="shared" si="183"/>
        <v>1490000</v>
      </c>
      <c r="P4646" s="10">
        <v>15</v>
      </c>
      <c r="Q4646" s="10" t="s">
        <v>1935</v>
      </c>
      <c r="R4646" s="50">
        <f>+テーブル1[[#This Row],[合計金額]]*テーブル1[[#This Row],[自社報酬率％]]/100</f>
        <v>745000</v>
      </c>
    </row>
    <row r="4647" spans="1:18">
      <c r="A4647" s="7">
        <v>45931</v>
      </c>
      <c r="B4647" t="s">
        <v>1929</v>
      </c>
      <c r="C4647" s="18" t="s">
        <v>24</v>
      </c>
      <c r="D4647" s="41">
        <v>100</v>
      </c>
      <c r="E4647" s="41">
        <v>100</v>
      </c>
      <c r="F4647" s="105" t="s">
        <v>17</v>
      </c>
      <c r="G4647" s="28">
        <v>45931</v>
      </c>
      <c r="H4647" s="26" t="s">
        <v>3032</v>
      </c>
      <c r="I4647" s="49">
        <v>286000</v>
      </c>
      <c r="J4647" s="24">
        <v>10</v>
      </c>
      <c r="K4647" s="24">
        <v>0</v>
      </c>
      <c r="L4647" s="91">
        <v>0</v>
      </c>
      <c r="M4647" s="24">
        <v>0</v>
      </c>
      <c r="N4647" s="100">
        <f>J4647-K4647-L4647-M4647</f>
        <v>10</v>
      </c>
      <c r="O4647" s="11">
        <f t="shared" si="183"/>
        <v>2860000</v>
      </c>
      <c r="P4647" s="10">
        <v>20</v>
      </c>
      <c r="Q4647" s="10" t="s">
        <v>1935</v>
      </c>
      <c r="R4647" s="50">
        <f>+テーブル1[[#This Row],[合計金額]]*テーブル1[[#This Row],[自社報酬率％]]/100</f>
        <v>2860000</v>
      </c>
    </row>
    <row r="4648" spans="1:18">
      <c r="A4648" s="7">
        <v>45901</v>
      </c>
      <c r="B4648" t="s">
        <v>41</v>
      </c>
      <c r="C4648" s="18" t="s">
        <v>42</v>
      </c>
      <c r="D4648" s="41">
        <v>0</v>
      </c>
      <c r="E4648" s="41">
        <v>100</v>
      </c>
      <c r="F4648" s="18"/>
      <c r="G4648" s="28">
        <v>45901</v>
      </c>
      <c r="H4648" s="26" t="s">
        <v>3081</v>
      </c>
      <c r="I4648" s="53">
        <v>-20724</v>
      </c>
      <c r="J4648" s="24">
        <v>1</v>
      </c>
      <c r="K4648" s="24"/>
      <c r="L4648" s="91"/>
      <c r="M4648" s="24"/>
      <c r="N4648" s="12">
        <f t="shared" ref="N4648:N4650" si="185">J4648-K4648-L4648-M4648</f>
        <v>1</v>
      </c>
      <c r="O4648" s="11">
        <f t="shared" si="183"/>
        <v>-20724</v>
      </c>
      <c r="P4648" s="10">
        <v>30</v>
      </c>
      <c r="Q4648" s="10" t="s">
        <v>1935</v>
      </c>
      <c r="R4648" s="50">
        <f>+テーブル1[[#This Row],[合計金額]]*テーブル1[[#This Row],[自社報酬率％]]/100</f>
        <v>-20724</v>
      </c>
    </row>
    <row r="4649" spans="1:18">
      <c r="A4649" s="7">
        <v>45901</v>
      </c>
      <c r="B4649" t="s">
        <v>41</v>
      </c>
      <c r="C4649" s="18" t="s">
        <v>42</v>
      </c>
      <c r="D4649" s="41">
        <v>0</v>
      </c>
      <c r="E4649" s="41">
        <v>100</v>
      </c>
      <c r="F4649" s="18"/>
      <c r="G4649" s="28">
        <v>45901</v>
      </c>
      <c r="H4649" s="26" t="s">
        <v>3082</v>
      </c>
      <c r="I4649" s="53">
        <v>233413</v>
      </c>
      <c r="J4649" s="24">
        <v>1</v>
      </c>
      <c r="K4649" s="24"/>
      <c r="L4649" s="91"/>
      <c r="M4649" s="24"/>
      <c r="N4649" s="12">
        <f t="shared" si="185"/>
        <v>1</v>
      </c>
      <c r="O4649" s="11">
        <f t="shared" si="183"/>
        <v>233413</v>
      </c>
      <c r="P4649" s="10">
        <v>31</v>
      </c>
      <c r="Q4649" s="10" t="s">
        <v>1935</v>
      </c>
      <c r="R4649" s="50">
        <f>+テーブル1[[#This Row],[合計金額]]*テーブル1[[#This Row],[自社報酬率％]]/100</f>
        <v>233413</v>
      </c>
    </row>
    <row r="4650" spans="1:18">
      <c r="A4650" s="7">
        <v>45901</v>
      </c>
      <c r="B4650" t="s">
        <v>2770</v>
      </c>
      <c r="C4650" s="18" t="s">
        <v>24</v>
      </c>
      <c r="D4650" s="41">
        <v>100</v>
      </c>
      <c r="E4650" s="41">
        <v>100</v>
      </c>
      <c r="F4650" s="18"/>
      <c r="G4650" s="28">
        <v>45901</v>
      </c>
      <c r="H4650" s="26" t="s">
        <v>3083</v>
      </c>
      <c r="I4650" s="53">
        <v>46678</v>
      </c>
      <c r="J4650" s="24">
        <v>1</v>
      </c>
      <c r="K4650" s="24"/>
      <c r="L4650" s="91"/>
      <c r="M4650" s="24"/>
      <c r="N4650" s="12">
        <f t="shared" si="185"/>
        <v>1</v>
      </c>
      <c r="O4650" s="11">
        <f t="shared" si="183"/>
        <v>46678</v>
      </c>
      <c r="P4650" s="10">
        <v>32</v>
      </c>
      <c r="Q4650" s="10" t="s">
        <v>1935</v>
      </c>
      <c r="R4650" s="50">
        <f>+テーブル1[[#This Row],[合計金額]]*テーブル1[[#This Row],[自社報酬率％]]/100</f>
        <v>46678</v>
      </c>
    </row>
    <row r="4651" spans="1:18">
      <c r="A4651" s="7">
        <v>45931</v>
      </c>
      <c r="B4651" t="s">
        <v>118</v>
      </c>
      <c r="C4651" s="18" t="s">
        <v>2050</v>
      </c>
      <c r="D4651" s="41">
        <v>50</v>
      </c>
      <c r="E4651" s="41">
        <v>50</v>
      </c>
      <c r="F4651" s="18" t="s">
        <v>20</v>
      </c>
      <c r="G4651" s="28">
        <v>45931</v>
      </c>
      <c r="H4651" s="26" t="s">
        <v>2422</v>
      </c>
      <c r="I4651" s="49">
        <v>298000</v>
      </c>
      <c r="J4651" s="24">
        <v>1</v>
      </c>
      <c r="K4651" s="24">
        <v>0</v>
      </c>
      <c r="L4651" s="91">
        <v>0</v>
      </c>
      <c r="M4651" s="24">
        <v>0</v>
      </c>
      <c r="N4651" s="12">
        <f>J4651-K4651-L4651-M4651</f>
        <v>1</v>
      </c>
      <c r="O4651" s="11">
        <f t="shared" si="183"/>
        <v>298000</v>
      </c>
      <c r="P4651" s="10">
        <v>16</v>
      </c>
      <c r="Q4651" s="10" t="s">
        <v>1935</v>
      </c>
      <c r="R4651" s="50">
        <f>+テーブル1[[#This Row],[合計金額]]*テーブル1[[#This Row],[自社報酬率％]]/100</f>
        <v>149000</v>
      </c>
    </row>
    <row r="4652" spans="1:18">
      <c r="A4652" s="7">
        <v>45962</v>
      </c>
      <c r="B4652" t="s">
        <v>2630</v>
      </c>
      <c r="C4652" s="18" t="s">
        <v>24</v>
      </c>
      <c r="D4652" s="41">
        <v>100</v>
      </c>
      <c r="E4652" s="41">
        <v>100</v>
      </c>
      <c r="F4652" t="s">
        <v>17</v>
      </c>
      <c r="G4652" s="28">
        <v>45992</v>
      </c>
      <c r="H4652" s="26" t="s">
        <v>3084</v>
      </c>
      <c r="I4652" s="49">
        <v>8074</v>
      </c>
      <c r="J4652" s="61">
        <v>1</v>
      </c>
      <c r="K4652" s="61"/>
      <c r="L4652" s="63">
        <v>0</v>
      </c>
      <c r="M4652" s="61"/>
      <c r="N4652" s="64">
        <v>1</v>
      </c>
      <c r="O4652" s="136">
        <v>8074</v>
      </c>
      <c r="P4652" s="62">
        <v>1282</v>
      </c>
      <c r="Q4652" s="62" t="s">
        <v>1928</v>
      </c>
      <c r="R4652" s="25">
        <f>+テーブル1[[#This Row],[合計金額]]*テーブル1[[#This Row],[自社報酬率％]]/100</f>
        <v>8074</v>
      </c>
    </row>
    <row r="4653" spans="1:18">
      <c r="A4653" s="7">
        <v>45962</v>
      </c>
      <c r="B4653" t="s">
        <v>2630</v>
      </c>
      <c r="C4653" s="18" t="s">
        <v>24</v>
      </c>
      <c r="D4653" s="41">
        <v>100</v>
      </c>
      <c r="E4653" s="41">
        <v>100</v>
      </c>
      <c r="F4653" t="s">
        <v>17</v>
      </c>
      <c r="G4653" s="28">
        <v>46023</v>
      </c>
      <c r="H4653" s="26" t="s">
        <v>3085</v>
      </c>
      <c r="I4653" s="49">
        <v>8066</v>
      </c>
      <c r="J4653" s="61">
        <v>1</v>
      </c>
      <c r="K4653" s="61"/>
      <c r="L4653" s="63">
        <v>0</v>
      </c>
      <c r="M4653" s="61"/>
      <c r="N4653" s="64">
        <v>1</v>
      </c>
      <c r="O4653" s="136">
        <v>8066</v>
      </c>
      <c r="P4653" s="62">
        <v>1283</v>
      </c>
      <c r="Q4653" s="62" t="s">
        <v>1928</v>
      </c>
      <c r="R4653" s="25">
        <f>+テーブル1[[#This Row],[合計金額]]*テーブル1[[#This Row],[自社報酬率％]]/100</f>
        <v>8066</v>
      </c>
    </row>
    <row r="4654" spans="1:18">
      <c r="A4654" s="7">
        <v>45962</v>
      </c>
      <c r="B4654" t="s">
        <v>2630</v>
      </c>
      <c r="C4654" s="18" t="s">
        <v>24</v>
      </c>
      <c r="D4654" s="41">
        <v>100</v>
      </c>
      <c r="E4654" s="41">
        <v>100</v>
      </c>
      <c r="F4654" t="s">
        <v>17</v>
      </c>
      <c r="G4654" s="28">
        <v>46054</v>
      </c>
      <c r="H4654" s="26" t="s">
        <v>3086</v>
      </c>
      <c r="I4654" s="49">
        <v>8066</v>
      </c>
      <c r="J4654" s="61">
        <v>1</v>
      </c>
      <c r="K4654" s="61"/>
      <c r="L4654" s="63">
        <v>0</v>
      </c>
      <c r="M4654" s="61"/>
      <c r="N4654" s="64">
        <v>1</v>
      </c>
      <c r="O4654" s="136">
        <v>8066</v>
      </c>
      <c r="P4654" s="62">
        <v>1284</v>
      </c>
      <c r="Q4654" s="62" t="s">
        <v>1928</v>
      </c>
      <c r="R4654" s="25">
        <f>+テーブル1[[#This Row],[合計金額]]*テーブル1[[#This Row],[自社報酬率％]]/100</f>
        <v>8066</v>
      </c>
    </row>
    <row r="4655" spans="1:18">
      <c r="A4655" s="7">
        <v>45962</v>
      </c>
      <c r="B4655" t="s">
        <v>2630</v>
      </c>
      <c r="C4655" s="18" t="s">
        <v>24</v>
      </c>
      <c r="D4655" s="41">
        <v>100</v>
      </c>
      <c r="E4655" s="41">
        <v>100</v>
      </c>
      <c r="F4655" t="s">
        <v>17</v>
      </c>
      <c r="G4655" s="28">
        <v>46082</v>
      </c>
      <c r="H4655" s="26" t="s">
        <v>3087</v>
      </c>
      <c r="I4655" s="49">
        <v>8066</v>
      </c>
      <c r="J4655" s="61">
        <v>1</v>
      </c>
      <c r="K4655" s="61"/>
      <c r="L4655" s="63">
        <v>0</v>
      </c>
      <c r="M4655" s="61"/>
      <c r="N4655" s="64">
        <v>1</v>
      </c>
      <c r="O4655" s="136">
        <v>8066</v>
      </c>
      <c r="P4655" s="62">
        <v>1285</v>
      </c>
      <c r="Q4655" s="62" t="s">
        <v>1928</v>
      </c>
      <c r="R4655" s="25">
        <f>+テーブル1[[#This Row],[合計金額]]*テーブル1[[#This Row],[自社報酬率％]]/100</f>
        <v>8066</v>
      </c>
    </row>
    <row r="4656" spans="1:18">
      <c r="A4656" s="7">
        <v>45962</v>
      </c>
      <c r="B4656" t="s">
        <v>2630</v>
      </c>
      <c r="C4656" s="18" t="s">
        <v>24</v>
      </c>
      <c r="D4656" s="41">
        <v>100</v>
      </c>
      <c r="E4656" s="41">
        <v>100</v>
      </c>
      <c r="F4656" t="s">
        <v>17</v>
      </c>
      <c r="G4656" s="28">
        <v>46113</v>
      </c>
      <c r="H4656" s="26" t="s">
        <v>3088</v>
      </c>
      <c r="I4656" s="49">
        <v>8066</v>
      </c>
      <c r="J4656" s="61">
        <v>1</v>
      </c>
      <c r="K4656" s="61"/>
      <c r="L4656" s="63">
        <v>0</v>
      </c>
      <c r="M4656" s="61"/>
      <c r="N4656" s="64">
        <v>1</v>
      </c>
      <c r="O4656" s="136">
        <v>8066</v>
      </c>
      <c r="P4656" s="62">
        <v>1286</v>
      </c>
      <c r="Q4656" s="62" t="s">
        <v>1928</v>
      </c>
      <c r="R4656" s="25">
        <f>+テーブル1[[#This Row],[合計金額]]*テーブル1[[#This Row],[自社報酬率％]]/100</f>
        <v>8066</v>
      </c>
    </row>
    <row r="4657" spans="1:18">
      <c r="A4657" s="7">
        <v>45962</v>
      </c>
      <c r="B4657" t="s">
        <v>2630</v>
      </c>
      <c r="C4657" s="18" t="s">
        <v>24</v>
      </c>
      <c r="D4657" s="41">
        <v>100</v>
      </c>
      <c r="E4657" s="41">
        <v>100</v>
      </c>
      <c r="F4657" t="s">
        <v>17</v>
      </c>
      <c r="G4657" s="28">
        <v>46143</v>
      </c>
      <c r="H4657" s="26" t="s">
        <v>3089</v>
      </c>
      <c r="I4657" s="49">
        <v>8066</v>
      </c>
      <c r="J4657" s="61">
        <v>1</v>
      </c>
      <c r="K4657" s="61"/>
      <c r="L4657" s="63">
        <v>0</v>
      </c>
      <c r="M4657" s="61"/>
      <c r="N4657" s="64">
        <v>1</v>
      </c>
      <c r="O4657" s="136">
        <v>8066</v>
      </c>
      <c r="P4657" s="62">
        <v>1287</v>
      </c>
      <c r="Q4657" s="62" t="s">
        <v>1928</v>
      </c>
      <c r="R4657" s="25">
        <f>+テーブル1[[#This Row],[合計金額]]*テーブル1[[#This Row],[自社報酬率％]]/100</f>
        <v>8066</v>
      </c>
    </row>
    <row r="4658" spans="1:18">
      <c r="A4658" s="7">
        <v>45962</v>
      </c>
      <c r="B4658" t="s">
        <v>2630</v>
      </c>
      <c r="C4658" s="18" t="s">
        <v>24</v>
      </c>
      <c r="D4658" s="41">
        <v>100</v>
      </c>
      <c r="E4658" s="41">
        <v>100</v>
      </c>
      <c r="F4658" t="s">
        <v>17</v>
      </c>
      <c r="G4658" s="28">
        <v>46174</v>
      </c>
      <c r="H4658" s="26" t="s">
        <v>3090</v>
      </c>
      <c r="I4658" s="49">
        <v>8066</v>
      </c>
      <c r="J4658" s="61">
        <v>1</v>
      </c>
      <c r="K4658" s="61"/>
      <c r="L4658" s="63">
        <v>0</v>
      </c>
      <c r="M4658" s="61"/>
      <c r="N4658" s="64">
        <v>1</v>
      </c>
      <c r="O4658" s="136">
        <v>8066</v>
      </c>
      <c r="P4658" s="62">
        <v>1288</v>
      </c>
      <c r="Q4658" s="62" t="s">
        <v>1928</v>
      </c>
      <c r="R4658" s="25">
        <f>+テーブル1[[#This Row],[合計金額]]*テーブル1[[#This Row],[自社報酬率％]]/100</f>
        <v>8066</v>
      </c>
    </row>
    <row r="4659" spans="1:18">
      <c r="A4659" s="7">
        <v>45962</v>
      </c>
      <c r="B4659" t="s">
        <v>2630</v>
      </c>
      <c r="C4659" s="18" t="s">
        <v>24</v>
      </c>
      <c r="D4659" s="41">
        <v>100</v>
      </c>
      <c r="E4659" s="41">
        <v>100</v>
      </c>
      <c r="F4659" t="s">
        <v>17</v>
      </c>
      <c r="G4659" s="28">
        <v>46204</v>
      </c>
      <c r="H4659" s="26" t="s">
        <v>3091</v>
      </c>
      <c r="I4659" s="49">
        <v>8066</v>
      </c>
      <c r="J4659" s="61">
        <v>1</v>
      </c>
      <c r="K4659" s="61"/>
      <c r="L4659" s="63">
        <v>0</v>
      </c>
      <c r="M4659" s="61"/>
      <c r="N4659" s="64">
        <v>1</v>
      </c>
      <c r="O4659" s="136">
        <v>8066</v>
      </c>
      <c r="P4659" s="62">
        <v>1289</v>
      </c>
      <c r="Q4659" s="62" t="s">
        <v>1928</v>
      </c>
      <c r="R4659" s="25">
        <f>+テーブル1[[#This Row],[合計金額]]*テーブル1[[#This Row],[自社報酬率％]]/100</f>
        <v>8066</v>
      </c>
    </row>
    <row r="4660" spans="1:18">
      <c r="A4660" s="7">
        <v>45962</v>
      </c>
      <c r="B4660" t="s">
        <v>2630</v>
      </c>
      <c r="C4660" s="18" t="s">
        <v>24</v>
      </c>
      <c r="D4660" s="41">
        <v>100</v>
      </c>
      <c r="E4660" s="41">
        <v>100</v>
      </c>
      <c r="F4660" t="s">
        <v>17</v>
      </c>
      <c r="G4660" s="28">
        <v>46235</v>
      </c>
      <c r="H4660" s="26" t="s">
        <v>3092</v>
      </c>
      <c r="I4660" s="49">
        <v>8066</v>
      </c>
      <c r="J4660" s="61">
        <v>1</v>
      </c>
      <c r="K4660" s="61"/>
      <c r="L4660" s="63">
        <v>0</v>
      </c>
      <c r="M4660" s="61"/>
      <c r="N4660" s="64">
        <v>1</v>
      </c>
      <c r="O4660" s="136">
        <v>8066</v>
      </c>
      <c r="P4660" s="62">
        <v>1290</v>
      </c>
      <c r="Q4660" s="62" t="s">
        <v>1928</v>
      </c>
      <c r="R4660" s="25">
        <f>+テーブル1[[#This Row],[合計金額]]*テーブル1[[#This Row],[自社報酬率％]]/100</f>
        <v>8066</v>
      </c>
    </row>
    <row r="4661" spans="1:18">
      <c r="A4661" s="7">
        <v>45962</v>
      </c>
      <c r="B4661" t="s">
        <v>2630</v>
      </c>
      <c r="C4661" s="18" t="s">
        <v>24</v>
      </c>
      <c r="D4661" s="41">
        <v>100</v>
      </c>
      <c r="E4661" s="41">
        <v>100</v>
      </c>
      <c r="F4661" t="s">
        <v>17</v>
      </c>
      <c r="G4661" s="28">
        <v>46266</v>
      </c>
      <c r="H4661" s="26" t="s">
        <v>3093</v>
      </c>
      <c r="I4661" s="49">
        <v>8066</v>
      </c>
      <c r="J4661" s="61">
        <v>1</v>
      </c>
      <c r="K4661" s="61"/>
      <c r="L4661" s="63">
        <v>0</v>
      </c>
      <c r="M4661" s="61"/>
      <c r="N4661" s="64">
        <v>1</v>
      </c>
      <c r="O4661" s="136">
        <v>8066</v>
      </c>
      <c r="P4661" s="62">
        <v>1291</v>
      </c>
      <c r="Q4661" s="62" t="s">
        <v>1928</v>
      </c>
      <c r="R4661" s="25">
        <f>+テーブル1[[#This Row],[合計金額]]*テーブル1[[#This Row],[自社報酬率％]]/100</f>
        <v>8066</v>
      </c>
    </row>
    <row r="4662" spans="1:18">
      <c r="A4662" s="7">
        <v>45962</v>
      </c>
      <c r="B4662" t="s">
        <v>2630</v>
      </c>
      <c r="C4662" s="18" t="s">
        <v>24</v>
      </c>
      <c r="D4662" s="41">
        <v>100</v>
      </c>
      <c r="E4662" s="41">
        <v>100</v>
      </c>
      <c r="F4662" t="s">
        <v>17</v>
      </c>
      <c r="G4662" s="28">
        <v>46296</v>
      </c>
      <c r="H4662" s="26" t="s">
        <v>3094</v>
      </c>
      <c r="I4662" s="49">
        <v>8066</v>
      </c>
      <c r="J4662" s="61">
        <v>1</v>
      </c>
      <c r="K4662" s="61"/>
      <c r="L4662" s="63">
        <v>0</v>
      </c>
      <c r="M4662" s="61"/>
      <c r="N4662" s="64">
        <v>1</v>
      </c>
      <c r="O4662" s="136">
        <v>8066</v>
      </c>
      <c r="P4662" s="62">
        <v>1292</v>
      </c>
      <c r="Q4662" s="62" t="s">
        <v>1928</v>
      </c>
      <c r="R4662" s="25">
        <f>+テーブル1[[#This Row],[合計金額]]*テーブル1[[#This Row],[自社報酬率％]]/100</f>
        <v>8066</v>
      </c>
    </row>
    <row r="4663" spans="1:18">
      <c r="A4663" s="7">
        <v>45962</v>
      </c>
      <c r="B4663" t="s">
        <v>2630</v>
      </c>
      <c r="C4663" s="18" t="s">
        <v>24</v>
      </c>
      <c r="D4663" s="41">
        <v>100</v>
      </c>
      <c r="E4663" s="41">
        <v>100</v>
      </c>
      <c r="F4663" t="s">
        <v>17</v>
      </c>
      <c r="G4663" s="28">
        <v>46327</v>
      </c>
      <c r="H4663" s="26" t="s">
        <v>3095</v>
      </c>
      <c r="I4663" s="49">
        <v>8066</v>
      </c>
      <c r="J4663" s="61">
        <v>1</v>
      </c>
      <c r="K4663" s="61"/>
      <c r="L4663" s="63">
        <v>0</v>
      </c>
      <c r="M4663" s="61"/>
      <c r="N4663" s="64">
        <v>1</v>
      </c>
      <c r="O4663" s="136">
        <v>8066</v>
      </c>
      <c r="P4663" s="62">
        <v>1293</v>
      </c>
      <c r="Q4663" s="62" t="s">
        <v>1928</v>
      </c>
      <c r="R4663" s="25">
        <f>+テーブル1[[#This Row],[合計金額]]*テーブル1[[#This Row],[自社報酬率％]]/100</f>
        <v>8066</v>
      </c>
    </row>
    <row r="4664" spans="1:18">
      <c r="A4664" s="7">
        <v>45962</v>
      </c>
      <c r="B4664" t="s">
        <v>2630</v>
      </c>
      <c r="C4664" s="18" t="s">
        <v>24</v>
      </c>
      <c r="D4664" s="41">
        <v>100</v>
      </c>
      <c r="E4664" s="41">
        <v>100</v>
      </c>
      <c r="F4664" t="s">
        <v>17</v>
      </c>
      <c r="G4664" s="28">
        <v>45962</v>
      </c>
      <c r="H4664" s="26" t="s">
        <v>1946</v>
      </c>
      <c r="I4664" s="49">
        <v>29975</v>
      </c>
      <c r="J4664" s="61">
        <v>4</v>
      </c>
      <c r="K4664" s="61"/>
      <c r="L4664" s="63">
        <v>0</v>
      </c>
      <c r="M4664" s="61"/>
      <c r="N4664" s="64">
        <v>4</v>
      </c>
      <c r="O4664" s="136">
        <v>119900</v>
      </c>
      <c r="P4664" s="62">
        <v>1294</v>
      </c>
      <c r="Q4664" s="62" t="s">
        <v>1935</v>
      </c>
      <c r="R4664" s="25">
        <f>+テーブル1[[#This Row],[合計金額]]*テーブル1[[#This Row],[自社報酬率％]]/100</f>
        <v>119900</v>
      </c>
    </row>
    <row r="4665" spans="1:18">
      <c r="A4665" s="7">
        <v>45962</v>
      </c>
      <c r="B4665" t="s">
        <v>2630</v>
      </c>
      <c r="C4665" s="18" t="s">
        <v>24</v>
      </c>
      <c r="D4665" s="41">
        <v>100</v>
      </c>
      <c r="E4665" s="41">
        <v>100</v>
      </c>
      <c r="F4665" t="s">
        <v>17</v>
      </c>
      <c r="G4665" s="28">
        <v>45962</v>
      </c>
      <c r="H4665" s="26" t="s">
        <v>3096</v>
      </c>
      <c r="I4665" s="49">
        <v>29975</v>
      </c>
      <c r="J4665" s="61">
        <v>2</v>
      </c>
      <c r="K4665" s="61"/>
      <c r="L4665" s="63">
        <v>0</v>
      </c>
      <c r="M4665" s="61"/>
      <c r="N4665" s="64">
        <v>2</v>
      </c>
      <c r="O4665" s="136">
        <v>59950</v>
      </c>
      <c r="P4665" s="62">
        <v>1295</v>
      </c>
      <c r="Q4665" s="62" t="s">
        <v>1935</v>
      </c>
      <c r="R4665" s="25">
        <f>+テーブル1[[#This Row],[合計金額]]*テーブル1[[#This Row],[自社報酬率％]]/100</f>
        <v>59950</v>
      </c>
    </row>
    <row r="4666" spans="1:18">
      <c r="A4666" s="7">
        <v>45962</v>
      </c>
      <c r="B4666" t="s">
        <v>2630</v>
      </c>
      <c r="C4666" s="18" t="s">
        <v>24</v>
      </c>
      <c r="D4666" s="41">
        <v>100</v>
      </c>
      <c r="E4666" s="41">
        <v>100</v>
      </c>
      <c r="F4666" t="s">
        <v>17</v>
      </c>
      <c r="G4666" s="28">
        <v>45962</v>
      </c>
      <c r="H4666" s="26" t="s">
        <v>2890</v>
      </c>
      <c r="I4666" s="49">
        <v>29975</v>
      </c>
      <c r="J4666" s="61">
        <v>6</v>
      </c>
      <c r="K4666" s="61"/>
      <c r="L4666" s="63">
        <v>0</v>
      </c>
      <c r="M4666" s="61"/>
      <c r="N4666" s="64">
        <v>6</v>
      </c>
      <c r="O4666" s="136">
        <v>179850</v>
      </c>
      <c r="P4666" s="62">
        <v>1296</v>
      </c>
      <c r="Q4666" s="62" t="s">
        <v>1935</v>
      </c>
      <c r="R4666" s="25">
        <f>+テーブル1[[#This Row],[合計金額]]*テーブル1[[#This Row],[自社報酬率％]]/100</f>
        <v>179850</v>
      </c>
    </row>
    <row r="4667" spans="1:18">
      <c r="A4667" s="7">
        <v>45962</v>
      </c>
      <c r="B4667" t="s">
        <v>2630</v>
      </c>
      <c r="C4667" s="18" t="s">
        <v>24</v>
      </c>
      <c r="D4667" s="41">
        <v>100</v>
      </c>
      <c r="E4667" s="41">
        <v>100</v>
      </c>
      <c r="F4667" t="s">
        <v>17</v>
      </c>
      <c r="G4667" s="28">
        <v>45962</v>
      </c>
      <c r="H4667" s="26" t="s">
        <v>3097</v>
      </c>
      <c r="I4667" s="49">
        <v>27500</v>
      </c>
      <c r="J4667" s="61">
        <v>1</v>
      </c>
      <c r="K4667" s="61"/>
      <c r="L4667" s="63">
        <v>0</v>
      </c>
      <c r="M4667" s="61"/>
      <c r="N4667" s="64">
        <v>1</v>
      </c>
      <c r="O4667" s="136">
        <v>27500</v>
      </c>
      <c r="P4667" s="62">
        <v>1297</v>
      </c>
      <c r="Q4667" s="62" t="s">
        <v>1935</v>
      </c>
      <c r="R4667" s="25">
        <f>+テーブル1[[#This Row],[合計金額]]*テーブル1[[#This Row],[自社報酬率％]]/100</f>
        <v>27500</v>
      </c>
    </row>
    <row r="4668" spans="1:18">
      <c r="A4668" s="7">
        <v>45962</v>
      </c>
      <c r="B4668" t="s">
        <v>2630</v>
      </c>
      <c r="C4668" s="18" t="s">
        <v>24</v>
      </c>
      <c r="D4668" s="41">
        <v>100</v>
      </c>
      <c r="E4668" s="41">
        <v>100</v>
      </c>
      <c r="F4668" t="s">
        <v>17</v>
      </c>
      <c r="G4668" s="28">
        <v>45962</v>
      </c>
      <c r="H4668" s="26" t="s">
        <v>2142</v>
      </c>
      <c r="I4668" s="49">
        <v>29800</v>
      </c>
      <c r="J4668" s="61">
        <v>1</v>
      </c>
      <c r="K4668" s="61"/>
      <c r="L4668" s="63">
        <v>0</v>
      </c>
      <c r="M4668" s="61"/>
      <c r="N4668" s="64">
        <v>1</v>
      </c>
      <c r="O4668" s="136">
        <v>29800</v>
      </c>
      <c r="P4668" s="62">
        <v>1298</v>
      </c>
      <c r="Q4668" s="62" t="s">
        <v>1935</v>
      </c>
      <c r="R4668" s="25">
        <f>+テーブル1[[#This Row],[合計金額]]*テーブル1[[#This Row],[自社報酬率％]]/100</f>
        <v>29800</v>
      </c>
    </row>
    <row r="4669" spans="1:18">
      <c r="A4669" s="7">
        <v>45962</v>
      </c>
      <c r="B4669" t="s">
        <v>2630</v>
      </c>
      <c r="C4669" s="18" t="s">
        <v>24</v>
      </c>
      <c r="D4669" s="41">
        <v>100</v>
      </c>
      <c r="E4669" s="41">
        <v>100</v>
      </c>
      <c r="F4669" t="s">
        <v>17</v>
      </c>
      <c r="G4669" s="28">
        <v>45962</v>
      </c>
      <c r="H4669" s="26" t="s">
        <v>2142</v>
      </c>
      <c r="I4669" s="49">
        <v>29975</v>
      </c>
      <c r="J4669" s="61">
        <v>1</v>
      </c>
      <c r="K4669" s="61"/>
      <c r="L4669" s="63">
        <v>0</v>
      </c>
      <c r="M4669" s="61"/>
      <c r="N4669" s="64">
        <v>1</v>
      </c>
      <c r="O4669" s="136">
        <v>29975</v>
      </c>
      <c r="P4669" s="62">
        <v>1299</v>
      </c>
      <c r="Q4669" s="62" t="s">
        <v>1935</v>
      </c>
      <c r="R4669" s="25">
        <f>+テーブル1[[#This Row],[合計金額]]*テーブル1[[#This Row],[自社報酬率％]]/100</f>
        <v>29975</v>
      </c>
    </row>
    <row r="4670" spans="1:18">
      <c r="A4670" s="7">
        <v>45962</v>
      </c>
      <c r="B4670" t="s">
        <v>2630</v>
      </c>
      <c r="C4670" s="18" t="s">
        <v>24</v>
      </c>
      <c r="D4670" s="41">
        <v>100</v>
      </c>
      <c r="E4670" s="41">
        <v>100</v>
      </c>
      <c r="F4670" t="s">
        <v>17</v>
      </c>
      <c r="G4670" s="28">
        <v>45962</v>
      </c>
      <c r="H4670" s="26" t="s">
        <v>1947</v>
      </c>
      <c r="I4670" s="49">
        <v>29975</v>
      </c>
      <c r="J4670" s="61">
        <v>6</v>
      </c>
      <c r="K4670" s="61"/>
      <c r="L4670" s="63">
        <v>0</v>
      </c>
      <c r="M4670" s="61"/>
      <c r="N4670" s="64">
        <v>6</v>
      </c>
      <c r="O4670" s="136">
        <v>179850</v>
      </c>
      <c r="P4670" s="62">
        <v>1300</v>
      </c>
      <c r="Q4670" s="62" t="s">
        <v>1935</v>
      </c>
      <c r="R4670" s="25">
        <f>+テーブル1[[#This Row],[合計金額]]*テーブル1[[#This Row],[自社報酬率％]]/100</f>
        <v>179850</v>
      </c>
    </row>
    <row r="4671" spans="1:18">
      <c r="A4671" s="7">
        <v>45962</v>
      </c>
      <c r="B4671" t="s">
        <v>2630</v>
      </c>
      <c r="C4671" s="18" t="s">
        <v>24</v>
      </c>
      <c r="D4671" s="41">
        <v>100</v>
      </c>
      <c r="E4671" s="41">
        <v>100</v>
      </c>
      <c r="F4671" t="s">
        <v>17</v>
      </c>
      <c r="G4671" s="28">
        <v>45962</v>
      </c>
      <c r="H4671" s="26" t="s">
        <v>2143</v>
      </c>
      <c r="I4671" s="49">
        <v>29975</v>
      </c>
      <c r="J4671" s="61">
        <v>5</v>
      </c>
      <c r="K4671" s="61"/>
      <c r="L4671" s="63">
        <v>0</v>
      </c>
      <c r="M4671" s="61"/>
      <c r="N4671" s="64">
        <v>5</v>
      </c>
      <c r="O4671" s="136">
        <v>149875</v>
      </c>
      <c r="P4671" s="62">
        <v>1301</v>
      </c>
      <c r="Q4671" s="62" t="s">
        <v>1935</v>
      </c>
      <c r="R4671" s="25">
        <f>+テーブル1[[#This Row],[合計金額]]*テーブル1[[#This Row],[自社報酬率％]]/100</f>
        <v>149875</v>
      </c>
    </row>
    <row r="4672" spans="1:18">
      <c r="A4672" s="7">
        <v>45962</v>
      </c>
      <c r="B4672" t="s">
        <v>2630</v>
      </c>
      <c r="C4672" s="18" t="s">
        <v>24</v>
      </c>
      <c r="D4672" s="41">
        <v>100</v>
      </c>
      <c r="E4672" s="41">
        <v>100</v>
      </c>
      <c r="F4672" t="s">
        <v>17</v>
      </c>
      <c r="G4672" s="28">
        <v>45962</v>
      </c>
      <c r="H4672" s="26" t="s">
        <v>2296</v>
      </c>
      <c r="I4672" s="49">
        <v>27500</v>
      </c>
      <c r="J4672" s="61">
        <v>1</v>
      </c>
      <c r="K4672" s="61"/>
      <c r="L4672" s="63">
        <v>0</v>
      </c>
      <c r="M4672" s="61"/>
      <c r="N4672" s="64">
        <v>1</v>
      </c>
      <c r="O4672" s="136">
        <v>27500</v>
      </c>
      <c r="P4672" s="62">
        <v>1302</v>
      </c>
      <c r="Q4672" s="62" t="s">
        <v>1935</v>
      </c>
      <c r="R4672" s="25">
        <f>+テーブル1[[#This Row],[合計金額]]*テーブル1[[#This Row],[自社報酬率％]]/100</f>
        <v>27500</v>
      </c>
    </row>
    <row r="4673" spans="1:18">
      <c r="A4673" s="7">
        <v>45962</v>
      </c>
      <c r="B4673" t="s">
        <v>2630</v>
      </c>
      <c r="C4673" s="18" t="s">
        <v>24</v>
      </c>
      <c r="D4673" s="41">
        <v>100</v>
      </c>
      <c r="E4673" s="41">
        <v>100</v>
      </c>
      <c r="F4673" t="s">
        <v>17</v>
      </c>
      <c r="G4673" s="28">
        <v>45962</v>
      </c>
      <c r="H4673" s="26" t="s">
        <v>2425</v>
      </c>
      <c r="I4673" s="49">
        <v>29975</v>
      </c>
      <c r="J4673" s="61">
        <v>5</v>
      </c>
      <c r="K4673" s="61"/>
      <c r="L4673" s="63">
        <v>0</v>
      </c>
      <c r="M4673" s="61"/>
      <c r="N4673" s="64">
        <v>5</v>
      </c>
      <c r="O4673" s="136">
        <v>149875</v>
      </c>
      <c r="P4673" s="62">
        <v>1303</v>
      </c>
      <c r="Q4673" s="62" t="s">
        <v>1935</v>
      </c>
      <c r="R4673" s="25">
        <f>+テーブル1[[#This Row],[合計金額]]*テーブル1[[#This Row],[自社報酬率％]]/100</f>
        <v>149875</v>
      </c>
    </row>
    <row r="4674" spans="1:18">
      <c r="A4674" s="7">
        <v>45962</v>
      </c>
      <c r="B4674" t="s">
        <v>2630</v>
      </c>
      <c r="C4674" s="18" t="s">
        <v>24</v>
      </c>
      <c r="D4674" s="41">
        <v>100</v>
      </c>
      <c r="E4674" s="41">
        <v>100</v>
      </c>
      <c r="F4674" t="s">
        <v>17</v>
      </c>
      <c r="G4674" s="28">
        <v>45962</v>
      </c>
      <c r="H4674" s="26" t="s">
        <v>2522</v>
      </c>
      <c r="I4674" s="49">
        <v>29975</v>
      </c>
      <c r="J4674" s="61">
        <v>2</v>
      </c>
      <c r="K4674" s="61"/>
      <c r="L4674" s="63">
        <v>0</v>
      </c>
      <c r="M4674" s="61"/>
      <c r="N4674" s="64">
        <v>2</v>
      </c>
      <c r="O4674" s="136">
        <v>59950</v>
      </c>
      <c r="P4674" s="62">
        <v>1304</v>
      </c>
      <c r="Q4674" s="62" t="s">
        <v>1935</v>
      </c>
      <c r="R4674" s="25">
        <f>+テーブル1[[#This Row],[合計金額]]*テーブル1[[#This Row],[自社報酬率％]]/100</f>
        <v>59950</v>
      </c>
    </row>
    <row r="4675" spans="1:18">
      <c r="A4675" s="7">
        <v>45962</v>
      </c>
      <c r="B4675" t="s">
        <v>2630</v>
      </c>
      <c r="C4675" s="18" t="s">
        <v>24</v>
      </c>
      <c r="D4675" s="41">
        <v>100</v>
      </c>
      <c r="E4675" s="41">
        <v>100</v>
      </c>
      <c r="F4675" t="s">
        <v>17</v>
      </c>
      <c r="G4675" s="28">
        <v>45962</v>
      </c>
      <c r="H4675" s="26" t="s">
        <v>2676</v>
      </c>
      <c r="I4675" s="49">
        <v>27500</v>
      </c>
      <c r="J4675" s="61">
        <v>1</v>
      </c>
      <c r="K4675" s="61"/>
      <c r="L4675" s="63">
        <v>0</v>
      </c>
      <c r="M4675" s="61"/>
      <c r="N4675" s="64">
        <v>1</v>
      </c>
      <c r="O4675" s="136">
        <v>27500</v>
      </c>
      <c r="P4675" s="62">
        <v>1305</v>
      </c>
      <c r="Q4675" s="62" t="s">
        <v>1935</v>
      </c>
      <c r="R4675" s="25">
        <f>+テーブル1[[#This Row],[合計金額]]*テーブル1[[#This Row],[自社報酬率％]]/100</f>
        <v>27500</v>
      </c>
    </row>
    <row r="4676" spans="1:18">
      <c r="A4676" s="7">
        <v>45962</v>
      </c>
      <c r="B4676" t="s">
        <v>2630</v>
      </c>
      <c r="C4676" s="18" t="s">
        <v>24</v>
      </c>
      <c r="D4676" s="41">
        <v>100</v>
      </c>
      <c r="E4676" s="41">
        <v>100</v>
      </c>
      <c r="F4676" t="s">
        <v>17</v>
      </c>
      <c r="G4676" s="28">
        <v>45962</v>
      </c>
      <c r="H4676" s="26" t="s">
        <v>2676</v>
      </c>
      <c r="I4676" s="49">
        <v>29975</v>
      </c>
      <c r="J4676" s="61">
        <v>6</v>
      </c>
      <c r="K4676" s="61"/>
      <c r="L4676" s="63">
        <v>0</v>
      </c>
      <c r="M4676" s="61"/>
      <c r="N4676" s="64">
        <v>6</v>
      </c>
      <c r="O4676" s="136">
        <v>179850</v>
      </c>
      <c r="P4676" s="62">
        <v>1306</v>
      </c>
      <c r="Q4676" s="62" t="s">
        <v>1935</v>
      </c>
      <c r="R4676" s="25">
        <f>+テーブル1[[#This Row],[合計金額]]*テーブル1[[#This Row],[自社報酬率％]]/100</f>
        <v>179850</v>
      </c>
    </row>
    <row r="4677" spans="1:18">
      <c r="A4677" s="7">
        <v>45962</v>
      </c>
      <c r="B4677" t="s">
        <v>2630</v>
      </c>
      <c r="C4677" s="18" t="s">
        <v>24</v>
      </c>
      <c r="D4677" s="41">
        <v>100</v>
      </c>
      <c r="E4677" s="41">
        <v>100</v>
      </c>
      <c r="F4677" t="s">
        <v>17</v>
      </c>
      <c r="G4677" s="28">
        <v>45962</v>
      </c>
      <c r="H4677" s="26" t="s">
        <v>2775</v>
      </c>
      <c r="I4677" s="49">
        <v>29975</v>
      </c>
      <c r="J4677" s="61">
        <v>1</v>
      </c>
      <c r="K4677" s="61"/>
      <c r="L4677" s="63">
        <v>0</v>
      </c>
      <c r="M4677" s="61"/>
      <c r="N4677" s="64">
        <v>1</v>
      </c>
      <c r="O4677" s="136">
        <v>29975</v>
      </c>
      <c r="P4677" s="62">
        <v>1307</v>
      </c>
      <c r="Q4677" s="62" t="s">
        <v>1935</v>
      </c>
      <c r="R4677" s="25">
        <f>+テーブル1[[#This Row],[合計金額]]*テーブル1[[#This Row],[自社報酬率％]]/100</f>
        <v>29975</v>
      </c>
    </row>
    <row r="4678" spans="1:18">
      <c r="A4678" s="7">
        <v>45962</v>
      </c>
      <c r="B4678" t="s">
        <v>2630</v>
      </c>
      <c r="C4678" s="18" t="s">
        <v>24</v>
      </c>
      <c r="D4678" s="41">
        <v>100</v>
      </c>
      <c r="E4678" s="41">
        <v>100</v>
      </c>
      <c r="F4678" t="s">
        <v>16</v>
      </c>
      <c r="G4678" s="28">
        <v>45992</v>
      </c>
      <c r="H4678" s="26" t="s">
        <v>3098</v>
      </c>
      <c r="I4678" s="49">
        <v>11000</v>
      </c>
      <c r="J4678" s="61">
        <v>1</v>
      </c>
      <c r="K4678" s="61"/>
      <c r="L4678" s="63">
        <v>0</v>
      </c>
      <c r="M4678" s="61"/>
      <c r="N4678" s="64">
        <v>1</v>
      </c>
      <c r="O4678" s="136">
        <v>11000</v>
      </c>
      <c r="P4678" s="62">
        <v>1308</v>
      </c>
      <c r="Q4678" s="62" t="s">
        <v>1928</v>
      </c>
      <c r="R4678" s="25">
        <f>+テーブル1[[#This Row],[合計金額]]*テーブル1[[#This Row],[自社報酬率％]]/100</f>
        <v>11000</v>
      </c>
    </row>
    <row r="4679" spans="1:18">
      <c r="A4679" s="7">
        <v>45962</v>
      </c>
      <c r="B4679" t="s">
        <v>2630</v>
      </c>
      <c r="C4679" s="18" t="s">
        <v>24</v>
      </c>
      <c r="D4679" s="41">
        <v>100</v>
      </c>
      <c r="E4679" s="41">
        <v>100</v>
      </c>
      <c r="F4679" t="s">
        <v>16</v>
      </c>
      <c r="G4679" s="28">
        <v>45992</v>
      </c>
      <c r="H4679" s="26" t="s">
        <v>3099</v>
      </c>
      <c r="I4679" s="49">
        <v>3000</v>
      </c>
      <c r="J4679" s="61">
        <v>11</v>
      </c>
      <c r="K4679" s="61"/>
      <c r="L4679" s="63">
        <v>0</v>
      </c>
      <c r="M4679" s="61"/>
      <c r="N4679" s="64">
        <v>11</v>
      </c>
      <c r="O4679" s="136">
        <v>33000</v>
      </c>
      <c r="P4679" s="62">
        <v>1309</v>
      </c>
      <c r="Q4679" s="62" t="s">
        <v>1928</v>
      </c>
      <c r="R4679" s="25">
        <f>+テーブル1[[#This Row],[合計金額]]*テーブル1[[#This Row],[自社報酬率％]]/100</f>
        <v>33000</v>
      </c>
    </row>
    <row r="4680" spans="1:18">
      <c r="A4680" s="7">
        <v>45962</v>
      </c>
      <c r="B4680" t="s">
        <v>2630</v>
      </c>
      <c r="C4680" s="18" t="s">
        <v>1962</v>
      </c>
      <c r="D4680" s="41">
        <v>50</v>
      </c>
      <c r="E4680" s="41">
        <v>50</v>
      </c>
      <c r="F4680" t="s">
        <v>19</v>
      </c>
      <c r="G4680" s="28">
        <v>45962</v>
      </c>
      <c r="H4680" s="26" t="s">
        <v>3100</v>
      </c>
      <c r="I4680" s="49">
        <v>72050</v>
      </c>
      <c r="J4680" s="61">
        <v>53</v>
      </c>
      <c r="K4680" s="61"/>
      <c r="L4680" s="63">
        <v>0</v>
      </c>
      <c r="M4680" s="61"/>
      <c r="N4680" s="64">
        <v>53</v>
      </c>
      <c r="O4680" s="136">
        <v>3818650</v>
      </c>
      <c r="P4680" s="62">
        <v>1310</v>
      </c>
      <c r="Q4680" s="62" t="s">
        <v>1935</v>
      </c>
      <c r="R4680" s="25">
        <f>+テーブル1[[#This Row],[合計金額]]*テーブル1[[#This Row],[自社報酬率％]]/100</f>
        <v>1909325</v>
      </c>
    </row>
    <row r="4681" spans="1:18">
      <c r="A4681" s="7">
        <v>45962</v>
      </c>
      <c r="B4681" t="s">
        <v>2630</v>
      </c>
      <c r="C4681" s="18" t="s">
        <v>1962</v>
      </c>
      <c r="D4681" s="41">
        <v>50</v>
      </c>
      <c r="E4681" s="41">
        <v>50</v>
      </c>
      <c r="F4681" t="s">
        <v>19</v>
      </c>
      <c r="G4681" s="28">
        <v>45962</v>
      </c>
      <c r="H4681" s="26" t="s">
        <v>3101</v>
      </c>
      <c r="I4681" s="49">
        <v>91700</v>
      </c>
      <c r="J4681" s="61">
        <v>4</v>
      </c>
      <c r="K4681" s="61"/>
      <c r="L4681" s="63">
        <v>0</v>
      </c>
      <c r="M4681" s="61"/>
      <c r="N4681" s="64">
        <v>4</v>
      </c>
      <c r="O4681" s="136">
        <v>366800</v>
      </c>
      <c r="P4681" s="62">
        <v>1311</v>
      </c>
      <c r="Q4681" s="62" t="s">
        <v>1935</v>
      </c>
      <c r="R4681" s="25">
        <f>+テーブル1[[#This Row],[合計金額]]*テーブル1[[#This Row],[自社報酬率％]]/100</f>
        <v>183400</v>
      </c>
    </row>
    <row r="4682" spans="1:18">
      <c r="A4682" s="7">
        <v>45962</v>
      </c>
      <c r="B4682" t="s">
        <v>2630</v>
      </c>
      <c r="C4682" s="18" t="s">
        <v>1962</v>
      </c>
      <c r="D4682" s="41">
        <v>50</v>
      </c>
      <c r="E4682" s="41">
        <v>50</v>
      </c>
      <c r="F4682" t="s">
        <v>19</v>
      </c>
      <c r="G4682" s="28">
        <v>45962</v>
      </c>
      <c r="H4682" s="26" t="s">
        <v>2158</v>
      </c>
      <c r="I4682" s="49">
        <v>216150</v>
      </c>
      <c r="J4682" s="61">
        <v>20</v>
      </c>
      <c r="K4682" s="61"/>
      <c r="L4682" s="63">
        <v>0</v>
      </c>
      <c r="M4682" s="61"/>
      <c r="N4682" s="64">
        <v>20</v>
      </c>
      <c r="O4682" s="136">
        <v>4323000</v>
      </c>
      <c r="P4682" s="62">
        <v>1312</v>
      </c>
      <c r="Q4682" s="62" t="s">
        <v>1935</v>
      </c>
      <c r="R4682" s="25">
        <f>+テーブル1[[#This Row],[合計金額]]*テーブル1[[#This Row],[自社報酬率％]]/100</f>
        <v>2161500</v>
      </c>
    </row>
    <row r="4683" spans="1:18">
      <c r="A4683" s="7">
        <v>45962</v>
      </c>
      <c r="B4683" t="s">
        <v>2630</v>
      </c>
      <c r="C4683" s="18" t="s">
        <v>1962</v>
      </c>
      <c r="D4683" s="41">
        <v>50</v>
      </c>
      <c r="E4683" s="41">
        <v>50</v>
      </c>
      <c r="F4683" t="s">
        <v>19</v>
      </c>
      <c r="G4683" s="28">
        <v>45962</v>
      </c>
      <c r="H4683" s="26" t="s">
        <v>2159</v>
      </c>
      <c r="I4683" s="49">
        <v>144100</v>
      </c>
      <c r="J4683" s="61">
        <v>12</v>
      </c>
      <c r="K4683" s="61"/>
      <c r="L4683" s="63">
        <v>0</v>
      </c>
      <c r="M4683" s="61"/>
      <c r="N4683" s="64">
        <v>12</v>
      </c>
      <c r="O4683" s="136">
        <v>1729200</v>
      </c>
      <c r="P4683" s="62">
        <v>1313</v>
      </c>
      <c r="Q4683" s="62" t="s">
        <v>1935</v>
      </c>
      <c r="R4683" s="25">
        <f>+テーブル1[[#This Row],[合計金額]]*テーブル1[[#This Row],[自社報酬率％]]/100</f>
        <v>864600</v>
      </c>
    </row>
    <row r="4684" spans="1:18">
      <c r="A4684" s="7">
        <v>45962</v>
      </c>
      <c r="B4684" t="s">
        <v>2630</v>
      </c>
      <c r="C4684" s="18" t="s">
        <v>1962</v>
      </c>
      <c r="D4684" s="41">
        <v>50</v>
      </c>
      <c r="E4684" s="41">
        <v>50</v>
      </c>
      <c r="F4684" t="s">
        <v>19</v>
      </c>
      <c r="G4684" s="28">
        <v>45962</v>
      </c>
      <c r="H4684" s="26" t="s">
        <v>2160</v>
      </c>
      <c r="I4684" s="49">
        <v>72050</v>
      </c>
      <c r="J4684" s="61">
        <v>55</v>
      </c>
      <c r="K4684" s="61"/>
      <c r="L4684" s="63">
        <v>0</v>
      </c>
      <c r="M4684" s="61"/>
      <c r="N4684" s="64">
        <v>55</v>
      </c>
      <c r="O4684" s="136">
        <v>3962750</v>
      </c>
      <c r="P4684" s="62">
        <v>1314</v>
      </c>
      <c r="Q4684" s="62" t="s">
        <v>1935</v>
      </c>
      <c r="R4684" s="25">
        <f>+テーブル1[[#This Row],[合計金額]]*テーブル1[[#This Row],[自社報酬率％]]/100</f>
        <v>1981375</v>
      </c>
    </row>
    <row r="4685" spans="1:18">
      <c r="A4685" s="7">
        <v>45962</v>
      </c>
      <c r="B4685" t="s">
        <v>2630</v>
      </c>
      <c r="C4685" s="18" t="s">
        <v>1962</v>
      </c>
      <c r="D4685" s="41">
        <v>50</v>
      </c>
      <c r="E4685" s="41">
        <v>50</v>
      </c>
      <c r="F4685" t="s">
        <v>19</v>
      </c>
      <c r="G4685" s="28">
        <v>45962</v>
      </c>
      <c r="H4685" s="26" t="s">
        <v>2317</v>
      </c>
      <c r="I4685" s="49">
        <v>72050</v>
      </c>
      <c r="J4685" s="61">
        <v>1</v>
      </c>
      <c r="K4685" s="61"/>
      <c r="L4685" s="63">
        <v>0</v>
      </c>
      <c r="M4685" s="61"/>
      <c r="N4685" s="64">
        <v>1</v>
      </c>
      <c r="O4685" s="136">
        <v>72050</v>
      </c>
      <c r="P4685" s="62">
        <v>1315</v>
      </c>
      <c r="Q4685" s="62" t="s">
        <v>1935</v>
      </c>
      <c r="R4685" s="25">
        <f>+テーブル1[[#This Row],[合計金額]]*テーブル1[[#This Row],[自社報酬率％]]/100</f>
        <v>36025</v>
      </c>
    </row>
    <row r="4686" spans="1:18">
      <c r="A4686" s="7">
        <v>45962</v>
      </c>
      <c r="B4686" t="s">
        <v>2630</v>
      </c>
      <c r="C4686" s="18" t="s">
        <v>1962</v>
      </c>
      <c r="D4686" s="41">
        <v>50</v>
      </c>
      <c r="E4686" s="41">
        <v>50</v>
      </c>
      <c r="F4686" t="s">
        <v>19</v>
      </c>
      <c r="G4686" s="28">
        <v>45962</v>
      </c>
      <c r="H4686" s="26" t="s">
        <v>2434</v>
      </c>
      <c r="I4686" s="49">
        <v>72050</v>
      </c>
      <c r="J4686" s="61">
        <v>22</v>
      </c>
      <c r="K4686" s="61"/>
      <c r="L4686" s="63">
        <v>0</v>
      </c>
      <c r="M4686" s="61"/>
      <c r="N4686" s="64">
        <v>22</v>
      </c>
      <c r="O4686" s="136">
        <v>1585100</v>
      </c>
      <c r="P4686" s="62">
        <v>1316</v>
      </c>
      <c r="Q4686" s="62" t="s">
        <v>1935</v>
      </c>
      <c r="R4686" s="25">
        <f>+テーブル1[[#This Row],[合計金額]]*テーブル1[[#This Row],[自社報酬率％]]/100</f>
        <v>792550</v>
      </c>
    </row>
    <row r="4687" spans="1:18">
      <c r="A4687" s="7">
        <v>45962</v>
      </c>
      <c r="B4687" t="s">
        <v>2630</v>
      </c>
      <c r="C4687" s="18" t="s">
        <v>1962</v>
      </c>
      <c r="D4687" s="41">
        <v>50</v>
      </c>
      <c r="E4687" s="41">
        <v>50</v>
      </c>
      <c r="F4687" t="s">
        <v>19</v>
      </c>
      <c r="G4687" s="28">
        <v>45962</v>
      </c>
      <c r="H4687" s="26" t="s">
        <v>2161</v>
      </c>
      <c r="I4687" s="49">
        <v>72050</v>
      </c>
      <c r="J4687" s="61">
        <v>6</v>
      </c>
      <c r="K4687" s="61"/>
      <c r="L4687" s="63">
        <v>0</v>
      </c>
      <c r="M4687" s="61"/>
      <c r="N4687" s="64">
        <v>6</v>
      </c>
      <c r="O4687" s="136">
        <v>432300</v>
      </c>
      <c r="P4687" s="62">
        <v>1317</v>
      </c>
      <c r="Q4687" s="62" t="s">
        <v>1935</v>
      </c>
      <c r="R4687" s="25">
        <f>+テーブル1[[#This Row],[合計金額]]*テーブル1[[#This Row],[自社報酬率％]]/100</f>
        <v>216150</v>
      </c>
    </row>
    <row r="4688" spans="1:18">
      <c r="A4688" s="7">
        <v>45962</v>
      </c>
      <c r="B4688" t="s">
        <v>2630</v>
      </c>
      <c r="C4688" s="18" t="s">
        <v>1962</v>
      </c>
      <c r="D4688" s="41">
        <v>50</v>
      </c>
      <c r="E4688" s="41">
        <v>50</v>
      </c>
      <c r="F4688" t="s">
        <v>19</v>
      </c>
      <c r="G4688" s="28">
        <v>45962</v>
      </c>
      <c r="H4688" s="26" t="s">
        <v>1977</v>
      </c>
      <c r="I4688" s="49">
        <v>216150</v>
      </c>
      <c r="J4688" s="61">
        <v>1</v>
      </c>
      <c r="K4688" s="61"/>
      <c r="L4688" s="63">
        <v>0</v>
      </c>
      <c r="M4688" s="61"/>
      <c r="N4688" s="64">
        <v>1</v>
      </c>
      <c r="O4688" s="136">
        <v>216150</v>
      </c>
      <c r="P4688" s="62">
        <v>1318</v>
      </c>
      <c r="Q4688" s="62" t="s">
        <v>1935</v>
      </c>
      <c r="R4688" s="25">
        <f>+テーブル1[[#This Row],[合計金額]]*テーブル1[[#This Row],[自社報酬率％]]/100</f>
        <v>108075</v>
      </c>
    </row>
    <row r="4689" spans="1:18">
      <c r="A4689" s="7">
        <v>45962</v>
      </c>
      <c r="B4689" t="s">
        <v>2630</v>
      </c>
      <c r="C4689" s="18" t="s">
        <v>1962</v>
      </c>
      <c r="D4689" s="41">
        <v>50</v>
      </c>
      <c r="E4689" s="41">
        <v>50</v>
      </c>
      <c r="F4689" t="s">
        <v>19</v>
      </c>
      <c r="G4689" s="28">
        <v>45962</v>
      </c>
      <c r="H4689" s="26" t="s">
        <v>2318</v>
      </c>
      <c r="I4689" s="49">
        <v>275000</v>
      </c>
      <c r="J4689" s="61">
        <v>1</v>
      </c>
      <c r="K4689" s="61"/>
      <c r="L4689" s="63">
        <v>0</v>
      </c>
      <c r="M4689" s="61"/>
      <c r="N4689" s="64">
        <v>1</v>
      </c>
      <c r="O4689" s="136">
        <v>275000</v>
      </c>
      <c r="P4689" s="62">
        <v>1319</v>
      </c>
      <c r="Q4689" s="62" t="s">
        <v>1935</v>
      </c>
      <c r="R4689" s="25">
        <f>+テーブル1[[#This Row],[合計金額]]*テーブル1[[#This Row],[自社報酬率％]]/100</f>
        <v>137500</v>
      </c>
    </row>
    <row r="4690" spans="1:18">
      <c r="A4690" s="7">
        <v>45962</v>
      </c>
      <c r="B4690" t="s">
        <v>2630</v>
      </c>
      <c r="C4690" s="18" t="s">
        <v>1962</v>
      </c>
      <c r="D4690" s="41">
        <v>50</v>
      </c>
      <c r="E4690" s="41">
        <v>50</v>
      </c>
      <c r="F4690" t="s">
        <v>19</v>
      </c>
      <c r="G4690" s="28">
        <v>45962</v>
      </c>
      <c r="H4690" s="26" t="s">
        <v>2162</v>
      </c>
      <c r="I4690" s="49">
        <v>91700</v>
      </c>
      <c r="J4690" s="61">
        <v>3</v>
      </c>
      <c r="K4690" s="61"/>
      <c r="L4690" s="63">
        <v>0</v>
      </c>
      <c r="M4690" s="61"/>
      <c r="N4690" s="64">
        <v>3</v>
      </c>
      <c r="O4690" s="136">
        <v>275100</v>
      </c>
      <c r="P4690" s="62">
        <v>1320</v>
      </c>
      <c r="Q4690" s="62" t="s">
        <v>1935</v>
      </c>
      <c r="R4690" s="25">
        <f>+テーブル1[[#This Row],[合計金額]]*テーブル1[[#This Row],[自社報酬率％]]/100</f>
        <v>137550</v>
      </c>
    </row>
    <row r="4691" spans="1:18">
      <c r="A4691" s="7">
        <v>45962</v>
      </c>
      <c r="B4691" t="s">
        <v>2630</v>
      </c>
      <c r="C4691" s="18" t="s">
        <v>1962</v>
      </c>
      <c r="D4691" s="41">
        <v>50</v>
      </c>
      <c r="E4691" s="41">
        <v>50</v>
      </c>
      <c r="F4691" t="s">
        <v>19</v>
      </c>
      <c r="G4691" s="28">
        <v>45962</v>
      </c>
      <c r="H4691" s="26" t="s">
        <v>3102</v>
      </c>
      <c r="I4691" s="49">
        <v>21140</v>
      </c>
      <c r="J4691" s="61">
        <v>10</v>
      </c>
      <c r="K4691" s="61"/>
      <c r="L4691" s="63">
        <v>0</v>
      </c>
      <c r="M4691" s="61"/>
      <c r="N4691" s="64">
        <v>10</v>
      </c>
      <c r="O4691" s="136">
        <v>211400</v>
      </c>
      <c r="P4691" s="62">
        <v>1321</v>
      </c>
      <c r="Q4691" s="62" t="s">
        <v>1935</v>
      </c>
      <c r="R4691" s="25">
        <f>+テーブル1[[#This Row],[合計金額]]*テーブル1[[#This Row],[自社報酬率％]]/100</f>
        <v>105700</v>
      </c>
    </row>
    <row r="4692" spans="1:18">
      <c r="A4692" s="7">
        <v>45962</v>
      </c>
      <c r="B4692" t="s">
        <v>2630</v>
      </c>
      <c r="C4692" s="18" t="s">
        <v>1962</v>
      </c>
      <c r="D4692" s="41">
        <v>50</v>
      </c>
      <c r="E4692" s="41">
        <v>50</v>
      </c>
      <c r="F4692" t="s">
        <v>16</v>
      </c>
      <c r="G4692" s="28">
        <v>45992</v>
      </c>
      <c r="H4692" s="26" t="s">
        <v>3103</v>
      </c>
      <c r="I4692" s="49">
        <v>13200</v>
      </c>
      <c r="J4692" s="61">
        <v>7</v>
      </c>
      <c r="K4692" s="61"/>
      <c r="L4692" s="63">
        <v>0</v>
      </c>
      <c r="M4692" s="61"/>
      <c r="N4692" s="64">
        <v>7</v>
      </c>
      <c r="O4692" s="136">
        <v>92400</v>
      </c>
      <c r="P4692" s="62">
        <v>1322</v>
      </c>
      <c r="Q4692" s="62" t="s">
        <v>1928</v>
      </c>
      <c r="R4692" s="25">
        <f>+テーブル1[[#This Row],[合計金額]]*テーブル1[[#This Row],[自社報酬率％]]/100</f>
        <v>46200</v>
      </c>
    </row>
    <row r="4693" spans="1:18">
      <c r="A4693" s="7">
        <v>45962</v>
      </c>
      <c r="B4693" t="s">
        <v>2630</v>
      </c>
      <c r="C4693" s="18" t="s">
        <v>1962</v>
      </c>
      <c r="D4693" s="41">
        <v>50</v>
      </c>
      <c r="E4693" s="41">
        <v>50</v>
      </c>
      <c r="F4693" t="s">
        <v>16</v>
      </c>
      <c r="G4693" s="28">
        <v>45992</v>
      </c>
      <c r="H4693" s="26" t="s">
        <v>3103</v>
      </c>
      <c r="I4693" s="49">
        <v>14500</v>
      </c>
      <c r="J4693" s="61">
        <v>27</v>
      </c>
      <c r="K4693" s="61"/>
      <c r="L4693" s="63">
        <v>0</v>
      </c>
      <c r="M4693" s="61"/>
      <c r="N4693" s="64">
        <v>27</v>
      </c>
      <c r="O4693" s="136">
        <v>391500</v>
      </c>
      <c r="P4693" s="62">
        <v>1323</v>
      </c>
      <c r="Q4693" s="62" t="s">
        <v>1928</v>
      </c>
      <c r="R4693" s="25">
        <f>+テーブル1[[#This Row],[合計金額]]*テーブル1[[#This Row],[自社報酬率％]]/100</f>
        <v>195750</v>
      </c>
    </row>
    <row r="4694" spans="1:18">
      <c r="A4694" s="7">
        <v>45962</v>
      </c>
      <c r="B4694" t="s">
        <v>2630</v>
      </c>
      <c r="C4694" s="18" t="s">
        <v>1962</v>
      </c>
      <c r="D4694" s="41">
        <v>50</v>
      </c>
      <c r="E4694" s="41">
        <v>50</v>
      </c>
      <c r="F4694" t="s">
        <v>16</v>
      </c>
      <c r="G4694" s="28">
        <v>45992</v>
      </c>
      <c r="H4694" s="26" t="s">
        <v>3104</v>
      </c>
      <c r="I4694" s="49">
        <v>4830</v>
      </c>
      <c r="J4694" s="61">
        <v>1</v>
      </c>
      <c r="K4694" s="61"/>
      <c r="L4694" s="63">
        <v>0</v>
      </c>
      <c r="M4694" s="61"/>
      <c r="N4694" s="64">
        <v>1</v>
      </c>
      <c r="O4694" s="136">
        <v>4830</v>
      </c>
      <c r="P4694" s="62">
        <v>1324</v>
      </c>
      <c r="Q4694" s="62" t="s">
        <v>1928</v>
      </c>
      <c r="R4694" s="25">
        <f>+テーブル1[[#This Row],[合計金額]]*テーブル1[[#This Row],[自社報酬率％]]/100</f>
        <v>2415</v>
      </c>
    </row>
    <row r="4695" spans="1:18">
      <c r="A4695" s="7">
        <v>45962</v>
      </c>
      <c r="B4695" t="s">
        <v>2630</v>
      </c>
      <c r="C4695" s="18" t="s">
        <v>1962</v>
      </c>
      <c r="D4695" s="41">
        <v>50</v>
      </c>
      <c r="E4695" s="41">
        <v>50</v>
      </c>
      <c r="F4695" t="s">
        <v>16</v>
      </c>
      <c r="G4695" s="28">
        <v>45992</v>
      </c>
      <c r="H4695" s="26" t="s">
        <v>3105</v>
      </c>
      <c r="I4695" s="49">
        <v>4830</v>
      </c>
      <c r="J4695" s="61">
        <v>4</v>
      </c>
      <c r="K4695" s="61"/>
      <c r="L4695" s="63">
        <v>0</v>
      </c>
      <c r="M4695" s="61"/>
      <c r="N4695" s="64">
        <v>4</v>
      </c>
      <c r="O4695" s="136">
        <v>19320</v>
      </c>
      <c r="P4695" s="62">
        <v>1325</v>
      </c>
      <c r="Q4695" s="62" t="s">
        <v>1928</v>
      </c>
      <c r="R4695" s="25">
        <f>+テーブル1[[#This Row],[合計金額]]*テーブル1[[#This Row],[自社報酬率％]]/100</f>
        <v>9660</v>
      </c>
    </row>
    <row r="4696" spans="1:18">
      <c r="A4696" s="7">
        <v>45962</v>
      </c>
      <c r="B4696" t="s">
        <v>2630</v>
      </c>
      <c r="C4696" s="18" t="s">
        <v>1962</v>
      </c>
      <c r="D4696" s="41">
        <v>50</v>
      </c>
      <c r="E4696" s="41">
        <v>50</v>
      </c>
      <c r="F4696" t="s">
        <v>20</v>
      </c>
      <c r="G4696" s="28">
        <v>45962</v>
      </c>
      <c r="H4696" s="26" t="s">
        <v>3008</v>
      </c>
      <c r="I4696" s="49">
        <v>2400</v>
      </c>
      <c r="J4696" s="61">
        <v>2</v>
      </c>
      <c r="K4696" s="61"/>
      <c r="L4696" s="63">
        <v>0</v>
      </c>
      <c r="M4696" s="61"/>
      <c r="N4696" s="64">
        <v>2</v>
      </c>
      <c r="O4696" s="136">
        <v>4800</v>
      </c>
      <c r="P4696" s="62">
        <v>1326</v>
      </c>
      <c r="Q4696" s="62" t="s">
        <v>1935</v>
      </c>
      <c r="R4696" s="25">
        <f>+テーブル1[[#This Row],[合計金額]]*テーブル1[[#This Row],[自社報酬率％]]/100</f>
        <v>2400</v>
      </c>
    </row>
    <row r="4697" spans="1:18">
      <c r="A4697" s="7">
        <v>45962</v>
      </c>
      <c r="B4697" t="s">
        <v>2630</v>
      </c>
      <c r="C4697" s="18" t="s">
        <v>1962</v>
      </c>
      <c r="D4697" s="41">
        <v>50</v>
      </c>
      <c r="E4697" s="41">
        <v>50</v>
      </c>
      <c r="F4697" t="s">
        <v>20</v>
      </c>
      <c r="G4697" s="28">
        <v>45962</v>
      </c>
      <c r="H4697" s="26" t="s">
        <v>3106</v>
      </c>
      <c r="I4697" s="49">
        <v>2400</v>
      </c>
      <c r="J4697" s="61">
        <v>1</v>
      </c>
      <c r="K4697" s="61"/>
      <c r="L4697" s="63">
        <v>0</v>
      </c>
      <c r="M4697" s="61"/>
      <c r="N4697" s="64">
        <v>1</v>
      </c>
      <c r="O4697" s="136">
        <v>2400</v>
      </c>
      <c r="P4697" s="62">
        <v>1327</v>
      </c>
      <c r="Q4697" s="62" t="s">
        <v>1935</v>
      </c>
      <c r="R4697" s="25">
        <f>+テーブル1[[#This Row],[合計金額]]*テーブル1[[#This Row],[自社報酬率％]]/100</f>
        <v>1200</v>
      </c>
    </row>
    <row r="4698" spans="1:18">
      <c r="A4698" s="7">
        <v>45962</v>
      </c>
      <c r="B4698" t="s">
        <v>2630</v>
      </c>
      <c r="C4698" s="18" t="s">
        <v>1962</v>
      </c>
      <c r="D4698" s="41">
        <v>50</v>
      </c>
      <c r="E4698" s="41">
        <v>50</v>
      </c>
      <c r="F4698" t="s">
        <v>20</v>
      </c>
      <c r="G4698" s="28">
        <v>45962</v>
      </c>
      <c r="H4698" s="26" t="s">
        <v>2326</v>
      </c>
      <c r="I4698" s="49">
        <v>9780</v>
      </c>
      <c r="J4698" s="61">
        <v>15</v>
      </c>
      <c r="K4698" s="61"/>
      <c r="L4698" s="63">
        <v>0</v>
      </c>
      <c r="M4698" s="61"/>
      <c r="N4698" s="64">
        <v>15</v>
      </c>
      <c r="O4698" s="136">
        <v>146700</v>
      </c>
      <c r="P4698" s="62">
        <v>1328</v>
      </c>
      <c r="Q4698" s="62" t="s">
        <v>1935</v>
      </c>
      <c r="R4698" s="25">
        <f>+テーブル1[[#This Row],[合計金額]]*テーブル1[[#This Row],[自社報酬率％]]/100</f>
        <v>73350</v>
      </c>
    </row>
    <row r="4699" spans="1:18">
      <c r="A4699" s="7">
        <v>45962</v>
      </c>
      <c r="B4699" t="s">
        <v>2630</v>
      </c>
      <c r="C4699" s="18" t="s">
        <v>1962</v>
      </c>
      <c r="D4699" s="41">
        <v>50</v>
      </c>
      <c r="E4699" s="41">
        <v>50</v>
      </c>
      <c r="F4699" t="s">
        <v>20</v>
      </c>
      <c r="G4699" s="28">
        <v>45962</v>
      </c>
      <c r="H4699" s="26" t="s">
        <v>2542</v>
      </c>
      <c r="I4699" s="49">
        <v>9780</v>
      </c>
      <c r="J4699" s="61">
        <v>5</v>
      </c>
      <c r="K4699" s="61"/>
      <c r="L4699" s="63">
        <v>0</v>
      </c>
      <c r="M4699" s="61"/>
      <c r="N4699" s="64">
        <v>5</v>
      </c>
      <c r="O4699" s="136">
        <v>48900</v>
      </c>
      <c r="P4699" s="62">
        <v>1329</v>
      </c>
      <c r="Q4699" s="62" t="s">
        <v>1935</v>
      </c>
      <c r="R4699" s="25">
        <f>+テーブル1[[#This Row],[合計金額]]*テーブル1[[#This Row],[自社報酬率％]]/100</f>
        <v>24450</v>
      </c>
    </row>
    <row r="4700" spans="1:18">
      <c r="A4700" s="7">
        <v>45962</v>
      </c>
      <c r="B4700" t="s">
        <v>2630</v>
      </c>
      <c r="C4700" s="18" t="s">
        <v>1962</v>
      </c>
      <c r="D4700" s="41">
        <v>55</v>
      </c>
      <c r="E4700" s="41">
        <v>45</v>
      </c>
      <c r="F4700" t="s">
        <v>18</v>
      </c>
      <c r="G4700" s="28">
        <v>45992</v>
      </c>
      <c r="H4700" s="26" t="s">
        <v>3107</v>
      </c>
      <c r="I4700" s="49">
        <v>19800</v>
      </c>
      <c r="J4700" s="61">
        <v>1</v>
      </c>
      <c r="K4700" s="61"/>
      <c r="L4700" s="63">
        <v>0</v>
      </c>
      <c r="M4700" s="61"/>
      <c r="N4700" s="64">
        <v>1</v>
      </c>
      <c r="O4700" s="136">
        <v>19800</v>
      </c>
      <c r="P4700" s="62">
        <v>1330</v>
      </c>
      <c r="Q4700" s="62" t="s">
        <v>1928</v>
      </c>
      <c r="R4700" s="25">
        <f>+テーブル1[[#This Row],[合計金額]]*テーブル1[[#This Row],[自社報酬率％]]/100</f>
        <v>8910</v>
      </c>
    </row>
    <row r="4701" spans="1:18">
      <c r="A4701" s="7">
        <v>45962</v>
      </c>
      <c r="B4701" t="s">
        <v>2630</v>
      </c>
      <c r="C4701" s="18" t="s">
        <v>1962</v>
      </c>
      <c r="D4701" s="41">
        <v>55</v>
      </c>
      <c r="E4701" s="41">
        <v>45</v>
      </c>
      <c r="F4701" t="s">
        <v>18</v>
      </c>
      <c r="G4701" s="28">
        <v>46023</v>
      </c>
      <c r="H4701" s="26" t="s">
        <v>3108</v>
      </c>
      <c r="I4701" s="49">
        <v>19800</v>
      </c>
      <c r="J4701" s="61">
        <v>1</v>
      </c>
      <c r="K4701" s="61"/>
      <c r="L4701" s="63">
        <v>0</v>
      </c>
      <c r="M4701" s="61"/>
      <c r="N4701" s="64">
        <v>1</v>
      </c>
      <c r="O4701" s="136">
        <v>19800</v>
      </c>
      <c r="P4701" s="62">
        <v>1331</v>
      </c>
      <c r="Q4701" s="62" t="s">
        <v>1928</v>
      </c>
      <c r="R4701" s="25">
        <f>+テーブル1[[#This Row],[合計金額]]*テーブル1[[#This Row],[自社報酬率％]]/100</f>
        <v>8910</v>
      </c>
    </row>
    <row r="4702" spans="1:18">
      <c r="A4702" s="7">
        <v>45962</v>
      </c>
      <c r="B4702" t="s">
        <v>2630</v>
      </c>
      <c r="C4702" s="18" t="s">
        <v>1962</v>
      </c>
      <c r="D4702" s="41">
        <v>55</v>
      </c>
      <c r="E4702" s="41">
        <v>45</v>
      </c>
      <c r="F4702" t="s">
        <v>18</v>
      </c>
      <c r="G4702" s="28">
        <v>46054</v>
      </c>
      <c r="H4702" s="26" t="s">
        <v>3109</v>
      </c>
      <c r="I4702" s="49">
        <v>19800</v>
      </c>
      <c r="J4702" s="61">
        <v>1</v>
      </c>
      <c r="K4702" s="61"/>
      <c r="L4702" s="63">
        <v>0</v>
      </c>
      <c r="M4702" s="61"/>
      <c r="N4702" s="64">
        <v>1</v>
      </c>
      <c r="O4702" s="136">
        <v>19800</v>
      </c>
      <c r="P4702" s="62">
        <v>1332</v>
      </c>
      <c r="Q4702" s="62" t="s">
        <v>1928</v>
      </c>
      <c r="R4702" s="25">
        <f>+テーブル1[[#This Row],[合計金額]]*テーブル1[[#This Row],[自社報酬率％]]/100</f>
        <v>8910</v>
      </c>
    </row>
    <row r="4703" spans="1:18">
      <c r="A4703" s="7">
        <v>45962</v>
      </c>
      <c r="B4703" t="s">
        <v>2630</v>
      </c>
      <c r="C4703" s="18" t="s">
        <v>1962</v>
      </c>
      <c r="D4703" s="41">
        <v>55</v>
      </c>
      <c r="E4703" s="41">
        <v>45</v>
      </c>
      <c r="F4703" t="s">
        <v>19</v>
      </c>
      <c r="G4703" s="28">
        <v>45992</v>
      </c>
      <c r="H4703" s="26" t="s">
        <v>3110</v>
      </c>
      <c r="I4703" s="49">
        <v>19050</v>
      </c>
      <c r="J4703" s="61">
        <v>6</v>
      </c>
      <c r="K4703" s="61"/>
      <c r="L4703" s="63">
        <v>0</v>
      </c>
      <c r="M4703" s="61"/>
      <c r="N4703" s="64">
        <v>6</v>
      </c>
      <c r="O4703" s="136">
        <v>114300</v>
      </c>
      <c r="P4703" s="62">
        <v>1333</v>
      </c>
      <c r="Q4703" s="62" t="s">
        <v>1928</v>
      </c>
      <c r="R4703" s="25">
        <f>+テーブル1[[#This Row],[合計金額]]*テーブル1[[#This Row],[自社報酬率％]]/100</f>
        <v>51435</v>
      </c>
    </row>
    <row r="4704" spans="1:18">
      <c r="A4704" s="7">
        <v>45962</v>
      </c>
      <c r="B4704" t="s">
        <v>2630</v>
      </c>
      <c r="C4704" s="18" t="s">
        <v>1962</v>
      </c>
      <c r="D4704" s="41">
        <v>55</v>
      </c>
      <c r="E4704" s="41">
        <v>45</v>
      </c>
      <c r="F4704" t="s">
        <v>19</v>
      </c>
      <c r="G4704" s="28">
        <v>46023</v>
      </c>
      <c r="H4704" s="26" t="s">
        <v>3111</v>
      </c>
      <c r="I4704" s="49">
        <v>19050</v>
      </c>
      <c r="J4704" s="61">
        <v>6</v>
      </c>
      <c r="K4704" s="61"/>
      <c r="L4704" s="63">
        <v>0</v>
      </c>
      <c r="M4704" s="61"/>
      <c r="N4704" s="64">
        <v>6</v>
      </c>
      <c r="O4704" s="136">
        <v>114300</v>
      </c>
      <c r="P4704" s="62">
        <v>1334</v>
      </c>
      <c r="Q4704" s="62" t="s">
        <v>1928</v>
      </c>
      <c r="R4704" s="25">
        <f>+テーブル1[[#This Row],[合計金額]]*テーブル1[[#This Row],[自社報酬率％]]/100</f>
        <v>51435</v>
      </c>
    </row>
    <row r="4705" spans="1:18">
      <c r="A4705" s="7">
        <v>45962</v>
      </c>
      <c r="B4705" t="s">
        <v>2630</v>
      </c>
      <c r="C4705" s="18" t="s">
        <v>1962</v>
      </c>
      <c r="D4705" s="41">
        <v>55</v>
      </c>
      <c r="E4705" s="41">
        <v>45</v>
      </c>
      <c r="F4705" t="s">
        <v>19</v>
      </c>
      <c r="G4705" s="28">
        <v>46054</v>
      </c>
      <c r="H4705" s="26" t="s">
        <v>3112</v>
      </c>
      <c r="I4705" s="49">
        <v>19050</v>
      </c>
      <c r="J4705" s="61">
        <v>6</v>
      </c>
      <c r="K4705" s="61"/>
      <c r="L4705" s="63">
        <v>0</v>
      </c>
      <c r="M4705" s="61"/>
      <c r="N4705" s="64">
        <v>6</v>
      </c>
      <c r="O4705" s="136">
        <v>114300</v>
      </c>
      <c r="P4705" s="62">
        <v>1335</v>
      </c>
      <c r="Q4705" s="62" t="s">
        <v>1928</v>
      </c>
      <c r="R4705" s="25">
        <f>+テーブル1[[#This Row],[合計金額]]*テーブル1[[#This Row],[自社報酬率％]]/100</f>
        <v>51435</v>
      </c>
    </row>
    <row r="4706" spans="1:18">
      <c r="A4706" s="7">
        <v>45962</v>
      </c>
      <c r="B4706" t="s">
        <v>2630</v>
      </c>
      <c r="C4706" s="18" t="s">
        <v>1962</v>
      </c>
      <c r="D4706" s="41">
        <v>55</v>
      </c>
      <c r="E4706" s="41">
        <v>45</v>
      </c>
      <c r="F4706" t="s">
        <v>19</v>
      </c>
      <c r="G4706" s="28">
        <v>46082</v>
      </c>
      <c r="H4706" s="26" t="s">
        <v>3113</v>
      </c>
      <c r="I4706" s="49">
        <v>19050</v>
      </c>
      <c r="J4706" s="61">
        <v>6</v>
      </c>
      <c r="K4706" s="61"/>
      <c r="L4706" s="63">
        <v>0</v>
      </c>
      <c r="M4706" s="61"/>
      <c r="N4706" s="64">
        <v>6</v>
      </c>
      <c r="O4706" s="136">
        <v>114300</v>
      </c>
      <c r="P4706" s="62">
        <v>1336</v>
      </c>
      <c r="Q4706" s="62" t="s">
        <v>1928</v>
      </c>
      <c r="R4706" s="25">
        <f>+テーブル1[[#This Row],[合計金額]]*テーブル1[[#This Row],[自社報酬率％]]/100</f>
        <v>51435</v>
      </c>
    </row>
    <row r="4707" spans="1:18">
      <c r="A4707" s="7">
        <v>45962</v>
      </c>
      <c r="B4707" t="s">
        <v>2630</v>
      </c>
      <c r="C4707" s="18" t="s">
        <v>1962</v>
      </c>
      <c r="D4707" s="41">
        <v>55</v>
      </c>
      <c r="E4707" s="41">
        <v>45</v>
      </c>
      <c r="F4707" t="s">
        <v>19</v>
      </c>
      <c r="G4707" s="28">
        <v>46113</v>
      </c>
      <c r="H4707" s="26" t="s">
        <v>3114</v>
      </c>
      <c r="I4707" s="49">
        <v>19050</v>
      </c>
      <c r="J4707" s="61">
        <v>6</v>
      </c>
      <c r="K4707" s="61"/>
      <c r="L4707" s="63">
        <v>0</v>
      </c>
      <c r="M4707" s="61"/>
      <c r="N4707" s="64">
        <v>6</v>
      </c>
      <c r="O4707" s="136">
        <v>114300</v>
      </c>
      <c r="P4707" s="62">
        <v>1337</v>
      </c>
      <c r="Q4707" s="62" t="s">
        <v>1928</v>
      </c>
      <c r="R4707" s="25">
        <f>+テーブル1[[#This Row],[合計金額]]*テーブル1[[#This Row],[自社報酬率％]]/100</f>
        <v>51435</v>
      </c>
    </row>
    <row r="4708" spans="1:18">
      <c r="A4708" s="7">
        <v>45962</v>
      </c>
      <c r="B4708" t="s">
        <v>2630</v>
      </c>
      <c r="C4708" s="18" t="s">
        <v>1962</v>
      </c>
      <c r="D4708" s="41">
        <v>55</v>
      </c>
      <c r="E4708" s="41">
        <v>45</v>
      </c>
      <c r="F4708" t="s">
        <v>19</v>
      </c>
      <c r="G4708" s="28">
        <v>46143</v>
      </c>
      <c r="H4708" s="26" t="s">
        <v>3115</v>
      </c>
      <c r="I4708" s="49">
        <v>19050</v>
      </c>
      <c r="J4708" s="61">
        <v>6</v>
      </c>
      <c r="K4708" s="61"/>
      <c r="L4708" s="63">
        <v>0</v>
      </c>
      <c r="M4708" s="61"/>
      <c r="N4708" s="64">
        <v>6</v>
      </c>
      <c r="O4708" s="136">
        <v>114300</v>
      </c>
      <c r="P4708" s="62">
        <v>1338</v>
      </c>
      <c r="Q4708" s="62" t="s">
        <v>1928</v>
      </c>
      <c r="R4708" s="25">
        <f>+テーブル1[[#This Row],[合計金額]]*テーブル1[[#This Row],[自社報酬率％]]/100</f>
        <v>51435</v>
      </c>
    </row>
    <row r="4709" spans="1:18">
      <c r="A4709" s="7">
        <v>45962</v>
      </c>
      <c r="B4709" t="s">
        <v>2630</v>
      </c>
      <c r="C4709" s="18" t="s">
        <v>1962</v>
      </c>
      <c r="D4709" s="41">
        <v>55</v>
      </c>
      <c r="E4709" s="41">
        <v>45</v>
      </c>
      <c r="F4709" t="s">
        <v>19</v>
      </c>
      <c r="G4709" s="28">
        <v>45992</v>
      </c>
      <c r="H4709" s="26" t="s">
        <v>3116</v>
      </c>
      <c r="I4709" s="49">
        <v>19050</v>
      </c>
      <c r="J4709" s="61">
        <v>1</v>
      </c>
      <c r="K4709" s="61"/>
      <c r="L4709" s="63">
        <v>0</v>
      </c>
      <c r="M4709" s="61"/>
      <c r="N4709" s="64">
        <v>1</v>
      </c>
      <c r="O4709" s="136">
        <v>19050</v>
      </c>
      <c r="P4709" s="62">
        <v>1339</v>
      </c>
      <c r="Q4709" s="62" t="s">
        <v>1928</v>
      </c>
      <c r="R4709" s="25">
        <f>+テーブル1[[#This Row],[合計金額]]*テーブル1[[#This Row],[自社報酬率％]]/100</f>
        <v>8572.5</v>
      </c>
    </row>
    <row r="4710" spans="1:18">
      <c r="A4710" s="7">
        <v>45962</v>
      </c>
      <c r="B4710" t="s">
        <v>2630</v>
      </c>
      <c r="C4710" s="18" t="s">
        <v>1962</v>
      </c>
      <c r="D4710" s="41">
        <v>55</v>
      </c>
      <c r="E4710" s="41">
        <v>45</v>
      </c>
      <c r="F4710" t="s">
        <v>19</v>
      </c>
      <c r="G4710" s="28">
        <v>46023</v>
      </c>
      <c r="H4710" s="26" t="s">
        <v>3117</v>
      </c>
      <c r="I4710" s="49">
        <v>19050</v>
      </c>
      <c r="J4710" s="61">
        <v>1</v>
      </c>
      <c r="K4710" s="61"/>
      <c r="L4710" s="63">
        <v>0</v>
      </c>
      <c r="M4710" s="61"/>
      <c r="N4710" s="64">
        <v>1</v>
      </c>
      <c r="O4710" s="136">
        <v>19050</v>
      </c>
      <c r="P4710" s="62">
        <v>1340</v>
      </c>
      <c r="Q4710" s="62" t="s">
        <v>1928</v>
      </c>
      <c r="R4710" s="25">
        <f>+テーブル1[[#This Row],[合計金額]]*テーブル1[[#This Row],[自社報酬率％]]/100</f>
        <v>8572.5</v>
      </c>
    </row>
    <row r="4711" spans="1:18">
      <c r="A4711" s="7">
        <v>45962</v>
      </c>
      <c r="B4711" t="s">
        <v>2630</v>
      </c>
      <c r="C4711" s="18" t="s">
        <v>1962</v>
      </c>
      <c r="D4711" s="41">
        <v>55</v>
      </c>
      <c r="E4711" s="41">
        <v>45</v>
      </c>
      <c r="F4711" t="s">
        <v>19</v>
      </c>
      <c r="G4711" s="28">
        <v>46054</v>
      </c>
      <c r="H4711" s="26" t="s">
        <v>3118</v>
      </c>
      <c r="I4711" s="49">
        <v>19050</v>
      </c>
      <c r="J4711" s="61">
        <v>1</v>
      </c>
      <c r="K4711" s="61"/>
      <c r="L4711" s="63">
        <v>0</v>
      </c>
      <c r="M4711" s="61"/>
      <c r="N4711" s="64">
        <v>1</v>
      </c>
      <c r="O4711" s="136">
        <v>19050</v>
      </c>
      <c r="P4711" s="62">
        <v>1341</v>
      </c>
      <c r="Q4711" s="62" t="s">
        <v>1928</v>
      </c>
      <c r="R4711" s="25">
        <f>+テーブル1[[#This Row],[合計金額]]*テーブル1[[#This Row],[自社報酬率％]]/100</f>
        <v>8572.5</v>
      </c>
    </row>
    <row r="4712" spans="1:18">
      <c r="A4712" s="7">
        <v>45962</v>
      </c>
      <c r="B4712" t="s">
        <v>2630</v>
      </c>
      <c r="C4712" s="18" t="s">
        <v>1962</v>
      </c>
      <c r="D4712" s="41">
        <v>55</v>
      </c>
      <c r="E4712" s="41">
        <v>45</v>
      </c>
      <c r="F4712" t="s">
        <v>19</v>
      </c>
      <c r="G4712" s="28">
        <v>46082</v>
      </c>
      <c r="H4712" s="26" t="s">
        <v>3119</v>
      </c>
      <c r="I4712" s="49">
        <v>19050</v>
      </c>
      <c r="J4712" s="61">
        <v>1</v>
      </c>
      <c r="K4712" s="61"/>
      <c r="L4712" s="63">
        <v>0</v>
      </c>
      <c r="M4712" s="61"/>
      <c r="N4712" s="64">
        <v>1</v>
      </c>
      <c r="O4712" s="136">
        <v>19050</v>
      </c>
      <c r="P4712" s="62">
        <v>1342</v>
      </c>
      <c r="Q4712" s="62" t="s">
        <v>1928</v>
      </c>
      <c r="R4712" s="25">
        <f>+テーブル1[[#This Row],[合計金額]]*テーブル1[[#This Row],[自社報酬率％]]/100</f>
        <v>8572.5</v>
      </c>
    </row>
    <row r="4713" spans="1:18">
      <c r="A4713" s="7">
        <v>45962</v>
      </c>
      <c r="B4713" t="s">
        <v>2630</v>
      </c>
      <c r="C4713" s="18" t="s">
        <v>1962</v>
      </c>
      <c r="D4713" s="41">
        <v>55</v>
      </c>
      <c r="E4713" s="41">
        <v>45</v>
      </c>
      <c r="F4713" t="s">
        <v>19</v>
      </c>
      <c r="G4713" s="28">
        <v>46113</v>
      </c>
      <c r="H4713" s="26" t="s">
        <v>3120</v>
      </c>
      <c r="I4713" s="49">
        <v>19050</v>
      </c>
      <c r="J4713" s="61">
        <v>1</v>
      </c>
      <c r="K4713" s="61"/>
      <c r="L4713" s="63">
        <v>0</v>
      </c>
      <c r="M4713" s="61"/>
      <c r="N4713" s="64">
        <v>1</v>
      </c>
      <c r="O4713" s="136">
        <v>19050</v>
      </c>
      <c r="P4713" s="62">
        <v>1343</v>
      </c>
      <c r="Q4713" s="62" t="s">
        <v>1928</v>
      </c>
      <c r="R4713" s="25">
        <f>+テーブル1[[#This Row],[合計金額]]*テーブル1[[#This Row],[自社報酬率％]]/100</f>
        <v>8572.5</v>
      </c>
    </row>
    <row r="4714" spans="1:18">
      <c r="A4714" s="7">
        <v>45962</v>
      </c>
      <c r="B4714" t="s">
        <v>2630</v>
      </c>
      <c r="C4714" s="18" t="s">
        <v>1962</v>
      </c>
      <c r="D4714" s="41">
        <v>55</v>
      </c>
      <c r="E4714" s="41">
        <v>45</v>
      </c>
      <c r="F4714" t="s">
        <v>19</v>
      </c>
      <c r="G4714" s="28">
        <v>46143</v>
      </c>
      <c r="H4714" s="26" t="s">
        <v>3121</v>
      </c>
      <c r="I4714" s="49">
        <v>19050</v>
      </c>
      <c r="J4714" s="61">
        <v>1</v>
      </c>
      <c r="K4714" s="61"/>
      <c r="L4714" s="63">
        <v>0</v>
      </c>
      <c r="M4714" s="61"/>
      <c r="N4714" s="64">
        <v>1</v>
      </c>
      <c r="O4714" s="136">
        <v>19050</v>
      </c>
      <c r="P4714" s="62">
        <v>1344</v>
      </c>
      <c r="Q4714" s="62" t="s">
        <v>1928</v>
      </c>
      <c r="R4714" s="25">
        <f>+テーブル1[[#This Row],[合計金額]]*テーブル1[[#This Row],[自社報酬率％]]/100</f>
        <v>8572.5</v>
      </c>
    </row>
    <row r="4715" spans="1:18">
      <c r="A4715" s="7">
        <v>45962</v>
      </c>
      <c r="B4715" t="s">
        <v>2630</v>
      </c>
      <c r="C4715" s="18" t="s">
        <v>1962</v>
      </c>
      <c r="D4715" s="41">
        <v>55</v>
      </c>
      <c r="E4715" s="41">
        <v>45</v>
      </c>
      <c r="F4715" t="s">
        <v>16</v>
      </c>
      <c r="G4715" s="28">
        <v>45992</v>
      </c>
      <c r="H4715" s="26" t="s">
        <v>3122</v>
      </c>
      <c r="I4715" s="49">
        <v>10485</v>
      </c>
      <c r="J4715" s="61">
        <v>52</v>
      </c>
      <c r="K4715" s="61"/>
      <c r="L4715" s="63">
        <v>0</v>
      </c>
      <c r="M4715" s="61"/>
      <c r="N4715" s="64">
        <v>52</v>
      </c>
      <c r="O4715" s="136">
        <v>545220</v>
      </c>
      <c r="P4715" s="62">
        <v>1345</v>
      </c>
      <c r="Q4715" s="62" t="s">
        <v>1928</v>
      </c>
      <c r="R4715" s="25">
        <f>+テーブル1[[#This Row],[合計金額]]*テーブル1[[#This Row],[自社報酬率％]]/100</f>
        <v>245349</v>
      </c>
    </row>
    <row r="4716" spans="1:18">
      <c r="A4716" s="7">
        <v>45962</v>
      </c>
      <c r="B4716" t="s">
        <v>2630</v>
      </c>
      <c r="C4716" s="18" t="s">
        <v>1962</v>
      </c>
      <c r="D4716" s="41">
        <v>55</v>
      </c>
      <c r="E4716" s="41">
        <v>45</v>
      </c>
      <c r="F4716" t="s">
        <v>16</v>
      </c>
      <c r="G4716" s="28">
        <v>45992</v>
      </c>
      <c r="H4716" s="26" t="s">
        <v>3123</v>
      </c>
      <c r="I4716" s="49">
        <v>20970</v>
      </c>
      <c r="J4716" s="61">
        <v>56</v>
      </c>
      <c r="K4716" s="61"/>
      <c r="L4716" s="63">
        <v>0</v>
      </c>
      <c r="M4716" s="61"/>
      <c r="N4716" s="64">
        <v>56</v>
      </c>
      <c r="O4716" s="136">
        <v>1174320</v>
      </c>
      <c r="P4716" s="62">
        <v>1346</v>
      </c>
      <c r="Q4716" s="62" t="s">
        <v>1928</v>
      </c>
      <c r="R4716" s="25">
        <f>+テーブル1[[#This Row],[合計金額]]*テーブル1[[#This Row],[自社報酬率％]]/100</f>
        <v>528444</v>
      </c>
    </row>
    <row r="4717" spans="1:18">
      <c r="A4717" s="7">
        <v>45962</v>
      </c>
      <c r="B4717" t="s">
        <v>2630</v>
      </c>
      <c r="C4717" s="18" t="s">
        <v>1962</v>
      </c>
      <c r="D4717" s="41">
        <v>55</v>
      </c>
      <c r="E4717" s="41">
        <v>45</v>
      </c>
      <c r="F4717" t="s">
        <v>16</v>
      </c>
      <c r="G4717" s="28">
        <v>45992</v>
      </c>
      <c r="H4717" s="26" t="s">
        <v>3124</v>
      </c>
      <c r="I4717" s="49">
        <v>20970</v>
      </c>
      <c r="J4717" s="61">
        <v>2</v>
      </c>
      <c r="K4717" s="61"/>
      <c r="L4717" s="63">
        <v>0</v>
      </c>
      <c r="M4717" s="61"/>
      <c r="N4717" s="64">
        <v>2</v>
      </c>
      <c r="O4717" s="136">
        <v>41940</v>
      </c>
      <c r="P4717" s="62">
        <v>1347</v>
      </c>
      <c r="Q4717" s="62" t="s">
        <v>1928</v>
      </c>
      <c r="R4717" s="25">
        <f>+テーブル1[[#This Row],[合計金額]]*テーブル1[[#This Row],[自社報酬率％]]/100</f>
        <v>18873</v>
      </c>
    </row>
    <row r="4718" spans="1:18">
      <c r="A4718" s="7">
        <v>45962</v>
      </c>
      <c r="B4718" t="s">
        <v>2630</v>
      </c>
      <c r="C4718" s="18" t="s">
        <v>1962</v>
      </c>
      <c r="D4718" s="41">
        <v>80</v>
      </c>
      <c r="E4718" s="41">
        <v>20</v>
      </c>
      <c r="F4718" t="s">
        <v>18</v>
      </c>
      <c r="G4718" s="28">
        <v>45992</v>
      </c>
      <c r="H4718" s="26" t="s">
        <v>3125</v>
      </c>
      <c r="I4718" s="49">
        <v>19800</v>
      </c>
      <c r="J4718" s="61">
        <v>1</v>
      </c>
      <c r="K4718" s="61"/>
      <c r="L4718" s="63">
        <v>0</v>
      </c>
      <c r="M4718" s="61"/>
      <c r="N4718" s="64">
        <v>1</v>
      </c>
      <c r="O4718" s="136">
        <v>19800</v>
      </c>
      <c r="P4718" s="62">
        <v>1348</v>
      </c>
      <c r="Q4718" s="62" t="s">
        <v>1928</v>
      </c>
      <c r="R4718" s="25">
        <f>+テーブル1[[#This Row],[合計金額]]*テーブル1[[#This Row],[自社報酬率％]]/100</f>
        <v>3960</v>
      </c>
    </row>
    <row r="4719" spans="1:18">
      <c r="A4719" s="7">
        <v>45962</v>
      </c>
      <c r="B4719" t="s">
        <v>2630</v>
      </c>
      <c r="C4719" s="18" t="s">
        <v>1962</v>
      </c>
      <c r="D4719" s="41">
        <v>80</v>
      </c>
      <c r="E4719" s="41">
        <v>20</v>
      </c>
      <c r="F4719" t="s">
        <v>18</v>
      </c>
      <c r="G4719" s="28">
        <v>46023</v>
      </c>
      <c r="H4719" s="26" t="s">
        <v>3126</v>
      </c>
      <c r="I4719" s="49">
        <v>19800</v>
      </c>
      <c r="J4719" s="61">
        <v>1</v>
      </c>
      <c r="K4719" s="61"/>
      <c r="L4719" s="63">
        <v>0</v>
      </c>
      <c r="M4719" s="61"/>
      <c r="N4719" s="64">
        <v>1</v>
      </c>
      <c r="O4719" s="136">
        <v>19800</v>
      </c>
      <c r="P4719" s="62">
        <v>1349</v>
      </c>
      <c r="Q4719" s="62" t="s">
        <v>1928</v>
      </c>
      <c r="R4719" s="25">
        <f>+テーブル1[[#This Row],[合計金額]]*テーブル1[[#This Row],[自社報酬率％]]/100</f>
        <v>3960</v>
      </c>
    </row>
    <row r="4720" spans="1:18">
      <c r="A4720" s="7">
        <v>45962</v>
      </c>
      <c r="B4720" t="s">
        <v>2630</v>
      </c>
      <c r="C4720" s="18" t="s">
        <v>1962</v>
      </c>
      <c r="D4720" s="41">
        <v>80</v>
      </c>
      <c r="E4720" s="41">
        <v>20</v>
      </c>
      <c r="F4720" t="s">
        <v>18</v>
      </c>
      <c r="G4720" s="28">
        <v>46054</v>
      </c>
      <c r="H4720" s="26" t="s">
        <v>3127</v>
      </c>
      <c r="I4720" s="49">
        <v>19800</v>
      </c>
      <c r="J4720" s="61">
        <v>1</v>
      </c>
      <c r="K4720" s="61"/>
      <c r="L4720" s="63">
        <v>0</v>
      </c>
      <c r="M4720" s="61"/>
      <c r="N4720" s="64">
        <v>1</v>
      </c>
      <c r="O4720" s="136">
        <v>19800</v>
      </c>
      <c r="P4720" s="62">
        <v>1350</v>
      </c>
      <c r="Q4720" s="62" t="s">
        <v>1928</v>
      </c>
      <c r="R4720" s="25">
        <f>+テーブル1[[#This Row],[合計金額]]*テーブル1[[#This Row],[自社報酬率％]]/100</f>
        <v>3960</v>
      </c>
    </row>
    <row r="4721" spans="1:18">
      <c r="A4721" s="7">
        <v>45962</v>
      </c>
      <c r="B4721" t="s">
        <v>2630</v>
      </c>
      <c r="C4721" s="18" t="s">
        <v>2023</v>
      </c>
      <c r="D4721" s="41">
        <v>50</v>
      </c>
      <c r="E4721" s="41">
        <v>50</v>
      </c>
      <c r="F4721" t="s">
        <v>16</v>
      </c>
      <c r="G4721" s="28">
        <v>45992</v>
      </c>
      <c r="H4721" s="26" t="s">
        <v>3128</v>
      </c>
      <c r="I4721" s="49">
        <v>3150</v>
      </c>
      <c r="J4721" s="61">
        <v>17</v>
      </c>
      <c r="K4721" s="61"/>
      <c r="L4721" s="63">
        <v>0</v>
      </c>
      <c r="M4721" s="61"/>
      <c r="N4721" s="64">
        <v>17</v>
      </c>
      <c r="O4721" s="136">
        <v>53550</v>
      </c>
      <c r="P4721" s="62">
        <v>1351</v>
      </c>
      <c r="Q4721" s="62" t="s">
        <v>1928</v>
      </c>
      <c r="R4721" s="25">
        <f>+テーブル1[[#This Row],[合計金額]]*テーブル1[[#This Row],[自社報酬率％]]/100</f>
        <v>26775</v>
      </c>
    </row>
    <row r="4722" spans="1:18">
      <c r="A4722" s="7">
        <v>45962</v>
      </c>
      <c r="B4722" t="s">
        <v>2658</v>
      </c>
      <c r="C4722" s="18" t="s">
        <v>24</v>
      </c>
      <c r="D4722" s="41">
        <v>100</v>
      </c>
      <c r="E4722" s="41">
        <v>100</v>
      </c>
      <c r="F4722" t="s">
        <v>17</v>
      </c>
      <c r="G4722" s="28">
        <v>45962</v>
      </c>
      <c r="H4722" s="26" t="s">
        <v>1930</v>
      </c>
      <c r="I4722" s="49">
        <v>359700</v>
      </c>
      <c r="J4722" s="61">
        <v>1</v>
      </c>
      <c r="K4722" s="61"/>
      <c r="L4722" s="63">
        <v>0</v>
      </c>
      <c r="M4722" s="61"/>
      <c r="N4722" s="64">
        <v>1</v>
      </c>
      <c r="O4722" s="136">
        <v>359700</v>
      </c>
      <c r="P4722" s="62">
        <v>1352</v>
      </c>
      <c r="Q4722" s="62" t="s">
        <v>1935</v>
      </c>
      <c r="R4722" s="25">
        <f>+テーブル1[[#This Row],[合計金額]]*テーブル1[[#This Row],[自社報酬率％]]/100</f>
        <v>359700</v>
      </c>
    </row>
    <row r="4723" spans="1:18">
      <c r="A4723" s="7">
        <v>45962</v>
      </c>
      <c r="B4723" t="s">
        <v>2658</v>
      </c>
      <c r="C4723" s="18" t="s">
        <v>1962</v>
      </c>
      <c r="D4723" s="41">
        <v>50</v>
      </c>
      <c r="E4723" s="41">
        <v>50</v>
      </c>
      <c r="F4723" t="s">
        <v>18</v>
      </c>
      <c r="G4723" s="28">
        <v>45992</v>
      </c>
      <c r="H4723" s="26" t="s">
        <v>3129</v>
      </c>
      <c r="I4723" s="49">
        <v>14500</v>
      </c>
      <c r="J4723" s="61">
        <v>1</v>
      </c>
      <c r="K4723" s="61"/>
      <c r="L4723" s="63">
        <v>0</v>
      </c>
      <c r="M4723" s="61"/>
      <c r="N4723" s="64">
        <v>1</v>
      </c>
      <c r="O4723" s="136">
        <v>14500</v>
      </c>
      <c r="P4723" s="62">
        <v>1353</v>
      </c>
      <c r="Q4723" s="62" t="s">
        <v>1928</v>
      </c>
      <c r="R4723" s="25">
        <f>+テーブル1[[#This Row],[合計金額]]*テーブル1[[#This Row],[自社報酬率％]]/100</f>
        <v>7250</v>
      </c>
    </row>
    <row r="4724" spans="1:18">
      <c r="A4724" s="7">
        <v>45962</v>
      </c>
      <c r="B4724" t="s">
        <v>2658</v>
      </c>
      <c r="C4724" s="18" t="s">
        <v>1962</v>
      </c>
      <c r="D4724" s="41">
        <v>50</v>
      </c>
      <c r="E4724" s="41">
        <v>50</v>
      </c>
      <c r="F4724" t="s">
        <v>18</v>
      </c>
      <c r="G4724" s="28">
        <v>46023</v>
      </c>
      <c r="H4724" s="26" t="s">
        <v>3130</v>
      </c>
      <c r="I4724" s="49">
        <v>14500</v>
      </c>
      <c r="J4724" s="61">
        <v>1</v>
      </c>
      <c r="K4724" s="61"/>
      <c r="L4724" s="63">
        <v>0</v>
      </c>
      <c r="M4724" s="61"/>
      <c r="N4724" s="64">
        <v>1</v>
      </c>
      <c r="O4724" s="136">
        <v>14500</v>
      </c>
      <c r="P4724" s="62">
        <v>1354</v>
      </c>
      <c r="Q4724" s="62" t="s">
        <v>1928</v>
      </c>
      <c r="R4724" s="25">
        <f>+テーブル1[[#This Row],[合計金額]]*テーブル1[[#This Row],[自社報酬率％]]/100</f>
        <v>7250</v>
      </c>
    </row>
    <row r="4725" spans="1:18">
      <c r="A4725" s="7">
        <v>45962</v>
      </c>
      <c r="B4725" t="s">
        <v>2658</v>
      </c>
      <c r="C4725" s="18" t="s">
        <v>1962</v>
      </c>
      <c r="D4725" s="41">
        <v>50</v>
      </c>
      <c r="E4725" s="41">
        <v>50</v>
      </c>
      <c r="F4725" t="s">
        <v>18</v>
      </c>
      <c r="G4725" s="28">
        <v>46054</v>
      </c>
      <c r="H4725" s="26" t="s">
        <v>3131</v>
      </c>
      <c r="I4725" s="49">
        <v>14500</v>
      </c>
      <c r="J4725" s="61">
        <v>1</v>
      </c>
      <c r="K4725" s="61"/>
      <c r="L4725" s="63">
        <v>0</v>
      </c>
      <c r="M4725" s="61"/>
      <c r="N4725" s="64">
        <v>1</v>
      </c>
      <c r="O4725" s="136">
        <v>14500</v>
      </c>
      <c r="P4725" s="62">
        <v>1355</v>
      </c>
      <c r="Q4725" s="62" t="s">
        <v>1928</v>
      </c>
      <c r="R4725" s="25">
        <f>+テーブル1[[#This Row],[合計金額]]*テーブル1[[#This Row],[自社報酬率％]]/100</f>
        <v>7250</v>
      </c>
    </row>
    <row r="4726" spans="1:18">
      <c r="A4726" s="7">
        <v>45962</v>
      </c>
      <c r="B4726" t="s">
        <v>2658</v>
      </c>
      <c r="C4726" s="18" t="s">
        <v>1962</v>
      </c>
      <c r="D4726" s="41">
        <v>55</v>
      </c>
      <c r="E4726" s="41">
        <v>45</v>
      </c>
      <c r="F4726" t="s">
        <v>19</v>
      </c>
      <c r="G4726" s="28">
        <v>45962</v>
      </c>
      <c r="H4726" s="26" t="s">
        <v>3132</v>
      </c>
      <c r="I4726" s="49">
        <v>19050</v>
      </c>
      <c r="J4726" s="61">
        <v>1</v>
      </c>
      <c r="K4726" s="61"/>
      <c r="L4726" s="63">
        <v>0</v>
      </c>
      <c r="M4726" s="61"/>
      <c r="N4726" s="64">
        <v>1</v>
      </c>
      <c r="O4726" s="136">
        <v>19050</v>
      </c>
      <c r="P4726" s="62">
        <v>1356</v>
      </c>
      <c r="Q4726" s="62" t="s">
        <v>1935</v>
      </c>
      <c r="R4726" s="25">
        <f>+テーブル1[[#This Row],[合計金額]]*テーブル1[[#This Row],[自社報酬率％]]/100</f>
        <v>8572.5</v>
      </c>
    </row>
    <row r="4727" spans="1:18">
      <c r="A4727" s="7">
        <v>45962</v>
      </c>
      <c r="B4727" t="s">
        <v>2658</v>
      </c>
      <c r="C4727" s="18" t="s">
        <v>1962</v>
      </c>
      <c r="D4727" s="41">
        <v>55</v>
      </c>
      <c r="E4727" s="41">
        <v>45</v>
      </c>
      <c r="F4727" t="s">
        <v>19</v>
      </c>
      <c r="G4727" s="28">
        <v>45992</v>
      </c>
      <c r="H4727" s="26" t="s">
        <v>3133</v>
      </c>
      <c r="I4727" s="49">
        <v>19050</v>
      </c>
      <c r="J4727" s="61">
        <v>1</v>
      </c>
      <c r="K4727" s="61"/>
      <c r="L4727" s="63">
        <v>0</v>
      </c>
      <c r="M4727" s="61"/>
      <c r="N4727" s="64">
        <v>1</v>
      </c>
      <c r="O4727" s="136">
        <v>19050</v>
      </c>
      <c r="P4727" s="62">
        <v>1357</v>
      </c>
      <c r="Q4727" s="62" t="s">
        <v>1928</v>
      </c>
      <c r="R4727" s="25">
        <f>+テーブル1[[#This Row],[合計金額]]*テーブル1[[#This Row],[自社報酬率％]]/100</f>
        <v>8572.5</v>
      </c>
    </row>
    <row r="4728" spans="1:18">
      <c r="A4728" s="7">
        <v>45962</v>
      </c>
      <c r="B4728" t="s">
        <v>2658</v>
      </c>
      <c r="C4728" s="18" t="s">
        <v>1962</v>
      </c>
      <c r="D4728" s="41">
        <v>55</v>
      </c>
      <c r="E4728" s="41">
        <v>45</v>
      </c>
      <c r="F4728" t="s">
        <v>19</v>
      </c>
      <c r="G4728" s="28">
        <v>46023</v>
      </c>
      <c r="H4728" s="26" t="s">
        <v>3134</v>
      </c>
      <c r="I4728" s="49">
        <v>19050</v>
      </c>
      <c r="J4728" s="61">
        <v>1</v>
      </c>
      <c r="K4728" s="61"/>
      <c r="L4728" s="63">
        <v>0</v>
      </c>
      <c r="M4728" s="61"/>
      <c r="N4728" s="64">
        <v>1</v>
      </c>
      <c r="O4728" s="136">
        <v>19050</v>
      </c>
      <c r="P4728" s="62">
        <v>1358</v>
      </c>
      <c r="Q4728" s="62" t="s">
        <v>1928</v>
      </c>
      <c r="R4728" s="25">
        <f>+テーブル1[[#This Row],[合計金額]]*テーブル1[[#This Row],[自社報酬率％]]/100</f>
        <v>8572.5</v>
      </c>
    </row>
    <row r="4729" spans="1:18">
      <c r="A4729" s="7">
        <v>45962</v>
      </c>
      <c r="B4729" t="s">
        <v>2658</v>
      </c>
      <c r="C4729" s="18" t="s">
        <v>1962</v>
      </c>
      <c r="D4729" s="41">
        <v>55</v>
      </c>
      <c r="E4729" s="41">
        <v>45</v>
      </c>
      <c r="F4729" t="s">
        <v>19</v>
      </c>
      <c r="G4729" s="28">
        <v>46054</v>
      </c>
      <c r="H4729" s="26" t="s">
        <v>3135</v>
      </c>
      <c r="I4729" s="49">
        <v>19050</v>
      </c>
      <c r="J4729" s="61">
        <v>1</v>
      </c>
      <c r="K4729" s="61"/>
      <c r="L4729" s="63">
        <v>0</v>
      </c>
      <c r="M4729" s="61"/>
      <c r="N4729" s="64">
        <v>1</v>
      </c>
      <c r="O4729" s="136">
        <v>19050</v>
      </c>
      <c r="P4729" s="62">
        <v>1359</v>
      </c>
      <c r="Q4729" s="62" t="s">
        <v>1928</v>
      </c>
      <c r="R4729" s="25">
        <f>+テーブル1[[#This Row],[合計金額]]*テーブル1[[#This Row],[自社報酬率％]]/100</f>
        <v>8572.5</v>
      </c>
    </row>
    <row r="4730" spans="1:18">
      <c r="A4730" s="7">
        <v>45962</v>
      </c>
      <c r="B4730" t="s">
        <v>2658</v>
      </c>
      <c r="C4730" s="18" t="s">
        <v>1962</v>
      </c>
      <c r="D4730" s="41">
        <v>55</v>
      </c>
      <c r="E4730" s="41">
        <v>45</v>
      </c>
      <c r="F4730" t="s">
        <v>19</v>
      </c>
      <c r="G4730" s="28">
        <v>46082</v>
      </c>
      <c r="H4730" s="26" t="s">
        <v>3136</v>
      </c>
      <c r="I4730" s="49">
        <v>19050</v>
      </c>
      <c r="J4730" s="61">
        <v>1</v>
      </c>
      <c r="K4730" s="61"/>
      <c r="L4730" s="63">
        <v>0</v>
      </c>
      <c r="M4730" s="61"/>
      <c r="N4730" s="64">
        <v>1</v>
      </c>
      <c r="O4730" s="136">
        <v>19050</v>
      </c>
      <c r="P4730" s="62">
        <v>1360</v>
      </c>
      <c r="Q4730" s="62" t="s">
        <v>1928</v>
      </c>
      <c r="R4730" s="25">
        <f>+テーブル1[[#This Row],[合計金額]]*テーブル1[[#This Row],[自社報酬率％]]/100</f>
        <v>8572.5</v>
      </c>
    </row>
    <row r="4731" spans="1:18">
      <c r="A4731" s="7">
        <v>45962</v>
      </c>
      <c r="B4731" t="s">
        <v>2658</v>
      </c>
      <c r="C4731" s="18" t="s">
        <v>1962</v>
      </c>
      <c r="D4731" s="41">
        <v>55</v>
      </c>
      <c r="E4731" s="41">
        <v>45</v>
      </c>
      <c r="F4731" t="s">
        <v>19</v>
      </c>
      <c r="G4731" s="28">
        <v>46113</v>
      </c>
      <c r="H4731" s="26" t="s">
        <v>3137</v>
      </c>
      <c r="I4731" s="49">
        <v>19050</v>
      </c>
      <c r="J4731" s="61">
        <v>1</v>
      </c>
      <c r="K4731" s="61"/>
      <c r="L4731" s="63">
        <v>0</v>
      </c>
      <c r="M4731" s="61"/>
      <c r="N4731" s="64">
        <v>1</v>
      </c>
      <c r="O4731" s="136">
        <v>19050</v>
      </c>
      <c r="P4731" s="62">
        <v>1361</v>
      </c>
      <c r="Q4731" s="62" t="s">
        <v>1928</v>
      </c>
      <c r="R4731" s="25">
        <f>+テーブル1[[#This Row],[合計金額]]*テーブル1[[#This Row],[自社報酬率％]]/100</f>
        <v>8572.5</v>
      </c>
    </row>
    <row r="4732" spans="1:18">
      <c r="A4732" s="7">
        <v>45962</v>
      </c>
      <c r="B4732" t="s">
        <v>2630</v>
      </c>
      <c r="C4732" s="18" t="s">
        <v>2043</v>
      </c>
      <c r="D4732" s="41">
        <v>60</v>
      </c>
      <c r="E4732" s="41">
        <v>40</v>
      </c>
      <c r="F4732" t="s">
        <v>16</v>
      </c>
      <c r="G4732" s="28">
        <v>45992</v>
      </c>
      <c r="H4732" s="26" t="s">
        <v>3138</v>
      </c>
      <c r="I4732" s="49">
        <v>10780</v>
      </c>
      <c r="J4732" s="61">
        <v>4</v>
      </c>
      <c r="K4732" s="61"/>
      <c r="L4732" s="63">
        <v>0</v>
      </c>
      <c r="M4732" s="61"/>
      <c r="N4732" s="64">
        <v>4</v>
      </c>
      <c r="O4732" s="136">
        <v>43120</v>
      </c>
      <c r="P4732" s="62">
        <v>1362</v>
      </c>
      <c r="Q4732" s="62" t="s">
        <v>1928</v>
      </c>
      <c r="R4732" s="25">
        <f>+テーブル1[[#This Row],[合計金額]]*テーブル1[[#This Row],[自社報酬率％]]/100</f>
        <v>17248</v>
      </c>
    </row>
    <row r="4733" spans="1:18">
      <c r="A4733" s="7">
        <v>45962</v>
      </c>
      <c r="B4733" t="s">
        <v>2630</v>
      </c>
      <c r="C4733" s="18" t="s">
        <v>2045</v>
      </c>
      <c r="D4733" s="41">
        <v>40</v>
      </c>
      <c r="E4733" s="41">
        <v>60</v>
      </c>
      <c r="F4733" t="s">
        <v>16</v>
      </c>
      <c r="G4733" s="28">
        <v>45992</v>
      </c>
      <c r="H4733" s="26" t="s">
        <v>3139</v>
      </c>
      <c r="I4733" s="49">
        <v>16500</v>
      </c>
      <c r="J4733" s="61">
        <v>3</v>
      </c>
      <c r="K4733" s="61"/>
      <c r="L4733" s="63">
        <v>0</v>
      </c>
      <c r="M4733" s="61"/>
      <c r="N4733" s="64">
        <v>3</v>
      </c>
      <c r="O4733" s="136">
        <v>49500</v>
      </c>
      <c r="P4733" s="62">
        <v>1363</v>
      </c>
      <c r="Q4733" s="62" t="s">
        <v>1928</v>
      </c>
      <c r="R4733" s="25">
        <f>+テーブル1[[#This Row],[合計金額]]*テーブル1[[#This Row],[自社報酬率％]]/100</f>
        <v>29700</v>
      </c>
    </row>
    <row r="4734" spans="1:18">
      <c r="A4734" s="7">
        <v>45962</v>
      </c>
      <c r="B4734" t="s">
        <v>2664</v>
      </c>
      <c r="C4734" s="18" t="s">
        <v>2043</v>
      </c>
      <c r="D4734" s="41">
        <v>60</v>
      </c>
      <c r="E4734" s="41">
        <v>40</v>
      </c>
      <c r="F4734" t="s">
        <v>16</v>
      </c>
      <c r="G4734" s="28">
        <v>45992</v>
      </c>
      <c r="H4734" s="26" t="s">
        <v>3140</v>
      </c>
      <c r="I4734" s="49">
        <v>10780</v>
      </c>
      <c r="J4734" s="61">
        <v>1</v>
      </c>
      <c r="K4734" s="61">
        <v>0</v>
      </c>
      <c r="L4734" s="63">
        <v>0</v>
      </c>
      <c r="M4734" s="61"/>
      <c r="N4734" s="64">
        <v>1</v>
      </c>
      <c r="O4734" s="136">
        <v>10780</v>
      </c>
      <c r="P4734" s="62">
        <v>92</v>
      </c>
      <c r="Q4734" s="62" t="s">
        <v>1928</v>
      </c>
      <c r="R4734" s="25">
        <f>+テーブル1[[#This Row],[合計金額]]*テーブル1[[#This Row],[自社報酬率％]]/100</f>
        <v>4312</v>
      </c>
    </row>
    <row r="4735" spans="1:18">
      <c r="A4735" s="7">
        <v>45962</v>
      </c>
      <c r="B4735" t="s">
        <v>2664</v>
      </c>
      <c r="C4735" s="18" t="s">
        <v>1962</v>
      </c>
      <c r="D4735" s="41">
        <v>50</v>
      </c>
      <c r="E4735" s="41">
        <v>50</v>
      </c>
      <c r="F4735" t="s">
        <v>16</v>
      </c>
      <c r="G4735" s="28">
        <v>45992</v>
      </c>
      <c r="H4735" s="26" t="s">
        <v>3103</v>
      </c>
      <c r="I4735" s="49">
        <v>13200</v>
      </c>
      <c r="J4735" s="61">
        <v>9</v>
      </c>
      <c r="K4735" s="61">
        <v>0</v>
      </c>
      <c r="L4735" s="63">
        <v>0</v>
      </c>
      <c r="M4735" s="61"/>
      <c r="N4735" s="64">
        <v>9</v>
      </c>
      <c r="O4735" s="136">
        <v>118800</v>
      </c>
      <c r="P4735" s="62">
        <v>93</v>
      </c>
      <c r="Q4735" s="62" t="s">
        <v>1928</v>
      </c>
      <c r="R4735" s="25">
        <f>+テーブル1[[#This Row],[合計金額]]*テーブル1[[#This Row],[自社報酬率％]]/100</f>
        <v>59400</v>
      </c>
    </row>
    <row r="4736" spans="1:18">
      <c r="A4736" s="7">
        <v>45962</v>
      </c>
      <c r="B4736" t="s">
        <v>2664</v>
      </c>
      <c r="C4736" s="18" t="s">
        <v>1962</v>
      </c>
      <c r="D4736" s="41">
        <v>50</v>
      </c>
      <c r="E4736" s="41">
        <v>50</v>
      </c>
      <c r="F4736" t="s">
        <v>16</v>
      </c>
      <c r="G4736" s="28">
        <v>45992</v>
      </c>
      <c r="H4736" s="26" t="s">
        <v>3103</v>
      </c>
      <c r="I4736" s="49">
        <v>14500</v>
      </c>
      <c r="J4736" s="61">
        <v>10</v>
      </c>
      <c r="K4736" s="61">
        <v>0</v>
      </c>
      <c r="L4736" s="63">
        <v>0</v>
      </c>
      <c r="M4736" s="61"/>
      <c r="N4736" s="64">
        <v>10</v>
      </c>
      <c r="O4736" s="136">
        <v>145000</v>
      </c>
      <c r="P4736" s="62">
        <v>94</v>
      </c>
      <c r="Q4736" s="62" t="s">
        <v>1928</v>
      </c>
      <c r="R4736" s="25">
        <f>+テーブル1[[#This Row],[合計金額]]*テーブル1[[#This Row],[自社報酬率％]]/100</f>
        <v>72500</v>
      </c>
    </row>
    <row r="4737" spans="1:18">
      <c r="A4737" s="7">
        <v>45962</v>
      </c>
      <c r="B4737" t="s">
        <v>2664</v>
      </c>
      <c r="C4737" s="18" t="s">
        <v>2023</v>
      </c>
      <c r="D4737" s="41">
        <v>50</v>
      </c>
      <c r="E4737" s="41">
        <v>50</v>
      </c>
      <c r="F4737" t="s">
        <v>16</v>
      </c>
      <c r="G4737" s="28">
        <v>45992</v>
      </c>
      <c r="H4737" s="26" t="s">
        <v>3128</v>
      </c>
      <c r="I4737" s="49">
        <v>3150</v>
      </c>
      <c r="J4737" s="61">
        <v>19</v>
      </c>
      <c r="K4737" s="61">
        <v>0</v>
      </c>
      <c r="L4737" s="63">
        <v>0</v>
      </c>
      <c r="M4737" s="61"/>
      <c r="N4737" s="64">
        <v>19</v>
      </c>
      <c r="O4737" s="136">
        <v>59850</v>
      </c>
      <c r="P4737" s="62">
        <v>95</v>
      </c>
      <c r="Q4737" s="62" t="s">
        <v>1928</v>
      </c>
      <c r="R4737" s="25">
        <f>+テーブル1[[#This Row],[合計金額]]*テーブル1[[#This Row],[自社報酬率％]]/100</f>
        <v>29925</v>
      </c>
    </row>
    <row r="4738" spans="1:18">
      <c r="A4738" s="7">
        <v>45962</v>
      </c>
      <c r="B4738" t="s">
        <v>2664</v>
      </c>
      <c r="C4738" s="18" t="s">
        <v>2023</v>
      </c>
      <c r="D4738" s="41">
        <v>50</v>
      </c>
      <c r="E4738" s="41">
        <v>50</v>
      </c>
      <c r="F4738" t="s">
        <v>16</v>
      </c>
      <c r="G4738" s="28">
        <v>45992</v>
      </c>
      <c r="H4738" s="26" t="s">
        <v>3128</v>
      </c>
      <c r="I4738" s="49">
        <v>4980</v>
      </c>
      <c r="J4738" s="61">
        <v>3</v>
      </c>
      <c r="K4738" s="61">
        <v>0</v>
      </c>
      <c r="L4738" s="63">
        <v>0</v>
      </c>
      <c r="M4738" s="61"/>
      <c r="N4738" s="64">
        <v>3</v>
      </c>
      <c r="O4738" s="136">
        <v>14940</v>
      </c>
      <c r="P4738" s="62">
        <v>96</v>
      </c>
      <c r="Q4738" s="62" t="s">
        <v>1928</v>
      </c>
      <c r="R4738" s="25">
        <f>+テーブル1[[#This Row],[合計金額]]*テーブル1[[#This Row],[自社報酬率％]]/100</f>
        <v>7470</v>
      </c>
    </row>
    <row r="4739" spans="1:18">
      <c r="A4739" s="7">
        <v>45962</v>
      </c>
      <c r="B4739" t="s">
        <v>2664</v>
      </c>
      <c r="C4739" s="18" t="s">
        <v>2045</v>
      </c>
      <c r="D4739" s="41">
        <v>40</v>
      </c>
      <c r="E4739" s="41">
        <v>60</v>
      </c>
      <c r="F4739" t="s">
        <v>16</v>
      </c>
      <c r="G4739" s="28">
        <v>45992</v>
      </c>
      <c r="H4739" s="26" t="s">
        <v>3139</v>
      </c>
      <c r="I4739" s="49">
        <v>16500</v>
      </c>
      <c r="J4739" s="61">
        <v>2</v>
      </c>
      <c r="K4739" s="61">
        <v>0</v>
      </c>
      <c r="L4739" s="63">
        <v>0</v>
      </c>
      <c r="M4739" s="61"/>
      <c r="N4739" s="64">
        <v>2</v>
      </c>
      <c r="O4739" s="136">
        <v>33000</v>
      </c>
      <c r="P4739" s="62">
        <v>97</v>
      </c>
      <c r="Q4739" s="62" t="s">
        <v>1928</v>
      </c>
      <c r="R4739" s="25">
        <f>+テーブル1[[#This Row],[合計金額]]*テーブル1[[#This Row],[自社報酬率％]]/100</f>
        <v>19800</v>
      </c>
    </row>
    <row r="4740" spans="1:18">
      <c r="A4740" s="7">
        <v>45962</v>
      </c>
      <c r="B4740" t="s">
        <v>2664</v>
      </c>
      <c r="C4740" s="18" t="s">
        <v>2050</v>
      </c>
      <c r="D4740" s="41">
        <v>50</v>
      </c>
      <c r="E4740" s="41">
        <v>50</v>
      </c>
      <c r="F4740" t="s">
        <v>16</v>
      </c>
      <c r="G4740" s="28">
        <v>45992</v>
      </c>
      <c r="H4740" s="26" t="s">
        <v>3141</v>
      </c>
      <c r="I4740" s="49">
        <v>9800</v>
      </c>
      <c r="J4740" s="61">
        <v>2</v>
      </c>
      <c r="K4740" s="61">
        <v>0</v>
      </c>
      <c r="L4740" s="63">
        <v>0</v>
      </c>
      <c r="M4740" s="61"/>
      <c r="N4740" s="64">
        <v>2</v>
      </c>
      <c r="O4740" s="136">
        <v>19600</v>
      </c>
      <c r="P4740" s="62">
        <v>98</v>
      </c>
      <c r="Q4740" s="62" t="s">
        <v>1928</v>
      </c>
      <c r="R4740" s="25">
        <f>+テーブル1[[#This Row],[合計金額]]*テーブル1[[#This Row],[自社報酬率％]]/100</f>
        <v>9800</v>
      </c>
    </row>
    <row r="4741" spans="1:18">
      <c r="A4741" s="7">
        <v>45962</v>
      </c>
      <c r="B4741" t="s">
        <v>2665</v>
      </c>
      <c r="C4741" s="18" t="s">
        <v>24</v>
      </c>
      <c r="D4741" s="41">
        <v>100</v>
      </c>
      <c r="E4741" s="41">
        <v>100</v>
      </c>
      <c r="G4741" s="28">
        <v>45962</v>
      </c>
      <c r="H4741" s="26" t="s">
        <v>2078</v>
      </c>
      <c r="I4741" s="49">
        <v>188000</v>
      </c>
      <c r="J4741" s="61">
        <v>1</v>
      </c>
      <c r="K4741" s="61"/>
      <c r="L4741" s="63"/>
      <c r="M4741" s="61"/>
      <c r="N4741" s="64">
        <v>1</v>
      </c>
      <c r="O4741" s="136">
        <v>188000</v>
      </c>
      <c r="P4741" s="62">
        <v>114</v>
      </c>
      <c r="Q4741" s="62" t="s">
        <v>1935</v>
      </c>
      <c r="R4741" s="25">
        <f>+テーブル1[[#This Row],[合計金額]]*テーブル1[[#This Row],[自社報酬率％]]/100</f>
        <v>188000</v>
      </c>
    </row>
    <row r="4742" spans="1:18">
      <c r="A4742" s="7">
        <v>45962</v>
      </c>
      <c r="B4742" t="s">
        <v>2665</v>
      </c>
      <c r="C4742" s="18" t="s">
        <v>24</v>
      </c>
      <c r="D4742" s="41">
        <v>100</v>
      </c>
      <c r="E4742" s="41">
        <v>100</v>
      </c>
      <c r="G4742" s="28">
        <v>45962</v>
      </c>
      <c r="H4742" s="26" t="s">
        <v>2078</v>
      </c>
      <c r="I4742" s="49">
        <v>217800</v>
      </c>
      <c r="J4742" s="61">
        <v>2</v>
      </c>
      <c r="K4742" s="61"/>
      <c r="L4742" s="63"/>
      <c r="M4742" s="61"/>
      <c r="N4742" s="64">
        <v>2</v>
      </c>
      <c r="O4742" s="136">
        <v>435600</v>
      </c>
      <c r="P4742" s="62">
        <v>115</v>
      </c>
      <c r="Q4742" s="62" t="s">
        <v>1935</v>
      </c>
      <c r="R4742" s="25">
        <f>+テーブル1[[#This Row],[合計金額]]*テーブル1[[#This Row],[自社報酬率％]]/100</f>
        <v>435600</v>
      </c>
    </row>
    <row r="4743" spans="1:18">
      <c r="A4743" s="7">
        <v>45962</v>
      </c>
      <c r="B4743" t="s">
        <v>2665</v>
      </c>
      <c r="C4743" s="18" t="s">
        <v>2043</v>
      </c>
      <c r="D4743" s="41">
        <v>60</v>
      </c>
      <c r="E4743" s="41">
        <v>40</v>
      </c>
      <c r="G4743" s="28">
        <v>45962</v>
      </c>
      <c r="H4743" s="26" t="s">
        <v>3142</v>
      </c>
      <c r="I4743" s="49">
        <v>349200</v>
      </c>
      <c r="J4743" s="61">
        <v>2</v>
      </c>
      <c r="K4743" s="61"/>
      <c r="L4743" s="63"/>
      <c r="M4743" s="61"/>
      <c r="N4743" s="64">
        <v>2</v>
      </c>
      <c r="O4743" s="136">
        <v>698400</v>
      </c>
      <c r="P4743" s="62">
        <v>116</v>
      </c>
      <c r="Q4743" s="62" t="s">
        <v>1935</v>
      </c>
      <c r="R4743" s="25">
        <f>+テーブル1[[#This Row],[合計金額]]*テーブル1[[#This Row],[自社報酬率％]]/100</f>
        <v>279360</v>
      </c>
    </row>
    <row r="4744" spans="1:18">
      <c r="A4744" s="7">
        <v>45962</v>
      </c>
      <c r="B4744" t="s">
        <v>2665</v>
      </c>
      <c r="C4744" s="18" t="s">
        <v>2043</v>
      </c>
      <c r="D4744" s="41">
        <v>60</v>
      </c>
      <c r="E4744" s="41">
        <v>40</v>
      </c>
      <c r="G4744" s="28">
        <v>45962</v>
      </c>
      <c r="H4744" s="26" t="s">
        <v>3143</v>
      </c>
      <c r="I4744" s="49">
        <v>198000</v>
      </c>
      <c r="J4744" s="61">
        <v>1</v>
      </c>
      <c r="K4744" s="61"/>
      <c r="L4744" s="63"/>
      <c r="M4744" s="61"/>
      <c r="N4744" s="64">
        <v>1</v>
      </c>
      <c r="O4744" s="136">
        <v>198000</v>
      </c>
      <c r="P4744" s="62">
        <v>117</v>
      </c>
      <c r="Q4744" s="62" t="s">
        <v>1935</v>
      </c>
      <c r="R4744" s="25">
        <f>+テーブル1[[#This Row],[合計金額]]*テーブル1[[#This Row],[自社報酬率％]]/100</f>
        <v>79200</v>
      </c>
    </row>
    <row r="4745" spans="1:18">
      <c r="A4745" s="7">
        <v>45962</v>
      </c>
      <c r="B4745" t="s">
        <v>2665</v>
      </c>
      <c r="C4745" s="18" t="s">
        <v>2043</v>
      </c>
      <c r="D4745" s="41">
        <v>60</v>
      </c>
      <c r="E4745" s="41">
        <v>40</v>
      </c>
      <c r="G4745" s="28">
        <v>45962</v>
      </c>
      <c r="H4745" s="26" t="s">
        <v>3144</v>
      </c>
      <c r="I4745" s="49">
        <v>98000</v>
      </c>
      <c r="J4745" s="61">
        <v>1</v>
      </c>
      <c r="K4745" s="61"/>
      <c r="L4745" s="63"/>
      <c r="M4745" s="61"/>
      <c r="N4745" s="64">
        <v>1</v>
      </c>
      <c r="O4745" s="136">
        <v>98000</v>
      </c>
      <c r="P4745" s="62">
        <v>118</v>
      </c>
      <c r="Q4745" s="62" t="s">
        <v>1935</v>
      </c>
      <c r="R4745" s="25">
        <f>+テーブル1[[#This Row],[合計金額]]*テーブル1[[#This Row],[自社報酬率％]]/100</f>
        <v>39200</v>
      </c>
    </row>
    <row r="4746" spans="1:18">
      <c r="A4746" s="7">
        <v>45962</v>
      </c>
      <c r="B4746" t="s">
        <v>2665</v>
      </c>
      <c r="C4746" s="18" t="s">
        <v>2043</v>
      </c>
      <c r="D4746" s="41">
        <v>60</v>
      </c>
      <c r="E4746" s="41">
        <v>40</v>
      </c>
      <c r="G4746" s="28">
        <v>45962</v>
      </c>
      <c r="H4746" s="26" t="s">
        <v>3144</v>
      </c>
      <c r="I4746" s="49">
        <v>100000</v>
      </c>
      <c r="J4746" s="61">
        <v>1</v>
      </c>
      <c r="K4746" s="61"/>
      <c r="L4746" s="63"/>
      <c r="M4746" s="61"/>
      <c r="N4746" s="64">
        <v>1</v>
      </c>
      <c r="O4746" s="136">
        <v>100000</v>
      </c>
      <c r="P4746" s="62">
        <v>119</v>
      </c>
      <c r="Q4746" s="62" t="s">
        <v>1935</v>
      </c>
      <c r="R4746" s="25">
        <f>+テーブル1[[#This Row],[合計金額]]*テーブル1[[#This Row],[自社報酬率％]]/100</f>
        <v>40000</v>
      </c>
    </row>
    <row r="4747" spans="1:18">
      <c r="A4747" s="7">
        <v>45962</v>
      </c>
      <c r="B4747" t="s">
        <v>2665</v>
      </c>
      <c r="C4747" s="18" t="s">
        <v>2045</v>
      </c>
      <c r="D4747" s="41">
        <v>40</v>
      </c>
      <c r="E4747" s="41">
        <v>60</v>
      </c>
      <c r="G4747" s="28">
        <v>45962</v>
      </c>
      <c r="H4747" s="26" t="s">
        <v>3065</v>
      </c>
      <c r="I4747" s="49">
        <v>3000</v>
      </c>
      <c r="J4747" s="61">
        <v>4</v>
      </c>
      <c r="K4747" s="61"/>
      <c r="L4747" s="63"/>
      <c r="M4747" s="61"/>
      <c r="N4747" s="64">
        <v>4</v>
      </c>
      <c r="O4747" s="136">
        <v>12000</v>
      </c>
      <c r="P4747" s="62">
        <v>120</v>
      </c>
      <c r="Q4747" s="62" t="s">
        <v>1935</v>
      </c>
      <c r="R4747" s="25">
        <f>+テーブル1[[#This Row],[合計金額]]*テーブル1[[#This Row],[自社報酬率％]]/100</f>
        <v>7200</v>
      </c>
    </row>
    <row r="4748" spans="1:18">
      <c r="A4748" s="7">
        <v>45962</v>
      </c>
      <c r="B4748" t="s">
        <v>2665</v>
      </c>
      <c r="C4748" s="18" t="s">
        <v>2045</v>
      </c>
      <c r="D4748" s="41">
        <v>40</v>
      </c>
      <c r="E4748" s="41">
        <v>60</v>
      </c>
      <c r="G4748" s="28">
        <v>45978</v>
      </c>
      <c r="H4748" s="26" t="s">
        <v>3065</v>
      </c>
      <c r="I4748" s="49">
        <v>-2615</v>
      </c>
      <c r="J4748" s="61">
        <v>1</v>
      </c>
      <c r="K4748" s="61"/>
      <c r="L4748" s="63"/>
      <c r="M4748" s="61"/>
      <c r="N4748" s="64">
        <v>1</v>
      </c>
      <c r="O4748" s="136">
        <v>-2615</v>
      </c>
      <c r="P4748" s="62">
        <v>145</v>
      </c>
      <c r="Q4748" s="62" t="s">
        <v>1935</v>
      </c>
      <c r="R4748" s="25">
        <f>+テーブル1[[#This Row],[合計金額]]*テーブル1[[#This Row],[自社報酬率％]]/100</f>
        <v>-1569</v>
      </c>
    </row>
    <row r="4749" spans="1:18">
      <c r="A4749" s="7">
        <v>45962</v>
      </c>
      <c r="B4749" t="s">
        <v>2665</v>
      </c>
      <c r="C4749" s="18" t="s">
        <v>3145</v>
      </c>
      <c r="D4749" s="41">
        <v>0</v>
      </c>
      <c r="E4749" s="41">
        <v>100</v>
      </c>
      <c r="G4749" s="28">
        <v>45978</v>
      </c>
      <c r="H4749" s="26"/>
      <c r="I4749" s="49">
        <v>-385</v>
      </c>
      <c r="J4749" s="61">
        <v>1</v>
      </c>
      <c r="K4749" s="61"/>
      <c r="L4749" s="63"/>
      <c r="M4749" s="61"/>
      <c r="N4749" s="64">
        <v>1</v>
      </c>
      <c r="O4749" s="136">
        <v>-385</v>
      </c>
      <c r="P4749" s="62">
        <v>146</v>
      </c>
      <c r="Q4749" s="62" t="s">
        <v>1935</v>
      </c>
      <c r="R4749" s="25">
        <f>+テーブル1[[#This Row],[合計金額]]*テーブル1[[#This Row],[自社報酬率％]]/100</f>
        <v>-385</v>
      </c>
    </row>
    <row r="4750" spans="1:18">
      <c r="A4750" s="7">
        <v>45962</v>
      </c>
      <c r="B4750" t="s">
        <v>2665</v>
      </c>
      <c r="C4750" s="18" t="s">
        <v>2212</v>
      </c>
      <c r="D4750" s="41">
        <v>10</v>
      </c>
      <c r="E4750" s="41">
        <v>90</v>
      </c>
      <c r="G4750" s="28">
        <v>45982</v>
      </c>
      <c r="H4750" s="26" t="s">
        <v>2216</v>
      </c>
      <c r="I4750" s="49">
        <v>-29315</v>
      </c>
      <c r="J4750" s="61">
        <v>1</v>
      </c>
      <c r="K4750" s="61"/>
      <c r="L4750" s="63"/>
      <c r="M4750" s="61"/>
      <c r="N4750" s="64">
        <v>1</v>
      </c>
      <c r="O4750" s="136">
        <v>-29315</v>
      </c>
      <c r="P4750" s="62">
        <v>147</v>
      </c>
      <c r="Q4750" s="62" t="s">
        <v>1935</v>
      </c>
      <c r="R4750" s="25">
        <f>+テーブル1[[#This Row],[合計金額]]*テーブル1[[#This Row],[自社報酬率％]]/100</f>
        <v>-26383.5</v>
      </c>
    </row>
    <row r="4751" spans="1:18">
      <c r="A4751" s="7">
        <v>45962</v>
      </c>
      <c r="B4751" t="s">
        <v>2665</v>
      </c>
      <c r="C4751" s="18" t="s">
        <v>3145</v>
      </c>
      <c r="D4751" s="41">
        <v>0</v>
      </c>
      <c r="E4751" s="41">
        <v>100</v>
      </c>
      <c r="G4751" s="28">
        <v>45982</v>
      </c>
      <c r="H4751" s="26"/>
      <c r="I4751" s="49">
        <v>-385</v>
      </c>
      <c r="J4751" s="61">
        <v>1</v>
      </c>
      <c r="K4751" s="61"/>
      <c r="L4751" s="63"/>
      <c r="M4751" s="61"/>
      <c r="N4751" s="64">
        <v>1</v>
      </c>
      <c r="O4751" s="136">
        <v>-385</v>
      </c>
      <c r="P4751" s="62">
        <v>148</v>
      </c>
      <c r="Q4751" s="62" t="s">
        <v>1935</v>
      </c>
      <c r="R4751" s="25">
        <f>+テーブル1[[#This Row],[合計金額]]*テーブル1[[#This Row],[自社報酬率％]]/100</f>
        <v>-385</v>
      </c>
    </row>
    <row r="4752" spans="1:18">
      <c r="A4752" s="7">
        <v>45962</v>
      </c>
      <c r="B4752" t="s">
        <v>2666</v>
      </c>
      <c r="C4752" s="18" t="s">
        <v>24</v>
      </c>
      <c r="D4752" s="41">
        <v>100</v>
      </c>
      <c r="E4752" s="41">
        <v>100</v>
      </c>
      <c r="F4752" t="s">
        <v>19</v>
      </c>
      <c r="G4752" s="28">
        <v>45992</v>
      </c>
      <c r="H4752" s="26" t="s">
        <v>3146</v>
      </c>
      <c r="I4752" s="49">
        <v>2850</v>
      </c>
      <c r="J4752" s="61">
        <v>1</v>
      </c>
      <c r="K4752" s="61">
        <v>0</v>
      </c>
      <c r="L4752" s="63">
        <v>0</v>
      </c>
      <c r="M4752" s="61"/>
      <c r="N4752" s="64">
        <v>1</v>
      </c>
      <c r="O4752" s="136">
        <v>2850</v>
      </c>
      <c r="P4752" s="62">
        <v>313</v>
      </c>
      <c r="Q4752" s="62" t="s">
        <v>1928</v>
      </c>
      <c r="R4752" s="25">
        <f>+テーブル1[[#This Row],[合計金額]]*テーブル1[[#This Row],[自社報酬率％]]/100</f>
        <v>2850</v>
      </c>
    </row>
    <row r="4753" spans="1:18">
      <c r="A4753" s="7">
        <v>45962</v>
      </c>
      <c r="B4753" t="s">
        <v>2666</v>
      </c>
      <c r="C4753" s="18" t="s">
        <v>24</v>
      </c>
      <c r="D4753" s="41">
        <v>100</v>
      </c>
      <c r="E4753" s="41">
        <v>100</v>
      </c>
      <c r="F4753" t="s">
        <v>19</v>
      </c>
      <c r="G4753" s="28">
        <v>46023</v>
      </c>
      <c r="H4753" s="26" t="s">
        <v>3147</v>
      </c>
      <c r="I4753" s="49">
        <v>2850</v>
      </c>
      <c r="J4753" s="61">
        <v>1</v>
      </c>
      <c r="K4753" s="61">
        <v>0</v>
      </c>
      <c r="L4753" s="63">
        <v>0</v>
      </c>
      <c r="M4753" s="61"/>
      <c r="N4753" s="64">
        <v>1</v>
      </c>
      <c r="O4753" s="136">
        <v>2850</v>
      </c>
      <c r="P4753" s="62">
        <v>314</v>
      </c>
      <c r="Q4753" s="62" t="s">
        <v>1928</v>
      </c>
      <c r="R4753" s="25">
        <f>+テーブル1[[#This Row],[合計金額]]*テーブル1[[#This Row],[自社報酬率％]]/100</f>
        <v>2850</v>
      </c>
    </row>
    <row r="4754" spans="1:18">
      <c r="A4754" s="7">
        <v>45962</v>
      </c>
      <c r="B4754" t="s">
        <v>2666</v>
      </c>
      <c r="C4754" s="18" t="s">
        <v>24</v>
      </c>
      <c r="D4754" s="41">
        <v>100</v>
      </c>
      <c r="E4754" s="41">
        <v>100</v>
      </c>
      <c r="F4754" t="s">
        <v>19</v>
      </c>
      <c r="G4754" s="28">
        <v>46054</v>
      </c>
      <c r="H4754" s="26" t="s">
        <v>3148</v>
      </c>
      <c r="I4754" s="49">
        <v>2850</v>
      </c>
      <c r="J4754" s="61">
        <v>1</v>
      </c>
      <c r="K4754" s="61">
        <v>0</v>
      </c>
      <c r="L4754" s="63">
        <v>0</v>
      </c>
      <c r="M4754" s="61"/>
      <c r="N4754" s="64">
        <v>1</v>
      </c>
      <c r="O4754" s="136">
        <v>2850</v>
      </c>
      <c r="P4754" s="62">
        <v>315</v>
      </c>
      <c r="Q4754" s="62" t="s">
        <v>1928</v>
      </c>
      <c r="R4754" s="25">
        <f>+テーブル1[[#This Row],[合計金額]]*テーブル1[[#This Row],[自社報酬率％]]/100</f>
        <v>2850</v>
      </c>
    </row>
    <row r="4755" spans="1:18">
      <c r="A4755" s="7">
        <v>45962</v>
      </c>
      <c r="B4755" t="s">
        <v>2666</v>
      </c>
      <c r="C4755" s="18" t="s">
        <v>24</v>
      </c>
      <c r="D4755" s="41">
        <v>100</v>
      </c>
      <c r="E4755" s="41">
        <v>100</v>
      </c>
      <c r="F4755" t="s">
        <v>19</v>
      </c>
      <c r="G4755" s="28">
        <v>46082</v>
      </c>
      <c r="H4755" s="26" t="s">
        <v>3149</v>
      </c>
      <c r="I4755" s="49">
        <v>2850</v>
      </c>
      <c r="J4755" s="61">
        <v>1</v>
      </c>
      <c r="K4755" s="61">
        <v>0</v>
      </c>
      <c r="L4755" s="63">
        <v>0</v>
      </c>
      <c r="M4755" s="61"/>
      <c r="N4755" s="64">
        <v>1</v>
      </c>
      <c r="O4755" s="136">
        <v>2850</v>
      </c>
      <c r="P4755" s="62">
        <v>316</v>
      </c>
      <c r="Q4755" s="62" t="s">
        <v>1928</v>
      </c>
      <c r="R4755" s="25">
        <f>+テーブル1[[#This Row],[合計金額]]*テーブル1[[#This Row],[自社報酬率％]]/100</f>
        <v>2850</v>
      </c>
    </row>
    <row r="4756" spans="1:18">
      <c r="A4756" s="7">
        <v>45962</v>
      </c>
      <c r="B4756" t="s">
        <v>2666</v>
      </c>
      <c r="C4756" s="18" t="s">
        <v>24</v>
      </c>
      <c r="D4756" s="41">
        <v>100</v>
      </c>
      <c r="E4756" s="41">
        <v>100</v>
      </c>
      <c r="F4756" t="s">
        <v>19</v>
      </c>
      <c r="G4756" s="28">
        <v>46113</v>
      </c>
      <c r="H4756" s="26" t="s">
        <v>3150</v>
      </c>
      <c r="I4756" s="49">
        <v>2850</v>
      </c>
      <c r="J4756" s="61">
        <v>1</v>
      </c>
      <c r="K4756" s="61">
        <v>0</v>
      </c>
      <c r="L4756" s="63">
        <v>0</v>
      </c>
      <c r="M4756" s="61"/>
      <c r="N4756" s="64">
        <v>1</v>
      </c>
      <c r="O4756" s="136">
        <v>2850</v>
      </c>
      <c r="P4756" s="62">
        <v>317</v>
      </c>
      <c r="Q4756" s="62" t="s">
        <v>1928</v>
      </c>
      <c r="R4756" s="25">
        <f>+テーブル1[[#This Row],[合計金額]]*テーブル1[[#This Row],[自社報酬率％]]/100</f>
        <v>2850</v>
      </c>
    </row>
    <row r="4757" spans="1:18">
      <c r="A4757" s="7">
        <v>45962</v>
      </c>
      <c r="B4757" t="s">
        <v>2666</v>
      </c>
      <c r="C4757" s="18" t="s">
        <v>24</v>
      </c>
      <c r="D4757" s="41">
        <v>100</v>
      </c>
      <c r="E4757" s="41">
        <v>100</v>
      </c>
      <c r="F4757" t="s">
        <v>19</v>
      </c>
      <c r="G4757" s="28">
        <v>46143</v>
      </c>
      <c r="H4757" s="26" t="s">
        <v>3151</v>
      </c>
      <c r="I4757" s="49">
        <v>2850</v>
      </c>
      <c r="J4757" s="61">
        <v>1</v>
      </c>
      <c r="K4757" s="61">
        <v>0</v>
      </c>
      <c r="L4757" s="63">
        <v>0</v>
      </c>
      <c r="M4757" s="61"/>
      <c r="N4757" s="64">
        <v>1</v>
      </c>
      <c r="O4757" s="136">
        <v>2850</v>
      </c>
      <c r="P4757" s="62">
        <v>318</v>
      </c>
      <c r="Q4757" s="62" t="s">
        <v>1928</v>
      </c>
      <c r="R4757" s="25">
        <f>+テーブル1[[#This Row],[合計金額]]*テーブル1[[#This Row],[自社報酬率％]]/100</f>
        <v>2850</v>
      </c>
    </row>
    <row r="4758" spans="1:18">
      <c r="A4758" s="7">
        <v>45962</v>
      </c>
      <c r="B4758" t="s">
        <v>2666</v>
      </c>
      <c r="C4758" s="18" t="s">
        <v>24</v>
      </c>
      <c r="D4758" s="41">
        <v>100</v>
      </c>
      <c r="E4758" s="41">
        <v>100</v>
      </c>
      <c r="F4758" t="s">
        <v>16</v>
      </c>
      <c r="G4758" s="28">
        <v>45992</v>
      </c>
      <c r="H4758" s="26" t="s">
        <v>3099</v>
      </c>
      <c r="I4758" s="49">
        <v>3000</v>
      </c>
      <c r="J4758" s="61">
        <v>6</v>
      </c>
      <c r="K4758" s="61">
        <v>0</v>
      </c>
      <c r="L4758" s="63">
        <v>0</v>
      </c>
      <c r="M4758" s="61"/>
      <c r="N4758" s="64">
        <v>6</v>
      </c>
      <c r="O4758" s="136">
        <v>18000</v>
      </c>
      <c r="P4758" s="62">
        <v>319</v>
      </c>
      <c r="Q4758" s="62" t="s">
        <v>1928</v>
      </c>
      <c r="R4758" s="25">
        <f>+テーブル1[[#This Row],[合計金額]]*テーブル1[[#This Row],[自社報酬率％]]/100</f>
        <v>18000</v>
      </c>
    </row>
    <row r="4759" spans="1:18">
      <c r="A4759" s="7">
        <v>45962</v>
      </c>
      <c r="B4759" t="s">
        <v>2666</v>
      </c>
      <c r="C4759" s="18" t="s">
        <v>24</v>
      </c>
      <c r="D4759" s="41">
        <v>100</v>
      </c>
      <c r="E4759" s="41">
        <v>100</v>
      </c>
      <c r="F4759" t="s">
        <v>16</v>
      </c>
      <c r="G4759" s="28">
        <v>45992</v>
      </c>
      <c r="H4759" s="26" t="s">
        <v>3152</v>
      </c>
      <c r="I4759" s="49">
        <v>3000</v>
      </c>
      <c r="J4759" s="61">
        <v>1</v>
      </c>
      <c r="K4759" s="61">
        <v>0</v>
      </c>
      <c r="L4759" s="63">
        <v>0</v>
      </c>
      <c r="M4759" s="61"/>
      <c r="N4759" s="64">
        <v>1</v>
      </c>
      <c r="O4759" s="136">
        <v>3000</v>
      </c>
      <c r="P4759" s="62">
        <v>320</v>
      </c>
      <c r="Q4759" s="62" t="s">
        <v>1928</v>
      </c>
      <c r="R4759" s="25">
        <f>+テーブル1[[#This Row],[合計金額]]*テーブル1[[#This Row],[自社報酬率％]]/100</f>
        <v>3000</v>
      </c>
    </row>
    <row r="4760" spans="1:18">
      <c r="A4760" s="7">
        <v>45962</v>
      </c>
      <c r="B4760" t="s">
        <v>2666</v>
      </c>
      <c r="C4760" s="18" t="s">
        <v>24</v>
      </c>
      <c r="D4760" s="41">
        <v>100</v>
      </c>
      <c r="E4760" s="41">
        <v>100</v>
      </c>
      <c r="F4760" t="s">
        <v>16</v>
      </c>
      <c r="G4760" s="28">
        <v>45992</v>
      </c>
      <c r="H4760" s="26" t="s">
        <v>3153</v>
      </c>
      <c r="I4760" s="49">
        <v>6300</v>
      </c>
      <c r="J4760" s="61">
        <v>1</v>
      </c>
      <c r="K4760" s="61">
        <v>0</v>
      </c>
      <c r="L4760" s="63">
        <v>0</v>
      </c>
      <c r="M4760" s="61"/>
      <c r="N4760" s="64">
        <v>1</v>
      </c>
      <c r="O4760" s="136">
        <v>6300</v>
      </c>
      <c r="P4760" s="62">
        <v>321</v>
      </c>
      <c r="Q4760" s="62" t="s">
        <v>1928</v>
      </c>
      <c r="R4760" s="25">
        <f>+テーブル1[[#This Row],[合計金額]]*テーブル1[[#This Row],[自社報酬率％]]/100</f>
        <v>6300</v>
      </c>
    </row>
    <row r="4761" spans="1:18">
      <c r="A4761" s="7">
        <v>45962</v>
      </c>
      <c r="B4761" t="s">
        <v>2666</v>
      </c>
      <c r="C4761" s="18" t="s">
        <v>24</v>
      </c>
      <c r="D4761" s="41">
        <v>100</v>
      </c>
      <c r="E4761" s="41">
        <v>100</v>
      </c>
      <c r="F4761" t="s">
        <v>20</v>
      </c>
      <c r="G4761" s="28">
        <v>45962</v>
      </c>
      <c r="H4761" s="26" t="s">
        <v>2400</v>
      </c>
      <c r="I4761" s="49">
        <v>188000</v>
      </c>
      <c r="J4761" s="61">
        <v>2</v>
      </c>
      <c r="K4761" s="61">
        <v>0</v>
      </c>
      <c r="L4761" s="63">
        <v>0</v>
      </c>
      <c r="M4761" s="61"/>
      <c r="N4761" s="64">
        <v>2</v>
      </c>
      <c r="O4761" s="136">
        <v>376000</v>
      </c>
      <c r="P4761" s="62">
        <v>322</v>
      </c>
      <c r="Q4761" s="62" t="s">
        <v>1935</v>
      </c>
      <c r="R4761" s="25">
        <f>+テーブル1[[#This Row],[合計金額]]*テーブル1[[#This Row],[自社報酬率％]]/100</f>
        <v>376000</v>
      </c>
    </row>
    <row r="4762" spans="1:18">
      <c r="A4762" s="7">
        <v>45962</v>
      </c>
      <c r="B4762" t="s">
        <v>2666</v>
      </c>
      <c r="C4762" s="18" t="s">
        <v>24</v>
      </c>
      <c r="D4762" s="41">
        <v>100</v>
      </c>
      <c r="E4762" s="41">
        <v>100</v>
      </c>
      <c r="F4762" t="s">
        <v>20</v>
      </c>
      <c r="G4762" s="28">
        <v>45962</v>
      </c>
      <c r="H4762" s="26" t="s">
        <v>2078</v>
      </c>
      <c r="I4762" s="49">
        <v>217800</v>
      </c>
      <c r="J4762" s="61">
        <v>2</v>
      </c>
      <c r="K4762" s="61">
        <v>0</v>
      </c>
      <c r="L4762" s="63">
        <v>0</v>
      </c>
      <c r="M4762" s="61"/>
      <c r="N4762" s="64">
        <v>2</v>
      </c>
      <c r="O4762" s="136">
        <v>435600</v>
      </c>
      <c r="P4762" s="62">
        <v>323</v>
      </c>
      <c r="Q4762" s="62" t="s">
        <v>1935</v>
      </c>
      <c r="R4762" s="25">
        <f>+テーブル1[[#This Row],[合計金額]]*テーブル1[[#This Row],[自社報酬率％]]/100</f>
        <v>435600</v>
      </c>
    </row>
    <row r="4763" spans="1:18">
      <c r="A4763" s="7">
        <v>45962</v>
      </c>
      <c r="B4763" t="s">
        <v>2666</v>
      </c>
      <c r="C4763" s="18" t="s">
        <v>2043</v>
      </c>
      <c r="D4763" s="41">
        <v>60</v>
      </c>
      <c r="E4763" s="41">
        <v>40</v>
      </c>
      <c r="F4763" t="s">
        <v>17</v>
      </c>
      <c r="G4763" s="28">
        <v>45962</v>
      </c>
      <c r="H4763" s="26" t="s">
        <v>3154</v>
      </c>
      <c r="I4763" s="49">
        <v>349200</v>
      </c>
      <c r="J4763" s="61">
        <v>1</v>
      </c>
      <c r="K4763" s="61">
        <v>0</v>
      </c>
      <c r="L4763" s="63">
        <v>0</v>
      </c>
      <c r="M4763" s="61"/>
      <c r="N4763" s="64">
        <v>1</v>
      </c>
      <c r="O4763" s="136">
        <v>349200</v>
      </c>
      <c r="P4763" s="62">
        <v>324</v>
      </c>
      <c r="Q4763" s="62" t="s">
        <v>1935</v>
      </c>
      <c r="R4763" s="25">
        <f>+テーブル1[[#This Row],[合計金額]]*テーブル1[[#This Row],[自社報酬率％]]/100</f>
        <v>139680</v>
      </c>
    </row>
    <row r="4764" spans="1:18">
      <c r="A4764" s="7">
        <v>45962</v>
      </c>
      <c r="B4764" t="s">
        <v>2666</v>
      </c>
      <c r="C4764" s="18" t="s">
        <v>2043</v>
      </c>
      <c r="D4764" s="41">
        <v>60</v>
      </c>
      <c r="E4764" s="41">
        <v>40</v>
      </c>
      <c r="F4764" t="s">
        <v>17</v>
      </c>
      <c r="G4764" s="28">
        <v>45962</v>
      </c>
      <c r="H4764" s="26" t="s">
        <v>3142</v>
      </c>
      <c r="I4764" s="49">
        <v>349200</v>
      </c>
      <c r="J4764" s="61">
        <v>5</v>
      </c>
      <c r="K4764" s="61">
        <v>0</v>
      </c>
      <c r="L4764" s="63">
        <v>0</v>
      </c>
      <c r="M4764" s="61"/>
      <c r="N4764" s="64">
        <v>5</v>
      </c>
      <c r="O4764" s="136">
        <v>1746000</v>
      </c>
      <c r="P4764" s="62">
        <v>325</v>
      </c>
      <c r="Q4764" s="62" t="s">
        <v>1935</v>
      </c>
      <c r="R4764" s="25">
        <f>+テーブル1[[#This Row],[合計金額]]*テーブル1[[#This Row],[自社報酬率％]]/100</f>
        <v>698400</v>
      </c>
    </row>
    <row r="4765" spans="1:18">
      <c r="A4765" s="7">
        <v>45962</v>
      </c>
      <c r="B4765" t="s">
        <v>2666</v>
      </c>
      <c r="C4765" s="18" t="s">
        <v>2043</v>
      </c>
      <c r="D4765" s="41">
        <v>60</v>
      </c>
      <c r="E4765" s="41">
        <v>40</v>
      </c>
      <c r="F4765" t="s">
        <v>17</v>
      </c>
      <c r="G4765" s="28">
        <v>45962</v>
      </c>
      <c r="H4765" s="26" t="s">
        <v>3155</v>
      </c>
      <c r="I4765" s="49">
        <v>349200</v>
      </c>
      <c r="J4765" s="61">
        <v>2</v>
      </c>
      <c r="K4765" s="61">
        <v>0</v>
      </c>
      <c r="L4765" s="63">
        <v>0</v>
      </c>
      <c r="M4765" s="61"/>
      <c r="N4765" s="64">
        <v>2</v>
      </c>
      <c r="O4765" s="136">
        <v>698400</v>
      </c>
      <c r="P4765" s="62">
        <v>326</v>
      </c>
      <c r="Q4765" s="62" t="s">
        <v>1935</v>
      </c>
      <c r="R4765" s="25">
        <f>+テーブル1[[#This Row],[合計金額]]*テーブル1[[#This Row],[自社報酬率％]]/100</f>
        <v>279360</v>
      </c>
    </row>
    <row r="4766" spans="1:18">
      <c r="A4766" s="7">
        <v>45962</v>
      </c>
      <c r="B4766" t="s">
        <v>2666</v>
      </c>
      <c r="C4766" s="18" t="s">
        <v>2043</v>
      </c>
      <c r="D4766" s="41">
        <v>60</v>
      </c>
      <c r="E4766" s="41">
        <v>40</v>
      </c>
      <c r="F4766" t="s">
        <v>18</v>
      </c>
      <c r="G4766" s="28">
        <v>45962</v>
      </c>
      <c r="H4766" s="26" t="s">
        <v>3156</v>
      </c>
      <c r="I4766" s="49">
        <v>29700</v>
      </c>
      <c r="J4766" s="61">
        <v>4</v>
      </c>
      <c r="K4766" s="61">
        <v>0</v>
      </c>
      <c r="L4766" s="63">
        <v>0</v>
      </c>
      <c r="M4766" s="61"/>
      <c r="N4766" s="64">
        <v>4</v>
      </c>
      <c r="O4766" s="136">
        <v>118800</v>
      </c>
      <c r="P4766" s="62">
        <v>327</v>
      </c>
      <c r="Q4766" s="62" t="s">
        <v>1935</v>
      </c>
      <c r="R4766" s="25">
        <f>+テーブル1[[#This Row],[合計金額]]*テーブル1[[#This Row],[自社報酬率％]]/100</f>
        <v>47520</v>
      </c>
    </row>
    <row r="4767" spans="1:18">
      <c r="A4767" s="7">
        <v>45962</v>
      </c>
      <c r="B4767" t="s">
        <v>2666</v>
      </c>
      <c r="C4767" s="18" t="s">
        <v>2043</v>
      </c>
      <c r="D4767" s="41">
        <v>60</v>
      </c>
      <c r="E4767" s="41">
        <v>40</v>
      </c>
      <c r="F4767" t="s">
        <v>16</v>
      </c>
      <c r="G4767" s="28">
        <v>45992</v>
      </c>
      <c r="H4767" s="26" t="s">
        <v>3157</v>
      </c>
      <c r="I4767" s="49">
        <v>10780</v>
      </c>
      <c r="J4767" s="61">
        <v>1</v>
      </c>
      <c r="K4767" s="61">
        <v>0</v>
      </c>
      <c r="L4767" s="63">
        <v>0</v>
      </c>
      <c r="M4767" s="61"/>
      <c r="N4767" s="64">
        <v>1</v>
      </c>
      <c r="O4767" s="136">
        <v>10780</v>
      </c>
      <c r="P4767" s="62">
        <v>328</v>
      </c>
      <c r="Q4767" s="62" t="s">
        <v>1928</v>
      </c>
      <c r="R4767" s="25">
        <f>+テーブル1[[#This Row],[合計金額]]*テーブル1[[#This Row],[自社報酬率％]]/100</f>
        <v>4312</v>
      </c>
    </row>
    <row r="4768" spans="1:18">
      <c r="A4768" s="7">
        <v>45962</v>
      </c>
      <c r="B4768" t="s">
        <v>2666</v>
      </c>
      <c r="C4768" s="18" t="s">
        <v>2043</v>
      </c>
      <c r="D4768" s="41">
        <v>60</v>
      </c>
      <c r="E4768" s="41">
        <v>40</v>
      </c>
      <c r="F4768" t="s">
        <v>16</v>
      </c>
      <c r="G4768" s="28">
        <v>45962</v>
      </c>
      <c r="H4768" s="26" t="s">
        <v>3077</v>
      </c>
      <c r="I4768" s="49">
        <v>10780</v>
      </c>
      <c r="J4768" s="61">
        <v>1</v>
      </c>
      <c r="K4768" s="61">
        <v>0</v>
      </c>
      <c r="L4768" s="63">
        <v>0</v>
      </c>
      <c r="M4768" s="61"/>
      <c r="N4768" s="64">
        <v>1</v>
      </c>
      <c r="O4768" s="136">
        <v>10780</v>
      </c>
      <c r="P4768" s="62">
        <v>329</v>
      </c>
      <c r="Q4768" s="62" t="s">
        <v>1935</v>
      </c>
      <c r="R4768" s="25">
        <f>+テーブル1[[#This Row],[合計金額]]*テーブル1[[#This Row],[自社報酬率％]]/100</f>
        <v>4312</v>
      </c>
    </row>
    <row r="4769" spans="1:18">
      <c r="A4769" s="7">
        <v>45962</v>
      </c>
      <c r="B4769" t="s">
        <v>2666</v>
      </c>
      <c r="C4769" s="18" t="s">
        <v>2043</v>
      </c>
      <c r="D4769" s="41">
        <v>60</v>
      </c>
      <c r="E4769" s="41">
        <v>40</v>
      </c>
      <c r="F4769" t="s">
        <v>16</v>
      </c>
      <c r="G4769" s="28">
        <v>45992</v>
      </c>
      <c r="H4769" s="26" t="s">
        <v>3138</v>
      </c>
      <c r="I4769" s="49">
        <v>10780</v>
      </c>
      <c r="J4769" s="61">
        <v>5</v>
      </c>
      <c r="K4769" s="61">
        <v>0</v>
      </c>
      <c r="L4769" s="63">
        <v>0</v>
      </c>
      <c r="M4769" s="61"/>
      <c r="N4769" s="64">
        <v>5</v>
      </c>
      <c r="O4769" s="136">
        <v>53900</v>
      </c>
      <c r="P4769" s="62">
        <v>330</v>
      </c>
      <c r="Q4769" s="62" t="s">
        <v>1928</v>
      </c>
      <c r="R4769" s="25">
        <f>+テーブル1[[#This Row],[合計金額]]*テーブル1[[#This Row],[自社報酬率％]]/100</f>
        <v>21560</v>
      </c>
    </row>
    <row r="4770" spans="1:18">
      <c r="A4770" s="7">
        <v>45962</v>
      </c>
      <c r="B4770" t="s">
        <v>2666</v>
      </c>
      <c r="C4770" s="18" t="s">
        <v>2043</v>
      </c>
      <c r="D4770" s="41">
        <v>60</v>
      </c>
      <c r="E4770" s="41">
        <v>40</v>
      </c>
      <c r="F4770" t="s">
        <v>16</v>
      </c>
      <c r="G4770" s="28">
        <v>45992</v>
      </c>
      <c r="H4770" s="26" t="s">
        <v>3158</v>
      </c>
      <c r="I4770" s="49">
        <v>10780</v>
      </c>
      <c r="J4770" s="61">
        <v>2</v>
      </c>
      <c r="K4770" s="61">
        <v>0</v>
      </c>
      <c r="L4770" s="63">
        <v>0</v>
      </c>
      <c r="M4770" s="61"/>
      <c r="N4770" s="64">
        <v>2</v>
      </c>
      <c r="O4770" s="136">
        <v>21560</v>
      </c>
      <c r="P4770" s="62">
        <v>331</v>
      </c>
      <c r="Q4770" s="62" t="s">
        <v>1928</v>
      </c>
      <c r="R4770" s="25">
        <f>+テーブル1[[#This Row],[合計金額]]*テーブル1[[#This Row],[自社報酬率％]]/100</f>
        <v>8624</v>
      </c>
    </row>
    <row r="4771" spans="1:18">
      <c r="A4771" s="7">
        <v>45962</v>
      </c>
      <c r="B4771" t="s">
        <v>2666</v>
      </c>
      <c r="C4771" s="18" t="s">
        <v>2043</v>
      </c>
      <c r="D4771" s="41">
        <v>60</v>
      </c>
      <c r="E4771" s="41">
        <v>40</v>
      </c>
      <c r="F4771" t="s">
        <v>16</v>
      </c>
      <c r="G4771" s="28">
        <v>45992</v>
      </c>
      <c r="H4771" s="26" t="s">
        <v>3140</v>
      </c>
      <c r="I4771" s="49">
        <v>10780</v>
      </c>
      <c r="J4771" s="61">
        <v>6</v>
      </c>
      <c r="K4771" s="61">
        <v>0</v>
      </c>
      <c r="L4771" s="63">
        <v>0</v>
      </c>
      <c r="M4771" s="61"/>
      <c r="N4771" s="64">
        <v>6</v>
      </c>
      <c r="O4771" s="136">
        <v>64680</v>
      </c>
      <c r="P4771" s="62">
        <v>332</v>
      </c>
      <c r="Q4771" s="62" t="s">
        <v>1928</v>
      </c>
      <c r="R4771" s="25">
        <f>+テーブル1[[#This Row],[合計金額]]*テーブル1[[#This Row],[自社報酬率％]]/100</f>
        <v>25872</v>
      </c>
    </row>
    <row r="4772" spans="1:18">
      <c r="A4772" s="7">
        <v>45962</v>
      </c>
      <c r="B4772" t="s">
        <v>2666</v>
      </c>
      <c r="C4772" s="18" t="s">
        <v>2048</v>
      </c>
      <c r="D4772" s="41">
        <v>50</v>
      </c>
      <c r="E4772" s="41">
        <v>50</v>
      </c>
      <c r="F4772" t="s">
        <v>16</v>
      </c>
      <c r="G4772" s="28">
        <v>45992</v>
      </c>
      <c r="H4772" s="26" t="s">
        <v>3159</v>
      </c>
      <c r="I4772" s="49">
        <v>27000</v>
      </c>
      <c r="J4772" s="61">
        <v>1</v>
      </c>
      <c r="K4772" s="61">
        <v>0</v>
      </c>
      <c r="L4772" s="63">
        <v>0</v>
      </c>
      <c r="M4772" s="61"/>
      <c r="N4772" s="64">
        <v>1</v>
      </c>
      <c r="O4772" s="136">
        <v>27000</v>
      </c>
      <c r="P4772" s="62">
        <v>333</v>
      </c>
      <c r="Q4772" s="62" t="s">
        <v>1928</v>
      </c>
      <c r="R4772" s="25">
        <f>+テーブル1[[#This Row],[合計金額]]*テーブル1[[#This Row],[自社報酬率％]]/100</f>
        <v>13500</v>
      </c>
    </row>
    <row r="4773" spans="1:18">
      <c r="A4773" s="7">
        <v>45962</v>
      </c>
      <c r="B4773" t="s">
        <v>2666</v>
      </c>
      <c r="C4773" s="18" t="s">
        <v>2045</v>
      </c>
      <c r="D4773" s="41">
        <v>40</v>
      </c>
      <c r="E4773" s="41">
        <v>60</v>
      </c>
      <c r="F4773" t="s">
        <v>113</v>
      </c>
      <c r="G4773" s="28">
        <v>45962</v>
      </c>
      <c r="H4773" s="26" t="s">
        <v>3079</v>
      </c>
      <c r="I4773" s="49">
        <v>130000</v>
      </c>
      <c r="J4773" s="61">
        <v>2</v>
      </c>
      <c r="K4773" s="61">
        <v>0</v>
      </c>
      <c r="L4773" s="63">
        <v>0</v>
      </c>
      <c r="M4773" s="61"/>
      <c r="N4773" s="64">
        <v>2</v>
      </c>
      <c r="O4773" s="136">
        <v>260000</v>
      </c>
      <c r="P4773" s="62">
        <v>334</v>
      </c>
      <c r="Q4773" s="62" t="s">
        <v>1935</v>
      </c>
      <c r="R4773" s="25">
        <f>+テーブル1[[#This Row],[合計金額]]*テーブル1[[#This Row],[自社報酬率％]]/100</f>
        <v>156000</v>
      </c>
    </row>
    <row r="4774" spans="1:18">
      <c r="A4774" s="7">
        <v>45962</v>
      </c>
      <c r="B4774" t="s">
        <v>2666</v>
      </c>
      <c r="C4774" s="18" t="s">
        <v>2045</v>
      </c>
      <c r="D4774" s="41">
        <v>40</v>
      </c>
      <c r="E4774" s="41">
        <v>60</v>
      </c>
      <c r="F4774" t="s">
        <v>27</v>
      </c>
      <c r="G4774" s="28">
        <v>45962</v>
      </c>
      <c r="H4774" s="26" t="s">
        <v>2282</v>
      </c>
      <c r="I4774" s="49">
        <v>278000</v>
      </c>
      <c r="J4774" s="61">
        <v>3</v>
      </c>
      <c r="K4774" s="61">
        <v>0</v>
      </c>
      <c r="L4774" s="63">
        <v>0</v>
      </c>
      <c r="M4774" s="61"/>
      <c r="N4774" s="64">
        <v>3</v>
      </c>
      <c r="O4774" s="136">
        <v>834000</v>
      </c>
      <c r="P4774" s="62">
        <v>335</v>
      </c>
      <c r="Q4774" s="62" t="s">
        <v>1935</v>
      </c>
      <c r="R4774" s="25">
        <f>+テーブル1[[#This Row],[合計金額]]*テーブル1[[#This Row],[自社報酬率％]]/100</f>
        <v>500400</v>
      </c>
    </row>
    <row r="4775" spans="1:18">
      <c r="A4775" s="7">
        <v>45962</v>
      </c>
      <c r="B4775" t="s">
        <v>2666</v>
      </c>
      <c r="C4775" s="18" t="s">
        <v>2045</v>
      </c>
      <c r="D4775" s="41">
        <v>40</v>
      </c>
      <c r="E4775" s="41">
        <v>60</v>
      </c>
      <c r="F4775" t="s">
        <v>19</v>
      </c>
      <c r="G4775" s="28">
        <v>45962</v>
      </c>
      <c r="H4775" s="26" t="s">
        <v>3160</v>
      </c>
      <c r="I4775" s="49">
        <v>166000</v>
      </c>
      <c r="J4775" s="61">
        <v>1</v>
      </c>
      <c r="K4775" s="61">
        <v>0</v>
      </c>
      <c r="L4775" s="63">
        <v>0</v>
      </c>
      <c r="M4775" s="61"/>
      <c r="N4775" s="64">
        <v>1</v>
      </c>
      <c r="O4775" s="136">
        <v>166000</v>
      </c>
      <c r="P4775" s="62">
        <v>336</v>
      </c>
      <c r="Q4775" s="62" t="s">
        <v>1935</v>
      </c>
      <c r="R4775" s="25">
        <f>+テーブル1[[#This Row],[合計金額]]*テーブル1[[#This Row],[自社報酬率％]]/100</f>
        <v>99600</v>
      </c>
    </row>
    <row r="4776" spans="1:18">
      <c r="A4776" s="7">
        <v>45962</v>
      </c>
      <c r="B4776" t="s">
        <v>2666</v>
      </c>
      <c r="C4776" s="18" t="s">
        <v>2045</v>
      </c>
      <c r="D4776" s="41">
        <v>40</v>
      </c>
      <c r="E4776" s="41">
        <v>60</v>
      </c>
      <c r="F4776" t="s">
        <v>16</v>
      </c>
      <c r="G4776" s="28">
        <v>45992</v>
      </c>
      <c r="H4776" s="26" t="s">
        <v>3139</v>
      </c>
      <c r="I4776" s="49">
        <v>16500</v>
      </c>
      <c r="J4776" s="61">
        <v>2</v>
      </c>
      <c r="K4776" s="61">
        <v>0</v>
      </c>
      <c r="L4776" s="63">
        <v>0</v>
      </c>
      <c r="M4776" s="61"/>
      <c r="N4776" s="64">
        <v>2</v>
      </c>
      <c r="O4776" s="136">
        <v>33000</v>
      </c>
      <c r="P4776" s="62">
        <v>337</v>
      </c>
      <c r="Q4776" s="62" t="s">
        <v>1928</v>
      </c>
      <c r="R4776" s="25">
        <f>+テーブル1[[#This Row],[合計金額]]*テーブル1[[#This Row],[自社報酬率％]]/100</f>
        <v>19800</v>
      </c>
    </row>
    <row r="4777" spans="1:18">
      <c r="A4777" s="7">
        <v>45962</v>
      </c>
      <c r="B4777" t="s">
        <v>2666</v>
      </c>
      <c r="C4777" s="18" t="s">
        <v>2045</v>
      </c>
      <c r="D4777" s="41">
        <v>40</v>
      </c>
      <c r="E4777" s="41">
        <v>60</v>
      </c>
      <c r="F4777" t="s">
        <v>20</v>
      </c>
      <c r="G4777" s="28">
        <v>45962</v>
      </c>
      <c r="H4777" s="26" t="s">
        <v>3065</v>
      </c>
      <c r="I4777" s="49">
        <v>3000</v>
      </c>
      <c r="J4777" s="61">
        <v>10</v>
      </c>
      <c r="K4777" s="61">
        <v>0</v>
      </c>
      <c r="L4777" s="63">
        <v>0</v>
      </c>
      <c r="M4777" s="61"/>
      <c r="N4777" s="64">
        <v>10</v>
      </c>
      <c r="O4777" s="136">
        <v>30000</v>
      </c>
      <c r="P4777" s="62">
        <v>338</v>
      </c>
      <c r="Q4777" s="62" t="s">
        <v>1935</v>
      </c>
      <c r="R4777" s="25">
        <f>+テーブル1[[#This Row],[合計金額]]*テーブル1[[#This Row],[自社報酬率％]]/100</f>
        <v>18000</v>
      </c>
    </row>
    <row r="4778" spans="1:18">
      <c r="A4778" s="7">
        <v>45962</v>
      </c>
      <c r="B4778" t="s">
        <v>2666</v>
      </c>
      <c r="C4778" s="18" t="s">
        <v>2094</v>
      </c>
      <c r="D4778" s="41">
        <v>40</v>
      </c>
      <c r="E4778" s="41">
        <v>60</v>
      </c>
      <c r="F4778" t="s">
        <v>19</v>
      </c>
      <c r="G4778" s="28">
        <v>45992</v>
      </c>
      <c r="H4778" s="26" t="s">
        <v>3161</v>
      </c>
      <c r="I4778" s="49">
        <v>20520</v>
      </c>
      <c r="J4778" s="61">
        <v>1</v>
      </c>
      <c r="K4778" s="61">
        <v>0</v>
      </c>
      <c r="L4778" s="63">
        <v>0</v>
      </c>
      <c r="M4778" s="61"/>
      <c r="N4778" s="64">
        <v>1</v>
      </c>
      <c r="O4778" s="136">
        <v>20520</v>
      </c>
      <c r="P4778" s="62">
        <v>339</v>
      </c>
      <c r="Q4778" s="62" t="s">
        <v>1928</v>
      </c>
      <c r="R4778" s="25">
        <f>+テーブル1[[#This Row],[合計金額]]*テーブル1[[#This Row],[自社報酬率％]]/100</f>
        <v>12312</v>
      </c>
    </row>
    <row r="4779" spans="1:18">
      <c r="A4779" s="7">
        <v>45962</v>
      </c>
      <c r="B4779" t="s">
        <v>2666</v>
      </c>
      <c r="C4779" s="18" t="s">
        <v>2094</v>
      </c>
      <c r="D4779" s="41">
        <v>40</v>
      </c>
      <c r="E4779" s="41">
        <v>60</v>
      </c>
      <c r="F4779" t="s">
        <v>19</v>
      </c>
      <c r="G4779" s="28">
        <v>46023</v>
      </c>
      <c r="H4779" s="26" t="s">
        <v>3162</v>
      </c>
      <c r="I4779" s="49">
        <v>20520</v>
      </c>
      <c r="J4779" s="61">
        <v>1</v>
      </c>
      <c r="K4779" s="61">
        <v>0</v>
      </c>
      <c r="L4779" s="63">
        <v>0</v>
      </c>
      <c r="M4779" s="61"/>
      <c r="N4779" s="64">
        <v>1</v>
      </c>
      <c r="O4779" s="136">
        <v>20520</v>
      </c>
      <c r="P4779" s="62">
        <v>340</v>
      </c>
      <c r="Q4779" s="62" t="s">
        <v>1928</v>
      </c>
      <c r="R4779" s="25">
        <f>+テーブル1[[#This Row],[合計金額]]*テーブル1[[#This Row],[自社報酬率％]]/100</f>
        <v>12312</v>
      </c>
    </row>
    <row r="4780" spans="1:18">
      <c r="A4780" s="7">
        <v>45962</v>
      </c>
      <c r="B4780" t="s">
        <v>2666</v>
      </c>
      <c r="C4780" s="18" t="s">
        <v>2094</v>
      </c>
      <c r="D4780" s="41">
        <v>40</v>
      </c>
      <c r="E4780" s="41">
        <v>60</v>
      </c>
      <c r="F4780" t="s">
        <v>19</v>
      </c>
      <c r="G4780" s="28">
        <v>46054</v>
      </c>
      <c r="H4780" s="26" t="s">
        <v>3163</v>
      </c>
      <c r="I4780" s="49">
        <v>20520</v>
      </c>
      <c r="J4780" s="61">
        <v>1</v>
      </c>
      <c r="K4780" s="61">
        <v>0</v>
      </c>
      <c r="L4780" s="63">
        <v>0</v>
      </c>
      <c r="M4780" s="61"/>
      <c r="N4780" s="64">
        <v>1</v>
      </c>
      <c r="O4780" s="136">
        <v>20520</v>
      </c>
      <c r="P4780" s="62">
        <v>341</v>
      </c>
      <c r="Q4780" s="62" t="s">
        <v>1928</v>
      </c>
      <c r="R4780" s="25">
        <f>+テーブル1[[#This Row],[合計金額]]*テーブル1[[#This Row],[自社報酬率％]]/100</f>
        <v>12312</v>
      </c>
    </row>
    <row r="4781" spans="1:18">
      <c r="A4781" s="7">
        <v>45962</v>
      </c>
      <c r="B4781" t="s">
        <v>2666</v>
      </c>
      <c r="C4781" s="18" t="s">
        <v>2094</v>
      </c>
      <c r="D4781" s="41">
        <v>40</v>
      </c>
      <c r="E4781" s="41">
        <v>60</v>
      </c>
      <c r="F4781" t="s">
        <v>19</v>
      </c>
      <c r="G4781" s="28">
        <v>46082</v>
      </c>
      <c r="H4781" s="26" t="s">
        <v>3164</v>
      </c>
      <c r="I4781" s="49">
        <v>20520</v>
      </c>
      <c r="J4781" s="61">
        <v>1</v>
      </c>
      <c r="K4781" s="61">
        <v>0</v>
      </c>
      <c r="L4781" s="63">
        <v>0</v>
      </c>
      <c r="M4781" s="61"/>
      <c r="N4781" s="64">
        <v>1</v>
      </c>
      <c r="O4781" s="136">
        <v>20520</v>
      </c>
      <c r="P4781" s="62">
        <v>342</v>
      </c>
      <c r="Q4781" s="62" t="s">
        <v>1928</v>
      </c>
      <c r="R4781" s="25">
        <f>+テーブル1[[#This Row],[合計金額]]*テーブル1[[#This Row],[自社報酬率％]]/100</f>
        <v>12312</v>
      </c>
    </row>
    <row r="4782" spans="1:18">
      <c r="A4782" s="7">
        <v>45962</v>
      </c>
      <c r="B4782" t="s">
        <v>2666</v>
      </c>
      <c r="C4782" s="18" t="s">
        <v>2094</v>
      </c>
      <c r="D4782" s="41">
        <v>40</v>
      </c>
      <c r="E4782" s="41">
        <v>60</v>
      </c>
      <c r="F4782" t="s">
        <v>19</v>
      </c>
      <c r="G4782" s="28">
        <v>46113</v>
      </c>
      <c r="H4782" s="26" t="s">
        <v>3165</v>
      </c>
      <c r="I4782" s="49">
        <v>20520</v>
      </c>
      <c r="J4782" s="61">
        <v>1</v>
      </c>
      <c r="K4782" s="61">
        <v>0</v>
      </c>
      <c r="L4782" s="63">
        <v>0</v>
      </c>
      <c r="M4782" s="61"/>
      <c r="N4782" s="64">
        <v>1</v>
      </c>
      <c r="O4782" s="136">
        <v>20520</v>
      </c>
      <c r="P4782" s="62">
        <v>343</v>
      </c>
      <c r="Q4782" s="62" t="s">
        <v>1928</v>
      </c>
      <c r="R4782" s="25">
        <f>+テーブル1[[#This Row],[合計金額]]*テーブル1[[#This Row],[自社報酬率％]]/100</f>
        <v>12312</v>
      </c>
    </row>
    <row r="4783" spans="1:18">
      <c r="A4783" s="7">
        <v>45962</v>
      </c>
      <c r="B4783" t="s">
        <v>2666</v>
      </c>
      <c r="C4783" s="18" t="s">
        <v>2094</v>
      </c>
      <c r="D4783" s="41">
        <v>40</v>
      </c>
      <c r="E4783" s="41">
        <v>60</v>
      </c>
      <c r="F4783" t="s">
        <v>19</v>
      </c>
      <c r="G4783" s="28">
        <v>46143</v>
      </c>
      <c r="H4783" s="26" t="s">
        <v>3166</v>
      </c>
      <c r="I4783" s="49">
        <v>20520</v>
      </c>
      <c r="J4783" s="61">
        <v>1</v>
      </c>
      <c r="K4783" s="61">
        <v>0</v>
      </c>
      <c r="L4783" s="63">
        <v>0</v>
      </c>
      <c r="M4783" s="61"/>
      <c r="N4783" s="64">
        <v>1</v>
      </c>
      <c r="O4783" s="136">
        <v>20520</v>
      </c>
      <c r="P4783" s="62">
        <v>344</v>
      </c>
      <c r="Q4783" s="62" t="s">
        <v>1928</v>
      </c>
      <c r="R4783" s="25">
        <f>+テーブル1[[#This Row],[合計金額]]*テーブル1[[#This Row],[自社報酬率％]]/100</f>
        <v>12312</v>
      </c>
    </row>
    <row r="4784" spans="1:18">
      <c r="A4784" s="7">
        <v>45962</v>
      </c>
      <c r="B4784" t="s">
        <v>2666</v>
      </c>
      <c r="C4784" s="18" t="s">
        <v>2050</v>
      </c>
      <c r="D4784" s="41">
        <v>50</v>
      </c>
      <c r="E4784" s="41">
        <v>50</v>
      </c>
      <c r="F4784" t="s">
        <v>16</v>
      </c>
      <c r="G4784" s="28">
        <v>45992</v>
      </c>
      <c r="H4784" s="26" t="s">
        <v>3141</v>
      </c>
      <c r="I4784" s="49">
        <v>9800</v>
      </c>
      <c r="J4784" s="61">
        <v>2</v>
      </c>
      <c r="K4784" s="61">
        <v>0</v>
      </c>
      <c r="L4784" s="63">
        <v>0</v>
      </c>
      <c r="M4784" s="61"/>
      <c r="N4784" s="64">
        <v>2</v>
      </c>
      <c r="O4784" s="136">
        <v>19600</v>
      </c>
      <c r="P4784" s="62">
        <v>345</v>
      </c>
      <c r="Q4784" s="62" t="s">
        <v>1928</v>
      </c>
      <c r="R4784" s="25">
        <f>+テーブル1[[#This Row],[合計金額]]*テーブル1[[#This Row],[自社報酬率％]]/100</f>
        <v>9800</v>
      </c>
    </row>
    <row r="4785" spans="1:18">
      <c r="A4785" s="7">
        <v>45962</v>
      </c>
      <c r="B4785" t="s">
        <v>2666</v>
      </c>
      <c r="C4785" s="18" t="s">
        <v>2038</v>
      </c>
      <c r="D4785" s="41">
        <v>50</v>
      </c>
      <c r="E4785" s="41">
        <v>50</v>
      </c>
      <c r="F4785" t="s">
        <v>16</v>
      </c>
      <c r="G4785" s="28">
        <v>45992</v>
      </c>
      <c r="H4785" s="26" t="s">
        <v>3167</v>
      </c>
      <c r="I4785" s="49">
        <v>30000</v>
      </c>
      <c r="J4785" s="61">
        <v>1</v>
      </c>
      <c r="K4785" s="61">
        <v>0</v>
      </c>
      <c r="L4785" s="63">
        <v>0</v>
      </c>
      <c r="M4785" s="61"/>
      <c r="N4785" s="64">
        <v>1</v>
      </c>
      <c r="O4785" s="136">
        <v>30000</v>
      </c>
      <c r="P4785" s="62">
        <v>346</v>
      </c>
      <c r="Q4785" s="62" t="s">
        <v>1928</v>
      </c>
      <c r="R4785" s="25">
        <f>+テーブル1[[#This Row],[合計金額]]*テーブル1[[#This Row],[自社報酬率％]]/100</f>
        <v>15000</v>
      </c>
    </row>
    <row r="4786" spans="1:18">
      <c r="A4786" s="7">
        <v>45962</v>
      </c>
      <c r="B4786" t="s">
        <v>2667</v>
      </c>
      <c r="C4786" s="18" t="s">
        <v>2050</v>
      </c>
      <c r="D4786" s="41">
        <v>50</v>
      </c>
      <c r="E4786" s="41">
        <v>50</v>
      </c>
      <c r="F4786" t="s">
        <v>20</v>
      </c>
      <c r="G4786" s="28">
        <v>45962</v>
      </c>
      <c r="H4786" s="26" t="s">
        <v>3168</v>
      </c>
      <c r="I4786" s="49">
        <v>398000</v>
      </c>
      <c r="J4786" s="61">
        <v>1</v>
      </c>
      <c r="K4786" s="61">
        <v>0</v>
      </c>
      <c r="L4786" s="63">
        <v>0</v>
      </c>
      <c r="M4786" s="61"/>
      <c r="N4786" s="64">
        <v>1</v>
      </c>
      <c r="O4786" s="136">
        <v>398000</v>
      </c>
      <c r="P4786" s="62">
        <v>17</v>
      </c>
      <c r="Q4786" s="62" t="s">
        <v>1935</v>
      </c>
      <c r="R4786" s="25">
        <f>+テーブル1[[#This Row],[合計金額]]*テーブル1[[#This Row],[自社報酬率％]]/100</f>
        <v>199000</v>
      </c>
    </row>
    <row r="4787" spans="1:18">
      <c r="A4787" s="7">
        <v>45962</v>
      </c>
      <c r="B4787" t="s">
        <v>1929</v>
      </c>
      <c r="C4787" s="18" t="s">
        <v>24</v>
      </c>
      <c r="D4787" s="41">
        <v>100</v>
      </c>
      <c r="E4787" s="41">
        <v>100</v>
      </c>
      <c r="F4787" t="s">
        <v>17</v>
      </c>
      <c r="G4787" s="28">
        <v>45962</v>
      </c>
      <c r="H4787" s="26" t="s">
        <v>1930</v>
      </c>
      <c r="I4787" s="49">
        <v>359700</v>
      </c>
      <c r="J4787" s="61">
        <v>7</v>
      </c>
      <c r="K4787" s="61">
        <v>0</v>
      </c>
      <c r="L4787" s="63">
        <v>0</v>
      </c>
      <c r="M4787" s="61"/>
      <c r="N4787" s="64">
        <v>7</v>
      </c>
      <c r="O4787" s="136">
        <v>2517900</v>
      </c>
      <c r="P4787" s="62">
        <v>21</v>
      </c>
      <c r="Q4787" s="62" t="s">
        <v>1935</v>
      </c>
      <c r="R4787" s="25">
        <f>+テーブル1[[#This Row],[合計金額]]*テーブル1[[#This Row],[自社報酬率％]]/100</f>
        <v>2517900</v>
      </c>
    </row>
    <row r="4788" spans="1:18">
      <c r="A4788" s="7">
        <v>45931</v>
      </c>
      <c r="B4788" t="s">
        <v>2670</v>
      </c>
      <c r="C4788" s="18" t="s">
        <v>2671</v>
      </c>
      <c r="D4788" s="41">
        <v>0</v>
      </c>
      <c r="E4788" s="41">
        <v>100</v>
      </c>
      <c r="G4788" s="28">
        <v>45931</v>
      </c>
      <c r="H4788" s="26" t="s">
        <v>3169</v>
      </c>
      <c r="I4788" s="49">
        <v>-2051</v>
      </c>
      <c r="J4788" s="61">
        <v>1</v>
      </c>
      <c r="K4788" s="61"/>
      <c r="L4788" s="63"/>
      <c r="M4788" s="61"/>
      <c r="N4788" s="64">
        <v>1</v>
      </c>
      <c r="O4788" s="136">
        <v>-2051</v>
      </c>
      <c r="P4788" s="62">
        <v>33</v>
      </c>
      <c r="Q4788" s="62" t="s">
        <v>1935</v>
      </c>
      <c r="R4788" s="25">
        <f>+テーブル1[[#This Row],[合計金額]]*テーブル1[[#This Row],[自社報酬率％]]/100</f>
        <v>-2051</v>
      </c>
    </row>
    <row r="4789" spans="1:18">
      <c r="A4789" s="7">
        <v>45931</v>
      </c>
      <c r="B4789" t="s">
        <v>2670</v>
      </c>
      <c r="C4789" s="18" t="s">
        <v>2671</v>
      </c>
      <c r="D4789" s="41">
        <v>0</v>
      </c>
      <c r="E4789" s="41">
        <v>100</v>
      </c>
      <c r="G4789" s="28">
        <v>45931</v>
      </c>
      <c r="H4789" s="26" t="s">
        <v>3170</v>
      </c>
      <c r="I4789" s="49">
        <v>69859</v>
      </c>
      <c r="J4789" s="61">
        <v>1</v>
      </c>
      <c r="K4789" s="61"/>
      <c r="L4789" s="63"/>
      <c r="M4789" s="61"/>
      <c r="N4789" s="64">
        <v>1</v>
      </c>
      <c r="O4789" s="136">
        <v>69859</v>
      </c>
      <c r="P4789" s="62">
        <v>34</v>
      </c>
      <c r="Q4789" s="62" t="s">
        <v>1935</v>
      </c>
      <c r="R4789" s="25">
        <f>+テーブル1[[#This Row],[合計金額]]*テーブル1[[#This Row],[自社報酬率％]]/100</f>
        <v>69859</v>
      </c>
    </row>
    <row r="4790" spans="1:18">
      <c r="A4790" s="7">
        <v>45931</v>
      </c>
      <c r="B4790" t="s">
        <v>3171</v>
      </c>
      <c r="C4790" s="18" t="s">
        <v>24</v>
      </c>
      <c r="D4790" s="41">
        <v>100</v>
      </c>
      <c r="E4790" s="41">
        <v>100</v>
      </c>
      <c r="G4790" s="28">
        <v>45931</v>
      </c>
      <c r="H4790" s="26" t="s">
        <v>3172</v>
      </c>
      <c r="I4790" s="49">
        <v>14800</v>
      </c>
      <c r="J4790" s="61">
        <v>1</v>
      </c>
      <c r="K4790" s="61"/>
      <c r="L4790" s="63"/>
      <c r="M4790" s="61"/>
      <c r="N4790" s="64">
        <v>1</v>
      </c>
      <c r="O4790" s="136">
        <v>14800</v>
      </c>
      <c r="P4790" s="62">
        <v>35</v>
      </c>
      <c r="Q4790" s="62" t="s">
        <v>1935</v>
      </c>
      <c r="R4790" s="25">
        <f>+テーブル1[[#This Row],[合計金額]]*テーブル1[[#This Row],[自社報酬率％]]/100</f>
        <v>14800</v>
      </c>
    </row>
    <row r="4791" spans="1:18">
      <c r="A4791" s="7">
        <v>45931</v>
      </c>
      <c r="B4791" t="s">
        <v>3171</v>
      </c>
      <c r="C4791" s="18" t="s">
        <v>24</v>
      </c>
      <c r="D4791" s="41">
        <v>100</v>
      </c>
      <c r="E4791" s="41">
        <v>100</v>
      </c>
      <c r="G4791" s="28">
        <v>45931</v>
      </c>
      <c r="H4791" s="26" t="s">
        <v>3173</v>
      </c>
      <c r="I4791" s="49">
        <v>234759</v>
      </c>
      <c r="J4791" s="61">
        <v>1</v>
      </c>
      <c r="K4791" s="61"/>
      <c r="L4791" s="63"/>
      <c r="M4791" s="61"/>
      <c r="N4791" s="64">
        <v>1</v>
      </c>
      <c r="O4791" s="136">
        <v>234759</v>
      </c>
      <c r="P4791" s="62">
        <v>36</v>
      </c>
      <c r="Q4791" s="62" t="s">
        <v>1935</v>
      </c>
      <c r="R4791" s="25">
        <f>+テーブル1[[#This Row],[合計金額]]*テーブル1[[#This Row],[自社報酬率％]]/100</f>
        <v>234759</v>
      </c>
    </row>
    <row r="4792" spans="1:18">
      <c r="A4792" s="7">
        <v>45931</v>
      </c>
      <c r="B4792" t="s">
        <v>3174</v>
      </c>
      <c r="C4792" s="18" t="s">
        <v>2045</v>
      </c>
      <c r="D4792" s="41">
        <v>40</v>
      </c>
      <c r="E4792" s="41">
        <v>60</v>
      </c>
      <c r="G4792" s="28">
        <v>45931</v>
      </c>
      <c r="H4792" s="26" t="s">
        <v>3175</v>
      </c>
      <c r="I4792" s="49">
        <v>130000</v>
      </c>
      <c r="J4792" s="61">
        <v>1</v>
      </c>
      <c r="K4792" s="61"/>
      <c r="L4792" s="63"/>
      <c r="M4792" s="61"/>
      <c r="N4792" s="64">
        <v>1</v>
      </c>
      <c r="O4792" s="136">
        <v>130000</v>
      </c>
      <c r="P4792" s="62">
        <v>37</v>
      </c>
      <c r="Q4792" s="62" t="s">
        <v>1935</v>
      </c>
      <c r="R4792" s="25">
        <f>+テーブル1[[#This Row],[合計金額]]*テーブル1[[#This Row],[自社報酬率％]]/100</f>
        <v>78000</v>
      </c>
    </row>
    <row r="4793" spans="1:18">
      <c r="A4793" s="7">
        <v>45931</v>
      </c>
      <c r="B4793" t="s">
        <v>2630</v>
      </c>
      <c r="C4793" s="18" t="s">
        <v>2043</v>
      </c>
      <c r="D4793" s="41">
        <v>60</v>
      </c>
      <c r="E4793" s="41">
        <v>40</v>
      </c>
      <c r="F4793" t="s">
        <v>16</v>
      </c>
      <c r="G4793" s="28">
        <v>45962</v>
      </c>
      <c r="H4793" s="26" t="s">
        <v>3077</v>
      </c>
      <c r="I4793" s="49">
        <v>10780</v>
      </c>
      <c r="J4793" s="61">
        <v>4</v>
      </c>
      <c r="K4793" s="61"/>
      <c r="L4793" s="63">
        <v>0</v>
      </c>
      <c r="M4793" s="61"/>
      <c r="N4793" s="64">
        <v>4</v>
      </c>
      <c r="O4793" s="136">
        <v>43120</v>
      </c>
      <c r="P4793" s="62">
        <v>1364</v>
      </c>
      <c r="Q4793" s="62" t="s">
        <v>1935</v>
      </c>
      <c r="R4793" s="25">
        <f>+テーブル1[[#This Row],[合計金額]]*テーブル1[[#This Row],[自社報酬率％]]/100</f>
        <v>17248</v>
      </c>
    </row>
    <row r="4794" spans="1:18">
      <c r="A4794" s="7">
        <v>45931</v>
      </c>
      <c r="B4794" t="s">
        <v>2630</v>
      </c>
      <c r="C4794" s="18" t="s">
        <v>2045</v>
      </c>
      <c r="D4794" s="41">
        <v>40</v>
      </c>
      <c r="E4794" s="41">
        <v>60</v>
      </c>
      <c r="F4794" t="s">
        <v>16</v>
      </c>
      <c r="G4794" s="28">
        <v>45962</v>
      </c>
      <c r="H4794" s="26" t="s">
        <v>3054</v>
      </c>
      <c r="I4794" s="49">
        <v>16500</v>
      </c>
      <c r="J4794" s="61">
        <v>3</v>
      </c>
      <c r="K4794" s="61"/>
      <c r="L4794" s="63">
        <v>0</v>
      </c>
      <c r="M4794" s="61"/>
      <c r="N4794" s="64">
        <v>3</v>
      </c>
      <c r="O4794" s="136">
        <v>49500</v>
      </c>
      <c r="P4794" s="62">
        <v>1365</v>
      </c>
      <c r="Q4794" s="62" t="s">
        <v>1935</v>
      </c>
      <c r="R4794" s="25">
        <f>+テーブル1[[#This Row],[合計金額]]*テーブル1[[#This Row],[自社報酬率％]]/100</f>
        <v>29700</v>
      </c>
    </row>
    <row r="4795" spans="1:18">
      <c r="A4795" s="148">
        <v>45992</v>
      </c>
      <c r="B4795" s="149" t="s">
        <v>43</v>
      </c>
      <c r="C4795" s="150" t="s">
        <v>44</v>
      </c>
      <c r="D4795" s="151">
        <v>100</v>
      </c>
      <c r="E4795" s="151">
        <v>100</v>
      </c>
      <c r="F4795" s="72" t="s">
        <v>17</v>
      </c>
      <c r="G4795" s="85">
        <v>46023</v>
      </c>
      <c r="H4795" s="152" t="s">
        <v>3176</v>
      </c>
      <c r="I4795" s="153">
        <v>8074</v>
      </c>
      <c r="J4795" s="73">
        <v>1</v>
      </c>
      <c r="K4795" s="24"/>
      <c r="L4795" s="90">
        <v>0</v>
      </c>
      <c r="M4795" s="24"/>
      <c r="N4795" s="93">
        <f t="shared" ref="N4795:N4858" si="186">J4795-L4795</f>
        <v>1</v>
      </c>
      <c r="O4795" s="147">
        <f t="shared" ref="O4795:O4858" si="187">+I4795*N4795</f>
        <v>8074</v>
      </c>
      <c r="P4795" s="10">
        <v>1366</v>
      </c>
      <c r="Q4795" s="10" t="s">
        <v>1928</v>
      </c>
      <c r="R4795" s="154">
        <f>+テーブル1[[#This Row],[合計金額]]*テーブル1[[#This Row],[自社報酬率％]]/100</f>
        <v>8074</v>
      </c>
    </row>
    <row r="4796" spans="1:18">
      <c r="A4796" s="148">
        <v>45992</v>
      </c>
      <c r="B4796" s="149" t="s">
        <v>43</v>
      </c>
      <c r="C4796" s="150" t="s">
        <v>44</v>
      </c>
      <c r="D4796" s="151">
        <v>100</v>
      </c>
      <c r="E4796" s="151">
        <v>100</v>
      </c>
      <c r="F4796" s="155" t="s">
        <v>17</v>
      </c>
      <c r="G4796" s="156">
        <v>46054</v>
      </c>
      <c r="H4796" s="152" t="s">
        <v>3177</v>
      </c>
      <c r="I4796" s="153">
        <v>8066</v>
      </c>
      <c r="J4796" s="24">
        <v>1</v>
      </c>
      <c r="K4796" s="24"/>
      <c r="L4796" s="91">
        <v>0</v>
      </c>
      <c r="M4796" s="24"/>
      <c r="N4796" s="94">
        <f t="shared" si="186"/>
        <v>1</v>
      </c>
      <c r="O4796" s="147">
        <f t="shared" si="187"/>
        <v>8066</v>
      </c>
      <c r="P4796" s="10">
        <v>1367</v>
      </c>
      <c r="Q4796" s="10" t="s">
        <v>1928</v>
      </c>
      <c r="R4796" s="154">
        <f>+テーブル1[[#This Row],[合計金額]]*テーブル1[[#This Row],[自社報酬率％]]/100</f>
        <v>8066</v>
      </c>
    </row>
    <row r="4797" spans="1:18">
      <c r="A4797" s="148">
        <v>45992</v>
      </c>
      <c r="B4797" s="149" t="s">
        <v>43</v>
      </c>
      <c r="C4797" s="150" t="s">
        <v>44</v>
      </c>
      <c r="D4797" s="151">
        <v>100</v>
      </c>
      <c r="E4797" s="151">
        <v>100</v>
      </c>
      <c r="F4797" s="155" t="s">
        <v>17</v>
      </c>
      <c r="G4797" s="156">
        <v>46082</v>
      </c>
      <c r="H4797" s="152" t="s">
        <v>3178</v>
      </c>
      <c r="I4797" s="153">
        <v>8066</v>
      </c>
      <c r="J4797" s="24">
        <v>1</v>
      </c>
      <c r="K4797" s="24"/>
      <c r="L4797" s="91">
        <v>0</v>
      </c>
      <c r="M4797" s="24"/>
      <c r="N4797" s="94">
        <f t="shared" si="186"/>
        <v>1</v>
      </c>
      <c r="O4797" s="147">
        <f t="shared" si="187"/>
        <v>8066</v>
      </c>
      <c r="P4797" s="10">
        <v>1368</v>
      </c>
      <c r="Q4797" s="10" t="s">
        <v>1928</v>
      </c>
      <c r="R4797" s="154">
        <f>+テーブル1[[#This Row],[合計金額]]*テーブル1[[#This Row],[自社報酬率％]]/100</f>
        <v>8066</v>
      </c>
    </row>
    <row r="4798" spans="1:18">
      <c r="A4798" s="148">
        <v>45992</v>
      </c>
      <c r="B4798" s="149" t="s">
        <v>43</v>
      </c>
      <c r="C4798" s="150" t="s">
        <v>44</v>
      </c>
      <c r="D4798" s="151">
        <v>100</v>
      </c>
      <c r="E4798" s="151">
        <v>100</v>
      </c>
      <c r="F4798" s="155" t="s">
        <v>17</v>
      </c>
      <c r="G4798" s="156">
        <v>46113</v>
      </c>
      <c r="H4798" s="152" t="s">
        <v>3179</v>
      </c>
      <c r="I4798" s="153">
        <v>8066</v>
      </c>
      <c r="J4798" s="24">
        <v>1</v>
      </c>
      <c r="K4798" s="24"/>
      <c r="L4798" s="91">
        <v>0</v>
      </c>
      <c r="M4798" s="24"/>
      <c r="N4798" s="94">
        <f t="shared" si="186"/>
        <v>1</v>
      </c>
      <c r="O4798" s="147">
        <f t="shared" si="187"/>
        <v>8066</v>
      </c>
      <c r="P4798" s="10">
        <v>1369</v>
      </c>
      <c r="Q4798" s="10" t="s">
        <v>1928</v>
      </c>
      <c r="R4798" s="154">
        <f>+テーブル1[[#This Row],[合計金額]]*テーブル1[[#This Row],[自社報酬率％]]/100</f>
        <v>8066</v>
      </c>
    </row>
    <row r="4799" spans="1:18">
      <c r="A4799" s="148">
        <v>45992</v>
      </c>
      <c r="B4799" s="149" t="s">
        <v>43</v>
      </c>
      <c r="C4799" s="150" t="s">
        <v>44</v>
      </c>
      <c r="D4799" s="151">
        <v>100</v>
      </c>
      <c r="E4799" s="151">
        <v>100</v>
      </c>
      <c r="F4799" s="155" t="s">
        <v>17</v>
      </c>
      <c r="G4799" s="156">
        <v>46143</v>
      </c>
      <c r="H4799" s="152" t="s">
        <v>3180</v>
      </c>
      <c r="I4799" s="153">
        <v>8066</v>
      </c>
      <c r="J4799" s="24">
        <v>1</v>
      </c>
      <c r="K4799" s="24"/>
      <c r="L4799" s="91">
        <v>0</v>
      </c>
      <c r="M4799" s="24"/>
      <c r="N4799" s="94">
        <f t="shared" si="186"/>
        <v>1</v>
      </c>
      <c r="O4799" s="147">
        <f t="shared" si="187"/>
        <v>8066</v>
      </c>
      <c r="P4799" s="10">
        <v>1370</v>
      </c>
      <c r="Q4799" s="10" t="s">
        <v>1928</v>
      </c>
      <c r="R4799" s="154">
        <f>+テーブル1[[#This Row],[合計金額]]*テーブル1[[#This Row],[自社報酬率％]]/100</f>
        <v>8066</v>
      </c>
    </row>
    <row r="4800" spans="1:18">
      <c r="A4800" s="148">
        <v>45992</v>
      </c>
      <c r="B4800" s="149" t="s">
        <v>43</v>
      </c>
      <c r="C4800" s="150" t="s">
        <v>44</v>
      </c>
      <c r="D4800" s="151">
        <v>100</v>
      </c>
      <c r="E4800" s="151">
        <v>100</v>
      </c>
      <c r="F4800" s="155" t="s">
        <v>17</v>
      </c>
      <c r="G4800" s="156">
        <v>46174</v>
      </c>
      <c r="H4800" s="152" t="s">
        <v>3181</v>
      </c>
      <c r="I4800" s="153">
        <v>8066</v>
      </c>
      <c r="J4800" s="24">
        <v>1</v>
      </c>
      <c r="K4800" s="24"/>
      <c r="L4800" s="91">
        <v>0</v>
      </c>
      <c r="M4800" s="24"/>
      <c r="N4800" s="94">
        <f t="shared" si="186"/>
        <v>1</v>
      </c>
      <c r="O4800" s="147">
        <f t="shared" si="187"/>
        <v>8066</v>
      </c>
      <c r="P4800" s="10">
        <v>1371</v>
      </c>
      <c r="Q4800" s="10" t="s">
        <v>1928</v>
      </c>
      <c r="R4800" s="154">
        <f>+テーブル1[[#This Row],[合計金額]]*テーブル1[[#This Row],[自社報酬率％]]/100</f>
        <v>8066</v>
      </c>
    </row>
    <row r="4801" spans="1:18">
      <c r="A4801" s="148">
        <v>45992</v>
      </c>
      <c r="B4801" s="149" t="s">
        <v>43</v>
      </c>
      <c r="C4801" s="150" t="s">
        <v>44</v>
      </c>
      <c r="D4801" s="151">
        <v>100</v>
      </c>
      <c r="E4801" s="151">
        <v>100</v>
      </c>
      <c r="F4801" s="155" t="s">
        <v>17</v>
      </c>
      <c r="G4801" s="156">
        <v>46204</v>
      </c>
      <c r="H4801" s="152" t="s">
        <v>3182</v>
      </c>
      <c r="I4801" s="153">
        <v>8066</v>
      </c>
      <c r="J4801" s="24">
        <v>1</v>
      </c>
      <c r="K4801" s="24"/>
      <c r="L4801" s="91">
        <v>0</v>
      </c>
      <c r="M4801" s="24"/>
      <c r="N4801" s="94">
        <f t="shared" si="186"/>
        <v>1</v>
      </c>
      <c r="O4801" s="147">
        <f t="shared" si="187"/>
        <v>8066</v>
      </c>
      <c r="P4801" s="10">
        <v>1372</v>
      </c>
      <c r="Q4801" s="10" t="s">
        <v>1928</v>
      </c>
      <c r="R4801" s="154">
        <f>+テーブル1[[#This Row],[合計金額]]*テーブル1[[#This Row],[自社報酬率％]]/100</f>
        <v>8066</v>
      </c>
    </row>
    <row r="4802" spans="1:18">
      <c r="A4802" s="148">
        <v>45992</v>
      </c>
      <c r="B4802" s="149" t="s">
        <v>43</v>
      </c>
      <c r="C4802" s="150" t="s">
        <v>44</v>
      </c>
      <c r="D4802" s="151">
        <v>100</v>
      </c>
      <c r="E4802" s="151">
        <v>100</v>
      </c>
      <c r="F4802" s="155" t="s">
        <v>17</v>
      </c>
      <c r="G4802" s="156">
        <v>46235</v>
      </c>
      <c r="H4802" s="152" t="s">
        <v>3183</v>
      </c>
      <c r="I4802" s="153">
        <v>8066</v>
      </c>
      <c r="J4802" s="24">
        <v>1</v>
      </c>
      <c r="K4802" s="24"/>
      <c r="L4802" s="91">
        <v>0</v>
      </c>
      <c r="M4802" s="24"/>
      <c r="N4802" s="94">
        <f t="shared" si="186"/>
        <v>1</v>
      </c>
      <c r="O4802" s="147">
        <f t="shared" si="187"/>
        <v>8066</v>
      </c>
      <c r="P4802" s="10">
        <v>1373</v>
      </c>
      <c r="Q4802" s="10" t="s">
        <v>1928</v>
      </c>
      <c r="R4802" s="154">
        <f>+テーブル1[[#This Row],[合計金額]]*テーブル1[[#This Row],[自社報酬率％]]/100</f>
        <v>8066</v>
      </c>
    </row>
    <row r="4803" spans="1:18">
      <c r="A4803" s="148">
        <v>45992</v>
      </c>
      <c r="B4803" s="149" t="s">
        <v>43</v>
      </c>
      <c r="C4803" s="150" t="s">
        <v>44</v>
      </c>
      <c r="D4803" s="151">
        <v>100</v>
      </c>
      <c r="E4803" s="151">
        <v>100</v>
      </c>
      <c r="F4803" s="155" t="s">
        <v>17</v>
      </c>
      <c r="G4803" s="156">
        <v>46266</v>
      </c>
      <c r="H4803" s="152" t="s">
        <v>3184</v>
      </c>
      <c r="I4803" s="153">
        <v>8066</v>
      </c>
      <c r="J4803" s="24">
        <v>1</v>
      </c>
      <c r="K4803" s="24"/>
      <c r="L4803" s="91">
        <v>0</v>
      </c>
      <c r="M4803" s="24"/>
      <c r="N4803" s="94">
        <f t="shared" si="186"/>
        <v>1</v>
      </c>
      <c r="O4803" s="147">
        <f t="shared" si="187"/>
        <v>8066</v>
      </c>
      <c r="P4803" s="10">
        <v>1374</v>
      </c>
      <c r="Q4803" s="10" t="s">
        <v>1928</v>
      </c>
      <c r="R4803" s="154">
        <f>+テーブル1[[#This Row],[合計金額]]*テーブル1[[#This Row],[自社報酬率％]]/100</f>
        <v>8066</v>
      </c>
    </row>
    <row r="4804" spans="1:18">
      <c r="A4804" s="148">
        <v>45992</v>
      </c>
      <c r="B4804" s="149" t="s">
        <v>43</v>
      </c>
      <c r="C4804" s="150" t="s">
        <v>44</v>
      </c>
      <c r="D4804" s="151">
        <v>100</v>
      </c>
      <c r="E4804" s="151">
        <v>100</v>
      </c>
      <c r="F4804" s="155" t="s">
        <v>17</v>
      </c>
      <c r="G4804" s="156">
        <v>46296</v>
      </c>
      <c r="H4804" s="152" t="s">
        <v>3185</v>
      </c>
      <c r="I4804" s="153">
        <v>8066</v>
      </c>
      <c r="J4804" s="24">
        <v>1</v>
      </c>
      <c r="K4804" s="24"/>
      <c r="L4804" s="91">
        <v>0</v>
      </c>
      <c r="M4804" s="24"/>
      <c r="N4804" s="94">
        <f t="shared" si="186"/>
        <v>1</v>
      </c>
      <c r="O4804" s="147">
        <f t="shared" si="187"/>
        <v>8066</v>
      </c>
      <c r="P4804" s="10">
        <v>1375</v>
      </c>
      <c r="Q4804" s="10" t="s">
        <v>1928</v>
      </c>
      <c r="R4804" s="154">
        <f>+テーブル1[[#This Row],[合計金額]]*テーブル1[[#This Row],[自社報酬率％]]/100</f>
        <v>8066</v>
      </c>
    </row>
    <row r="4805" spans="1:18">
      <c r="A4805" s="148">
        <v>45992</v>
      </c>
      <c r="B4805" s="149" t="s">
        <v>43</v>
      </c>
      <c r="C4805" s="150" t="s">
        <v>44</v>
      </c>
      <c r="D4805" s="151">
        <v>100</v>
      </c>
      <c r="E4805" s="151">
        <v>100</v>
      </c>
      <c r="F4805" s="155" t="s">
        <v>17</v>
      </c>
      <c r="G4805" s="156">
        <v>46327</v>
      </c>
      <c r="H4805" s="152" t="s">
        <v>3186</v>
      </c>
      <c r="I4805" s="153">
        <v>8066</v>
      </c>
      <c r="J4805" s="24">
        <v>1</v>
      </c>
      <c r="K4805" s="24"/>
      <c r="L4805" s="91">
        <v>0</v>
      </c>
      <c r="M4805" s="24"/>
      <c r="N4805" s="94">
        <f t="shared" si="186"/>
        <v>1</v>
      </c>
      <c r="O4805" s="147">
        <f t="shared" si="187"/>
        <v>8066</v>
      </c>
      <c r="P4805" s="10">
        <v>1376</v>
      </c>
      <c r="Q4805" s="10" t="s">
        <v>1928</v>
      </c>
      <c r="R4805" s="154">
        <f>+テーブル1[[#This Row],[合計金額]]*テーブル1[[#This Row],[自社報酬率％]]/100</f>
        <v>8066</v>
      </c>
    </row>
    <row r="4806" spans="1:18">
      <c r="A4806" s="148">
        <v>45992</v>
      </c>
      <c r="B4806" s="149" t="s">
        <v>43</v>
      </c>
      <c r="C4806" s="150" t="s">
        <v>44</v>
      </c>
      <c r="D4806" s="151">
        <v>100</v>
      </c>
      <c r="E4806" s="151">
        <v>100</v>
      </c>
      <c r="F4806" s="76" t="s">
        <v>17</v>
      </c>
      <c r="G4806" s="86">
        <v>46357</v>
      </c>
      <c r="H4806" s="152" t="s">
        <v>3187</v>
      </c>
      <c r="I4806" s="153">
        <v>8066</v>
      </c>
      <c r="J4806" s="77">
        <v>1</v>
      </c>
      <c r="K4806" s="24"/>
      <c r="L4806" s="92">
        <v>0</v>
      </c>
      <c r="M4806" s="24"/>
      <c r="N4806" s="95">
        <f t="shared" si="186"/>
        <v>1</v>
      </c>
      <c r="O4806" s="147">
        <f t="shared" si="187"/>
        <v>8066</v>
      </c>
      <c r="P4806" s="10">
        <v>1377</v>
      </c>
      <c r="Q4806" s="10" t="s">
        <v>3188</v>
      </c>
      <c r="R4806" s="154">
        <f>+テーブル1[[#This Row],[合計金額]]*テーブル1[[#This Row],[自社報酬率％]]/100</f>
        <v>8066</v>
      </c>
    </row>
    <row r="4807" spans="1:18">
      <c r="A4807" s="148">
        <v>45992</v>
      </c>
      <c r="B4807" s="149" t="s">
        <v>43</v>
      </c>
      <c r="C4807" s="150" t="s">
        <v>44</v>
      </c>
      <c r="D4807" s="151">
        <v>100</v>
      </c>
      <c r="E4807" s="151">
        <v>100</v>
      </c>
      <c r="F4807" s="72" t="s">
        <v>17</v>
      </c>
      <c r="G4807" s="85">
        <v>46023</v>
      </c>
      <c r="H4807" s="152" t="s">
        <v>3189</v>
      </c>
      <c r="I4807" s="153">
        <v>8074</v>
      </c>
      <c r="J4807" s="73">
        <v>4</v>
      </c>
      <c r="K4807" s="24"/>
      <c r="L4807" s="90">
        <v>0</v>
      </c>
      <c r="M4807" s="24"/>
      <c r="N4807" s="93">
        <f t="shared" si="186"/>
        <v>4</v>
      </c>
      <c r="O4807" s="147">
        <f t="shared" si="187"/>
        <v>32296</v>
      </c>
      <c r="P4807" s="10">
        <v>1378</v>
      </c>
      <c r="Q4807" s="10" t="s">
        <v>1928</v>
      </c>
      <c r="R4807" s="154">
        <f>+テーブル1[[#This Row],[合計金額]]*テーブル1[[#This Row],[自社報酬率％]]/100</f>
        <v>32296</v>
      </c>
    </row>
    <row r="4808" spans="1:18">
      <c r="A4808" s="148">
        <v>45992</v>
      </c>
      <c r="B4808" s="149" t="s">
        <v>43</v>
      </c>
      <c r="C4808" s="150" t="s">
        <v>44</v>
      </c>
      <c r="D4808" s="151">
        <v>100</v>
      </c>
      <c r="E4808" s="151">
        <v>100</v>
      </c>
      <c r="F4808" s="155" t="s">
        <v>17</v>
      </c>
      <c r="G4808" s="156">
        <v>46054</v>
      </c>
      <c r="H4808" s="152" t="s">
        <v>3190</v>
      </c>
      <c r="I4808" s="153">
        <v>8066</v>
      </c>
      <c r="J4808" s="24">
        <v>4</v>
      </c>
      <c r="K4808" s="24"/>
      <c r="L4808" s="91">
        <v>0</v>
      </c>
      <c r="M4808" s="24"/>
      <c r="N4808" s="94">
        <f t="shared" si="186"/>
        <v>4</v>
      </c>
      <c r="O4808" s="147">
        <f t="shared" si="187"/>
        <v>32264</v>
      </c>
      <c r="P4808" s="10">
        <v>1379</v>
      </c>
      <c r="Q4808" s="10" t="s">
        <v>1928</v>
      </c>
      <c r="R4808" s="154">
        <f>+テーブル1[[#This Row],[合計金額]]*テーブル1[[#This Row],[自社報酬率％]]/100</f>
        <v>32264</v>
      </c>
    </row>
    <row r="4809" spans="1:18">
      <c r="A4809" s="148">
        <v>45992</v>
      </c>
      <c r="B4809" s="149" t="s">
        <v>43</v>
      </c>
      <c r="C4809" s="150" t="s">
        <v>44</v>
      </c>
      <c r="D4809" s="151">
        <v>100</v>
      </c>
      <c r="E4809" s="151">
        <v>100</v>
      </c>
      <c r="F4809" s="155" t="s">
        <v>17</v>
      </c>
      <c r="G4809" s="156">
        <v>46082</v>
      </c>
      <c r="H4809" s="152" t="s">
        <v>3191</v>
      </c>
      <c r="I4809" s="153">
        <v>8066</v>
      </c>
      <c r="J4809" s="24">
        <v>4</v>
      </c>
      <c r="K4809" s="24"/>
      <c r="L4809" s="91">
        <v>0</v>
      </c>
      <c r="M4809" s="24"/>
      <c r="N4809" s="94">
        <f t="shared" si="186"/>
        <v>4</v>
      </c>
      <c r="O4809" s="147">
        <f t="shared" si="187"/>
        <v>32264</v>
      </c>
      <c r="P4809" s="10">
        <v>1380</v>
      </c>
      <c r="Q4809" s="10" t="s">
        <v>1928</v>
      </c>
      <c r="R4809" s="154">
        <f>+テーブル1[[#This Row],[合計金額]]*テーブル1[[#This Row],[自社報酬率％]]/100</f>
        <v>32264</v>
      </c>
    </row>
    <row r="4810" spans="1:18">
      <c r="A4810" s="148">
        <v>45992</v>
      </c>
      <c r="B4810" s="149" t="s">
        <v>43</v>
      </c>
      <c r="C4810" s="150" t="s">
        <v>44</v>
      </c>
      <c r="D4810" s="151">
        <v>100</v>
      </c>
      <c r="E4810" s="151">
        <v>100</v>
      </c>
      <c r="F4810" s="155" t="s">
        <v>17</v>
      </c>
      <c r="G4810" s="156">
        <v>46113</v>
      </c>
      <c r="H4810" s="152" t="s">
        <v>3192</v>
      </c>
      <c r="I4810" s="153">
        <v>8066</v>
      </c>
      <c r="J4810" s="24">
        <v>4</v>
      </c>
      <c r="K4810" s="24"/>
      <c r="L4810" s="91">
        <v>0</v>
      </c>
      <c r="M4810" s="24"/>
      <c r="N4810" s="94">
        <f t="shared" si="186"/>
        <v>4</v>
      </c>
      <c r="O4810" s="147">
        <f t="shared" si="187"/>
        <v>32264</v>
      </c>
      <c r="P4810" s="10">
        <v>1381</v>
      </c>
      <c r="Q4810" s="10" t="s">
        <v>1928</v>
      </c>
      <c r="R4810" s="154">
        <f>+テーブル1[[#This Row],[合計金額]]*テーブル1[[#This Row],[自社報酬率％]]/100</f>
        <v>32264</v>
      </c>
    </row>
    <row r="4811" spans="1:18">
      <c r="A4811" s="148">
        <v>45992</v>
      </c>
      <c r="B4811" s="149" t="s">
        <v>43</v>
      </c>
      <c r="C4811" s="150" t="s">
        <v>44</v>
      </c>
      <c r="D4811" s="151">
        <v>100</v>
      </c>
      <c r="E4811" s="151">
        <v>100</v>
      </c>
      <c r="F4811" s="155" t="s">
        <v>17</v>
      </c>
      <c r="G4811" s="156">
        <v>46143</v>
      </c>
      <c r="H4811" s="152" t="s">
        <v>3193</v>
      </c>
      <c r="I4811" s="153">
        <v>8066</v>
      </c>
      <c r="J4811" s="24">
        <v>4</v>
      </c>
      <c r="K4811" s="24"/>
      <c r="L4811" s="91">
        <v>0</v>
      </c>
      <c r="M4811" s="24"/>
      <c r="N4811" s="94">
        <f t="shared" si="186"/>
        <v>4</v>
      </c>
      <c r="O4811" s="147">
        <f t="shared" si="187"/>
        <v>32264</v>
      </c>
      <c r="P4811" s="10">
        <v>1382</v>
      </c>
      <c r="Q4811" s="10" t="s">
        <v>1928</v>
      </c>
      <c r="R4811" s="154">
        <f>+テーブル1[[#This Row],[合計金額]]*テーブル1[[#This Row],[自社報酬率％]]/100</f>
        <v>32264</v>
      </c>
    </row>
    <row r="4812" spans="1:18">
      <c r="A4812" s="148">
        <v>45992</v>
      </c>
      <c r="B4812" s="149" t="s">
        <v>43</v>
      </c>
      <c r="C4812" s="150" t="s">
        <v>44</v>
      </c>
      <c r="D4812" s="151">
        <v>100</v>
      </c>
      <c r="E4812" s="151">
        <v>100</v>
      </c>
      <c r="F4812" s="155" t="s">
        <v>17</v>
      </c>
      <c r="G4812" s="156">
        <v>46174</v>
      </c>
      <c r="H4812" s="152" t="s">
        <v>3194</v>
      </c>
      <c r="I4812" s="153">
        <v>8066</v>
      </c>
      <c r="J4812" s="24">
        <v>4</v>
      </c>
      <c r="K4812" s="24"/>
      <c r="L4812" s="91">
        <v>0</v>
      </c>
      <c r="M4812" s="24"/>
      <c r="N4812" s="94">
        <f t="shared" si="186"/>
        <v>4</v>
      </c>
      <c r="O4812" s="147">
        <f t="shared" si="187"/>
        <v>32264</v>
      </c>
      <c r="P4812" s="10">
        <v>1383</v>
      </c>
      <c r="Q4812" s="10" t="s">
        <v>1928</v>
      </c>
      <c r="R4812" s="154">
        <f>+テーブル1[[#This Row],[合計金額]]*テーブル1[[#This Row],[自社報酬率％]]/100</f>
        <v>32264</v>
      </c>
    </row>
    <row r="4813" spans="1:18">
      <c r="A4813" s="148">
        <v>45992</v>
      </c>
      <c r="B4813" s="149" t="s">
        <v>43</v>
      </c>
      <c r="C4813" s="150" t="s">
        <v>44</v>
      </c>
      <c r="D4813" s="151">
        <v>100</v>
      </c>
      <c r="E4813" s="151">
        <v>100</v>
      </c>
      <c r="F4813" s="155" t="s">
        <v>17</v>
      </c>
      <c r="G4813" s="156">
        <v>46204</v>
      </c>
      <c r="H4813" s="152" t="s">
        <v>3195</v>
      </c>
      <c r="I4813" s="153">
        <v>8066</v>
      </c>
      <c r="J4813" s="24">
        <v>4</v>
      </c>
      <c r="K4813" s="24"/>
      <c r="L4813" s="91">
        <v>0</v>
      </c>
      <c r="M4813" s="24"/>
      <c r="N4813" s="94">
        <f t="shared" si="186"/>
        <v>4</v>
      </c>
      <c r="O4813" s="147">
        <f t="shared" si="187"/>
        <v>32264</v>
      </c>
      <c r="P4813" s="10">
        <v>1384</v>
      </c>
      <c r="Q4813" s="10" t="s">
        <v>1928</v>
      </c>
      <c r="R4813" s="154">
        <f>+テーブル1[[#This Row],[合計金額]]*テーブル1[[#This Row],[自社報酬率％]]/100</f>
        <v>32264</v>
      </c>
    </row>
    <row r="4814" spans="1:18">
      <c r="A4814" s="148">
        <v>45992</v>
      </c>
      <c r="B4814" s="149" t="s">
        <v>43</v>
      </c>
      <c r="C4814" s="150" t="s">
        <v>44</v>
      </c>
      <c r="D4814" s="151">
        <v>100</v>
      </c>
      <c r="E4814" s="151">
        <v>100</v>
      </c>
      <c r="F4814" s="155" t="s">
        <v>17</v>
      </c>
      <c r="G4814" s="156">
        <v>46235</v>
      </c>
      <c r="H4814" s="152" t="s">
        <v>3196</v>
      </c>
      <c r="I4814" s="153">
        <v>8066</v>
      </c>
      <c r="J4814" s="24">
        <v>4</v>
      </c>
      <c r="K4814" s="24"/>
      <c r="L4814" s="91">
        <v>0</v>
      </c>
      <c r="M4814" s="24"/>
      <c r="N4814" s="94">
        <f t="shared" si="186"/>
        <v>4</v>
      </c>
      <c r="O4814" s="147">
        <f t="shared" si="187"/>
        <v>32264</v>
      </c>
      <c r="P4814" s="10">
        <v>1385</v>
      </c>
      <c r="Q4814" s="10" t="s">
        <v>1928</v>
      </c>
      <c r="R4814" s="154">
        <f>+テーブル1[[#This Row],[合計金額]]*テーブル1[[#This Row],[自社報酬率％]]/100</f>
        <v>32264</v>
      </c>
    </row>
    <row r="4815" spans="1:18">
      <c r="A4815" s="148">
        <v>45992</v>
      </c>
      <c r="B4815" s="149" t="s">
        <v>43</v>
      </c>
      <c r="C4815" s="150" t="s">
        <v>44</v>
      </c>
      <c r="D4815" s="151">
        <v>100</v>
      </c>
      <c r="E4815" s="151">
        <v>100</v>
      </c>
      <c r="F4815" s="155" t="s">
        <v>17</v>
      </c>
      <c r="G4815" s="156">
        <v>46266</v>
      </c>
      <c r="H4815" s="152" t="s">
        <v>3197</v>
      </c>
      <c r="I4815" s="153">
        <v>8066</v>
      </c>
      <c r="J4815" s="24">
        <v>4</v>
      </c>
      <c r="K4815" s="24"/>
      <c r="L4815" s="91">
        <v>0</v>
      </c>
      <c r="M4815" s="24"/>
      <c r="N4815" s="94">
        <f t="shared" si="186"/>
        <v>4</v>
      </c>
      <c r="O4815" s="147">
        <f t="shared" si="187"/>
        <v>32264</v>
      </c>
      <c r="P4815" s="10">
        <v>1386</v>
      </c>
      <c r="Q4815" s="10" t="s">
        <v>1928</v>
      </c>
      <c r="R4815" s="154">
        <f>+テーブル1[[#This Row],[合計金額]]*テーブル1[[#This Row],[自社報酬率％]]/100</f>
        <v>32264</v>
      </c>
    </row>
    <row r="4816" spans="1:18">
      <c r="A4816" s="148">
        <v>45992</v>
      </c>
      <c r="B4816" s="149" t="s">
        <v>43</v>
      </c>
      <c r="C4816" s="150" t="s">
        <v>44</v>
      </c>
      <c r="D4816" s="151">
        <v>100</v>
      </c>
      <c r="E4816" s="151">
        <v>100</v>
      </c>
      <c r="F4816" s="155" t="s">
        <v>17</v>
      </c>
      <c r="G4816" s="156">
        <v>46296</v>
      </c>
      <c r="H4816" s="152" t="s">
        <v>3198</v>
      </c>
      <c r="I4816" s="153">
        <v>8066</v>
      </c>
      <c r="J4816" s="24">
        <v>4</v>
      </c>
      <c r="K4816" s="24"/>
      <c r="L4816" s="91">
        <v>0</v>
      </c>
      <c r="M4816" s="24"/>
      <c r="N4816" s="94">
        <f t="shared" si="186"/>
        <v>4</v>
      </c>
      <c r="O4816" s="147">
        <f t="shared" si="187"/>
        <v>32264</v>
      </c>
      <c r="P4816" s="10">
        <v>1387</v>
      </c>
      <c r="Q4816" s="10" t="s">
        <v>1928</v>
      </c>
      <c r="R4816" s="154">
        <f>+テーブル1[[#This Row],[合計金額]]*テーブル1[[#This Row],[自社報酬率％]]/100</f>
        <v>32264</v>
      </c>
    </row>
    <row r="4817" spans="1:18">
      <c r="A4817" s="148">
        <v>45992</v>
      </c>
      <c r="B4817" s="149" t="s">
        <v>43</v>
      </c>
      <c r="C4817" s="150" t="s">
        <v>44</v>
      </c>
      <c r="D4817" s="151">
        <v>100</v>
      </c>
      <c r="E4817" s="151">
        <v>100</v>
      </c>
      <c r="F4817" s="155" t="s">
        <v>17</v>
      </c>
      <c r="G4817" s="156">
        <v>46327</v>
      </c>
      <c r="H4817" s="152" t="s">
        <v>3199</v>
      </c>
      <c r="I4817" s="153">
        <v>8066</v>
      </c>
      <c r="J4817" s="24">
        <v>4</v>
      </c>
      <c r="K4817" s="24"/>
      <c r="L4817" s="91">
        <v>0</v>
      </c>
      <c r="M4817" s="24"/>
      <c r="N4817" s="94">
        <f t="shared" si="186"/>
        <v>4</v>
      </c>
      <c r="O4817" s="147">
        <f t="shared" si="187"/>
        <v>32264</v>
      </c>
      <c r="P4817" s="10">
        <v>1388</v>
      </c>
      <c r="Q4817" s="10" t="s">
        <v>1928</v>
      </c>
      <c r="R4817" s="154">
        <f>+テーブル1[[#This Row],[合計金額]]*テーブル1[[#This Row],[自社報酬率％]]/100</f>
        <v>32264</v>
      </c>
    </row>
    <row r="4818" spans="1:18">
      <c r="A4818" s="148">
        <v>45992</v>
      </c>
      <c r="B4818" s="149" t="s">
        <v>43</v>
      </c>
      <c r="C4818" s="150" t="s">
        <v>44</v>
      </c>
      <c r="D4818" s="151">
        <v>100</v>
      </c>
      <c r="E4818" s="151">
        <v>100</v>
      </c>
      <c r="F4818" s="76" t="s">
        <v>17</v>
      </c>
      <c r="G4818" s="86">
        <v>46357</v>
      </c>
      <c r="H4818" s="152" t="s">
        <v>3200</v>
      </c>
      <c r="I4818" s="153">
        <v>8066</v>
      </c>
      <c r="J4818" s="77">
        <v>4</v>
      </c>
      <c r="K4818" s="24"/>
      <c r="L4818" s="92">
        <v>0</v>
      </c>
      <c r="M4818" s="24"/>
      <c r="N4818" s="95">
        <f t="shared" si="186"/>
        <v>4</v>
      </c>
      <c r="O4818" s="147">
        <f t="shared" si="187"/>
        <v>32264</v>
      </c>
      <c r="P4818" s="10">
        <v>1389</v>
      </c>
      <c r="Q4818" s="10" t="s">
        <v>3188</v>
      </c>
      <c r="R4818" s="154">
        <f>+テーブル1[[#This Row],[合計金額]]*テーブル1[[#This Row],[自社報酬率％]]/100</f>
        <v>32264</v>
      </c>
    </row>
    <row r="4819" spans="1:18">
      <c r="A4819" s="148">
        <v>45992</v>
      </c>
      <c r="B4819" s="149" t="s">
        <v>43</v>
      </c>
      <c r="C4819" s="150" t="s">
        <v>44</v>
      </c>
      <c r="D4819" s="151">
        <v>100</v>
      </c>
      <c r="E4819" s="151">
        <v>100</v>
      </c>
      <c r="F4819" s="157" t="s">
        <v>17</v>
      </c>
      <c r="G4819" s="158">
        <v>45992</v>
      </c>
      <c r="H4819" s="152" t="s">
        <v>1946</v>
      </c>
      <c r="I4819" s="153">
        <v>29975</v>
      </c>
      <c r="J4819" s="24">
        <v>8</v>
      </c>
      <c r="K4819" s="24"/>
      <c r="L4819" s="91">
        <v>0</v>
      </c>
      <c r="M4819" s="24"/>
      <c r="N4819" s="12">
        <f t="shared" si="186"/>
        <v>8</v>
      </c>
      <c r="O4819" s="147">
        <f t="shared" si="187"/>
        <v>239800</v>
      </c>
      <c r="P4819" s="10">
        <v>1390</v>
      </c>
      <c r="Q4819" s="10" t="s">
        <v>1928</v>
      </c>
      <c r="R4819" s="154">
        <f>+テーブル1[[#This Row],[合計金額]]*テーブル1[[#This Row],[自社報酬率％]]/100</f>
        <v>239800</v>
      </c>
    </row>
    <row r="4820" spans="1:18">
      <c r="A4820" s="148">
        <v>45992</v>
      </c>
      <c r="B4820" s="149" t="s">
        <v>43</v>
      </c>
      <c r="C4820" s="150" t="s">
        <v>44</v>
      </c>
      <c r="D4820" s="151">
        <v>100</v>
      </c>
      <c r="E4820" s="151">
        <v>100</v>
      </c>
      <c r="F4820" s="157" t="s">
        <v>17</v>
      </c>
      <c r="G4820" s="158">
        <v>45992</v>
      </c>
      <c r="H4820" s="152" t="s">
        <v>3201</v>
      </c>
      <c r="I4820" s="153">
        <v>29975</v>
      </c>
      <c r="J4820" s="24">
        <v>2</v>
      </c>
      <c r="K4820" s="24"/>
      <c r="L4820" s="91">
        <v>0</v>
      </c>
      <c r="M4820" s="24"/>
      <c r="N4820" s="12">
        <f t="shared" si="186"/>
        <v>2</v>
      </c>
      <c r="O4820" s="147">
        <f t="shared" si="187"/>
        <v>59950</v>
      </c>
      <c r="P4820" s="10">
        <v>1391</v>
      </c>
      <c r="Q4820" s="10" t="s">
        <v>1928</v>
      </c>
      <c r="R4820" s="154">
        <f>+テーブル1[[#This Row],[合計金額]]*テーブル1[[#This Row],[自社報酬率％]]/100</f>
        <v>59950</v>
      </c>
    </row>
    <row r="4821" spans="1:18">
      <c r="A4821" s="148">
        <v>45992</v>
      </c>
      <c r="B4821" s="149" t="s">
        <v>43</v>
      </c>
      <c r="C4821" s="150" t="s">
        <v>44</v>
      </c>
      <c r="D4821" s="151">
        <v>100</v>
      </c>
      <c r="E4821" s="151">
        <v>100</v>
      </c>
      <c r="F4821" s="157" t="s">
        <v>17</v>
      </c>
      <c r="G4821" s="158">
        <v>45992</v>
      </c>
      <c r="H4821" s="152" t="s">
        <v>2890</v>
      </c>
      <c r="I4821" s="153">
        <v>29975</v>
      </c>
      <c r="J4821" s="24">
        <v>1</v>
      </c>
      <c r="K4821" s="24"/>
      <c r="L4821" s="91">
        <v>0</v>
      </c>
      <c r="M4821" s="24"/>
      <c r="N4821" s="12">
        <f t="shared" si="186"/>
        <v>1</v>
      </c>
      <c r="O4821" s="147">
        <f t="shared" si="187"/>
        <v>29975</v>
      </c>
      <c r="P4821" s="10">
        <v>1392</v>
      </c>
      <c r="Q4821" s="10" t="s">
        <v>1928</v>
      </c>
      <c r="R4821" s="154">
        <f>+テーブル1[[#This Row],[合計金額]]*テーブル1[[#This Row],[自社報酬率％]]/100</f>
        <v>29975</v>
      </c>
    </row>
    <row r="4822" spans="1:18">
      <c r="A4822" s="148">
        <v>45992</v>
      </c>
      <c r="B4822" s="149" t="s">
        <v>43</v>
      </c>
      <c r="C4822" s="150" t="s">
        <v>44</v>
      </c>
      <c r="D4822" s="151">
        <v>100</v>
      </c>
      <c r="E4822" s="151">
        <v>100</v>
      </c>
      <c r="F4822" s="157" t="s">
        <v>17</v>
      </c>
      <c r="G4822" s="158">
        <v>45992</v>
      </c>
      <c r="H4822" s="152" t="s">
        <v>2988</v>
      </c>
      <c r="I4822" s="153">
        <v>29975</v>
      </c>
      <c r="J4822" s="24">
        <v>6</v>
      </c>
      <c r="K4822" s="24"/>
      <c r="L4822" s="91">
        <v>0</v>
      </c>
      <c r="M4822" s="24"/>
      <c r="N4822" s="12">
        <f t="shared" si="186"/>
        <v>6</v>
      </c>
      <c r="O4822" s="147">
        <f t="shared" si="187"/>
        <v>179850</v>
      </c>
      <c r="P4822" s="10">
        <v>1393</v>
      </c>
      <c r="Q4822" s="10" t="s">
        <v>1928</v>
      </c>
      <c r="R4822" s="154">
        <f>+テーブル1[[#This Row],[合計金額]]*テーブル1[[#This Row],[自社報酬率％]]/100</f>
        <v>179850</v>
      </c>
    </row>
    <row r="4823" spans="1:18">
      <c r="A4823" s="148">
        <v>45992</v>
      </c>
      <c r="B4823" s="149" t="s">
        <v>43</v>
      </c>
      <c r="C4823" s="150" t="s">
        <v>44</v>
      </c>
      <c r="D4823" s="151">
        <v>100</v>
      </c>
      <c r="E4823" s="151">
        <v>100</v>
      </c>
      <c r="F4823" s="157" t="s">
        <v>17</v>
      </c>
      <c r="G4823" s="158">
        <v>45992</v>
      </c>
      <c r="H4823" s="152" t="s">
        <v>2142</v>
      </c>
      <c r="I4823" s="153">
        <v>29975</v>
      </c>
      <c r="J4823" s="24">
        <v>4</v>
      </c>
      <c r="K4823" s="24"/>
      <c r="L4823" s="91">
        <v>0</v>
      </c>
      <c r="M4823" s="24"/>
      <c r="N4823" s="12">
        <f t="shared" si="186"/>
        <v>4</v>
      </c>
      <c r="O4823" s="147">
        <f t="shared" si="187"/>
        <v>119900</v>
      </c>
      <c r="P4823" s="10">
        <v>1394</v>
      </c>
      <c r="Q4823" s="10" t="s">
        <v>1928</v>
      </c>
      <c r="R4823" s="154">
        <f>+テーブル1[[#This Row],[合計金額]]*テーブル1[[#This Row],[自社報酬率％]]/100</f>
        <v>119900</v>
      </c>
    </row>
    <row r="4824" spans="1:18">
      <c r="A4824" s="148">
        <v>45992</v>
      </c>
      <c r="B4824" s="149" t="s">
        <v>43</v>
      </c>
      <c r="C4824" s="150" t="s">
        <v>44</v>
      </c>
      <c r="D4824" s="151">
        <v>100</v>
      </c>
      <c r="E4824" s="151">
        <v>100</v>
      </c>
      <c r="F4824" s="157" t="s">
        <v>17</v>
      </c>
      <c r="G4824" s="158">
        <v>45992</v>
      </c>
      <c r="H4824" s="152" t="s">
        <v>1947</v>
      </c>
      <c r="I4824" s="153">
        <v>29800</v>
      </c>
      <c r="J4824" s="24">
        <v>1</v>
      </c>
      <c r="K4824" s="24"/>
      <c r="L4824" s="91">
        <v>0</v>
      </c>
      <c r="M4824" s="24"/>
      <c r="N4824" s="12">
        <f t="shared" si="186"/>
        <v>1</v>
      </c>
      <c r="O4824" s="147">
        <f t="shared" si="187"/>
        <v>29800</v>
      </c>
      <c r="P4824" s="10">
        <v>1395</v>
      </c>
      <c r="Q4824" s="10" t="s">
        <v>1928</v>
      </c>
      <c r="R4824" s="154">
        <f>+テーブル1[[#This Row],[合計金額]]*テーブル1[[#This Row],[自社報酬率％]]/100</f>
        <v>29800</v>
      </c>
    </row>
    <row r="4825" spans="1:18">
      <c r="A4825" s="148">
        <v>45992</v>
      </c>
      <c r="B4825" s="149" t="s">
        <v>43</v>
      </c>
      <c r="C4825" s="150" t="s">
        <v>44</v>
      </c>
      <c r="D4825" s="151">
        <v>100</v>
      </c>
      <c r="E4825" s="151">
        <v>100</v>
      </c>
      <c r="F4825" s="157" t="s">
        <v>17</v>
      </c>
      <c r="G4825" s="158">
        <v>45992</v>
      </c>
      <c r="H4825" s="152" t="s">
        <v>1947</v>
      </c>
      <c r="I4825" s="153">
        <v>29975</v>
      </c>
      <c r="J4825" s="24">
        <v>1</v>
      </c>
      <c r="K4825" s="24"/>
      <c r="L4825" s="91">
        <v>0</v>
      </c>
      <c r="M4825" s="24"/>
      <c r="N4825" s="12">
        <f t="shared" si="186"/>
        <v>1</v>
      </c>
      <c r="O4825" s="147">
        <f t="shared" si="187"/>
        <v>29975</v>
      </c>
      <c r="P4825" s="10">
        <v>1396</v>
      </c>
      <c r="Q4825" s="10" t="s">
        <v>1928</v>
      </c>
      <c r="R4825" s="154">
        <f>+テーブル1[[#This Row],[合計金額]]*テーブル1[[#This Row],[自社報酬率％]]/100</f>
        <v>29975</v>
      </c>
    </row>
    <row r="4826" spans="1:18">
      <c r="A4826" s="148">
        <v>45992</v>
      </c>
      <c r="B4826" s="149" t="s">
        <v>43</v>
      </c>
      <c r="C4826" s="150" t="s">
        <v>44</v>
      </c>
      <c r="D4826" s="151">
        <v>100</v>
      </c>
      <c r="E4826" s="151">
        <v>100</v>
      </c>
      <c r="F4826" s="157" t="s">
        <v>17</v>
      </c>
      <c r="G4826" s="158">
        <v>45992</v>
      </c>
      <c r="H4826" s="152" t="s">
        <v>2143</v>
      </c>
      <c r="I4826" s="153">
        <v>29975</v>
      </c>
      <c r="J4826" s="24">
        <v>6</v>
      </c>
      <c r="K4826" s="24"/>
      <c r="L4826" s="91">
        <v>0</v>
      </c>
      <c r="M4826" s="24"/>
      <c r="N4826" s="12">
        <f t="shared" si="186"/>
        <v>6</v>
      </c>
      <c r="O4826" s="147">
        <f t="shared" si="187"/>
        <v>179850</v>
      </c>
      <c r="P4826" s="10">
        <v>1397</v>
      </c>
      <c r="Q4826" s="10" t="s">
        <v>1928</v>
      </c>
      <c r="R4826" s="154">
        <f>+テーブル1[[#This Row],[合計金額]]*テーブル1[[#This Row],[自社報酬率％]]/100</f>
        <v>179850</v>
      </c>
    </row>
    <row r="4827" spans="1:18">
      <c r="A4827" s="148">
        <v>45992</v>
      </c>
      <c r="B4827" s="149" t="s">
        <v>43</v>
      </c>
      <c r="C4827" s="150" t="s">
        <v>44</v>
      </c>
      <c r="D4827" s="151">
        <v>100</v>
      </c>
      <c r="E4827" s="151">
        <v>100</v>
      </c>
      <c r="F4827" s="157" t="s">
        <v>17</v>
      </c>
      <c r="G4827" s="158">
        <v>45992</v>
      </c>
      <c r="H4827" s="152" t="s">
        <v>2296</v>
      </c>
      <c r="I4827" s="153">
        <v>29975</v>
      </c>
      <c r="J4827" s="24">
        <v>5</v>
      </c>
      <c r="K4827" s="24"/>
      <c r="L4827" s="91">
        <v>0</v>
      </c>
      <c r="M4827" s="24"/>
      <c r="N4827" s="12">
        <f t="shared" si="186"/>
        <v>5</v>
      </c>
      <c r="O4827" s="147">
        <f t="shared" si="187"/>
        <v>149875</v>
      </c>
      <c r="P4827" s="10">
        <v>1398</v>
      </c>
      <c r="Q4827" s="10" t="s">
        <v>1928</v>
      </c>
      <c r="R4827" s="154">
        <f>+テーブル1[[#This Row],[合計金額]]*テーブル1[[#This Row],[自社報酬率％]]/100</f>
        <v>149875</v>
      </c>
    </row>
    <row r="4828" spans="1:18">
      <c r="A4828" s="148">
        <v>45992</v>
      </c>
      <c r="B4828" s="149" t="s">
        <v>43</v>
      </c>
      <c r="C4828" s="150" t="s">
        <v>44</v>
      </c>
      <c r="D4828" s="151">
        <v>100</v>
      </c>
      <c r="E4828" s="151">
        <v>100</v>
      </c>
      <c r="F4828" s="157" t="s">
        <v>17</v>
      </c>
      <c r="G4828" s="158">
        <v>45992</v>
      </c>
      <c r="H4828" s="152" t="s">
        <v>2425</v>
      </c>
      <c r="I4828" s="153">
        <v>27500</v>
      </c>
      <c r="J4828" s="24">
        <v>1</v>
      </c>
      <c r="K4828" s="24"/>
      <c r="L4828" s="91">
        <v>0</v>
      </c>
      <c r="M4828" s="24"/>
      <c r="N4828" s="12">
        <f t="shared" si="186"/>
        <v>1</v>
      </c>
      <c r="O4828" s="147">
        <f t="shared" si="187"/>
        <v>27500</v>
      </c>
      <c r="P4828" s="10">
        <v>1399</v>
      </c>
      <c r="Q4828" s="10" t="s">
        <v>1928</v>
      </c>
      <c r="R4828" s="154">
        <f>+テーブル1[[#This Row],[合計金額]]*テーブル1[[#This Row],[自社報酬率％]]/100</f>
        <v>27500</v>
      </c>
    </row>
    <row r="4829" spans="1:18">
      <c r="A4829" s="148">
        <v>45992</v>
      </c>
      <c r="B4829" s="149" t="s">
        <v>43</v>
      </c>
      <c r="C4829" s="150" t="s">
        <v>44</v>
      </c>
      <c r="D4829" s="151">
        <v>100</v>
      </c>
      <c r="E4829" s="151">
        <v>100</v>
      </c>
      <c r="F4829" s="157" t="s">
        <v>17</v>
      </c>
      <c r="G4829" s="158">
        <v>45992</v>
      </c>
      <c r="H4829" s="152" t="s">
        <v>2522</v>
      </c>
      <c r="I4829" s="153">
        <v>29975</v>
      </c>
      <c r="J4829" s="24">
        <v>5</v>
      </c>
      <c r="K4829" s="24"/>
      <c r="L4829" s="91">
        <v>0</v>
      </c>
      <c r="M4829" s="24"/>
      <c r="N4829" s="12">
        <f t="shared" si="186"/>
        <v>5</v>
      </c>
      <c r="O4829" s="147">
        <f t="shared" si="187"/>
        <v>149875</v>
      </c>
      <c r="P4829" s="10">
        <v>1400</v>
      </c>
      <c r="Q4829" s="10" t="s">
        <v>1928</v>
      </c>
      <c r="R4829" s="154">
        <f>+テーブル1[[#This Row],[合計金額]]*テーブル1[[#This Row],[自社報酬率％]]/100</f>
        <v>149875</v>
      </c>
    </row>
    <row r="4830" spans="1:18">
      <c r="A4830" s="148">
        <v>45992</v>
      </c>
      <c r="B4830" s="149" t="s">
        <v>43</v>
      </c>
      <c r="C4830" s="150" t="s">
        <v>44</v>
      </c>
      <c r="D4830" s="151">
        <v>100</v>
      </c>
      <c r="E4830" s="151">
        <v>100</v>
      </c>
      <c r="F4830" s="157" t="s">
        <v>17</v>
      </c>
      <c r="G4830" s="158">
        <v>45992</v>
      </c>
      <c r="H4830" s="152" t="s">
        <v>2676</v>
      </c>
      <c r="I4830" s="153">
        <v>29975</v>
      </c>
      <c r="J4830" s="24">
        <v>2</v>
      </c>
      <c r="K4830" s="24"/>
      <c r="L4830" s="91">
        <v>0</v>
      </c>
      <c r="M4830" s="24"/>
      <c r="N4830" s="12">
        <f t="shared" si="186"/>
        <v>2</v>
      </c>
      <c r="O4830" s="147">
        <f t="shared" si="187"/>
        <v>59950</v>
      </c>
      <c r="P4830" s="10">
        <v>1401</v>
      </c>
      <c r="Q4830" s="10" t="s">
        <v>1928</v>
      </c>
      <c r="R4830" s="154">
        <f>+テーブル1[[#This Row],[合計金額]]*テーブル1[[#This Row],[自社報酬率％]]/100</f>
        <v>59950</v>
      </c>
    </row>
    <row r="4831" spans="1:18">
      <c r="A4831" s="148">
        <v>45992</v>
      </c>
      <c r="B4831" s="149" t="s">
        <v>43</v>
      </c>
      <c r="C4831" s="150" t="s">
        <v>44</v>
      </c>
      <c r="D4831" s="151">
        <v>100</v>
      </c>
      <c r="E4831" s="151">
        <v>100</v>
      </c>
      <c r="F4831" s="157" t="s">
        <v>17</v>
      </c>
      <c r="G4831" s="158">
        <v>45992</v>
      </c>
      <c r="H4831" s="152" t="s">
        <v>2775</v>
      </c>
      <c r="I4831" s="153">
        <v>27500</v>
      </c>
      <c r="J4831" s="24">
        <v>1</v>
      </c>
      <c r="K4831" s="24"/>
      <c r="L4831" s="91">
        <v>0</v>
      </c>
      <c r="M4831" s="24"/>
      <c r="N4831" s="12">
        <f t="shared" si="186"/>
        <v>1</v>
      </c>
      <c r="O4831" s="147">
        <f t="shared" si="187"/>
        <v>27500</v>
      </c>
      <c r="P4831" s="10">
        <v>1402</v>
      </c>
      <c r="Q4831" s="10" t="s">
        <v>1928</v>
      </c>
      <c r="R4831" s="154">
        <f>+テーブル1[[#This Row],[合計金額]]*テーブル1[[#This Row],[自社報酬率％]]/100</f>
        <v>27500</v>
      </c>
    </row>
    <row r="4832" spans="1:18">
      <c r="A4832" s="148">
        <v>45992</v>
      </c>
      <c r="B4832" s="149" t="s">
        <v>43</v>
      </c>
      <c r="C4832" s="150" t="s">
        <v>44</v>
      </c>
      <c r="D4832" s="151">
        <v>100</v>
      </c>
      <c r="E4832" s="151">
        <v>100</v>
      </c>
      <c r="F4832" s="157" t="s">
        <v>17</v>
      </c>
      <c r="G4832" s="158">
        <v>45992</v>
      </c>
      <c r="H4832" s="152" t="s">
        <v>2775</v>
      </c>
      <c r="I4832" s="153">
        <v>29975</v>
      </c>
      <c r="J4832" s="24">
        <v>6</v>
      </c>
      <c r="K4832" s="24"/>
      <c r="L4832" s="91">
        <v>0</v>
      </c>
      <c r="M4832" s="24"/>
      <c r="N4832" s="12">
        <f t="shared" si="186"/>
        <v>6</v>
      </c>
      <c r="O4832" s="147">
        <f t="shared" si="187"/>
        <v>179850</v>
      </c>
      <c r="P4832" s="10">
        <v>1403</v>
      </c>
      <c r="Q4832" s="10" t="s">
        <v>1928</v>
      </c>
      <c r="R4832" s="154">
        <f>+テーブル1[[#This Row],[合計金額]]*テーブル1[[#This Row],[自社報酬率％]]/100</f>
        <v>179850</v>
      </c>
    </row>
    <row r="4833" spans="1:18">
      <c r="A4833" s="148">
        <v>45992</v>
      </c>
      <c r="B4833" s="149" t="s">
        <v>43</v>
      </c>
      <c r="C4833" s="150" t="s">
        <v>44</v>
      </c>
      <c r="D4833" s="151">
        <v>100</v>
      </c>
      <c r="E4833" s="151">
        <v>100</v>
      </c>
      <c r="F4833" s="157" t="s">
        <v>17</v>
      </c>
      <c r="G4833" s="158">
        <v>45992</v>
      </c>
      <c r="H4833" s="152" t="s">
        <v>2989</v>
      </c>
      <c r="I4833" s="153">
        <v>29800</v>
      </c>
      <c r="J4833" s="24">
        <v>1</v>
      </c>
      <c r="K4833" s="24"/>
      <c r="L4833" s="91">
        <v>0</v>
      </c>
      <c r="M4833" s="24"/>
      <c r="N4833" s="12">
        <f t="shared" si="186"/>
        <v>1</v>
      </c>
      <c r="O4833" s="147">
        <f t="shared" si="187"/>
        <v>29800</v>
      </c>
      <c r="P4833" s="10">
        <v>1404</v>
      </c>
      <c r="Q4833" s="10" t="s">
        <v>1928</v>
      </c>
      <c r="R4833" s="154">
        <f>+テーブル1[[#This Row],[合計金額]]*テーブル1[[#This Row],[自社報酬率％]]/100</f>
        <v>29800</v>
      </c>
    </row>
    <row r="4834" spans="1:18">
      <c r="A4834" s="148">
        <v>45992</v>
      </c>
      <c r="B4834" s="149" t="s">
        <v>43</v>
      </c>
      <c r="C4834" s="150" t="s">
        <v>44</v>
      </c>
      <c r="D4834" s="151">
        <v>100</v>
      </c>
      <c r="E4834" s="151">
        <v>100</v>
      </c>
      <c r="F4834" s="72" t="s">
        <v>19</v>
      </c>
      <c r="G4834" s="85">
        <v>46023</v>
      </c>
      <c r="H4834" s="152" t="s">
        <v>215</v>
      </c>
      <c r="I4834" s="153">
        <v>8900</v>
      </c>
      <c r="J4834" s="73">
        <v>1</v>
      </c>
      <c r="K4834" s="24"/>
      <c r="L4834" s="90">
        <v>0</v>
      </c>
      <c r="M4834" s="24"/>
      <c r="N4834" s="93">
        <f t="shared" si="186"/>
        <v>1</v>
      </c>
      <c r="O4834" s="147">
        <f t="shared" si="187"/>
        <v>8900</v>
      </c>
      <c r="P4834" s="10">
        <v>1405</v>
      </c>
      <c r="Q4834" s="10" t="s">
        <v>1928</v>
      </c>
      <c r="R4834" s="154">
        <f>+テーブル1[[#This Row],[合計金額]]*テーブル1[[#This Row],[自社報酬率％]]/100</f>
        <v>8900</v>
      </c>
    </row>
    <row r="4835" spans="1:18">
      <c r="A4835" s="148">
        <v>45992</v>
      </c>
      <c r="B4835" s="149" t="s">
        <v>43</v>
      </c>
      <c r="C4835" s="150" t="s">
        <v>44</v>
      </c>
      <c r="D4835" s="151">
        <v>100</v>
      </c>
      <c r="E4835" s="151">
        <v>100</v>
      </c>
      <c r="F4835" s="155" t="s">
        <v>19</v>
      </c>
      <c r="G4835" s="156">
        <v>46054</v>
      </c>
      <c r="H4835" s="152" t="s">
        <v>3202</v>
      </c>
      <c r="I4835" s="153">
        <v>8900</v>
      </c>
      <c r="J4835" s="24">
        <v>1</v>
      </c>
      <c r="K4835" s="24"/>
      <c r="L4835" s="91">
        <v>0</v>
      </c>
      <c r="M4835" s="24"/>
      <c r="N4835" s="94">
        <f t="shared" si="186"/>
        <v>1</v>
      </c>
      <c r="O4835" s="147">
        <f t="shared" si="187"/>
        <v>8900</v>
      </c>
      <c r="P4835" s="10">
        <v>1406</v>
      </c>
      <c r="Q4835" s="10" t="s">
        <v>1928</v>
      </c>
      <c r="R4835" s="154">
        <f>+テーブル1[[#This Row],[合計金額]]*テーブル1[[#This Row],[自社報酬率％]]/100</f>
        <v>8900</v>
      </c>
    </row>
    <row r="4836" spans="1:18">
      <c r="A4836" s="148">
        <v>45992</v>
      </c>
      <c r="B4836" s="149" t="s">
        <v>43</v>
      </c>
      <c r="C4836" s="150" t="s">
        <v>44</v>
      </c>
      <c r="D4836" s="151">
        <v>100</v>
      </c>
      <c r="E4836" s="151">
        <v>100</v>
      </c>
      <c r="F4836" s="155" t="s">
        <v>19</v>
      </c>
      <c r="G4836" s="156">
        <v>46082</v>
      </c>
      <c r="H4836" s="152" t="s">
        <v>3203</v>
      </c>
      <c r="I4836" s="153">
        <v>8900</v>
      </c>
      <c r="J4836" s="24">
        <v>1</v>
      </c>
      <c r="K4836" s="24"/>
      <c r="L4836" s="91">
        <v>0</v>
      </c>
      <c r="M4836" s="24"/>
      <c r="N4836" s="94">
        <f t="shared" si="186"/>
        <v>1</v>
      </c>
      <c r="O4836" s="147">
        <f t="shared" si="187"/>
        <v>8900</v>
      </c>
      <c r="P4836" s="10">
        <v>1407</v>
      </c>
      <c r="Q4836" s="10" t="s">
        <v>1928</v>
      </c>
      <c r="R4836" s="154">
        <f>+テーブル1[[#This Row],[合計金額]]*テーブル1[[#This Row],[自社報酬率％]]/100</f>
        <v>8900</v>
      </c>
    </row>
    <row r="4837" spans="1:18">
      <c r="A4837" s="148">
        <v>45992</v>
      </c>
      <c r="B4837" s="149" t="s">
        <v>43</v>
      </c>
      <c r="C4837" s="150" t="s">
        <v>44</v>
      </c>
      <c r="D4837" s="151">
        <v>100</v>
      </c>
      <c r="E4837" s="151">
        <v>100</v>
      </c>
      <c r="F4837" s="155" t="s">
        <v>19</v>
      </c>
      <c r="G4837" s="156">
        <v>46113</v>
      </c>
      <c r="H4837" s="152" t="s">
        <v>3204</v>
      </c>
      <c r="I4837" s="153">
        <v>8900</v>
      </c>
      <c r="J4837" s="24">
        <v>1</v>
      </c>
      <c r="K4837" s="24"/>
      <c r="L4837" s="91">
        <v>0</v>
      </c>
      <c r="M4837" s="24"/>
      <c r="N4837" s="94">
        <f t="shared" si="186"/>
        <v>1</v>
      </c>
      <c r="O4837" s="147">
        <f t="shared" si="187"/>
        <v>8900</v>
      </c>
      <c r="P4837" s="10">
        <v>1408</v>
      </c>
      <c r="Q4837" s="10" t="s">
        <v>1928</v>
      </c>
      <c r="R4837" s="154">
        <f>+テーブル1[[#This Row],[合計金額]]*テーブル1[[#This Row],[自社報酬率％]]/100</f>
        <v>8900</v>
      </c>
    </row>
    <row r="4838" spans="1:18">
      <c r="A4838" s="148">
        <v>45992</v>
      </c>
      <c r="B4838" s="149" t="s">
        <v>43</v>
      </c>
      <c r="C4838" s="150" t="s">
        <v>44</v>
      </c>
      <c r="D4838" s="151">
        <v>100</v>
      </c>
      <c r="E4838" s="151">
        <v>100</v>
      </c>
      <c r="F4838" s="155" t="s">
        <v>19</v>
      </c>
      <c r="G4838" s="156">
        <v>46143</v>
      </c>
      <c r="H4838" s="152" t="s">
        <v>3205</v>
      </c>
      <c r="I4838" s="153">
        <v>8900</v>
      </c>
      <c r="J4838" s="24">
        <v>1</v>
      </c>
      <c r="K4838" s="24"/>
      <c r="L4838" s="91">
        <v>0</v>
      </c>
      <c r="M4838" s="24"/>
      <c r="N4838" s="94">
        <f t="shared" si="186"/>
        <v>1</v>
      </c>
      <c r="O4838" s="147">
        <f t="shared" si="187"/>
        <v>8900</v>
      </c>
      <c r="P4838" s="10">
        <v>1409</v>
      </c>
      <c r="Q4838" s="10" t="s">
        <v>1928</v>
      </c>
      <c r="R4838" s="154">
        <f>+テーブル1[[#This Row],[合計金額]]*テーブル1[[#This Row],[自社報酬率％]]/100</f>
        <v>8900</v>
      </c>
    </row>
    <row r="4839" spans="1:18">
      <c r="A4839" s="148">
        <v>45992</v>
      </c>
      <c r="B4839" s="149" t="s">
        <v>43</v>
      </c>
      <c r="C4839" s="150" t="s">
        <v>44</v>
      </c>
      <c r="D4839" s="151">
        <v>100</v>
      </c>
      <c r="E4839" s="151">
        <v>100</v>
      </c>
      <c r="F4839" s="76" t="s">
        <v>19</v>
      </c>
      <c r="G4839" s="86">
        <v>46174</v>
      </c>
      <c r="H4839" s="152" t="s">
        <v>3206</v>
      </c>
      <c r="I4839" s="153">
        <v>8900</v>
      </c>
      <c r="J4839" s="77">
        <v>1</v>
      </c>
      <c r="K4839" s="24"/>
      <c r="L4839" s="92">
        <v>0</v>
      </c>
      <c r="M4839" s="24"/>
      <c r="N4839" s="95">
        <f t="shared" si="186"/>
        <v>1</v>
      </c>
      <c r="O4839" s="147">
        <f t="shared" si="187"/>
        <v>8900</v>
      </c>
      <c r="P4839" s="10">
        <v>1410</v>
      </c>
      <c r="Q4839" s="10" t="s">
        <v>1928</v>
      </c>
      <c r="R4839" s="154">
        <f>+テーブル1[[#This Row],[合計金額]]*テーブル1[[#This Row],[自社報酬率％]]/100</f>
        <v>8900</v>
      </c>
    </row>
    <row r="4840" spans="1:18">
      <c r="A4840" s="148">
        <v>45992</v>
      </c>
      <c r="B4840" s="149" t="s">
        <v>43</v>
      </c>
      <c r="C4840" s="150" t="s">
        <v>44</v>
      </c>
      <c r="D4840" s="151">
        <v>100</v>
      </c>
      <c r="E4840" s="151">
        <v>100</v>
      </c>
      <c r="F4840" s="72" t="s">
        <v>19</v>
      </c>
      <c r="G4840" s="85">
        <v>46023</v>
      </c>
      <c r="H4840" s="152" t="s">
        <v>214</v>
      </c>
      <c r="I4840" s="153">
        <v>8900</v>
      </c>
      <c r="J4840" s="73">
        <v>1</v>
      </c>
      <c r="K4840" s="24"/>
      <c r="L4840" s="90">
        <v>0</v>
      </c>
      <c r="M4840" s="24"/>
      <c r="N4840" s="93">
        <f t="shared" si="186"/>
        <v>1</v>
      </c>
      <c r="O4840" s="147">
        <f t="shared" si="187"/>
        <v>8900</v>
      </c>
      <c r="P4840" s="10">
        <v>1411</v>
      </c>
      <c r="Q4840" s="10" t="s">
        <v>1928</v>
      </c>
      <c r="R4840" s="154">
        <f>+テーブル1[[#This Row],[合計金額]]*テーブル1[[#This Row],[自社報酬率％]]/100</f>
        <v>8900</v>
      </c>
    </row>
    <row r="4841" spans="1:18">
      <c r="A4841" s="148">
        <v>45992</v>
      </c>
      <c r="B4841" s="149" t="s">
        <v>43</v>
      </c>
      <c r="C4841" s="150" t="s">
        <v>44</v>
      </c>
      <c r="D4841" s="151">
        <v>100</v>
      </c>
      <c r="E4841" s="151">
        <v>100</v>
      </c>
      <c r="F4841" s="155" t="s">
        <v>19</v>
      </c>
      <c r="G4841" s="156">
        <v>46054</v>
      </c>
      <c r="H4841" s="152" t="s">
        <v>3207</v>
      </c>
      <c r="I4841" s="153">
        <v>8900</v>
      </c>
      <c r="J4841" s="24">
        <v>1</v>
      </c>
      <c r="K4841" s="24"/>
      <c r="L4841" s="91">
        <v>0</v>
      </c>
      <c r="M4841" s="24"/>
      <c r="N4841" s="94">
        <f t="shared" si="186"/>
        <v>1</v>
      </c>
      <c r="O4841" s="147">
        <f t="shared" si="187"/>
        <v>8900</v>
      </c>
      <c r="P4841" s="10">
        <v>1412</v>
      </c>
      <c r="Q4841" s="10" t="s">
        <v>1928</v>
      </c>
      <c r="R4841" s="154">
        <f>+テーブル1[[#This Row],[合計金額]]*テーブル1[[#This Row],[自社報酬率％]]/100</f>
        <v>8900</v>
      </c>
    </row>
    <row r="4842" spans="1:18">
      <c r="A4842" s="148">
        <v>45992</v>
      </c>
      <c r="B4842" s="149" t="s">
        <v>43</v>
      </c>
      <c r="C4842" s="150" t="s">
        <v>44</v>
      </c>
      <c r="D4842" s="151">
        <v>100</v>
      </c>
      <c r="E4842" s="151">
        <v>100</v>
      </c>
      <c r="F4842" s="155" t="s">
        <v>19</v>
      </c>
      <c r="G4842" s="156">
        <v>46082</v>
      </c>
      <c r="H4842" s="152" t="s">
        <v>3208</v>
      </c>
      <c r="I4842" s="153">
        <v>8900</v>
      </c>
      <c r="J4842" s="24">
        <v>1</v>
      </c>
      <c r="K4842" s="24"/>
      <c r="L4842" s="91">
        <v>0</v>
      </c>
      <c r="M4842" s="24"/>
      <c r="N4842" s="94">
        <f t="shared" si="186"/>
        <v>1</v>
      </c>
      <c r="O4842" s="147">
        <f t="shared" si="187"/>
        <v>8900</v>
      </c>
      <c r="P4842" s="10">
        <v>1413</v>
      </c>
      <c r="Q4842" s="10" t="s">
        <v>1928</v>
      </c>
      <c r="R4842" s="154">
        <f>+テーブル1[[#This Row],[合計金額]]*テーブル1[[#This Row],[自社報酬率％]]/100</f>
        <v>8900</v>
      </c>
    </row>
    <row r="4843" spans="1:18">
      <c r="A4843" s="148">
        <v>45992</v>
      </c>
      <c r="B4843" s="149" t="s">
        <v>43</v>
      </c>
      <c r="C4843" s="150" t="s">
        <v>44</v>
      </c>
      <c r="D4843" s="151">
        <v>100</v>
      </c>
      <c r="E4843" s="151">
        <v>100</v>
      </c>
      <c r="F4843" s="155" t="s">
        <v>19</v>
      </c>
      <c r="G4843" s="156">
        <v>46113</v>
      </c>
      <c r="H4843" s="152" t="s">
        <v>3209</v>
      </c>
      <c r="I4843" s="153">
        <v>8900</v>
      </c>
      <c r="J4843" s="24">
        <v>1</v>
      </c>
      <c r="K4843" s="24"/>
      <c r="L4843" s="91">
        <v>0</v>
      </c>
      <c r="M4843" s="24"/>
      <c r="N4843" s="94">
        <f t="shared" si="186"/>
        <v>1</v>
      </c>
      <c r="O4843" s="147">
        <f t="shared" si="187"/>
        <v>8900</v>
      </c>
      <c r="P4843" s="10">
        <v>1414</v>
      </c>
      <c r="Q4843" s="10" t="s">
        <v>1928</v>
      </c>
      <c r="R4843" s="154">
        <f>+テーブル1[[#This Row],[合計金額]]*テーブル1[[#This Row],[自社報酬率％]]/100</f>
        <v>8900</v>
      </c>
    </row>
    <row r="4844" spans="1:18">
      <c r="A4844" s="148">
        <v>45992</v>
      </c>
      <c r="B4844" s="149" t="s">
        <v>43</v>
      </c>
      <c r="C4844" s="150" t="s">
        <v>44</v>
      </c>
      <c r="D4844" s="151">
        <v>100</v>
      </c>
      <c r="E4844" s="151">
        <v>100</v>
      </c>
      <c r="F4844" s="155" t="s">
        <v>19</v>
      </c>
      <c r="G4844" s="156">
        <v>46143</v>
      </c>
      <c r="H4844" s="152" t="s">
        <v>3210</v>
      </c>
      <c r="I4844" s="153">
        <v>8900</v>
      </c>
      <c r="J4844" s="24">
        <v>1</v>
      </c>
      <c r="K4844" s="24"/>
      <c r="L4844" s="91">
        <v>0</v>
      </c>
      <c r="M4844" s="24"/>
      <c r="N4844" s="94">
        <f t="shared" si="186"/>
        <v>1</v>
      </c>
      <c r="O4844" s="147">
        <f t="shared" si="187"/>
        <v>8900</v>
      </c>
      <c r="P4844" s="10">
        <v>1415</v>
      </c>
      <c r="Q4844" s="10" t="s">
        <v>1928</v>
      </c>
      <c r="R4844" s="154">
        <f>+テーブル1[[#This Row],[合計金額]]*テーブル1[[#This Row],[自社報酬率％]]/100</f>
        <v>8900</v>
      </c>
    </row>
    <row r="4845" spans="1:18">
      <c r="A4845" s="148">
        <v>45992</v>
      </c>
      <c r="B4845" s="149" t="s">
        <v>43</v>
      </c>
      <c r="C4845" s="150" t="s">
        <v>44</v>
      </c>
      <c r="D4845" s="151">
        <v>100</v>
      </c>
      <c r="E4845" s="151">
        <v>100</v>
      </c>
      <c r="F4845" s="76" t="s">
        <v>19</v>
      </c>
      <c r="G4845" s="86">
        <v>46174</v>
      </c>
      <c r="H4845" s="152" t="s">
        <v>3211</v>
      </c>
      <c r="I4845" s="153">
        <v>8900</v>
      </c>
      <c r="J4845" s="77">
        <v>1</v>
      </c>
      <c r="K4845" s="24"/>
      <c r="L4845" s="92">
        <v>0</v>
      </c>
      <c r="M4845" s="24"/>
      <c r="N4845" s="95">
        <f t="shared" si="186"/>
        <v>1</v>
      </c>
      <c r="O4845" s="147">
        <f t="shared" si="187"/>
        <v>8900</v>
      </c>
      <c r="P4845" s="10">
        <v>1416</v>
      </c>
      <c r="Q4845" s="10" t="s">
        <v>1928</v>
      </c>
      <c r="R4845" s="154">
        <f>+テーブル1[[#This Row],[合計金額]]*テーブル1[[#This Row],[自社報酬率％]]/100</f>
        <v>8900</v>
      </c>
    </row>
    <row r="4846" spans="1:18">
      <c r="A4846" s="148">
        <v>45992</v>
      </c>
      <c r="B4846" s="149" t="s">
        <v>43</v>
      </c>
      <c r="C4846" s="150" t="s">
        <v>44</v>
      </c>
      <c r="D4846" s="151">
        <v>100</v>
      </c>
      <c r="E4846" s="151">
        <v>100</v>
      </c>
      <c r="F4846" s="155" t="s">
        <v>19</v>
      </c>
      <c r="G4846" s="156">
        <v>46023</v>
      </c>
      <c r="H4846" s="152" t="s">
        <v>3212</v>
      </c>
      <c r="I4846" s="153">
        <v>11000</v>
      </c>
      <c r="J4846" s="24">
        <v>1</v>
      </c>
      <c r="K4846" s="24"/>
      <c r="L4846" s="91">
        <v>0</v>
      </c>
      <c r="M4846" s="24"/>
      <c r="N4846" s="12">
        <f t="shared" si="186"/>
        <v>1</v>
      </c>
      <c r="O4846" s="147">
        <f t="shared" si="187"/>
        <v>11000</v>
      </c>
      <c r="P4846" s="10">
        <v>1417</v>
      </c>
      <c r="Q4846" s="10" t="s">
        <v>1928</v>
      </c>
      <c r="R4846" s="154">
        <f>+テーブル1[[#This Row],[合計金額]]*テーブル1[[#This Row],[自社報酬率％]]/100</f>
        <v>11000</v>
      </c>
    </row>
    <row r="4847" spans="1:18">
      <c r="A4847" s="148">
        <v>45992</v>
      </c>
      <c r="B4847" s="149" t="s">
        <v>43</v>
      </c>
      <c r="C4847" s="150" t="s">
        <v>44</v>
      </c>
      <c r="D4847" s="151">
        <v>100</v>
      </c>
      <c r="E4847" s="151">
        <v>100</v>
      </c>
      <c r="F4847" s="76" t="s">
        <v>16</v>
      </c>
      <c r="G4847" s="86">
        <v>46023</v>
      </c>
      <c r="H4847" s="152" t="s">
        <v>3213</v>
      </c>
      <c r="I4847" s="153">
        <v>3000</v>
      </c>
      <c r="J4847" s="77">
        <v>11</v>
      </c>
      <c r="K4847" s="24"/>
      <c r="L4847" s="92">
        <v>0</v>
      </c>
      <c r="M4847" s="24"/>
      <c r="N4847" s="96">
        <f t="shared" si="186"/>
        <v>11</v>
      </c>
      <c r="O4847" s="147">
        <f t="shared" si="187"/>
        <v>33000</v>
      </c>
      <c r="P4847" s="10">
        <v>1418</v>
      </c>
      <c r="Q4847" s="10" t="s">
        <v>1928</v>
      </c>
      <c r="R4847" s="154">
        <f>+テーブル1[[#This Row],[合計金額]]*テーブル1[[#This Row],[自社報酬率％]]/100</f>
        <v>33000</v>
      </c>
    </row>
    <row r="4848" spans="1:18">
      <c r="A4848" s="148">
        <v>45992</v>
      </c>
      <c r="B4848" s="149" t="s">
        <v>43</v>
      </c>
      <c r="C4848" s="79" t="s">
        <v>1962</v>
      </c>
      <c r="D4848" s="151">
        <v>50</v>
      </c>
      <c r="E4848" s="151">
        <v>50</v>
      </c>
      <c r="F4848" s="72" t="s">
        <v>17</v>
      </c>
      <c r="G4848" s="85">
        <v>46023</v>
      </c>
      <c r="H4848" s="152" t="s">
        <v>3214</v>
      </c>
      <c r="I4848" s="153">
        <v>3960</v>
      </c>
      <c r="J4848" s="73">
        <v>2</v>
      </c>
      <c r="K4848" s="24"/>
      <c r="L4848" s="90">
        <v>0</v>
      </c>
      <c r="M4848" s="24"/>
      <c r="N4848" s="93">
        <f t="shared" si="186"/>
        <v>2</v>
      </c>
      <c r="O4848" s="147">
        <f t="shared" si="187"/>
        <v>7920</v>
      </c>
      <c r="P4848" s="10">
        <v>1419</v>
      </c>
      <c r="Q4848" s="10" t="s">
        <v>1928</v>
      </c>
      <c r="R4848" s="154">
        <f>+テーブル1[[#This Row],[合計金額]]*テーブル1[[#This Row],[自社報酬率％]]/100</f>
        <v>3960</v>
      </c>
    </row>
    <row r="4849" spans="1:18">
      <c r="A4849" s="148">
        <v>45992</v>
      </c>
      <c r="B4849" s="149" t="s">
        <v>43</v>
      </c>
      <c r="C4849" s="80" t="s">
        <v>1962</v>
      </c>
      <c r="D4849" s="151">
        <v>50</v>
      </c>
      <c r="E4849" s="151">
        <v>50</v>
      </c>
      <c r="F4849" s="155" t="s">
        <v>17</v>
      </c>
      <c r="G4849" s="156">
        <v>46054</v>
      </c>
      <c r="H4849" s="152" t="s">
        <v>3215</v>
      </c>
      <c r="I4849" s="153">
        <v>3960</v>
      </c>
      <c r="J4849" s="24">
        <v>2</v>
      </c>
      <c r="K4849" s="24"/>
      <c r="L4849" s="91">
        <v>0</v>
      </c>
      <c r="M4849" s="24"/>
      <c r="N4849" s="94">
        <f t="shared" si="186"/>
        <v>2</v>
      </c>
      <c r="O4849" s="147">
        <f t="shared" si="187"/>
        <v>7920</v>
      </c>
      <c r="P4849" s="10">
        <v>1420</v>
      </c>
      <c r="Q4849" s="10" t="s">
        <v>1928</v>
      </c>
      <c r="R4849" s="154">
        <f>+テーブル1[[#This Row],[合計金額]]*テーブル1[[#This Row],[自社報酬率％]]/100</f>
        <v>3960</v>
      </c>
    </row>
    <row r="4850" spans="1:18">
      <c r="A4850" s="148">
        <v>45992</v>
      </c>
      <c r="B4850" s="149" t="s">
        <v>43</v>
      </c>
      <c r="C4850" s="80" t="s">
        <v>1962</v>
      </c>
      <c r="D4850" s="151">
        <v>50</v>
      </c>
      <c r="E4850" s="151">
        <v>50</v>
      </c>
      <c r="F4850" s="155" t="s">
        <v>17</v>
      </c>
      <c r="G4850" s="156">
        <v>46082</v>
      </c>
      <c r="H4850" s="152" t="s">
        <v>3216</v>
      </c>
      <c r="I4850" s="153">
        <v>3960</v>
      </c>
      <c r="J4850" s="24">
        <v>2</v>
      </c>
      <c r="K4850" s="24"/>
      <c r="L4850" s="91">
        <v>0</v>
      </c>
      <c r="M4850" s="24"/>
      <c r="N4850" s="94">
        <f t="shared" si="186"/>
        <v>2</v>
      </c>
      <c r="O4850" s="147">
        <f t="shared" si="187"/>
        <v>7920</v>
      </c>
      <c r="P4850" s="10">
        <v>1421</v>
      </c>
      <c r="Q4850" s="10" t="s">
        <v>1928</v>
      </c>
      <c r="R4850" s="154">
        <f>+テーブル1[[#This Row],[合計金額]]*テーブル1[[#This Row],[自社報酬率％]]/100</f>
        <v>3960</v>
      </c>
    </row>
    <row r="4851" spans="1:18">
      <c r="A4851" s="148">
        <v>45992</v>
      </c>
      <c r="B4851" s="149" t="s">
        <v>43</v>
      </c>
      <c r="C4851" s="80" t="s">
        <v>1962</v>
      </c>
      <c r="D4851" s="151">
        <v>50</v>
      </c>
      <c r="E4851" s="151">
        <v>50</v>
      </c>
      <c r="F4851" s="155" t="s">
        <v>17</v>
      </c>
      <c r="G4851" s="156">
        <v>46113</v>
      </c>
      <c r="H4851" s="152" t="s">
        <v>3217</v>
      </c>
      <c r="I4851" s="153">
        <v>3960</v>
      </c>
      <c r="J4851" s="24">
        <v>2</v>
      </c>
      <c r="K4851" s="24"/>
      <c r="L4851" s="91">
        <v>0</v>
      </c>
      <c r="M4851" s="24"/>
      <c r="N4851" s="94">
        <f t="shared" si="186"/>
        <v>2</v>
      </c>
      <c r="O4851" s="147">
        <f t="shared" si="187"/>
        <v>7920</v>
      </c>
      <c r="P4851" s="10">
        <v>1422</v>
      </c>
      <c r="Q4851" s="10" t="s">
        <v>1928</v>
      </c>
      <c r="R4851" s="154">
        <f>+テーブル1[[#This Row],[合計金額]]*テーブル1[[#This Row],[自社報酬率％]]/100</f>
        <v>3960</v>
      </c>
    </row>
    <row r="4852" spans="1:18">
      <c r="A4852" s="148">
        <v>45992</v>
      </c>
      <c r="B4852" s="149" t="s">
        <v>43</v>
      </c>
      <c r="C4852" s="80" t="s">
        <v>1962</v>
      </c>
      <c r="D4852" s="151">
        <v>50</v>
      </c>
      <c r="E4852" s="151">
        <v>50</v>
      </c>
      <c r="F4852" s="155" t="s">
        <v>17</v>
      </c>
      <c r="G4852" s="156">
        <v>46143</v>
      </c>
      <c r="H4852" s="152" t="s">
        <v>3218</v>
      </c>
      <c r="I4852" s="153">
        <v>3960</v>
      </c>
      <c r="J4852" s="24">
        <v>2</v>
      </c>
      <c r="K4852" s="24"/>
      <c r="L4852" s="91">
        <v>0</v>
      </c>
      <c r="M4852" s="24"/>
      <c r="N4852" s="94">
        <f t="shared" si="186"/>
        <v>2</v>
      </c>
      <c r="O4852" s="147">
        <f t="shared" si="187"/>
        <v>7920</v>
      </c>
      <c r="P4852" s="10">
        <v>1423</v>
      </c>
      <c r="Q4852" s="10" t="s">
        <v>1928</v>
      </c>
      <c r="R4852" s="154">
        <f>+テーブル1[[#This Row],[合計金額]]*テーブル1[[#This Row],[自社報酬率％]]/100</f>
        <v>3960</v>
      </c>
    </row>
    <row r="4853" spans="1:18">
      <c r="A4853" s="148">
        <v>45992</v>
      </c>
      <c r="B4853" s="149" t="s">
        <v>43</v>
      </c>
      <c r="C4853" s="80" t="s">
        <v>1962</v>
      </c>
      <c r="D4853" s="151">
        <v>50</v>
      </c>
      <c r="E4853" s="151">
        <v>50</v>
      </c>
      <c r="F4853" s="155" t="s">
        <v>17</v>
      </c>
      <c r="G4853" s="156">
        <v>46174</v>
      </c>
      <c r="H4853" s="152" t="s">
        <v>3219</v>
      </c>
      <c r="I4853" s="153">
        <v>3960</v>
      </c>
      <c r="J4853" s="24">
        <v>2</v>
      </c>
      <c r="K4853" s="24"/>
      <c r="L4853" s="91">
        <v>0</v>
      </c>
      <c r="M4853" s="24"/>
      <c r="N4853" s="94">
        <f t="shared" si="186"/>
        <v>2</v>
      </c>
      <c r="O4853" s="147">
        <f t="shared" si="187"/>
        <v>7920</v>
      </c>
      <c r="P4853" s="10">
        <v>1424</v>
      </c>
      <c r="Q4853" s="10" t="s">
        <v>1928</v>
      </c>
      <c r="R4853" s="154">
        <f>+テーブル1[[#This Row],[合計金額]]*テーブル1[[#This Row],[自社報酬率％]]/100</f>
        <v>3960</v>
      </c>
    </row>
    <row r="4854" spans="1:18">
      <c r="A4854" s="148">
        <v>45992</v>
      </c>
      <c r="B4854" s="149" t="s">
        <v>43</v>
      </c>
      <c r="C4854" s="80" t="s">
        <v>1962</v>
      </c>
      <c r="D4854" s="151">
        <v>50</v>
      </c>
      <c r="E4854" s="151">
        <v>50</v>
      </c>
      <c r="F4854" s="155" t="s">
        <v>17</v>
      </c>
      <c r="G4854" s="156">
        <v>46204</v>
      </c>
      <c r="H4854" s="152" t="s">
        <v>3220</v>
      </c>
      <c r="I4854" s="153">
        <v>3960</v>
      </c>
      <c r="J4854" s="24">
        <v>2</v>
      </c>
      <c r="K4854" s="24"/>
      <c r="L4854" s="91">
        <v>0</v>
      </c>
      <c r="M4854" s="24"/>
      <c r="N4854" s="94">
        <f t="shared" si="186"/>
        <v>2</v>
      </c>
      <c r="O4854" s="147">
        <f t="shared" si="187"/>
        <v>7920</v>
      </c>
      <c r="P4854" s="10">
        <v>1425</v>
      </c>
      <c r="Q4854" s="10" t="s">
        <v>1928</v>
      </c>
      <c r="R4854" s="154">
        <f>+テーブル1[[#This Row],[合計金額]]*テーブル1[[#This Row],[自社報酬率％]]/100</f>
        <v>3960</v>
      </c>
    </row>
    <row r="4855" spans="1:18">
      <c r="A4855" s="148">
        <v>45992</v>
      </c>
      <c r="B4855" s="149" t="s">
        <v>43</v>
      </c>
      <c r="C4855" s="80" t="s">
        <v>1962</v>
      </c>
      <c r="D4855" s="151">
        <v>50</v>
      </c>
      <c r="E4855" s="151">
        <v>50</v>
      </c>
      <c r="F4855" s="155" t="s">
        <v>17</v>
      </c>
      <c r="G4855" s="156">
        <v>46235</v>
      </c>
      <c r="H4855" s="152" t="s">
        <v>3221</v>
      </c>
      <c r="I4855" s="153">
        <v>3960</v>
      </c>
      <c r="J4855" s="24">
        <v>2</v>
      </c>
      <c r="K4855" s="24"/>
      <c r="L4855" s="91">
        <v>0</v>
      </c>
      <c r="M4855" s="24"/>
      <c r="N4855" s="94">
        <f t="shared" si="186"/>
        <v>2</v>
      </c>
      <c r="O4855" s="147">
        <f t="shared" si="187"/>
        <v>7920</v>
      </c>
      <c r="P4855" s="10">
        <v>1426</v>
      </c>
      <c r="Q4855" s="10" t="s">
        <v>1928</v>
      </c>
      <c r="R4855" s="154">
        <f>+テーブル1[[#This Row],[合計金額]]*テーブル1[[#This Row],[自社報酬率％]]/100</f>
        <v>3960</v>
      </c>
    </row>
    <row r="4856" spans="1:18">
      <c r="A4856" s="148">
        <v>45992</v>
      </c>
      <c r="B4856" s="149" t="s">
        <v>43</v>
      </c>
      <c r="C4856" s="80" t="s">
        <v>1962</v>
      </c>
      <c r="D4856" s="151">
        <v>50</v>
      </c>
      <c r="E4856" s="151">
        <v>50</v>
      </c>
      <c r="F4856" s="155" t="s">
        <v>17</v>
      </c>
      <c r="G4856" s="156">
        <v>46266</v>
      </c>
      <c r="H4856" s="152" t="s">
        <v>3222</v>
      </c>
      <c r="I4856" s="153">
        <v>3960</v>
      </c>
      <c r="J4856" s="24">
        <v>2</v>
      </c>
      <c r="K4856" s="24"/>
      <c r="L4856" s="91">
        <v>0</v>
      </c>
      <c r="M4856" s="24"/>
      <c r="N4856" s="94">
        <f t="shared" si="186"/>
        <v>2</v>
      </c>
      <c r="O4856" s="147">
        <f t="shared" si="187"/>
        <v>7920</v>
      </c>
      <c r="P4856" s="10">
        <v>1427</v>
      </c>
      <c r="Q4856" s="10" t="s">
        <v>1928</v>
      </c>
      <c r="R4856" s="154">
        <f>+テーブル1[[#This Row],[合計金額]]*テーブル1[[#This Row],[自社報酬率％]]/100</f>
        <v>3960</v>
      </c>
    </row>
    <row r="4857" spans="1:18">
      <c r="A4857" s="148">
        <v>45992</v>
      </c>
      <c r="B4857" s="149" t="s">
        <v>43</v>
      </c>
      <c r="C4857" s="80" t="s">
        <v>1962</v>
      </c>
      <c r="D4857" s="151">
        <v>50</v>
      </c>
      <c r="E4857" s="151">
        <v>50</v>
      </c>
      <c r="F4857" s="155" t="s">
        <v>17</v>
      </c>
      <c r="G4857" s="156">
        <v>46296</v>
      </c>
      <c r="H4857" s="152" t="s">
        <v>3223</v>
      </c>
      <c r="I4857" s="153">
        <v>3960</v>
      </c>
      <c r="J4857" s="24">
        <v>2</v>
      </c>
      <c r="K4857" s="24"/>
      <c r="L4857" s="91">
        <v>0</v>
      </c>
      <c r="M4857" s="24"/>
      <c r="N4857" s="94">
        <f t="shared" si="186"/>
        <v>2</v>
      </c>
      <c r="O4857" s="147">
        <f t="shared" si="187"/>
        <v>7920</v>
      </c>
      <c r="P4857" s="10">
        <v>1428</v>
      </c>
      <c r="Q4857" s="10" t="s">
        <v>1928</v>
      </c>
      <c r="R4857" s="154">
        <f>+テーブル1[[#This Row],[合計金額]]*テーブル1[[#This Row],[自社報酬率％]]/100</f>
        <v>3960</v>
      </c>
    </row>
    <row r="4858" spans="1:18">
      <c r="A4858" s="148">
        <v>45992</v>
      </c>
      <c r="B4858" s="149" t="s">
        <v>43</v>
      </c>
      <c r="C4858" s="80" t="s">
        <v>1962</v>
      </c>
      <c r="D4858" s="151">
        <v>50</v>
      </c>
      <c r="E4858" s="151">
        <v>50</v>
      </c>
      <c r="F4858" s="155" t="s">
        <v>17</v>
      </c>
      <c r="G4858" s="156">
        <v>46327</v>
      </c>
      <c r="H4858" s="152" t="s">
        <v>3224</v>
      </c>
      <c r="I4858" s="153">
        <v>3960</v>
      </c>
      <c r="J4858" s="24">
        <v>2</v>
      </c>
      <c r="K4858" s="24"/>
      <c r="L4858" s="91">
        <v>0</v>
      </c>
      <c r="M4858" s="24"/>
      <c r="N4858" s="94">
        <f t="shared" si="186"/>
        <v>2</v>
      </c>
      <c r="O4858" s="147">
        <f t="shared" si="187"/>
        <v>7920</v>
      </c>
      <c r="P4858" s="10">
        <v>1429</v>
      </c>
      <c r="Q4858" s="10" t="s">
        <v>1928</v>
      </c>
      <c r="R4858" s="154">
        <f>+テーブル1[[#This Row],[合計金額]]*テーブル1[[#This Row],[自社報酬率％]]/100</f>
        <v>3960</v>
      </c>
    </row>
    <row r="4859" spans="1:18">
      <c r="A4859" s="148">
        <v>45992</v>
      </c>
      <c r="B4859" s="149" t="s">
        <v>43</v>
      </c>
      <c r="C4859" s="81" t="s">
        <v>1962</v>
      </c>
      <c r="D4859" s="151">
        <v>50</v>
      </c>
      <c r="E4859" s="151">
        <v>50</v>
      </c>
      <c r="F4859" s="76" t="s">
        <v>17</v>
      </c>
      <c r="G4859" s="86">
        <v>46357</v>
      </c>
      <c r="H4859" s="152" t="s">
        <v>3225</v>
      </c>
      <c r="I4859" s="153">
        <v>3960</v>
      </c>
      <c r="J4859" s="77">
        <v>2</v>
      </c>
      <c r="K4859" s="24"/>
      <c r="L4859" s="92">
        <v>0</v>
      </c>
      <c r="M4859" s="24"/>
      <c r="N4859" s="95">
        <f t="shared" ref="N4859:N4922" si="188">J4859-L4859</f>
        <v>2</v>
      </c>
      <c r="O4859" s="147">
        <f t="shared" ref="O4859:O4922" si="189">+I4859*N4859</f>
        <v>7920</v>
      </c>
      <c r="P4859" s="10">
        <v>1430</v>
      </c>
      <c r="Q4859" s="10" t="s">
        <v>3188</v>
      </c>
      <c r="R4859" s="154">
        <f>+テーブル1[[#This Row],[合計金額]]*テーブル1[[#This Row],[自社報酬率％]]/100</f>
        <v>3960</v>
      </c>
    </row>
    <row r="4860" spans="1:18">
      <c r="A4860" s="148">
        <v>45992</v>
      </c>
      <c r="B4860" s="149" t="s">
        <v>43</v>
      </c>
      <c r="C4860" s="157" t="s">
        <v>1962</v>
      </c>
      <c r="D4860" s="151">
        <v>50</v>
      </c>
      <c r="E4860" s="151">
        <v>50</v>
      </c>
      <c r="F4860" s="157" t="s">
        <v>19</v>
      </c>
      <c r="G4860" s="158">
        <v>45992</v>
      </c>
      <c r="H4860" s="152" t="s">
        <v>2158</v>
      </c>
      <c r="I4860" s="153">
        <v>216150</v>
      </c>
      <c r="J4860" s="24">
        <v>1</v>
      </c>
      <c r="K4860" s="24"/>
      <c r="L4860" s="91">
        <v>0</v>
      </c>
      <c r="M4860" s="24"/>
      <c r="N4860" s="12">
        <f t="shared" si="188"/>
        <v>1</v>
      </c>
      <c r="O4860" s="147">
        <f t="shared" si="189"/>
        <v>216150</v>
      </c>
      <c r="P4860" s="10">
        <v>1431</v>
      </c>
      <c r="Q4860" s="10" t="s">
        <v>1928</v>
      </c>
      <c r="R4860" s="154">
        <f>+テーブル1[[#This Row],[合計金額]]*テーブル1[[#This Row],[自社報酬率％]]/100</f>
        <v>108075</v>
      </c>
    </row>
    <row r="4861" spans="1:18">
      <c r="A4861" s="148">
        <v>45992</v>
      </c>
      <c r="B4861" s="149" t="s">
        <v>43</v>
      </c>
      <c r="C4861" s="157" t="s">
        <v>1962</v>
      </c>
      <c r="D4861" s="151">
        <v>50</v>
      </c>
      <c r="E4861" s="151">
        <v>50</v>
      </c>
      <c r="F4861" s="157" t="s">
        <v>19</v>
      </c>
      <c r="G4861" s="158">
        <v>45992</v>
      </c>
      <c r="H4861" s="152" t="s">
        <v>2316</v>
      </c>
      <c r="I4861" s="153">
        <v>144100</v>
      </c>
      <c r="J4861" s="24">
        <v>12</v>
      </c>
      <c r="K4861" s="24"/>
      <c r="L4861" s="91">
        <v>0</v>
      </c>
      <c r="M4861" s="24"/>
      <c r="N4861" s="12">
        <f t="shared" si="188"/>
        <v>12</v>
      </c>
      <c r="O4861" s="147">
        <f t="shared" si="189"/>
        <v>1729200</v>
      </c>
      <c r="P4861" s="10">
        <v>1432</v>
      </c>
      <c r="Q4861" s="10" t="s">
        <v>1928</v>
      </c>
      <c r="R4861" s="154">
        <f>+テーブル1[[#This Row],[合計金額]]*テーブル1[[#This Row],[自社報酬率％]]/100</f>
        <v>864600</v>
      </c>
    </row>
    <row r="4862" spans="1:18">
      <c r="A4862" s="148">
        <v>45992</v>
      </c>
      <c r="B4862" s="149" t="s">
        <v>43</v>
      </c>
      <c r="C4862" s="157" t="s">
        <v>1962</v>
      </c>
      <c r="D4862" s="151">
        <v>50</v>
      </c>
      <c r="E4862" s="151">
        <v>50</v>
      </c>
      <c r="F4862" s="157" t="s">
        <v>19</v>
      </c>
      <c r="G4862" s="158">
        <v>45992</v>
      </c>
      <c r="H4862" s="152" t="s">
        <v>2317</v>
      </c>
      <c r="I4862" s="153">
        <v>72050</v>
      </c>
      <c r="J4862" s="24">
        <v>55</v>
      </c>
      <c r="K4862" s="24"/>
      <c r="L4862" s="91">
        <v>0</v>
      </c>
      <c r="M4862" s="24"/>
      <c r="N4862" s="12">
        <f t="shared" si="188"/>
        <v>55</v>
      </c>
      <c r="O4862" s="147">
        <f t="shared" si="189"/>
        <v>3962750</v>
      </c>
      <c r="P4862" s="10">
        <v>1433</v>
      </c>
      <c r="Q4862" s="10" t="s">
        <v>1928</v>
      </c>
      <c r="R4862" s="154">
        <f>+テーブル1[[#This Row],[合計金額]]*テーブル1[[#This Row],[自社報酬率％]]/100</f>
        <v>1981375</v>
      </c>
    </row>
    <row r="4863" spans="1:18">
      <c r="A4863" s="148">
        <v>45992</v>
      </c>
      <c r="B4863" s="149" t="s">
        <v>43</v>
      </c>
      <c r="C4863" s="157" t="s">
        <v>1962</v>
      </c>
      <c r="D4863" s="151">
        <v>50</v>
      </c>
      <c r="E4863" s="151">
        <v>50</v>
      </c>
      <c r="F4863" s="157" t="s">
        <v>19</v>
      </c>
      <c r="G4863" s="158">
        <v>45992</v>
      </c>
      <c r="H4863" s="152" t="s">
        <v>1976</v>
      </c>
      <c r="I4863" s="153">
        <v>72050</v>
      </c>
      <c r="J4863" s="24">
        <v>22</v>
      </c>
      <c r="K4863" s="24"/>
      <c r="L4863" s="91">
        <v>0</v>
      </c>
      <c r="M4863" s="24"/>
      <c r="N4863" s="12">
        <f t="shared" si="188"/>
        <v>22</v>
      </c>
      <c r="O4863" s="147">
        <f t="shared" si="189"/>
        <v>1585100</v>
      </c>
      <c r="P4863" s="10">
        <v>1434</v>
      </c>
      <c r="Q4863" s="10" t="s">
        <v>1928</v>
      </c>
      <c r="R4863" s="154">
        <f>+テーブル1[[#This Row],[合計金額]]*テーブル1[[#This Row],[自社報酬率％]]/100</f>
        <v>792550</v>
      </c>
    </row>
    <row r="4864" spans="1:18">
      <c r="A4864" s="148">
        <v>45992</v>
      </c>
      <c r="B4864" s="149" t="s">
        <v>43</v>
      </c>
      <c r="C4864" s="157" t="s">
        <v>1962</v>
      </c>
      <c r="D4864" s="151">
        <v>50</v>
      </c>
      <c r="E4864" s="151">
        <v>50</v>
      </c>
      <c r="F4864" s="157" t="s">
        <v>19</v>
      </c>
      <c r="G4864" s="158">
        <v>45992</v>
      </c>
      <c r="H4864" s="152" t="s">
        <v>2319</v>
      </c>
      <c r="I4864" s="153">
        <v>91700</v>
      </c>
      <c r="J4864" s="24">
        <v>3</v>
      </c>
      <c r="K4864" s="24"/>
      <c r="L4864" s="91">
        <v>0</v>
      </c>
      <c r="M4864" s="24"/>
      <c r="N4864" s="12">
        <f t="shared" si="188"/>
        <v>3</v>
      </c>
      <c r="O4864" s="147">
        <f t="shared" si="189"/>
        <v>275100</v>
      </c>
      <c r="P4864" s="10">
        <v>1435</v>
      </c>
      <c r="Q4864" s="10" t="s">
        <v>1928</v>
      </c>
      <c r="R4864" s="154">
        <f>+テーブル1[[#This Row],[合計金額]]*テーブル1[[#This Row],[自社報酬率％]]/100</f>
        <v>137550</v>
      </c>
    </row>
    <row r="4865" spans="1:18">
      <c r="A4865" s="148">
        <v>45992</v>
      </c>
      <c r="B4865" s="149" t="s">
        <v>43</v>
      </c>
      <c r="C4865" s="155" t="s">
        <v>1962</v>
      </c>
      <c r="D4865" s="151">
        <v>50</v>
      </c>
      <c r="E4865" s="151">
        <v>50</v>
      </c>
      <c r="F4865" s="155" t="s">
        <v>16</v>
      </c>
      <c r="G4865" s="156">
        <v>46023</v>
      </c>
      <c r="H4865" s="152" t="s">
        <v>3226</v>
      </c>
      <c r="I4865" s="153">
        <v>13200</v>
      </c>
      <c r="J4865" s="24">
        <v>7</v>
      </c>
      <c r="K4865" s="24"/>
      <c r="L4865" s="91">
        <v>0</v>
      </c>
      <c r="M4865" s="24"/>
      <c r="N4865" s="12">
        <f t="shared" si="188"/>
        <v>7</v>
      </c>
      <c r="O4865" s="147">
        <f t="shared" si="189"/>
        <v>92400</v>
      </c>
      <c r="P4865" s="10">
        <v>1436</v>
      </c>
      <c r="Q4865" s="10" t="s">
        <v>1928</v>
      </c>
      <c r="R4865" s="154">
        <f>+テーブル1[[#This Row],[合計金額]]*テーブル1[[#This Row],[自社報酬率％]]/100</f>
        <v>46200</v>
      </c>
    </row>
    <row r="4866" spans="1:18">
      <c r="A4866" s="148">
        <v>45992</v>
      </c>
      <c r="B4866" s="149" t="s">
        <v>43</v>
      </c>
      <c r="C4866" s="155" t="s">
        <v>1962</v>
      </c>
      <c r="D4866" s="151">
        <v>50</v>
      </c>
      <c r="E4866" s="151">
        <v>50</v>
      </c>
      <c r="F4866" s="155" t="s">
        <v>16</v>
      </c>
      <c r="G4866" s="156">
        <v>46023</v>
      </c>
      <c r="H4866" s="152" t="s">
        <v>3226</v>
      </c>
      <c r="I4866" s="153">
        <v>14500</v>
      </c>
      <c r="J4866" s="24">
        <v>26</v>
      </c>
      <c r="K4866" s="24"/>
      <c r="L4866" s="91">
        <v>0</v>
      </c>
      <c r="M4866" s="24"/>
      <c r="N4866" s="12">
        <f t="shared" si="188"/>
        <v>26</v>
      </c>
      <c r="O4866" s="147">
        <f t="shared" si="189"/>
        <v>377000</v>
      </c>
      <c r="P4866" s="10">
        <v>1437</v>
      </c>
      <c r="Q4866" s="10" t="s">
        <v>1928</v>
      </c>
      <c r="R4866" s="154">
        <f>+テーブル1[[#This Row],[合計金額]]*テーブル1[[#This Row],[自社報酬率％]]/100</f>
        <v>188500</v>
      </c>
    </row>
    <row r="4867" spans="1:18">
      <c r="A4867" s="148">
        <v>45992</v>
      </c>
      <c r="B4867" s="149" t="s">
        <v>43</v>
      </c>
      <c r="C4867" s="155" t="s">
        <v>1962</v>
      </c>
      <c r="D4867" s="151">
        <v>50</v>
      </c>
      <c r="E4867" s="151">
        <v>50</v>
      </c>
      <c r="F4867" s="155" t="s">
        <v>16</v>
      </c>
      <c r="G4867" s="156">
        <v>46023</v>
      </c>
      <c r="H4867" s="152" t="s">
        <v>3227</v>
      </c>
      <c r="I4867" s="153">
        <v>4830</v>
      </c>
      <c r="J4867" s="24">
        <v>5</v>
      </c>
      <c r="K4867" s="24"/>
      <c r="L4867" s="91">
        <v>0</v>
      </c>
      <c r="M4867" s="24"/>
      <c r="N4867" s="12">
        <f t="shared" si="188"/>
        <v>5</v>
      </c>
      <c r="O4867" s="147">
        <f t="shared" si="189"/>
        <v>24150</v>
      </c>
      <c r="P4867" s="10">
        <v>1438</v>
      </c>
      <c r="Q4867" s="10" t="s">
        <v>1928</v>
      </c>
      <c r="R4867" s="154">
        <f>+テーブル1[[#This Row],[合計金額]]*テーブル1[[#This Row],[自社報酬率％]]/100</f>
        <v>12075</v>
      </c>
    </row>
    <row r="4868" spans="1:18">
      <c r="A4868" s="148">
        <v>45992</v>
      </c>
      <c r="B4868" s="149" t="s">
        <v>43</v>
      </c>
      <c r="C4868" s="157" t="s">
        <v>1962</v>
      </c>
      <c r="D4868" s="151">
        <v>50</v>
      </c>
      <c r="E4868" s="151">
        <v>50</v>
      </c>
      <c r="F4868" s="157" t="s">
        <v>20</v>
      </c>
      <c r="G4868" s="158">
        <v>45992</v>
      </c>
      <c r="H4868" s="152" t="s">
        <v>3106</v>
      </c>
      <c r="I4868" s="153">
        <v>2400</v>
      </c>
      <c r="J4868" s="24">
        <v>2</v>
      </c>
      <c r="K4868" s="24"/>
      <c r="L4868" s="91">
        <v>0</v>
      </c>
      <c r="M4868" s="24"/>
      <c r="N4868" s="12">
        <f t="shared" si="188"/>
        <v>2</v>
      </c>
      <c r="O4868" s="147">
        <f t="shared" si="189"/>
        <v>4800</v>
      </c>
      <c r="P4868" s="10">
        <v>1439</v>
      </c>
      <c r="Q4868" s="10" t="s">
        <v>1928</v>
      </c>
      <c r="R4868" s="154">
        <f>+テーブル1[[#This Row],[合計金額]]*テーブル1[[#This Row],[自社報酬率％]]/100</f>
        <v>2400</v>
      </c>
    </row>
    <row r="4869" spans="1:18">
      <c r="A4869" s="148">
        <v>45992</v>
      </c>
      <c r="B4869" s="149" t="s">
        <v>43</v>
      </c>
      <c r="C4869" s="157" t="s">
        <v>1962</v>
      </c>
      <c r="D4869" s="151">
        <v>50</v>
      </c>
      <c r="E4869" s="151">
        <v>50</v>
      </c>
      <c r="F4869" s="157" t="s">
        <v>20</v>
      </c>
      <c r="G4869" s="158">
        <v>45992</v>
      </c>
      <c r="H4869" s="152" t="s">
        <v>2440</v>
      </c>
      <c r="I4869" s="153">
        <v>9780</v>
      </c>
      <c r="J4869" s="24">
        <v>15</v>
      </c>
      <c r="K4869" s="24"/>
      <c r="L4869" s="91">
        <v>0</v>
      </c>
      <c r="M4869" s="24"/>
      <c r="N4869" s="12">
        <f t="shared" si="188"/>
        <v>15</v>
      </c>
      <c r="O4869" s="147">
        <f t="shared" si="189"/>
        <v>146700</v>
      </c>
      <c r="P4869" s="10">
        <v>1440</v>
      </c>
      <c r="Q4869" s="10" t="s">
        <v>1928</v>
      </c>
      <c r="R4869" s="154">
        <f>+テーブル1[[#This Row],[合計金額]]*テーブル1[[#This Row],[自社報酬率％]]/100</f>
        <v>73350</v>
      </c>
    </row>
    <row r="4870" spans="1:18">
      <c r="A4870" s="148">
        <v>45992</v>
      </c>
      <c r="B4870" s="149" t="s">
        <v>43</v>
      </c>
      <c r="C4870" s="157" t="s">
        <v>1962</v>
      </c>
      <c r="D4870" s="151">
        <v>50</v>
      </c>
      <c r="E4870" s="151">
        <v>50</v>
      </c>
      <c r="F4870" s="157" t="s">
        <v>20</v>
      </c>
      <c r="G4870" s="158">
        <v>45992</v>
      </c>
      <c r="H4870" s="152" t="s">
        <v>2171</v>
      </c>
      <c r="I4870" s="153">
        <v>9780</v>
      </c>
      <c r="J4870" s="24">
        <v>5</v>
      </c>
      <c r="K4870" s="24"/>
      <c r="L4870" s="91">
        <v>0</v>
      </c>
      <c r="M4870" s="24"/>
      <c r="N4870" s="12">
        <f t="shared" si="188"/>
        <v>5</v>
      </c>
      <c r="O4870" s="147">
        <f t="shared" si="189"/>
        <v>48900</v>
      </c>
      <c r="P4870" s="10">
        <v>1441</v>
      </c>
      <c r="Q4870" s="10" t="s">
        <v>1928</v>
      </c>
      <c r="R4870" s="154">
        <f>+テーブル1[[#This Row],[合計金額]]*テーブル1[[#This Row],[自社報酬率％]]/100</f>
        <v>24450</v>
      </c>
    </row>
    <row r="4871" spans="1:18">
      <c r="A4871" s="148">
        <v>45992</v>
      </c>
      <c r="B4871" s="149" t="s">
        <v>43</v>
      </c>
      <c r="C4871" s="79" t="s">
        <v>1962</v>
      </c>
      <c r="D4871" s="151">
        <v>55</v>
      </c>
      <c r="E4871" s="151">
        <v>45</v>
      </c>
      <c r="F4871" s="72" t="s">
        <v>17</v>
      </c>
      <c r="G4871" s="85">
        <v>46023</v>
      </c>
      <c r="H4871" s="152" t="s">
        <v>3228</v>
      </c>
      <c r="I4871" s="153">
        <v>9435</v>
      </c>
      <c r="J4871" s="73">
        <v>1</v>
      </c>
      <c r="K4871" s="24"/>
      <c r="L4871" s="90">
        <v>0</v>
      </c>
      <c r="M4871" s="24"/>
      <c r="N4871" s="93">
        <f t="shared" si="188"/>
        <v>1</v>
      </c>
      <c r="O4871" s="147">
        <f t="shared" si="189"/>
        <v>9435</v>
      </c>
      <c r="P4871" s="10">
        <v>1442</v>
      </c>
      <c r="Q4871" s="10" t="s">
        <v>1928</v>
      </c>
      <c r="R4871" s="154">
        <f>+テーブル1[[#This Row],[合計金額]]*テーブル1[[#This Row],[自社報酬率％]]/100</f>
        <v>4245.75</v>
      </c>
    </row>
    <row r="4872" spans="1:18">
      <c r="A4872" s="148">
        <v>45992</v>
      </c>
      <c r="B4872" s="149" t="s">
        <v>43</v>
      </c>
      <c r="C4872" s="80" t="s">
        <v>1962</v>
      </c>
      <c r="D4872" s="151">
        <v>55</v>
      </c>
      <c r="E4872" s="151">
        <v>45</v>
      </c>
      <c r="F4872" s="155" t="s">
        <v>17</v>
      </c>
      <c r="G4872" s="156">
        <v>46054</v>
      </c>
      <c r="H4872" s="152" t="s">
        <v>3229</v>
      </c>
      <c r="I4872" s="153">
        <v>9435</v>
      </c>
      <c r="J4872" s="24">
        <v>1</v>
      </c>
      <c r="K4872" s="24"/>
      <c r="L4872" s="91">
        <v>0</v>
      </c>
      <c r="M4872" s="24"/>
      <c r="N4872" s="94">
        <f t="shared" si="188"/>
        <v>1</v>
      </c>
      <c r="O4872" s="147">
        <f t="shared" si="189"/>
        <v>9435</v>
      </c>
      <c r="P4872" s="10">
        <v>1443</v>
      </c>
      <c r="Q4872" s="10" t="s">
        <v>1928</v>
      </c>
      <c r="R4872" s="154">
        <f>+テーブル1[[#This Row],[合計金額]]*テーブル1[[#This Row],[自社報酬率％]]/100</f>
        <v>4245.75</v>
      </c>
    </row>
    <row r="4873" spans="1:18">
      <c r="A4873" s="148">
        <v>45992</v>
      </c>
      <c r="B4873" s="149" t="s">
        <v>43</v>
      </c>
      <c r="C4873" s="80" t="s">
        <v>1962</v>
      </c>
      <c r="D4873" s="151">
        <v>55</v>
      </c>
      <c r="E4873" s="151">
        <v>45</v>
      </c>
      <c r="F4873" s="155" t="s">
        <v>17</v>
      </c>
      <c r="G4873" s="156">
        <v>46082</v>
      </c>
      <c r="H4873" s="152" t="s">
        <v>3230</v>
      </c>
      <c r="I4873" s="153">
        <v>9435</v>
      </c>
      <c r="J4873" s="24">
        <v>1</v>
      </c>
      <c r="K4873" s="24"/>
      <c r="L4873" s="91">
        <v>0</v>
      </c>
      <c r="M4873" s="24"/>
      <c r="N4873" s="94">
        <f t="shared" si="188"/>
        <v>1</v>
      </c>
      <c r="O4873" s="147">
        <f t="shared" si="189"/>
        <v>9435</v>
      </c>
      <c r="P4873" s="10">
        <v>1444</v>
      </c>
      <c r="Q4873" s="10" t="s">
        <v>1928</v>
      </c>
      <c r="R4873" s="154">
        <f>+テーブル1[[#This Row],[合計金額]]*テーブル1[[#This Row],[自社報酬率％]]/100</f>
        <v>4245.75</v>
      </c>
    </row>
    <row r="4874" spans="1:18">
      <c r="A4874" s="148">
        <v>45992</v>
      </c>
      <c r="B4874" s="149" t="s">
        <v>43</v>
      </c>
      <c r="C4874" s="80" t="s">
        <v>1962</v>
      </c>
      <c r="D4874" s="151">
        <v>55</v>
      </c>
      <c r="E4874" s="151">
        <v>45</v>
      </c>
      <c r="F4874" s="155" t="s">
        <v>17</v>
      </c>
      <c r="G4874" s="156">
        <v>46113</v>
      </c>
      <c r="H4874" s="152" t="s">
        <v>3231</v>
      </c>
      <c r="I4874" s="153">
        <v>9435</v>
      </c>
      <c r="J4874" s="24">
        <v>1</v>
      </c>
      <c r="K4874" s="24"/>
      <c r="L4874" s="91">
        <v>0</v>
      </c>
      <c r="M4874" s="24"/>
      <c r="N4874" s="94">
        <f t="shared" si="188"/>
        <v>1</v>
      </c>
      <c r="O4874" s="147">
        <f t="shared" si="189"/>
        <v>9435</v>
      </c>
      <c r="P4874" s="10">
        <v>1445</v>
      </c>
      <c r="Q4874" s="10" t="s">
        <v>1928</v>
      </c>
      <c r="R4874" s="154">
        <f>+テーブル1[[#This Row],[合計金額]]*テーブル1[[#This Row],[自社報酬率％]]/100</f>
        <v>4245.75</v>
      </c>
    </row>
    <row r="4875" spans="1:18">
      <c r="A4875" s="148">
        <v>45992</v>
      </c>
      <c r="B4875" s="149" t="s">
        <v>43</v>
      </c>
      <c r="C4875" s="80" t="s">
        <v>1962</v>
      </c>
      <c r="D4875" s="151">
        <v>55</v>
      </c>
      <c r="E4875" s="151">
        <v>45</v>
      </c>
      <c r="F4875" s="155" t="s">
        <v>17</v>
      </c>
      <c r="G4875" s="156">
        <v>46143</v>
      </c>
      <c r="H4875" s="152" t="s">
        <v>3232</v>
      </c>
      <c r="I4875" s="153">
        <v>9435</v>
      </c>
      <c r="J4875" s="24">
        <v>1</v>
      </c>
      <c r="K4875" s="24"/>
      <c r="L4875" s="91">
        <v>0</v>
      </c>
      <c r="M4875" s="24"/>
      <c r="N4875" s="94">
        <f t="shared" si="188"/>
        <v>1</v>
      </c>
      <c r="O4875" s="147">
        <f t="shared" si="189"/>
        <v>9435</v>
      </c>
      <c r="P4875" s="10">
        <v>1446</v>
      </c>
      <c r="Q4875" s="10" t="s">
        <v>1928</v>
      </c>
      <c r="R4875" s="154">
        <f>+テーブル1[[#This Row],[合計金額]]*テーブル1[[#This Row],[自社報酬率％]]/100</f>
        <v>4245.75</v>
      </c>
    </row>
    <row r="4876" spans="1:18">
      <c r="A4876" s="148">
        <v>45992</v>
      </c>
      <c r="B4876" s="149" t="s">
        <v>43</v>
      </c>
      <c r="C4876" s="80" t="s">
        <v>1962</v>
      </c>
      <c r="D4876" s="151">
        <v>55</v>
      </c>
      <c r="E4876" s="151">
        <v>45</v>
      </c>
      <c r="F4876" s="155" t="s">
        <v>17</v>
      </c>
      <c r="G4876" s="156">
        <v>46174</v>
      </c>
      <c r="H4876" s="152" t="s">
        <v>3233</v>
      </c>
      <c r="I4876" s="153">
        <v>9435</v>
      </c>
      <c r="J4876" s="24">
        <v>1</v>
      </c>
      <c r="K4876" s="24"/>
      <c r="L4876" s="91">
        <v>0</v>
      </c>
      <c r="M4876" s="24"/>
      <c r="N4876" s="94">
        <f t="shared" si="188"/>
        <v>1</v>
      </c>
      <c r="O4876" s="147">
        <f t="shared" si="189"/>
        <v>9435</v>
      </c>
      <c r="P4876" s="10">
        <v>1447</v>
      </c>
      <c r="Q4876" s="10" t="s">
        <v>1928</v>
      </c>
      <c r="R4876" s="154">
        <f>+テーブル1[[#This Row],[合計金額]]*テーブル1[[#This Row],[自社報酬率％]]/100</f>
        <v>4245.75</v>
      </c>
    </row>
    <row r="4877" spans="1:18">
      <c r="A4877" s="148">
        <v>45992</v>
      </c>
      <c r="B4877" s="149" t="s">
        <v>43</v>
      </c>
      <c r="C4877" s="80" t="s">
        <v>1962</v>
      </c>
      <c r="D4877" s="151">
        <v>55</v>
      </c>
      <c r="E4877" s="151">
        <v>45</v>
      </c>
      <c r="F4877" s="155" t="s">
        <v>17</v>
      </c>
      <c r="G4877" s="156">
        <v>46204</v>
      </c>
      <c r="H4877" s="152" t="s">
        <v>3234</v>
      </c>
      <c r="I4877" s="153">
        <v>9435</v>
      </c>
      <c r="J4877" s="24">
        <v>1</v>
      </c>
      <c r="K4877" s="24"/>
      <c r="L4877" s="91">
        <v>0</v>
      </c>
      <c r="M4877" s="24"/>
      <c r="N4877" s="94">
        <f t="shared" si="188"/>
        <v>1</v>
      </c>
      <c r="O4877" s="147">
        <f t="shared" si="189"/>
        <v>9435</v>
      </c>
      <c r="P4877" s="10">
        <v>1448</v>
      </c>
      <c r="Q4877" s="10" t="s">
        <v>1928</v>
      </c>
      <c r="R4877" s="154">
        <f>+テーブル1[[#This Row],[合計金額]]*テーブル1[[#This Row],[自社報酬率％]]/100</f>
        <v>4245.75</v>
      </c>
    </row>
    <row r="4878" spans="1:18">
      <c r="A4878" s="148">
        <v>45992</v>
      </c>
      <c r="B4878" s="149" t="s">
        <v>43</v>
      </c>
      <c r="C4878" s="80" t="s">
        <v>1962</v>
      </c>
      <c r="D4878" s="151">
        <v>55</v>
      </c>
      <c r="E4878" s="151">
        <v>45</v>
      </c>
      <c r="F4878" s="155" t="s">
        <v>17</v>
      </c>
      <c r="G4878" s="156">
        <v>46235</v>
      </c>
      <c r="H4878" s="152" t="s">
        <v>3235</v>
      </c>
      <c r="I4878" s="153">
        <v>9435</v>
      </c>
      <c r="J4878" s="24">
        <v>1</v>
      </c>
      <c r="K4878" s="24"/>
      <c r="L4878" s="91">
        <v>0</v>
      </c>
      <c r="M4878" s="24"/>
      <c r="N4878" s="94">
        <f t="shared" si="188"/>
        <v>1</v>
      </c>
      <c r="O4878" s="147">
        <f t="shared" si="189"/>
        <v>9435</v>
      </c>
      <c r="P4878" s="10">
        <v>1449</v>
      </c>
      <c r="Q4878" s="10" t="s">
        <v>1928</v>
      </c>
      <c r="R4878" s="154">
        <f>+テーブル1[[#This Row],[合計金額]]*テーブル1[[#This Row],[自社報酬率％]]/100</f>
        <v>4245.75</v>
      </c>
    </row>
    <row r="4879" spans="1:18">
      <c r="A4879" s="148">
        <v>45992</v>
      </c>
      <c r="B4879" s="149" t="s">
        <v>43</v>
      </c>
      <c r="C4879" s="80" t="s">
        <v>1962</v>
      </c>
      <c r="D4879" s="151">
        <v>55</v>
      </c>
      <c r="E4879" s="151">
        <v>45</v>
      </c>
      <c r="F4879" s="155" t="s">
        <v>17</v>
      </c>
      <c r="G4879" s="156">
        <v>46266</v>
      </c>
      <c r="H4879" s="152" t="s">
        <v>3236</v>
      </c>
      <c r="I4879" s="153">
        <v>9435</v>
      </c>
      <c r="J4879" s="24">
        <v>1</v>
      </c>
      <c r="K4879" s="24"/>
      <c r="L4879" s="91">
        <v>0</v>
      </c>
      <c r="M4879" s="24"/>
      <c r="N4879" s="94">
        <f t="shared" si="188"/>
        <v>1</v>
      </c>
      <c r="O4879" s="147">
        <f t="shared" si="189"/>
        <v>9435</v>
      </c>
      <c r="P4879" s="10">
        <v>1450</v>
      </c>
      <c r="Q4879" s="10" t="s">
        <v>1928</v>
      </c>
      <c r="R4879" s="154">
        <f>+テーブル1[[#This Row],[合計金額]]*テーブル1[[#This Row],[自社報酬率％]]/100</f>
        <v>4245.75</v>
      </c>
    </row>
    <row r="4880" spans="1:18">
      <c r="A4880" s="148">
        <v>45992</v>
      </c>
      <c r="B4880" s="149" t="s">
        <v>43</v>
      </c>
      <c r="C4880" s="80" t="s">
        <v>1962</v>
      </c>
      <c r="D4880" s="151">
        <v>55</v>
      </c>
      <c r="E4880" s="151">
        <v>45</v>
      </c>
      <c r="F4880" s="155" t="s">
        <v>17</v>
      </c>
      <c r="G4880" s="156">
        <v>46296</v>
      </c>
      <c r="H4880" s="152" t="s">
        <v>3237</v>
      </c>
      <c r="I4880" s="153">
        <v>9435</v>
      </c>
      <c r="J4880" s="24">
        <v>1</v>
      </c>
      <c r="K4880" s="24"/>
      <c r="L4880" s="91">
        <v>0</v>
      </c>
      <c r="M4880" s="24"/>
      <c r="N4880" s="94">
        <f t="shared" si="188"/>
        <v>1</v>
      </c>
      <c r="O4880" s="147">
        <f t="shared" si="189"/>
        <v>9435</v>
      </c>
      <c r="P4880" s="10">
        <v>1451</v>
      </c>
      <c r="Q4880" s="10" t="s">
        <v>1928</v>
      </c>
      <c r="R4880" s="154">
        <f>+テーブル1[[#This Row],[合計金額]]*テーブル1[[#This Row],[自社報酬率％]]/100</f>
        <v>4245.75</v>
      </c>
    </row>
    <row r="4881" spans="1:18">
      <c r="A4881" s="148">
        <v>45992</v>
      </c>
      <c r="B4881" s="149" t="s">
        <v>43</v>
      </c>
      <c r="C4881" s="80" t="s">
        <v>1962</v>
      </c>
      <c r="D4881" s="151">
        <v>55</v>
      </c>
      <c r="E4881" s="151">
        <v>45</v>
      </c>
      <c r="F4881" s="155" t="s">
        <v>17</v>
      </c>
      <c r="G4881" s="156">
        <v>46327</v>
      </c>
      <c r="H4881" s="152" t="s">
        <v>3238</v>
      </c>
      <c r="I4881" s="153">
        <v>9435</v>
      </c>
      <c r="J4881" s="24">
        <v>1</v>
      </c>
      <c r="K4881" s="24"/>
      <c r="L4881" s="91">
        <v>0</v>
      </c>
      <c r="M4881" s="24"/>
      <c r="N4881" s="94">
        <f t="shared" si="188"/>
        <v>1</v>
      </c>
      <c r="O4881" s="147">
        <f t="shared" si="189"/>
        <v>9435</v>
      </c>
      <c r="P4881" s="10">
        <v>1452</v>
      </c>
      <c r="Q4881" s="10" t="s">
        <v>1928</v>
      </c>
      <c r="R4881" s="154">
        <f>+テーブル1[[#This Row],[合計金額]]*テーブル1[[#This Row],[自社報酬率％]]/100</f>
        <v>4245.75</v>
      </c>
    </row>
    <row r="4882" spans="1:18">
      <c r="A4882" s="148">
        <v>45992</v>
      </c>
      <c r="B4882" s="149" t="s">
        <v>43</v>
      </c>
      <c r="C4882" s="80" t="s">
        <v>1962</v>
      </c>
      <c r="D4882" s="151">
        <v>55</v>
      </c>
      <c r="E4882" s="151">
        <v>45</v>
      </c>
      <c r="F4882" s="155" t="s">
        <v>17</v>
      </c>
      <c r="G4882" s="156">
        <v>46357</v>
      </c>
      <c r="H4882" s="152" t="s">
        <v>3239</v>
      </c>
      <c r="I4882" s="153">
        <v>9435</v>
      </c>
      <c r="J4882" s="24">
        <v>1</v>
      </c>
      <c r="K4882" s="24"/>
      <c r="L4882" s="91">
        <v>0</v>
      </c>
      <c r="M4882" s="24"/>
      <c r="N4882" s="94">
        <f t="shared" si="188"/>
        <v>1</v>
      </c>
      <c r="O4882" s="147">
        <f t="shared" si="189"/>
        <v>9435</v>
      </c>
      <c r="P4882" s="10">
        <v>1453</v>
      </c>
      <c r="Q4882" s="10" t="s">
        <v>3188</v>
      </c>
      <c r="R4882" s="154">
        <f>+テーブル1[[#This Row],[合計金額]]*テーブル1[[#This Row],[自社報酬率％]]/100</f>
        <v>4245.75</v>
      </c>
    </row>
    <row r="4883" spans="1:18">
      <c r="A4883" s="148">
        <v>45992</v>
      </c>
      <c r="B4883" s="149" t="s">
        <v>43</v>
      </c>
      <c r="C4883" s="79" t="s">
        <v>1962</v>
      </c>
      <c r="D4883" s="151">
        <v>55</v>
      </c>
      <c r="E4883" s="151">
        <v>45</v>
      </c>
      <c r="F4883" s="72" t="s">
        <v>18</v>
      </c>
      <c r="G4883" s="85">
        <v>46023</v>
      </c>
      <c r="H4883" s="152" t="s">
        <v>3240</v>
      </c>
      <c r="I4883" s="153">
        <v>19800</v>
      </c>
      <c r="J4883" s="73">
        <v>45</v>
      </c>
      <c r="K4883" s="24"/>
      <c r="L4883" s="90">
        <v>0</v>
      </c>
      <c r="M4883" s="24"/>
      <c r="N4883" s="93">
        <f t="shared" si="188"/>
        <v>45</v>
      </c>
      <c r="O4883" s="147">
        <f t="shared" si="189"/>
        <v>891000</v>
      </c>
      <c r="P4883" s="10">
        <v>1454</v>
      </c>
      <c r="Q4883" s="10" t="s">
        <v>1928</v>
      </c>
      <c r="R4883" s="154">
        <f>+テーブル1[[#This Row],[合計金額]]*テーブル1[[#This Row],[自社報酬率％]]/100</f>
        <v>400950</v>
      </c>
    </row>
    <row r="4884" spans="1:18">
      <c r="A4884" s="148">
        <v>45992</v>
      </c>
      <c r="B4884" s="149" t="s">
        <v>43</v>
      </c>
      <c r="C4884" s="80" t="s">
        <v>1962</v>
      </c>
      <c r="D4884" s="151">
        <v>55</v>
      </c>
      <c r="E4884" s="151">
        <v>45</v>
      </c>
      <c r="F4884" s="155" t="s">
        <v>18</v>
      </c>
      <c r="G4884" s="156">
        <v>46054</v>
      </c>
      <c r="H4884" s="152" t="s">
        <v>3241</v>
      </c>
      <c r="I4884" s="153">
        <v>19800</v>
      </c>
      <c r="J4884" s="24">
        <v>45</v>
      </c>
      <c r="K4884" s="24"/>
      <c r="L4884" s="91">
        <v>0</v>
      </c>
      <c r="M4884" s="24"/>
      <c r="N4884" s="94">
        <f t="shared" si="188"/>
        <v>45</v>
      </c>
      <c r="O4884" s="147">
        <f t="shared" si="189"/>
        <v>891000</v>
      </c>
      <c r="P4884" s="10">
        <v>1455</v>
      </c>
      <c r="Q4884" s="10" t="s">
        <v>1928</v>
      </c>
      <c r="R4884" s="154">
        <f>+テーブル1[[#This Row],[合計金額]]*テーブル1[[#This Row],[自社報酬率％]]/100</f>
        <v>400950</v>
      </c>
    </row>
    <row r="4885" spans="1:18">
      <c r="A4885" s="148">
        <v>45992</v>
      </c>
      <c r="B4885" s="149" t="s">
        <v>43</v>
      </c>
      <c r="C4885" s="81" t="s">
        <v>1962</v>
      </c>
      <c r="D4885" s="151">
        <v>55</v>
      </c>
      <c r="E4885" s="151">
        <v>45</v>
      </c>
      <c r="F4885" s="76" t="s">
        <v>18</v>
      </c>
      <c r="G4885" s="86">
        <v>46082</v>
      </c>
      <c r="H4885" s="152" t="s">
        <v>3242</v>
      </c>
      <c r="I4885" s="153">
        <v>19800</v>
      </c>
      <c r="J4885" s="77">
        <v>45</v>
      </c>
      <c r="K4885" s="24"/>
      <c r="L4885" s="92">
        <v>0</v>
      </c>
      <c r="M4885" s="24"/>
      <c r="N4885" s="95">
        <f t="shared" si="188"/>
        <v>45</v>
      </c>
      <c r="O4885" s="147">
        <f t="shared" si="189"/>
        <v>891000</v>
      </c>
      <c r="P4885" s="10">
        <v>1456</v>
      </c>
      <c r="Q4885" s="10" t="s">
        <v>1928</v>
      </c>
      <c r="R4885" s="154">
        <f>+テーブル1[[#This Row],[合計金額]]*テーブル1[[#This Row],[自社報酬率％]]/100</f>
        <v>400950</v>
      </c>
    </row>
    <row r="4886" spans="1:18">
      <c r="A4886" s="148">
        <v>45992</v>
      </c>
      <c r="B4886" s="149" t="s">
        <v>43</v>
      </c>
      <c r="C4886" s="79" t="s">
        <v>1962</v>
      </c>
      <c r="D4886" s="151">
        <v>55</v>
      </c>
      <c r="E4886" s="151">
        <v>45</v>
      </c>
      <c r="F4886" s="72" t="s">
        <v>18</v>
      </c>
      <c r="G4886" s="85">
        <v>46023</v>
      </c>
      <c r="H4886" s="152" t="s">
        <v>208</v>
      </c>
      <c r="I4886" s="153">
        <v>19800</v>
      </c>
      <c r="J4886" s="73">
        <v>43</v>
      </c>
      <c r="K4886" s="24"/>
      <c r="L4886" s="90">
        <v>0</v>
      </c>
      <c r="M4886" s="24"/>
      <c r="N4886" s="93">
        <f t="shared" si="188"/>
        <v>43</v>
      </c>
      <c r="O4886" s="147">
        <f t="shared" si="189"/>
        <v>851400</v>
      </c>
      <c r="P4886" s="10">
        <v>1457</v>
      </c>
      <c r="Q4886" s="10" t="s">
        <v>1928</v>
      </c>
      <c r="R4886" s="154">
        <f>+テーブル1[[#This Row],[合計金額]]*テーブル1[[#This Row],[自社報酬率％]]/100</f>
        <v>383130</v>
      </c>
    </row>
    <row r="4887" spans="1:18">
      <c r="A4887" s="148">
        <v>45992</v>
      </c>
      <c r="B4887" s="149" t="s">
        <v>43</v>
      </c>
      <c r="C4887" s="80" t="s">
        <v>1962</v>
      </c>
      <c r="D4887" s="151">
        <v>55</v>
      </c>
      <c r="E4887" s="151">
        <v>45</v>
      </c>
      <c r="F4887" s="155" t="s">
        <v>18</v>
      </c>
      <c r="G4887" s="156">
        <v>46054</v>
      </c>
      <c r="H4887" s="152" t="s">
        <v>3243</v>
      </c>
      <c r="I4887" s="153">
        <v>19800</v>
      </c>
      <c r="J4887" s="24">
        <v>43</v>
      </c>
      <c r="K4887" s="24"/>
      <c r="L4887" s="91">
        <v>0</v>
      </c>
      <c r="M4887" s="24"/>
      <c r="N4887" s="94">
        <f t="shared" si="188"/>
        <v>43</v>
      </c>
      <c r="O4887" s="147">
        <f t="shared" si="189"/>
        <v>851400</v>
      </c>
      <c r="P4887" s="10">
        <v>1458</v>
      </c>
      <c r="Q4887" s="10" t="s">
        <v>1928</v>
      </c>
      <c r="R4887" s="154">
        <f>+テーブル1[[#This Row],[合計金額]]*テーブル1[[#This Row],[自社報酬率％]]/100</f>
        <v>383130</v>
      </c>
    </row>
    <row r="4888" spans="1:18">
      <c r="A4888" s="148">
        <v>45992</v>
      </c>
      <c r="B4888" s="149" t="s">
        <v>43</v>
      </c>
      <c r="C4888" s="80" t="s">
        <v>1962</v>
      </c>
      <c r="D4888" s="151">
        <v>55</v>
      </c>
      <c r="E4888" s="151">
        <v>45</v>
      </c>
      <c r="F4888" s="155" t="s">
        <v>18</v>
      </c>
      <c r="G4888" s="156">
        <v>46082</v>
      </c>
      <c r="H4888" s="152" t="s">
        <v>3244</v>
      </c>
      <c r="I4888" s="153">
        <v>19800</v>
      </c>
      <c r="J4888" s="24">
        <v>43</v>
      </c>
      <c r="K4888" s="24"/>
      <c r="L4888" s="91">
        <v>0</v>
      </c>
      <c r="M4888" s="24"/>
      <c r="N4888" s="94">
        <f t="shared" si="188"/>
        <v>43</v>
      </c>
      <c r="O4888" s="147">
        <f t="shared" si="189"/>
        <v>851400</v>
      </c>
      <c r="P4888" s="10">
        <v>1459</v>
      </c>
      <c r="Q4888" s="10" t="s">
        <v>1928</v>
      </c>
      <c r="R4888" s="154">
        <f>+テーブル1[[#This Row],[合計金額]]*テーブル1[[#This Row],[自社報酬率％]]/100</f>
        <v>383130</v>
      </c>
    </row>
    <row r="4889" spans="1:18">
      <c r="A4889" s="148">
        <v>45992</v>
      </c>
      <c r="B4889" s="149" t="s">
        <v>43</v>
      </c>
      <c r="C4889" s="79" t="s">
        <v>1962</v>
      </c>
      <c r="D4889" s="151">
        <v>55</v>
      </c>
      <c r="E4889" s="151">
        <v>45</v>
      </c>
      <c r="F4889" s="72" t="s">
        <v>19</v>
      </c>
      <c r="G4889" s="85">
        <v>46023</v>
      </c>
      <c r="H4889" s="152" t="s">
        <v>3245</v>
      </c>
      <c r="I4889" s="153">
        <v>19050</v>
      </c>
      <c r="J4889" s="73">
        <v>232</v>
      </c>
      <c r="K4889" s="24"/>
      <c r="L4889" s="90">
        <v>0</v>
      </c>
      <c r="M4889" s="24"/>
      <c r="N4889" s="93">
        <f t="shared" si="188"/>
        <v>232</v>
      </c>
      <c r="O4889" s="147">
        <f t="shared" si="189"/>
        <v>4419600</v>
      </c>
      <c r="P4889" s="10">
        <v>1460</v>
      </c>
      <c r="Q4889" s="10" t="s">
        <v>1928</v>
      </c>
      <c r="R4889" s="154">
        <f>+テーブル1[[#This Row],[合計金額]]*テーブル1[[#This Row],[自社報酬率％]]/100</f>
        <v>1988820</v>
      </c>
    </row>
    <row r="4890" spans="1:18">
      <c r="A4890" s="148">
        <v>45992</v>
      </c>
      <c r="B4890" s="149" t="s">
        <v>43</v>
      </c>
      <c r="C4890" s="80" t="s">
        <v>1962</v>
      </c>
      <c r="D4890" s="151">
        <v>55</v>
      </c>
      <c r="E4890" s="151">
        <v>45</v>
      </c>
      <c r="F4890" s="155" t="s">
        <v>19</v>
      </c>
      <c r="G4890" s="156">
        <v>46054</v>
      </c>
      <c r="H4890" s="152" t="s">
        <v>3246</v>
      </c>
      <c r="I4890" s="153">
        <v>19050</v>
      </c>
      <c r="J4890" s="24">
        <v>232</v>
      </c>
      <c r="K4890" s="24"/>
      <c r="L4890" s="91">
        <v>0</v>
      </c>
      <c r="M4890" s="24"/>
      <c r="N4890" s="94">
        <f t="shared" si="188"/>
        <v>232</v>
      </c>
      <c r="O4890" s="147">
        <f t="shared" si="189"/>
        <v>4419600</v>
      </c>
      <c r="P4890" s="10">
        <v>1461</v>
      </c>
      <c r="Q4890" s="10" t="s">
        <v>1928</v>
      </c>
      <c r="R4890" s="154">
        <f>+テーブル1[[#This Row],[合計金額]]*テーブル1[[#This Row],[自社報酬率％]]/100</f>
        <v>1988820</v>
      </c>
    </row>
    <row r="4891" spans="1:18">
      <c r="A4891" s="148">
        <v>45992</v>
      </c>
      <c r="B4891" s="149" t="s">
        <v>43</v>
      </c>
      <c r="C4891" s="80" t="s">
        <v>1962</v>
      </c>
      <c r="D4891" s="151">
        <v>55</v>
      </c>
      <c r="E4891" s="151">
        <v>45</v>
      </c>
      <c r="F4891" s="155" t="s">
        <v>19</v>
      </c>
      <c r="G4891" s="156">
        <v>46082</v>
      </c>
      <c r="H4891" s="152" t="s">
        <v>3247</v>
      </c>
      <c r="I4891" s="153">
        <v>19050</v>
      </c>
      <c r="J4891" s="24">
        <v>232</v>
      </c>
      <c r="K4891" s="24"/>
      <c r="L4891" s="91">
        <v>0</v>
      </c>
      <c r="M4891" s="24"/>
      <c r="N4891" s="94">
        <f t="shared" si="188"/>
        <v>232</v>
      </c>
      <c r="O4891" s="147">
        <f t="shared" si="189"/>
        <v>4419600</v>
      </c>
      <c r="P4891" s="10">
        <v>1462</v>
      </c>
      <c r="Q4891" s="10" t="s">
        <v>1928</v>
      </c>
      <c r="R4891" s="154">
        <f>+テーブル1[[#This Row],[合計金額]]*テーブル1[[#This Row],[自社報酬率％]]/100</f>
        <v>1988820</v>
      </c>
    </row>
    <row r="4892" spans="1:18">
      <c r="A4892" s="148">
        <v>45992</v>
      </c>
      <c r="B4892" s="149" t="s">
        <v>43</v>
      </c>
      <c r="C4892" s="80" t="s">
        <v>1962</v>
      </c>
      <c r="D4892" s="151">
        <v>55</v>
      </c>
      <c r="E4892" s="151">
        <v>45</v>
      </c>
      <c r="F4892" s="155" t="s">
        <v>19</v>
      </c>
      <c r="G4892" s="156">
        <v>46113</v>
      </c>
      <c r="H4892" s="152" t="s">
        <v>3248</v>
      </c>
      <c r="I4892" s="153">
        <v>19050</v>
      </c>
      <c r="J4892" s="24">
        <v>232</v>
      </c>
      <c r="K4892" s="24"/>
      <c r="L4892" s="91">
        <v>0</v>
      </c>
      <c r="M4892" s="24"/>
      <c r="N4892" s="94">
        <f t="shared" si="188"/>
        <v>232</v>
      </c>
      <c r="O4892" s="147">
        <f t="shared" si="189"/>
        <v>4419600</v>
      </c>
      <c r="P4892" s="10">
        <v>1463</v>
      </c>
      <c r="Q4892" s="10" t="s">
        <v>1928</v>
      </c>
      <c r="R4892" s="154">
        <f>+テーブル1[[#This Row],[合計金額]]*テーブル1[[#This Row],[自社報酬率％]]/100</f>
        <v>1988820</v>
      </c>
    </row>
    <row r="4893" spans="1:18">
      <c r="A4893" s="148">
        <v>45992</v>
      </c>
      <c r="B4893" s="149" t="s">
        <v>43</v>
      </c>
      <c r="C4893" s="80" t="s">
        <v>1962</v>
      </c>
      <c r="D4893" s="151">
        <v>55</v>
      </c>
      <c r="E4893" s="151">
        <v>45</v>
      </c>
      <c r="F4893" s="155" t="s">
        <v>19</v>
      </c>
      <c r="G4893" s="156">
        <v>46143</v>
      </c>
      <c r="H4893" s="152" t="s">
        <v>3249</v>
      </c>
      <c r="I4893" s="153">
        <v>19050</v>
      </c>
      <c r="J4893" s="24">
        <v>232</v>
      </c>
      <c r="K4893" s="24"/>
      <c r="L4893" s="91">
        <v>0</v>
      </c>
      <c r="M4893" s="24"/>
      <c r="N4893" s="94">
        <f t="shared" si="188"/>
        <v>232</v>
      </c>
      <c r="O4893" s="147">
        <f t="shared" si="189"/>
        <v>4419600</v>
      </c>
      <c r="P4893" s="10">
        <v>1464</v>
      </c>
      <c r="Q4893" s="10" t="s">
        <v>1928</v>
      </c>
      <c r="R4893" s="154">
        <f>+テーブル1[[#This Row],[合計金額]]*テーブル1[[#This Row],[自社報酬率％]]/100</f>
        <v>1988820</v>
      </c>
    </row>
    <row r="4894" spans="1:18">
      <c r="A4894" s="148">
        <v>45992</v>
      </c>
      <c r="B4894" s="149" t="s">
        <v>43</v>
      </c>
      <c r="C4894" s="81" t="s">
        <v>1962</v>
      </c>
      <c r="D4894" s="151">
        <v>55</v>
      </c>
      <c r="E4894" s="151">
        <v>45</v>
      </c>
      <c r="F4894" s="76" t="s">
        <v>19</v>
      </c>
      <c r="G4894" s="86">
        <v>46174</v>
      </c>
      <c r="H4894" s="152" t="s">
        <v>3250</v>
      </c>
      <c r="I4894" s="153">
        <v>19050</v>
      </c>
      <c r="J4894" s="77">
        <v>232</v>
      </c>
      <c r="K4894" s="24"/>
      <c r="L4894" s="92">
        <v>0</v>
      </c>
      <c r="M4894" s="24"/>
      <c r="N4894" s="95">
        <f t="shared" si="188"/>
        <v>232</v>
      </c>
      <c r="O4894" s="147">
        <f t="shared" si="189"/>
        <v>4419600</v>
      </c>
      <c r="P4894" s="10">
        <v>1465</v>
      </c>
      <c r="Q4894" s="10" t="s">
        <v>1928</v>
      </c>
      <c r="R4894" s="154">
        <f>+テーブル1[[#This Row],[合計金額]]*テーブル1[[#This Row],[自社報酬率％]]/100</f>
        <v>1988820</v>
      </c>
    </row>
    <row r="4895" spans="1:18">
      <c r="A4895" s="148">
        <v>45992</v>
      </c>
      <c r="B4895" s="149" t="s">
        <v>43</v>
      </c>
      <c r="C4895" s="79" t="s">
        <v>1962</v>
      </c>
      <c r="D4895" s="151">
        <v>55</v>
      </c>
      <c r="E4895" s="151">
        <v>45</v>
      </c>
      <c r="F4895" s="72" t="s">
        <v>19</v>
      </c>
      <c r="G4895" s="85">
        <v>46023</v>
      </c>
      <c r="H4895" s="152" t="s">
        <v>207</v>
      </c>
      <c r="I4895" s="153">
        <v>19050</v>
      </c>
      <c r="J4895" s="73">
        <v>164</v>
      </c>
      <c r="K4895" s="24"/>
      <c r="L4895" s="90">
        <v>0</v>
      </c>
      <c r="M4895" s="24"/>
      <c r="N4895" s="93">
        <f t="shared" si="188"/>
        <v>164</v>
      </c>
      <c r="O4895" s="147">
        <f t="shared" si="189"/>
        <v>3124200</v>
      </c>
      <c r="P4895" s="10">
        <v>1466</v>
      </c>
      <c r="Q4895" s="10" t="s">
        <v>1928</v>
      </c>
      <c r="R4895" s="154">
        <f>+テーブル1[[#This Row],[合計金額]]*テーブル1[[#This Row],[自社報酬率％]]/100</f>
        <v>1405890</v>
      </c>
    </row>
    <row r="4896" spans="1:18">
      <c r="A4896" s="148">
        <v>45992</v>
      </c>
      <c r="B4896" s="149" t="s">
        <v>43</v>
      </c>
      <c r="C4896" s="80" t="s">
        <v>1962</v>
      </c>
      <c r="D4896" s="151">
        <v>55</v>
      </c>
      <c r="E4896" s="151">
        <v>45</v>
      </c>
      <c r="F4896" s="155" t="s">
        <v>19</v>
      </c>
      <c r="G4896" s="156">
        <v>46054</v>
      </c>
      <c r="H4896" s="152" t="s">
        <v>3251</v>
      </c>
      <c r="I4896" s="153">
        <v>19050</v>
      </c>
      <c r="J4896" s="24">
        <v>164</v>
      </c>
      <c r="K4896" s="24"/>
      <c r="L4896" s="91">
        <v>0</v>
      </c>
      <c r="M4896" s="24"/>
      <c r="N4896" s="94">
        <f t="shared" si="188"/>
        <v>164</v>
      </c>
      <c r="O4896" s="147">
        <f t="shared" si="189"/>
        <v>3124200</v>
      </c>
      <c r="P4896" s="10">
        <v>1467</v>
      </c>
      <c r="Q4896" s="10" t="s">
        <v>1928</v>
      </c>
      <c r="R4896" s="154">
        <f>+テーブル1[[#This Row],[合計金額]]*テーブル1[[#This Row],[自社報酬率％]]/100</f>
        <v>1405890</v>
      </c>
    </row>
    <row r="4897" spans="1:18">
      <c r="A4897" s="148">
        <v>45992</v>
      </c>
      <c r="B4897" s="149" t="s">
        <v>43</v>
      </c>
      <c r="C4897" s="80" t="s">
        <v>1962</v>
      </c>
      <c r="D4897" s="151">
        <v>55</v>
      </c>
      <c r="E4897" s="151">
        <v>45</v>
      </c>
      <c r="F4897" s="155" t="s">
        <v>19</v>
      </c>
      <c r="G4897" s="156">
        <v>46082</v>
      </c>
      <c r="H4897" s="152" t="s">
        <v>3252</v>
      </c>
      <c r="I4897" s="153">
        <v>19050</v>
      </c>
      <c r="J4897" s="24">
        <v>164</v>
      </c>
      <c r="K4897" s="24"/>
      <c r="L4897" s="91">
        <v>0</v>
      </c>
      <c r="M4897" s="24"/>
      <c r="N4897" s="94">
        <f t="shared" si="188"/>
        <v>164</v>
      </c>
      <c r="O4897" s="147">
        <f t="shared" si="189"/>
        <v>3124200</v>
      </c>
      <c r="P4897" s="10">
        <v>1468</v>
      </c>
      <c r="Q4897" s="10" t="s">
        <v>1928</v>
      </c>
      <c r="R4897" s="154">
        <f>+テーブル1[[#This Row],[合計金額]]*テーブル1[[#This Row],[自社報酬率％]]/100</f>
        <v>1405890</v>
      </c>
    </row>
    <row r="4898" spans="1:18">
      <c r="A4898" s="148">
        <v>45992</v>
      </c>
      <c r="B4898" s="149" t="s">
        <v>43</v>
      </c>
      <c r="C4898" s="80" t="s">
        <v>1962</v>
      </c>
      <c r="D4898" s="151">
        <v>55</v>
      </c>
      <c r="E4898" s="151">
        <v>45</v>
      </c>
      <c r="F4898" s="155" t="s">
        <v>19</v>
      </c>
      <c r="G4898" s="156">
        <v>46113</v>
      </c>
      <c r="H4898" s="152" t="s">
        <v>3253</v>
      </c>
      <c r="I4898" s="153">
        <v>19050</v>
      </c>
      <c r="J4898" s="24">
        <v>164</v>
      </c>
      <c r="K4898" s="24"/>
      <c r="L4898" s="91">
        <v>0</v>
      </c>
      <c r="M4898" s="24"/>
      <c r="N4898" s="94">
        <f t="shared" si="188"/>
        <v>164</v>
      </c>
      <c r="O4898" s="147">
        <f t="shared" si="189"/>
        <v>3124200</v>
      </c>
      <c r="P4898" s="10">
        <v>1469</v>
      </c>
      <c r="Q4898" s="10" t="s">
        <v>1928</v>
      </c>
      <c r="R4898" s="154">
        <f>+テーブル1[[#This Row],[合計金額]]*テーブル1[[#This Row],[自社報酬率％]]/100</f>
        <v>1405890</v>
      </c>
    </row>
    <row r="4899" spans="1:18">
      <c r="A4899" s="148">
        <v>45992</v>
      </c>
      <c r="B4899" s="149" t="s">
        <v>43</v>
      </c>
      <c r="C4899" s="80" t="s">
        <v>1962</v>
      </c>
      <c r="D4899" s="151">
        <v>55</v>
      </c>
      <c r="E4899" s="151">
        <v>45</v>
      </c>
      <c r="F4899" s="155" t="s">
        <v>19</v>
      </c>
      <c r="G4899" s="156">
        <v>46143</v>
      </c>
      <c r="H4899" s="152" t="s">
        <v>3254</v>
      </c>
      <c r="I4899" s="153">
        <v>19050</v>
      </c>
      <c r="J4899" s="24">
        <v>164</v>
      </c>
      <c r="K4899" s="24"/>
      <c r="L4899" s="91">
        <v>0</v>
      </c>
      <c r="M4899" s="24"/>
      <c r="N4899" s="94">
        <f t="shared" si="188"/>
        <v>164</v>
      </c>
      <c r="O4899" s="147">
        <f t="shared" si="189"/>
        <v>3124200</v>
      </c>
      <c r="P4899" s="10">
        <v>1470</v>
      </c>
      <c r="Q4899" s="10" t="s">
        <v>1928</v>
      </c>
      <c r="R4899" s="154">
        <f>+テーブル1[[#This Row],[合計金額]]*テーブル1[[#This Row],[自社報酬率％]]/100</f>
        <v>1405890</v>
      </c>
    </row>
    <row r="4900" spans="1:18">
      <c r="A4900" s="148">
        <v>45992</v>
      </c>
      <c r="B4900" s="149" t="s">
        <v>43</v>
      </c>
      <c r="C4900" s="80" t="s">
        <v>1962</v>
      </c>
      <c r="D4900" s="151">
        <v>55</v>
      </c>
      <c r="E4900" s="151">
        <v>45</v>
      </c>
      <c r="F4900" s="155" t="s">
        <v>19</v>
      </c>
      <c r="G4900" s="156">
        <v>46174</v>
      </c>
      <c r="H4900" s="152" t="s">
        <v>3255</v>
      </c>
      <c r="I4900" s="153">
        <v>19050</v>
      </c>
      <c r="J4900" s="24">
        <v>164</v>
      </c>
      <c r="K4900" s="24"/>
      <c r="L4900" s="91">
        <v>0</v>
      </c>
      <c r="M4900" s="24"/>
      <c r="N4900" s="94">
        <f t="shared" si="188"/>
        <v>164</v>
      </c>
      <c r="O4900" s="147">
        <f t="shared" si="189"/>
        <v>3124200</v>
      </c>
      <c r="P4900" s="10">
        <v>1471</v>
      </c>
      <c r="Q4900" s="10" t="s">
        <v>1928</v>
      </c>
      <c r="R4900" s="154">
        <f>+テーブル1[[#This Row],[合計金額]]*テーブル1[[#This Row],[自社報酬率％]]/100</f>
        <v>1405890</v>
      </c>
    </row>
    <row r="4901" spans="1:18">
      <c r="A4901" s="148">
        <v>45992</v>
      </c>
      <c r="B4901" s="149" t="s">
        <v>43</v>
      </c>
      <c r="C4901" s="79" t="s">
        <v>1962</v>
      </c>
      <c r="D4901" s="151">
        <v>55</v>
      </c>
      <c r="E4901" s="151">
        <v>45</v>
      </c>
      <c r="F4901" s="72" t="s">
        <v>19</v>
      </c>
      <c r="G4901" s="85">
        <v>46113</v>
      </c>
      <c r="H4901" s="152" t="s">
        <v>3256</v>
      </c>
      <c r="I4901" s="153">
        <v>19050</v>
      </c>
      <c r="J4901" s="73">
        <v>1</v>
      </c>
      <c r="K4901" s="24"/>
      <c r="L4901" s="90">
        <v>0</v>
      </c>
      <c r="M4901" s="24"/>
      <c r="N4901" s="93">
        <f t="shared" si="188"/>
        <v>1</v>
      </c>
      <c r="O4901" s="147">
        <f t="shared" si="189"/>
        <v>19050</v>
      </c>
      <c r="P4901" s="10">
        <v>1472</v>
      </c>
      <c r="Q4901" s="10" t="s">
        <v>1928</v>
      </c>
      <c r="R4901" s="154">
        <f>+テーブル1[[#This Row],[合計金額]]*テーブル1[[#This Row],[自社報酬率％]]/100</f>
        <v>8572.5</v>
      </c>
    </row>
    <row r="4902" spans="1:18">
      <c r="A4902" s="148">
        <v>45992</v>
      </c>
      <c r="B4902" s="149" t="s">
        <v>43</v>
      </c>
      <c r="C4902" s="80" t="s">
        <v>1962</v>
      </c>
      <c r="D4902" s="151">
        <v>55</v>
      </c>
      <c r="E4902" s="151">
        <v>45</v>
      </c>
      <c r="F4902" s="155" t="s">
        <v>19</v>
      </c>
      <c r="G4902" s="156">
        <v>46143</v>
      </c>
      <c r="H4902" s="152" t="s">
        <v>3257</v>
      </c>
      <c r="I4902" s="153">
        <v>19050</v>
      </c>
      <c r="J4902" s="24">
        <v>1</v>
      </c>
      <c r="K4902" s="24"/>
      <c r="L4902" s="91">
        <v>0</v>
      </c>
      <c r="M4902" s="24"/>
      <c r="N4902" s="94">
        <f t="shared" si="188"/>
        <v>1</v>
      </c>
      <c r="O4902" s="147">
        <f t="shared" si="189"/>
        <v>19050</v>
      </c>
      <c r="P4902" s="10">
        <v>1473</v>
      </c>
      <c r="Q4902" s="10" t="s">
        <v>1928</v>
      </c>
      <c r="R4902" s="154">
        <f>+テーブル1[[#This Row],[合計金額]]*テーブル1[[#This Row],[自社報酬率％]]/100</f>
        <v>8572.5</v>
      </c>
    </row>
    <row r="4903" spans="1:18">
      <c r="A4903" s="148">
        <v>45992</v>
      </c>
      <c r="B4903" s="149" t="s">
        <v>43</v>
      </c>
      <c r="C4903" s="80" t="s">
        <v>1962</v>
      </c>
      <c r="D4903" s="151">
        <v>55</v>
      </c>
      <c r="E4903" s="151">
        <v>45</v>
      </c>
      <c r="F4903" s="155" t="s">
        <v>19</v>
      </c>
      <c r="G4903" s="156">
        <v>46174</v>
      </c>
      <c r="H4903" s="152" t="s">
        <v>3258</v>
      </c>
      <c r="I4903" s="153">
        <v>19050</v>
      </c>
      <c r="J4903" s="24">
        <v>1</v>
      </c>
      <c r="K4903" s="24"/>
      <c r="L4903" s="91">
        <v>0</v>
      </c>
      <c r="M4903" s="24"/>
      <c r="N4903" s="94">
        <f t="shared" si="188"/>
        <v>1</v>
      </c>
      <c r="O4903" s="147">
        <f t="shared" si="189"/>
        <v>19050</v>
      </c>
      <c r="P4903" s="10">
        <v>1474</v>
      </c>
      <c r="Q4903" s="10" t="s">
        <v>1928</v>
      </c>
      <c r="R4903" s="154">
        <f>+テーブル1[[#This Row],[合計金額]]*テーブル1[[#This Row],[自社報酬率％]]/100</f>
        <v>8572.5</v>
      </c>
    </row>
    <row r="4904" spans="1:18">
      <c r="A4904" s="148">
        <v>45992</v>
      </c>
      <c r="B4904" s="149" t="s">
        <v>43</v>
      </c>
      <c r="C4904" s="80" t="s">
        <v>1962</v>
      </c>
      <c r="D4904" s="151">
        <v>55</v>
      </c>
      <c r="E4904" s="151">
        <v>45</v>
      </c>
      <c r="F4904" s="155" t="s">
        <v>19</v>
      </c>
      <c r="G4904" s="156">
        <v>46204</v>
      </c>
      <c r="H4904" s="152" t="s">
        <v>3259</v>
      </c>
      <c r="I4904" s="153">
        <v>19050</v>
      </c>
      <c r="J4904" s="24">
        <v>1</v>
      </c>
      <c r="K4904" s="24"/>
      <c r="L4904" s="91">
        <v>0</v>
      </c>
      <c r="M4904" s="24"/>
      <c r="N4904" s="94">
        <f t="shared" si="188"/>
        <v>1</v>
      </c>
      <c r="O4904" s="147">
        <f t="shared" si="189"/>
        <v>19050</v>
      </c>
      <c r="P4904" s="10">
        <v>1475</v>
      </c>
      <c r="Q4904" s="10" t="s">
        <v>1928</v>
      </c>
      <c r="R4904" s="154">
        <f>+テーブル1[[#This Row],[合計金額]]*テーブル1[[#This Row],[自社報酬率％]]/100</f>
        <v>8572.5</v>
      </c>
    </row>
    <row r="4905" spans="1:18">
      <c r="A4905" s="148">
        <v>45992</v>
      </c>
      <c r="B4905" s="149" t="s">
        <v>43</v>
      </c>
      <c r="C4905" s="80" t="s">
        <v>1962</v>
      </c>
      <c r="D4905" s="151">
        <v>55</v>
      </c>
      <c r="E4905" s="151">
        <v>45</v>
      </c>
      <c r="F4905" s="155" t="s">
        <v>19</v>
      </c>
      <c r="G4905" s="156">
        <v>46235</v>
      </c>
      <c r="H4905" s="152" t="s">
        <v>3260</v>
      </c>
      <c r="I4905" s="153">
        <v>19050</v>
      </c>
      <c r="J4905" s="24">
        <v>1</v>
      </c>
      <c r="K4905" s="24"/>
      <c r="L4905" s="91">
        <v>0</v>
      </c>
      <c r="M4905" s="24"/>
      <c r="N4905" s="94">
        <f t="shared" si="188"/>
        <v>1</v>
      </c>
      <c r="O4905" s="147">
        <f t="shared" si="189"/>
        <v>19050</v>
      </c>
      <c r="P4905" s="10">
        <v>1476</v>
      </c>
      <c r="Q4905" s="10" t="s">
        <v>1928</v>
      </c>
      <c r="R4905" s="154">
        <f>+テーブル1[[#This Row],[合計金額]]*テーブル1[[#This Row],[自社報酬率％]]/100</f>
        <v>8572.5</v>
      </c>
    </row>
    <row r="4906" spans="1:18">
      <c r="A4906" s="148">
        <v>45992</v>
      </c>
      <c r="B4906" s="149" t="s">
        <v>43</v>
      </c>
      <c r="C4906" s="81" t="s">
        <v>1962</v>
      </c>
      <c r="D4906" s="151">
        <v>55</v>
      </c>
      <c r="E4906" s="151">
        <v>45</v>
      </c>
      <c r="F4906" s="76" t="s">
        <v>19</v>
      </c>
      <c r="G4906" s="86">
        <v>46266</v>
      </c>
      <c r="H4906" s="152" t="s">
        <v>3261</v>
      </c>
      <c r="I4906" s="153">
        <v>19050</v>
      </c>
      <c r="J4906" s="77">
        <v>1</v>
      </c>
      <c r="K4906" s="24"/>
      <c r="L4906" s="92">
        <v>0</v>
      </c>
      <c r="M4906" s="24"/>
      <c r="N4906" s="95">
        <f t="shared" si="188"/>
        <v>1</v>
      </c>
      <c r="O4906" s="147">
        <f t="shared" si="189"/>
        <v>19050</v>
      </c>
      <c r="P4906" s="10">
        <v>1477</v>
      </c>
      <c r="Q4906" s="10" t="s">
        <v>1928</v>
      </c>
      <c r="R4906" s="154">
        <f>+テーブル1[[#This Row],[合計金額]]*テーブル1[[#This Row],[自社報酬率％]]/100</f>
        <v>8572.5</v>
      </c>
    </row>
    <row r="4907" spans="1:18">
      <c r="A4907" s="148">
        <v>45992</v>
      </c>
      <c r="B4907" s="149" t="s">
        <v>43</v>
      </c>
      <c r="C4907" s="79" t="s">
        <v>1962</v>
      </c>
      <c r="D4907" s="151">
        <v>55</v>
      </c>
      <c r="E4907" s="151">
        <v>45</v>
      </c>
      <c r="F4907" s="72" t="s">
        <v>19</v>
      </c>
      <c r="G4907" s="85">
        <v>46023</v>
      </c>
      <c r="H4907" s="152" t="s">
        <v>331</v>
      </c>
      <c r="I4907" s="153">
        <v>19050</v>
      </c>
      <c r="J4907" s="73">
        <v>3</v>
      </c>
      <c r="K4907" s="24"/>
      <c r="L4907" s="90">
        <v>0</v>
      </c>
      <c r="M4907" s="24"/>
      <c r="N4907" s="93">
        <f t="shared" si="188"/>
        <v>3</v>
      </c>
      <c r="O4907" s="147">
        <f t="shared" si="189"/>
        <v>57150</v>
      </c>
      <c r="P4907" s="10">
        <v>1478</v>
      </c>
      <c r="Q4907" s="10" t="s">
        <v>1928</v>
      </c>
      <c r="R4907" s="154">
        <f>+テーブル1[[#This Row],[合計金額]]*テーブル1[[#This Row],[自社報酬率％]]/100</f>
        <v>25717.5</v>
      </c>
    </row>
    <row r="4908" spans="1:18">
      <c r="A4908" s="148">
        <v>45992</v>
      </c>
      <c r="B4908" s="149" t="s">
        <v>43</v>
      </c>
      <c r="C4908" s="80" t="s">
        <v>1962</v>
      </c>
      <c r="D4908" s="151">
        <v>55</v>
      </c>
      <c r="E4908" s="151">
        <v>45</v>
      </c>
      <c r="F4908" s="155" t="s">
        <v>19</v>
      </c>
      <c r="G4908" s="156">
        <v>46054</v>
      </c>
      <c r="H4908" s="152" t="s">
        <v>3262</v>
      </c>
      <c r="I4908" s="153">
        <v>19050</v>
      </c>
      <c r="J4908" s="24">
        <v>3</v>
      </c>
      <c r="K4908" s="24"/>
      <c r="L4908" s="91">
        <v>0</v>
      </c>
      <c r="M4908" s="24"/>
      <c r="N4908" s="94">
        <f t="shared" si="188"/>
        <v>3</v>
      </c>
      <c r="O4908" s="147">
        <f t="shared" si="189"/>
        <v>57150</v>
      </c>
      <c r="P4908" s="10">
        <v>1479</v>
      </c>
      <c r="Q4908" s="10" t="s">
        <v>1928</v>
      </c>
      <c r="R4908" s="154">
        <f>+テーブル1[[#This Row],[合計金額]]*テーブル1[[#This Row],[自社報酬率％]]/100</f>
        <v>25717.5</v>
      </c>
    </row>
    <row r="4909" spans="1:18">
      <c r="A4909" s="148">
        <v>45992</v>
      </c>
      <c r="B4909" s="149" t="s">
        <v>43</v>
      </c>
      <c r="C4909" s="80" t="s">
        <v>1962</v>
      </c>
      <c r="D4909" s="151">
        <v>55</v>
      </c>
      <c r="E4909" s="151">
        <v>45</v>
      </c>
      <c r="F4909" s="155" t="s">
        <v>19</v>
      </c>
      <c r="G4909" s="156">
        <v>46082</v>
      </c>
      <c r="H4909" s="152" t="s">
        <v>3263</v>
      </c>
      <c r="I4909" s="153">
        <v>19050</v>
      </c>
      <c r="J4909" s="24">
        <v>3</v>
      </c>
      <c r="K4909" s="24"/>
      <c r="L4909" s="91">
        <v>0</v>
      </c>
      <c r="M4909" s="24"/>
      <c r="N4909" s="94">
        <f t="shared" si="188"/>
        <v>3</v>
      </c>
      <c r="O4909" s="147">
        <f t="shared" si="189"/>
        <v>57150</v>
      </c>
      <c r="P4909" s="10">
        <v>1480</v>
      </c>
      <c r="Q4909" s="10" t="s">
        <v>1928</v>
      </c>
      <c r="R4909" s="154">
        <f>+テーブル1[[#This Row],[合計金額]]*テーブル1[[#This Row],[自社報酬率％]]/100</f>
        <v>25717.5</v>
      </c>
    </row>
    <row r="4910" spans="1:18">
      <c r="A4910" s="148">
        <v>45992</v>
      </c>
      <c r="B4910" s="149" t="s">
        <v>43</v>
      </c>
      <c r="C4910" s="80" t="s">
        <v>1962</v>
      </c>
      <c r="D4910" s="151">
        <v>55</v>
      </c>
      <c r="E4910" s="151">
        <v>45</v>
      </c>
      <c r="F4910" s="155" t="s">
        <v>19</v>
      </c>
      <c r="G4910" s="156">
        <v>46113</v>
      </c>
      <c r="H4910" s="152" t="s">
        <v>3264</v>
      </c>
      <c r="I4910" s="153">
        <v>19050</v>
      </c>
      <c r="J4910" s="24">
        <v>3</v>
      </c>
      <c r="K4910" s="24"/>
      <c r="L4910" s="91">
        <v>0</v>
      </c>
      <c r="M4910" s="24"/>
      <c r="N4910" s="94">
        <f t="shared" si="188"/>
        <v>3</v>
      </c>
      <c r="O4910" s="147">
        <f t="shared" si="189"/>
        <v>57150</v>
      </c>
      <c r="P4910" s="10">
        <v>1481</v>
      </c>
      <c r="Q4910" s="10" t="s">
        <v>1928</v>
      </c>
      <c r="R4910" s="154">
        <f>+テーブル1[[#This Row],[合計金額]]*テーブル1[[#This Row],[自社報酬率％]]/100</f>
        <v>25717.5</v>
      </c>
    </row>
    <row r="4911" spans="1:18">
      <c r="A4911" s="148">
        <v>45992</v>
      </c>
      <c r="B4911" s="149" t="s">
        <v>43</v>
      </c>
      <c r="C4911" s="80" t="s">
        <v>1962</v>
      </c>
      <c r="D4911" s="151">
        <v>55</v>
      </c>
      <c r="E4911" s="151">
        <v>45</v>
      </c>
      <c r="F4911" s="155" t="s">
        <v>19</v>
      </c>
      <c r="G4911" s="156">
        <v>46143</v>
      </c>
      <c r="H4911" s="152" t="s">
        <v>3265</v>
      </c>
      <c r="I4911" s="153">
        <v>19050</v>
      </c>
      <c r="J4911" s="24">
        <v>3</v>
      </c>
      <c r="K4911" s="24"/>
      <c r="L4911" s="91">
        <v>0</v>
      </c>
      <c r="M4911" s="24"/>
      <c r="N4911" s="94">
        <f t="shared" si="188"/>
        <v>3</v>
      </c>
      <c r="O4911" s="147">
        <f t="shared" si="189"/>
        <v>57150</v>
      </c>
      <c r="P4911" s="10">
        <v>1482</v>
      </c>
      <c r="Q4911" s="10" t="s">
        <v>1928</v>
      </c>
      <c r="R4911" s="154">
        <f>+テーブル1[[#This Row],[合計金額]]*テーブル1[[#This Row],[自社報酬率％]]/100</f>
        <v>25717.5</v>
      </c>
    </row>
    <row r="4912" spans="1:18">
      <c r="A4912" s="148">
        <v>45992</v>
      </c>
      <c r="B4912" s="149" t="s">
        <v>43</v>
      </c>
      <c r="C4912" s="80" t="s">
        <v>1962</v>
      </c>
      <c r="D4912" s="151">
        <v>55</v>
      </c>
      <c r="E4912" s="151">
        <v>45</v>
      </c>
      <c r="F4912" s="155" t="s">
        <v>19</v>
      </c>
      <c r="G4912" s="156">
        <v>46174</v>
      </c>
      <c r="H4912" s="152" t="s">
        <v>3266</v>
      </c>
      <c r="I4912" s="153">
        <v>19050</v>
      </c>
      <c r="J4912" s="24">
        <v>3</v>
      </c>
      <c r="K4912" s="24"/>
      <c r="L4912" s="91">
        <v>0</v>
      </c>
      <c r="M4912" s="24"/>
      <c r="N4912" s="94">
        <f t="shared" si="188"/>
        <v>3</v>
      </c>
      <c r="O4912" s="147">
        <f t="shared" si="189"/>
        <v>57150</v>
      </c>
      <c r="P4912" s="10">
        <v>1483</v>
      </c>
      <c r="Q4912" s="10" t="s">
        <v>1928</v>
      </c>
      <c r="R4912" s="154">
        <f>+テーブル1[[#This Row],[合計金額]]*テーブル1[[#This Row],[自社報酬率％]]/100</f>
        <v>25717.5</v>
      </c>
    </row>
    <row r="4913" spans="1:18">
      <c r="A4913" s="148">
        <v>45992</v>
      </c>
      <c r="B4913" s="149" t="s">
        <v>43</v>
      </c>
      <c r="C4913" s="71" t="s">
        <v>1962</v>
      </c>
      <c r="D4913" s="151">
        <v>55</v>
      </c>
      <c r="E4913" s="151">
        <v>45</v>
      </c>
      <c r="F4913" s="112" t="s">
        <v>19</v>
      </c>
      <c r="G4913" s="124">
        <v>45992</v>
      </c>
      <c r="H4913" s="152" t="s">
        <v>3267</v>
      </c>
      <c r="I4913" s="153">
        <v>19050</v>
      </c>
      <c r="J4913" s="73">
        <v>1</v>
      </c>
      <c r="K4913" s="24"/>
      <c r="L4913" s="90">
        <v>0</v>
      </c>
      <c r="M4913" s="24"/>
      <c r="N4913" s="93">
        <f t="shared" si="188"/>
        <v>1</v>
      </c>
      <c r="O4913" s="147">
        <f t="shared" si="189"/>
        <v>19050</v>
      </c>
      <c r="P4913" s="10">
        <v>1484</v>
      </c>
      <c r="Q4913" s="10" t="s">
        <v>1928</v>
      </c>
      <c r="R4913" s="154">
        <f>+テーブル1[[#This Row],[合計金額]]*テーブル1[[#This Row],[自社報酬率％]]/100</f>
        <v>8572.5</v>
      </c>
    </row>
    <row r="4914" spans="1:18">
      <c r="A4914" s="148">
        <v>45992</v>
      </c>
      <c r="B4914" s="149" t="s">
        <v>43</v>
      </c>
      <c r="C4914" s="80" t="s">
        <v>1962</v>
      </c>
      <c r="D4914" s="151">
        <v>55</v>
      </c>
      <c r="E4914" s="151">
        <v>45</v>
      </c>
      <c r="F4914" s="155" t="s">
        <v>19</v>
      </c>
      <c r="G4914" s="156">
        <v>46023</v>
      </c>
      <c r="H4914" s="152" t="s">
        <v>3268</v>
      </c>
      <c r="I4914" s="153">
        <v>19050</v>
      </c>
      <c r="J4914" s="24">
        <v>1</v>
      </c>
      <c r="K4914" s="24"/>
      <c r="L4914" s="91">
        <v>0</v>
      </c>
      <c r="M4914" s="24"/>
      <c r="N4914" s="94">
        <f t="shared" si="188"/>
        <v>1</v>
      </c>
      <c r="O4914" s="147">
        <f t="shared" si="189"/>
        <v>19050</v>
      </c>
      <c r="P4914" s="10">
        <v>1485</v>
      </c>
      <c r="Q4914" s="10" t="s">
        <v>1928</v>
      </c>
      <c r="R4914" s="154">
        <f>+テーブル1[[#This Row],[合計金額]]*テーブル1[[#This Row],[自社報酬率％]]/100</f>
        <v>8572.5</v>
      </c>
    </row>
    <row r="4915" spans="1:18">
      <c r="A4915" s="148">
        <v>45992</v>
      </c>
      <c r="B4915" s="149" t="s">
        <v>43</v>
      </c>
      <c r="C4915" s="80" t="s">
        <v>1962</v>
      </c>
      <c r="D4915" s="151">
        <v>55</v>
      </c>
      <c r="E4915" s="151">
        <v>45</v>
      </c>
      <c r="F4915" s="155" t="s">
        <v>19</v>
      </c>
      <c r="G4915" s="156">
        <v>46054</v>
      </c>
      <c r="H4915" s="152" t="s">
        <v>3269</v>
      </c>
      <c r="I4915" s="153">
        <v>19050</v>
      </c>
      <c r="J4915" s="24">
        <v>1</v>
      </c>
      <c r="K4915" s="24"/>
      <c r="L4915" s="91">
        <v>0</v>
      </c>
      <c r="M4915" s="24"/>
      <c r="N4915" s="94">
        <f t="shared" si="188"/>
        <v>1</v>
      </c>
      <c r="O4915" s="147">
        <f t="shared" si="189"/>
        <v>19050</v>
      </c>
      <c r="P4915" s="10">
        <v>1486</v>
      </c>
      <c r="Q4915" s="10" t="s">
        <v>1928</v>
      </c>
      <c r="R4915" s="154">
        <f>+テーブル1[[#This Row],[合計金額]]*テーブル1[[#This Row],[自社報酬率％]]/100</f>
        <v>8572.5</v>
      </c>
    </row>
    <row r="4916" spans="1:18">
      <c r="A4916" s="148">
        <v>45992</v>
      </c>
      <c r="B4916" s="149" t="s">
        <v>43</v>
      </c>
      <c r="C4916" s="80" t="s">
        <v>1962</v>
      </c>
      <c r="D4916" s="151">
        <v>55</v>
      </c>
      <c r="E4916" s="151">
        <v>45</v>
      </c>
      <c r="F4916" s="155" t="s">
        <v>19</v>
      </c>
      <c r="G4916" s="156">
        <v>46082</v>
      </c>
      <c r="H4916" s="152" t="s">
        <v>3270</v>
      </c>
      <c r="I4916" s="153">
        <v>19050</v>
      </c>
      <c r="J4916" s="24">
        <v>1</v>
      </c>
      <c r="K4916" s="24"/>
      <c r="L4916" s="91">
        <v>0</v>
      </c>
      <c r="M4916" s="24"/>
      <c r="N4916" s="94">
        <f t="shared" si="188"/>
        <v>1</v>
      </c>
      <c r="O4916" s="147">
        <f t="shared" si="189"/>
        <v>19050</v>
      </c>
      <c r="P4916" s="10">
        <v>1487</v>
      </c>
      <c r="Q4916" s="10" t="s">
        <v>1928</v>
      </c>
      <c r="R4916" s="154">
        <f>+テーブル1[[#This Row],[合計金額]]*テーブル1[[#This Row],[自社報酬率％]]/100</f>
        <v>8572.5</v>
      </c>
    </row>
    <row r="4917" spans="1:18">
      <c r="A4917" s="148">
        <v>45992</v>
      </c>
      <c r="B4917" s="149" t="s">
        <v>43</v>
      </c>
      <c r="C4917" s="80" t="s">
        <v>1962</v>
      </c>
      <c r="D4917" s="151">
        <v>55</v>
      </c>
      <c r="E4917" s="151">
        <v>45</v>
      </c>
      <c r="F4917" s="155" t="s">
        <v>19</v>
      </c>
      <c r="G4917" s="156">
        <v>46113</v>
      </c>
      <c r="H4917" s="152" t="s">
        <v>3271</v>
      </c>
      <c r="I4917" s="153">
        <v>19050</v>
      </c>
      <c r="J4917" s="24">
        <v>1</v>
      </c>
      <c r="K4917" s="24"/>
      <c r="L4917" s="91">
        <v>0</v>
      </c>
      <c r="M4917" s="24"/>
      <c r="N4917" s="94">
        <f t="shared" si="188"/>
        <v>1</v>
      </c>
      <c r="O4917" s="147">
        <f t="shared" si="189"/>
        <v>19050</v>
      </c>
      <c r="P4917" s="10">
        <v>1488</v>
      </c>
      <c r="Q4917" s="10" t="s">
        <v>1928</v>
      </c>
      <c r="R4917" s="154">
        <f>+テーブル1[[#This Row],[合計金額]]*テーブル1[[#This Row],[自社報酬率％]]/100</f>
        <v>8572.5</v>
      </c>
    </row>
    <row r="4918" spans="1:18">
      <c r="A4918" s="148">
        <v>45992</v>
      </c>
      <c r="B4918" s="149" t="s">
        <v>43</v>
      </c>
      <c r="C4918" s="81" t="s">
        <v>1962</v>
      </c>
      <c r="D4918" s="151">
        <v>55</v>
      </c>
      <c r="E4918" s="151">
        <v>45</v>
      </c>
      <c r="F4918" s="76" t="s">
        <v>19</v>
      </c>
      <c r="G4918" s="86">
        <v>46143</v>
      </c>
      <c r="H4918" s="152" t="s">
        <v>3272</v>
      </c>
      <c r="I4918" s="153">
        <v>19050</v>
      </c>
      <c r="J4918" s="77">
        <v>1</v>
      </c>
      <c r="K4918" s="24"/>
      <c r="L4918" s="92">
        <v>0</v>
      </c>
      <c r="M4918" s="24"/>
      <c r="N4918" s="95">
        <f t="shared" si="188"/>
        <v>1</v>
      </c>
      <c r="O4918" s="147">
        <f t="shared" si="189"/>
        <v>19050</v>
      </c>
      <c r="P4918" s="10">
        <v>1489</v>
      </c>
      <c r="Q4918" s="10" t="s">
        <v>1928</v>
      </c>
      <c r="R4918" s="154">
        <f>+テーブル1[[#This Row],[合計金額]]*テーブル1[[#This Row],[自社報酬率％]]/100</f>
        <v>8572.5</v>
      </c>
    </row>
    <row r="4919" spans="1:18">
      <c r="A4919" s="148">
        <v>45992</v>
      </c>
      <c r="B4919" s="149" t="s">
        <v>43</v>
      </c>
      <c r="C4919" s="79" t="s">
        <v>1962</v>
      </c>
      <c r="D4919" s="151">
        <v>55</v>
      </c>
      <c r="E4919" s="151">
        <v>45</v>
      </c>
      <c r="F4919" s="72" t="s">
        <v>19</v>
      </c>
      <c r="G4919" s="85">
        <v>46023</v>
      </c>
      <c r="H4919" s="152" t="s">
        <v>3273</v>
      </c>
      <c r="I4919" s="153">
        <v>19050</v>
      </c>
      <c r="J4919" s="73">
        <v>1</v>
      </c>
      <c r="K4919" s="24"/>
      <c r="L4919" s="90">
        <v>0</v>
      </c>
      <c r="M4919" s="24"/>
      <c r="N4919" s="93">
        <f t="shared" si="188"/>
        <v>1</v>
      </c>
      <c r="O4919" s="147">
        <f t="shared" si="189"/>
        <v>19050</v>
      </c>
      <c r="P4919" s="10">
        <v>1490</v>
      </c>
      <c r="Q4919" s="10" t="s">
        <v>1928</v>
      </c>
      <c r="R4919" s="154">
        <f>+テーブル1[[#This Row],[合計金額]]*テーブル1[[#This Row],[自社報酬率％]]/100</f>
        <v>8572.5</v>
      </c>
    </row>
    <row r="4920" spans="1:18">
      <c r="A4920" s="148">
        <v>45992</v>
      </c>
      <c r="B4920" s="149" t="s">
        <v>43</v>
      </c>
      <c r="C4920" s="80" t="s">
        <v>1962</v>
      </c>
      <c r="D4920" s="151">
        <v>55</v>
      </c>
      <c r="E4920" s="151">
        <v>45</v>
      </c>
      <c r="F4920" s="155" t="s">
        <v>19</v>
      </c>
      <c r="G4920" s="156">
        <v>46054</v>
      </c>
      <c r="H4920" s="152" t="s">
        <v>3274</v>
      </c>
      <c r="I4920" s="153">
        <v>19050</v>
      </c>
      <c r="J4920" s="24">
        <v>1</v>
      </c>
      <c r="K4920" s="24"/>
      <c r="L4920" s="91">
        <v>0</v>
      </c>
      <c r="M4920" s="24"/>
      <c r="N4920" s="94">
        <f t="shared" si="188"/>
        <v>1</v>
      </c>
      <c r="O4920" s="147">
        <f t="shared" si="189"/>
        <v>19050</v>
      </c>
      <c r="P4920" s="10">
        <v>1491</v>
      </c>
      <c r="Q4920" s="10" t="s">
        <v>1928</v>
      </c>
      <c r="R4920" s="154">
        <f>+テーブル1[[#This Row],[合計金額]]*テーブル1[[#This Row],[自社報酬率％]]/100</f>
        <v>8572.5</v>
      </c>
    </row>
    <row r="4921" spans="1:18">
      <c r="A4921" s="148">
        <v>45992</v>
      </c>
      <c r="B4921" s="149" t="s">
        <v>43</v>
      </c>
      <c r="C4921" s="80" t="s">
        <v>1962</v>
      </c>
      <c r="D4921" s="151">
        <v>55</v>
      </c>
      <c r="E4921" s="151">
        <v>45</v>
      </c>
      <c r="F4921" s="155" t="s">
        <v>19</v>
      </c>
      <c r="G4921" s="156">
        <v>46082</v>
      </c>
      <c r="H4921" s="152" t="s">
        <v>3275</v>
      </c>
      <c r="I4921" s="153">
        <v>19050</v>
      </c>
      <c r="J4921" s="24">
        <v>1</v>
      </c>
      <c r="K4921" s="24"/>
      <c r="L4921" s="91">
        <v>0</v>
      </c>
      <c r="M4921" s="24"/>
      <c r="N4921" s="94">
        <f t="shared" si="188"/>
        <v>1</v>
      </c>
      <c r="O4921" s="147">
        <f t="shared" si="189"/>
        <v>19050</v>
      </c>
      <c r="P4921" s="10">
        <v>1492</v>
      </c>
      <c r="Q4921" s="10" t="s">
        <v>1928</v>
      </c>
      <c r="R4921" s="154">
        <f>+テーブル1[[#This Row],[合計金額]]*テーブル1[[#This Row],[自社報酬率％]]/100</f>
        <v>8572.5</v>
      </c>
    </row>
    <row r="4922" spans="1:18">
      <c r="A4922" s="148">
        <v>45992</v>
      </c>
      <c r="B4922" s="149" t="s">
        <v>43</v>
      </c>
      <c r="C4922" s="80" t="s">
        <v>1962</v>
      </c>
      <c r="D4922" s="151">
        <v>55</v>
      </c>
      <c r="E4922" s="151">
        <v>45</v>
      </c>
      <c r="F4922" s="155" t="s">
        <v>19</v>
      </c>
      <c r="G4922" s="156">
        <v>46113</v>
      </c>
      <c r="H4922" s="152" t="s">
        <v>3276</v>
      </c>
      <c r="I4922" s="153">
        <v>19050</v>
      </c>
      <c r="J4922" s="24">
        <v>1</v>
      </c>
      <c r="K4922" s="24"/>
      <c r="L4922" s="91">
        <v>0</v>
      </c>
      <c r="M4922" s="24"/>
      <c r="N4922" s="94">
        <f t="shared" si="188"/>
        <v>1</v>
      </c>
      <c r="O4922" s="147">
        <f t="shared" si="189"/>
        <v>19050</v>
      </c>
      <c r="P4922" s="10">
        <v>1493</v>
      </c>
      <c r="Q4922" s="10" t="s">
        <v>1928</v>
      </c>
      <c r="R4922" s="154">
        <f>+テーブル1[[#This Row],[合計金額]]*テーブル1[[#This Row],[自社報酬率％]]/100</f>
        <v>8572.5</v>
      </c>
    </row>
    <row r="4923" spans="1:18">
      <c r="A4923" s="148">
        <v>45992</v>
      </c>
      <c r="B4923" s="149" t="s">
        <v>43</v>
      </c>
      <c r="C4923" s="80" t="s">
        <v>1962</v>
      </c>
      <c r="D4923" s="151">
        <v>55</v>
      </c>
      <c r="E4923" s="151">
        <v>45</v>
      </c>
      <c r="F4923" s="155" t="s">
        <v>19</v>
      </c>
      <c r="G4923" s="156">
        <v>46143</v>
      </c>
      <c r="H4923" s="152" t="s">
        <v>3277</v>
      </c>
      <c r="I4923" s="153">
        <v>19050</v>
      </c>
      <c r="J4923" s="24">
        <v>1</v>
      </c>
      <c r="K4923" s="24"/>
      <c r="L4923" s="91">
        <v>0</v>
      </c>
      <c r="M4923" s="24"/>
      <c r="N4923" s="94">
        <f t="shared" ref="N4923:N4965" si="190">J4923-L4923</f>
        <v>1</v>
      </c>
      <c r="O4923" s="147">
        <f t="shared" ref="O4923:O4972" si="191">+I4923*N4923</f>
        <v>19050</v>
      </c>
      <c r="P4923" s="10">
        <v>1494</v>
      </c>
      <c r="Q4923" s="10" t="s">
        <v>1928</v>
      </c>
      <c r="R4923" s="154">
        <f>+テーブル1[[#This Row],[合計金額]]*テーブル1[[#This Row],[自社報酬率％]]/100</f>
        <v>8572.5</v>
      </c>
    </row>
    <row r="4924" spans="1:18">
      <c r="A4924" s="148">
        <v>45992</v>
      </c>
      <c r="B4924" s="149" t="s">
        <v>43</v>
      </c>
      <c r="C4924" s="81" t="s">
        <v>1962</v>
      </c>
      <c r="D4924" s="151">
        <v>55</v>
      </c>
      <c r="E4924" s="151">
        <v>45</v>
      </c>
      <c r="F4924" s="76" t="s">
        <v>19</v>
      </c>
      <c r="G4924" s="86">
        <v>46174</v>
      </c>
      <c r="H4924" s="152" t="s">
        <v>3278</v>
      </c>
      <c r="I4924" s="153">
        <v>19050</v>
      </c>
      <c r="J4924" s="77">
        <v>1</v>
      </c>
      <c r="K4924" s="24"/>
      <c r="L4924" s="92">
        <v>0</v>
      </c>
      <c r="M4924" s="24"/>
      <c r="N4924" s="95">
        <f t="shared" si="190"/>
        <v>1</v>
      </c>
      <c r="O4924" s="147">
        <f t="shared" si="191"/>
        <v>19050</v>
      </c>
      <c r="P4924" s="10">
        <v>1495</v>
      </c>
      <c r="Q4924" s="10" t="s">
        <v>1928</v>
      </c>
      <c r="R4924" s="154">
        <f>+テーブル1[[#This Row],[合計金額]]*テーブル1[[#This Row],[自社報酬率％]]/100</f>
        <v>8572.5</v>
      </c>
    </row>
    <row r="4925" spans="1:18">
      <c r="A4925" s="148">
        <v>45992</v>
      </c>
      <c r="B4925" s="149" t="s">
        <v>43</v>
      </c>
      <c r="C4925" s="155" t="s">
        <v>1962</v>
      </c>
      <c r="D4925" s="151">
        <v>55</v>
      </c>
      <c r="E4925" s="151">
        <v>45</v>
      </c>
      <c r="F4925" s="155" t="s">
        <v>16</v>
      </c>
      <c r="G4925" s="156">
        <v>46023</v>
      </c>
      <c r="H4925" s="152" t="s">
        <v>3279</v>
      </c>
      <c r="I4925" s="153">
        <v>10485</v>
      </c>
      <c r="J4925" s="24">
        <v>51</v>
      </c>
      <c r="K4925" s="24"/>
      <c r="L4925" s="91">
        <v>0</v>
      </c>
      <c r="M4925" s="24"/>
      <c r="N4925" s="12">
        <f t="shared" si="190"/>
        <v>51</v>
      </c>
      <c r="O4925" s="147">
        <f t="shared" si="191"/>
        <v>534735</v>
      </c>
      <c r="P4925" s="10">
        <v>1496</v>
      </c>
      <c r="Q4925" s="10" t="s">
        <v>1928</v>
      </c>
      <c r="R4925" s="154">
        <f>+テーブル1[[#This Row],[合計金額]]*テーブル1[[#This Row],[自社報酬率％]]/100</f>
        <v>240630.75</v>
      </c>
    </row>
    <row r="4926" spans="1:18">
      <c r="A4926" s="148">
        <v>45992</v>
      </c>
      <c r="B4926" s="149" t="s">
        <v>43</v>
      </c>
      <c r="C4926" s="155" t="s">
        <v>1962</v>
      </c>
      <c r="D4926" s="151">
        <v>55</v>
      </c>
      <c r="E4926" s="151">
        <v>45</v>
      </c>
      <c r="F4926" s="155" t="s">
        <v>16</v>
      </c>
      <c r="G4926" s="156">
        <v>46023</v>
      </c>
      <c r="H4926" s="152" t="s">
        <v>3280</v>
      </c>
      <c r="I4926" s="153">
        <v>20970</v>
      </c>
      <c r="J4926" s="24">
        <v>55</v>
      </c>
      <c r="K4926" s="24"/>
      <c r="L4926" s="91">
        <v>0</v>
      </c>
      <c r="M4926" s="24"/>
      <c r="N4926" s="12">
        <f t="shared" si="190"/>
        <v>55</v>
      </c>
      <c r="O4926" s="147">
        <f t="shared" si="191"/>
        <v>1153350</v>
      </c>
      <c r="P4926" s="10">
        <v>1497</v>
      </c>
      <c r="Q4926" s="10" t="s">
        <v>1928</v>
      </c>
      <c r="R4926" s="154">
        <f>+テーブル1[[#This Row],[合計金額]]*テーブル1[[#This Row],[自社報酬率％]]/100</f>
        <v>519007.5</v>
      </c>
    </row>
    <row r="4927" spans="1:18">
      <c r="A4927" s="148">
        <v>45992</v>
      </c>
      <c r="B4927" s="149" t="s">
        <v>43</v>
      </c>
      <c r="C4927" s="155" t="s">
        <v>1962</v>
      </c>
      <c r="D4927" s="151">
        <v>55</v>
      </c>
      <c r="E4927" s="151">
        <v>45</v>
      </c>
      <c r="F4927" s="155" t="s">
        <v>16</v>
      </c>
      <c r="G4927" s="156">
        <v>46023</v>
      </c>
      <c r="H4927" s="152" t="s">
        <v>3281</v>
      </c>
      <c r="I4927" s="153">
        <v>20970</v>
      </c>
      <c r="J4927" s="24">
        <v>5</v>
      </c>
      <c r="K4927" s="24"/>
      <c r="L4927" s="91">
        <v>0</v>
      </c>
      <c r="M4927" s="24"/>
      <c r="N4927" s="12">
        <f t="shared" si="190"/>
        <v>5</v>
      </c>
      <c r="O4927" s="147">
        <f t="shared" si="191"/>
        <v>104850</v>
      </c>
      <c r="P4927" s="10">
        <v>1498</v>
      </c>
      <c r="Q4927" s="10" t="s">
        <v>1928</v>
      </c>
      <c r="R4927" s="154">
        <f>+テーブル1[[#This Row],[合計金額]]*テーブル1[[#This Row],[自社報酬率％]]/100</f>
        <v>47182.5</v>
      </c>
    </row>
    <row r="4928" spans="1:18">
      <c r="A4928" s="148">
        <v>45992</v>
      </c>
      <c r="B4928" s="149" t="s">
        <v>43</v>
      </c>
      <c r="C4928" s="155" t="s">
        <v>1962</v>
      </c>
      <c r="D4928" s="151">
        <v>55</v>
      </c>
      <c r="E4928" s="151">
        <v>45</v>
      </c>
      <c r="F4928" s="155" t="s">
        <v>16</v>
      </c>
      <c r="G4928" s="156">
        <v>46023</v>
      </c>
      <c r="H4928" s="152" t="s">
        <v>3282</v>
      </c>
      <c r="I4928" s="153">
        <v>20970</v>
      </c>
      <c r="J4928" s="24">
        <v>24</v>
      </c>
      <c r="K4928" s="24"/>
      <c r="L4928" s="91">
        <v>0</v>
      </c>
      <c r="M4928" s="24"/>
      <c r="N4928" s="12">
        <f t="shared" si="190"/>
        <v>24</v>
      </c>
      <c r="O4928" s="147">
        <f t="shared" si="191"/>
        <v>503280</v>
      </c>
      <c r="P4928" s="10">
        <v>1499</v>
      </c>
      <c r="Q4928" s="10" t="s">
        <v>1928</v>
      </c>
      <c r="R4928" s="154">
        <f>+テーブル1[[#This Row],[合計金額]]*テーブル1[[#This Row],[自社報酬率％]]/100</f>
        <v>226476</v>
      </c>
    </row>
    <row r="4929" spans="1:18">
      <c r="A4929" s="148">
        <v>45992</v>
      </c>
      <c r="B4929" s="149" t="s">
        <v>43</v>
      </c>
      <c r="C4929" s="155" t="s">
        <v>2023</v>
      </c>
      <c r="D4929" s="151">
        <v>50</v>
      </c>
      <c r="E4929" s="151">
        <v>50</v>
      </c>
      <c r="F4929" s="155" t="s">
        <v>16</v>
      </c>
      <c r="G4929" s="156">
        <v>46023</v>
      </c>
      <c r="H4929" s="152" t="s">
        <v>3283</v>
      </c>
      <c r="I4929" s="153">
        <v>3150</v>
      </c>
      <c r="J4929" s="24">
        <v>16</v>
      </c>
      <c r="K4929" s="24"/>
      <c r="L4929" s="91">
        <v>0</v>
      </c>
      <c r="M4929" s="24"/>
      <c r="N4929" s="12">
        <f t="shared" si="190"/>
        <v>16</v>
      </c>
      <c r="O4929" s="147">
        <f t="shared" si="191"/>
        <v>50400</v>
      </c>
      <c r="P4929" s="10">
        <v>1500</v>
      </c>
      <c r="Q4929" s="10" t="s">
        <v>1928</v>
      </c>
      <c r="R4929" s="154">
        <f>+テーブル1[[#This Row],[合計金額]]*テーブル1[[#This Row],[自社報酬率％]]/100</f>
        <v>25200</v>
      </c>
    </row>
    <row r="4930" spans="1:18">
      <c r="A4930" s="148">
        <v>45992</v>
      </c>
      <c r="B4930" s="149" t="s">
        <v>43</v>
      </c>
      <c r="C4930" s="157" t="s">
        <v>2375</v>
      </c>
      <c r="D4930" s="151">
        <v>50</v>
      </c>
      <c r="E4930" s="151">
        <v>50</v>
      </c>
      <c r="F4930" s="157" t="s">
        <v>3284</v>
      </c>
      <c r="G4930" s="158">
        <v>45992</v>
      </c>
      <c r="H4930" s="152" t="s">
        <v>3285</v>
      </c>
      <c r="I4930" s="153">
        <v>363000</v>
      </c>
      <c r="J4930" s="24">
        <v>70</v>
      </c>
      <c r="K4930" s="24"/>
      <c r="L4930" s="91">
        <v>0</v>
      </c>
      <c r="M4930" s="24"/>
      <c r="N4930" s="12">
        <f t="shared" si="190"/>
        <v>70</v>
      </c>
      <c r="O4930" s="147">
        <f t="shared" si="191"/>
        <v>25410000</v>
      </c>
      <c r="P4930" s="10">
        <v>1501</v>
      </c>
      <c r="Q4930" s="10" t="s">
        <v>1928</v>
      </c>
      <c r="R4930" s="154">
        <f>+テーブル1[[#This Row],[合計金額]]*テーブル1[[#This Row],[自社報酬率％]]/100</f>
        <v>12705000</v>
      </c>
    </row>
    <row r="4931" spans="1:18">
      <c r="A4931" s="148">
        <v>45992</v>
      </c>
      <c r="B4931" s="149" t="s">
        <v>43</v>
      </c>
      <c r="C4931" s="82" t="s">
        <v>2212</v>
      </c>
      <c r="D4931" s="151">
        <v>10</v>
      </c>
      <c r="E4931" s="151">
        <v>90</v>
      </c>
      <c r="F4931" s="82" t="s">
        <v>29</v>
      </c>
      <c r="G4931" s="87">
        <v>45992</v>
      </c>
      <c r="H4931" s="152" t="s">
        <v>2953</v>
      </c>
      <c r="I4931" s="153">
        <v>9800</v>
      </c>
      <c r="J4931" s="77">
        <v>1</v>
      </c>
      <c r="K4931" s="24"/>
      <c r="L4931" s="92">
        <v>0</v>
      </c>
      <c r="M4931" s="24"/>
      <c r="N4931" s="96">
        <f t="shared" si="190"/>
        <v>1</v>
      </c>
      <c r="O4931" s="147">
        <f t="shared" si="191"/>
        <v>9800</v>
      </c>
      <c r="P4931" s="10">
        <v>1502</v>
      </c>
      <c r="Q4931" s="10" t="s">
        <v>1928</v>
      </c>
      <c r="R4931" s="154">
        <f>+テーブル1[[#This Row],[合計金額]]*テーブル1[[#This Row],[自社報酬率％]]/100</f>
        <v>8820</v>
      </c>
    </row>
    <row r="4932" spans="1:18">
      <c r="A4932" s="148">
        <v>45992</v>
      </c>
      <c r="B4932" s="149" t="s">
        <v>46</v>
      </c>
      <c r="C4932" s="150" t="s">
        <v>44</v>
      </c>
      <c r="D4932" s="151">
        <v>100</v>
      </c>
      <c r="E4932" s="151">
        <v>100</v>
      </c>
      <c r="F4932" s="112" t="s">
        <v>17</v>
      </c>
      <c r="G4932" s="124">
        <v>45992</v>
      </c>
      <c r="H4932" s="152" t="s">
        <v>1930</v>
      </c>
      <c r="I4932" s="153">
        <v>359700</v>
      </c>
      <c r="J4932" s="73">
        <v>1</v>
      </c>
      <c r="K4932" s="24"/>
      <c r="L4932" s="90">
        <v>0</v>
      </c>
      <c r="M4932" s="24"/>
      <c r="N4932" s="146">
        <f t="shared" si="190"/>
        <v>1</v>
      </c>
      <c r="O4932" s="147">
        <f t="shared" si="191"/>
        <v>359700</v>
      </c>
      <c r="P4932" s="10">
        <v>1503</v>
      </c>
      <c r="Q4932" s="10" t="s">
        <v>1928</v>
      </c>
      <c r="R4932" s="154">
        <f>+テーブル1[[#This Row],[合計金額]]*テーブル1[[#This Row],[自社報酬率％]]/100</f>
        <v>359700</v>
      </c>
    </row>
    <row r="4933" spans="1:18">
      <c r="A4933" s="148">
        <v>45992</v>
      </c>
      <c r="B4933" s="149" t="s">
        <v>46</v>
      </c>
      <c r="C4933" s="150" t="s">
        <v>44</v>
      </c>
      <c r="D4933" s="151">
        <v>100</v>
      </c>
      <c r="E4933" s="151">
        <v>100</v>
      </c>
      <c r="F4933" s="112" t="s">
        <v>17</v>
      </c>
      <c r="G4933" s="124">
        <v>45992</v>
      </c>
      <c r="H4933" s="152" t="s">
        <v>3286</v>
      </c>
      <c r="I4933" s="153">
        <v>8074</v>
      </c>
      <c r="J4933" s="73">
        <v>1</v>
      </c>
      <c r="K4933" s="24"/>
      <c r="L4933" s="90">
        <v>0</v>
      </c>
      <c r="M4933" s="24"/>
      <c r="N4933" s="93">
        <f t="shared" si="190"/>
        <v>1</v>
      </c>
      <c r="O4933" s="147">
        <f t="shared" si="191"/>
        <v>8074</v>
      </c>
      <c r="P4933" s="10">
        <v>1504</v>
      </c>
      <c r="Q4933" s="10" t="s">
        <v>1928</v>
      </c>
      <c r="R4933" s="154">
        <f>+テーブル1[[#This Row],[合計金額]]*テーブル1[[#This Row],[自社報酬率％]]/100</f>
        <v>8074</v>
      </c>
    </row>
    <row r="4934" spans="1:18">
      <c r="A4934" s="148">
        <v>45992</v>
      </c>
      <c r="B4934" s="149" t="s">
        <v>46</v>
      </c>
      <c r="C4934" s="150" t="s">
        <v>44</v>
      </c>
      <c r="D4934" s="151">
        <v>100</v>
      </c>
      <c r="E4934" s="151">
        <v>100</v>
      </c>
      <c r="F4934" s="155" t="s">
        <v>17</v>
      </c>
      <c r="G4934" s="156">
        <v>46023</v>
      </c>
      <c r="H4934" s="152" t="s">
        <v>3287</v>
      </c>
      <c r="I4934" s="153">
        <v>8066</v>
      </c>
      <c r="J4934" s="24">
        <v>1</v>
      </c>
      <c r="K4934" s="24"/>
      <c r="L4934" s="91">
        <v>0</v>
      </c>
      <c r="M4934" s="24"/>
      <c r="N4934" s="94">
        <f t="shared" si="190"/>
        <v>1</v>
      </c>
      <c r="O4934" s="147">
        <f t="shared" si="191"/>
        <v>8066</v>
      </c>
      <c r="P4934" s="10">
        <v>1505</v>
      </c>
      <c r="Q4934" s="10" t="s">
        <v>1928</v>
      </c>
      <c r="R4934" s="154">
        <f>+テーブル1[[#This Row],[合計金額]]*テーブル1[[#This Row],[自社報酬率％]]/100</f>
        <v>8066</v>
      </c>
    </row>
    <row r="4935" spans="1:18">
      <c r="A4935" s="148">
        <v>45992</v>
      </c>
      <c r="B4935" s="149" t="s">
        <v>46</v>
      </c>
      <c r="C4935" s="150" t="s">
        <v>44</v>
      </c>
      <c r="D4935" s="151">
        <v>100</v>
      </c>
      <c r="E4935" s="151">
        <v>100</v>
      </c>
      <c r="F4935" s="155" t="s">
        <v>17</v>
      </c>
      <c r="G4935" s="156">
        <v>46054</v>
      </c>
      <c r="H4935" s="152" t="s">
        <v>3288</v>
      </c>
      <c r="I4935" s="153">
        <v>8066</v>
      </c>
      <c r="J4935" s="24">
        <v>1</v>
      </c>
      <c r="K4935" s="24"/>
      <c r="L4935" s="91">
        <v>0</v>
      </c>
      <c r="M4935" s="24"/>
      <c r="N4935" s="94">
        <f t="shared" si="190"/>
        <v>1</v>
      </c>
      <c r="O4935" s="147">
        <f t="shared" si="191"/>
        <v>8066</v>
      </c>
      <c r="P4935" s="10">
        <v>1506</v>
      </c>
      <c r="Q4935" s="10" t="s">
        <v>1928</v>
      </c>
      <c r="R4935" s="154">
        <f>+テーブル1[[#This Row],[合計金額]]*テーブル1[[#This Row],[自社報酬率％]]/100</f>
        <v>8066</v>
      </c>
    </row>
    <row r="4936" spans="1:18">
      <c r="A4936" s="148">
        <v>45992</v>
      </c>
      <c r="B4936" s="149" t="s">
        <v>46</v>
      </c>
      <c r="C4936" s="150" t="s">
        <v>44</v>
      </c>
      <c r="D4936" s="151">
        <v>100</v>
      </c>
      <c r="E4936" s="151">
        <v>100</v>
      </c>
      <c r="F4936" s="155" t="s">
        <v>17</v>
      </c>
      <c r="G4936" s="156">
        <v>46082</v>
      </c>
      <c r="H4936" s="152" t="s">
        <v>3289</v>
      </c>
      <c r="I4936" s="153">
        <v>8066</v>
      </c>
      <c r="J4936" s="24">
        <v>1</v>
      </c>
      <c r="K4936" s="24"/>
      <c r="L4936" s="91">
        <v>0</v>
      </c>
      <c r="M4936" s="24"/>
      <c r="N4936" s="94">
        <f t="shared" si="190"/>
        <v>1</v>
      </c>
      <c r="O4936" s="147">
        <f t="shared" si="191"/>
        <v>8066</v>
      </c>
      <c r="P4936" s="10">
        <v>1507</v>
      </c>
      <c r="Q4936" s="10" t="s">
        <v>1928</v>
      </c>
      <c r="R4936" s="154">
        <f>+テーブル1[[#This Row],[合計金額]]*テーブル1[[#This Row],[自社報酬率％]]/100</f>
        <v>8066</v>
      </c>
    </row>
    <row r="4937" spans="1:18">
      <c r="A4937" s="148">
        <v>45992</v>
      </c>
      <c r="B4937" s="149" t="s">
        <v>46</v>
      </c>
      <c r="C4937" s="150" t="s">
        <v>44</v>
      </c>
      <c r="D4937" s="151">
        <v>100</v>
      </c>
      <c r="E4937" s="151">
        <v>100</v>
      </c>
      <c r="F4937" s="155" t="s">
        <v>17</v>
      </c>
      <c r="G4937" s="156">
        <v>46113</v>
      </c>
      <c r="H4937" s="152" t="s">
        <v>3290</v>
      </c>
      <c r="I4937" s="153">
        <v>8066</v>
      </c>
      <c r="J4937" s="24">
        <v>1</v>
      </c>
      <c r="K4937" s="24"/>
      <c r="L4937" s="91">
        <v>0</v>
      </c>
      <c r="M4937" s="24"/>
      <c r="N4937" s="94">
        <f t="shared" si="190"/>
        <v>1</v>
      </c>
      <c r="O4937" s="147">
        <f t="shared" si="191"/>
        <v>8066</v>
      </c>
      <c r="P4937" s="10">
        <v>1508</v>
      </c>
      <c r="Q4937" s="10" t="s">
        <v>1928</v>
      </c>
      <c r="R4937" s="154">
        <f>+テーブル1[[#This Row],[合計金額]]*テーブル1[[#This Row],[自社報酬率％]]/100</f>
        <v>8066</v>
      </c>
    </row>
    <row r="4938" spans="1:18">
      <c r="A4938" s="148">
        <v>45992</v>
      </c>
      <c r="B4938" s="149" t="s">
        <v>46</v>
      </c>
      <c r="C4938" s="150" t="s">
        <v>44</v>
      </c>
      <c r="D4938" s="151">
        <v>100</v>
      </c>
      <c r="E4938" s="151">
        <v>100</v>
      </c>
      <c r="F4938" s="155" t="s">
        <v>17</v>
      </c>
      <c r="G4938" s="156">
        <v>46143</v>
      </c>
      <c r="H4938" s="152" t="s">
        <v>3291</v>
      </c>
      <c r="I4938" s="153">
        <v>8066</v>
      </c>
      <c r="J4938" s="24">
        <v>1</v>
      </c>
      <c r="K4938" s="24"/>
      <c r="L4938" s="91">
        <v>0</v>
      </c>
      <c r="M4938" s="24"/>
      <c r="N4938" s="94">
        <f t="shared" si="190"/>
        <v>1</v>
      </c>
      <c r="O4938" s="147">
        <f t="shared" si="191"/>
        <v>8066</v>
      </c>
      <c r="P4938" s="10">
        <v>1509</v>
      </c>
      <c r="Q4938" s="10" t="s">
        <v>1928</v>
      </c>
      <c r="R4938" s="154">
        <f>+テーブル1[[#This Row],[合計金額]]*テーブル1[[#This Row],[自社報酬率％]]/100</f>
        <v>8066</v>
      </c>
    </row>
    <row r="4939" spans="1:18">
      <c r="A4939" s="148">
        <v>45992</v>
      </c>
      <c r="B4939" s="149" t="s">
        <v>46</v>
      </c>
      <c r="C4939" s="150" t="s">
        <v>44</v>
      </c>
      <c r="D4939" s="151">
        <v>100</v>
      </c>
      <c r="E4939" s="151">
        <v>100</v>
      </c>
      <c r="F4939" s="155" t="s">
        <v>17</v>
      </c>
      <c r="G4939" s="156">
        <v>46174</v>
      </c>
      <c r="H4939" s="152" t="s">
        <v>3292</v>
      </c>
      <c r="I4939" s="153">
        <v>8066</v>
      </c>
      <c r="J4939" s="24">
        <v>1</v>
      </c>
      <c r="K4939" s="24"/>
      <c r="L4939" s="91">
        <v>0</v>
      </c>
      <c r="M4939" s="24"/>
      <c r="N4939" s="94">
        <f t="shared" si="190"/>
        <v>1</v>
      </c>
      <c r="O4939" s="147">
        <f t="shared" si="191"/>
        <v>8066</v>
      </c>
      <c r="P4939" s="10">
        <v>1510</v>
      </c>
      <c r="Q4939" s="10" t="s">
        <v>1928</v>
      </c>
      <c r="R4939" s="154">
        <f>+テーブル1[[#This Row],[合計金額]]*テーブル1[[#This Row],[自社報酬率％]]/100</f>
        <v>8066</v>
      </c>
    </row>
    <row r="4940" spans="1:18">
      <c r="A4940" s="148">
        <v>45992</v>
      </c>
      <c r="B4940" s="149" t="s">
        <v>46</v>
      </c>
      <c r="C4940" s="150" t="s">
        <v>44</v>
      </c>
      <c r="D4940" s="151">
        <v>100</v>
      </c>
      <c r="E4940" s="151">
        <v>100</v>
      </c>
      <c r="F4940" s="155" t="s">
        <v>17</v>
      </c>
      <c r="G4940" s="156">
        <v>46204</v>
      </c>
      <c r="H4940" s="152" t="s">
        <v>3293</v>
      </c>
      <c r="I4940" s="153">
        <v>8066</v>
      </c>
      <c r="J4940" s="24">
        <v>1</v>
      </c>
      <c r="K4940" s="24"/>
      <c r="L4940" s="91">
        <v>0</v>
      </c>
      <c r="M4940" s="24"/>
      <c r="N4940" s="94">
        <f t="shared" si="190"/>
        <v>1</v>
      </c>
      <c r="O4940" s="147">
        <f t="shared" si="191"/>
        <v>8066</v>
      </c>
      <c r="P4940" s="10">
        <v>1511</v>
      </c>
      <c r="Q4940" s="10" t="s">
        <v>1928</v>
      </c>
      <c r="R4940" s="154">
        <f>+テーブル1[[#This Row],[合計金額]]*テーブル1[[#This Row],[自社報酬率％]]/100</f>
        <v>8066</v>
      </c>
    </row>
    <row r="4941" spans="1:18">
      <c r="A4941" s="148">
        <v>45992</v>
      </c>
      <c r="B4941" s="149" t="s">
        <v>46</v>
      </c>
      <c r="C4941" s="150" t="s">
        <v>44</v>
      </c>
      <c r="D4941" s="151">
        <v>100</v>
      </c>
      <c r="E4941" s="151">
        <v>100</v>
      </c>
      <c r="F4941" s="155" t="s">
        <v>17</v>
      </c>
      <c r="G4941" s="156">
        <v>46235</v>
      </c>
      <c r="H4941" s="152" t="s">
        <v>3294</v>
      </c>
      <c r="I4941" s="153">
        <v>8066</v>
      </c>
      <c r="J4941" s="24">
        <v>1</v>
      </c>
      <c r="K4941" s="24"/>
      <c r="L4941" s="91">
        <v>0</v>
      </c>
      <c r="M4941" s="24"/>
      <c r="N4941" s="94">
        <f t="shared" si="190"/>
        <v>1</v>
      </c>
      <c r="O4941" s="147">
        <f t="shared" si="191"/>
        <v>8066</v>
      </c>
      <c r="P4941" s="10">
        <v>1512</v>
      </c>
      <c r="Q4941" s="10" t="s">
        <v>1928</v>
      </c>
      <c r="R4941" s="154">
        <f>+テーブル1[[#This Row],[合計金額]]*テーブル1[[#This Row],[自社報酬率％]]/100</f>
        <v>8066</v>
      </c>
    </row>
    <row r="4942" spans="1:18">
      <c r="A4942" s="148">
        <v>45992</v>
      </c>
      <c r="B4942" s="149" t="s">
        <v>46</v>
      </c>
      <c r="C4942" s="150" t="s">
        <v>44</v>
      </c>
      <c r="D4942" s="151">
        <v>100</v>
      </c>
      <c r="E4942" s="151">
        <v>100</v>
      </c>
      <c r="F4942" s="155" t="s">
        <v>17</v>
      </c>
      <c r="G4942" s="156">
        <v>46266</v>
      </c>
      <c r="H4942" s="152" t="s">
        <v>3295</v>
      </c>
      <c r="I4942" s="153">
        <v>8066</v>
      </c>
      <c r="J4942" s="24">
        <v>1</v>
      </c>
      <c r="K4942" s="24"/>
      <c r="L4942" s="91">
        <v>0</v>
      </c>
      <c r="M4942" s="24"/>
      <c r="N4942" s="94">
        <f t="shared" si="190"/>
        <v>1</v>
      </c>
      <c r="O4942" s="147">
        <f t="shared" si="191"/>
        <v>8066</v>
      </c>
      <c r="P4942" s="10">
        <v>1513</v>
      </c>
      <c r="Q4942" s="10" t="s">
        <v>1928</v>
      </c>
      <c r="R4942" s="154">
        <f>+テーブル1[[#This Row],[合計金額]]*テーブル1[[#This Row],[自社報酬率％]]/100</f>
        <v>8066</v>
      </c>
    </row>
    <row r="4943" spans="1:18">
      <c r="A4943" s="148">
        <v>45992</v>
      </c>
      <c r="B4943" s="149" t="s">
        <v>46</v>
      </c>
      <c r="C4943" s="150" t="s">
        <v>44</v>
      </c>
      <c r="D4943" s="151">
        <v>100</v>
      </c>
      <c r="E4943" s="151">
        <v>100</v>
      </c>
      <c r="F4943" s="155" t="s">
        <v>17</v>
      </c>
      <c r="G4943" s="156">
        <v>46296</v>
      </c>
      <c r="H4943" s="152" t="s">
        <v>3296</v>
      </c>
      <c r="I4943" s="153">
        <v>8066</v>
      </c>
      <c r="J4943" s="24">
        <v>1</v>
      </c>
      <c r="K4943" s="24"/>
      <c r="L4943" s="91">
        <v>0</v>
      </c>
      <c r="M4943" s="24"/>
      <c r="N4943" s="94">
        <f t="shared" si="190"/>
        <v>1</v>
      </c>
      <c r="O4943" s="147">
        <f t="shared" si="191"/>
        <v>8066</v>
      </c>
      <c r="P4943" s="10">
        <v>1514</v>
      </c>
      <c r="Q4943" s="10" t="s">
        <v>1928</v>
      </c>
      <c r="R4943" s="154">
        <f>+テーブル1[[#This Row],[合計金額]]*テーブル1[[#This Row],[自社報酬率％]]/100</f>
        <v>8066</v>
      </c>
    </row>
    <row r="4944" spans="1:18">
      <c r="A4944" s="148">
        <v>45992</v>
      </c>
      <c r="B4944" s="149" t="s">
        <v>46</v>
      </c>
      <c r="C4944" s="150" t="s">
        <v>44</v>
      </c>
      <c r="D4944" s="151">
        <v>100</v>
      </c>
      <c r="E4944" s="151">
        <v>100</v>
      </c>
      <c r="F4944" s="76" t="s">
        <v>17</v>
      </c>
      <c r="G4944" s="86">
        <v>46327</v>
      </c>
      <c r="H4944" s="152" t="s">
        <v>3297</v>
      </c>
      <c r="I4944" s="153">
        <v>8066</v>
      </c>
      <c r="J4944" s="77">
        <v>1</v>
      </c>
      <c r="K4944" s="24"/>
      <c r="L4944" s="92">
        <v>0</v>
      </c>
      <c r="M4944" s="24"/>
      <c r="N4944" s="95">
        <f t="shared" si="190"/>
        <v>1</v>
      </c>
      <c r="O4944" s="147">
        <f t="shared" si="191"/>
        <v>8066</v>
      </c>
      <c r="P4944" s="10">
        <v>1515</v>
      </c>
      <c r="Q4944" s="10" t="s">
        <v>1928</v>
      </c>
      <c r="R4944" s="154">
        <f>+テーブル1[[#This Row],[合計金額]]*テーブル1[[#This Row],[自社報酬率％]]/100</f>
        <v>8066</v>
      </c>
    </row>
    <row r="4945" spans="1:18">
      <c r="A4945" s="148">
        <v>45992</v>
      </c>
      <c r="B4945" s="149" t="s">
        <v>46</v>
      </c>
      <c r="C4945" s="150" t="s">
        <v>44</v>
      </c>
      <c r="D4945" s="151">
        <v>100</v>
      </c>
      <c r="E4945" s="151">
        <v>100</v>
      </c>
      <c r="F4945" s="157" t="s">
        <v>17</v>
      </c>
      <c r="G4945" s="158">
        <v>45992</v>
      </c>
      <c r="H4945" s="152" t="s">
        <v>3032</v>
      </c>
      <c r="I4945" s="153">
        <v>286000</v>
      </c>
      <c r="J4945" s="24">
        <v>2</v>
      </c>
      <c r="K4945" s="24"/>
      <c r="L4945" s="91">
        <v>0</v>
      </c>
      <c r="M4945" s="24"/>
      <c r="N4945" s="12">
        <f t="shared" si="190"/>
        <v>2</v>
      </c>
      <c r="O4945" s="147">
        <f t="shared" si="191"/>
        <v>572000</v>
      </c>
      <c r="P4945" s="10">
        <v>1516</v>
      </c>
      <c r="Q4945" s="10" t="s">
        <v>1928</v>
      </c>
      <c r="R4945" s="154">
        <f>+テーブル1[[#This Row],[合計金額]]*テーブル1[[#This Row],[自社報酬率％]]/100</f>
        <v>572000</v>
      </c>
    </row>
    <row r="4946" spans="1:18">
      <c r="A4946" s="148">
        <v>45992</v>
      </c>
      <c r="B4946" s="149" t="s">
        <v>46</v>
      </c>
      <c r="C4946" s="150" t="s">
        <v>44</v>
      </c>
      <c r="D4946" s="151">
        <v>100</v>
      </c>
      <c r="E4946" s="151">
        <v>100</v>
      </c>
      <c r="F4946" s="112" t="s">
        <v>17</v>
      </c>
      <c r="G4946" s="124">
        <v>45992</v>
      </c>
      <c r="H4946" s="152" t="s">
        <v>3298</v>
      </c>
      <c r="I4946" s="153">
        <v>8900</v>
      </c>
      <c r="J4946" s="73">
        <v>1</v>
      </c>
      <c r="K4946" s="24"/>
      <c r="L4946" s="90">
        <v>0</v>
      </c>
      <c r="M4946" s="24"/>
      <c r="N4946" s="93">
        <f t="shared" si="190"/>
        <v>1</v>
      </c>
      <c r="O4946" s="147">
        <f t="shared" si="191"/>
        <v>8900</v>
      </c>
      <c r="P4946" s="10">
        <v>1517</v>
      </c>
      <c r="Q4946" s="10" t="s">
        <v>1928</v>
      </c>
      <c r="R4946" s="154">
        <f>+テーブル1[[#This Row],[合計金額]]*テーブル1[[#This Row],[自社報酬率％]]/100</f>
        <v>8900</v>
      </c>
    </row>
    <row r="4947" spans="1:18">
      <c r="A4947" s="148">
        <v>45992</v>
      </c>
      <c r="B4947" s="149" t="s">
        <v>46</v>
      </c>
      <c r="C4947" s="150" t="s">
        <v>44</v>
      </c>
      <c r="D4947" s="151">
        <v>100</v>
      </c>
      <c r="E4947" s="151">
        <v>100</v>
      </c>
      <c r="F4947" s="155" t="s">
        <v>17</v>
      </c>
      <c r="G4947" s="156">
        <v>46023</v>
      </c>
      <c r="H4947" s="152" t="s">
        <v>3299</v>
      </c>
      <c r="I4947" s="153">
        <v>8900</v>
      </c>
      <c r="J4947" s="24">
        <v>1</v>
      </c>
      <c r="K4947" s="24"/>
      <c r="L4947" s="91">
        <v>0</v>
      </c>
      <c r="M4947" s="24"/>
      <c r="N4947" s="94">
        <f t="shared" si="190"/>
        <v>1</v>
      </c>
      <c r="O4947" s="147">
        <f t="shared" si="191"/>
        <v>8900</v>
      </c>
      <c r="P4947" s="10">
        <v>1518</v>
      </c>
      <c r="Q4947" s="10" t="s">
        <v>1928</v>
      </c>
      <c r="R4947" s="154">
        <f>+テーブル1[[#This Row],[合計金額]]*テーブル1[[#This Row],[自社報酬率％]]/100</f>
        <v>8900</v>
      </c>
    </row>
    <row r="4948" spans="1:18">
      <c r="A4948" s="148">
        <v>45992</v>
      </c>
      <c r="B4948" s="149" t="s">
        <v>46</v>
      </c>
      <c r="C4948" s="150" t="s">
        <v>44</v>
      </c>
      <c r="D4948" s="151">
        <v>100</v>
      </c>
      <c r="E4948" s="151">
        <v>100</v>
      </c>
      <c r="F4948" s="155" t="s">
        <v>17</v>
      </c>
      <c r="G4948" s="156">
        <v>46054</v>
      </c>
      <c r="H4948" s="152" t="s">
        <v>3300</v>
      </c>
      <c r="I4948" s="153">
        <v>8900</v>
      </c>
      <c r="J4948" s="24">
        <v>1</v>
      </c>
      <c r="K4948" s="24"/>
      <c r="L4948" s="91">
        <v>0</v>
      </c>
      <c r="M4948" s="24"/>
      <c r="N4948" s="94">
        <f t="shared" si="190"/>
        <v>1</v>
      </c>
      <c r="O4948" s="147">
        <f t="shared" si="191"/>
        <v>8900</v>
      </c>
      <c r="P4948" s="10">
        <v>1519</v>
      </c>
      <c r="Q4948" s="10" t="s">
        <v>1928</v>
      </c>
      <c r="R4948" s="154">
        <f>+テーブル1[[#This Row],[合計金額]]*テーブル1[[#This Row],[自社報酬率％]]/100</f>
        <v>8900</v>
      </c>
    </row>
    <row r="4949" spans="1:18">
      <c r="A4949" s="148">
        <v>45992</v>
      </c>
      <c r="B4949" s="149" t="s">
        <v>46</v>
      </c>
      <c r="C4949" s="150" t="s">
        <v>44</v>
      </c>
      <c r="D4949" s="151">
        <v>100</v>
      </c>
      <c r="E4949" s="151">
        <v>100</v>
      </c>
      <c r="F4949" s="155" t="s">
        <v>17</v>
      </c>
      <c r="G4949" s="156">
        <v>46082</v>
      </c>
      <c r="H4949" s="152" t="s">
        <v>3301</v>
      </c>
      <c r="I4949" s="153">
        <v>8900</v>
      </c>
      <c r="J4949" s="24">
        <v>1</v>
      </c>
      <c r="K4949" s="24"/>
      <c r="L4949" s="91">
        <v>0</v>
      </c>
      <c r="M4949" s="24"/>
      <c r="N4949" s="94">
        <f t="shared" si="190"/>
        <v>1</v>
      </c>
      <c r="O4949" s="147">
        <f t="shared" si="191"/>
        <v>8900</v>
      </c>
      <c r="P4949" s="10">
        <v>1520</v>
      </c>
      <c r="Q4949" s="10" t="s">
        <v>1928</v>
      </c>
      <c r="R4949" s="154">
        <f>+テーブル1[[#This Row],[合計金額]]*テーブル1[[#This Row],[自社報酬率％]]/100</f>
        <v>8900</v>
      </c>
    </row>
    <row r="4950" spans="1:18">
      <c r="A4950" s="148">
        <v>45992</v>
      </c>
      <c r="B4950" s="149" t="s">
        <v>46</v>
      </c>
      <c r="C4950" s="150" t="s">
        <v>44</v>
      </c>
      <c r="D4950" s="151">
        <v>100</v>
      </c>
      <c r="E4950" s="151">
        <v>100</v>
      </c>
      <c r="F4950" s="155" t="s">
        <v>17</v>
      </c>
      <c r="G4950" s="156">
        <v>46113</v>
      </c>
      <c r="H4950" s="152" t="s">
        <v>3302</v>
      </c>
      <c r="I4950" s="153">
        <v>8900</v>
      </c>
      <c r="J4950" s="24">
        <v>1</v>
      </c>
      <c r="K4950" s="24"/>
      <c r="L4950" s="91">
        <v>0</v>
      </c>
      <c r="M4950" s="24"/>
      <c r="N4950" s="94">
        <f t="shared" si="190"/>
        <v>1</v>
      </c>
      <c r="O4950" s="147">
        <f t="shared" si="191"/>
        <v>8900</v>
      </c>
      <c r="P4950" s="10">
        <v>1521</v>
      </c>
      <c r="Q4950" s="10" t="s">
        <v>1928</v>
      </c>
      <c r="R4950" s="154">
        <f>+テーブル1[[#This Row],[合計金額]]*テーブル1[[#This Row],[自社報酬率％]]/100</f>
        <v>8900</v>
      </c>
    </row>
    <row r="4951" spans="1:18">
      <c r="A4951" s="148">
        <v>45992</v>
      </c>
      <c r="B4951" s="149" t="s">
        <v>46</v>
      </c>
      <c r="C4951" s="150" t="s">
        <v>44</v>
      </c>
      <c r="D4951" s="151">
        <v>100</v>
      </c>
      <c r="E4951" s="151">
        <v>100</v>
      </c>
      <c r="F4951" s="76" t="s">
        <v>17</v>
      </c>
      <c r="G4951" s="86">
        <v>46143</v>
      </c>
      <c r="H4951" s="152" t="s">
        <v>3303</v>
      </c>
      <c r="I4951" s="153">
        <v>8900</v>
      </c>
      <c r="J4951" s="77">
        <v>1</v>
      </c>
      <c r="K4951" s="24"/>
      <c r="L4951" s="92">
        <v>0</v>
      </c>
      <c r="M4951" s="24"/>
      <c r="N4951" s="95">
        <f t="shared" si="190"/>
        <v>1</v>
      </c>
      <c r="O4951" s="147">
        <f t="shared" si="191"/>
        <v>8900</v>
      </c>
      <c r="P4951" s="10">
        <v>1522</v>
      </c>
      <c r="Q4951" s="10" t="s">
        <v>1928</v>
      </c>
      <c r="R4951" s="154">
        <f>+テーブル1[[#This Row],[合計金額]]*テーブル1[[#This Row],[自社報酬率％]]/100</f>
        <v>8900</v>
      </c>
    </row>
    <row r="4952" spans="1:18">
      <c r="A4952" s="148">
        <v>45992</v>
      </c>
      <c r="B4952" s="149" t="s">
        <v>46</v>
      </c>
      <c r="C4952" s="79" t="s">
        <v>1962</v>
      </c>
      <c r="D4952" s="151">
        <v>50</v>
      </c>
      <c r="E4952" s="151">
        <v>50</v>
      </c>
      <c r="F4952" s="72" t="s">
        <v>18</v>
      </c>
      <c r="G4952" s="85">
        <v>46023</v>
      </c>
      <c r="H4952" s="152" t="s">
        <v>187</v>
      </c>
      <c r="I4952" s="153">
        <v>14500</v>
      </c>
      <c r="J4952" s="73">
        <v>1</v>
      </c>
      <c r="K4952" s="24"/>
      <c r="L4952" s="90">
        <v>0</v>
      </c>
      <c r="M4952" s="24"/>
      <c r="N4952" s="93">
        <f t="shared" si="190"/>
        <v>1</v>
      </c>
      <c r="O4952" s="147">
        <f t="shared" si="191"/>
        <v>14500</v>
      </c>
      <c r="P4952" s="10">
        <v>1523</v>
      </c>
      <c r="Q4952" s="10" t="s">
        <v>1928</v>
      </c>
      <c r="R4952" s="154">
        <f>+テーブル1[[#This Row],[合計金額]]*テーブル1[[#This Row],[自社報酬率％]]/100</f>
        <v>7250</v>
      </c>
    </row>
    <row r="4953" spans="1:18">
      <c r="A4953" s="148">
        <v>45992</v>
      </c>
      <c r="B4953" s="149" t="s">
        <v>46</v>
      </c>
      <c r="C4953" s="80" t="s">
        <v>1962</v>
      </c>
      <c r="D4953" s="151">
        <v>50</v>
      </c>
      <c r="E4953" s="151">
        <v>50</v>
      </c>
      <c r="F4953" s="155" t="s">
        <v>18</v>
      </c>
      <c r="G4953" s="156">
        <v>46054</v>
      </c>
      <c r="H4953" s="152" t="s">
        <v>3304</v>
      </c>
      <c r="I4953" s="153">
        <v>14500</v>
      </c>
      <c r="J4953" s="24">
        <v>1</v>
      </c>
      <c r="K4953" s="24"/>
      <c r="L4953" s="91">
        <v>0</v>
      </c>
      <c r="M4953" s="24"/>
      <c r="N4953" s="94">
        <f t="shared" si="190"/>
        <v>1</v>
      </c>
      <c r="O4953" s="147">
        <f t="shared" si="191"/>
        <v>14500</v>
      </c>
      <c r="P4953" s="10">
        <v>1524</v>
      </c>
      <c r="Q4953" s="10" t="s">
        <v>1928</v>
      </c>
      <c r="R4953" s="154">
        <f>+テーブル1[[#This Row],[合計金額]]*テーブル1[[#This Row],[自社報酬率％]]/100</f>
        <v>7250</v>
      </c>
    </row>
    <row r="4954" spans="1:18">
      <c r="A4954" s="148">
        <v>45992</v>
      </c>
      <c r="B4954" s="149" t="s">
        <v>46</v>
      </c>
      <c r="C4954" s="81" t="s">
        <v>1962</v>
      </c>
      <c r="D4954" s="151">
        <v>50</v>
      </c>
      <c r="E4954" s="151">
        <v>50</v>
      </c>
      <c r="F4954" s="76" t="s">
        <v>18</v>
      </c>
      <c r="G4954" s="86">
        <v>46082</v>
      </c>
      <c r="H4954" s="152" t="s">
        <v>3305</v>
      </c>
      <c r="I4954" s="153">
        <v>14500</v>
      </c>
      <c r="J4954" s="77">
        <v>1</v>
      </c>
      <c r="K4954" s="24"/>
      <c r="L4954" s="92">
        <v>0</v>
      </c>
      <c r="M4954" s="24"/>
      <c r="N4954" s="95">
        <f t="shared" si="190"/>
        <v>1</v>
      </c>
      <c r="O4954" s="147">
        <f t="shared" si="191"/>
        <v>14500</v>
      </c>
      <c r="P4954" s="10">
        <v>1525</v>
      </c>
      <c r="Q4954" s="10" t="s">
        <v>1928</v>
      </c>
      <c r="R4954" s="154">
        <f>+テーブル1[[#This Row],[合計金額]]*テーブル1[[#This Row],[自社報酬率％]]/100</f>
        <v>7250</v>
      </c>
    </row>
    <row r="4955" spans="1:18">
      <c r="A4955" s="148">
        <v>45992</v>
      </c>
      <c r="B4955" s="149" t="s">
        <v>46</v>
      </c>
      <c r="C4955" s="79" t="s">
        <v>1962</v>
      </c>
      <c r="D4955" s="151">
        <v>55</v>
      </c>
      <c r="E4955" s="151">
        <v>45</v>
      </c>
      <c r="F4955" s="72" t="s">
        <v>18</v>
      </c>
      <c r="G4955" s="85">
        <v>46023</v>
      </c>
      <c r="H4955" s="152" t="s">
        <v>186</v>
      </c>
      <c r="I4955" s="153">
        <v>19800</v>
      </c>
      <c r="J4955" s="73">
        <v>3</v>
      </c>
      <c r="K4955" s="24"/>
      <c r="L4955" s="90">
        <v>0</v>
      </c>
      <c r="M4955" s="24"/>
      <c r="N4955" s="93">
        <f t="shared" si="190"/>
        <v>3</v>
      </c>
      <c r="O4955" s="147">
        <f t="shared" si="191"/>
        <v>59400</v>
      </c>
      <c r="P4955" s="10">
        <v>1526</v>
      </c>
      <c r="Q4955" s="10" t="s">
        <v>1928</v>
      </c>
      <c r="R4955" s="154">
        <f>+テーブル1[[#This Row],[合計金額]]*テーブル1[[#This Row],[自社報酬率％]]/100</f>
        <v>26730</v>
      </c>
    </row>
    <row r="4956" spans="1:18">
      <c r="A4956" s="148">
        <v>45992</v>
      </c>
      <c r="B4956" s="149" t="s">
        <v>46</v>
      </c>
      <c r="C4956" s="80" t="s">
        <v>1962</v>
      </c>
      <c r="D4956" s="151">
        <v>55</v>
      </c>
      <c r="E4956" s="151">
        <v>45</v>
      </c>
      <c r="F4956" s="155" t="s">
        <v>18</v>
      </c>
      <c r="G4956" s="156">
        <v>46054</v>
      </c>
      <c r="H4956" s="152" t="s">
        <v>3306</v>
      </c>
      <c r="I4956" s="153">
        <v>19800</v>
      </c>
      <c r="J4956" s="24">
        <v>3</v>
      </c>
      <c r="K4956" s="24"/>
      <c r="L4956" s="91">
        <v>0</v>
      </c>
      <c r="M4956" s="24"/>
      <c r="N4956" s="94">
        <f t="shared" si="190"/>
        <v>3</v>
      </c>
      <c r="O4956" s="147">
        <f t="shared" si="191"/>
        <v>59400</v>
      </c>
      <c r="P4956" s="10">
        <v>1527</v>
      </c>
      <c r="Q4956" s="10" t="s">
        <v>1928</v>
      </c>
      <c r="R4956" s="154">
        <f>+テーブル1[[#This Row],[合計金額]]*テーブル1[[#This Row],[自社報酬率％]]/100</f>
        <v>26730</v>
      </c>
    </row>
    <row r="4957" spans="1:18">
      <c r="A4957" s="148">
        <v>45992</v>
      </c>
      <c r="B4957" s="149" t="s">
        <v>46</v>
      </c>
      <c r="C4957" s="81" t="s">
        <v>1962</v>
      </c>
      <c r="D4957" s="151">
        <v>55</v>
      </c>
      <c r="E4957" s="151">
        <v>45</v>
      </c>
      <c r="F4957" s="76" t="s">
        <v>18</v>
      </c>
      <c r="G4957" s="86">
        <v>46082</v>
      </c>
      <c r="H4957" s="152" t="s">
        <v>3307</v>
      </c>
      <c r="I4957" s="153">
        <v>19800</v>
      </c>
      <c r="J4957" s="77">
        <v>3</v>
      </c>
      <c r="K4957" s="24"/>
      <c r="L4957" s="92">
        <v>0</v>
      </c>
      <c r="M4957" s="24"/>
      <c r="N4957" s="95">
        <f t="shared" si="190"/>
        <v>3</v>
      </c>
      <c r="O4957" s="147">
        <f t="shared" si="191"/>
        <v>59400</v>
      </c>
      <c r="P4957" s="10">
        <v>1528</v>
      </c>
      <c r="Q4957" s="10" t="s">
        <v>1928</v>
      </c>
      <c r="R4957" s="154">
        <f>+テーブル1[[#This Row],[合計金額]]*テーブル1[[#This Row],[自社報酬率％]]/100</f>
        <v>26730</v>
      </c>
    </row>
    <row r="4958" spans="1:18">
      <c r="A4958" s="148">
        <v>45992</v>
      </c>
      <c r="B4958" s="149" t="s">
        <v>46</v>
      </c>
      <c r="C4958" s="79" t="s">
        <v>1962</v>
      </c>
      <c r="D4958" s="151">
        <v>55</v>
      </c>
      <c r="E4958" s="151">
        <v>45</v>
      </c>
      <c r="F4958" s="72" t="s">
        <v>19</v>
      </c>
      <c r="G4958" s="85">
        <v>46023</v>
      </c>
      <c r="H4958" s="152" t="s">
        <v>183</v>
      </c>
      <c r="I4958" s="153">
        <v>19050</v>
      </c>
      <c r="J4958" s="73">
        <v>20</v>
      </c>
      <c r="K4958" s="24"/>
      <c r="L4958" s="90">
        <v>0</v>
      </c>
      <c r="M4958" s="24"/>
      <c r="N4958" s="93">
        <f t="shared" si="190"/>
        <v>20</v>
      </c>
      <c r="O4958" s="147">
        <f t="shared" si="191"/>
        <v>381000</v>
      </c>
      <c r="P4958" s="10">
        <v>1529</v>
      </c>
      <c r="Q4958" s="10" t="s">
        <v>1928</v>
      </c>
      <c r="R4958" s="154">
        <f>+テーブル1[[#This Row],[合計金額]]*テーブル1[[#This Row],[自社報酬率％]]/100</f>
        <v>171450</v>
      </c>
    </row>
    <row r="4959" spans="1:18">
      <c r="A4959" s="148">
        <v>45992</v>
      </c>
      <c r="B4959" s="149" t="s">
        <v>46</v>
      </c>
      <c r="C4959" s="80" t="s">
        <v>1962</v>
      </c>
      <c r="D4959" s="151">
        <v>55</v>
      </c>
      <c r="E4959" s="151">
        <v>45</v>
      </c>
      <c r="F4959" s="155" t="s">
        <v>19</v>
      </c>
      <c r="G4959" s="156">
        <v>46054</v>
      </c>
      <c r="H4959" s="152" t="s">
        <v>3308</v>
      </c>
      <c r="I4959" s="153">
        <v>19050</v>
      </c>
      <c r="J4959" s="24">
        <v>20</v>
      </c>
      <c r="K4959" s="24"/>
      <c r="L4959" s="91">
        <v>0</v>
      </c>
      <c r="M4959" s="24"/>
      <c r="N4959" s="94">
        <f t="shared" si="190"/>
        <v>20</v>
      </c>
      <c r="O4959" s="147">
        <f t="shared" si="191"/>
        <v>381000</v>
      </c>
      <c r="P4959" s="10">
        <v>1530</v>
      </c>
      <c r="Q4959" s="10" t="s">
        <v>1928</v>
      </c>
      <c r="R4959" s="154">
        <f>+テーブル1[[#This Row],[合計金額]]*テーブル1[[#This Row],[自社報酬率％]]/100</f>
        <v>171450</v>
      </c>
    </row>
    <row r="4960" spans="1:18">
      <c r="A4960" s="148">
        <v>45992</v>
      </c>
      <c r="B4960" s="149" t="s">
        <v>46</v>
      </c>
      <c r="C4960" s="80" t="s">
        <v>1962</v>
      </c>
      <c r="D4960" s="151">
        <v>55</v>
      </c>
      <c r="E4960" s="151">
        <v>45</v>
      </c>
      <c r="F4960" s="155" t="s">
        <v>19</v>
      </c>
      <c r="G4960" s="156">
        <v>46082</v>
      </c>
      <c r="H4960" s="152" t="s">
        <v>3309</v>
      </c>
      <c r="I4960" s="153">
        <v>19050</v>
      </c>
      <c r="J4960" s="24">
        <v>20</v>
      </c>
      <c r="K4960" s="24"/>
      <c r="L4960" s="91">
        <v>0</v>
      </c>
      <c r="M4960" s="24"/>
      <c r="N4960" s="94">
        <f t="shared" si="190"/>
        <v>20</v>
      </c>
      <c r="O4960" s="147">
        <f t="shared" si="191"/>
        <v>381000</v>
      </c>
      <c r="P4960" s="10">
        <v>1531</v>
      </c>
      <c r="Q4960" s="10" t="s">
        <v>1928</v>
      </c>
      <c r="R4960" s="154">
        <f>+テーブル1[[#This Row],[合計金額]]*テーブル1[[#This Row],[自社報酬率％]]/100</f>
        <v>171450</v>
      </c>
    </row>
    <row r="4961" spans="1:18">
      <c r="A4961" s="148">
        <v>45992</v>
      </c>
      <c r="B4961" s="149" t="s">
        <v>46</v>
      </c>
      <c r="C4961" s="80" t="s">
        <v>1962</v>
      </c>
      <c r="D4961" s="151">
        <v>55</v>
      </c>
      <c r="E4961" s="151">
        <v>45</v>
      </c>
      <c r="F4961" s="155" t="s">
        <v>19</v>
      </c>
      <c r="G4961" s="156">
        <v>46113</v>
      </c>
      <c r="H4961" s="152" t="s">
        <v>3310</v>
      </c>
      <c r="I4961" s="153">
        <v>19050</v>
      </c>
      <c r="J4961" s="24">
        <v>20</v>
      </c>
      <c r="K4961" s="24"/>
      <c r="L4961" s="91">
        <v>0</v>
      </c>
      <c r="M4961" s="24"/>
      <c r="N4961" s="94">
        <f t="shared" si="190"/>
        <v>20</v>
      </c>
      <c r="O4961" s="147">
        <f t="shared" si="191"/>
        <v>381000</v>
      </c>
      <c r="P4961" s="10">
        <v>1532</v>
      </c>
      <c r="Q4961" s="10" t="s">
        <v>1928</v>
      </c>
      <c r="R4961" s="154">
        <f>+テーブル1[[#This Row],[合計金額]]*テーブル1[[#This Row],[自社報酬率％]]/100</f>
        <v>171450</v>
      </c>
    </row>
    <row r="4962" spans="1:18">
      <c r="A4962" s="148">
        <v>45992</v>
      </c>
      <c r="B4962" s="149" t="s">
        <v>46</v>
      </c>
      <c r="C4962" s="80" t="s">
        <v>1962</v>
      </c>
      <c r="D4962" s="151">
        <v>55</v>
      </c>
      <c r="E4962" s="151">
        <v>45</v>
      </c>
      <c r="F4962" s="155" t="s">
        <v>19</v>
      </c>
      <c r="G4962" s="156">
        <v>46143</v>
      </c>
      <c r="H4962" s="152" t="s">
        <v>3311</v>
      </c>
      <c r="I4962" s="153">
        <v>19050</v>
      </c>
      <c r="J4962" s="24">
        <v>20</v>
      </c>
      <c r="K4962" s="24"/>
      <c r="L4962" s="91">
        <v>0</v>
      </c>
      <c r="M4962" s="24"/>
      <c r="N4962" s="94">
        <f t="shared" si="190"/>
        <v>20</v>
      </c>
      <c r="O4962" s="147">
        <f t="shared" si="191"/>
        <v>381000</v>
      </c>
      <c r="P4962" s="10">
        <v>1533</v>
      </c>
      <c r="Q4962" s="10" t="s">
        <v>1928</v>
      </c>
      <c r="R4962" s="154">
        <f>+テーブル1[[#This Row],[合計金額]]*テーブル1[[#This Row],[自社報酬率％]]/100</f>
        <v>171450</v>
      </c>
    </row>
    <row r="4963" spans="1:18">
      <c r="A4963" s="148">
        <v>45992</v>
      </c>
      <c r="B4963" s="149" t="s">
        <v>46</v>
      </c>
      <c r="C4963" s="81" t="s">
        <v>1962</v>
      </c>
      <c r="D4963" s="151">
        <v>55</v>
      </c>
      <c r="E4963" s="151">
        <v>45</v>
      </c>
      <c r="F4963" s="76" t="s">
        <v>19</v>
      </c>
      <c r="G4963" s="86">
        <v>46174</v>
      </c>
      <c r="H4963" s="152" t="s">
        <v>3312</v>
      </c>
      <c r="I4963" s="153">
        <v>19050</v>
      </c>
      <c r="J4963" s="77">
        <v>20</v>
      </c>
      <c r="K4963" s="24"/>
      <c r="L4963" s="92">
        <v>0</v>
      </c>
      <c r="M4963" s="24"/>
      <c r="N4963" s="95">
        <f t="shared" si="190"/>
        <v>20</v>
      </c>
      <c r="O4963" s="147">
        <f t="shared" si="191"/>
        <v>381000</v>
      </c>
      <c r="P4963" s="10">
        <v>1534</v>
      </c>
      <c r="Q4963" s="10" t="s">
        <v>1928</v>
      </c>
      <c r="R4963" s="154">
        <f>+テーブル1[[#This Row],[合計金額]]*テーブル1[[#This Row],[自社報酬率％]]/100</f>
        <v>171450</v>
      </c>
    </row>
    <row r="4964" spans="1:18">
      <c r="A4964" s="148">
        <v>45992</v>
      </c>
      <c r="B4964" s="149" t="s">
        <v>43</v>
      </c>
      <c r="C4964" s="155" t="s">
        <v>2043</v>
      </c>
      <c r="D4964" s="151">
        <v>60</v>
      </c>
      <c r="E4964" s="151">
        <v>40</v>
      </c>
      <c r="F4964" s="155" t="s">
        <v>16</v>
      </c>
      <c r="G4964" s="156">
        <v>46023</v>
      </c>
      <c r="H4964" s="152" t="s">
        <v>3313</v>
      </c>
      <c r="I4964" s="153">
        <v>10780</v>
      </c>
      <c r="J4964" s="24">
        <v>3</v>
      </c>
      <c r="K4964" s="24"/>
      <c r="L4964" s="91">
        <v>0</v>
      </c>
      <c r="M4964" s="24"/>
      <c r="N4964" s="12">
        <f t="shared" si="190"/>
        <v>3</v>
      </c>
      <c r="O4964" s="147">
        <f t="shared" si="191"/>
        <v>32340</v>
      </c>
      <c r="P4964" s="10">
        <v>1535</v>
      </c>
      <c r="Q4964" s="10" t="s">
        <v>1928</v>
      </c>
      <c r="R4964" s="154">
        <f>+テーブル1[[#This Row],[合計金額]]*テーブル1[[#This Row],[自社報酬率％]]/100</f>
        <v>12936</v>
      </c>
    </row>
    <row r="4965" spans="1:18">
      <c r="A4965" s="148">
        <v>45992</v>
      </c>
      <c r="B4965" s="149" t="s">
        <v>43</v>
      </c>
      <c r="C4965" s="155" t="s">
        <v>2045</v>
      </c>
      <c r="D4965" s="151">
        <v>40</v>
      </c>
      <c r="E4965" s="151">
        <v>60</v>
      </c>
      <c r="F4965" s="155" t="s">
        <v>16</v>
      </c>
      <c r="G4965" s="156">
        <v>46023</v>
      </c>
      <c r="H4965" s="152" t="s">
        <v>3314</v>
      </c>
      <c r="I4965" s="153">
        <v>16500</v>
      </c>
      <c r="J4965" s="24">
        <v>3</v>
      </c>
      <c r="K4965" s="24"/>
      <c r="L4965" s="91">
        <v>0</v>
      </c>
      <c r="M4965" s="24"/>
      <c r="N4965" s="12">
        <f t="shared" si="190"/>
        <v>3</v>
      </c>
      <c r="O4965" s="147">
        <f t="shared" si="191"/>
        <v>49500</v>
      </c>
      <c r="P4965" s="10">
        <v>1536</v>
      </c>
      <c r="Q4965" s="10" t="s">
        <v>1928</v>
      </c>
      <c r="R4965" s="154">
        <f>+テーブル1[[#This Row],[合計金額]]*テーブル1[[#This Row],[自社報酬率％]]/100</f>
        <v>29700</v>
      </c>
    </row>
    <row r="4966" spans="1:18">
      <c r="A4966" s="148">
        <v>45992</v>
      </c>
      <c r="B4966" s="149" t="s">
        <v>14</v>
      </c>
      <c r="C4966" s="155" t="s">
        <v>2043</v>
      </c>
      <c r="D4966" s="151">
        <v>60</v>
      </c>
      <c r="E4966" s="151">
        <v>40</v>
      </c>
      <c r="F4966" s="155" t="s">
        <v>16</v>
      </c>
      <c r="G4966" s="156">
        <v>46023</v>
      </c>
      <c r="H4966" s="152" t="s">
        <v>3315</v>
      </c>
      <c r="I4966" s="153">
        <v>10780</v>
      </c>
      <c r="J4966" s="24">
        <v>1</v>
      </c>
      <c r="K4966" s="24">
        <v>0</v>
      </c>
      <c r="L4966" s="91">
        <v>0</v>
      </c>
      <c r="M4966" s="24">
        <v>0</v>
      </c>
      <c r="N4966" s="12">
        <f t="shared" ref="N4966:N5029" si="192">J4966-K4966-L4966-M4966</f>
        <v>1</v>
      </c>
      <c r="O4966" s="147">
        <f t="shared" si="191"/>
        <v>10780</v>
      </c>
      <c r="P4966" s="10">
        <v>99</v>
      </c>
      <c r="Q4966" s="10" t="s">
        <v>1928</v>
      </c>
      <c r="R4966" s="154">
        <f>+テーブル1[[#This Row],[合計金額]]*テーブル1[[#This Row],[自社報酬率％]]/100</f>
        <v>4312</v>
      </c>
    </row>
    <row r="4967" spans="1:18">
      <c r="A4967" s="148">
        <v>45992</v>
      </c>
      <c r="B4967" s="149" t="s">
        <v>14</v>
      </c>
      <c r="C4967" s="155" t="s">
        <v>1962</v>
      </c>
      <c r="D4967" s="151">
        <v>50</v>
      </c>
      <c r="E4967" s="151">
        <v>50</v>
      </c>
      <c r="F4967" s="155" t="s">
        <v>16</v>
      </c>
      <c r="G4967" s="156">
        <v>46023</v>
      </c>
      <c r="H4967" s="152" t="s">
        <v>3226</v>
      </c>
      <c r="I4967" s="153">
        <v>13200</v>
      </c>
      <c r="J4967" s="24">
        <v>9</v>
      </c>
      <c r="K4967" s="24">
        <v>0</v>
      </c>
      <c r="L4967" s="91">
        <v>0</v>
      </c>
      <c r="M4967" s="24">
        <v>0</v>
      </c>
      <c r="N4967" s="12">
        <f t="shared" si="192"/>
        <v>9</v>
      </c>
      <c r="O4967" s="147">
        <f t="shared" si="191"/>
        <v>118800</v>
      </c>
      <c r="P4967" s="10">
        <v>100</v>
      </c>
      <c r="Q4967" s="10" t="s">
        <v>1928</v>
      </c>
      <c r="R4967" s="154">
        <f>+テーブル1[[#This Row],[合計金額]]*テーブル1[[#This Row],[自社報酬率％]]/100</f>
        <v>59400</v>
      </c>
    </row>
    <row r="4968" spans="1:18">
      <c r="A4968" s="148">
        <v>45992</v>
      </c>
      <c r="B4968" s="149" t="s">
        <v>14</v>
      </c>
      <c r="C4968" s="155" t="s">
        <v>1962</v>
      </c>
      <c r="D4968" s="151">
        <v>50</v>
      </c>
      <c r="E4968" s="151">
        <v>50</v>
      </c>
      <c r="F4968" s="155" t="s">
        <v>16</v>
      </c>
      <c r="G4968" s="156">
        <v>46023</v>
      </c>
      <c r="H4968" s="152" t="s">
        <v>3226</v>
      </c>
      <c r="I4968" s="153">
        <v>14500</v>
      </c>
      <c r="J4968" s="24">
        <v>10</v>
      </c>
      <c r="K4968" s="24">
        <v>0</v>
      </c>
      <c r="L4968" s="91">
        <v>0</v>
      </c>
      <c r="M4968" s="24">
        <v>0</v>
      </c>
      <c r="N4968" s="12">
        <f t="shared" si="192"/>
        <v>10</v>
      </c>
      <c r="O4968" s="147">
        <f t="shared" si="191"/>
        <v>145000</v>
      </c>
      <c r="P4968" s="10">
        <v>101</v>
      </c>
      <c r="Q4968" s="10" t="s">
        <v>1928</v>
      </c>
      <c r="R4968" s="154">
        <f>+テーブル1[[#This Row],[合計金額]]*テーブル1[[#This Row],[自社報酬率％]]/100</f>
        <v>72500</v>
      </c>
    </row>
    <row r="4969" spans="1:18">
      <c r="A4969" s="148">
        <v>45992</v>
      </c>
      <c r="B4969" s="149" t="s">
        <v>14</v>
      </c>
      <c r="C4969" s="155" t="s">
        <v>2023</v>
      </c>
      <c r="D4969" s="151">
        <v>50</v>
      </c>
      <c r="E4969" s="151">
        <v>50</v>
      </c>
      <c r="F4969" s="155" t="s">
        <v>16</v>
      </c>
      <c r="G4969" s="156">
        <v>46023</v>
      </c>
      <c r="H4969" s="152" t="s">
        <v>3283</v>
      </c>
      <c r="I4969" s="153">
        <v>3150</v>
      </c>
      <c r="J4969" s="24">
        <v>18</v>
      </c>
      <c r="K4969" s="24">
        <v>0</v>
      </c>
      <c r="L4969" s="91">
        <v>0</v>
      </c>
      <c r="M4969" s="24">
        <v>0</v>
      </c>
      <c r="N4969" s="12">
        <f t="shared" si="192"/>
        <v>18</v>
      </c>
      <c r="O4969" s="147">
        <f t="shared" si="191"/>
        <v>56700</v>
      </c>
      <c r="P4969" s="10">
        <v>102</v>
      </c>
      <c r="Q4969" s="10" t="s">
        <v>1928</v>
      </c>
      <c r="R4969" s="154">
        <f>+テーブル1[[#This Row],[合計金額]]*テーブル1[[#This Row],[自社報酬率％]]/100</f>
        <v>28350</v>
      </c>
    </row>
    <row r="4970" spans="1:18">
      <c r="A4970" s="148">
        <v>45992</v>
      </c>
      <c r="B4970" s="149" t="s">
        <v>14</v>
      </c>
      <c r="C4970" s="155" t="s">
        <v>2023</v>
      </c>
      <c r="D4970" s="151">
        <v>50</v>
      </c>
      <c r="E4970" s="151">
        <v>50</v>
      </c>
      <c r="F4970" s="155" t="s">
        <v>16</v>
      </c>
      <c r="G4970" s="156">
        <v>46023</v>
      </c>
      <c r="H4970" s="152" t="s">
        <v>3283</v>
      </c>
      <c r="I4970" s="153">
        <v>4980</v>
      </c>
      <c r="J4970" s="24">
        <v>2</v>
      </c>
      <c r="K4970" s="24">
        <v>0</v>
      </c>
      <c r="L4970" s="91">
        <v>0</v>
      </c>
      <c r="M4970" s="24">
        <v>0</v>
      </c>
      <c r="N4970" s="12">
        <f t="shared" si="192"/>
        <v>2</v>
      </c>
      <c r="O4970" s="147">
        <f t="shared" si="191"/>
        <v>9960</v>
      </c>
      <c r="P4970" s="10">
        <v>103</v>
      </c>
      <c r="Q4970" s="10" t="s">
        <v>1928</v>
      </c>
      <c r="R4970" s="154">
        <f>+テーブル1[[#This Row],[合計金額]]*テーブル1[[#This Row],[自社報酬率％]]/100</f>
        <v>4980</v>
      </c>
    </row>
    <row r="4971" spans="1:18">
      <c r="A4971" s="148">
        <v>45992</v>
      </c>
      <c r="B4971" s="149" t="s">
        <v>14</v>
      </c>
      <c r="C4971" s="155" t="s">
        <v>2045</v>
      </c>
      <c r="D4971" s="151">
        <v>40</v>
      </c>
      <c r="E4971" s="151">
        <v>60</v>
      </c>
      <c r="F4971" s="155" t="s">
        <v>16</v>
      </c>
      <c r="G4971" s="156">
        <v>46023</v>
      </c>
      <c r="H4971" s="152" t="s">
        <v>3314</v>
      </c>
      <c r="I4971" s="153">
        <v>16500</v>
      </c>
      <c r="J4971" s="24">
        <v>2</v>
      </c>
      <c r="K4971" s="24">
        <v>0</v>
      </c>
      <c r="L4971" s="91">
        <v>0</v>
      </c>
      <c r="M4971" s="24">
        <v>0</v>
      </c>
      <c r="N4971" s="12">
        <f t="shared" si="192"/>
        <v>2</v>
      </c>
      <c r="O4971" s="147">
        <f t="shared" si="191"/>
        <v>33000</v>
      </c>
      <c r="P4971" s="10">
        <v>104</v>
      </c>
      <c r="Q4971" s="10" t="s">
        <v>1928</v>
      </c>
      <c r="R4971" s="154">
        <f>+テーブル1[[#This Row],[合計金額]]*テーブル1[[#This Row],[自社報酬率％]]/100</f>
        <v>19800</v>
      </c>
    </row>
    <row r="4972" spans="1:18">
      <c r="A4972" s="148">
        <v>45992</v>
      </c>
      <c r="B4972" s="149" t="s">
        <v>14</v>
      </c>
      <c r="C4972" s="155" t="s">
        <v>2050</v>
      </c>
      <c r="D4972" s="151">
        <v>50</v>
      </c>
      <c r="E4972" s="151">
        <v>50</v>
      </c>
      <c r="F4972" s="155" t="s">
        <v>16</v>
      </c>
      <c r="G4972" s="156">
        <v>46023</v>
      </c>
      <c r="H4972" s="152" t="s">
        <v>3316</v>
      </c>
      <c r="I4972" s="153">
        <v>9800</v>
      </c>
      <c r="J4972" s="24">
        <v>2</v>
      </c>
      <c r="K4972" s="24">
        <v>0</v>
      </c>
      <c r="L4972" s="91">
        <v>0</v>
      </c>
      <c r="M4972" s="24">
        <v>0</v>
      </c>
      <c r="N4972" s="12">
        <f t="shared" si="192"/>
        <v>2</v>
      </c>
      <c r="O4972" s="147">
        <f t="shared" si="191"/>
        <v>19600</v>
      </c>
      <c r="P4972" s="10">
        <v>105</v>
      </c>
      <c r="Q4972" s="10" t="s">
        <v>1928</v>
      </c>
      <c r="R4972" s="154">
        <f>+テーブル1[[#This Row],[合計金額]]*テーブル1[[#This Row],[自社報酬率％]]/100</f>
        <v>9800</v>
      </c>
    </row>
    <row r="4973" spans="1:18">
      <c r="A4973" s="148">
        <v>45992</v>
      </c>
      <c r="B4973" s="149" t="s">
        <v>21</v>
      </c>
      <c r="C4973" s="71" t="s">
        <v>161</v>
      </c>
      <c r="D4973" s="151">
        <v>100</v>
      </c>
      <c r="E4973" s="151">
        <v>100</v>
      </c>
      <c r="F4973" s="157"/>
      <c r="G4973" s="124">
        <v>45992</v>
      </c>
      <c r="H4973" s="152" t="s">
        <v>3317</v>
      </c>
      <c r="I4973" s="153">
        <v>2850</v>
      </c>
      <c r="J4973" s="74">
        <v>1</v>
      </c>
      <c r="K4973" s="24"/>
      <c r="L4973" s="91"/>
      <c r="M4973" s="24"/>
      <c r="N4973" s="12">
        <f t="shared" si="192"/>
        <v>1</v>
      </c>
      <c r="O4973" s="147">
        <f t="shared" ref="O4973:O5036" si="193">+I4973*J4973</f>
        <v>2850</v>
      </c>
      <c r="P4973" s="10">
        <v>121</v>
      </c>
      <c r="Q4973" s="10" t="s">
        <v>1928</v>
      </c>
      <c r="R4973" s="154">
        <f>+テーブル1[[#This Row],[合計金額]]*テーブル1[[#This Row],[自社報酬率％]]/100</f>
        <v>2850</v>
      </c>
    </row>
    <row r="4974" spans="1:18">
      <c r="A4974" s="148">
        <v>45992</v>
      </c>
      <c r="B4974" s="149" t="s">
        <v>21</v>
      </c>
      <c r="C4974" s="80" t="s">
        <v>161</v>
      </c>
      <c r="D4974" s="151">
        <v>100</v>
      </c>
      <c r="E4974" s="151">
        <v>100</v>
      </c>
      <c r="F4974" s="157"/>
      <c r="G4974" s="156">
        <v>46023</v>
      </c>
      <c r="H4974" s="152" t="s">
        <v>3318</v>
      </c>
      <c r="I4974" s="153">
        <v>2850</v>
      </c>
      <c r="J4974" s="75">
        <v>1</v>
      </c>
      <c r="K4974" s="24"/>
      <c r="L4974" s="91"/>
      <c r="M4974" s="24"/>
      <c r="N4974" s="12">
        <f t="shared" si="192"/>
        <v>1</v>
      </c>
      <c r="O4974" s="147">
        <f t="shared" si="193"/>
        <v>2850</v>
      </c>
      <c r="P4974" s="10">
        <v>122</v>
      </c>
      <c r="Q4974" s="10" t="s">
        <v>1928</v>
      </c>
      <c r="R4974" s="154">
        <f>+テーブル1[[#This Row],[合計金額]]*テーブル1[[#This Row],[自社報酬率％]]/100</f>
        <v>2850</v>
      </c>
    </row>
    <row r="4975" spans="1:18">
      <c r="A4975" s="148">
        <v>45992</v>
      </c>
      <c r="B4975" s="149" t="s">
        <v>21</v>
      </c>
      <c r="C4975" s="80" t="s">
        <v>161</v>
      </c>
      <c r="D4975" s="151">
        <v>100</v>
      </c>
      <c r="E4975" s="151">
        <v>100</v>
      </c>
      <c r="F4975" s="157"/>
      <c r="G4975" s="156">
        <v>46054</v>
      </c>
      <c r="H4975" s="152" t="s">
        <v>3319</v>
      </c>
      <c r="I4975" s="153">
        <v>2850</v>
      </c>
      <c r="J4975" s="75">
        <v>1</v>
      </c>
      <c r="K4975" s="24"/>
      <c r="L4975" s="91"/>
      <c r="M4975" s="24"/>
      <c r="N4975" s="12">
        <f t="shared" si="192"/>
        <v>1</v>
      </c>
      <c r="O4975" s="147">
        <f t="shared" si="193"/>
        <v>2850</v>
      </c>
      <c r="P4975" s="10">
        <v>123</v>
      </c>
      <c r="Q4975" s="10" t="s">
        <v>1928</v>
      </c>
      <c r="R4975" s="154">
        <f>+テーブル1[[#This Row],[合計金額]]*テーブル1[[#This Row],[自社報酬率％]]/100</f>
        <v>2850</v>
      </c>
    </row>
    <row r="4976" spans="1:18">
      <c r="A4976" s="148">
        <v>45992</v>
      </c>
      <c r="B4976" s="149" t="s">
        <v>21</v>
      </c>
      <c r="C4976" s="80" t="s">
        <v>161</v>
      </c>
      <c r="D4976" s="151">
        <v>100</v>
      </c>
      <c r="E4976" s="151">
        <v>100</v>
      </c>
      <c r="F4976" s="157"/>
      <c r="G4976" s="156">
        <v>46082</v>
      </c>
      <c r="H4976" s="152" t="s">
        <v>3320</v>
      </c>
      <c r="I4976" s="153">
        <v>2850</v>
      </c>
      <c r="J4976" s="75">
        <v>1</v>
      </c>
      <c r="K4976" s="24"/>
      <c r="L4976" s="91"/>
      <c r="M4976" s="24"/>
      <c r="N4976" s="12">
        <f t="shared" si="192"/>
        <v>1</v>
      </c>
      <c r="O4976" s="147">
        <f t="shared" si="193"/>
        <v>2850</v>
      </c>
      <c r="P4976" s="10">
        <v>124</v>
      </c>
      <c r="Q4976" s="10" t="s">
        <v>1928</v>
      </c>
      <c r="R4976" s="154">
        <f>+テーブル1[[#This Row],[合計金額]]*テーブル1[[#This Row],[自社報酬率％]]/100</f>
        <v>2850</v>
      </c>
    </row>
    <row r="4977" spans="1:18">
      <c r="A4977" s="148">
        <v>45992</v>
      </c>
      <c r="B4977" s="149" t="s">
        <v>21</v>
      </c>
      <c r="C4977" s="80" t="s">
        <v>161</v>
      </c>
      <c r="D4977" s="151">
        <v>100</v>
      </c>
      <c r="E4977" s="151">
        <v>100</v>
      </c>
      <c r="F4977" s="157"/>
      <c r="G4977" s="156">
        <v>46113</v>
      </c>
      <c r="H4977" s="152" t="s">
        <v>3321</v>
      </c>
      <c r="I4977" s="153">
        <v>2850</v>
      </c>
      <c r="J4977" s="75">
        <v>1</v>
      </c>
      <c r="K4977" s="24"/>
      <c r="L4977" s="91"/>
      <c r="M4977" s="24"/>
      <c r="N4977" s="12">
        <f t="shared" si="192"/>
        <v>1</v>
      </c>
      <c r="O4977" s="147">
        <f t="shared" si="193"/>
        <v>2850</v>
      </c>
      <c r="P4977" s="10">
        <v>125</v>
      </c>
      <c r="Q4977" s="10" t="s">
        <v>1928</v>
      </c>
      <c r="R4977" s="154">
        <f>+テーブル1[[#This Row],[合計金額]]*テーブル1[[#This Row],[自社報酬率％]]/100</f>
        <v>2850</v>
      </c>
    </row>
    <row r="4978" spans="1:18">
      <c r="A4978" s="148">
        <v>45992</v>
      </c>
      <c r="B4978" s="149" t="s">
        <v>21</v>
      </c>
      <c r="C4978" s="81" t="s">
        <v>161</v>
      </c>
      <c r="D4978" s="151">
        <v>100</v>
      </c>
      <c r="E4978" s="151">
        <v>100</v>
      </c>
      <c r="F4978" s="157"/>
      <c r="G4978" s="86">
        <v>46143</v>
      </c>
      <c r="H4978" s="152" t="s">
        <v>3322</v>
      </c>
      <c r="I4978" s="153">
        <v>2850</v>
      </c>
      <c r="J4978" s="78">
        <v>1</v>
      </c>
      <c r="K4978" s="24"/>
      <c r="L4978" s="91"/>
      <c r="M4978" s="24"/>
      <c r="N4978" s="12">
        <f t="shared" si="192"/>
        <v>1</v>
      </c>
      <c r="O4978" s="147">
        <f t="shared" si="193"/>
        <v>2850</v>
      </c>
      <c r="P4978" s="10">
        <v>126</v>
      </c>
      <c r="Q4978" s="10" t="s">
        <v>1928</v>
      </c>
      <c r="R4978" s="154">
        <f>+テーブル1[[#This Row],[合計金額]]*テーブル1[[#This Row],[自社報酬率％]]/100</f>
        <v>2850</v>
      </c>
    </row>
    <row r="4979" spans="1:18">
      <c r="A4979" s="148">
        <v>45992</v>
      </c>
      <c r="B4979" s="149" t="s">
        <v>21</v>
      </c>
      <c r="C4979" s="157" t="s">
        <v>161</v>
      </c>
      <c r="D4979" s="151">
        <v>100</v>
      </c>
      <c r="E4979" s="151">
        <v>100</v>
      </c>
      <c r="F4979" s="157"/>
      <c r="G4979" s="158">
        <v>45992</v>
      </c>
      <c r="H4979" s="152" t="s">
        <v>2400</v>
      </c>
      <c r="I4979" s="153">
        <v>188000</v>
      </c>
      <c r="J4979" s="24">
        <v>1</v>
      </c>
      <c r="K4979" s="24"/>
      <c r="L4979" s="91"/>
      <c r="M4979" s="24"/>
      <c r="N4979" s="12">
        <f t="shared" si="192"/>
        <v>1</v>
      </c>
      <c r="O4979" s="147">
        <f t="shared" si="193"/>
        <v>188000</v>
      </c>
      <c r="P4979" s="10">
        <v>127</v>
      </c>
      <c r="Q4979" s="10" t="s">
        <v>1928</v>
      </c>
      <c r="R4979" s="154">
        <f>+テーブル1[[#This Row],[合計金額]]*テーブル1[[#This Row],[自社報酬率％]]/100</f>
        <v>188000</v>
      </c>
    </row>
    <row r="4980" spans="1:18">
      <c r="A4980" s="148">
        <v>45992</v>
      </c>
      <c r="B4980" s="149" t="s">
        <v>21</v>
      </c>
      <c r="C4980" s="82" t="s">
        <v>161</v>
      </c>
      <c r="D4980" s="151">
        <v>100</v>
      </c>
      <c r="E4980" s="151">
        <v>100</v>
      </c>
      <c r="F4980" s="157"/>
      <c r="G4980" s="87">
        <v>45992</v>
      </c>
      <c r="H4980" s="152" t="s">
        <v>3074</v>
      </c>
      <c r="I4980" s="153">
        <v>217800</v>
      </c>
      <c r="J4980" s="77">
        <v>1</v>
      </c>
      <c r="K4980" s="24"/>
      <c r="L4980" s="91"/>
      <c r="M4980" s="24"/>
      <c r="N4980" s="12">
        <f t="shared" si="192"/>
        <v>1</v>
      </c>
      <c r="O4980" s="147">
        <f t="shared" si="193"/>
        <v>217800</v>
      </c>
      <c r="P4980" s="10">
        <v>128</v>
      </c>
      <c r="Q4980" s="10" t="s">
        <v>1928</v>
      </c>
      <c r="R4980" s="154">
        <f>+テーブル1[[#This Row],[合計金額]]*テーブル1[[#This Row],[自社報酬率％]]/100</f>
        <v>217800</v>
      </c>
    </row>
    <row r="4981" spans="1:18">
      <c r="A4981" s="148">
        <v>45992</v>
      </c>
      <c r="B4981" s="149" t="s">
        <v>21</v>
      </c>
      <c r="C4981" s="112" t="s">
        <v>2043</v>
      </c>
      <c r="D4981" s="151">
        <v>60</v>
      </c>
      <c r="E4981" s="151">
        <v>40</v>
      </c>
      <c r="F4981" s="157"/>
      <c r="G4981" s="124">
        <v>45992</v>
      </c>
      <c r="H4981" s="152" t="s">
        <v>3323</v>
      </c>
      <c r="I4981" s="153">
        <v>349200</v>
      </c>
      <c r="J4981" s="73">
        <v>1</v>
      </c>
      <c r="K4981" s="24"/>
      <c r="L4981" s="91"/>
      <c r="M4981" s="24"/>
      <c r="N4981" s="12">
        <f t="shared" si="192"/>
        <v>1</v>
      </c>
      <c r="O4981" s="147">
        <f t="shared" si="193"/>
        <v>349200</v>
      </c>
      <c r="P4981" s="10">
        <v>129</v>
      </c>
      <c r="Q4981" s="10" t="s">
        <v>1928</v>
      </c>
      <c r="R4981" s="154">
        <f>+テーブル1[[#This Row],[合計金額]]*テーブル1[[#This Row],[自社報酬率％]]/100</f>
        <v>139680</v>
      </c>
    </row>
    <row r="4982" spans="1:18">
      <c r="A4982" s="148">
        <v>45992</v>
      </c>
      <c r="B4982" s="149" t="s">
        <v>21</v>
      </c>
      <c r="C4982" s="157" t="s">
        <v>2043</v>
      </c>
      <c r="D4982" s="151">
        <v>60</v>
      </c>
      <c r="E4982" s="151">
        <v>40</v>
      </c>
      <c r="F4982" s="157"/>
      <c r="G4982" s="158">
        <v>45992</v>
      </c>
      <c r="H4982" s="152" t="s">
        <v>3324</v>
      </c>
      <c r="I4982" s="153">
        <v>349200</v>
      </c>
      <c r="J4982" s="24">
        <v>1</v>
      </c>
      <c r="K4982" s="24"/>
      <c r="L4982" s="91"/>
      <c r="M4982" s="24"/>
      <c r="N4982" s="12">
        <f t="shared" si="192"/>
        <v>1</v>
      </c>
      <c r="O4982" s="147">
        <f t="shared" si="193"/>
        <v>349200</v>
      </c>
      <c r="P4982" s="10">
        <v>130</v>
      </c>
      <c r="Q4982" s="10" t="s">
        <v>1928</v>
      </c>
      <c r="R4982" s="154">
        <f>+テーブル1[[#This Row],[合計金額]]*テーブル1[[#This Row],[自社報酬率％]]/100</f>
        <v>139680</v>
      </c>
    </row>
    <row r="4983" spans="1:18">
      <c r="A4983" s="148">
        <v>45992</v>
      </c>
      <c r="B4983" s="149" t="s">
        <v>21</v>
      </c>
      <c r="C4983" s="157" t="s">
        <v>2045</v>
      </c>
      <c r="D4983" s="151">
        <v>40</v>
      </c>
      <c r="E4983" s="151">
        <v>60</v>
      </c>
      <c r="F4983" s="157"/>
      <c r="G4983" s="158">
        <v>45992</v>
      </c>
      <c r="H4983" s="152" t="s">
        <v>3325</v>
      </c>
      <c r="I4983" s="153">
        <v>130000</v>
      </c>
      <c r="J4983" s="24">
        <v>1</v>
      </c>
      <c r="K4983" s="24"/>
      <c r="L4983" s="91"/>
      <c r="M4983" s="24"/>
      <c r="N4983" s="12">
        <f t="shared" si="192"/>
        <v>1</v>
      </c>
      <c r="O4983" s="147">
        <f t="shared" si="193"/>
        <v>130000</v>
      </c>
      <c r="P4983" s="10">
        <v>131</v>
      </c>
      <c r="Q4983" s="10" t="s">
        <v>1928</v>
      </c>
      <c r="R4983" s="154">
        <f>+テーブル1[[#This Row],[合計金額]]*テーブル1[[#This Row],[自社報酬率％]]/100</f>
        <v>78000</v>
      </c>
    </row>
    <row r="4984" spans="1:18">
      <c r="A4984" s="148">
        <v>45992</v>
      </c>
      <c r="B4984" s="149" t="s">
        <v>21</v>
      </c>
      <c r="C4984" s="157" t="s">
        <v>2045</v>
      </c>
      <c r="D4984" s="151">
        <v>40</v>
      </c>
      <c r="E4984" s="151">
        <v>60</v>
      </c>
      <c r="F4984" s="157"/>
      <c r="G4984" s="158">
        <v>45992</v>
      </c>
      <c r="H4984" s="152" t="s">
        <v>3326</v>
      </c>
      <c r="I4984" s="153">
        <v>166000</v>
      </c>
      <c r="J4984" s="24">
        <v>1</v>
      </c>
      <c r="K4984" s="24"/>
      <c r="L4984" s="91"/>
      <c r="M4984" s="24"/>
      <c r="N4984" s="12">
        <f t="shared" si="192"/>
        <v>1</v>
      </c>
      <c r="O4984" s="147">
        <f t="shared" si="193"/>
        <v>166000</v>
      </c>
      <c r="P4984" s="10">
        <v>132</v>
      </c>
      <c r="Q4984" s="10" t="s">
        <v>1928</v>
      </c>
      <c r="R4984" s="154">
        <f>+テーブル1[[#This Row],[合計金額]]*テーブル1[[#This Row],[自社報酬率％]]/100</f>
        <v>99600</v>
      </c>
    </row>
    <row r="4985" spans="1:18">
      <c r="A4985" s="148">
        <v>45992</v>
      </c>
      <c r="B4985" s="149" t="s">
        <v>21</v>
      </c>
      <c r="C4985" s="157" t="s">
        <v>2050</v>
      </c>
      <c r="D4985" s="151">
        <v>50</v>
      </c>
      <c r="E4985" s="151">
        <v>50</v>
      </c>
      <c r="F4985" s="157"/>
      <c r="G4985" s="158">
        <v>45992</v>
      </c>
      <c r="H4985" s="152" t="s">
        <v>2757</v>
      </c>
      <c r="I4985" s="153">
        <v>398000</v>
      </c>
      <c r="J4985" s="24">
        <v>1</v>
      </c>
      <c r="K4985" s="24"/>
      <c r="L4985" s="91"/>
      <c r="M4985" s="24"/>
      <c r="N4985" s="12">
        <f t="shared" si="192"/>
        <v>1</v>
      </c>
      <c r="O4985" s="147">
        <f t="shared" si="193"/>
        <v>398000</v>
      </c>
      <c r="P4985" s="10">
        <v>133</v>
      </c>
      <c r="Q4985" s="10" t="s">
        <v>1928</v>
      </c>
      <c r="R4985" s="154">
        <f>+テーブル1[[#This Row],[合計金額]]*テーブル1[[#This Row],[自社報酬率％]]/100</f>
        <v>199000</v>
      </c>
    </row>
    <row r="4986" spans="1:18">
      <c r="A4986" s="148">
        <v>45992</v>
      </c>
      <c r="B4986" s="149" t="s">
        <v>21</v>
      </c>
      <c r="C4986" s="157" t="s">
        <v>2050</v>
      </c>
      <c r="D4986" s="151">
        <v>50</v>
      </c>
      <c r="E4986" s="151">
        <v>50</v>
      </c>
      <c r="F4986" s="157"/>
      <c r="G4986" s="158">
        <v>45992</v>
      </c>
      <c r="H4986" s="152" t="s">
        <v>2422</v>
      </c>
      <c r="I4986" s="153">
        <v>298000</v>
      </c>
      <c r="J4986" s="24">
        <v>2</v>
      </c>
      <c r="K4986" s="24"/>
      <c r="L4986" s="91"/>
      <c r="M4986" s="24"/>
      <c r="N4986" s="12">
        <f t="shared" si="192"/>
        <v>2</v>
      </c>
      <c r="O4986" s="147">
        <f t="shared" si="193"/>
        <v>596000</v>
      </c>
      <c r="P4986" s="10">
        <v>134</v>
      </c>
      <c r="Q4986" s="10" t="s">
        <v>1928</v>
      </c>
      <c r="R4986" s="154">
        <f>+テーブル1[[#This Row],[合計金額]]*テーブル1[[#This Row],[自社報酬率％]]/100</f>
        <v>298000</v>
      </c>
    </row>
    <row r="4987" spans="1:18">
      <c r="A4987" s="148">
        <v>45992</v>
      </c>
      <c r="B4987" s="149" t="s">
        <v>21</v>
      </c>
      <c r="C4987" s="157" t="s">
        <v>2212</v>
      </c>
      <c r="D4987" s="151">
        <v>10</v>
      </c>
      <c r="E4987" s="151">
        <v>90</v>
      </c>
      <c r="F4987" s="157"/>
      <c r="G4987" s="158">
        <v>45992</v>
      </c>
      <c r="H4987" s="152" t="s">
        <v>2953</v>
      </c>
      <c r="I4987" s="153">
        <v>9800</v>
      </c>
      <c r="J4987" s="24">
        <v>16</v>
      </c>
      <c r="K4987" s="24"/>
      <c r="L4987" s="91"/>
      <c r="M4987" s="24"/>
      <c r="N4987" s="12">
        <f t="shared" si="192"/>
        <v>16</v>
      </c>
      <c r="O4987" s="147">
        <f t="shared" si="193"/>
        <v>156800</v>
      </c>
      <c r="P4987" s="10">
        <v>135</v>
      </c>
      <c r="Q4987" s="10" t="s">
        <v>1928</v>
      </c>
      <c r="R4987" s="154">
        <f>+テーブル1[[#This Row],[合計金額]]*テーブル1[[#This Row],[自社報酬率％]]/100</f>
        <v>141120</v>
      </c>
    </row>
    <row r="4988" spans="1:18">
      <c r="A4988" s="148">
        <v>45992</v>
      </c>
      <c r="B4988" s="149" t="s">
        <v>21</v>
      </c>
      <c r="C4988" s="157" t="s">
        <v>2212</v>
      </c>
      <c r="D4988" s="151">
        <v>10</v>
      </c>
      <c r="E4988" s="151">
        <v>90</v>
      </c>
      <c r="F4988" s="157"/>
      <c r="G4988" s="158">
        <v>45992</v>
      </c>
      <c r="H4988" s="152" t="s">
        <v>2954</v>
      </c>
      <c r="I4988" s="153">
        <v>29700</v>
      </c>
      <c r="J4988" s="24">
        <v>22</v>
      </c>
      <c r="K4988" s="24"/>
      <c r="L4988" s="91"/>
      <c r="M4988" s="24"/>
      <c r="N4988" s="12">
        <f t="shared" si="192"/>
        <v>22</v>
      </c>
      <c r="O4988" s="147">
        <f t="shared" si="193"/>
        <v>653400</v>
      </c>
      <c r="P4988" s="10">
        <v>136</v>
      </c>
      <c r="Q4988" s="10" t="s">
        <v>1928</v>
      </c>
      <c r="R4988" s="154">
        <f>+テーブル1[[#This Row],[合計金額]]*テーブル1[[#This Row],[自社報酬率％]]/100</f>
        <v>588060</v>
      </c>
    </row>
    <row r="4989" spans="1:18">
      <c r="A4989" s="148">
        <v>45992</v>
      </c>
      <c r="B4989" s="149" t="s">
        <v>21</v>
      </c>
      <c r="C4989" s="157" t="s">
        <v>2212</v>
      </c>
      <c r="D4989" s="151">
        <v>10</v>
      </c>
      <c r="E4989" s="151">
        <v>90</v>
      </c>
      <c r="F4989" s="157"/>
      <c r="G4989" s="158">
        <v>45992</v>
      </c>
      <c r="H4989" s="152" t="s">
        <v>2954</v>
      </c>
      <c r="I4989" s="153">
        <v>-29315</v>
      </c>
      <c r="J4989" s="24">
        <v>1</v>
      </c>
      <c r="K4989" s="24"/>
      <c r="L4989" s="91"/>
      <c r="M4989" s="24"/>
      <c r="N4989" s="12">
        <f t="shared" si="192"/>
        <v>1</v>
      </c>
      <c r="O4989" s="147">
        <f t="shared" si="193"/>
        <v>-29315</v>
      </c>
      <c r="P4989" s="10">
        <v>149</v>
      </c>
      <c r="Q4989" s="10" t="s">
        <v>1928</v>
      </c>
      <c r="R4989" s="154">
        <f>+テーブル1[[#This Row],[合計金額]]*テーブル1[[#This Row],[自社報酬率％]]/100</f>
        <v>-26383.5</v>
      </c>
    </row>
    <row r="4990" spans="1:18">
      <c r="A4990" s="148">
        <v>45992</v>
      </c>
      <c r="B4990" s="149" t="s">
        <v>21</v>
      </c>
      <c r="C4990" s="157" t="s">
        <v>22</v>
      </c>
      <c r="D4990" s="151">
        <v>0</v>
      </c>
      <c r="E4990" s="151">
        <v>100</v>
      </c>
      <c r="F4990" s="157"/>
      <c r="G4990" s="158">
        <v>45992</v>
      </c>
      <c r="H4990" s="152"/>
      <c r="I4990" s="153">
        <v>-385</v>
      </c>
      <c r="J4990" s="24">
        <v>1</v>
      </c>
      <c r="K4990" s="24"/>
      <c r="L4990" s="91"/>
      <c r="M4990" s="24"/>
      <c r="N4990" s="12">
        <f t="shared" si="192"/>
        <v>1</v>
      </c>
      <c r="O4990" s="147">
        <f t="shared" si="193"/>
        <v>-385</v>
      </c>
      <c r="P4990" s="10">
        <v>150</v>
      </c>
      <c r="Q4990" s="10" t="s">
        <v>1928</v>
      </c>
      <c r="R4990" s="154">
        <f>+テーブル1[[#This Row],[合計金額]]*テーブル1[[#This Row],[自社報酬率％]]/100</f>
        <v>-385</v>
      </c>
    </row>
    <row r="4991" spans="1:18">
      <c r="A4991" s="148">
        <v>45992</v>
      </c>
      <c r="B4991" s="149" t="s">
        <v>21</v>
      </c>
      <c r="C4991" s="157" t="s">
        <v>2212</v>
      </c>
      <c r="D4991" s="151">
        <v>10</v>
      </c>
      <c r="E4991" s="151">
        <v>90</v>
      </c>
      <c r="F4991" s="157"/>
      <c r="G4991" s="158">
        <v>45992</v>
      </c>
      <c r="H4991" s="152" t="s">
        <v>2954</v>
      </c>
      <c r="I4991" s="153">
        <v>-29315</v>
      </c>
      <c r="J4991" s="24">
        <v>1</v>
      </c>
      <c r="K4991" s="24"/>
      <c r="L4991" s="91"/>
      <c r="M4991" s="24"/>
      <c r="N4991" s="12">
        <f t="shared" si="192"/>
        <v>1</v>
      </c>
      <c r="O4991" s="147">
        <f t="shared" si="193"/>
        <v>-29315</v>
      </c>
      <c r="P4991" s="10">
        <v>151</v>
      </c>
      <c r="Q4991" s="10" t="s">
        <v>1928</v>
      </c>
      <c r="R4991" s="154">
        <f>+テーブル1[[#This Row],[合計金額]]*テーブル1[[#This Row],[自社報酬率％]]/100</f>
        <v>-26383.5</v>
      </c>
    </row>
    <row r="4992" spans="1:18">
      <c r="A4992" s="148">
        <v>45992</v>
      </c>
      <c r="B4992" s="149" t="s">
        <v>21</v>
      </c>
      <c r="C4992" s="157" t="s">
        <v>22</v>
      </c>
      <c r="D4992" s="151">
        <v>0</v>
      </c>
      <c r="E4992" s="151">
        <v>100</v>
      </c>
      <c r="F4992" s="157"/>
      <c r="G4992" s="158">
        <v>45992</v>
      </c>
      <c r="H4992" s="152"/>
      <c r="I4992" s="153">
        <v>-385</v>
      </c>
      <c r="J4992" s="24">
        <v>1</v>
      </c>
      <c r="K4992" s="24"/>
      <c r="L4992" s="91"/>
      <c r="M4992" s="24"/>
      <c r="N4992" s="12">
        <f t="shared" si="192"/>
        <v>1</v>
      </c>
      <c r="O4992" s="147">
        <f t="shared" si="193"/>
        <v>-385</v>
      </c>
      <c r="P4992" s="10">
        <v>152</v>
      </c>
      <c r="Q4992" s="10" t="s">
        <v>1928</v>
      </c>
      <c r="R4992" s="154">
        <f>+テーブル1[[#This Row],[合計金額]]*テーブル1[[#This Row],[自社報酬率％]]/100</f>
        <v>-385</v>
      </c>
    </row>
    <row r="4993" spans="1:18">
      <c r="A4993" s="148">
        <v>45992</v>
      </c>
      <c r="B4993" s="149" t="s">
        <v>21</v>
      </c>
      <c r="C4993" s="157" t="s">
        <v>2212</v>
      </c>
      <c r="D4993" s="151">
        <v>10</v>
      </c>
      <c r="E4993" s="151">
        <v>90</v>
      </c>
      <c r="F4993" s="157"/>
      <c r="G4993" s="158">
        <v>45992</v>
      </c>
      <c r="H4993" s="152" t="s">
        <v>2954</v>
      </c>
      <c r="I4993" s="153">
        <v>-29315</v>
      </c>
      <c r="J4993" s="24">
        <v>1</v>
      </c>
      <c r="K4993" s="24"/>
      <c r="L4993" s="91"/>
      <c r="M4993" s="24"/>
      <c r="N4993" s="12">
        <f t="shared" si="192"/>
        <v>1</v>
      </c>
      <c r="O4993" s="147">
        <f t="shared" si="193"/>
        <v>-29315</v>
      </c>
      <c r="P4993" s="10">
        <v>153</v>
      </c>
      <c r="Q4993" s="10" t="s">
        <v>1928</v>
      </c>
      <c r="R4993" s="154">
        <f>+テーブル1[[#This Row],[合計金額]]*テーブル1[[#This Row],[自社報酬率％]]/100</f>
        <v>-26383.5</v>
      </c>
    </row>
    <row r="4994" spans="1:18">
      <c r="A4994" s="148">
        <v>45992</v>
      </c>
      <c r="B4994" s="149" t="s">
        <v>21</v>
      </c>
      <c r="C4994" s="157" t="s">
        <v>22</v>
      </c>
      <c r="D4994" s="151">
        <v>0</v>
      </c>
      <c r="E4994" s="151">
        <v>100</v>
      </c>
      <c r="F4994" s="157"/>
      <c r="G4994" s="158">
        <v>45992</v>
      </c>
      <c r="H4994" s="152"/>
      <c r="I4994" s="153">
        <v>-385</v>
      </c>
      <c r="J4994" s="24">
        <v>1</v>
      </c>
      <c r="K4994" s="24"/>
      <c r="L4994" s="91"/>
      <c r="M4994" s="24"/>
      <c r="N4994" s="12">
        <f t="shared" si="192"/>
        <v>1</v>
      </c>
      <c r="O4994" s="147">
        <f t="shared" si="193"/>
        <v>-385</v>
      </c>
      <c r="P4994" s="10">
        <v>154</v>
      </c>
      <c r="Q4994" s="10" t="s">
        <v>1928</v>
      </c>
      <c r="R4994" s="154">
        <f>+テーブル1[[#This Row],[合計金額]]*テーブル1[[#This Row],[自社報酬率％]]/100</f>
        <v>-385</v>
      </c>
    </row>
    <row r="4995" spans="1:18">
      <c r="A4995" s="148">
        <v>45992</v>
      </c>
      <c r="B4995" s="149" t="s">
        <v>21</v>
      </c>
      <c r="C4995" s="157" t="s">
        <v>2212</v>
      </c>
      <c r="D4995" s="151">
        <v>10</v>
      </c>
      <c r="E4995" s="151">
        <v>90</v>
      </c>
      <c r="F4995" s="157"/>
      <c r="G4995" s="158">
        <v>45992</v>
      </c>
      <c r="H4995" s="152" t="s">
        <v>2954</v>
      </c>
      <c r="I4995" s="153">
        <v>-29315</v>
      </c>
      <c r="J4995" s="24">
        <v>1</v>
      </c>
      <c r="K4995" s="24"/>
      <c r="L4995" s="91"/>
      <c r="M4995" s="24"/>
      <c r="N4995" s="12">
        <f t="shared" si="192"/>
        <v>1</v>
      </c>
      <c r="O4995" s="147">
        <f t="shared" si="193"/>
        <v>-29315</v>
      </c>
      <c r="P4995" s="10">
        <v>155</v>
      </c>
      <c r="Q4995" s="10" t="s">
        <v>1928</v>
      </c>
      <c r="R4995" s="154">
        <f>+テーブル1[[#This Row],[合計金額]]*テーブル1[[#This Row],[自社報酬率％]]/100</f>
        <v>-26383.5</v>
      </c>
    </row>
    <row r="4996" spans="1:18">
      <c r="A4996" s="148">
        <v>45992</v>
      </c>
      <c r="B4996" s="149" t="s">
        <v>21</v>
      </c>
      <c r="C4996" s="157" t="s">
        <v>22</v>
      </c>
      <c r="D4996" s="151">
        <v>0</v>
      </c>
      <c r="E4996" s="151">
        <v>100</v>
      </c>
      <c r="F4996" s="157"/>
      <c r="G4996" s="158">
        <v>45992</v>
      </c>
      <c r="H4996" s="152"/>
      <c r="I4996" s="153">
        <v>-385</v>
      </c>
      <c r="J4996" s="24">
        <v>1</v>
      </c>
      <c r="K4996" s="24"/>
      <c r="L4996" s="91"/>
      <c r="M4996" s="24"/>
      <c r="N4996" s="12">
        <f t="shared" si="192"/>
        <v>1</v>
      </c>
      <c r="O4996" s="147">
        <f t="shared" si="193"/>
        <v>-385</v>
      </c>
      <c r="P4996" s="10">
        <v>156</v>
      </c>
      <c r="Q4996" s="10" t="s">
        <v>1928</v>
      </c>
      <c r="R4996" s="154">
        <f>+テーブル1[[#This Row],[合計金額]]*テーブル1[[#This Row],[自社報酬率％]]/100</f>
        <v>-385</v>
      </c>
    </row>
    <row r="4997" spans="1:18">
      <c r="A4997" s="148">
        <v>45992</v>
      </c>
      <c r="B4997" s="149" t="s">
        <v>21</v>
      </c>
      <c r="C4997" s="157" t="s">
        <v>2212</v>
      </c>
      <c r="D4997" s="151">
        <v>10</v>
      </c>
      <c r="E4997" s="151">
        <v>90</v>
      </c>
      <c r="F4997" s="157"/>
      <c r="G4997" s="158">
        <v>45992</v>
      </c>
      <c r="H4997" s="152" t="s">
        <v>2954</v>
      </c>
      <c r="I4997" s="153">
        <v>-29315</v>
      </c>
      <c r="J4997" s="24">
        <v>1</v>
      </c>
      <c r="K4997" s="24"/>
      <c r="L4997" s="91"/>
      <c r="M4997" s="24"/>
      <c r="N4997" s="12">
        <f t="shared" si="192"/>
        <v>1</v>
      </c>
      <c r="O4997" s="147">
        <f t="shared" si="193"/>
        <v>-29315</v>
      </c>
      <c r="P4997" s="10">
        <v>157</v>
      </c>
      <c r="Q4997" s="10" t="s">
        <v>1928</v>
      </c>
      <c r="R4997" s="154">
        <f>+テーブル1[[#This Row],[合計金額]]*テーブル1[[#This Row],[自社報酬率％]]/100</f>
        <v>-26383.5</v>
      </c>
    </row>
    <row r="4998" spans="1:18">
      <c r="A4998" s="148">
        <v>45992</v>
      </c>
      <c r="B4998" s="149" t="s">
        <v>21</v>
      </c>
      <c r="C4998" s="157" t="s">
        <v>22</v>
      </c>
      <c r="D4998" s="151">
        <v>0</v>
      </c>
      <c r="E4998" s="151">
        <v>100</v>
      </c>
      <c r="F4998" s="157"/>
      <c r="G4998" s="158">
        <v>45992</v>
      </c>
      <c r="H4998" s="152"/>
      <c r="I4998" s="153">
        <v>-385</v>
      </c>
      <c r="J4998" s="24">
        <v>1</v>
      </c>
      <c r="K4998" s="24"/>
      <c r="L4998" s="91"/>
      <c r="M4998" s="24"/>
      <c r="N4998" s="12">
        <f t="shared" si="192"/>
        <v>1</v>
      </c>
      <c r="O4998" s="147">
        <f t="shared" si="193"/>
        <v>-385</v>
      </c>
      <c r="P4998" s="10">
        <v>158</v>
      </c>
      <c r="Q4998" s="10" t="s">
        <v>1928</v>
      </c>
      <c r="R4998" s="154">
        <f>+テーブル1[[#This Row],[合計金額]]*テーブル1[[#This Row],[自社報酬率％]]/100</f>
        <v>-385</v>
      </c>
    </row>
    <row r="4999" spans="1:18">
      <c r="A4999" s="148">
        <v>45992</v>
      </c>
      <c r="B4999" s="149" t="s">
        <v>21</v>
      </c>
      <c r="C4999" s="157" t="s">
        <v>2212</v>
      </c>
      <c r="D4999" s="151">
        <v>10</v>
      </c>
      <c r="E4999" s="151">
        <v>90</v>
      </c>
      <c r="F4999" s="157"/>
      <c r="G4999" s="158">
        <v>45992</v>
      </c>
      <c r="H4999" s="152" t="s">
        <v>2954</v>
      </c>
      <c r="I4999" s="153">
        <v>-29315</v>
      </c>
      <c r="J4999" s="24">
        <v>1</v>
      </c>
      <c r="K4999" s="24"/>
      <c r="L4999" s="91"/>
      <c r="M4999" s="24"/>
      <c r="N4999" s="12">
        <f t="shared" si="192"/>
        <v>1</v>
      </c>
      <c r="O4999" s="147">
        <f t="shared" si="193"/>
        <v>-29315</v>
      </c>
      <c r="P4999" s="10">
        <v>159</v>
      </c>
      <c r="Q4999" s="10" t="s">
        <v>1928</v>
      </c>
      <c r="R4999" s="154">
        <f>+テーブル1[[#This Row],[合計金額]]*テーブル1[[#This Row],[自社報酬率％]]/100</f>
        <v>-26383.5</v>
      </c>
    </row>
    <row r="5000" spans="1:18">
      <c r="A5000" s="148">
        <v>45992</v>
      </c>
      <c r="B5000" s="149" t="s">
        <v>21</v>
      </c>
      <c r="C5000" s="157" t="s">
        <v>22</v>
      </c>
      <c r="D5000" s="151">
        <v>0</v>
      </c>
      <c r="E5000" s="151">
        <v>100</v>
      </c>
      <c r="F5000" s="157"/>
      <c r="G5000" s="158">
        <v>45992</v>
      </c>
      <c r="H5000" s="152"/>
      <c r="I5000" s="153">
        <v>-385</v>
      </c>
      <c r="J5000" s="24">
        <v>1</v>
      </c>
      <c r="K5000" s="24"/>
      <c r="L5000" s="91"/>
      <c r="M5000" s="24"/>
      <c r="N5000" s="12">
        <f t="shared" si="192"/>
        <v>1</v>
      </c>
      <c r="O5000" s="147">
        <f t="shared" si="193"/>
        <v>-385</v>
      </c>
      <c r="P5000" s="10">
        <v>160</v>
      </c>
      <c r="Q5000" s="10" t="s">
        <v>1928</v>
      </c>
      <c r="R5000" s="154">
        <f>+テーブル1[[#This Row],[合計金額]]*テーブル1[[#This Row],[自社報酬率％]]/100</f>
        <v>-385</v>
      </c>
    </row>
    <row r="5001" spans="1:18">
      <c r="A5001" s="148">
        <v>45992</v>
      </c>
      <c r="B5001" s="149" t="s">
        <v>21</v>
      </c>
      <c r="C5001" s="157" t="s">
        <v>2212</v>
      </c>
      <c r="D5001" s="151">
        <v>10</v>
      </c>
      <c r="E5001" s="151">
        <v>90</v>
      </c>
      <c r="F5001" s="157"/>
      <c r="G5001" s="158">
        <v>45992</v>
      </c>
      <c r="H5001" s="152" t="s">
        <v>2954</v>
      </c>
      <c r="I5001" s="153">
        <v>-29315</v>
      </c>
      <c r="J5001" s="24">
        <v>1</v>
      </c>
      <c r="K5001" s="24"/>
      <c r="L5001" s="91"/>
      <c r="M5001" s="24"/>
      <c r="N5001" s="12">
        <f t="shared" si="192"/>
        <v>1</v>
      </c>
      <c r="O5001" s="147">
        <f t="shared" si="193"/>
        <v>-29315</v>
      </c>
      <c r="P5001" s="10">
        <v>161</v>
      </c>
      <c r="Q5001" s="10" t="s">
        <v>1928</v>
      </c>
      <c r="R5001" s="154">
        <f>+テーブル1[[#This Row],[合計金額]]*テーブル1[[#This Row],[自社報酬率％]]/100</f>
        <v>-26383.5</v>
      </c>
    </row>
    <row r="5002" spans="1:18">
      <c r="A5002" s="148">
        <v>45992</v>
      </c>
      <c r="B5002" s="149" t="s">
        <v>21</v>
      </c>
      <c r="C5002" s="157" t="s">
        <v>22</v>
      </c>
      <c r="D5002" s="151">
        <v>0</v>
      </c>
      <c r="E5002" s="151">
        <v>100</v>
      </c>
      <c r="F5002" s="157"/>
      <c r="G5002" s="158">
        <v>45992</v>
      </c>
      <c r="H5002" s="152"/>
      <c r="I5002" s="153">
        <v>-385</v>
      </c>
      <c r="J5002" s="24">
        <v>1</v>
      </c>
      <c r="K5002" s="24"/>
      <c r="L5002" s="91"/>
      <c r="M5002" s="24"/>
      <c r="N5002" s="12">
        <f t="shared" si="192"/>
        <v>1</v>
      </c>
      <c r="O5002" s="147">
        <f t="shared" si="193"/>
        <v>-385</v>
      </c>
      <c r="P5002" s="10">
        <v>162</v>
      </c>
      <c r="Q5002" s="10" t="s">
        <v>1928</v>
      </c>
      <c r="R5002" s="154">
        <f>+テーブル1[[#This Row],[合計金額]]*テーブル1[[#This Row],[自社報酬率％]]/100</f>
        <v>-385</v>
      </c>
    </row>
    <row r="5003" spans="1:18">
      <c r="A5003" s="148">
        <v>45992</v>
      </c>
      <c r="B5003" s="149" t="s">
        <v>21</v>
      </c>
      <c r="C5003" s="157" t="s">
        <v>2212</v>
      </c>
      <c r="D5003" s="151">
        <v>10</v>
      </c>
      <c r="E5003" s="151">
        <v>90</v>
      </c>
      <c r="F5003" s="157"/>
      <c r="G5003" s="158">
        <v>45992</v>
      </c>
      <c r="H5003" s="152" t="s">
        <v>2953</v>
      </c>
      <c r="I5003" s="153">
        <v>-9415</v>
      </c>
      <c r="J5003" s="24">
        <v>1</v>
      </c>
      <c r="K5003" s="24"/>
      <c r="L5003" s="91"/>
      <c r="M5003" s="24"/>
      <c r="N5003" s="12">
        <f t="shared" si="192"/>
        <v>1</v>
      </c>
      <c r="O5003" s="147">
        <f t="shared" si="193"/>
        <v>-9415</v>
      </c>
      <c r="P5003" s="10">
        <v>163</v>
      </c>
      <c r="Q5003" s="10" t="s">
        <v>1928</v>
      </c>
      <c r="R5003" s="154">
        <f>+テーブル1[[#This Row],[合計金額]]*テーブル1[[#This Row],[自社報酬率％]]/100</f>
        <v>-8473.5</v>
      </c>
    </row>
    <row r="5004" spans="1:18">
      <c r="A5004" s="148">
        <v>45992</v>
      </c>
      <c r="B5004" s="149" t="s">
        <v>21</v>
      </c>
      <c r="C5004" s="157" t="s">
        <v>22</v>
      </c>
      <c r="D5004" s="151">
        <v>0</v>
      </c>
      <c r="E5004" s="151">
        <v>100</v>
      </c>
      <c r="F5004" s="157"/>
      <c r="G5004" s="158">
        <v>45992</v>
      </c>
      <c r="H5004" s="152"/>
      <c r="I5004" s="153">
        <v>-385</v>
      </c>
      <c r="J5004" s="24">
        <v>1</v>
      </c>
      <c r="K5004" s="24"/>
      <c r="L5004" s="91"/>
      <c r="M5004" s="24"/>
      <c r="N5004" s="12">
        <f t="shared" si="192"/>
        <v>1</v>
      </c>
      <c r="O5004" s="147">
        <f t="shared" si="193"/>
        <v>-385</v>
      </c>
      <c r="P5004" s="10">
        <v>164</v>
      </c>
      <c r="Q5004" s="10" t="s">
        <v>1928</v>
      </c>
      <c r="R5004" s="154">
        <f>+テーブル1[[#This Row],[合計金額]]*テーブル1[[#This Row],[自社報酬率％]]/100</f>
        <v>-385</v>
      </c>
    </row>
    <row r="5005" spans="1:18">
      <c r="A5005" s="148">
        <v>45992</v>
      </c>
      <c r="B5005" s="149" t="s">
        <v>21</v>
      </c>
      <c r="C5005" s="157" t="s">
        <v>2212</v>
      </c>
      <c r="D5005" s="151">
        <v>10</v>
      </c>
      <c r="E5005" s="151">
        <v>90</v>
      </c>
      <c r="F5005" s="157"/>
      <c r="G5005" s="158">
        <v>45992</v>
      </c>
      <c r="H5005" s="152" t="s">
        <v>2954</v>
      </c>
      <c r="I5005" s="153">
        <v>-29315</v>
      </c>
      <c r="J5005" s="24">
        <v>1</v>
      </c>
      <c r="K5005" s="24"/>
      <c r="L5005" s="91"/>
      <c r="M5005" s="24"/>
      <c r="N5005" s="12">
        <f t="shared" si="192"/>
        <v>1</v>
      </c>
      <c r="O5005" s="147">
        <f t="shared" si="193"/>
        <v>-29315</v>
      </c>
      <c r="P5005" s="10">
        <v>165</v>
      </c>
      <c r="Q5005" s="10" t="s">
        <v>1928</v>
      </c>
      <c r="R5005" s="154">
        <f>+テーブル1[[#This Row],[合計金額]]*テーブル1[[#This Row],[自社報酬率％]]/100</f>
        <v>-26383.5</v>
      </c>
    </row>
    <row r="5006" spans="1:18">
      <c r="A5006" s="148">
        <v>45992</v>
      </c>
      <c r="B5006" s="149" t="s">
        <v>21</v>
      </c>
      <c r="C5006" s="157" t="s">
        <v>22</v>
      </c>
      <c r="D5006" s="151">
        <v>0</v>
      </c>
      <c r="E5006" s="151">
        <v>100</v>
      </c>
      <c r="F5006" s="157"/>
      <c r="G5006" s="158">
        <v>45992</v>
      </c>
      <c r="H5006" s="152"/>
      <c r="I5006" s="153">
        <v>-385</v>
      </c>
      <c r="J5006" s="24">
        <v>1</v>
      </c>
      <c r="K5006" s="24"/>
      <c r="L5006" s="91"/>
      <c r="M5006" s="24"/>
      <c r="N5006" s="12">
        <f t="shared" si="192"/>
        <v>1</v>
      </c>
      <c r="O5006" s="147">
        <f t="shared" si="193"/>
        <v>-385</v>
      </c>
      <c r="P5006" s="10">
        <v>166</v>
      </c>
      <c r="Q5006" s="10" t="s">
        <v>1928</v>
      </c>
      <c r="R5006" s="154">
        <f>+テーブル1[[#This Row],[合計金額]]*テーブル1[[#This Row],[自社報酬率％]]/100</f>
        <v>-385</v>
      </c>
    </row>
    <row r="5007" spans="1:18">
      <c r="A5007" s="148">
        <v>45992</v>
      </c>
      <c r="B5007" s="149" t="s">
        <v>21</v>
      </c>
      <c r="C5007" s="157" t="s">
        <v>2212</v>
      </c>
      <c r="D5007" s="151">
        <v>10</v>
      </c>
      <c r="E5007" s="151">
        <v>90</v>
      </c>
      <c r="F5007" s="157"/>
      <c r="G5007" s="158">
        <v>45992</v>
      </c>
      <c r="H5007" s="152" t="s">
        <v>3327</v>
      </c>
      <c r="I5007" s="153">
        <v>-9415</v>
      </c>
      <c r="J5007" s="24">
        <v>1</v>
      </c>
      <c r="K5007" s="24"/>
      <c r="L5007" s="91"/>
      <c r="M5007" s="24"/>
      <c r="N5007" s="12">
        <f t="shared" si="192"/>
        <v>1</v>
      </c>
      <c r="O5007" s="147">
        <f t="shared" si="193"/>
        <v>-9415</v>
      </c>
      <c r="P5007" s="10">
        <v>167</v>
      </c>
      <c r="Q5007" s="10" t="s">
        <v>1928</v>
      </c>
      <c r="R5007" s="154">
        <f>+テーブル1[[#This Row],[合計金額]]*テーブル1[[#This Row],[自社報酬率％]]/100</f>
        <v>-8473.5</v>
      </c>
    </row>
    <row r="5008" spans="1:18">
      <c r="A5008" s="148">
        <v>45992</v>
      </c>
      <c r="B5008" s="149" t="s">
        <v>21</v>
      </c>
      <c r="C5008" s="157" t="s">
        <v>22</v>
      </c>
      <c r="D5008" s="151">
        <v>0</v>
      </c>
      <c r="E5008" s="151">
        <v>100</v>
      </c>
      <c r="F5008" s="157"/>
      <c r="G5008" s="158">
        <v>45992</v>
      </c>
      <c r="H5008" s="152"/>
      <c r="I5008" s="153">
        <v>-385</v>
      </c>
      <c r="J5008" s="24">
        <v>1</v>
      </c>
      <c r="K5008" s="24"/>
      <c r="L5008" s="91"/>
      <c r="M5008" s="24"/>
      <c r="N5008" s="12">
        <f t="shared" si="192"/>
        <v>1</v>
      </c>
      <c r="O5008" s="147">
        <f t="shared" si="193"/>
        <v>-385</v>
      </c>
      <c r="P5008" s="10">
        <v>168</v>
      </c>
      <c r="Q5008" s="10" t="s">
        <v>1928</v>
      </c>
      <c r="R5008" s="154">
        <f>+テーブル1[[#This Row],[合計金額]]*テーブル1[[#This Row],[自社報酬率％]]/100</f>
        <v>-385</v>
      </c>
    </row>
    <row r="5009" spans="1:18">
      <c r="A5009" s="148">
        <v>45992</v>
      </c>
      <c r="B5009" s="149" t="s">
        <v>21</v>
      </c>
      <c r="C5009" s="157" t="s">
        <v>2212</v>
      </c>
      <c r="D5009" s="151">
        <v>10</v>
      </c>
      <c r="E5009" s="151">
        <v>90</v>
      </c>
      <c r="F5009" s="157"/>
      <c r="G5009" s="158">
        <v>45992</v>
      </c>
      <c r="H5009" s="152" t="s">
        <v>2954</v>
      </c>
      <c r="I5009" s="153">
        <v>-29315</v>
      </c>
      <c r="J5009" s="24">
        <v>1</v>
      </c>
      <c r="K5009" s="24"/>
      <c r="L5009" s="91"/>
      <c r="M5009" s="24"/>
      <c r="N5009" s="12">
        <f t="shared" si="192"/>
        <v>1</v>
      </c>
      <c r="O5009" s="147">
        <f t="shared" si="193"/>
        <v>-29315</v>
      </c>
      <c r="P5009" s="10">
        <v>169</v>
      </c>
      <c r="Q5009" s="10" t="s">
        <v>1928</v>
      </c>
      <c r="R5009" s="154">
        <f>+テーブル1[[#This Row],[合計金額]]*テーブル1[[#This Row],[自社報酬率％]]/100</f>
        <v>-26383.5</v>
      </c>
    </row>
    <row r="5010" spans="1:18">
      <c r="A5010" s="148">
        <v>45992</v>
      </c>
      <c r="B5010" s="149" t="s">
        <v>21</v>
      </c>
      <c r="C5010" s="157" t="s">
        <v>22</v>
      </c>
      <c r="D5010" s="151">
        <v>0</v>
      </c>
      <c r="E5010" s="151">
        <v>100</v>
      </c>
      <c r="F5010" s="157"/>
      <c r="G5010" s="158">
        <v>45992</v>
      </c>
      <c r="H5010" s="152"/>
      <c r="I5010" s="153">
        <v>-385</v>
      </c>
      <c r="J5010" s="24">
        <v>1</v>
      </c>
      <c r="K5010" s="24"/>
      <c r="L5010" s="91"/>
      <c r="M5010" s="24"/>
      <c r="N5010" s="12">
        <f t="shared" si="192"/>
        <v>1</v>
      </c>
      <c r="O5010" s="147">
        <f t="shared" si="193"/>
        <v>-385</v>
      </c>
      <c r="P5010" s="10">
        <v>170</v>
      </c>
      <c r="Q5010" s="10" t="s">
        <v>1928</v>
      </c>
      <c r="R5010" s="154">
        <f>+テーブル1[[#This Row],[合計金額]]*テーブル1[[#This Row],[自社報酬率％]]/100</f>
        <v>-385</v>
      </c>
    </row>
    <row r="5011" spans="1:18">
      <c r="A5011" s="148">
        <v>45992</v>
      </c>
      <c r="B5011" s="149" t="s">
        <v>21</v>
      </c>
      <c r="C5011" s="157" t="s">
        <v>2212</v>
      </c>
      <c r="D5011" s="151">
        <v>10</v>
      </c>
      <c r="E5011" s="151">
        <v>90</v>
      </c>
      <c r="F5011" s="157"/>
      <c r="G5011" s="158">
        <v>45992</v>
      </c>
      <c r="H5011" s="152" t="s">
        <v>2954</v>
      </c>
      <c r="I5011" s="153">
        <v>-29315</v>
      </c>
      <c r="J5011" s="24">
        <v>1</v>
      </c>
      <c r="K5011" s="24"/>
      <c r="L5011" s="91"/>
      <c r="M5011" s="24"/>
      <c r="N5011" s="12">
        <f t="shared" si="192"/>
        <v>1</v>
      </c>
      <c r="O5011" s="147">
        <f t="shared" si="193"/>
        <v>-29315</v>
      </c>
      <c r="P5011" s="10">
        <v>171</v>
      </c>
      <c r="Q5011" s="10" t="s">
        <v>1928</v>
      </c>
      <c r="R5011" s="154">
        <f>+テーブル1[[#This Row],[合計金額]]*テーブル1[[#This Row],[自社報酬率％]]/100</f>
        <v>-26383.5</v>
      </c>
    </row>
    <row r="5012" spans="1:18">
      <c r="A5012" s="148">
        <v>45992</v>
      </c>
      <c r="B5012" s="149" t="s">
        <v>21</v>
      </c>
      <c r="C5012" s="157" t="s">
        <v>22</v>
      </c>
      <c r="D5012" s="151">
        <v>0</v>
      </c>
      <c r="E5012" s="151">
        <v>100</v>
      </c>
      <c r="F5012" s="157"/>
      <c r="G5012" s="158">
        <v>45992</v>
      </c>
      <c r="H5012" s="152"/>
      <c r="I5012" s="153">
        <v>-385</v>
      </c>
      <c r="J5012" s="24">
        <v>1</v>
      </c>
      <c r="K5012" s="24"/>
      <c r="L5012" s="91"/>
      <c r="M5012" s="24"/>
      <c r="N5012" s="12">
        <f t="shared" si="192"/>
        <v>1</v>
      </c>
      <c r="O5012" s="147">
        <f t="shared" si="193"/>
        <v>-385</v>
      </c>
      <c r="P5012" s="10">
        <v>172</v>
      </c>
      <c r="Q5012" s="10" t="s">
        <v>1928</v>
      </c>
      <c r="R5012" s="154">
        <f>+テーブル1[[#This Row],[合計金額]]*テーブル1[[#This Row],[自社報酬率％]]/100</f>
        <v>-385</v>
      </c>
    </row>
    <row r="5013" spans="1:18">
      <c r="A5013" s="148">
        <v>45992</v>
      </c>
      <c r="B5013" s="149" t="s">
        <v>21</v>
      </c>
      <c r="C5013" s="157" t="s">
        <v>2212</v>
      </c>
      <c r="D5013" s="151">
        <v>10</v>
      </c>
      <c r="E5013" s="151">
        <v>90</v>
      </c>
      <c r="F5013" s="157"/>
      <c r="G5013" s="158">
        <v>45992</v>
      </c>
      <c r="H5013" s="152" t="s">
        <v>2954</v>
      </c>
      <c r="I5013" s="153">
        <v>-29315</v>
      </c>
      <c r="J5013" s="24">
        <v>1</v>
      </c>
      <c r="K5013" s="24"/>
      <c r="L5013" s="91"/>
      <c r="M5013" s="24"/>
      <c r="N5013" s="12">
        <f t="shared" si="192"/>
        <v>1</v>
      </c>
      <c r="O5013" s="147">
        <f t="shared" si="193"/>
        <v>-29315</v>
      </c>
      <c r="P5013" s="10">
        <v>173</v>
      </c>
      <c r="Q5013" s="10" t="s">
        <v>1928</v>
      </c>
      <c r="R5013" s="154">
        <f>+テーブル1[[#This Row],[合計金額]]*テーブル1[[#This Row],[自社報酬率％]]/100</f>
        <v>-26383.5</v>
      </c>
    </row>
    <row r="5014" spans="1:18">
      <c r="A5014" s="148">
        <v>45992</v>
      </c>
      <c r="B5014" s="149" t="s">
        <v>21</v>
      </c>
      <c r="C5014" s="157" t="s">
        <v>22</v>
      </c>
      <c r="D5014" s="151">
        <v>0</v>
      </c>
      <c r="E5014" s="151">
        <v>100</v>
      </c>
      <c r="F5014" s="157"/>
      <c r="G5014" s="158">
        <v>45992</v>
      </c>
      <c r="H5014" s="152"/>
      <c r="I5014" s="153">
        <v>-385</v>
      </c>
      <c r="J5014" s="24">
        <v>1</v>
      </c>
      <c r="K5014" s="24"/>
      <c r="L5014" s="91"/>
      <c r="M5014" s="24"/>
      <c r="N5014" s="12">
        <f t="shared" si="192"/>
        <v>1</v>
      </c>
      <c r="O5014" s="147">
        <f t="shared" si="193"/>
        <v>-385</v>
      </c>
      <c r="P5014" s="10">
        <v>174</v>
      </c>
      <c r="Q5014" s="10" t="s">
        <v>1928</v>
      </c>
      <c r="R5014" s="154">
        <f>+テーブル1[[#This Row],[合計金額]]*テーブル1[[#This Row],[自社報酬率％]]/100</f>
        <v>-385</v>
      </c>
    </row>
    <row r="5015" spans="1:18">
      <c r="A5015" s="148">
        <v>45992</v>
      </c>
      <c r="B5015" s="149" t="s">
        <v>21</v>
      </c>
      <c r="C5015" s="157" t="s">
        <v>2212</v>
      </c>
      <c r="D5015" s="151">
        <v>10</v>
      </c>
      <c r="E5015" s="151">
        <v>90</v>
      </c>
      <c r="F5015" s="157"/>
      <c r="G5015" s="158">
        <v>45992</v>
      </c>
      <c r="H5015" s="152" t="s">
        <v>2953</v>
      </c>
      <c r="I5015" s="153">
        <v>-9415</v>
      </c>
      <c r="J5015" s="24">
        <v>1</v>
      </c>
      <c r="K5015" s="24"/>
      <c r="L5015" s="91"/>
      <c r="M5015" s="24"/>
      <c r="N5015" s="12">
        <f t="shared" si="192"/>
        <v>1</v>
      </c>
      <c r="O5015" s="147">
        <f t="shared" si="193"/>
        <v>-9415</v>
      </c>
      <c r="P5015" s="10">
        <v>175</v>
      </c>
      <c r="Q5015" s="10" t="s">
        <v>1928</v>
      </c>
      <c r="R5015" s="154">
        <f>+テーブル1[[#This Row],[合計金額]]*テーブル1[[#This Row],[自社報酬率％]]/100</f>
        <v>-8473.5</v>
      </c>
    </row>
    <row r="5016" spans="1:18">
      <c r="A5016" s="148">
        <v>45992</v>
      </c>
      <c r="B5016" s="149" t="s">
        <v>21</v>
      </c>
      <c r="C5016" s="157" t="s">
        <v>22</v>
      </c>
      <c r="D5016" s="151">
        <v>0</v>
      </c>
      <c r="E5016" s="151">
        <v>100</v>
      </c>
      <c r="F5016" s="157"/>
      <c r="G5016" s="158">
        <v>45992</v>
      </c>
      <c r="H5016" s="152"/>
      <c r="I5016" s="153">
        <v>-385</v>
      </c>
      <c r="J5016" s="24">
        <v>1</v>
      </c>
      <c r="K5016" s="24"/>
      <c r="L5016" s="91"/>
      <c r="M5016" s="24"/>
      <c r="N5016" s="12">
        <f t="shared" si="192"/>
        <v>1</v>
      </c>
      <c r="O5016" s="147">
        <f t="shared" si="193"/>
        <v>-385</v>
      </c>
      <c r="P5016" s="10">
        <v>176</v>
      </c>
      <c r="Q5016" s="10" t="s">
        <v>1928</v>
      </c>
      <c r="R5016" s="154">
        <f>+テーブル1[[#This Row],[合計金額]]*テーブル1[[#This Row],[自社報酬率％]]/100</f>
        <v>-385</v>
      </c>
    </row>
    <row r="5017" spans="1:18">
      <c r="A5017" s="148">
        <v>45992</v>
      </c>
      <c r="B5017" s="149" t="s">
        <v>21</v>
      </c>
      <c r="C5017" s="157" t="s">
        <v>2212</v>
      </c>
      <c r="D5017" s="151">
        <v>10</v>
      </c>
      <c r="E5017" s="151">
        <v>90</v>
      </c>
      <c r="F5017" s="157"/>
      <c r="G5017" s="158">
        <v>45992</v>
      </c>
      <c r="H5017" s="152" t="s">
        <v>2953</v>
      </c>
      <c r="I5017" s="153">
        <v>-9415</v>
      </c>
      <c r="J5017" s="24">
        <v>1</v>
      </c>
      <c r="K5017" s="24"/>
      <c r="L5017" s="91"/>
      <c r="M5017" s="24"/>
      <c r="N5017" s="12">
        <f t="shared" si="192"/>
        <v>1</v>
      </c>
      <c r="O5017" s="147">
        <f t="shared" si="193"/>
        <v>-9415</v>
      </c>
      <c r="P5017" s="10">
        <v>177</v>
      </c>
      <c r="Q5017" s="10" t="s">
        <v>1928</v>
      </c>
      <c r="R5017" s="154">
        <f>+テーブル1[[#This Row],[合計金額]]*テーブル1[[#This Row],[自社報酬率％]]/100</f>
        <v>-8473.5</v>
      </c>
    </row>
    <row r="5018" spans="1:18">
      <c r="A5018" s="148">
        <v>45992</v>
      </c>
      <c r="B5018" s="149" t="s">
        <v>21</v>
      </c>
      <c r="C5018" s="157" t="s">
        <v>22</v>
      </c>
      <c r="D5018" s="151">
        <v>0</v>
      </c>
      <c r="E5018" s="151">
        <v>100</v>
      </c>
      <c r="F5018" s="157"/>
      <c r="G5018" s="158">
        <v>45992</v>
      </c>
      <c r="H5018" s="152"/>
      <c r="I5018" s="153">
        <v>-385</v>
      </c>
      <c r="J5018" s="24">
        <v>1</v>
      </c>
      <c r="K5018" s="24"/>
      <c r="L5018" s="91"/>
      <c r="M5018" s="24"/>
      <c r="N5018" s="12">
        <f t="shared" si="192"/>
        <v>1</v>
      </c>
      <c r="O5018" s="147">
        <f t="shared" si="193"/>
        <v>-385</v>
      </c>
      <c r="P5018" s="10">
        <v>178</v>
      </c>
      <c r="Q5018" s="10" t="s">
        <v>1928</v>
      </c>
      <c r="R5018" s="154">
        <f>+テーブル1[[#This Row],[合計金額]]*テーブル1[[#This Row],[自社報酬率％]]/100</f>
        <v>-385</v>
      </c>
    </row>
    <row r="5019" spans="1:18">
      <c r="A5019" s="148">
        <v>45992</v>
      </c>
      <c r="B5019" s="149" t="s">
        <v>21</v>
      </c>
      <c r="C5019" s="157" t="s">
        <v>2212</v>
      </c>
      <c r="D5019" s="151">
        <v>10</v>
      </c>
      <c r="E5019" s="151">
        <v>90</v>
      </c>
      <c r="F5019" s="157"/>
      <c r="G5019" s="158">
        <v>45992</v>
      </c>
      <c r="H5019" s="152" t="s">
        <v>2953</v>
      </c>
      <c r="I5019" s="153">
        <v>-9415</v>
      </c>
      <c r="J5019" s="24">
        <v>1</v>
      </c>
      <c r="K5019" s="24"/>
      <c r="L5019" s="91"/>
      <c r="M5019" s="24"/>
      <c r="N5019" s="12">
        <f t="shared" si="192"/>
        <v>1</v>
      </c>
      <c r="O5019" s="147">
        <f t="shared" si="193"/>
        <v>-9415</v>
      </c>
      <c r="P5019" s="10">
        <v>179</v>
      </c>
      <c r="Q5019" s="10" t="s">
        <v>1928</v>
      </c>
      <c r="R5019" s="154">
        <f>+テーブル1[[#This Row],[合計金額]]*テーブル1[[#This Row],[自社報酬率％]]/100</f>
        <v>-8473.5</v>
      </c>
    </row>
    <row r="5020" spans="1:18">
      <c r="A5020" s="148">
        <v>45992</v>
      </c>
      <c r="B5020" s="149" t="s">
        <v>21</v>
      </c>
      <c r="C5020" s="157" t="s">
        <v>22</v>
      </c>
      <c r="D5020" s="151">
        <v>0</v>
      </c>
      <c r="E5020" s="151">
        <v>100</v>
      </c>
      <c r="F5020" s="157"/>
      <c r="G5020" s="158">
        <v>45992</v>
      </c>
      <c r="H5020" s="152"/>
      <c r="I5020" s="153">
        <v>-385</v>
      </c>
      <c r="J5020" s="24">
        <v>1</v>
      </c>
      <c r="K5020" s="24"/>
      <c r="L5020" s="91"/>
      <c r="M5020" s="24"/>
      <c r="N5020" s="12">
        <f t="shared" si="192"/>
        <v>1</v>
      </c>
      <c r="O5020" s="147">
        <f t="shared" si="193"/>
        <v>-385</v>
      </c>
      <c r="P5020" s="10">
        <v>180</v>
      </c>
      <c r="Q5020" s="10" t="s">
        <v>1928</v>
      </c>
      <c r="R5020" s="154">
        <f>+テーブル1[[#This Row],[合計金額]]*テーブル1[[#This Row],[自社報酬率％]]/100</f>
        <v>-385</v>
      </c>
    </row>
    <row r="5021" spans="1:18">
      <c r="A5021" s="148">
        <v>45992</v>
      </c>
      <c r="B5021" s="149" t="s">
        <v>21</v>
      </c>
      <c r="C5021" s="157" t="s">
        <v>2212</v>
      </c>
      <c r="D5021" s="151">
        <v>10</v>
      </c>
      <c r="E5021" s="151">
        <v>90</v>
      </c>
      <c r="F5021" s="157"/>
      <c r="G5021" s="158">
        <v>45992</v>
      </c>
      <c r="H5021" s="152" t="s">
        <v>2953</v>
      </c>
      <c r="I5021" s="153">
        <v>-9415</v>
      </c>
      <c r="J5021" s="24">
        <v>1</v>
      </c>
      <c r="K5021" s="24"/>
      <c r="L5021" s="91"/>
      <c r="M5021" s="24"/>
      <c r="N5021" s="12">
        <f t="shared" si="192"/>
        <v>1</v>
      </c>
      <c r="O5021" s="147">
        <f t="shared" si="193"/>
        <v>-9415</v>
      </c>
      <c r="P5021" s="10">
        <v>181</v>
      </c>
      <c r="Q5021" s="10" t="s">
        <v>1928</v>
      </c>
      <c r="R5021" s="154">
        <f>+テーブル1[[#This Row],[合計金額]]*テーブル1[[#This Row],[自社報酬率％]]/100</f>
        <v>-8473.5</v>
      </c>
    </row>
    <row r="5022" spans="1:18">
      <c r="A5022" s="148">
        <v>45992</v>
      </c>
      <c r="B5022" s="149" t="s">
        <v>21</v>
      </c>
      <c r="C5022" s="157" t="s">
        <v>22</v>
      </c>
      <c r="D5022" s="151">
        <v>0</v>
      </c>
      <c r="E5022" s="151">
        <v>100</v>
      </c>
      <c r="F5022" s="157"/>
      <c r="G5022" s="158">
        <v>45992</v>
      </c>
      <c r="H5022" s="152"/>
      <c r="I5022" s="153">
        <v>-385</v>
      </c>
      <c r="J5022" s="24">
        <v>1</v>
      </c>
      <c r="K5022" s="24"/>
      <c r="L5022" s="91"/>
      <c r="M5022" s="24"/>
      <c r="N5022" s="12">
        <f t="shared" si="192"/>
        <v>1</v>
      </c>
      <c r="O5022" s="147">
        <f t="shared" si="193"/>
        <v>-385</v>
      </c>
      <c r="P5022" s="10">
        <v>182</v>
      </c>
      <c r="Q5022" s="10" t="s">
        <v>1928</v>
      </c>
      <c r="R5022" s="154">
        <f>+テーブル1[[#This Row],[合計金額]]*テーブル1[[#This Row],[自社報酬率％]]/100</f>
        <v>-385</v>
      </c>
    </row>
    <row r="5023" spans="1:18">
      <c r="A5023" s="148">
        <v>45992</v>
      </c>
      <c r="B5023" s="149" t="s">
        <v>21</v>
      </c>
      <c r="C5023" s="157" t="s">
        <v>2212</v>
      </c>
      <c r="D5023" s="151">
        <v>10</v>
      </c>
      <c r="E5023" s="151">
        <v>90</v>
      </c>
      <c r="F5023" s="157"/>
      <c r="G5023" s="158">
        <v>45992</v>
      </c>
      <c r="H5023" s="152" t="s">
        <v>2953</v>
      </c>
      <c r="I5023" s="153">
        <v>-9415</v>
      </c>
      <c r="J5023" s="24">
        <v>1</v>
      </c>
      <c r="K5023" s="24"/>
      <c r="L5023" s="91"/>
      <c r="M5023" s="24"/>
      <c r="N5023" s="12">
        <f t="shared" si="192"/>
        <v>1</v>
      </c>
      <c r="O5023" s="147">
        <f t="shared" si="193"/>
        <v>-9415</v>
      </c>
      <c r="P5023" s="10">
        <v>183</v>
      </c>
      <c r="Q5023" s="10" t="s">
        <v>1928</v>
      </c>
      <c r="R5023" s="154">
        <f>+テーブル1[[#This Row],[合計金額]]*テーブル1[[#This Row],[自社報酬率％]]/100</f>
        <v>-8473.5</v>
      </c>
    </row>
    <row r="5024" spans="1:18">
      <c r="A5024" s="148">
        <v>45992</v>
      </c>
      <c r="B5024" s="149" t="s">
        <v>21</v>
      </c>
      <c r="C5024" s="157" t="s">
        <v>22</v>
      </c>
      <c r="D5024" s="151">
        <v>0</v>
      </c>
      <c r="E5024" s="151">
        <v>100</v>
      </c>
      <c r="F5024" s="157"/>
      <c r="G5024" s="158">
        <v>45992</v>
      </c>
      <c r="H5024" s="152"/>
      <c r="I5024" s="153">
        <v>-385</v>
      </c>
      <c r="J5024" s="24">
        <v>1</v>
      </c>
      <c r="K5024" s="24"/>
      <c r="L5024" s="91"/>
      <c r="M5024" s="24"/>
      <c r="N5024" s="12">
        <f t="shared" si="192"/>
        <v>1</v>
      </c>
      <c r="O5024" s="147">
        <f t="shared" si="193"/>
        <v>-385</v>
      </c>
      <c r="P5024" s="10">
        <v>184</v>
      </c>
      <c r="Q5024" s="10" t="s">
        <v>1928</v>
      </c>
      <c r="R5024" s="154">
        <f>+テーブル1[[#This Row],[合計金額]]*テーブル1[[#This Row],[自社報酬率％]]/100</f>
        <v>-385</v>
      </c>
    </row>
    <row r="5025" spans="1:18">
      <c r="A5025" s="148">
        <v>45992</v>
      </c>
      <c r="B5025" s="149" t="s">
        <v>21</v>
      </c>
      <c r="C5025" s="157" t="s">
        <v>2212</v>
      </c>
      <c r="D5025" s="151">
        <v>10</v>
      </c>
      <c r="E5025" s="151">
        <v>90</v>
      </c>
      <c r="F5025" s="157"/>
      <c r="G5025" s="158">
        <v>45992</v>
      </c>
      <c r="H5025" s="152" t="s">
        <v>2954</v>
      </c>
      <c r="I5025" s="153">
        <v>-29315</v>
      </c>
      <c r="J5025" s="24">
        <v>1</v>
      </c>
      <c r="K5025" s="24"/>
      <c r="L5025" s="91"/>
      <c r="M5025" s="24"/>
      <c r="N5025" s="12">
        <f t="shared" si="192"/>
        <v>1</v>
      </c>
      <c r="O5025" s="147">
        <f t="shared" si="193"/>
        <v>-29315</v>
      </c>
      <c r="P5025" s="10">
        <v>185</v>
      </c>
      <c r="Q5025" s="10" t="s">
        <v>1928</v>
      </c>
      <c r="R5025" s="154">
        <f>+テーブル1[[#This Row],[合計金額]]*テーブル1[[#This Row],[自社報酬率％]]/100</f>
        <v>-26383.5</v>
      </c>
    </row>
    <row r="5026" spans="1:18">
      <c r="A5026" s="148">
        <v>45992</v>
      </c>
      <c r="B5026" s="149" t="s">
        <v>21</v>
      </c>
      <c r="C5026" s="157" t="s">
        <v>22</v>
      </c>
      <c r="D5026" s="151">
        <v>0</v>
      </c>
      <c r="E5026" s="151">
        <v>100</v>
      </c>
      <c r="F5026" s="157"/>
      <c r="G5026" s="158">
        <v>45992</v>
      </c>
      <c r="H5026" s="152"/>
      <c r="I5026" s="153">
        <v>-385</v>
      </c>
      <c r="J5026" s="24">
        <v>1</v>
      </c>
      <c r="K5026" s="24"/>
      <c r="L5026" s="91"/>
      <c r="M5026" s="24"/>
      <c r="N5026" s="12">
        <f t="shared" si="192"/>
        <v>1</v>
      </c>
      <c r="O5026" s="147">
        <f t="shared" si="193"/>
        <v>-385</v>
      </c>
      <c r="P5026" s="10">
        <v>186</v>
      </c>
      <c r="Q5026" s="10" t="s">
        <v>1928</v>
      </c>
      <c r="R5026" s="154">
        <f>+テーブル1[[#This Row],[合計金額]]*テーブル1[[#This Row],[自社報酬率％]]/100</f>
        <v>-385</v>
      </c>
    </row>
    <row r="5027" spans="1:18">
      <c r="A5027" s="148">
        <v>45992</v>
      </c>
      <c r="B5027" s="149" t="s">
        <v>21</v>
      </c>
      <c r="C5027" s="157" t="s">
        <v>2212</v>
      </c>
      <c r="D5027" s="151">
        <v>10</v>
      </c>
      <c r="E5027" s="151">
        <v>90</v>
      </c>
      <c r="F5027" s="157"/>
      <c r="G5027" s="158">
        <v>45992</v>
      </c>
      <c r="H5027" s="152" t="s">
        <v>2953</v>
      </c>
      <c r="I5027" s="153">
        <v>-9415</v>
      </c>
      <c r="J5027" s="24">
        <v>1</v>
      </c>
      <c r="K5027" s="24"/>
      <c r="L5027" s="91"/>
      <c r="M5027" s="24"/>
      <c r="N5027" s="12">
        <f t="shared" si="192"/>
        <v>1</v>
      </c>
      <c r="O5027" s="147">
        <f t="shared" si="193"/>
        <v>-9415</v>
      </c>
      <c r="P5027" s="10">
        <v>187</v>
      </c>
      <c r="Q5027" s="10" t="s">
        <v>1928</v>
      </c>
      <c r="R5027" s="154">
        <f>+テーブル1[[#This Row],[合計金額]]*テーブル1[[#This Row],[自社報酬率％]]/100</f>
        <v>-8473.5</v>
      </c>
    </row>
    <row r="5028" spans="1:18">
      <c r="A5028" s="148">
        <v>45992</v>
      </c>
      <c r="B5028" s="149" t="s">
        <v>21</v>
      </c>
      <c r="C5028" s="157" t="s">
        <v>22</v>
      </c>
      <c r="D5028" s="151">
        <v>0</v>
      </c>
      <c r="E5028" s="151">
        <v>100</v>
      </c>
      <c r="F5028" s="157"/>
      <c r="G5028" s="158">
        <v>45992</v>
      </c>
      <c r="H5028" s="152"/>
      <c r="I5028" s="153">
        <v>-385</v>
      </c>
      <c r="J5028" s="24">
        <v>1</v>
      </c>
      <c r="K5028" s="24"/>
      <c r="L5028" s="91"/>
      <c r="M5028" s="24"/>
      <c r="N5028" s="12">
        <f t="shared" si="192"/>
        <v>1</v>
      </c>
      <c r="O5028" s="147">
        <f t="shared" si="193"/>
        <v>-385</v>
      </c>
      <c r="P5028" s="10">
        <v>188</v>
      </c>
      <c r="Q5028" s="10" t="s">
        <v>1928</v>
      </c>
      <c r="R5028" s="154">
        <f>+テーブル1[[#This Row],[合計金額]]*テーブル1[[#This Row],[自社報酬率％]]/100</f>
        <v>-385</v>
      </c>
    </row>
    <row r="5029" spans="1:18">
      <c r="A5029" s="148">
        <v>45992</v>
      </c>
      <c r="B5029" s="149" t="s">
        <v>21</v>
      </c>
      <c r="C5029" s="157" t="s">
        <v>2212</v>
      </c>
      <c r="D5029" s="151">
        <v>10</v>
      </c>
      <c r="E5029" s="151">
        <v>90</v>
      </c>
      <c r="F5029" s="157"/>
      <c r="G5029" s="158">
        <v>45992</v>
      </c>
      <c r="H5029" s="152" t="s">
        <v>2954</v>
      </c>
      <c r="I5029" s="153">
        <v>-29315</v>
      </c>
      <c r="J5029" s="24">
        <v>1</v>
      </c>
      <c r="K5029" s="24"/>
      <c r="L5029" s="91"/>
      <c r="M5029" s="24"/>
      <c r="N5029" s="12">
        <f t="shared" si="192"/>
        <v>1</v>
      </c>
      <c r="O5029" s="147">
        <f t="shared" si="193"/>
        <v>-29315</v>
      </c>
      <c r="P5029" s="10">
        <v>189</v>
      </c>
      <c r="Q5029" s="10" t="s">
        <v>1928</v>
      </c>
      <c r="R5029" s="154">
        <f>+テーブル1[[#This Row],[合計金額]]*テーブル1[[#This Row],[自社報酬率％]]/100</f>
        <v>-26383.5</v>
      </c>
    </row>
    <row r="5030" spans="1:18">
      <c r="A5030" s="148">
        <v>45992</v>
      </c>
      <c r="B5030" s="149" t="s">
        <v>21</v>
      </c>
      <c r="C5030" s="157" t="s">
        <v>22</v>
      </c>
      <c r="D5030" s="151">
        <v>0</v>
      </c>
      <c r="E5030" s="151">
        <v>100</v>
      </c>
      <c r="F5030" s="157"/>
      <c r="G5030" s="158">
        <v>45992</v>
      </c>
      <c r="H5030" s="152"/>
      <c r="I5030" s="153">
        <v>-385</v>
      </c>
      <c r="J5030" s="24">
        <v>1</v>
      </c>
      <c r="K5030" s="24"/>
      <c r="L5030" s="91"/>
      <c r="M5030" s="24"/>
      <c r="N5030" s="12">
        <f t="shared" ref="N5030:N5039" si="194">J5030-K5030-L5030-M5030</f>
        <v>1</v>
      </c>
      <c r="O5030" s="147">
        <f t="shared" si="193"/>
        <v>-385</v>
      </c>
      <c r="P5030" s="10">
        <v>190</v>
      </c>
      <c r="Q5030" s="10" t="s">
        <v>1928</v>
      </c>
      <c r="R5030" s="154">
        <f>+テーブル1[[#This Row],[合計金額]]*テーブル1[[#This Row],[自社報酬率％]]/100</f>
        <v>-385</v>
      </c>
    </row>
    <row r="5031" spans="1:18">
      <c r="A5031" s="148">
        <v>45992</v>
      </c>
      <c r="B5031" s="149" t="s">
        <v>21</v>
      </c>
      <c r="C5031" s="157" t="s">
        <v>2212</v>
      </c>
      <c r="D5031" s="151">
        <v>10</v>
      </c>
      <c r="E5031" s="151">
        <v>90</v>
      </c>
      <c r="F5031" s="157"/>
      <c r="G5031" s="158">
        <v>45992</v>
      </c>
      <c r="H5031" s="152" t="s">
        <v>2954</v>
      </c>
      <c r="I5031" s="153">
        <v>-29315</v>
      </c>
      <c r="J5031" s="24">
        <v>1</v>
      </c>
      <c r="K5031" s="24"/>
      <c r="L5031" s="91"/>
      <c r="M5031" s="24"/>
      <c r="N5031" s="12">
        <f t="shared" si="194"/>
        <v>1</v>
      </c>
      <c r="O5031" s="147">
        <f t="shared" si="193"/>
        <v>-29315</v>
      </c>
      <c r="P5031" s="10">
        <v>191</v>
      </c>
      <c r="Q5031" s="10" t="s">
        <v>1928</v>
      </c>
      <c r="R5031" s="154">
        <f>+テーブル1[[#This Row],[合計金額]]*テーブル1[[#This Row],[自社報酬率％]]/100</f>
        <v>-26383.5</v>
      </c>
    </row>
    <row r="5032" spans="1:18">
      <c r="A5032" s="148">
        <v>45992</v>
      </c>
      <c r="B5032" s="149" t="s">
        <v>21</v>
      </c>
      <c r="C5032" s="157" t="s">
        <v>22</v>
      </c>
      <c r="D5032" s="151">
        <v>0</v>
      </c>
      <c r="E5032" s="151">
        <v>100</v>
      </c>
      <c r="F5032" s="157"/>
      <c r="G5032" s="158">
        <v>45992</v>
      </c>
      <c r="H5032" s="152"/>
      <c r="I5032" s="153">
        <v>-385</v>
      </c>
      <c r="J5032" s="24">
        <v>1</v>
      </c>
      <c r="K5032" s="24"/>
      <c r="L5032" s="91"/>
      <c r="M5032" s="24"/>
      <c r="N5032" s="12">
        <f t="shared" si="194"/>
        <v>1</v>
      </c>
      <c r="O5032" s="147">
        <f t="shared" si="193"/>
        <v>-385</v>
      </c>
      <c r="P5032" s="10">
        <v>192</v>
      </c>
      <c r="Q5032" s="10" t="s">
        <v>1928</v>
      </c>
      <c r="R5032" s="154">
        <f>+テーブル1[[#This Row],[合計金額]]*テーブル1[[#This Row],[自社報酬率％]]/100</f>
        <v>-385</v>
      </c>
    </row>
    <row r="5033" spans="1:18">
      <c r="A5033" s="148">
        <v>45992</v>
      </c>
      <c r="B5033" s="149" t="s">
        <v>21</v>
      </c>
      <c r="C5033" s="157" t="s">
        <v>2212</v>
      </c>
      <c r="D5033" s="151">
        <v>10</v>
      </c>
      <c r="E5033" s="151">
        <v>90</v>
      </c>
      <c r="F5033" s="157"/>
      <c r="G5033" s="158">
        <v>45992</v>
      </c>
      <c r="H5033" s="152" t="s">
        <v>2954</v>
      </c>
      <c r="I5033" s="153">
        <v>-29315</v>
      </c>
      <c r="J5033" s="24">
        <v>1</v>
      </c>
      <c r="K5033" s="24"/>
      <c r="L5033" s="91"/>
      <c r="M5033" s="24"/>
      <c r="N5033" s="12">
        <f t="shared" si="194"/>
        <v>1</v>
      </c>
      <c r="O5033" s="147">
        <f t="shared" si="193"/>
        <v>-29315</v>
      </c>
      <c r="P5033" s="10">
        <v>193</v>
      </c>
      <c r="Q5033" s="10" t="s">
        <v>1928</v>
      </c>
      <c r="R5033" s="154">
        <f>+テーブル1[[#This Row],[合計金額]]*テーブル1[[#This Row],[自社報酬率％]]/100</f>
        <v>-26383.5</v>
      </c>
    </row>
    <row r="5034" spans="1:18">
      <c r="A5034" s="148">
        <v>45992</v>
      </c>
      <c r="B5034" s="149" t="s">
        <v>21</v>
      </c>
      <c r="C5034" s="157" t="s">
        <v>22</v>
      </c>
      <c r="D5034" s="151">
        <v>0</v>
      </c>
      <c r="E5034" s="151">
        <v>100</v>
      </c>
      <c r="F5034" s="157"/>
      <c r="G5034" s="158">
        <v>45992</v>
      </c>
      <c r="H5034" s="152"/>
      <c r="I5034" s="153">
        <v>-385</v>
      </c>
      <c r="J5034" s="24">
        <v>1</v>
      </c>
      <c r="K5034" s="24"/>
      <c r="L5034" s="91"/>
      <c r="M5034" s="24"/>
      <c r="N5034" s="12">
        <f t="shared" si="194"/>
        <v>1</v>
      </c>
      <c r="O5034" s="147">
        <f t="shared" si="193"/>
        <v>-385</v>
      </c>
      <c r="P5034" s="10">
        <v>194</v>
      </c>
      <c r="Q5034" s="10" t="s">
        <v>1928</v>
      </c>
      <c r="R5034" s="154">
        <f>+テーブル1[[#This Row],[合計金額]]*テーブル1[[#This Row],[自社報酬率％]]/100</f>
        <v>-385</v>
      </c>
    </row>
    <row r="5035" spans="1:18">
      <c r="A5035" s="148">
        <v>45992</v>
      </c>
      <c r="B5035" s="149" t="s">
        <v>21</v>
      </c>
      <c r="C5035" s="150" t="s">
        <v>44</v>
      </c>
      <c r="D5035" s="151">
        <v>100</v>
      </c>
      <c r="E5035" s="151">
        <v>100</v>
      </c>
      <c r="F5035" s="157"/>
      <c r="G5035" s="158">
        <v>45992</v>
      </c>
      <c r="H5035" s="152" t="s">
        <v>1946</v>
      </c>
      <c r="I5035" s="153">
        <v>-29975</v>
      </c>
      <c r="J5035" s="24">
        <v>1</v>
      </c>
      <c r="K5035" s="24"/>
      <c r="L5035" s="91"/>
      <c r="M5035" s="24"/>
      <c r="N5035" s="12">
        <f t="shared" si="194"/>
        <v>1</v>
      </c>
      <c r="O5035" s="147">
        <f t="shared" si="193"/>
        <v>-29975</v>
      </c>
      <c r="P5035" s="10">
        <v>195</v>
      </c>
      <c r="Q5035" s="10" t="s">
        <v>1928</v>
      </c>
      <c r="R5035" s="154">
        <f>+テーブル1[[#This Row],[合計金額]]*テーブル1[[#This Row],[自社報酬率％]]/100</f>
        <v>-29975</v>
      </c>
    </row>
    <row r="5036" spans="1:18">
      <c r="A5036" s="148">
        <v>45992</v>
      </c>
      <c r="B5036" s="149" t="s">
        <v>21</v>
      </c>
      <c r="C5036" s="157" t="s">
        <v>22</v>
      </c>
      <c r="D5036" s="151">
        <v>0</v>
      </c>
      <c r="E5036" s="151">
        <v>100</v>
      </c>
      <c r="F5036" s="157"/>
      <c r="G5036" s="158">
        <v>45992</v>
      </c>
      <c r="H5036" s="152"/>
      <c r="I5036" s="153">
        <v>-385</v>
      </c>
      <c r="J5036" s="24">
        <v>1</v>
      </c>
      <c r="K5036" s="24"/>
      <c r="L5036" s="91"/>
      <c r="M5036" s="24"/>
      <c r="N5036" s="12">
        <f t="shared" si="194"/>
        <v>1</v>
      </c>
      <c r="O5036" s="147">
        <f t="shared" si="193"/>
        <v>-385</v>
      </c>
      <c r="P5036" s="10">
        <v>196</v>
      </c>
      <c r="Q5036" s="10" t="s">
        <v>1928</v>
      </c>
      <c r="R5036" s="154">
        <f>+テーブル1[[#This Row],[合計金額]]*テーブル1[[#This Row],[自社報酬率％]]/100</f>
        <v>-385</v>
      </c>
    </row>
    <row r="5037" spans="1:18">
      <c r="A5037" s="148">
        <v>45992</v>
      </c>
      <c r="B5037" s="149" t="s">
        <v>112</v>
      </c>
      <c r="C5037" s="150" t="s">
        <v>44</v>
      </c>
      <c r="D5037" s="151">
        <v>100</v>
      </c>
      <c r="E5037" s="151">
        <v>100</v>
      </c>
      <c r="F5037" s="159" t="s">
        <v>16</v>
      </c>
      <c r="G5037" s="156">
        <v>46023</v>
      </c>
      <c r="H5037" s="152" t="s">
        <v>3213</v>
      </c>
      <c r="I5037" s="153">
        <v>3000</v>
      </c>
      <c r="J5037" s="24">
        <v>7</v>
      </c>
      <c r="K5037" s="24">
        <v>0</v>
      </c>
      <c r="L5037" s="91">
        <v>0</v>
      </c>
      <c r="M5037" s="24">
        <v>0</v>
      </c>
      <c r="N5037" s="100">
        <f t="shared" si="194"/>
        <v>7</v>
      </c>
      <c r="O5037" s="147">
        <f t="shared" ref="O5037:O5065" si="195">+I5037*N5037</f>
        <v>21000</v>
      </c>
      <c r="P5037" s="10">
        <v>347</v>
      </c>
      <c r="Q5037" s="10" t="s">
        <v>1928</v>
      </c>
      <c r="R5037" s="154">
        <f>+テーブル1[[#This Row],[合計金額]]*テーブル1[[#This Row],[自社報酬率％]]/100</f>
        <v>21000</v>
      </c>
    </row>
    <row r="5038" spans="1:18">
      <c r="A5038" s="148">
        <v>45992</v>
      </c>
      <c r="B5038" s="149" t="s">
        <v>112</v>
      </c>
      <c r="C5038" s="150" t="s">
        <v>44</v>
      </c>
      <c r="D5038" s="151">
        <v>100</v>
      </c>
      <c r="E5038" s="151">
        <v>100</v>
      </c>
      <c r="F5038" s="159" t="s">
        <v>16</v>
      </c>
      <c r="G5038" s="156">
        <v>46023</v>
      </c>
      <c r="H5038" s="152" t="s">
        <v>3328</v>
      </c>
      <c r="I5038" s="153">
        <v>6300</v>
      </c>
      <c r="J5038" s="24">
        <v>1</v>
      </c>
      <c r="K5038" s="24">
        <v>0</v>
      </c>
      <c r="L5038" s="91">
        <v>0</v>
      </c>
      <c r="M5038" s="24">
        <v>0</v>
      </c>
      <c r="N5038" s="100">
        <f t="shared" si="194"/>
        <v>1</v>
      </c>
      <c r="O5038" s="147">
        <f t="shared" si="195"/>
        <v>6300</v>
      </c>
      <c r="P5038" s="10">
        <v>348</v>
      </c>
      <c r="Q5038" s="10" t="s">
        <v>1928</v>
      </c>
      <c r="R5038" s="154">
        <f>+テーブル1[[#This Row],[合計金額]]*テーブル1[[#This Row],[自社報酬率％]]/100</f>
        <v>6300</v>
      </c>
    </row>
    <row r="5039" spans="1:18">
      <c r="A5039" s="148">
        <v>45992</v>
      </c>
      <c r="B5039" s="149" t="s">
        <v>112</v>
      </c>
      <c r="C5039" s="150" t="s">
        <v>44</v>
      </c>
      <c r="D5039" s="151">
        <v>100</v>
      </c>
      <c r="E5039" s="151">
        <v>100</v>
      </c>
      <c r="F5039" s="160" t="s">
        <v>20</v>
      </c>
      <c r="G5039" s="158">
        <v>45992</v>
      </c>
      <c r="H5039" s="152" t="s">
        <v>3074</v>
      </c>
      <c r="I5039" s="153">
        <v>217800</v>
      </c>
      <c r="J5039" s="24">
        <v>1</v>
      </c>
      <c r="K5039" s="24">
        <v>0</v>
      </c>
      <c r="L5039" s="91">
        <v>0</v>
      </c>
      <c r="M5039" s="24">
        <v>0</v>
      </c>
      <c r="N5039" s="100">
        <f t="shared" si="194"/>
        <v>1</v>
      </c>
      <c r="O5039" s="147">
        <f t="shared" si="195"/>
        <v>217800</v>
      </c>
      <c r="P5039" s="10">
        <v>349</v>
      </c>
      <c r="Q5039" s="10" t="s">
        <v>1928</v>
      </c>
      <c r="R5039" s="154">
        <f>+テーブル1[[#This Row],[合計金額]]*テーブル1[[#This Row],[自社報酬率％]]/100</f>
        <v>217800</v>
      </c>
    </row>
    <row r="5040" spans="1:18">
      <c r="A5040" s="148">
        <v>45992</v>
      </c>
      <c r="B5040" s="149" t="s">
        <v>112</v>
      </c>
      <c r="C5040" s="157" t="s">
        <v>2043</v>
      </c>
      <c r="D5040" s="151">
        <v>60</v>
      </c>
      <c r="E5040" s="151">
        <v>40</v>
      </c>
      <c r="F5040" s="157" t="s">
        <v>17</v>
      </c>
      <c r="G5040" s="158">
        <v>45992</v>
      </c>
      <c r="H5040" s="152" t="s">
        <v>3329</v>
      </c>
      <c r="I5040" s="153">
        <v>349200</v>
      </c>
      <c r="J5040" s="24">
        <v>2</v>
      </c>
      <c r="K5040" s="24">
        <v>0</v>
      </c>
      <c r="L5040" s="91">
        <v>0</v>
      </c>
      <c r="M5040" s="24">
        <v>0</v>
      </c>
      <c r="N5040" s="12">
        <f>J5040-K5040-L5040-M5040</f>
        <v>2</v>
      </c>
      <c r="O5040" s="147">
        <f t="shared" si="195"/>
        <v>698400</v>
      </c>
      <c r="P5040" s="10">
        <v>350</v>
      </c>
      <c r="Q5040" s="10" t="s">
        <v>1928</v>
      </c>
      <c r="R5040" s="154">
        <f>+テーブル1[[#This Row],[合計金額]]*テーブル1[[#This Row],[自社報酬率％]]/100</f>
        <v>279360</v>
      </c>
    </row>
    <row r="5041" spans="1:18">
      <c r="A5041" s="148">
        <v>45992</v>
      </c>
      <c r="B5041" s="149" t="s">
        <v>112</v>
      </c>
      <c r="C5041" s="157" t="s">
        <v>2043</v>
      </c>
      <c r="D5041" s="151">
        <v>60</v>
      </c>
      <c r="E5041" s="151">
        <v>40</v>
      </c>
      <c r="F5041" s="157" t="s">
        <v>17</v>
      </c>
      <c r="G5041" s="158">
        <v>45992</v>
      </c>
      <c r="H5041" s="152" t="s">
        <v>3324</v>
      </c>
      <c r="I5041" s="153">
        <v>349200</v>
      </c>
      <c r="J5041" s="24">
        <v>2</v>
      </c>
      <c r="K5041" s="24">
        <v>0</v>
      </c>
      <c r="L5041" s="91">
        <v>0</v>
      </c>
      <c r="M5041" s="24">
        <v>0</v>
      </c>
      <c r="N5041" s="12">
        <f t="shared" ref="N5041:N5065" si="196">J5041-K5041-L5041-M5041</f>
        <v>2</v>
      </c>
      <c r="O5041" s="147">
        <f t="shared" si="195"/>
        <v>698400</v>
      </c>
      <c r="P5041" s="10">
        <v>351</v>
      </c>
      <c r="Q5041" s="10" t="s">
        <v>1928</v>
      </c>
      <c r="R5041" s="154">
        <f>+テーブル1[[#This Row],[合計金額]]*テーブル1[[#This Row],[自社報酬率％]]/100</f>
        <v>279360</v>
      </c>
    </row>
    <row r="5042" spans="1:18">
      <c r="A5042" s="148">
        <v>45992</v>
      </c>
      <c r="B5042" s="149" t="s">
        <v>112</v>
      </c>
      <c r="C5042" s="157" t="s">
        <v>2043</v>
      </c>
      <c r="D5042" s="151">
        <v>60</v>
      </c>
      <c r="E5042" s="151">
        <v>40</v>
      </c>
      <c r="F5042" s="157" t="s">
        <v>19</v>
      </c>
      <c r="G5042" s="158">
        <v>45992</v>
      </c>
      <c r="H5042" s="152" t="s">
        <v>3330</v>
      </c>
      <c r="I5042" s="153">
        <v>198000</v>
      </c>
      <c r="J5042" s="24">
        <v>1</v>
      </c>
      <c r="K5042" s="24">
        <v>0</v>
      </c>
      <c r="L5042" s="91">
        <v>0</v>
      </c>
      <c r="M5042" s="24">
        <v>0</v>
      </c>
      <c r="N5042" s="12">
        <f t="shared" si="196"/>
        <v>1</v>
      </c>
      <c r="O5042" s="147">
        <f t="shared" si="195"/>
        <v>198000</v>
      </c>
      <c r="P5042" s="10">
        <v>352</v>
      </c>
      <c r="Q5042" s="10" t="s">
        <v>1928</v>
      </c>
      <c r="R5042" s="154">
        <f>+テーブル1[[#This Row],[合計金額]]*テーブル1[[#This Row],[自社報酬率％]]/100</f>
        <v>79200</v>
      </c>
    </row>
    <row r="5043" spans="1:18">
      <c r="A5043" s="148">
        <v>45992</v>
      </c>
      <c r="B5043" s="149" t="s">
        <v>112</v>
      </c>
      <c r="C5043" s="157" t="s">
        <v>2043</v>
      </c>
      <c r="D5043" s="151">
        <v>60</v>
      </c>
      <c r="E5043" s="151">
        <v>40</v>
      </c>
      <c r="F5043" s="157" t="s">
        <v>19</v>
      </c>
      <c r="G5043" s="158">
        <v>45992</v>
      </c>
      <c r="H5043" s="152" t="s">
        <v>3331</v>
      </c>
      <c r="I5043" s="153">
        <v>198000</v>
      </c>
      <c r="J5043" s="24">
        <v>1</v>
      </c>
      <c r="K5043" s="24">
        <v>0</v>
      </c>
      <c r="L5043" s="91">
        <v>0</v>
      </c>
      <c r="M5043" s="24">
        <v>0</v>
      </c>
      <c r="N5043" s="12">
        <f t="shared" si="196"/>
        <v>1</v>
      </c>
      <c r="O5043" s="147">
        <f t="shared" si="195"/>
        <v>198000</v>
      </c>
      <c r="P5043" s="10">
        <v>353</v>
      </c>
      <c r="Q5043" s="10" t="s">
        <v>1928</v>
      </c>
      <c r="R5043" s="154">
        <f>+テーブル1[[#This Row],[合計金額]]*テーブル1[[#This Row],[自社報酬率％]]/100</f>
        <v>79200</v>
      </c>
    </row>
    <row r="5044" spans="1:18">
      <c r="A5044" s="148">
        <v>45992</v>
      </c>
      <c r="B5044" s="149" t="s">
        <v>112</v>
      </c>
      <c r="C5044" s="155" t="s">
        <v>2043</v>
      </c>
      <c r="D5044" s="151">
        <v>60</v>
      </c>
      <c r="E5044" s="151">
        <v>40</v>
      </c>
      <c r="F5044" s="155" t="s">
        <v>16</v>
      </c>
      <c r="G5044" s="156">
        <v>46023</v>
      </c>
      <c r="H5044" s="152" t="s">
        <v>3313</v>
      </c>
      <c r="I5044" s="153">
        <v>10780</v>
      </c>
      <c r="J5044" s="24">
        <v>5</v>
      </c>
      <c r="K5044" s="24">
        <v>0</v>
      </c>
      <c r="L5044" s="91">
        <v>0</v>
      </c>
      <c r="M5044" s="24">
        <v>0</v>
      </c>
      <c r="N5044" s="12">
        <f t="shared" si="196"/>
        <v>5</v>
      </c>
      <c r="O5044" s="147">
        <f t="shared" si="195"/>
        <v>53900</v>
      </c>
      <c r="P5044" s="10">
        <v>354</v>
      </c>
      <c r="Q5044" s="10" t="s">
        <v>1928</v>
      </c>
      <c r="R5044" s="154">
        <f>+テーブル1[[#This Row],[合計金額]]*テーブル1[[#This Row],[自社報酬率％]]/100</f>
        <v>21560</v>
      </c>
    </row>
    <row r="5045" spans="1:18">
      <c r="A5045" s="148">
        <v>45992</v>
      </c>
      <c r="B5045" s="149" t="s">
        <v>112</v>
      </c>
      <c r="C5045" s="155" t="s">
        <v>2043</v>
      </c>
      <c r="D5045" s="151">
        <v>60</v>
      </c>
      <c r="E5045" s="151">
        <v>40</v>
      </c>
      <c r="F5045" s="155" t="s">
        <v>16</v>
      </c>
      <c r="G5045" s="156">
        <v>46023</v>
      </c>
      <c r="H5045" s="152" t="s">
        <v>3315</v>
      </c>
      <c r="I5045" s="153">
        <v>10780</v>
      </c>
      <c r="J5045" s="24">
        <v>7</v>
      </c>
      <c r="K5045" s="24">
        <v>0</v>
      </c>
      <c r="L5045" s="91">
        <v>0</v>
      </c>
      <c r="M5045" s="24">
        <v>0</v>
      </c>
      <c r="N5045" s="12">
        <f t="shared" si="196"/>
        <v>7</v>
      </c>
      <c r="O5045" s="147">
        <f t="shared" si="195"/>
        <v>75460</v>
      </c>
      <c r="P5045" s="10">
        <v>355</v>
      </c>
      <c r="Q5045" s="10" t="s">
        <v>1928</v>
      </c>
      <c r="R5045" s="154">
        <f>+テーブル1[[#This Row],[合計金額]]*テーブル1[[#This Row],[自社報酬率％]]/100</f>
        <v>30184</v>
      </c>
    </row>
    <row r="5046" spans="1:18">
      <c r="A5046" s="148">
        <v>45992</v>
      </c>
      <c r="B5046" s="149" t="s">
        <v>112</v>
      </c>
      <c r="C5046" s="155" t="s">
        <v>2048</v>
      </c>
      <c r="D5046" s="151">
        <v>50</v>
      </c>
      <c r="E5046" s="151">
        <v>50</v>
      </c>
      <c r="F5046" s="155" t="s">
        <v>16</v>
      </c>
      <c r="G5046" s="156">
        <v>46023</v>
      </c>
      <c r="H5046" s="152" t="s">
        <v>3332</v>
      </c>
      <c r="I5046" s="153">
        <v>27000</v>
      </c>
      <c r="J5046" s="24">
        <v>1</v>
      </c>
      <c r="K5046" s="24">
        <v>0</v>
      </c>
      <c r="L5046" s="91">
        <v>0</v>
      </c>
      <c r="M5046" s="24">
        <v>0</v>
      </c>
      <c r="N5046" s="12">
        <f t="shared" si="196"/>
        <v>1</v>
      </c>
      <c r="O5046" s="147">
        <f t="shared" si="195"/>
        <v>27000</v>
      </c>
      <c r="P5046" s="10">
        <v>356</v>
      </c>
      <c r="Q5046" s="10" t="s">
        <v>1928</v>
      </c>
      <c r="R5046" s="154">
        <f>+テーブル1[[#This Row],[合計金額]]*テーブル1[[#This Row],[自社報酬率％]]/100</f>
        <v>13500</v>
      </c>
    </row>
    <row r="5047" spans="1:18">
      <c r="A5047" s="148">
        <v>45992</v>
      </c>
      <c r="B5047" s="149" t="s">
        <v>112</v>
      </c>
      <c r="C5047" s="155" t="s">
        <v>2045</v>
      </c>
      <c r="D5047" s="151">
        <v>40</v>
      </c>
      <c r="E5047" s="151">
        <v>60</v>
      </c>
      <c r="F5047" s="155" t="s">
        <v>16</v>
      </c>
      <c r="G5047" s="156">
        <v>46023</v>
      </c>
      <c r="H5047" s="152" t="s">
        <v>3314</v>
      </c>
      <c r="I5047" s="153">
        <v>16500</v>
      </c>
      <c r="J5047" s="24">
        <v>2</v>
      </c>
      <c r="K5047" s="24">
        <v>0</v>
      </c>
      <c r="L5047" s="91">
        <v>0</v>
      </c>
      <c r="M5047" s="24">
        <v>0</v>
      </c>
      <c r="N5047" s="12">
        <f t="shared" si="196"/>
        <v>2</v>
      </c>
      <c r="O5047" s="147">
        <f t="shared" si="195"/>
        <v>33000</v>
      </c>
      <c r="P5047" s="10">
        <v>357</v>
      </c>
      <c r="Q5047" s="10" t="s">
        <v>1928</v>
      </c>
      <c r="R5047" s="154">
        <f>+テーブル1[[#This Row],[合計金額]]*テーブル1[[#This Row],[自社報酬率％]]/100</f>
        <v>19800</v>
      </c>
    </row>
    <row r="5048" spans="1:18">
      <c r="A5048" s="148">
        <v>45992</v>
      </c>
      <c r="B5048" s="149" t="s">
        <v>112</v>
      </c>
      <c r="C5048" s="155" t="s">
        <v>2050</v>
      </c>
      <c r="D5048" s="151">
        <v>50</v>
      </c>
      <c r="E5048" s="151">
        <v>50</v>
      </c>
      <c r="F5048" s="155" t="s">
        <v>16</v>
      </c>
      <c r="G5048" s="156">
        <v>46023</v>
      </c>
      <c r="H5048" s="152" t="s">
        <v>3316</v>
      </c>
      <c r="I5048" s="153">
        <v>9800</v>
      </c>
      <c r="J5048" s="24">
        <v>2</v>
      </c>
      <c r="K5048" s="24">
        <v>0</v>
      </c>
      <c r="L5048" s="91">
        <v>0</v>
      </c>
      <c r="M5048" s="24">
        <v>0</v>
      </c>
      <c r="N5048" s="12">
        <f t="shared" si="196"/>
        <v>2</v>
      </c>
      <c r="O5048" s="147">
        <f t="shared" si="195"/>
        <v>19600</v>
      </c>
      <c r="P5048" s="10">
        <v>358</v>
      </c>
      <c r="Q5048" s="10" t="s">
        <v>1928</v>
      </c>
      <c r="R5048" s="154">
        <f>+テーブル1[[#This Row],[合計金額]]*テーブル1[[#This Row],[自社報酬率％]]/100</f>
        <v>9800</v>
      </c>
    </row>
    <row r="5049" spans="1:18">
      <c r="A5049" s="148">
        <v>45992</v>
      </c>
      <c r="B5049" s="149" t="s">
        <v>112</v>
      </c>
      <c r="C5049" s="157" t="s">
        <v>2050</v>
      </c>
      <c r="D5049" s="151">
        <v>50</v>
      </c>
      <c r="E5049" s="151">
        <v>50</v>
      </c>
      <c r="F5049" s="157" t="s">
        <v>20</v>
      </c>
      <c r="G5049" s="158">
        <v>45992</v>
      </c>
      <c r="H5049" s="152" t="s">
        <v>2422</v>
      </c>
      <c r="I5049" s="153">
        <v>298000</v>
      </c>
      <c r="J5049" s="24">
        <v>1</v>
      </c>
      <c r="K5049" s="24">
        <v>0</v>
      </c>
      <c r="L5049" s="91">
        <v>0</v>
      </c>
      <c r="M5049" s="24">
        <v>0</v>
      </c>
      <c r="N5049" s="12">
        <f t="shared" si="196"/>
        <v>1</v>
      </c>
      <c r="O5049" s="147">
        <f t="shared" si="195"/>
        <v>298000</v>
      </c>
      <c r="P5049" s="10">
        <v>359</v>
      </c>
      <c r="Q5049" s="10" t="s">
        <v>1928</v>
      </c>
      <c r="R5049" s="154">
        <f>+テーブル1[[#This Row],[合計金額]]*テーブル1[[#This Row],[自社報酬率％]]/100</f>
        <v>149000</v>
      </c>
    </row>
    <row r="5050" spans="1:18">
      <c r="A5050" s="148">
        <v>45992</v>
      </c>
      <c r="B5050" s="149" t="s">
        <v>112</v>
      </c>
      <c r="C5050" s="155" t="s">
        <v>2038</v>
      </c>
      <c r="D5050" s="151">
        <v>50</v>
      </c>
      <c r="E5050" s="151">
        <v>50</v>
      </c>
      <c r="F5050" s="155" t="s">
        <v>16</v>
      </c>
      <c r="G5050" s="156">
        <v>46023</v>
      </c>
      <c r="H5050" s="152" t="s">
        <v>3333</v>
      </c>
      <c r="I5050" s="153">
        <v>30000</v>
      </c>
      <c r="J5050" s="24">
        <v>1</v>
      </c>
      <c r="K5050" s="24">
        <v>0</v>
      </c>
      <c r="L5050" s="91">
        <v>0</v>
      </c>
      <c r="M5050" s="24">
        <v>0</v>
      </c>
      <c r="N5050" s="12">
        <f t="shared" si="196"/>
        <v>1</v>
      </c>
      <c r="O5050" s="147">
        <f t="shared" si="195"/>
        <v>30000</v>
      </c>
      <c r="P5050" s="10">
        <v>360</v>
      </c>
      <c r="Q5050" s="10" t="s">
        <v>1928</v>
      </c>
      <c r="R5050" s="154">
        <f>+テーブル1[[#This Row],[合計金額]]*テーブル1[[#This Row],[自社報酬率％]]/100</f>
        <v>15000</v>
      </c>
    </row>
    <row r="5051" spans="1:18">
      <c r="A5051" s="148">
        <v>45992</v>
      </c>
      <c r="B5051" s="149" t="s">
        <v>118</v>
      </c>
      <c r="C5051" s="157" t="s">
        <v>2050</v>
      </c>
      <c r="D5051" s="151">
        <v>50</v>
      </c>
      <c r="E5051" s="151">
        <v>50</v>
      </c>
      <c r="F5051" s="157" t="s">
        <v>17</v>
      </c>
      <c r="G5051" s="158">
        <v>45992</v>
      </c>
      <c r="H5051" s="152" t="s">
        <v>2757</v>
      </c>
      <c r="I5051" s="153">
        <v>398000</v>
      </c>
      <c r="J5051" s="24">
        <v>3</v>
      </c>
      <c r="K5051" s="24">
        <v>0</v>
      </c>
      <c r="L5051" s="91">
        <v>0</v>
      </c>
      <c r="M5051" s="24">
        <v>0</v>
      </c>
      <c r="N5051" s="12">
        <f t="shared" si="196"/>
        <v>3</v>
      </c>
      <c r="O5051" s="147">
        <f t="shared" si="195"/>
        <v>1194000</v>
      </c>
      <c r="P5051" s="10">
        <v>18</v>
      </c>
      <c r="Q5051" s="10" t="s">
        <v>1928</v>
      </c>
      <c r="R5051" s="154">
        <f>+テーブル1[[#This Row],[合計金額]]*テーブル1[[#This Row],[自社報酬率％]]/100</f>
        <v>597000</v>
      </c>
    </row>
    <row r="5052" spans="1:18">
      <c r="A5052" s="148">
        <v>45992</v>
      </c>
      <c r="B5052" s="149" t="s">
        <v>118</v>
      </c>
      <c r="C5052" s="157" t="s">
        <v>2050</v>
      </c>
      <c r="D5052" s="151">
        <v>50</v>
      </c>
      <c r="E5052" s="151">
        <v>50</v>
      </c>
      <c r="F5052" s="157" t="s">
        <v>20</v>
      </c>
      <c r="G5052" s="158">
        <v>45992</v>
      </c>
      <c r="H5052" s="152" t="s">
        <v>2422</v>
      </c>
      <c r="I5052" s="153">
        <v>298000</v>
      </c>
      <c r="J5052" s="24">
        <v>9</v>
      </c>
      <c r="K5052" s="24">
        <v>0</v>
      </c>
      <c r="L5052" s="91">
        <v>0</v>
      </c>
      <c r="M5052" s="24">
        <v>0</v>
      </c>
      <c r="N5052" s="12">
        <f t="shared" si="196"/>
        <v>9</v>
      </c>
      <c r="O5052" s="147">
        <f t="shared" si="195"/>
        <v>2682000</v>
      </c>
      <c r="P5052" s="10">
        <v>19</v>
      </c>
      <c r="Q5052" s="10" t="s">
        <v>1928</v>
      </c>
      <c r="R5052" s="154">
        <f>+テーブル1[[#This Row],[合計金額]]*テーブル1[[#This Row],[自社報酬率％]]/100</f>
        <v>1341000</v>
      </c>
    </row>
    <row r="5053" spans="1:18">
      <c r="A5053" s="148">
        <v>45992</v>
      </c>
      <c r="B5053" s="149" t="s">
        <v>118</v>
      </c>
      <c r="C5053" s="157" t="s">
        <v>2050</v>
      </c>
      <c r="D5053" s="151">
        <v>50</v>
      </c>
      <c r="E5053" s="151">
        <v>50</v>
      </c>
      <c r="F5053" s="157" t="s">
        <v>20</v>
      </c>
      <c r="G5053" s="158">
        <v>45992</v>
      </c>
      <c r="H5053" s="152" t="s">
        <v>2422</v>
      </c>
      <c r="I5053" s="153">
        <v>298000</v>
      </c>
      <c r="J5053" s="24">
        <v>1</v>
      </c>
      <c r="K5053" s="24">
        <v>0</v>
      </c>
      <c r="L5053" s="91">
        <v>0</v>
      </c>
      <c r="M5053" s="24">
        <v>0</v>
      </c>
      <c r="N5053" s="12">
        <f t="shared" si="196"/>
        <v>1</v>
      </c>
      <c r="O5053" s="147">
        <f t="shared" si="195"/>
        <v>298000</v>
      </c>
      <c r="P5053" s="10">
        <v>20</v>
      </c>
      <c r="Q5053" s="10" t="s">
        <v>1928</v>
      </c>
      <c r="R5053" s="154">
        <f>+テーブル1[[#This Row],[合計金額]]*テーブル1[[#This Row],[自社報酬率％]]/100</f>
        <v>149000</v>
      </c>
    </row>
    <row r="5054" spans="1:18">
      <c r="A5054" s="148">
        <v>45992</v>
      </c>
      <c r="B5054" s="149" t="s">
        <v>118</v>
      </c>
      <c r="C5054" s="157" t="s">
        <v>2050</v>
      </c>
      <c r="D5054" s="151">
        <v>50</v>
      </c>
      <c r="E5054" s="151">
        <v>50</v>
      </c>
      <c r="F5054" s="157" t="s">
        <v>20</v>
      </c>
      <c r="G5054" s="158">
        <v>45992</v>
      </c>
      <c r="H5054" s="152" t="s">
        <v>2422</v>
      </c>
      <c r="I5054" s="153">
        <v>298000</v>
      </c>
      <c r="J5054" s="24">
        <v>6</v>
      </c>
      <c r="K5054" s="24">
        <v>0</v>
      </c>
      <c r="L5054" s="91">
        <v>0</v>
      </c>
      <c r="M5054" s="24">
        <v>0</v>
      </c>
      <c r="N5054" s="12">
        <f t="shared" si="196"/>
        <v>6</v>
      </c>
      <c r="O5054" s="147">
        <f t="shared" si="195"/>
        <v>1788000</v>
      </c>
      <c r="P5054" s="10">
        <v>21</v>
      </c>
      <c r="Q5054" s="10" t="s">
        <v>1928</v>
      </c>
      <c r="R5054" s="154">
        <f>+テーブル1[[#This Row],[合計金額]]*テーブル1[[#This Row],[自社報酬率％]]/100</f>
        <v>894000</v>
      </c>
    </row>
    <row r="5055" spans="1:18">
      <c r="A5055" s="148">
        <v>45992</v>
      </c>
      <c r="B5055" s="149" t="s">
        <v>118</v>
      </c>
      <c r="C5055" s="157" t="s">
        <v>2050</v>
      </c>
      <c r="D5055" s="151">
        <v>50</v>
      </c>
      <c r="E5055" s="151">
        <v>50</v>
      </c>
      <c r="F5055" s="157" t="s">
        <v>20</v>
      </c>
      <c r="G5055" s="158">
        <v>45992</v>
      </c>
      <c r="H5055" s="152" t="s">
        <v>2422</v>
      </c>
      <c r="I5055" s="153">
        <v>298000</v>
      </c>
      <c r="J5055" s="24">
        <v>2</v>
      </c>
      <c r="K5055" s="24">
        <v>0</v>
      </c>
      <c r="L5055" s="91">
        <v>0</v>
      </c>
      <c r="M5055" s="24">
        <v>0</v>
      </c>
      <c r="N5055" s="12">
        <f t="shared" si="196"/>
        <v>2</v>
      </c>
      <c r="O5055" s="147">
        <f t="shared" si="195"/>
        <v>596000</v>
      </c>
      <c r="P5055" s="10">
        <v>22</v>
      </c>
      <c r="Q5055" s="10" t="s">
        <v>1928</v>
      </c>
      <c r="R5055" s="154">
        <f>+テーブル1[[#This Row],[合計金額]]*テーブル1[[#This Row],[自社報酬率％]]/100</f>
        <v>298000</v>
      </c>
    </row>
    <row r="5056" spans="1:18">
      <c r="A5056" s="148">
        <v>45992</v>
      </c>
      <c r="B5056" s="149" t="s">
        <v>1929</v>
      </c>
      <c r="C5056" s="150" t="s">
        <v>44</v>
      </c>
      <c r="D5056" s="151">
        <v>100</v>
      </c>
      <c r="E5056" s="151">
        <v>100</v>
      </c>
      <c r="F5056" s="160" t="s">
        <v>17</v>
      </c>
      <c r="G5056" s="158">
        <v>45992</v>
      </c>
      <c r="H5056" s="152" t="s">
        <v>1930</v>
      </c>
      <c r="I5056" s="153">
        <v>359700</v>
      </c>
      <c r="J5056" s="24">
        <v>4</v>
      </c>
      <c r="K5056" s="24">
        <v>0</v>
      </c>
      <c r="L5056" s="91">
        <v>0</v>
      </c>
      <c r="M5056" s="24">
        <v>0</v>
      </c>
      <c r="N5056" s="100">
        <f t="shared" si="196"/>
        <v>4</v>
      </c>
      <c r="O5056" s="147">
        <f t="shared" si="195"/>
        <v>1438800</v>
      </c>
      <c r="P5056" s="10">
        <v>22</v>
      </c>
      <c r="Q5056" s="10" t="s">
        <v>1928</v>
      </c>
      <c r="R5056" s="154">
        <f>+テーブル1[[#This Row],[合計金額]]*テーブル1[[#This Row],[自社報酬率％]]/100</f>
        <v>1438800</v>
      </c>
    </row>
    <row r="5057" spans="1:18">
      <c r="A5057" s="148">
        <v>45992</v>
      </c>
      <c r="B5057" s="149" t="s">
        <v>1929</v>
      </c>
      <c r="C5057" s="150" t="s">
        <v>44</v>
      </c>
      <c r="D5057" s="151">
        <v>100</v>
      </c>
      <c r="E5057" s="151">
        <v>100</v>
      </c>
      <c r="F5057" s="160" t="s">
        <v>17</v>
      </c>
      <c r="G5057" s="158">
        <v>45992</v>
      </c>
      <c r="H5057" s="152" t="s">
        <v>3032</v>
      </c>
      <c r="I5057" s="153">
        <v>286000</v>
      </c>
      <c r="J5057" s="24">
        <v>12</v>
      </c>
      <c r="K5057" s="24">
        <v>0</v>
      </c>
      <c r="L5057" s="91">
        <v>0</v>
      </c>
      <c r="M5057" s="24">
        <v>0</v>
      </c>
      <c r="N5057" s="100">
        <f t="shared" si="196"/>
        <v>12</v>
      </c>
      <c r="O5057" s="147">
        <f t="shared" si="195"/>
        <v>3432000</v>
      </c>
      <c r="P5057" s="10">
        <v>23</v>
      </c>
      <c r="Q5057" s="10" t="s">
        <v>1928</v>
      </c>
      <c r="R5057" s="154">
        <f>+テーブル1[[#This Row],[合計金額]]*テーブル1[[#This Row],[自社報酬率％]]/100</f>
        <v>3432000</v>
      </c>
    </row>
    <row r="5058" spans="1:18">
      <c r="A5058" s="148">
        <v>45992</v>
      </c>
      <c r="B5058" s="149" t="s">
        <v>1929</v>
      </c>
      <c r="C5058" s="157" t="s">
        <v>2212</v>
      </c>
      <c r="D5058" s="151">
        <v>10</v>
      </c>
      <c r="E5058" s="151">
        <v>90</v>
      </c>
      <c r="F5058" s="157" t="s">
        <v>29</v>
      </c>
      <c r="G5058" s="158">
        <v>45992</v>
      </c>
      <c r="H5058" s="152" t="s">
        <v>2953</v>
      </c>
      <c r="I5058" s="153">
        <v>9800</v>
      </c>
      <c r="J5058" s="24">
        <v>69</v>
      </c>
      <c r="K5058" s="24">
        <v>0</v>
      </c>
      <c r="L5058" s="91">
        <v>0</v>
      </c>
      <c r="M5058" s="24">
        <v>0</v>
      </c>
      <c r="N5058" s="12">
        <f t="shared" si="196"/>
        <v>69</v>
      </c>
      <c r="O5058" s="147">
        <f t="shared" si="195"/>
        <v>676200</v>
      </c>
      <c r="P5058" s="10">
        <v>24</v>
      </c>
      <c r="Q5058" s="10" t="s">
        <v>1928</v>
      </c>
      <c r="R5058" s="154">
        <f>+テーブル1[[#This Row],[合計金額]]*テーブル1[[#This Row],[自社報酬率％]]/100</f>
        <v>608580</v>
      </c>
    </row>
    <row r="5059" spans="1:18">
      <c r="A5059" s="148">
        <v>45992</v>
      </c>
      <c r="B5059" s="149" t="s">
        <v>1929</v>
      </c>
      <c r="C5059" s="157" t="s">
        <v>2212</v>
      </c>
      <c r="D5059" s="151">
        <v>10</v>
      </c>
      <c r="E5059" s="151">
        <v>90</v>
      </c>
      <c r="F5059" s="157" t="s">
        <v>29</v>
      </c>
      <c r="G5059" s="158">
        <v>45992</v>
      </c>
      <c r="H5059" s="152" t="s">
        <v>3327</v>
      </c>
      <c r="I5059" s="153">
        <v>9800</v>
      </c>
      <c r="J5059" s="24">
        <v>2</v>
      </c>
      <c r="K5059" s="24">
        <v>0</v>
      </c>
      <c r="L5059" s="91">
        <v>0</v>
      </c>
      <c r="M5059" s="24">
        <v>0</v>
      </c>
      <c r="N5059" s="12">
        <f t="shared" si="196"/>
        <v>2</v>
      </c>
      <c r="O5059" s="147">
        <f t="shared" si="195"/>
        <v>19600</v>
      </c>
      <c r="P5059" s="10">
        <v>25</v>
      </c>
      <c r="Q5059" s="10" t="s">
        <v>1928</v>
      </c>
      <c r="R5059" s="154">
        <f>+テーブル1[[#This Row],[合計金額]]*テーブル1[[#This Row],[自社報酬率％]]/100</f>
        <v>17640</v>
      </c>
    </row>
    <row r="5060" spans="1:18">
      <c r="A5060" s="148">
        <v>45992</v>
      </c>
      <c r="B5060" s="149" t="s">
        <v>1929</v>
      </c>
      <c r="C5060" s="157" t="s">
        <v>2212</v>
      </c>
      <c r="D5060" s="151">
        <v>10</v>
      </c>
      <c r="E5060" s="151">
        <v>90</v>
      </c>
      <c r="F5060" s="157" t="s">
        <v>20</v>
      </c>
      <c r="G5060" s="158">
        <v>45992</v>
      </c>
      <c r="H5060" s="152" t="s">
        <v>2954</v>
      </c>
      <c r="I5060" s="153">
        <v>29700</v>
      </c>
      <c r="J5060" s="24">
        <v>81</v>
      </c>
      <c r="K5060" s="24">
        <v>0</v>
      </c>
      <c r="L5060" s="91">
        <v>0</v>
      </c>
      <c r="M5060" s="24">
        <v>0</v>
      </c>
      <c r="N5060" s="12">
        <f t="shared" si="196"/>
        <v>81</v>
      </c>
      <c r="O5060" s="147">
        <f t="shared" si="195"/>
        <v>2405700</v>
      </c>
      <c r="P5060" s="10">
        <v>26</v>
      </c>
      <c r="Q5060" s="10" t="s">
        <v>1928</v>
      </c>
      <c r="R5060" s="154">
        <f>+テーブル1[[#This Row],[合計金額]]*テーブル1[[#This Row],[自社報酬率％]]/100</f>
        <v>2165130</v>
      </c>
    </row>
    <row r="5061" spans="1:18">
      <c r="A5061" s="148">
        <v>45992</v>
      </c>
      <c r="B5061" s="149" t="s">
        <v>1929</v>
      </c>
      <c r="C5061" s="157" t="s">
        <v>2212</v>
      </c>
      <c r="D5061" s="151">
        <v>10</v>
      </c>
      <c r="E5061" s="151">
        <v>90</v>
      </c>
      <c r="F5061" s="157" t="s">
        <v>20</v>
      </c>
      <c r="G5061" s="158">
        <v>45992</v>
      </c>
      <c r="H5061" s="152" t="s">
        <v>3334</v>
      </c>
      <c r="I5061" s="153">
        <v>29700</v>
      </c>
      <c r="J5061" s="24">
        <v>3</v>
      </c>
      <c r="K5061" s="24">
        <v>0</v>
      </c>
      <c r="L5061" s="91">
        <v>0</v>
      </c>
      <c r="M5061" s="24">
        <v>0</v>
      </c>
      <c r="N5061" s="12">
        <f t="shared" si="196"/>
        <v>3</v>
      </c>
      <c r="O5061" s="147">
        <f t="shared" si="195"/>
        <v>89100</v>
      </c>
      <c r="P5061" s="10">
        <v>27</v>
      </c>
      <c r="Q5061" s="10" t="s">
        <v>1928</v>
      </c>
      <c r="R5061" s="154">
        <f>+テーブル1[[#This Row],[合計金額]]*テーブル1[[#This Row],[自社報酬率％]]/100</f>
        <v>80190</v>
      </c>
    </row>
    <row r="5062" spans="1:18">
      <c r="A5062" s="148">
        <v>45962</v>
      </c>
      <c r="B5062" s="149" t="s">
        <v>41</v>
      </c>
      <c r="C5062" s="157" t="s">
        <v>42</v>
      </c>
      <c r="D5062" s="151">
        <v>0</v>
      </c>
      <c r="E5062" s="151">
        <v>100</v>
      </c>
      <c r="F5062" s="157"/>
      <c r="G5062" s="158">
        <v>45962</v>
      </c>
      <c r="H5062" s="152" t="s">
        <v>3335</v>
      </c>
      <c r="I5062" s="161">
        <v>-924</v>
      </c>
      <c r="J5062" s="24">
        <v>1</v>
      </c>
      <c r="K5062" s="24"/>
      <c r="L5062" s="91"/>
      <c r="M5062" s="24"/>
      <c r="N5062" s="12">
        <f t="shared" si="196"/>
        <v>1</v>
      </c>
      <c r="O5062" s="147">
        <f t="shared" si="195"/>
        <v>-924</v>
      </c>
      <c r="P5062" s="10">
        <v>38</v>
      </c>
      <c r="Q5062" s="10" t="s">
        <v>1935</v>
      </c>
      <c r="R5062" s="154">
        <f>+テーブル1[[#This Row],[合計金額]]*テーブル1[[#This Row],[自社報酬率％]]/100</f>
        <v>-924</v>
      </c>
    </row>
    <row r="5063" spans="1:18">
      <c r="A5063" s="148">
        <v>45962</v>
      </c>
      <c r="B5063" s="149" t="s">
        <v>41</v>
      </c>
      <c r="C5063" s="157" t="s">
        <v>42</v>
      </c>
      <c r="D5063" s="151">
        <v>0</v>
      </c>
      <c r="E5063" s="151">
        <v>100</v>
      </c>
      <c r="F5063" s="157"/>
      <c r="G5063" s="158">
        <v>45962</v>
      </c>
      <c r="H5063" s="152" t="s">
        <v>3336</v>
      </c>
      <c r="I5063" s="161">
        <v>178341</v>
      </c>
      <c r="J5063" s="24">
        <v>1</v>
      </c>
      <c r="K5063" s="24"/>
      <c r="L5063" s="91"/>
      <c r="M5063" s="24"/>
      <c r="N5063" s="12">
        <f t="shared" si="196"/>
        <v>1</v>
      </c>
      <c r="O5063" s="147">
        <f t="shared" si="195"/>
        <v>178341</v>
      </c>
      <c r="P5063" s="10">
        <v>39</v>
      </c>
      <c r="Q5063" s="10" t="s">
        <v>1935</v>
      </c>
      <c r="R5063" s="154">
        <f>+テーブル1[[#This Row],[合計金額]]*テーブル1[[#This Row],[自社報酬率％]]/100</f>
        <v>178341</v>
      </c>
    </row>
    <row r="5064" spans="1:18">
      <c r="A5064" s="148">
        <v>45962</v>
      </c>
      <c r="B5064" s="149" t="s">
        <v>2770</v>
      </c>
      <c r="C5064" s="157" t="s">
        <v>24</v>
      </c>
      <c r="D5064" s="151">
        <v>100</v>
      </c>
      <c r="E5064" s="151">
        <v>100</v>
      </c>
      <c r="F5064" s="157"/>
      <c r="G5064" s="158">
        <v>45962</v>
      </c>
      <c r="H5064" s="152" t="s">
        <v>3337</v>
      </c>
      <c r="I5064" s="161">
        <v>20493</v>
      </c>
      <c r="J5064" s="24">
        <v>1</v>
      </c>
      <c r="K5064" s="24"/>
      <c r="L5064" s="91"/>
      <c r="M5064" s="24"/>
      <c r="N5064" s="12">
        <f t="shared" si="196"/>
        <v>1</v>
      </c>
      <c r="O5064" s="147">
        <f t="shared" si="195"/>
        <v>20493</v>
      </c>
      <c r="P5064" s="10">
        <v>40</v>
      </c>
      <c r="Q5064" s="10" t="s">
        <v>1935</v>
      </c>
      <c r="R5064" s="154">
        <f>+テーブル1[[#This Row],[合計金額]]*テーブル1[[#This Row],[自社報酬率％]]/100</f>
        <v>20493</v>
      </c>
    </row>
    <row r="5065" spans="1:18">
      <c r="A5065" s="148">
        <v>45962</v>
      </c>
      <c r="B5065" s="149" t="s">
        <v>2770</v>
      </c>
      <c r="C5065" s="157" t="s">
        <v>24</v>
      </c>
      <c r="D5065" s="151">
        <v>100</v>
      </c>
      <c r="E5065" s="151">
        <v>100</v>
      </c>
      <c r="F5065" s="157"/>
      <c r="G5065" s="158">
        <v>45962</v>
      </c>
      <c r="H5065" s="152" t="s">
        <v>3337</v>
      </c>
      <c r="I5065" s="161">
        <v>-18216</v>
      </c>
      <c r="J5065" s="24">
        <v>1</v>
      </c>
      <c r="K5065" s="24"/>
      <c r="L5065" s="91"/>
      <c r="M5065" s="24"/>
      <c r="N5065" s="12">
        <f t="shared" si="196"/>
        <v>1</v>
      </c>
      <c r="O5065" s="147">
        <f t="shared" si="195"/>
        <v>-18216</v>
      </c>
      <c r="P5065" s="10">
        <v>41</v>
      </c>
      <c r="Q5065" s="10" t="s">
        <v>1935</v>
      </c>
      <c r="R5065" s="154">
        <f>+テーブル1[[#This Row],[合計金額]]*テーブル1[[#This Row],[自社報酬率％]]/100</f>
        <v>-18216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2026-01-08T00:15:51Z</dcterms:modified>
</cp:coreProperties>
</file>