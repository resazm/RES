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5EBF3F58-368B-4B4F-AB5B-577A3659D510}" xr6:coauthVersionLast="47" xr6:coauthVersionMax="47" xr10:uidLastSave="{00000000-0000-0000-0000-000000000000}"/>
  <bookViews>
    <workbookView xWindow="29355" yWindow="405" windowWidth="24945" windowHeight="14520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388" i="2" l="1"/>
  <c r="R2826" i="2"/>
  <c r="R2827" i="2"/>
  <c r="R2828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608" i="2"/>
  <c r="R4609" i="2"/>
  <c r="R4610" i="2"/>
  <c r="R4611" i="2"/>
  <c r="R4612" i="2"/>
  <c r="R4613" i="2"/>
  <c r="R4614" i="2"/>
  <c r="R4615" i="2"/>
  <c r="R4616" i="2"/>
  <c r="R4617" i="2"/>
  <c r="N4651" i="2"/>
  <c r="O4651" i="2" s="1"/>
  <c r="R4651" i="2" s="1"/>
  <c r="N4650" i="2"/>
  <c r="O4650" i="2" s="1"/>
  <c r="R4650" i="2" s="1"/>
  <c r="N4649" i="2"/>
  <c r="O4649" i="2" s="1"/>
  <c r="R4649" i="2" s="1"/>
  <c r="N4648" i="2"/>
  <c r="O4648" i="2" s="1"/>
  <c r="R4648" i="2" s="1"/>
  <c r="N4647" i="2"/>
  <c r="O4647" i="2" s="1"/>
  <c r="R4647" i="2" s="1"/>
  <c r="N4646" i="2"/>
  <c r="O4646" i="2" s="1"/>
  <c r="R4646" i="2" s="1"/>
  <c r="N4645" i="2"/>
  <c r="O4645" i="2" s="1"/>
  <c r="R4645" i="2" s="1"/>
  <c r="N4644" i="2"/>
  <c r="O4644" i="2" s="1"/>
  <c r="R4644" i="2" s="1"/>
  <c r="N4643" i="2"/>
  <c r="O4643" i="2" s="1"/>
  <c r="R4643" i="2" s="1"/>
  <c r="N4642" i="2"/>
  <c r="O4642" i="2" s="1"/>
  <c r="R4642" i="2" s="1"/>
  <c r="N4641" i="2"/>
  <c r="O4641" i="2" s="1"/>
  <c r="R4641" i="2" s="1"/>
  <c r="N4640" i="2"/>
  <c r="O4640" i="2" s="1"/>
  <c r="R4640" i="2" s="1"/>
  <c r="N4639" i="2"/>
  <c r="O4639" i="2" s="1"/>
  <c r="R4639" i="2" s="1"/>
  <c r="N4638" i="2"/>
  <c r="O4638" i="2" s="1"/>
  <c r="R4638" i="2" s="1"/>
  <c r="N4637" i="2"/>
  <c r="O4637" i="2" s="1"/>
  <c r="R4637" i="2" s="1"/>
  <c r="N4636" i="2"/>
  <c r="O4636" i="2" s="1"/>
  <c r="R4636" i="2" s="1"/>
  <c r="N4635" i="2"/>
  <c r="O4635" i="2" s="1"/>
  <c r="R4635" i="2" s="1"/>
  <c r="N4634" i="2"/>
  <c r="O4634" i="2" s="1"/>
  <c r="R4634" i="2" s="1"/>
  <c r="N4633" i="2"/>
  <c r="O4633" i="2" s="1"/>
  <c r="R4633" i="2" s="1"/>
  <c r="N4632" i="2"/>
  <c r="O4632" i="2" s="1"/>
  <c r="R4632" i="2" s="1"/>
  <c r="N4631" i="2"/>
  <c r="O4631" i="2" s="1"/>
  <c r="R4631" i="2" s="1"/>
  <c r="N4630" i="2"/>
  <c r="O4630" i="2" s="1"/>
  <c r="R4630" i="2" s="1"/>
  <c r="N4629" i="2"/>
  <c r="O4629" i="2" s="1"/>
  <c r="R4629" i="2" s="1"/>
  <c r="N4628" i="2"/>
  <c r="O4628" i="2" s="1"/>
  <c r="R4628" i="2" s="1"/>
  <c r="N4627" i="2"/>
  <c r="O4627" i="2" s="1"/>
  <c r="R4627" i="2" s="1"/>
  <c r="N4626" i="2"/>
  <c r="O4626" i="2" s="1"/>
  <c r="R4626" i="2" s="1"/>
  <c r="N4625" i="2"/>
  <c r="O4625" i="2" s="1"/>
  <c r="R4625" i="2" s="1"/>
  <c r="N4624" i="2"/>
  <c r="O4624" i="2" s="1"/>
  <c r="R4624" i="2" s="1"/>
  <c r="N4623" i="2"/>
  <c r="O4623" i="2" s="1"/>
  <c r="R4623" i="2" s="1"/>
  <c r="N4622" i="2"/>
  <c r="O4622" i="2" s="1"/>
  <c r="R4622" i="2" s="1"/>
  <c r="N4621" i="2"/>
  <c r="O4621" i="2" s="1"/>
  <c r="R4621" i="2" s="1"/>
  <c r="N4620" i="2"/>
  <c r="O4620" i="2" s="1"/>
  <c r="R4620" i="2" s="1"/>
  <c r="N4619" i="2"/>
  <c r="O4619" i="2" s="1"/>
  <c r="R4619" i="2" s="1"/>
  <c r="N4618" i="2"/>
  <c r="O4618" i="2" s="1"/>
  <c r="R4618" i="2" s="1"/>
  <c r="N4617" i="2"/>
  <c r="N4616" i="2"/>
  <c r="N4615" i="2"/>
  <c r="N4614" i="2"/>
  <c r="N4613" i="2"/>
  <c r="N4612" i="2"/>
  <c r="N4611" i="2"/>
  <c r="N4610" i="2"/>
  <c r="N4609" i="2"/>
  <c r="N4608" i="2"/>
  <c r="O4607" i="2"/>
  <c r="R4607" i="2" s="1"/>
  <c r="N4607" i="2"/>
  <c r="O4606" i="2"/>
  <c r="R4606" i="2" s="1"/>
  <c r="N4606" i="2"/>
  <c r="O4605" i="2"/>
  <c r="R4605" i="2" s="1"/>
  <c r="N4605" i="2"/>
  <c r="O4604" i="2"/>
  <c r="R4604" i="2" s="1"/>
  <c r="N4604" i="2"/>
  <c r="O4603" i="2"/>
  <c r="R4603" i="2" s="1"/>
  <c r="N4603" i="2"/>
  <c r="O4602" i="2"/>
  <c r="R4602" i="2" s="1"/>
  <c r="N4602" i="2"/>
  <c r="O4601" i="2"/>
  <c r="R4601" i="2" s="1"/>
  <c r="N4601" i="2"/>
  <c r="O4600" i="2"/>
  <c r="R4600" i="2" s="1"/>
  <c r="N4600" i="2"/>
  <c r="O4599" i="2"/>
  <c r="R4599" i="2" s="1"/>
  <c r="N4599" i="2"/>
  <c r="O4598" i="2"/>
  <c r="R4598" i="2" s="1"/>
  <c r="N4598" i="2"/>
  <c r="O4597" i="2"/>
  <c r="R4597" i="2" s="1"/>
  <c r="N4597" i="2"/>
  <c r="N4596" i="2"/>
  <c r="O4596" i="2" s="1"/>
  <c r="R4596" i="2" s="1"/>
  <c r="N4595" i="2"/>
  <c r="O4595" i="2" s="1"/>
  <c r="R4595" i="2" s="1"/>
  <c r="N4594" i="2"/>
  <c r="O4594" i="2" s="1"/>
  <c r="R4594" i="2" s="1"/>
  <c r="N4593" i="2"/>
  <c r="O4593" i="2" s="1"/>
  <c r="R4593" i="2" s="1"/>
  <c r="N4592" i="2"/>
  <c r="O4592" i="2" s="1"/>
  <c r="R4592" i="2" s="1"/>
  <c r="N4591" i="2"/>
  <c r="O4591" i="2" s="1"/>
  <c r="R4591" i="2" s="1"/>
  <c r="N4590" i="2"/>
  <c r="O4590" i="2" s="1"/>
  <c r="R4590" i="2" s="1"/>
  <c r="N4589" i="2"/>
  <c r="O4589" i="2" s="1"/>
  <c r="R4589" i="2" s="1"/>
  <c r="N4588" i="2"/>
  <c r="O4588" i="2" s="1"/>
  <c r="R4588" i="2" s="1"/>
  <c r="N4587" i="2"/>
  <c r="O4587" i="2" s="1"/>
  <c r="R4587" i="2" s="1"/>
  <c r="N4586" i="2"/>
  <c r="O4586" i="2" s="1"/>
  <c r="R4586" i="2" s="1"/>
  <c r="N4585" i="2"/>
  <c r="O4585" i="2" s="1"/>
  <c r="R4585" i="2" s="1"/>
  <c r="N4584" i="2"/>
  <c r="O4584" i="2" s="1"/>
  <c r="R4584" i="2" s="1"/>
  <c r="N4583" i="2"/>
  <c r="O4583" i="2" s="1"/>
  <c r="R4583" i="2" s="1"/>
  <c r="N4582" i="2"/>
  <c r="O4582" i="2" s="1"/>
  <c r="R4582" i="2" s="1"/>
  <c r="N4581" i="2"/>
  <c r="O4581" i="2" s="1"/>
  <c r="R4581" i="2" s="1"/>
  <c r="N4580" i="2"/>
  <c r="O4580" i="2" s="1"/>
  <c r="R4580" i="2" s="1"/>
  <c r="N4579" i="2"/>
  <c r="O4579" i="2" s="1"/>
  <c r="R4579" i="2" s="1"/>
  <c r="N4578" i="2"/>
  <c r="O4578" i="2" s="1"/>
  <c r="R4578" i="2" s="1"/>
  <c r="N4577" i="2"/>
  <c r="O4577" i="2" s="1"/>
  <c r="R4577" i="2" s="1"/>
  <c r="N4576" i="2"/>
  <c r="O4576" i="2" s="1"/>
  <c r="R4576" i="2" s="1"/>
  <c r="N4575" i="2"/>
  <c r="O4575" i="2" s="1"/>
  <c r="R4575" i="2" s="1"/>
  <c r="N4574" i="2"/>
  <c r="O4574" i="2" s="1"/>
  <c r="R4574" i="2" s="1"/>
  <c r="N4573" i="2"/>
  <c r="O4573" i="2" s="1"/>
  <c r="R4573" i="2" s="1"/>
  <c r="N4572" i="2"/>
  <c r="O4572" i="2" s="1"/>
  <c r="R4572" i="2" s="1"/>
  <c r="N4571" i="2"/>
  <c r="O4571" i="2" s="1"/>
  <c r="R4571" i="2" s="1"/>
  <c r="N4570" i="2"/>
  <c r="O4570" i="2" s="1"/>
  <c r="R4570" i="2" s="1"/>
  <c r="N4569" i="2"/>
  <c r="O4569" i="2" s="1"/>
  <c r="R4569" i="2" s="1"/>
  <c r="N4568" i="2"/>
  <c r="O4568" i="2" s="1"/>
  <c r="R4568" i="2" s="1"/>
  <c r="N4567" i="2"/>
  <c r="O4567" i="2" s="1"/>
  <c r="R4567" i="2" s="1"/>
  <c r="N4566" i="2"/>
  <c r="O4566" i="2" s="1"/>
  <c r="R4566" i="2" s="1"/>
  <c r="N4565" i="2"/>
  <c r="O4565" i="2" s="1"/>
  <c r="R4565" i="2" s="1"/>
  <c r="N4564" i="2"/>
  <c r="O4564" i="2" s="1"/>
  <c r="R4564" i="2" s="1"/>
  <c r="N4563" i="2"/>
  <c r="O4563" i="2" s="1"/>
  <c r="R4563" i="2" s="1"/>
  <c r="N4562" i="2"/>
  <c r="O4562" i="2" s="1"/>
  <c r="R4562" i="2" s="1"/>
  <c r="N4561" i="2"/>
  <c r="O4561" i="2" s="1"/>
  <c r="R4561" i="2" s="1"/>
  <c r="N4560" i="2"/>
  <c r="O4560" i="2" s="1"/>
  <c r="R4560" i="2" s="1"/>
  <c r="N4559" i="2"/>
  <c r="O4559" i="2" s="1"/>
  <c r="R4559" i="2" s="1"/>
  <c r="N4558" i="2"/>
  <c r="O4558" i="2" s="1"/>
  <c r="R4558" i="2" s="1"/>
  <c r="N4557" i="2"/>
  <c r="O4557" i="2" s="1"/>
  <c r="R4557" i="2" s="1"/>
  <c r="N4556" i="2"/>
  <c r="O4556" i="2" s="1"/>
  <c r="R4556" i="2" s="1"/>
  <c r="N4555" i="2"/>
  <c r="O4555" i="2" s="1"/>
  <c r="R4555" i="2" s="1"/>
  <c r="N4554" i="2"/>
  <c r="O4554" i="2" s="1"/>
  <c r="R4554" i="2" s="1"/>
  <c r="N4553" i="2"/>
  <c r="O4553" i="2" s="1"/>
  <c r="R4553" i="2" s="1"/>
  <c r="N4552" i="2"/>
  <c r="O4552" i="2" s="1"/>
  <c r="R4552" i="2" s="1"/>
  <c r="N4551" i="2"/>
  <c r="O4551" i="2" s="1"/>
  <c r="R4551" i="2" s="1"/>
  <c r="N4550" i="2"/>
  <c r="O4550" i="2" s="1"/>
  <c r="R4550" i="2" s="1"/>
  <c r="N4549" i="2"/>
  <c r="O4549" i="2" s="1"/>
  <c r="R4549" i="2" s="1"/>
  <c r="N4548" i="2"/>
  <c r="O4548" i="2" s="1"/>
  <c r="R4548" i="2" s="1"/>
  <c r="N4547" i="2"/>
  <c r="O4547" i="2" s="1"/>
  <c r="R4547" i="2" s="1"/>
  <c r="N4546" i="2"/>
  <c r="O4546" i="2" s="1"/>
  <c r="R4546" i="2" s="1"/>
  <c r="N4545" i="2"/>
  <c r="O4545" i="2" s="1"/>
  <c r="R4545" i="2" s="1"/>
  <c r="N4544" i="2"/>
  <c r="O4544" i="2" s="1"/>
  <c r="R4544" i="2" s="1"/>
  <c r="N4543" i="2"/>
  <c r="O4543" i="2" s="1"/>
  <c r="R4543" i="2" s="1"/>
  <c r="N4542" i="2"/>
  <c r="O4542" i="2" s="1"/>
  <c r="R4542" i="2" s="1"/>
  <c r="N4541" i="2"/>
  <c r="O4541" i="2" s="1"/>
  <c r="R4541" i="2" s="1"/>
  <c r="N4540" i="2"/>
  <c r="O4540" i="2" s="1"/>
  <c r="R4540" i="2" s="1"/>
  <c r="N4539" i="2"/>
  <c r="O4539" i="2" s="1"/>
  <c r="R4539" i="2" s="1"/>
  <c r="N4538" i="2"/>
  <c r="O4538" i="2" s="1"/>
  <c r="R4538" i="2" s="1"/>
  <c r="N4537" i="2"/>
  <c r="O4537" i="2" s="1"/>
  <c r="R4537" i="2" s="1"/>
  <c r="N4536" i="2"/>
  <c r="O4536" i="2" s="1"/>
  <c r="R4536" i="2" s="1"/>
  <c r="N4535" i="2"/>
  <c r="O4535" i="2" s="1"/>
  <c r="R4535" i="2" s="1"/>
  <c r="N4534" i="2"/>
  <c r="O4534" i="2" s="1"/>
  <c r="R4534" i="2" s="1"/>
  <c r="N4533" i="2"/>
  <c r="O4533" i="2" s="1"/>
  <c r="R4533" i="2" s="1"/>
  <c r="N4532" i="2"/>
  <c r="O4532" i="2" s="1"/>
  <c r="R4532" i="2" s="1"/>
  <c r="N4531" i="2"/>
  <c r="O4531" i="2" s="1"/>
  <c r="R4531" i="2" s="1"/>
  <c r="N4530" i="2"/>
  <c r="O4530" i="2" s="1"/>
  <c r="R4530" i="2" s="1"/>
  <c r="N4529" i="2"/>
  <c r="O4529" i="2" s="1"/>
  <c r="R4529" i="2" s="1"/>
  <c r="N4528" i="2"/>
  <c r="O4528" i="2" s="1"/>
  <c r="R4528" i="2" s="1"/>
  <c r="N4527" i="2"/>
  <c r="O4527" i="2" s="1"/>
  <c r="R4527" i="2" s="1"/>
  <c r="N4526" i="2"/>
  <c r="O4526" i="2" s="1"/>
  <c r="R4526" i="2" s="1"/>
  <c r="N4525" i="2"/>
  <c r="O4525" i="2" s="1"/>
  <c r="R4525" i="2" s="1"/>
  <c r="N4524" i="2"/>
  <c r="O4524" i="2" s="1"/>
  <c r="R4524" i="2" s="1"/>
  <c r="N4523" i="2"/>
  <c r="O4523" i="2" s="1"/>
  <c r="R4523" i="2" s="1"/>
  <c r="N4522" i="2"/>
  <c r="O4522" i="2" s="1"/>
  <c r="R4522" i="2" s="1"/>
  <c r="N4521" i="2"/>
  <c r="O4521" i="2" s="1"/>
  <c r="R4521" i="2" s="1"/>
  <c r="N4520" i="2"/>
  <c r="O4520" i="2" s="1"/>
  <c r="R4520" i="2" s="1"/>
  <c r="N4519" i="2"/>
  <c r="O4519" i="2" s="1"/>
  <c r="R4519" i="2" s="1"/>
  <c r="N4518" i="2"/>
  <c r="O4518" i="2" s="1"/>
  <c r="R4518" i="2" s="1"/>
  <c r="N4517" i="2"/>
  <c r="O4517" i="2" s="1"/>
  <c r="R4517" i="2" s="1"/>
  <c r="N4516" i="2"/>
  <c r="O4516" i="2" s="1"/>
  <c r="R4516" i="2" s="1"/>
  <c r="N4515" i="2"/>
  <c r="O4515" i="2" s="1"/>
  <c r="R4515" i="2" s="1"/>
  <c r="N4514" i="2"/>
  <c r="O4514" i="2" s="1"/>
  <c r="R4514" i="2" s="1"/>
  <c r="N4513" i="2"/>
  <c r="O4513" i="2" s="1"/>
  <c r="R4513" i="2" s="1"/>
  <c r="N4512" i="2"/>
  <c r="O4512" i="2" s="1"/>
  <c r="R4512" i="2" s="1"/>
  <c r="N4511" i="2"/>
  <c r="O4511" i="2" s="1"/>
  <c r="R4511" i="2" s="1"/>
  <c r="N4510" i="2"/>
  <c r="O4510" i="2" s="1"/>
  <c r="R4510" i="2" s="1"/>
  <c r="N4509" i="2"/>
  <c r="O4509" i="2" s="1"/>
  <c r="R4509" i="2" s="1"/>
  <c r="N4508" i="2"/>
  <c r="O4508" i="2" s="1"/>
  <c r="R4508" i="2" s="1"/>
  <c r="N4507" i="2"/>
  <c r="O4507" i="2" s="1"/>
  <c r="R4507" i="2" s="1"/>
  <c r="N4506" i="2"/>
  <c r="O4506" i="2" s="1"/>
  <c r="R4506" i="2" s="1"/>
  <c r="N4505" i="2"/>
  <c r="O4505" i="2" s="1"/>
  <c r="R4505" i="2" s="1"/>
  <c r="N4504" i="2"/>
  <c r="O4504" i="2" s="1"/>
  <c r="R4504" i="2" s="1"/>
  <c r="N4503" i="2"/>
  <c r="O4503" i="2" s="1"/>
  <c r="R4503" i="2" s="1"/>
  <c r="N4502" i="2"/>
  <c r="O4502" i="2" s="1"/>
  <c r="R4502" i="2" s="1"/>
  <c r="N4501" i="2"/>
  <c r="O4501" i="2" s="1"/>
  <c r="R4501" i="2" s="1"/>
  <c r="N4500" i="2"/>
  <c r="O4500" i="2" s="1"/>
  <c r="R4500" i="2" s="1"/>
  <c r="N4499" i="2"/>
  <c r="O4499" i="2" s="1"/>
  <c r="R4499" i="2" s="1"/>
  <c r="N4498" i="2"/>
  <c r="O4498" i="2" s="1"/>
  <c r="R4498" i="2" s="1"/>
  <c r="N4497" i="2"/>
  <c r="O4497" i="2" s="1"/>
  <c r="R4497" i="2" s="1"/>
  <c r="N4496" i="2"/>
  <c r="O4496" i="2" s="1"/>
  <c r="R4496" i="2" s="1"/>
  <c r="N4495" i="2"/>
  <c r="O4495" i="2" s="1"/>
  <c r="R4495" i="2" s="1"/>
  <c r="N4494" i="2"/>
  <c r="O4494" i="2" s="1"/>
  <c r="R4494" i="2" s="1"/>
  <c r="N4493" i="2"/>
  <c r="O4493" i="2" s="1"/>
  <c r="R4493" i="2" s="1"/>
  <c r="N4492" i="2"/>
  <c r="O4492" i="2" s="1"/>
  <c r="R4492" i="2" s="1"/>
  <c r="N4491" i="2"/>
  <c r="O4491" i="2" s="1"/>
  <c r="R4491" i="2" s="1"/>
  <c r="N4490" i="2"/>
  <c r="O4490" i="2" s="1"/>
  <c r="R4490" i="2" s="1"/>
  <c r="N4489" i="2"/>
  <c r="O4489" i="2" s="1"/>
  <c r="R4489" i="2" s="1"/>
  <c r="N4488" i="2"/>
  <c r="O4488" i="2" s="1"/>
  <c r="R4488" i="2" s="1"/>
  <c r="N4487" i="2"/>
  <c r="O4487" i="2" s="1"/>
  <c r="R4487" i="2" s="1"/>
  <c r="N4486" i="2"/>
  <c r="O4486" i="2" s="1"/>
  <c r="R4486" i="2" s="1"/>
  <c r="N4485" i="2"/>
  <c r="O4485" i="2" s="1"/>
  <c r="R4485" i="2" s="1"/>
  <c r="N4484" i="2"/>
  <c r="O4484" i="2" s="1"/>
  <c r="R4484" i="2" s="1"/>
  <c r="N4483" i="2"/>
  <c r="O4483" i="2" s="1"/>
  <c r="R4483" i="2" s="1"/>
  <c r="N4482" i="2"/>
  <c r="O4482" i="2" s="1"/>
  <c r="R4482" i="2" s="1"/>
  <c r="N4481" i="2"/>
  <c r="O4481" i="2" s="1"/>
  <c r="R4481" i="2" s="1"/>
  <c r="N4480" i="2"/>
  <c r="O4480" i="2" s="1"/>
  <c r="R4480" i="2" s="1"/>
  <c r="N4479" i="2"/>
  <c r="O4479" i="2" s="1"/>
  <c r="R4479" i="2" s="1"/>
  <c r="N4478" i="2"/>
  <c r="O4478" i="2" s="1"/>
  <c r="R4478" i="2" s="1"/>
  <c r="N4477" i="2"/>
  <c r="O4477" i="2" s="1"/>
  <c r="R4477" i="2" s="1"/>
  <c r="N4476" i="2"/>
  <c r="O4476" i="2" s="1"/>
  <c r="R4476" i="2" s="1"/>
  <c r="N4475" i="2"/>
  <c r="O4475" i="2" s="1"/>
  <c r="R4475" i="2" s="1"/>
  <c r="N4474" i="2"/>
  <c r="O4474" i="2" s="1"/>
  <c r="R4474" i="2" s="1"/>
  <c r="N4473" i="2"/>
  <c r="O4473" i="2" s="1"/>
  <c r="R4473" i="2" s="1"/>
  <c r="N4472" i="2" l="1"/>
  <c r="O4472" i="2" s="1"/>
  <c r="R4472" i="2" s="1"/>
  <c r="N4471" i="2"/>
  <c r="O4471" i="2" s="1"/>
  <c r="R4471" i="2" s="1"/>
  <c r="N4470" i="2"/>
  <c r="O4470" i="2" s="1"/>
  <c r="R4470" i="2" s="1"/>
  <c r="N4469" i="2"/>
  <c r="O4469" i="2" s="1"/>
  <c r="R4469" i="2" s="1"/>
  <c r="N4468" i="2"/>
  <c r="O4468" i="2" s="1"/>
  <c r="R4468" i="2" s="1"/>
  <c r="N4467" i="2"/>
  <c r="O4467" i="2" s="1"/>
  <c r="R4467" i="2" s="1"/>
  <c r="N4466" i="2"/>
  <c r="O4466" i="2" s="1"/>
  <c r="R4466" i="2" s="1"/>
  <c r="N4465" i="2"/>
  <c r="O4465" i="2" s="1"/>
  <c r="R4465" i="2" s="1"/>
  <c r="N4464" i="2"/>
  <c r="O4464" i="2" s="1"/>
  <c r="R4464" i="2" s="1"/>
  <c r="N4463" i="2"/>
  <c r="O4463" i="2" s="1"/>
  <c r="R4463" i="2" s="1"/>
  <c r="N4462" i="2"/>
  <c r="O4462" i="2" s="1"/>
  <c r="R4462" i="2" s="1"/>
  <c r="N4461" i="2"/>
  <c r="O4461" i="2" s="1"/>
  <c r="R4461" i="2" s="1"/>
  <c r="N4460" i="2"/>
  <c r="O4460" i="2" s="1"/>
  <c r="R4460" i="2" s="1"/>
  <c r="N4459" i="2"/>
  <c r="O4459" i="2" s="1"/>
  <c r="R4459" i="2" s="1"/>
  <c r="N4458" i="2"/>
  <c r="O4458" i="2" s="1"/>
  <c r="R4458" i="2" s="1"/>
  <c r="N4457" i="2"/>
  <c r="O4457" i="2" s="1"/>
  <c r="R4457" i="2" s="1"/>
  <c r="N4456" i="2"/>
  <c r="O4456" i="2" s="1"/>
  <c r="R4456" i="2" s="1"/>
  <c r="N4455" i="2"/>
  <c r="O4455" i="2" s="1"/>
  <c r="R4455" i="2" s="1"/>
  <c r="N4454" i="2"/>
  <c r="O4454" i="2" s="1"/>
  <c r="R4454" i="2" s="1"/>
  <c r="N4453" i="2"/>
  <c r="O4453" i="2" s="1"/>
  <c r="R4453" i="2" s="1"/>
  <c r="N4452" i="2"/>
  <c r="O4452" i="2" s="1"/>
  <c r="R4452" i="2" s="1"/>
  <c r="N4451" i="2"/>
  <c r="O4451" i="2" s="1"/>
  <c r="R4451" i="2" s="1"/>
  <c r="N4450" i="2"/>
  <c r="O4450" i="2" s="1"/>
  <c r="R4450" i="2" s="1"/>
  <c r="N4449" i="2"/>
  <c r="O4449" i="2" s="1"/>
  <c r="R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R4415" i="2" s="1"/>
  <c r="N4415" i="2"/>
  <c r="O4414" i="2"/>
  <c r="R4414" i="2" s="1"/>
  <c r="N4414" i="2"/>
  <c r="O4413" i="2"/>
  <c r="R4413" i="2" s="1"/>
  <c r="N4413" i="2"/>
  <c r="O4412" i="2"/>
  <c r="R4412" i="2" s="1"/>
  <c r="N4412" i="2"/>
  <c r="O4411" i="2"/>
  <c r="R4411" i="2" s="1"/>
  <c r="N4411" i="2"/>
  <c r="N4410" i="2"/>
  <c r="O4410" i="2" s="1"/>
  <c r="R4410" i="2" s="1"/>
  <c r="N4409" i="2"/>
  <c r="O4409" i="2" s="1"/>
  <c r="R4409" i="2" s="1"/>
  <c r="N4408" i="2"/>
  <c r="O4408" i="2" s="1"/>
  <c r="R4408" i="2" s="1"/>
  <c r="N4407" i="2"/>
  <c r="O4407" i="2" s="1"/>
  <c r="R4407" i="2" s="1"/>
  <c r="N4406" i="2"/>
  <c r="O4406" i="2" s="1"/>
  <c r="R4406" i="2" s="1"/>
  <c r="N4405" i="2"/>
  <c r="O4405" i="2" s="1"/>
  <c r="R4405" i="2" s="1"/>
  <c r="N4404" i="2"/>
  <c r="O4404" i="2" s="1"/>
  <c r="R4404" i="2" s="1"/>
  <c r="N4403" i="2"/>
  <c r="O4403" i="2" s="1"/>
  <c r="R4403" i="2" s="1"/>
  <c r="N4402" i="2"/>
  <c r="O4402" i="2" s="1"/>
  <c r="R4402" i="2" s="1"/>
  <c r="N4401" i="2"/>
  <c r="O4401" i="2" s="1"/>
  <c r="R4401" i="2" s="1"/>
  <c r="N4400" i="2"/>
  <c r="O4400" i="2" s="1"/>
  <c r="R4400" i="2" s="1"/>
  <c r="N4399" i="2"/>
  <c r="O4399" i="2" s="1"/>
  <c r="R4399" i="2" s="1"/>
  <c r="N4398" i="2"/>
  <c r="O4398" i="2" s="1"/>
  <c r="R4398" i="2" s="1"/>
  <c r="N4397" i="2"/>
  <c r="O4397" i="2" s="1"/>
  <c r="R4397" i="2" s="1"/>
  <c r="N4396" i="2"/>
  <c r="O4396" i="2" s="1"/>
  <c r="R4396" i="2" s="1"/>
  <c r="N4395" i="2"/>
  <c r="O4395" i="2" s="1"/>
  <c r="R4395" i="2" s="1"/>
  <c r="N4394" i="2"/>
  <c r="O4394" i="2" s="1"/>
  <c r="R4394" i="2" s="1"/>
  <c r="N4393" i="2"/>
  <c r="O4393" i="2" s="1"/>
  <c r="R4393" i="2" s="1"/>
  <c r="N4392" i="2"/>
  <c r="O4392" i="2" s="1"/>
  <c r="R4392" i="2" s="1"/>
  <c r="N4391" i="2"/>
  <c r="O4391" i="2" s="1"/>
  <c r="R4391" i="2" s="1"/>
  <c r="N4390" i="2"/>
  <c r="O4390" i="2" s="1"/>
  <c r="R4390" i="2" s="1"/>
  <c r="N4389" i="2"/>
  <c r="O4389" i="2" s="1"/>
  <c r="R4389" i="2" s="1"/>
  <c r="N4388" i="2"/>
  <c r="R4388" i="2" s="1"/>
  <c r="N4387" i="2"/>
  <c r="O4387" i="2" s="1"/>
  <c r="R4387" i="2" s="1"/>
  <c r="N4386" i="2"/>
  <c r="O4386" i="2" s="1"/>
  <c r="R4386" i="2" s="1"/>
  <c r="N4385" i="2"/>
  <c r="O4385" i="2" s="1"/>
  <c r="R4385" i="2" s="1"/>
  <c r="N4384" i="2"/>
  <c r="O4384" i="2" s="1"/>
  <c r="R4384" i="2" s="1"/>
  <c r="N4383" i="2"/>
  <c r="O4383" i="2" s="1"/>
  <c r="R4383" i="2" s="1"/>
  <c r="N4382" i="2"/>
  <c r="O4382" i="2" s="1"/>
  <c r="R4382" i="2" s="1"/>
  <c r="N4381" i="2"/>
  <c r="O4381" i="2" s="1"/>
  <c r="R4381" i="2" s="1"/>
  <c r="N4380" i="2"/>
  <c r="O4380" i="2" s="1"/>
  <c r="R4380" i="2" s="1"/>
  <c r="N4379" i="2"/>
  <c r="O4379" i="2" s="1"/>
  <c r="R4379" i="2" s="1"/>
  <c r="N4378" i="2"/>
  <c r="O4378" i="2" s="1"/>
  <c r="R4378" i="2" s="1"/>
  <c r="N4377" i="2"/>
  <c r="O4377" i="2" s="1"/>
  <c r="R4377" i="2" s="1"/>
  <c r="N4376" i="2"/>
  <c r="O4376" i="2" s="1"/>
  <c r="R4376" i="2" s="1"/>
  <c r="N4375" i="2"/>
  <c r="O4375" i="2" s="1"/>
  <c r="R4375" i="2" s="1"/>
  <c r="N4374" i="2"/>
  <c r="O4374" i="2" s="1"/>
  <c r="R4374" i="2" s="1"/>
  <c r="N4373" i="2"/>
  <c r="O4373" i="2" s="1"/>
  <c r="R4373" i="2" s="1"/>
  <c r="N4372" i="2"/>
  <c r="O4372" i="2" s="1"/>
  <c r="R4372" i="2" s="1"/>
  <c r="N4371" i="2"/>
  <c r="O4371" i="2" s="1"/>
  <c r="R4371" i="2" s="1"/>
  <c r="N4370" i="2"/>
  <c r="O4370" i="2" s="1"/>
  <c r="R4370" i="2" s="1"/>
  <c r="N4369" i="2"/>
  <c r="O4369" i="2" s="1"/>
  <c r="R4369" i="2" s="1"/>
  <c r="N4368" i="2"/>
  <c r="O4368" i="2" s="1"/>
  <c r="R4368" i="2" s="1"/>
  <c r="N4367" i="2"/>
  <c r="O4367" i="2" s="1"/>
  <c r="R4367" i="2" s="1"/>
  <c r="N4366" i="2"/>
  <c r="O4366" i="2" s="1"/>
  <c r="R4366" i="2" s="1"/>
  <c r="N4365" i="2"/>
  <c r="O4365" i="2" s="1"/>
  <c r="R4365" i="2" s="1"/>
  <c r="N4364" i="2"/>
  <c r="O4364" i="2" s="1"/>
  <c r="R4364" i="2" s="1"/>
  <c r="N4363" i="2"/>
  <c r="O4363" i="2" s="1"/>
  <c r="R4363" i="2" s="1"/>
  <c r="N4362" i="2"/>
  <c r="O4362" i="2" s="1"/>
  <c r="R4362" i="2" s="1"/>
  <c r="N4361" i="2"/>
  <c r="O4361" i="2" s="1"/>
  <c r="R4361" i="2" s="1"/>
  <c r="N4360" i="2"/>
  <c r="O4360" i="2" s="1"/>
  <c r="R4360" i="2" s="1"/>
  <c r="N4359" i="2"/>
  <c r="O4359" i="2" s="1"/>
  <c r="R4359" i="2" s="1"/>
  <c r="N4358" i="2"/>
  <c r="O4358" i="2" s="1"/>
  <c r="R4358" i="2" s="1"/>
  <c r="N4357" i="2"/>
  <c r="O4357" i="2" s="1"/>
  <c r="R4357" i="2" s="1"/>
  <c r="N4356" i="2"/>
  <c r="O4356" i="2" s="1"/>
  <c r="R4356" i="2" s="1"/>
  <c r="N4355" i="2"/>
  <c r="O4355" i="2" s="1"/>
  <c r="R4355" i="2" s="1"/>
  <c r="N4354" i="2"/>
  <c r="O4354" i="2" s="1"/>
  <c r="R4354" i="2" s="1"/>
  <c r="N4353" i="2"/>
  <c r="O4353" i="2" s="1"/>
  <c r="R4353" i="2" s="1"/>
  <c r="N4352" i="2"/>
  <c r="O4352" i="2" s="1"/>
  <c r="R4352" i="2" s="1"/>
  <c r="N4351" i="2"/>
  <c r="O4351" i="2" s="1"/>
  <c r="R4351" i="2" s="1"/>
  <c r="N4350" i="2"/>
  <c r="O4350" i="2" s="1"/>
  <c r="R4350" i="2" s="1"/>
  <c r="N4349" i="2"/>
  <c r="O4349" i="2" s="1"/>
  <c r="R4349" i="2" s="1"/>
  <c r="N4348" i="2"/>
  <c r="O4348" i="2" s="1"/>
  <c r="R4348" i="2" s="1"/>
  <c r="N4347" i="2"/>
  <c r="O4347" i="2" s="1"/>
  <c r="R4347" i="2" s="1"/>
  <c r="N4346" i="2"/>
  <c r="O4346" i="2" s="1"/>
  <c r="R4346" i="2" s="1"/>
  <c r="N4345" i="2"/>
  <c r="O4345" i="2" s="1"/>
  <c r="R4345" i="2" s="1"/>
  <c r="N4344" i="2"/>
  <c r="O4344" i="2" s="1"/>
  <c r="R4344" i="2" s="1"/>
  <c r="N4343" i="2"/>
  <c r="O4343" i="2" s="1"/>
  <c r="R4343" i="2" s="1"/>
  <c r="N4342" i="2"/>
  <c r="O4342" i="2" s="1"/>
  <c r="R4342" i="2" s="1"/>
  <c r="N4341" i="2"/>
  <c r="O4341" i="2" s="1"/>
  <c r="R4341" i="2" s="1"/>
  <c r="N4340" i="2"/>
  <c r="O4340" i="2" s="1"/>
  <c r="R4340" i="2" s="1"/>
  <c r="N4339" i="2"/>
  <c r="O4339" i="2" s="1"/>
  <c r="R4339" i="2" s="1"/>
  <c r="N4338" i="2"/>
  <c r="O4338" i="2" s="1"/>
  <c r="R4338" i="2" s="1"/>
  <c r="N4337" i="2"/>
  <c r="O4337" i="2" s="1"/>
  <c r="R4337" i="2" s="1"/>
  <c r="N4336" i="2"/>
  <c r="O4336" i="2" s="1"/>
  <c r="R4336" i="2" s="1"/>
  <c r="N4335" i="2"/>
  <c r="O4335" i="2" s="1"/>
  <c r="R4335" i="2" s="1"/>
  <c r="N4334" i="2"/>
  <c r="O4334" i="2" s="1"/>
  <c r="R4334" i="2" s="1"/>
  <c r="N4333" i="2"/>
  <c r="O4333" i="2" s="1"/>
  <c r="R4333" i="2" s="1"/>
  <c r="N4332" i="2"/>
  <c r="O4332" i="2" s="1"/>
  <c r="R4332" i="2" s="1"/>
  <c r="N4331" i="2"/>
  <c r="O4331" i="2" s="1"/>
  <c r="R4331" i="2" s="1"/>
  <c r="N4330" i="2"/>
  <c r="O4330" i="2" s="1"/>
  <c r="R4330" i="2" s="1"/>
  <c r="N4329" i="2"/>
  <c r="O4329" i="2" s="1"/>
  <c r="R4329" i="2" s="1"/>
  <c r="N4328" i="2"/>
  <c r="O4328" i="2" s="1"/>
  <c r="R4328" i="2" s="1"/>
  <c r="N4327" i="2"/>
  <c r="O4327" i="2" s="1"/>
  <c r="R4327" i="2" s="1"/>
  <c r="N4326" i="2"/>
  <c r="O4326" i="2" s="1"/>
  <c r="R4326" i="2" s="1"/>
  <c r="N4325" i="2"/>
  <c r="O4325" i="2" s="1"/>
  <c r="R4325" i="2" s="1"/>
  <c r="N4324" i="2"/>
  <c r="O4324" i="2" s="1"/>
  <c r="R4324" i="2" s="1"/>
  <c r="N4323" i="2"/>
  <c r="O4323" i="2" s="1"/>
  <c r="R4323" i="2" s="1"/>
  <c r="N4322" i="2"/>
  <c r="O4322" i="2" s="1"/>
  <c r="R4322" i="2" s="1"/>
  <c r="N4321" i="2"/>
  <c r="O4321" i="2" s="1"/>
  <c r="R4321" i="2" s="1"/>
  <c r="N4320" i="2"/>
  <c r="O4320" i="2" s="1"/>
  <c r="R4320" i="2" s="1"/>
  <c r="N4319" i="2"/>
  <c r="O4319" i="2" s="1"/>
  <c r="R4319" i="2" s="1"/>
  <c r="N4318" i="2"/>
  <c r="O4318" i="2" s="1"/>
  <c r="R4318" i="2" s="1"/>
  <c r="N4317" i="2"/>
  <c r="O4317" i="2" s="1"/>
  <c r="R4317" i="2" s="1"/>
  <c r="N4316" i="2"/>
  <c r="O4316" i="2" s="1"/>
  <c r="R4316" i="2" s="1"/>
  <c r="N4315" i="2"/>
  <c r="O4315" i="2" s="1"/>
  <c r="R4315" i="2" s="1"/>
  <c r="N4314" i="2"/>
  <c r="O4314" i="2" s="1"/>
  <c r="R4314" i="2" s="1"/>
  <c r="N4313" i="2"/>
  <c r="O4313" i="2" s="1"/>
  <c r="R4313" i="2" s="1"/>
  <c r="N4312" i="2"/>
  <c r="O4312" i="2" s="1"/>
  <c r="R4312" i="2" s="1"/>
  <c r="N4311" i="2"/>
  <c r="O4311" i="2" s="1"/>
  <c r="R4311" i="2" s="1"/>
  <c r="N4310" i="2"/>
  <c r="O4310" i="2" s="1"/>
  <c r="R4310" i="2" s="1"/>
  <c r="N4309" i="2"/>
  <c r="O4309" i="2" s="1"/>
  <c r="R4309" i="2" s="1"/>
  <c r="N4308" i="2"/>
  <c r="O4308" i="2" s="1"/>
  <c r="R4308" i="2" s="1"/>
  <c r="N4307" i="2"/>
  <c r="O4307" i="2" s="1"/>
  <c r="R4307" i="2" s="1"/>
  <c r="N4306" i="2"/>
  <c r="O4306" i="2" s="1"/>
  <c r="R4306" i="2" s="1"/>
  <c r="N4305" i="2"/>
  <c r="O4305" i="2" s="1"/>
  <c r="R4305" i="2" s="1"/>
  <c r="N4304" i="2"/>
  <c r="O4304" i="2" s="1"/>
  <c r="R4304" i="2" s="1"/>
  <c r="N4303" i="2"/>
  <c r="O4303" i="2" s="1"/>
  <c r="R4303" i="2" s="1"/>
  <c r="N4302" i="2"/>
  <c r="O4302" i="2" s="1"/>
  <c r="R4302" i="2" s="1"/>
  <c r="N4301" i="2"/>
  <c r="O4301" i="2" s="1"/>
  <c r="R4301" i="2" s="1"/>
  <c r="N4300" i="2"/>
  <c r="O4300" i="2" s="1"/>
  <c r="R4300" i="2" s="1"/>
  <c r="N4299" i="2"/>
  <c r="O4299" i="2" s="1"/>
  <c r="R4299" i="2" s="1"/>
  <c r="N4298" i="2"/>
  <c r="O4298" i="2" s="1"/>
  <c r="R4298" i="2" s="1"/>
  <c r="N4297" i="2"/>
  <c r="O4297" i="2" s="1"/>
  <c r="R4297" i="2" s="1"/>
  <c r="N4296" i="2"/>
  <c r="O4296" i="2" s="1"/>
  <c r="R4296" i="2" s="1"/>
  <c r="N4295" i="2"/>
  <c r="O4295" i="2" s="1"/>
  <c r="R4295" i="2" s="1"/>
  <c r="N4294" i="2"/>
  <c r="O4294" i="2" s="1"/>
  <c r="R4294" i="2" s="1"/>
  <c r="N4293" i="2"/>
  <c r="O4293" i="2" s="1"/>
  <c r="R4293" i="2" s="1"/>
  <c r="N4292" i="2"/>
  <c r="O4292" i="2" s="1"/>
  <c r="R4292" i="2" s="1"/>
  <c r="N4291" i="2"/>
  <c r="O4291" i="2" s="1"/>
  <c r="R4291" i="2" s="1"/>
  <c r="N4290" i="2"/>
  <c r="O4290" i="2" s="1"/>
  <c r="R4290" i="2" s="1"/>
  <c r="N4289" i="2"/>
  <c r="O4289" i="2" s="1"/>
  <c r="R4289" i="2" s="1"/>
  <c r="N4288" i="2"/>
  <c r="O4288" i="2" s="1"/>
  <c r="R4288" i="2" s="1"/>
  <c r="N4287" i="2"/>
  <c r="O4287" i="2" s="1"/>
  <c r="R4287" i="2" s="1"/>
  <c r="N4286" i="2"/>
  <c r="O4286" i="2" s="1"/>
  <c r="R4286" i="2" s="1"/>
  <c r="N4285" i="2"/>
  <c r="O4285" i="2" s="1"/>
  <c r="R4285" i="2" s="1"/>
  <c r="N4284" i="2"/>
  <c r="O4284" i="2" s="1"/>
  <c r="R4284" i="2" s="1"/>
  <c r="N4283" i="2"/>
  <c r="O4283" i="2" s="1"/>
  <c r="R4283" i="2" s="1"/>
  <c r="N4282" i="2"/>
  <c r="O4282" i="2" s="1"/>
  <c r="R4282" i="2" s="1"/>
  <c r="N4281" i="2"/>
  <c r="O4281" i="2" s="1"/>
  <c r="R4281" i="2" s="1"/>
  <c r="N4280" i="2"/>
  <c r="O4280" i="2" s="1"/>
  <c r="R4280" i="2" s="1"/>
  <c r="N4279" i="2"/>
  <c r="O4279" i="2" s="1"/>
  <c r="R4279" i="2" s="1"/>
  <c r="N4238" i="2" l="1"/>
  <c r="N4239" i="2"/>
  <c r="N4278" i="2"/>
  <c r="O4278" i="2" s="1"/>
  <c r="R4278" i="2" s="1"/>
  <c r="N4277" i="2"/>
  <c r="O4277" i="2" s="1"/>
  <c r="R4277" i="2" s="1"/>
  <c r="N4276" i="2"/>
  <c r="O4276" i="2" s="1"/>
  <c r="R4276" i="2" s="1"/>
  <c r="N4275" i="2"/>
  <c r="O4275" i="2" s="1"/>
  <c r="R4275" i="2" s="1"/>
  <c r="N4274" i="2"/>
  <c r="O4274" i="2" s="1"/>
  <c r="R4274" i="2" s="1"/>
  <c r="N4273" i="2"/>
  <c r="O4273" i="2" s="1"/>
  <c r="R4273" i="2" s="1"/>
  <c r="N4272" i="2"/>
  <c r="O4272" i="2" s="1"/>
  <c r="R4272" i="2" s="1"/>
  <c r="N4271" i="2"/>
  <c r="O4271" i="2" s="1"/>
  <c r="R4271" i="2" s="1"/>
  <c r="N4270" i="2"/>
  <c r="O4270" i="2" s="1"/>
  <c r="R4270" i="2" s="1"/>
  <c r="N4269" i="2"/>
  <c r="O4269" i="2" s="1"/>
  <c r="R4269" i="2" s="1"/>
  <c r="N4268" i="2"/>
  <c r="O4268" i="2" s="1"/>
  <c r="R4268" i="2" s="1"/>
  <c r="N4267" i="2"/>
  <c r="O4267" i="2" s="1"/>
  <c r="R4267" i="2" s="1"/>
  <c r="N4266" i="2"/>
  <c r="O4266" i="2" s="1"/>
  <c r="R4266" i="2" s="1"/>
  <c r="N4265" i="2"/>
  <c r="O4265" i="2" s="1"/>
  <c r="R4265" i="2" s="1"/>
  <c r="N4264" i="2"/>
  <c r="O4264" i="2" s="1"/>
  <c r="R4264" i="2" s="1"/>
  <c r="N4263" i="2"/>
  <c r="O4263" i="2" s="1"/>
  <c r="R4263" i="2" s="1"/>
  <c r="N4262" i="2"/>
  <c r="O4262" i="2" s="1"/>
  <c r="R4262" i="2" s="1"/>
  <c r="N4261" i="2"/>
  <c r="O4261" i="2" s="1"/>
  <c r="R4261" i="2" s="1"/>
  <c r="N4260" i="2"/>
  <c r="O4260" i="2" s="1"/>
  <c r="R4260" i="2" s="1"/>
  <c r="N4259" i="2"/>
  <c r="O4259" i="2" s="1"/>
  <c r="R4259" i="2" s="1"/>
  <c r="N4258" i="2"/>
  <c r="O4258" i="2" s="1"/>
  <c r="R4258" i="2" s="1"/>
  <c r="N4257" i="2"/>
  <c r="O4257" i="2" s="1"/>
  <c r="R4257" i="2" s="1"/>
  <c r="N4256" i="2"/>
  <c r="O4256" i="2" s="1"/>
  <c r="R4256" i="2" s="1"/>
  <c r="N4255" i="2"/>
  <c r="O4255" i="2" s="1"/>
  <c r="R4255" i="2" s="1"/>
  <c r="N4254" i="2"/>
  <c r="O4254" i="2" s="1"/>
  <c r="R4254" i="2" s="1"/>
  <c r="N4253" i="2"/>
  <c r="O4253" i="2" s="1"/>
  <c r="R4253" i="2" s="1"/>
  <c r="N4252" i="2"/>
  <c r="O4252" i="2" s="1"/>
  <c r="R4252" i="2" s="1"/>
  <c r="N4251" i="2"/>
  <c r="O4251" i="2" s="1"/>
  <c r="R4251" i="2" s="1"/>
  <c r="N4250" i="2"/>
  <c r="O4250" i="2" s="1"/>
  <c r="R4250" i="2" s="1"/>
  <c r="N4249" i="2"/>
  <c r="O4249" i="2" s="1"/>
  <c r="R4249" i="2" s="1"/>
  <c r="N4248" i="2"/>
  <c r="O4248" i="2" s="1"/>
  <c r="R4248" i="2" s="1"/>
  <c r="N4247" i="2"/>
  <c r="O4247" i="2" s="1"/>
  <c r="R4247" i="2" s="1"/>
  <c r="N4246" i="2"/>
  <c r="O4246" i="2" s="1"/>
  <c r="R4246" i="2" s="1"/>
  <c r="N4245" i="2"/>
  <c r="O4245" i="2" s="1"/>
  <c r="R4245" i="2" s="1"/>
  <c r="N4244" i="2"/>
  <c r="O4244" i="2" s="1"/>
  <c r="R4244" i="2" s="1"/>
  <c r="O4243" i="2"/>
  <c r="R4243" i="2" s="1"/>
  <c r="N4243" i="2"/>
  <c r="O4242" i="2"/>
  <c r="R4242" i="2" s="1"/>
  <c r="N4242" i="2"/>
  <c r="O4241" i="2"/>
  <c r="R4241" i="2" s="1"/>
  <c r="N4241" i="2"/>
  <c r="O4240" i="2"/>
  <c r="R4240" i="2" s="1"/>
  <c r="N4240" i="2"/>
  <c r="O4239" i="2"/>
  <c r="R4239" i="2" s="1"/>
  <c r="O4238" i="2"/>
  <c r="R4238" i="2" s="1"/>
  <c r="N4237" i="2"/>
  <c r="O4237" i="2" s="1"/>
  <c r="R4237" i="2" s="1"/>
  <c r="N4236" i="2"/>
  <c r="O4236" i="2" s="1"/>
  <c r="R4236" i="2" s="1"/>
  <c r="N4235" i="2"/>
  <c r="O4235" i="2" s="1"/>
  <c r="R4235" i="2" s="1"/>
  <c r="N4234" i="2"/>
  <c r="O4234" i="2" s="1"/>
  <c r="R4234" i="2" s="1"/>
  <c r="N4233" i="2"/>
  <c r="O4233" i="2" s="1"/>
  <c r="R4233" i="2" s="1"/>
  <c r="N4232" i="2"/>
  <c r="O4232" i="2" s="1"/>
  <c r="R4232" i="2" s="1"/>
  <c r="N4231" i="2"/>
  <c r="O4231" i="2" s="1"/>
  <c r="R4231" i="2" s="1"/>
  <c r="N4230" i="2"/>
  <c r="O4230" i="2" s="1"/>
  <c r="R4230" i="2" s="1"/>
  <c r="N4229" i="2"/>
  <c r="O4229" i="2" s="1"/>
  <c r="R4229" i="2" s="1"/>
  <c r="N4228" i="2"/>
  <c r="O4228" i="2" s="1"/>
  <c r="R4228" i="2" s="1"/>
  <c r="N4227" i="2"/>
  <c r="O4227" i="2" s="1"/>
  <c r="R4227" i="2" s="1"/>
  <c r="N4226" i="2"/>
  <c r="O4226" i="2" s="1"/>
  <c r="R4226" i="2" s="1"/>
  <c r="N4225" i="2"/>
  <c r="O4225" i="2" s="1"/>
  <c r="R4225" i="2" s="1"/>
  <c r="N4224" i="2"/>
  <c r="O4224" i="2" s="1"/>
  <c r="R4224" i="2" s="1"/>
  <c r="N4223" i="2"/>
  <c r="O4223" i="2" s="1"/>
  <c r="R4223" i="2" s="1"/>
  <c r="N4222" i="2"/>
  <c r="O4222" i="2" s="1"/>
  <c r="R4222" i="2" s="1"/>
  <c r="N4221" i="2"/>
  <c r="O4221" i="2" s="1"/>
  <c r="R4221" i="2" s="1"/>
  <c r="N4220" i="2"/>
  <c r="O4220" i="2" s="1"/>
  <c r="R4220" i="2" s="1"/>
  <c r="N4219" i="2"/>
  <c r="O4219" i="2" s="1"/>
  <c r="R4219" i="2" s="1"/>
  <c r="N4218" i="2"/>
  <c r="O4218" i="2" s="1"/>
  <c r="R4218" i="2" s="1"/>
  <c r="N4217" i="2"/>
  <c r="O4217" i="2" s="1"/>
  <c r="R4217" i="2" s="1"/>
  <c r="N4216" i="2"/>
  <c r="O4216" i="2" s="1"/>
  <c r="R4216" i="2" s="1"/>
  <c r="N4215" i="2"/>
  <c r="O4215" i="2" s="1"/>
  <c r="R4215" i="2" s="1"/>
  <c r="N4214" i="2"/>
  <c r="O4214" i="2" s="1"/>
  <c r="R4214" i="2" s="1"/>
  <c r="N4213" i="2"/>
  <c r="O4213" i="2" s="1"/>
  <c r="R4213" i="2" s="1"/>
  <c r="N4212" i="2"/>
  <c r="O4212" i="2" s="1"/>
  <c r="R4212" i="2" s="1"/>
  <c r="N4211" i="2"/>
  <c r="O4211" i="2" s="1"/>
  <c r="R4211" i="2" s="1"/>
  <c r="N4210" i="2"/>
  <c r="O4210" i="2" s="1"/>
  <c r="R4210" i="2" s="1"/>
  <c r="N4209" i="2"/>
  <c r="O4209" i="2" s="1"/>
  <c r="R4209" i="2" s="1"/>
  <c r="N4208" i="2"/>
  <c r="O4208" i="2" s="1"/>
  <c r="R4208" i="2" s="1"/>
  <c r="N4207" i="2"/>
  <c r="O4207" i="2" s="1"/>
  <c r="R4207" i="2" s="1"/>
  <c r="N4206" i="2"/>
  <c r="O4206" i="2" s="1"/>
  <c r="R4206" i="2" s="1"/>
  <c r="N4205" i="2"/>
  <c r="O4205" i="2" s="1"/>
  <c r="R4205" i="2" s="1"/>
  <c r="N4204" i="2"/>
  <c r="O4204" i="2" s="1"/>
  <c r="R4204" i="2" s="1"/>
  <c r="N4203" i="2"/>
  <c r="O4203" i="2" s="1"/>
  <c r="R4203" i="2" s="1"/>
  <c r="N4202" i="2"/>
  <c r="O4202" i="2" s="1"/>
  <c r="R4202" i="2" s="1"/>
  <c r="N4201" i="2"/>
  <c r="O4201" i="2" s="1"/>
  <c r="R4201" i="2" s="1"/>
  <c r="N4200" i="2"/>
  <c r="O4200" i="2" s="1"/>
  <c r="R4200" i="2" s="1"/>
  <c r="N4199" i="2"/>
  <c r="O4199" i="2" s="1"/>
  <c r="R4199" i="2" s="1"/>
  <c r="N4198" i="2"/>
  <c r="O4198" i="2" s="1"/>
  <c r="R4198" i="2" s="1"/>
  <c r="N4197" i="2"/>
  <c r="O4197" i="2" s="1"/>
  <c r="R4197" i="2" s="1"/>
  <c r="N4196" i="2"/>
  <c r="O4196" i="2" s="1"/>
  <c r="R4196" i="2" s="1"/>
  <c r="N4195" i="2"/>
  <c r="O4195" i="2" s="1"/>
  <c r="R4195" i="2" s="1"/>
  <c r="N4194" i="2"/>
  <c r="O4194" i="2" s="1"/>
  <c r="R4194" i="2" s="1"/>
  <c r="N4193" i="2"/>
  <c r="O4193" i="2" s="1"/>
  <c r="R4193" i="2" s="1"/>
  <c r="N4192" i="2"/>
  <c r="O4192" i="2" s="1"/>
  <c r="R4192" i="2" s="1"/>
  <c r="N4191" i="2"/>
  <c r="O4191" i="2" s="1"/>
  <c r="R4191" i="2" s="1"/>
  <c r="N4190" i="2"/>
  <c r="O4190" i="2" s="1"/>
  <c r="R4190" i="2" s="1"/>
  <c r="N4189" i="2"/>
  <c r="O4189" i="2" s="1"/>
  <c r="R4189" i="2" s="1"/>
  <c r="N4188" i="2"/>
  <c r="O4188" i="2" s="1"/>
  <c r="R4188" i="2" s="1"/>
  <c r="N4187" i="2"/>
  <c r="O4187" i="2" s="1"/>
  <c r="R4187" i="2" s="1"/>
  <c r="N4186" i="2"/>
  <c r="O4186" i="2" s="1"/>
  <c r="R4186" i="2" s="1"/>
  <c r="N4185" i="2"/>
  <c r="O4185" i="2" s="1"/>
  <c r="R4185" i="2" s="1"/>
  <c r="N4184" i="2"/>
  <c r="O4184" i="2" s="1"/>
  <c r="R4184" i="2" s="1"/>
  <c r="N4183" i="2"/>
  <c r="O4183" i="2" s="1"/>
  <c r="R4183" i="2" s="1"/>
  <c r="N4182" i="2"/>
  <c r="O4182" i="2" s="1"/>
  <c r="R4182" i="2" s="1"/>
  <c r="N4181" i="2"/>
  <c r="O4181" i="2" s="1"/>
  <c r="R4181" i="2" s="1"/>
  <c r="N4180" i="2"/>
  <c r="O4180" i="2" s="1"/>
  <c r="R4180" i="2" s="1"/>
  <c r="N4179" i="2"/>
  <c r="O4179" i="2" s="1"/>
  <c r="R4179" i="2" s="1"/>
  <c r="N4178" i="2"/>
  <c r="O4178" i="2" s="1"/>
  <c r="R4178" i="2" s="1"/>
  <c r="N4177" i="2"/>
  <c r="O4177" i="2" s="1"/>
  <c r="R4177" i="2" s="1"/>
  <c r="N4176" i="2"/>
  <c r="O4176" i="2" s="1"/>
  <c r="R4176" i="2" s="1"/>
  <c r="N4175" i="2"/>
  <c r="O4175" i="2" s="1"/>
  <c r="R4175" i="2" s="1"/>
  <c r="N4174" i="2"/>
  <c r="O4174" i="2" s="1"/>
  <c r="R4174" i="2" s="1"/>
  <c r="N4173" i="2"/>
  <c r="O4173" i="2" s="1"/>
  <c r="R4173" i="2" s="1"/>
  <c r="N4172" i="2"/>
  <c r="O4172" i="2" s="1"/>
  <c r="R4172" i="2" s="1"/>
  <c r="N4171" i="2"/>
  <c r="O4171" i="2" s="1"/>
  <c r="R4171" i="2" s="1"/>
  <c r="N4170" i="2"/>
  <c r="O4170" i="2" s="1"/>
  <c r="R4170" i="2" s="1"/>
  <c r="N4169" i="2"/>
  <c r="O4169" i="2" s="1"/>
  <c r="R4169" i="2" s="1"/>
  <c r="N4168" i="2"/>
  <c r="O4168" i="2" s="1"/>
  <c r="R4168" i="2" s="1"/>
  <c r="N4167" i="2"/>
  <c r="O4167" i="2" s="1"/>
  <c r="R4167" i="2" s="1"/>
  <c r="N4166" i="2"/>
  <c r="O4166" i="2" s="1"/>
  <c r="R4166" i="2" s="1"/>
  <c r="N4165" i="2"/>
  <c r="O4165" i="2" s="1"/>
  <c r="R4165" i="2" s="1"/>
  <c r="N4164" i="2"/>
  <c r="O4164" i="2" s="1"/>
  <c r="R4164" i="2" s="1"/>
  <c r="N4163" i="2"/>
  <c r="O4163" i="2" s="1"/>
  <c r="R4163" i="2" s="1"/>
  <c r="N4162" i="2"/>
  <c r="O4162" i="2" s="1"/>
  <c r="R4162" i="2" s="1"/>
  <c r="N4161" i="2"/>
  <c r="O4161" i="2" s="1"/>
  <c r="R4161" i="2" s="1"/>
  <c r="N4160" i="2"/>
  <c r="O4160" i="2" s="1"/>
  <c r="R4160" i="2" s="1"/>
  <c r="N4159" i="2"/>
  <c r="O4159" i="2" s="1"/>
  <c r="R4159" i="2" s="1"/>
  <c r="N4158" i="2"/>
  <c r="O4158" i="2" s="1"/>
  <c r="R4158" i="2" s="1"/>
  <c r="N4157" i="2"/>
  <c r="O4157" i="2" s="1"/>
  <c r="R4157" i="2" s="1"/>
  <c r="N4156" i="2"/>
  <c r="O4156" i="2" s="1"/>
  <c r="R4156" i="2" s="1"/>
  <c r="N4155" i="2"/>
  <c r="O4155" i="2" s="1"/>
  <c r="R4155" i="2" s="1"/>
  <c r="N4154" i="2"/>
  <c r="O4154" i="2" s="1"/>
  <c r="R4154" i="2" s="1"/>
  <c r="N4153" i="2"/>
  <c r="O4153" i="2" s="1"/>
  <c r="R4153" i="2" s="1"/>
  <c r="N4152" i="2"/>
  <c r="O4152" i="2" s="1"/>
  <c r="R4152" i="2" s="1"/>
  <c r="N4151" i="2"/>
  <c r="O4151" i="2" s="1"/>
  <c r="R4151" i="2" s="1"/>
  <c r="N4150" i="2"/>
  <c r="O4150" i="2" s="1"/>
  <c r="R4150" i="2" s="1"/>
  <c r="N4149" i="2"/>
  <c r="O4149" i="2" s="1"/>
  <c r="R4149" i="2" s="1"/>
  <c r="N4148" i="2"/>
  <c r="O4148" i="2" s="1"/>
  <c r="R4148" i="2" s="1"/>
  <c r="N4147" i="2"/>
  <c r="O4147" i="2" s="1"/>
  <c r="R4147" i="2" s="1"/>
  <c r="N4146" i="2"/>
  <c r="O4146" i="2" s="1"/>
  <c r="R4146" i="2" s="1"/>
  <c r="N4145" i="2"/>
  <c r="O4145" i="2" s="1"/>
  <c r="R4145" i="2" s="1"/>
  <c r="N4144" i="2"/>
  <c r="O4144" i="2" s="1"/>
  <c r="R4144" i="2" s="1"/>
  <c r="N4143" i="2"/>
  <c r="O4143" i="2" s="1"/>
  <c r="R4143" i="2" s="1"/>
  <c r="N4142" i="2"/>
  <c r="O4142" i="2" s="1"/>
  <c r="R4142" i="2" s="1"/>
  <c r="N4141" i="2"/>
  <c r="O4141" i="2" s="1"/>
  <c r="R4141" i="2" s="1"/>
  <c r="N4140" i="2"/>
  <c r="O4140" i="2" s="1"/>
  <c r="R4140" i="2" s="1"/>
  <c r="N4139" i="2"/>
  <c r="O4139" i="2" s="1"/>
  <c r="R4139" i="2" s="1"/>
  <c r="N4138" i="2"/>
  <c r="O4138" i="2" s="1"/>
  <c r="R4138" i="2" s="1"/>
  <c r="N4137" i="2"/>
  <c r="O4137" i="2" s="1"/>
  <c r="R4137" i="2" s="1"/>
  <c r="N4136" i="2"/>
  <c r="O4136" i="2" s="1"/>
  <c r="R4136" i="2" s="1"/>
  <c r="N4135" i="2"/>
  <c r="O4135" i="2" s="1"/>
  <c r="R4135" i="2" s="1"/>
  <c r="N4134" i="2"/>
  <c r="O4134" i="2" s="1"/>
  <c r="R4134" i="2" s="1"/>
  <c r="N4133" i="2"/>
  <c r="O4133" i="2" s="1"/>
  <c r="R4133" i="2" s="1"/>
  <c r="N4132" i="2"/>
  <c r="O4132" i="2" s="1"/>
  <c r="R4132" i="2" s="1"/>
  <c r="N4131" i="2"/>
  <c r="O4131" i="2" s="1"/>
  <c r="R4131" i="2" s="1"/>
  <c r="N4130" i="2"/>
  <c r="O4130" i="2" s="1"/>
  <c r="R4130" i="2" s="1"/>
  <c r="N4129" i="2"/>
  <c r="O4129" i="2" s="1"/>
  <c r="R4129" i="2" s="1"/>
  <c r="N4128" i="2"/>
  <c r="O4128" i="2" s="1"/>
  <c r="R4128" i="2" s="1"/>
  <c r="N4127" i="2"/>
  <c r="O4127" i="2" s="1"/>
  <c r="R4127" i="2" s="1"/>
  <c r="N4126" i="2"/>
  <c r="O4126" i="2" s="1"/>
  <c r="R4126" i="2" s="1"/>
  <c r="N4125" i="2"/>
  <c r="O4125" i="2" s="1"/>
  <c r="R4125" i="2" s="1"/>
  <c r="N4124" i="2"/>
  <c r="O4124" i="2" s="1"/>
  <c r="R4124" i="2" s="1"/>
  <c r="N3183" i="2" l="1"/>
  <c r="O3183" i="2" s="1"/>
  <c r="R3183" i="2" s="1"/>
  <c r="N3182" i="2"/>
  <c r="O3182" i="2" s="1"/>
  <c r="R3182" i="2" s="1"/>
  <c r="N3758" i="2" l="1"/>
  <c r="O3758" i="2" s="1"/>
  <c r="R3758" i="2" s="1"/>
  <c r="N3757" i="2"/>
  <c r="O3757" i="2" s="1"/>
  <c r="R3757" i="2" s="1"/>
  <c r="N3756" i="2"/>
  <c r="O3756" i="2" s="1"/>
  <c r="R3756" i="2" s="1"/>
  <c r="N3755" i="2"/>
  <c r="O3755" i="2" s="1"/>
  <c r="R3755" i="2" s="1"/>
  <c r="N3754" i="2"/>
  <c r="O3754" i="2" s="1"/>
  <c r="R3754" i="2" s="1"/>
  <c r="N3753" i="2"/>
  <c r="O3753" i="2" s="1"/>
  <c r="R3753" i="2" s="1"/>
  <c r="N3752" i="2"/>
  <c r="O3752" i="2" s="1"/>
  <c r="R3752" i="2" s="1"/>
  <c r="N3751" i="2"/>
  <c r="O3751" i="2" s="1"/>
  <c r="R3751" i="2" s="1"/>
  <c r="N3750" i="2"/>
  <c r="O3750" i="2" s="1"/>
  <c r="R3750" i="2" s="1"/>
  <c r="N3749" i="2"/>
  <c r="O3749" i="2" s="1"/>
  <c r="R3749" i="2" s="1"/>
  <c r="N3748" i="2"/>
  <c r="O3748" i="2" s="1"/>
  <c r="R3748" i="2" s="1"/>
  <c r="N3747" i="2"/>
  <c r="O3747" i="2" s="1"/>
  <c r="R3747" i="2" s="1"/>
  <c r="N3746" i="2"/>
  <c r="O3746" i="2" s="1"/>
  <c r="R3746" i="2" s="1"/>
  <c r="N3745" i="2"/>
  <c r="O3745" i="2" s="1"/>
  <c r="R3745" i="2" s="1"/>
  <c r="N3744" i="2"/>
  <c r="O3744" i="2" s="1"/>
  <c r="R3744" i="2" s="1"/>
  <c r="N3743" i="2"/>
  <c r="O3743" i="2" s="1"/>
  <c r="R3743" i="2" s="1"/>
  <c r="N3742" i="2"/>
  <c r="O3742" i="2" s="1"/>
  <c r="R3742" i="2" s="1"/>
  <c r="N3741" i="2"/>
  <c r="O3741" i="2" s="1"/>
  <c r="R3741" i="2" s="1"/>
  <c r="N3740" i="2"/>
  <c r="O3740" i="2" s="1"/>
  <c r="R3740" i="2" s="1"/>
  <c r="N3739" i="2"/>
  <c r="O3739" i="2" s="1"/>
  <c r="R3739" i="2" s="1"/>
  <c r="N3738" i="2"/>
  <c r="O3738" i="2" s="1"/>
  <c r="R3738" i="2" s="1"/>
  <c r="N3737" i="2"/>
  <c r="O3737" i="2" s="1"/>
  <c r="R3737" i="2" s="1"/>
  <c r="N3736" i="2"/>
  <c r="O3736" i="2" s="1"/>
  <c r="R3736" i="2" s="1"/>
  <c r="N3735" i="2"/>
  <c r="O3735" i="2" s="1"/>
  <c r="R3735" i="2" s="1"/>
  <c r="N3734" i="2"/>
  <c r="O3734" i="2" s="1"/>
  <c r="R3734" i="2" s="1"/>
  <c r="N3733" i="2"/>
  <c r="O3733" i="2" s="1"/>
  <c r="R3733" i="2" s="1"/>
  <c r="N3732" i="2"/>
  <c r="O3732" i="2" s="1"/>
  <c r="R3732" i="2" s="1"/>
  <c r="N3731" i="2"/>
  <c r="O3731" i="2" s="1"/>
  <c r="R3731" i="2" s="1"/>
  <c r="N3730" i="2"/>
  <c r="O3730" i="2" s="1"/>
  <c r="R3730" i="2" s="1"/>
  <c r="N3729" i="2"/>
  <c r="O3729" i="2" s="1"/>
  <c r="R3729" i="2" s="1"/>
  <c r="N3728" i="2"/>
  <c r="O3728" i="2" s="1"/>
  <c r="R3728" i="2" s="1"/>
  <c r="N3727" i="2"/>
  <c r="O3727" i="2" s="1"/>
  <c r="R3727" i="2" s="1"/>
  <c r="O3726" i="2"/>
  <c r="R3726" i="2" s="1"/>
  <c r="N3726" i="2"/>
  <c r="O3725" i="2"/>
  <c r="R3725" i="2" s="1"/>
  <c r="N3725" i="2"/>
  <c r="O3724" i="2"/>
  <c r="R3724" i="2" s="1"/>
  <c r="N3724" i="2"/>
  <c r="O3723" i="2"/>
  <c r="R3723" i="2" s="1"/>
  <c r="N3723" i="2"/>
  <c r="O3722" i="2"/>
  <c r="R3722" i="2" s="1"/>
  <c r="N3722" i="2"/>
  <c r="O3721" i="2"/>
  <c r="R3721" i="2" s="1"/>
  <c r="N3721" i="2"/>
  <c r="O3720" i="2"/>
  <c r="R3720" i="2" s="1"/>
  <c r="N3720" i="2"/>
  <c r="O3719" i="2"/>
  <c r="R3719" i="2" s="1"/>
  <c r="N3719" i="2"/>
  <c r="O3718" i="2"/>
  <c r="R3718" i="2" s="1"/>
  <c r="N3718" i="2"/>
  <c r="O3717" i="2"/>
  <c r="R3717" i="2" s="1"/>
  <c r="N3717" i="2"/>
  <c r="O3716" i="2"/>
  <c r="R3716" i="2" s="1"/>
  <c r="N3716" i="2"/>
  <c r="O3715" i="2"/>
  <c r="R3715" i="2" s="1"/>
  <c r="N3715" i="2"/>
  <c r="O3714" i="2"/>
  <c r="R3714" i="2" s="1"/>
  <c r="N3714" i="2"/>
  <c r="O3713" i="2"/>
  <c r="R3713" i="2" s="1"/>
  <c r="N3713" i="2"/>
  <c r="O3712" i="2"/>
  <c r="R3712" i="2" s="1"/>
  <c r="N3712" i="2"/>
  <c r="O3711" i="2"/>
  <c r="R3711" i="2" s="1"/>
  <c r="N3711" i="2"/>
  <c r="O3710" i="2"/>
  <c r="R3710" i="2" s="1"/>
  <c r="N3710" i="2"/>
  <c r="O3709" i="2"/>
  <c r="R3709" i="2" s="1"/>
  <c r="N3709" i="2"/>
  <c r="O3708" i="2"/>
  <c r="R3708" i="2" s="1"/>
  <c r="N3708" i="2"/>
  <c r="O3707" i="2"/>
  <c r="R3707" i="2" s="1"/>
  <c r="N3707" i="2"/>
  <c r="O3706" i="2"/>
  <c r="R3706" i="2" s="1"/>
  <c r="N3706" i="2"/>
  <c r="N3705" i="2"/>
  <c r="O3705" i="2" s="1"/>
  <c r="R3705" i="2" s="1"/>
  <c r="N3704" i="2"/>
  <c r="O3704" i="2" s="1"/>
  <c r="R3704" i="2" s="1"/>
  <c r="N3703" i="2"/>
  <c r="O3703" i="2" s="1"/>
  <c r="R3703" i="2" s="1"/>
  <c r="N3702" i="2"/>
  <c r="O3702" i="2" s="1"/>
  <c r="R3702" i="2" s="1"/>
  <c r="N3701" i="2"/>
  <c r="O3701" i="2" s="1"/>
  <c r="R3701" i="2" s="1"/>
  <c r="N3700" i="2"/>
  <c r="O3700" i="2" s="1"/>
  <c r="R3700" i="2" s="1"/>
  <c r="N3699" i="2"/>
  <c r="O3699" i="2" s="1"/>
  <c r="R3699" i="2" s="1"/>
  <c r="N3698" i="2"/>
  <c r="O3698" i="2" s="1"/>
  <c r="R3698" i="2" s="1"/>
  <c r="N3697" i="2"/>
  <c r="O3697" i="2" s="1"/>
  <c r="R3697" i="2" s="1"/>
  <c r="N3696" i="2"/>
  <c r="O3696" i="2" s="1"/>
  <c r="R3696" i="2" s="1"/>
  <c r="N3695" i="2"/>
  <c r="O3695" i="2" s="1"/>
  <c r="R3695" i="2" s="1"/>
  <c r="N3694" i="2"/>
  <c r="O3694" i="2" s="1"/>
  <c r="R3694" i="2" s="1"/>
  <c r="N3693" i="2"/>
  <c r="O3693" i="2" s="1"/>
  <c r="R3693" i="2" s="1"/>
  <c r="N3692" i="2"/>
  <c r="O3692" i="2" s="1"/>
  <c r="R3692" i="2" s="1"/>
  <c r="N3691" i="2"/>
  <c r="O3691" i="2" s="1"/>
  <c r="R3691" i="2" s="1"/>
  <c r="N3690" i="2"/>
  <c r="O3690" i="2" s="1"/>
  <c r="R3690" i="2" s="1"/>
  <c r="N3689" i="2"/>
  <c r="O3689" i="2" s="1"/>
  <c r="R3689" i="2" s="1"/>
  <c r="N3688" i="2"/>
  <c r="O3688" i="2" s="1"/>
  <c r="R3688" i="2" s="1"/>
  <c r="N3687" i="2"/>
  <c r="O3687" i="2" s="1"/>
  <c r="R3687" i="2" s="1"/>
  <c r="N3686" i="2"/>
  <c r="O3686" i="2" s="1"/>
  <c r="R3686" i="2" s="1"/>
  <c r="N3685" i="2"/>
  <c r="O3685" i="2" s="1"/>
  <c r="R3685" i="2" s="1"/>
  <c r="N3684" i="2"/>
  <c r="O3684" i="2" s="1"/>
  <c r="R3684" i="2" s="1"/>
  <c r="N3683" i="2"/>
  <c r="O3683" i="2" s="1"/>
  <c r="R3683" i="2" s="1"/>
  <c r="N3682" i="2"/>
  <c r="O3682" i="2" s="1"/>
  <c r="R3682" i="2" s="1"/>
  <c r="N3681" i="2"/>
  <c r="O3681" i="2" s="1"/>
  <c r="R3681" i="2" s="1"/>
  <c r="N3680" i="2"/>
  <c r="O3680" i="2" s="1"/>
  <c r="R3680" i="2" s="1"/>
  <c r="N3679" i="2"/>
  <c r="O3679" i="2" s="1"/>
  <c r="R3679" i="2" s="1"/>
  <c r="N3678" i="2"/>
  <c r="O3678" i="2" s="1"/>
  <c r="R3678" i="2" s="1"/>
  <c r="N3677" i="2"/>
  <c r="O3677" i="2" s="1"/>
  <c r="R3677" i="2" s="1"/>
  <c r="N3676" i="2"/>
  <c r="O3676" i="2" s="1"/>
  <c r="R3676" i="2" s="1"/>
  <c r="N3675" i="2"/>
  <c r="O3675" i="2" s="1"/>
  <c r="R3675" i="2" s="1"/>
  <c r="N3674" i="2"/>
  <c r="O3674" i="2" s="1"/>
  <c r="R3674" i="2" s="1"/>
  <c r="N3673" i="2"/>
  <c r="O3673" i="2" s="1"/>
  <c r="R3673" i="2" s="1"/>
  <c r="N3672" i="2"/>
  <c r="O3672" i="2" s="1"/>
  <c r="R3672" i="2" s="1"/>
  <c r="N3671" i="2"/>
  <c r="O3671" i="2" s="1"/>
  <c r="R3671" i="2" s="1"/>
  <c r="N3670" i="2"/>
  <c r="O3670" i="2" s="1"/>
  <c r="R3670" i="2" s="1"/>
  <c r="N3669" i="2"/>
  <c r="O3669" i="2" s="1"/>
  <c r="R3669" i="2" s="1"/>
  <c r="N3668" i="2"/>
  <c r="O3668" i="2" s="1"/>
  <c r="R3668" i="2" s="1"/>
  <c r="N3667" i="2"/>
  <c r="O3667" i="2" s="1"/>
  <c r="R3667" i="2" s="1"/>
  <c r="N3666" i="2"/>
  <c r="O3666" i="2" s="1"/>
  <c r="R3666" i="2" s="1"/>
  <c r="N3665" i="2"/>
  <c r="O3665" i="2" s="1"/>
  <c r="R3665" i="2" s="1"/>
  <c r="N3664" i="2"/>
  <c r="O3664" i="2" s="1"/>
  <c r="R3664" i="2" s="1"/>
  <c r="N3663" i="2"/>
  <c r="O3663" i="2" s="1"/>
  <c r="R3663" i="2" s="1"/>
  <c r="N3662" i="2"/>
  <c r="O3662" i="2" s="1"/>
  <c r="R3662" i="2" s="1"/>
  <c r="N3661" i="2"/>
  <c r="O3661" i="2" s="1"/>
  <c r="R3661" i="2" s="1"/>
  <c r="N3660" i="2"/>
  <c r="O3660" i="2" s="1"/>
  <c r="R3660" i="2" s="1"/>
  <c r="N3659" i="2"/>
  <c r="O3659" i="2" s="1"/>
  <c r="R3659" i="2" s="1"/>
  <c r="N3658" i="2"/>
  <c r="O3658" i="2" s="1"/>
  <c r="R3658" i="2" s="1"/>
  <c r="N3657" i="2"/>
  <c r="O3657" i="2" s="1"/>
  <c r="R3657" i="2" s="1"/>
  <c r="N3656" i="2"/>
  <c r="O3656" i="2" s="1"/>
  <c r="R3656" i="2" s="1"/>
  <c r="N3655" i="2"/>
  <c r="O3655" i="2" s="1"/>
  <c r="R3655" i="2" s="1"/>
  <c r="N3654" i="2"/>
  <c r="O3654" i="2" s="1"/>
  <c r="R3654" i="2" s="1"/>
  <c r="N3653" i="2"/>
  <c r="O3653" i="2" s="1"/>
  <c r="R3653" i="2" s="1"/>
  <c r="N3652" i="2"/>
  <c r="O3652" i="2" s="1"/>
  <c r="R3652" i="2" s="1"/>
  <c r="N3651" i="2"/>
  <c r="O3651" i="2" s="1"/>
  <c r="R3651" i="2" s="1"/>
  <c r="N3650" i="2"/>
  <c r="O3650" i="2" s="1"/>
  <c r="R3650" i="2" s="1"/>
  <c r="N3649" i="2"/>
  <c r="O3649" i="2" s="1"/>
  <c r="R3649" i="2" s="1"/>
  <c r="N3648" i="2"/>
  <c r="O3648" i="2" s="1"/>
  <c r="R3648" i="2" s="1"/>
  <c r="N3647" i="2"/>
  <c r="O3647" i="2" s="1"/>
  <c r="R3647" i="2" s="1"/>
  <c r="N3646" i="2"/>
  <c r="O3646" i="2" s="1"/>
  <c r="R3646" i="2" s="1"/>
  <c r="N3645" i="2"/>
  <c r="O3645" i="2" s="1"/>
  <c r="R3645" i="2" s="1"/>
  <c r="N3644" i="2"/>
  <c r="O3644" i="2" s="1"/>
  <c r="R3644" i="2" s="1"/>
  <c r="N3643" i="2"/>
  <c r="O3643" i="2" s="1"/>
  <c r="R3643" i="2" s="1"/>
  <c r="N3642" i="2"/>
  <c r="O3642" i="2" s="1"/>
  <c r="R3642" i="2" s="1"/>
  <c r="N3641" i="2"/>
  <c r="O3641" i="2" s="1"/>
  <c r="R3641" i="2" s="1"/>
  <c r="N3640" i="2"/>
  <c r="O3640" i="2" s="1"/>
  <c r="R3640" i="2" s="1"/>
  <c r="N3639" i="2"/>
  <c r="O3639" i="2" s="1"/>
  <c r="R3639" i="2" s="1"/>
  <c r="N3638" i="2"/>
  <c r="O3638" i="2" s="1"/>
  <c r="R3638" i="2" s="1"/>
  <c r="N3637" i="2"/>
  <c r="O3637" i="2" s="1"/>
  <c r="R3637" i="2" s="1"/>
  <c r="N3636" i="2"/>
  <c r="O3636" i="2" s="1"/>
  <c r="R3636" i="2" s="1"/>
  <c r="N3635" i="2"/>
  <c r="O3635" i="2" s="1"/>
  <c r="R3635" i="2" s="1"/>
  <c r="N3634" i="2"/>
  <c r="O3634" i="2" s="1"/>
  <c r="R3634" i="2" s="1"/>
  <c r="N3633" i="2"/>
  <c r="O3633" i="2" s="1"/>
  <c r="R3633" i="2" s="1"/>
  <c r="N3632" i="2"/>
  <c r="O3632" i="2" s="1"/>
  <c r="R3632" i="2" s="1"/>
  <c r="N3631" i="2"/>
  <c r="O3631" i="2" s="1"/>
  <c r="R3631" i="2" s="1"/>
  <c r="N3630" i="2"/>
  <c r="O3630" i="2" s="1"/>
  <c r="R3630" i="2" s="1"/>
  <c r="N3629" i="2"/>
  <c r="O3629" i="2" s="1"/>
  <c r="R3629" i="2" s="1"/>
  <c r="N3628" i="2"/>
  <c r="O3628" i="2" s="1"/>
  <c r="R3628" i="2" s="1"/>
  <c r="N3627" i="2"/>
  <c r="O3627" i="2" s="1"/>
  <c r="R3627" i="2" s="1"/>
  <c r="N3626" i="2"/>
  <c r="O3626" i="2" s="1"/>
  <c r="R3626" i="2" s="1"/>
  <c r="N3625" i="2"/>
  <c r="O3625" i="2" s="1"/>
  <c r="R3625" i="2" s="1"/>
  <c r="N3624" i="2"/>
  <c r="O3624" i="2" s="1"/>
  <c r="R3624" i="2" s="1"/>
  <c r="N3623" i="2"/>
  <c r="O3623" i="2" s="1"/>
  <c r="R3623" i="2" s="1"/>
  <c r="N3622" i="2"/>
  <c r="O3622" i="2" s="1"/>
  <c r="R3622" i="2" s="1"/>
  <c r="N3621" i="2"/>
  <c r="O3621" i="2" s="1"/>
  <c r="R3621" i="2" s="1"/>
  <c r="N3620" i="2"/>
  <c r="O3620" i="2" s="1"/>
  <c r="R3620" i="2" s="1"/>
  <c r="N3619" i="2"/>
  <c r="O3619" i="2" s="1"/>
  <c r="R3619" i="2" s="1"/>
  <c r="N3618" i="2"/>
  <c r="O3618" i="2" s="1"/>
  <c r="R3618" i="2" s="1"/>
  <c r="N3617" i="2"/>
  <c r="O3617" i="2" s="1"/>
  <c r="R3617" i="2" s="1"/>
  <c r="N3616" i="2"/>
  <c r="O3616" i="2" s="1"/>
  <c r="R3616" i="2" s="1"/>
  <c r="N3615" i="2"/>
  <c r="O3615" i="2" s="1"/>
  <c r="R3615" i="2" s="1"/>
  <c r="N3614" i="2"/>
  <c r="O3614" i="2" s="1"/>
  <c r="R3614" i="2" s="1"/>
  <c r="N3613" i="2"/>
  <c r="O3613" i="2" s="1"/>
  <c r="R3613" i="2" s="1"/>
  <c r="N3612" i="2"/>
  <c r="O3612" i="2" s="1"/>
  <c r="R3612" i="2" s="1"/>
  <c r="N3611" i="2"/>
  <c r="O3611" i="2" s="1"/>
  <c r="R3611" i="2" s="1"/>
  <c r="N3610" i="2"/>
  <c r="O3610" i="2" s="1"/>
  <c r="R3610" i="2" s="1"/>
  <c r="N3609" i="2"/>
  <c r="O3609" i="2" s="1"/>
  <c r="R3609" i="2" s="1"/>
  <c r="N3608" i="2"/>
  <c r="O3608" i="2" s="1"/>
  <c r="R3608" i="2" s="1"/>
  <c r="N3607" i="2"/>
  <c r="O3607" i="2" s="1"/>
  <c r="R3607" i="2" s="1"/>
  <c r="N3606" i="2"/>
  <c r="O3606" i="2" s="1"/>
  <c r="R3606" i="2" s="1"/>
  <c r="N3605" i="2"/>
  <c r="O3605" i="2" s="1"/>
  <c r="R3605" i="2" s="1"/>
  <c r="N3604" i="2"/>
  <c r="O3604" i="2" s="1"/>
  <c r="R3604" i="2" s="1"/>
  <c r="N3603" i="2"/>
  <c r="O3603" i="2" s="1"/>
  <c r="R3603" i="2" s="1"/>
  <c r="N3602" i="2"/>
  <c r="O3602" i="2" s="1"/>
  <c r="R3602" i="2" s="1"/>
  <c r="N3601" i="2"/>
  <c r="O3601" i="2" s="1"/>
  <c r="R3601" i="2" s="1"/>
  <c r="N3600" i="2"/>
  <c r="O3600" i="2" s="1"/>
  <c r="R3600" i="2" s="1"/>
  <c r="N3599" i="2"/>
  <c r="O3599" i="2" s="1"/>
  <c r="R3599" i="2" s="1"/>
  <c r="N3598" i="2"/>
  <c r="O3598" i="2" s="1"/>
  <c r="R3598" i="2" s="1"/>
  <c r="N3597" i="2"/>
  <c r="O3597" i="2" s="1"/>
  <c r="R3597" i="2" s="1"/>
  <c r="N3596" i="2"/>
  <c r="O3596" i="2" s="1"/>
  <c r="R3596" i="2" s="1"/>
  <c r="N3595" i="2"/>
  <c r="O3595" i="2" s="1"/>
  <c r="R3595" i="2" s="1"/>
  <c r="N3594" i="2"/>
  <c r="O3594" i="2" s="1"/>
  <c r="R3594" i="2" s="1"/>
  <c r="N3593" i="2"/>
  <c r="O3593" i="2" s="1"/>
  <c r="R3593" i="2" s="1"/>
  <c r="N3592" i="2"/>
  <c r="O3592" i="2" s="1"/>
  <c r="R3592" i="2" s="1"/>
  <c r="N3591" i="2"/>
  <c r="O3591" i="2" s="1"/>
  <c r="R3591" i="2" s="1"/>
  <c r="N3590" i="2"/>
  <c r="O3590" i="2" s="1"/>
  <c r="R3590" i="2" s="1"/>
  <c r="N3589" i="2"/>
  <c r="O3589" i="2" s="1"/>
  <c r="R3589" i="2" s="1"/>
  <c r="N3588" i="2"/>
  <c r="O3588" i="2" s="1"/>
  <c r="R3588" i="2" s="1"/>
  <c r="N3587" i="2"/>
  <c r="O3587" i="2" s="1"/>
  <c r="R3587" i="2" s="1"/>
  <c r="N3586" i="2"/>
  <c r="O3586" i="2" s="1"/>
  <c r="R3586" i="2" s="1"/>
  <c r="N3585" i="2"/>
  <c r="O3585" i="2" s="1"/>
  <c r="R3585" i="2" s="1"/>
  <c r="N3584" i="2"/>
  <c r="O3584" i="2" s="1"/>
  <c r="R3584" i="2" s="1"/>
  <c r="N3583" i="2"/>
  <c r="O3583" i="2" s="1"/>
  <c r="R3583" i="2" s="1"/>
  <c r="N3582" i="2"/>
  <c r="O3582" i="2" s="1"/>
  <c r="R3582" i="2" s="1"/>
  <c r="N3581" i="2"/>
  <c r="O3581" i="2" s="1"/>
  <c r="R3581" i="2" s="1"/>
  <c r="N3580" i="2"/>
  <c r="O3580" i="2" s="1"/>
  <c r="R3580" i="2" s="1"/>
  <c r="N3579" i="2"/>
  <c r="O3579" i="2" s="1"/>
  <c r="R3579" i="2" s="1"/>
  <c r="N3578" i="2"/>
  <c r="O3578" i="2" s="1"/>
  <c r="R3578" i="2" s="1"/>
  <c r="O3577" i="2"/>
  <c r="R3577" i="2" s="1"/>
  <c r="N3577" i="2"/>
  <c r="O3576" i="2"/>
  <c r="R3576" i="2" s="1"/>
  <c r="N3576" i="2"/>
  <c r="O3575" i="2"/>
  <c r="R3575" i="2" s="1"/>
  <c r="N3575" i="2"/>
  <c r="O3574" i="2"/>
  <c r="R3574" i="2" s="1"/>
  <c r="N3574" i="2"/>
  <c r="O3573" i="2"/>
  <c r="R3573" i="2" s="1"/>
  <c r="N3573" i="2"/>
  <c r="O3572" i="2"/>
  <c r="R3572" i="2" s="1"/>
  <c r="N3572" i="2"/>
  <c r="O3571" i="2"/>
  <c r="R3571" i="2" s="1"/>
  <c r="N3571" i="2"/>
  <c r="O3570" i="2"/>
  <c r="R3570" i="2" s="1"/>
  <c r="N3570" i="2"/>
  <c r="O3569" i="2"/>
  <c r="R3569" i="2" s="1"/>
  <c r="N3569" i="2"/>
  <c r="O3568" i="2"/>
  <c r="R3568" i="2" s="1"/>
  <c r="N3568" i="2"/>
  <c r="O3567" i="2"/>
  <c r="R3567" i="2" s="1"/>
  <c r="N3567" i="2"/>
  <c r="O3566" i="2"/>
  <c r="R3566" i="2" s="1"/>
  <c r="N3566" i="2"/>
  <c r="O3565" i="2"/>
  <c r="R3565" i="2" s="1"/>
  <c r="N3565" i="2"/>
  <c r="O3564" i="2"/>
  <c r="R3564" i="2" s="1"/>
  <c r="N3564" i="2"/>
  <c r="O3563" i="2"/>
  <c r="R3563" i="2" s="1"/>
  <c r="N3563" i="2"/>
  <c r="O3562" i="2"/>
  <c r="R3562" i="2" s="1"/>
  <c r="N3562" i="2"/>
  <c r="O3561" i="2"/>
  <c r="R3561" i="2" s="1"/>
  <c r="N3561" i="2"/>
  <c r="O3560" i="2"/>
  <c r="R3560" i="2" s="1"/>
  <c r="N3560" i="2"/>
  <c r="O3559" i="2"/>
  <c r="R3559" i="2" s="1"/>
  <c r="N3559" i="2"/>
  <c r="O3558" i="2"/>
  <c r="R3558" i="2" s="1"/>
  <c r="N3558" i="2"/>
  <c r="O3557" i="2"/>
  <c r="R3557" i="2" s="1"/>
  <c r="N3557" i="2"/>
  <c r="N3556" i="2"/>
  <c r="O3556" i="2" s="1"/>
  <c r="R3556" i="2" s="1"/>
  <c r="N3555" i="2"/>
  <c r="O3555" i="2" s="1"/>
  <c r="R3555" i="2" s="1"/>
  <c r="N3554" i="2"/>
  <c r="O3554" i="2" s="1"/>
  <c r="R3554" i="2" s="1"/>
  <c r="N3553" i="2"/>
  <c r="O3553" i="2" s="1"/>
  <c r="R3553" i="2" s="1"/>
  <c r="N3552" i="2"/>
  <c r="O3552" i="2" s="1"/>
  <c r="R3552" i="2" s="1"/>
  <c r="N3551" i="2"/>
  <c r="O3551" i="2" s="1"/>
  <c r="R3551" i="2" s="1"/>
  <c r="N3550" i="2"/>
  <c r="O3550" i="2" s="1"/>
  <c r="R3550" i="2" s="1"/>
  <c r="N3549" i="2"/>
  <c r="O3549" i="2" s="1"/>
  <c r="R3549" i="2" s="1"/>
  <c r="N3548" i="2"/>
  <c r="O3548" i="2" s="1"/>
  <c r="R3548" i="2" s="1"/>
  <c r="N3547" i="2"/>
  <c r="O3547" i="2" s="1"/>
  <c r="R3547" i="2" s="1"/>
  <c r="N3546" i="2"/>
  <c r="O3546" i="2" s="1"/>
  <c r="R3546" i="2" s="1"/>
  <c r="N3545" i="2"/>
  <c r="O3545" i="2" s="1"/>
  <c r="R3545" i="2" s="1"/>
  <c r="N3544" i="2"/>
  <c r="O3544" i="2" s="1"/>
  <c r="R3544" i="2" s="1"/>
  <c r="N3543" i="2"/>
  <c r="O3543" i="2" s="1"/>
  <c r="R3543" i="2" s="1"/>
  <c r="N3542" i="2"/>
  <c r="O3542" i="2" s="1"/>
  <c r="R3542" i="2" s="1"/>
  <c r="N3541" i="2"/>
  <c r="O3541" i="2" s="1"/>
  <c r="R3541" i="2" s="1"/>
  <c r="N3540" i="2"/>
  <c r="O3540" i="2" s="1"/>
  <c r="R3540" i="2" s="1"/>
  <c r="N3539" i="2"/>
  <c r="O3539" i="2" s="1"/>
  <c r="R3539" i="2" s="1"/>
  <c r="N3538" i="2"/>
  <c r="O3538" i="2" s="1"/>
  <c r="R3538" i="2" s="1"/>
  <c r="N3537" i="2"/>
  <c r="O3537" i="2" s="1"/>
  <c r="R3537" i="2" s="1"/>
  <c r="N3536" i="2"/>
  <c r="O3536" i="2" s="1"/>
  <c r="R3536" i="2" s="1"/>
  <c r="N3535" i="2"/>
  <c r="O3535" i="2" s="1"/>
  <c r="R3535" i="2" s="1"/>
  <c r="N3534" i="2"/>
  <c r="O3534" i="2" s="1"/>
  <c r="R3534" i="2" s="1"/>
  <c r="N3533" i="2"/>
  <c r="O3533" i="2" s="1"/>
  <c r="R3533" i="2" s="1"/>
  <c r="N3532" i="2"/>
  <c r="O3532" i="2" s="1"/>
  <c r="R3532" i="2" s="1"/>
  <c r="N3531" i="2"/>
  <c r="O3531" i="2" s="1"/>
  <c r="R3531" i="2" s="1"/>
  <c r="N3530" i="2"/>
  <c r="O3530" i="2" s="1"/>
  <c r="R3530" i="2" s="1"/>
  <c r="N3529" i="2"/>
  <c r="O3529" i="2" s="1"/>
  <c r="R3529" i="2" s="1"/>
  <c r="N3528" i="2"/>
  <c r="O3528" i="2" s="1"/>
  <c r="R3528" i="2" s="1"/>
  <c r="N3527" i="2"/>
  <c r="O3527" i="2" s="1"/>
  <c r="R3527" i="2" s="1"/>
  <c r="N3526" i="2"/>
  <c r="O3526" i="2" s="1"/>
  <c r="R3526" i="2" s="1"/>
  <c r="N3525" i="2"/>
  <c r="O3525" i="2" s="1"/>
  <c r="R3525" i="2" s="1"/>
  <c r="N3524" i="2"/>
  <c r="O3524" i="2" s="1"/>
  <c r="R3524" i="2" s="1"/>
  <c r="N3523" i="2"/>
  <c r="O3523" i="2" s="1"/>
  <c r="R3523" i="2" s="1"/>
  <c r="N3522" i="2"/>
  <c r="O3522" i="2" s="1"/>
  <c r="R3522" i="2" s="1"/>
  <c r="N3521" i="2"/>
  <c r="O3521" i="2" s="1"/>
  <c r="R3521" i="2" s="1"/>
  <c r="N3520" i="2"/>
  <c r="O3520" i="2" s="1"/>
  <c r="R3520" i="2" s="1"/>
  <c r="N3519" i="2"/>
  <c r="O3519" i="2" s="1"/>
  <c r="R3519" i="2" s="1"/>
  <c r="N3518" i="2"/>
  <c r="O3518" i="2" s="1"/>
  <c r="R3518" i="2" s="1"/>
  <c r="N3517" i="2"/>
  <c r="O3517" i="2" s="1"/>
  <c r="R3517" i="2" s="1"/>
  <c r="N3516" i="2"/>
  <c r="O3516" i="2" s="1"/>
  <c r="R3516" i="2" s="1"/>
  <c r="N3515" i="2"/>
  <c r="O3515" i="2" s="1"/>
  <c r="R3515" i="2" s="1"/>
  <c r="N3514" i="2"/>
  <c r="O3514" i="2" s="1"/>
  <c r="R3514" i="2" s="1"/>
  <c r="N3513" i="2"/>
  <c r="O3513" i="2" s="1"/>
  <c r="R3513" i="2" s="1"/>
  <c r="N3512" i="2"/>
  <c r="O3512" i="2" s="1"/>
  <c r="R3512" i="2" s="1"/>
  <c r="N3511" i="2"/>
  <c r="O3511" i="2" s="1"/>
  <c r="R3511" i="2" s="1"/>
  <c r="N3510" i="2"/>
  <c r="O3510" i="2" s="1"/>
  <c r="R3510" i="2" s="1"/>
  <c r="N3509" i="2"/>
  <c r="O3509" i="2" s="1"/>
  <c r="R3509" i="2" s="1"/>
  <c r="N3508" i="2"/>
  <c r="O3508" i="2" s="1"/>
  <c r="R3508" i="2" s="1"/>
  <c r="N3507" i="2"/>
  <c r="O3507" i="2" s="1"/>
  <c r="R3507" i="2" s="1"/>
  <c r="N3506" i="2"/>
  <c r="O3506" i="2" s="1"/>
  <c r="R3506" i="2" s="1"/>
  <c r="N3505" i="2"/>
  <c r="O3505" i="2" s="1"/>
  <c r="R3505" i="2" s="1"/>
  <c r="N3504" i="2"/>
  <c r="O3504" i="2" s="1"/>
  <c r="R3504" i="2" s="1"/>
  <c r="N3503" i="2"/>
  <c r="O3503" i="2" s="1"/>
  <c r="R3503" i="2" s="1"/>
  <c r="N3502" i="2"/>
  <c r="O3502" i="2" s="1"/>
  <c r="R3502" i="2" s="1"/>
  <c r="N3501" i="2"/>
  <c r="O3501" i="2" s="1"/>
  <c r="R3501" i="2" s="1"/>
  <c r="N3500" i="2"/>
  <c r="O3500" i="2" s="1"/>
  <c r="R3500" i="2" s="1"/>
  <c r="N3499" i="2"/>
  <c r="O3499" i="2" s="1"/>
  <c r="R3499" i="2" s="1"/>
  <c r="N3498" i="2"/>
  <c r="O3498" i="2" s="1"/>
  <c r="R3498" i="2" s="1"/>
  <c r="N3497" i="2"/>
  <c r="O3497" i="2" s="1"/>
  <c r="R3497" i="2" s="1"/>
  <c r="N3496" i="2"/>
  <c r="O3496" i="2" s="1"/>
  <c r="R3496" i="2" s="1"/>
  <c r="N3495" i="2"/>
  <c r="O3495" i="2" s="1"/>
  <c r="R3495" i="2" s="1"/>
  <c r="N3494" i="2"/>
  <c r="O3494" i="2" s="1"/>
  <c r="R3494" i="2" s="1"/>
  <c r="N3493" i="2"/>
  <c r="O3493" i="2" s="1"/>
  <c r="R3493" i="2" s="1"/>
  <c r="N3492" i="2"/>
  <c r="O3492" i="2" s="1"/>
  <c r="R3492" i="2" s="1"/>
  <c r="N3491" i="2"/>
  <c r="O3491" i="2" s="1"/>
  <c r="R3491" i="2" s="1"/>
  <c r="N3490" i="2"/>
  <c r="O3490" i="2" s="1"/>
  <c r="R3490" i="2" s="1"/>
  <c r="N3489" i="2"/>
  <c r="O3489" i="2" s="1"/>
  <c r="R3489" i="2" s="1"/>
  <c r="N3488" i="2"/>
  <c r="O3488" i="2" s="1"/>
  <c r="R3488" i="2" s="1"/>
  <c r="N3487" i="2"/>
  <c r="O3487" i="2" s="1"/>
  <c r="R3487" i="2" s="1"/>
  <c r="N3486" i="2"/>
  <c r="O3486" i="2" s="1"/>
  <c r="R3486" i="2" s="1"/>
  <c r="N3485" i="2"/>
  <c r="O3485" i="2" s="1"/>
  <c r="R3485" i="2" s="1"/>
  <c r="N3484" i="2"/>
  <c r="O3484" i="2" s="1"/>
  <c r="R3484" i="2" s="1"/>
  <c r="N3483" i="2"/>
  <c r="O3483" i="2" s="1"/>
  <c r="R3483" i="2" s="1"/>
  <c r="N3482" i="2"/>
  <c r="O3482" i="2" s="1"/>
  <c r="R3482" i="2" s="1"/>
  <c r="N3481" i="2"/>
  <c r="O3481" i="2" s="1"/>
  <c r="R3481" i="2" s="1"/>
  <c r="N3480" i="2"/>
  <c r="O3480" i="2" s="1"/>
  <c r="R3480" i="2" s="1"/>
  <c r="N3479" i="2"/>
  <c r="O3479" i="2" s="1"/>
  <c r="R3479" i="2" s="1"/>
  <c r="N3478" i="2"/>
  <c r="O3478" i="2" s="1"/>
  <c r="R3478" i="2" s="1"/>
  <c r="N3477" i="2"/>
  <c r="O3477" i="2" s="1"/>
  <c r="R3477" i="2" s="1"/>
  <c r="N3476" i="2"/>
  <c r="O3476" i="2" s="1"/>
  <c r="R3476" i="2" s="1"/>
  <c r="N3475" i="2"/>
  <c r="O3475" i="2" s="1"/>
  <c r="R3475" i="2" s="1"/>
  <c r="N3474" i="2"/>
  <c r="O3474" i="2" s="1"/>
  <c r="R3474" i="2" s="1"/>
  <c r="N3473" i="2"/>
  <c r="O3473" i="2" s="1"/>
  <c r="R3473" i="2" s="1"/>
  <c r="N3472" i="2"/>
  <c r="O3472" i="2" s="1"/>
  <c r="R3472" i="2" s="1"/>
  <c r="N3471" i="2"/>
  <c r="O3471" i="2" s="1"/>
  <c r="R3471" i="2" s="1"/>
  <c r="N3470" i="2"/>
  <c r="O3470" i="2" s="1"/>
  <c r="R3470" i="2" s="1"/>
  <c r="N3469" i="2"/>
  <c r="O3469" i="2" s="1"/>
  <c r="R3469" i="2" s="1"/>
  <c r="N3468" i="2"/>
  <c r="O3468" i="2" s="1"/>
  <c r="R3468" i="2" s="1"/>
  <c r="N3467" i="2"/>
  <c r="O3467" i="2" s="1"/>
  <c r="R3467" i="2" s="1"/>
  <c r="N3466" i="2"/>
  <c r="O3466" i="2" s="1"/>
  <c r="R3466" i="2" s="1"/>
  <c r="N3465" i="2"/>
  <c r="O3465" i="2" s="1"/>
  <c r="R3465" i="2" s="1"/>
  <c r="N3464" i="2"/>
  <c r="O3464" i="2" s="1"/>
  <c r="R3464" i="2" s="1"/>
  <c r="N3463" i="2"/>
  <c r="O3463" i="2" s="1"/>
  <c r="R3463" i="2" s="1"/>
  <c r="N3462" i="2"/>
  <c r="O3462" i="2" s="1"/>
  <c r="R3462" i="2" s="1"/>
  <c r="N3461" i="2"/>
  <c r="O3461" i="2" s="1"/>
  <c r="R3461" i="2" s="1"/>
  <c r="N3460" i="2"/>
  <c r="O3460" i="2" s="1"/>
  <c r="R3460" i="2" s="1"/>
  <c r="N3459" i="2"/>
  <c r="O3459" i="2" s="1"/>
  <c r="R3459" i="2" s="1"/>
  <c r="N3458" i="2"/>
  <c r="O3458" i="2" s="1"/>
  <c r="R3458" i="2" s="1"/>
  <c r="N3457" i="2"/>
  <c r="O3457" i="2" s="1"/>
  <c r="R3457" i="2" s="1"/>
  <c r="N3456" i="2"/>
  <c r="O3456" i="2" s="1"/>
  <c r="R3456" i="2" s="1"/>
  <c r="N3455" i="2"/>
  <c r="O3455" i="2" s="1"/>
  <c r="R3455" i="2" s="1"/>
  <c r="N3454" i="2"/>
  <c r="O3454" i="2" s="1"/>
  <c r="R3454" i="2" s="1"/>
  <c r="N3453" i="2"/>
  <c r="O3453" i="2" s="1"/>
  <c r="R3453" i="2" s="1"/>
  <c r="N3452" i="2"/>
  <c r="O3452" i="2" s="1"/>
  <c r="R3452" i="2" s="1"/>
  <c r="N3451" i="2"/>
  <c r="O3451" i="2" s="1"/>
  <c r="R3451" i="2" s="1"/>
  <c r="N3450" i="2"/>
  <c r="O3450" i="2" s="1"/>
  <c r="R3450" i="2" s="1"/>
  <c r="N3449" i="2"/>
  <c r="O3449" i="2" s="1"/>
  <c r="R3449" i="2" s="1"/>
  <c r="N3448" i="2"/>
  <c r="O3448" i="2" s="1"/>
  <c r="R3448" i="2" s="1"/>
  <c r="N3447" i="2"/>
  <c r="O3447" i="2" s="1"/>
  <c r="R3447" i="2" s="1"/>
  <c r="N3446" i="2"/>
  <c r="O3446" i="2" s="1"/>
  <c r="R3446" i="2" s="1"/>
  <c r="N3445" i="2"/>
  <c r="O3445" i="2" s="1"/>
  <c r="R3445" i="2" s="1"/>
  <c r="N3444" i="2"/>
  <c r="O3444" i="2" s="1"/>
  <c r="R3444" i="2" s="1"/>
  <c r="N3443" i="2"/>
  <c r="O3443" i="2" s="1"/>
  <c r="R3443" i="2" s="1"/>
  <c r="N3442" i="2"/>
  <c r="O3442" i="2" s="1"/>
  <c r="R3442" i="2" s="1"/>
  <c r="N3441" i="2"/>
  <c r="O3441" i="2" s="1"/>
  <c r="R3441" i="2" s="1"/>
  <c r="N3440" i="2"/>
  <c r="O3440" i="2" s="1"/>
  <c r="R3440" i="2" s="1"/>
  <c r="N3439" i="2"/>
  <c r="O3439" i="2" s="1"/>
  <c r="R3439" i="2" s="1"/>
  <c r="N3438" i="2"/>
  <c r="O3438" i="2" s="1"/>
  <c r="R3438" i="2" s="1"/>
  <c r="N3437" i="2"/>
  <c r="O3437" i="2" s="1"/>
  <c r="R3437" i="2" s="1"/>
  <c r="N3436" i="2"/>
  <c r="O3436" i="2" s="1"/>
  <c r="R3436" i="2" s="1"/>
  <c r="N3435" i="2"/>
  <c r="O3435" i="2" s="1"/>
  <c r="R3435" i="2" s="1"/>
  <c r="N3434" i="2"/>
  <c r="O3434" i="2" s="1"/>
  <c r="R3434" i="2" s="1"/>
  <c r="N3433" i="2"/>
  <c r="O3433" i="2" s="1"/>
  <c r="R3433" i="2" s="1"/>
  <c r="N3432" i="2"/>
  <c r="O3432" i="2" s="1"/>
  <c r="R3432" i="2" s="1"/>
  <c r="N3431" i="2"/>
  <c r="O3431" i="2" s="1"/>
  <c r="R3431" i="2" s="1"/>
  <c r="N3430" i="2"/>
  <c r="O3430" i="2" s="1"/>
  <c r="R3430" i="2" s="1"/>
  <c r="N3429" i="2"/>
  <c r="O3429" i="2" s="1"/>
  <c r="R3429" i="2" s="1"/>
  <c r="N3428" i="2"/>
  <c r="O3428" i="2" s="1"/>
  <c r="R3428" i="2" s="1"/>
  <c r="N3427" i="2"/>
  <c r="O3427" i="2" s="1"/>
  <c r="R3427" i="2" s="1"/>
  <c r="N3426" i="2"/>
  <c r="O3426" i="2" s="1"/>
  <c r="R3426" i="2" s="1"/>
  <c r="O3425" i="2"/>
  <c r="R3425" i="2" s="1"/>
  <c r="N3425" i="2"/>
  <c r="O3424" i="2"/>
  <c r="R3424" i="2" s="1"/>
  <c r="N3424" i="2"/>
  <c r="O3423" i="2"/>
  <c r="R3423" i="2" s="1"/>
  <c r="N3423" i="2"/>
  <c r="O3422" i="2"/>
  <c r="R3422" i="2" s="1"/>
  <c r="N3422" i="2"/>
  <c r="O3421" i="2"/>
  <c r="R3421" i="2" s="1"/>
  <c r="N3421" i="2"/>
  <c r="O3420" i="2"/>
  <c r="R3420" i="2" s="1"/>
  <c r="N3420" i="2"/>
  <c r="O3419" i="2"/>
  <c r="R3419" i="2" s="1"/>
  <c r="N3419" i="2"/>
  <c r="O3418" i="2"/>
  <c r="R3418" i="2" s="1"/>
  <c r="N3418" i="2"/>
  <c r="O3417" i="2"/>
  <c r="R3417" i="2" s="1"/>
  <c r="N3417" i="2"/>
  <c r="O3416" i="2"/>
  <c r="R3416" i="2" s="1"/>
  <c r="N3416" i="2"/>
  <c r="O3415" i="2"/>
  <c r="R3415" i="2" s="1"/>
  <c r="N3415" i="2"/>
  <c r="O3414" i="2"/>
  <c r="R3414" i="2" s="1"/>
  <c r="N3414" i="2"/>
  <c r="O3413" i="2"/>
  <c r="R3413" i="2" s="1"/>
  <c r="N3413" i="2"/>
  <c r="O3412" i="2"/>
  <c r="R3412" i="2" s="1"/>
  <c r="N3412" i="2"/>
  <c r="O3411" i="2"/>
  <c r="R3411" i="2" s="1"/>
  <c r="N3411" i="2"/>
  <c r="O3410" i="2"/>
  <c r="R3410" i="2" s="1"/>
  <c r="N3410" i="2"/>
  <c r="O3409" i="2"/>
  <c r="R3409" i="2" s="1"/>
  <c r="N3409" i="2"/>
  <c r="O3408" i="2"/>
  <c r="R3408" i="2" s="1"/>
  <c r="N3408" i="2"/>
  <c r="N3407" i="2"/>
  <c r="O3407" i="2" s="1"/>
  <c r="R3407" i="2" s="1"/>
  <c r="N3406" i="2"/>
  <c r="O3406" i="2" s="1"/>
  <c r="R3406" i="2" s="1"/>
  <c r="N3405" i="2"/>
  <c r="O3405" i="2" s="1"/>
  <c r="R3405" i="2" s="1"/>
  <c r="N3404" i="2"/>
  <c r="O3404" i="2" s="1"/>
  <c r="R3404" i="2" s="1"/>
  <c r="N3403" i="2"/>
  <c r="O3403" i="2" s="1"/>
  <c r="R3403" i="2" s="1"/>
  <c r="N3402" i="2"/>
  <c r="O3402" i="2" s="1"/>
  <c r="R3402" i="2" s="1"/>
  <c r="O3401" i="2"/>
  <c r="R3401" i="2" s="1"/>
  <c r="N3400" i="2"/>
  <c r="O3400" i="2" s="1"/>
  <c r="R3400" i="2" s="1"/>
  <c r="N3399" i="2"/>
  <c r="O3399" i="2" s="1"/>
  <c r="R3399" i="2" s="1"/>
  <c r="N3398" i="2"/>
  <c r="O3398" i="2" s="1"/>
  <c r="R3398" i="2" s="1"/>
  <c r="N3397" i="2"/>
  <c r="O3397" i="2" s="1"/>
  <c r="R3397" i="2" s="1"/>
  <c r="N3396" i="2"/>
  <c r="O3396" i="2" s="1"/>
  <c r="R3396" i="2" s="1"/>
  <c r="N3395" i="2"/>
  <c r="O3395" i="2" s="1"/>
  <c r="R3395" i="2" s="1"/>
  <c r="N3394" i="2"/>
  <c r="O3394" i="2" s="1"/>
  <c r="R3394" i="2" s="1"/>
  <c r="N3393" i="2"/>
  <c r="O3393" i="2" s="1"/>
  <c r="R3393" i="2" s="1"/>
  <c r="N3392" i="2"/>
  <c r="O3392" i="2" s="1"/>
  <c r="R3392" i="2" s="1"/>
  <c r="N3391" i="2"/>
  <c r="O3391" i="2" s="1"/>
  <c r="R3391" i="2" s="1"/>
  <c r="N3390" i="2"/>
  <c r="O3390" i="2" s="1"/>
  <c r="R3390" i="2" s="1"/>
  <c r="N3389" i="2"/>
  <c r="O3389" i="2" s="1"/>
  <c r="R3389" i="2" s="1"/>
  <c r="N3388" i="2"/>
  <c r="O3388" i="2" s="1"/>
  <c r="R3388" i="2" s="1"/>
  <c r="N3387" i="2"/>
  <c r="O3387" i="2" s="1"/>
  <c r="R3387" i="2" s="1"/>
  <c r="N3386" i="2"/>
  <c r="O3386" i="2" s="1"/>
  <c r="R3386" i="2" s="1"/>
  <c r="N3385" i="2"/>
  <c r="O3385" i="2" s="1"/>
  <c r="R3385" i="2" s="1"/>
  <c r="N3384" i="2"/>
  <c r="O3384" i="2" s="1"/>
  <c r="R3384" i="2" s="1"/>
  <c r="N3383" i="2"/>
  <c r="O3383" i="2" s="1"/>
  <c r="R3383" i="2" s="1"/>
  <c r="N3382" i="2"/>
  <c r="O3382" i="2" s="1"/>
  <c r="R3382" i="2" s="1"/>
  <c r="N3381" i="2"/>
  <c r="O3381" i="2" s="1"/>
  <c r="R3381" i="2" s="1"/>
  <c r="N3380" i="2"/>
  <c r="O3380" i="2" s="1"/>
  <c r="R3380" i="2" s="1"/>
  <c r="N3379" i="2"/>
  <c r="O3379" i="2" s="1"/>
  <c r="R3379" i="2" s="1"/>
  <c r="N3378" i="2"/>
  <c r="O3378" i="2" s="1"/>
  <c r="R3378" i="2" s="1"/>
  <c r="N3377" i="2"/>
  <c r="O3377" i="2" s="1"/>
  <c r="R3377" i="2" s="1"/>
  <c r="N3376" i="2"/>
  <c r="O3376" i="2" s="1"/>
  <c r="R3376" i="2" s="1"/>
  <c r="N3375" i="2"/>
  <c r="O3375" i="2" s="1"/>
  <c r="R3375" i="2" s="1"/>
  <c r="N3374" i="2"/>
  <c r="O3374" i="2" s="1"/>
  <c r="R3374" i="2" s="1"/>
  <c r="N3373" i="2"/>
  <c r="O3373" i="2" s="1"/>
  <c r="R3373" i="2" s="1"/>
  <c r="N3372" i="2"/>
  <c r="O3372" i="2" s="1"/>
  <c r="R3372" i="2" s="1"/>
  <c r="N3371" i="2"/>
  <c r="O3371" i="2" s="1"/>
  <c r="R3371" i="2" s="1"/>
  <c r="N3370" i="2"/>
  <c r="O3370" i="2" s="1"/>
  <c r="R3370" i="2" s="1"/>
  <c r="N3369" i="2"/>
  <c r="O3369" i="2" s="1"/>
  <c r="R3369" i="2" s="1"/>
  <c r="N3368" i="2"/>
  <c r="O3368" i="2" s="1"/>
  <c r="R3368" i="2" s="1"/>
  <c r="N3367" i="2"/>
  <c r="O3367" i="2" s="1"/>
  <c r="R3367" i="2" s="1"/>
  <c r="N3366" i="2"/>
  <c r="O3366" i="2" s="1"/>
  <c r="R3366" i="2" s="1"/>
  <c r="N3365" i="2"/>
  <c r="O3365" i="2" s="1"/>
  <c r="R3365" i="2" s="1"/>
  <c r="N3364" i="2"/>
  <c r="O3364" i="2" s="1"/>
  <c r="R3364" i="2" s="1"/>
  <c r="N3363" i="2"/>
  <c r="O3363" i="2" s="1"/>
  <c r="R3363" i="2" s="1"/>
  <c r="N3362" i="2"/>
  <c r="O3362" i="2" s="1"/>
  <c r="R3362" i="2" s="1"/>
  <c r="N3361" i="2"/>
  <c r="O3361" i="2" s="1"/>
  <c r="R3361" i="2" s="1"/>
  <c r="N3360" i="2"/>
  <c r="O3360" i="2" s="1"/>
  <c r="R3360" i="2" s="1"/>
  <c r="N3359" i="2"/>
  <c r="O3359" i="2" s="1"/>
  <c r="R3359" i="2" s="1"/>
  <c r="N3358" i="2"/>
  <c r="O3358" i="2" s="1"/>
  <c r="R3358" i="2" s="1"/>
  <c r="N3357" i="2"/>
  <c r="O3357" i="2" s="1"/>
  <c r="R3357" i="2" s="1"/>
  <c r="N3356" i="2"/>
  <c r="O3356" i="2" s="1"/>
  <c r="R3356" i="2" s="1"/>
  <c r="N3355" i="2"/>
  <c r="O3355" i="2" s="1"/>
  <c r="R3355" i="2" s="1"/>
  <c r="N3354" i="2"/>
  <c r="O3354" i="2" s="1"/>
  <c r="R3354" i="2" s="1"/>
  <c r="N3353" i="2"/>
  <c r="O3353" i="2" s="1"/>
  <c r="R3353" i="2" s="1"/>
  <c r="N3352" i="2"/>
  <c r="O3352" i="2" s="1"/>
  <c r="R3352" i="2" s="1"/>
  <c r="N3351" i="2"/>
  <c r="O3351" i="2" s="1"/>
  <c r="R3351" i="2" s="1"/>
  <c r="N3350" i="2"/>
  <c r="O3350" i="2" s="1"/>
  <c r="R3350" i="2" s="1"/>
  <c r="N3349" i="2"/>
  <c r="O3349" i="2" s="1"/>
  <c r="R3349" i="2" s="1"/>
  <c r="N3348" i="2"/>
  <c r="O3348" i="2" s="1"/>
  <c r="R3348" i="2" s="1"/>
  <c r="N3347" i="2"/>
  <c r="O3347" i="2" s="1"/>
  <c r="R3347" i="2" s="1"/>
  <c r="N3346" i="2"/>
  <c r="O3346" i="2" s="1"/>
  <c r="R3346" i="2" s="1"/>
  <c r="N3345" i="2"/>
  <c r="O3345" i="2" s="1"/>
  <c r="R3345" i="2" s="1"/>
  <c r="N3344" i="2"/>
  <c r="O3344" i="2" s="1"/>
  <c r="R3344" i="2" s="1"/>
  <c r="N3343" i="2"/>
  <c r="O3343" i="2" s="1"/>
  <c r="R3343" i="2" s="1"/>
  <c r="N3342" i="2"/>
  <c r="O3342" i="2" s="1"/>
  <c r="R3342" i="2" s="1"/>
  <c r="N3341" i="2"/>
  <c r="O3341" i="2" s="1"/>
  <c r="R3341" i="2" s="1"/>
  <c r="N3340" i="2"/>
  <c r="O3340" i="2" s="1"/>
  <c r="R3340" i="2" s="1"/>
  <c r="N3339" i="2"/>
  <c r="O3339" i="2" s="1"/>
  <c r="R3339" i="2" s="1"/>
  <c r="N3338" i="2"/>
  <c r="O3338" i="2" s="1"/>
  <c r="R3338" i="2" s="1"/>
  <c r="N3337" i="2"/>
  <c r="O3337" i="2" s="1"/>
  <c r="R3337" i="2" s="1"/>
  <c r="N3336" i="2"/>
  <c r="O3336" i="2" s="1"/>
  <c r="R3336" i="2" s="1"/>
  <c r="N3335" i="2"/>
  <c r="O3335" i="2" s="1"/>
  <c r="R3335" i="2" s="1"/>
  <c r="N3334" i="2"/>
  <c r="O3334" i="2" s="1"/>
  <c r="R3334" i="2" s="1"/>
  <c r="N3333" i="2"/>
  <c r="O3333" i="2" s="1"/>
  <c r="R3333" i="2" s="1"/>
  <c r="N3332" i="2"/>
  <c r="O3332" i="2" s="1"/>
  <c r="R3332" i="2" s="1"/>
  <c r="N3331" i="2"/>
  <c r="O3331" i="2" s="1"/>
  <c r="R3331" i="2" s="1"/>
  <c r="N3330" i="2"/>
  <c r="O3330" i="2" s="1"/>
  <c r="R3330" i="2" s="1"/>
  <c r="N3329" i="2"/>
  <c r="O3329" i="2" s="1"/>
  <c r="R3329" i="2" s="1"/>
  <c r="N3328" i="2"/>
  <c r="O3328" i="2" s="1"/>
  <c r="R3328" i="2" s="1"/>
  <c r="N3327" i="2"/>
  <c r="O3327" i="2" s="1"/>
  <c r="R3327" i="2" s="1"/>
  <c r="N3326" i="2"/>
  <c r="O3326" i="2" s="1"/>
  <c r="R3326" i="2" s="1"/>
  <c r="N3325" i="2"/>
  <c r="O3325" i="2" s="1"/>
  <c r="R3325" i="2" s="1"/>
  <c r="N3324" i="2"/>
  <c r="O3324" i="2" s="1"/>
  <c r="R3324" i="2" s="1"/>
  <c r="N3323" i="2"/>
  <c r="O3323" i="2" s="1"/>
  <c r="R3323" i="2" s="1"/>
  <c r="N3322" i="2"/>
  <c r="O3322" i="2" s="1"/>
  <c r="R3322" i="2" s="1"/>
  <c r="N3321" i="2"/>
  <c r="O3321" i="2" s="1"/>
  <c r="R3321" i="2" s="1"/>
  <c r="N3320" i="2"/>
  <c r="O3320" i="2" s="1"/>
  <c r="R3320" i="2" s="1"/>
  <c r="N3319" i="2"/>
  <c r="O3319" i="2" s="1"/>
  <c r="R3319" i="2" s="1"/>
  <c r="N3318" i="2"/>
  <c r="O3318" i="2" s="1"/>
  <c r="R3318" i="2" s="1"/>
  <c r="N3317" i="2"/>
  <c r="O3317" i="2" s="1"/>
  <c r="R3317" i="2" s="1"/>
  <c r="N3316" i="2"/>
  <c r="O3316" i="2" s="1"/>
  <c r="R3316" i="2" s="1"/>
  <c r="N3315" i="2"/>
  <c r="O3315" i="2" s="1"/>
  <c r="R3315" i="2" s="1"/>
  <c r="N3314" i="2"/>
  <c r="O3314" i="2" s="1"/>
  <c r="R3314" i="2" s="1"/>
  <c r="N3313" i="2"/>
  <c r="O3313" i="2" s="1"/>
  <c r="R3313" i="2" s="1"/>
  <c r="N3312" i="2"/>
  <c r="O3312" i="2" s="1"/>
  <c r="R3312" i="2" s="1"/>
  <c r="N3311" i="2"/>
  <c r="O3311" i="2" s="1"/>
  <c r="R3311" i="2" s="1"/>
  <c r="N3310" i="2"/>
  <c r="O3310" i="2" s="1"/>
  <c r="R3310" i="2" s="1"/>
  <c r="N3309" i="2"/>
  <c r="O3309" i="2" s="1"/>
  <c r="R3309" i="2" s="1"/>
  <c r="N3308" i="2"/>
  <c r="O3308" i="2" s="1"/>
  <c r="R3308" i="2" s="1"/>
  <c r="N3307" i="2"/>
  <c r="O3307" i="2" s="1"/>
  <c r="R3307" i="2" s="1"/>
  <c r="N3306" i="2"/>
  <c r="O3306" i="2" s="1"/>
  <c r="R3306" i="2" s="1"/>
  <c r="N3305" i="2"/>
  <c r="O3305" i="2" s="1"/>
  <c r="R3305" i="2" s="1"/>
  <c r="N3304" i="2"/>
  <c r="O3304" i="2" s="1"/>
  <c r="R3304" i="2" s="1"/>
  <c r="N3303" i="2"/>
  <c r="O3303" i="2" s="1"/>
  <c r="R3303" i="2" s="1"/>
  <c r="N3302" i="2"/>
  <c r="O3302" i="2" s="1"/>
  <c r="R3302" i="2" s="1"/>
  <c r="N3301" i="2"/>
  <c r="O3301" i="2" s="1"/>
  <c r="R3301" i="2" s="1"/>
  <c r="N3300" i="2"/>
  <c r="O3300" i="2" s="1"/>
  <c r="R3300" i="2" s="1"/>
  <c r="N3299" i="2"/>
  <c r="O3299" i="2" s="1"/>
  <c r="R3299" i="2" s="1"/>
  <c r="N3298" i="2"/>
  <c r="O3298" i="2" s="1"/>
  <c r="R3298" i="2" s="1"/>
  <c r="N3297" i="2"/>
  <c r="O3297" i="2" s="1"/>
  <c r="R3297" i="2" s="1"/>
  <c r="N3296" i="2"/>
  <c r="O3296" i="2" s="1"/>
  <c r="R3296" i="2" s="1"/>
  <c r="N3295" i="2"/>
  <c r="O3295" i="2" s="1"/>
  <c r="R3295" i="2" s="1"/>
  <c r="N3294" i="2"/>
  <c r="O3294" i="2" s="1"/>
  <c r="R3294" i="2" s="1"/>
  <c r="N3293" i="2"/>
  <c r="O3293" i="2" s="1"/>
  <c r="R3293" i="2" s="1"/>
  <c r="N3292" i="2"/>
  <c r="O3292" i="2" s="1"/>
  <c r="R3292" i="2" s="1"/>
  <c r="N3291" i="2"/>
  <c r="O3291" i="2" s="1"/>
  <c r="R3291" i="2" s="1"/>
  <c r="N3290" i="2"/>
  <c r="O3290" i="2" s="1"/>
  <c r="R3290" i="2" s="1"/>
  <c r="N3289" i="2"/>
  <c r="O3289" i="2" s="1"/>
  <c r="R3289" i="2" s="1"/>
  <c r="N3288" i="2"/>
  <c r="O3288" i="2" s="1"/>
  <c r="R3288" i="2" s="1"/>
  <c r="N3287" i="2"/>
  <c r="O3287" i="2" s="1"/>
  <c r="R3287" i="2" s="1"/>
  <c r="N3286" i="2"/>
  <c r="O3286" i="2" s="1"/>
  <c r="R3286" i="2" s="1"/>
  <c r="N3285" i="2"/>
  <c r="O3285" i="2" s="1"/>
  <c r="R3285" i="2" s="1"/>
  <c r="N3284" i="2"/>
  <c r="O3284" i="2" s="1"/>
  <c r="R3284" i="2" s="1"/>
  <c r="N3283" i="2"/>
  <c r="O3283" i="2" s="1"/>
  <c r="R3283" i="2" s="1"/>
  <c r="N3282" i="2"/>
  <c r="O3282" i="2" s="1"/>
  <c r="R3282" i="2" s="1"/>
  <c r="N3281" i="2"/>
  <c r="O3281" i="2" s="1"/>
  <c r="R3281" i="2" s="1"/>
  <c r="N3280" i="2"/>
  <c r="O3280" i="2" s="1"/>
  <c r="R3280" i="2" s="1"/>
  <c r="N3279" i="2"/>
  <c r="O3279" i="2" s="1"/>
  <c r="R3279" i="2" s="1"/>
  <c r="N3278" i="2"/>
  <c r="O3278" i="2" s="1"/>
  <c r="R3278" i="2" s="1"/>
  <c r="N3277" i="2"/>
  <c r="O3277" i="2" s="1"/>
  <c r="R3277" i="2" s="1"/>
  <c r="N3276" i="2"/>
  <c r="O3276" i="2" s="1"/>
  <c r="R3276" i="2" s="1"/>
  <c r="N3275" i="2"/>
  <c r="O3275" i="2" s="1"/>
  <c r="R3275" i="2" s="1"/>
  <c r="N3274" i="2"/>
  <c r="O3274" i="2" s="1"/>
  <c r="R3274" i="2" s="1"/>
  <c r="N3273" i="2"/>
  <c r="O3273" i="2" s="1"/>
  <c r="R3273" i="2" s="1"/>
  <c r="N3272" i="2"/>
  <c r="O3272" i="2" s="1"/>
  <c r="R3272" i="2" s="1"/>
  <c r="N3271" i="2"/>
  <c r="O3271" i="2" s="1"/>
  <c r="R3271" i="2" s="1"/>
  <c r="N3270" i="2"/>
  <c r="O3270" i="2" s="1"/>
  <c r="R3270" i="2" s="1"/>
  <c r="N3269" i="2"/>
  <c r="O3269" i="2" s="1"/>
  <c r="R3269" i="2" s="1"/>
  <c r="N3268" i="2"/>
  <c r="O3268" i="2" s="1"/>
  <c r="R3268" i="2" s="1"/>
  <c r="N3267" i="2"/>
  <c r="O3267" i="2" s="1"/>
  <c r="R3267" i="2" s="1"/>
  <c r="N3266" i="2"/>
  <c r="O3266" i="2" s="1"/>
  <c r="R3266" i="2" s="1"/>
  <c r="N3265" i="2"/>
  <c r="O3265" i="2" s="1"/>
  <c r="R3265" i="2" s="1"/>
  <c r="N3264" i="2"/>
  <c r="O3264" i="2" s="1"/>
  <c r="R3264" i="2" s="1"/>
  <c r="N3263" i="2"/>
  <c r="O3263" i="2" s="1"/>
  <c r="R3263" i="2" s="1"/>
  <c r="N3262" i="2"/>
  <c r="O3262" i="2" s="1"/>
  <c r="R3262" i="2" s="1"/>
  <c r="N3261" i="2"/>
  <c r="O3261" i="2" s="1"/>
  <c r="R3261" i="2" s="1"/>
  <c r="N3260" i="2"/>
  <c r="O3260" i="2" s="1"/>
  <c r="R3260" i="2" s="1"/>
  <c r="N3259" i="2"/>
  <c r="O3259" i="2" s="1"/>
  <c r="R3259" i="2" s="1"/>
  <c r="N3258" i="2"/>
  <c r="O3258" i="2" s="1"/>
  <c r="R3258" i="2" s="1"/>
  <c r="N3257" i="2"/>
  <c r="O3257" i="2" s="1"/>
  <c r="R3257" i="2" s="1"/>
  <c r="N3256" i="2"/>
  <c r="O3256" i="2" s="1"/>
  <c r="R3256" i="2" s="1"/>
  <c r="N3255" i="2"/>
  <c r="O3255" i="2" s="1"/>
  <c r="R3255" i="2" s="1"/>
  <c r="N3254" i="2"/>
  <c r="O3254" i="2" s="1"/>
  <c r="R3254" i="2" s="1"/>
  <c r="N3253" i="2"/>
  <c r="O3253" i="2" s="1"/>
  <c r="R3253" i="2" s="1"/>
  <c r="N3252" i="2"/>
  <c r="O3252" i="2" s="1"/>
  <c r="R3252" i="2" s="1"/>
  <c r="N3251" i="2"/>
  <c r="O3251" i="2" s="1"/>
  <c r="R3251" i="2" s="1"/>
  <c r="N3250" i="2"/>
  <c r="O3250" i="2" s="1"/>
  <c r="R3250" i="2" s="1"/>
  <c r="N3249" i="2"/>
  <c r="O3249" i="2" s="1"/>
  <c r="R3249" i="2" s="1"/>
  <c r="N3248" i="2"/>
  <c r="O3248" i="2" s="1"/>
  <c r="R3248" i="2" s="1"/>
  <c r="N3247" i="2"/>
  <c r="O3247" i="2" s="1"/>
  <c r="R3247" i="2" s="1"/>
  <c r="N3246" i="2"/>
  <c r="O3246" i="2" s="1"/>
  <c r="R3246" i="2" s="1"/>
  <c r="N3245" i="2"/>
  <c r="O3245" i="2" s="1"/>
  <c r="R3245" i="2" s="1"/>
  <c r="N3244" i="2"/>
  <c r="O3244" i="2" s="1"/>
  <c r="R3244" i="2" s="1"/>
  <c r="N3243" i="2"/>
  <c r="O3243" i="2" s="1"/>
  <c r="R3243" i="2" s="1"/>
  <c r="N3242" i="2"/>
  <c r="O3242" i="2" s="1"/>
  <c r="R3242" i="2" s="1"/>
  <c r="N3241" i="2"/>
  <c r="O3241" i="2" s="1"/>
  <c r="R3241" i="2" s="1"/>
  <c r="N3240" i="2"/>
  <c r="O3240" i="2" s="1"/>
  <c r="R3240" i="2" s="1"/>
  <c r="N3239" i="2"/>
  <c r="O3239" i="2" s="1"/>
  <c r="R3239" i="2" s="1"/>
  <c r="N3238" i="2"/>
  <c r="O3238" i="2" s="1"/>
  <c r="R3238" i="2" s="1"/>
  <c r="N3237" i="2"/>
  <c r="O3237" i="2" s="1"/>
  <c r="R3237" i="2" s="1"/>
  <c r="N3236" i="2"/>
  <c r="O3236" i="2" s="1"/>
  <c r="R3236" i="2" s="1"/>
  <c r="N3235" i="2"/>
  <c r="O3235" i="2" s="1"/>
  <c r="R3235" i="2" s="1"/>
  <c r="N3234" i="2"/>
  <c r="O3234" i="2" s="1"/>
  <c r="R3234" i="2" s="1"/>
  <c r="N3233" i="2"/>
  <c r="O3233" i="2" s="1"/>
  <c r="R3233" i="2" s="1"/>
  <c r="N3232" i="2"/>
  <c r="O3232" i="2" s="1"/>
  <c r="R3232" i="2" s="1"/>
  <c r="N3231" i="2"/>
  <c r="O3231" i="2" s="1"/>
  <c r="R3231" i="2" s="1"/>
  <c r="N3230" i="2"/>
  <c r="O3230" i="2" s="1"/>
  <c r="R3230" i="2" s="1"/>
  <c r="N3229" i="2"/>
  <c r="O3229" i="2" s="1"/>
  <c r="R3229" i="2" s="1"/>
  <c r="N3228" i="2"/>
  <c r="O3228" i="2" s="1"/>
  <c r="R3228" i="2" s="1"/>
  <c r="N3227" i="2"/>
  <c r="O3227" i="2" s="1"/>
  <c r="R3227" i="2" s="1"/>
  <c r="N3226" i="2"/>
  <c r="O3226" i="2" s="1"/>
  <c r="R3226" i="2" s="1"/>
  <c r="N3225" i="2"/>
  <c r="O3225" i="2" s="1"/>
  <c r="R3225" i="2" s="1"/>
  <c r="N3224" i="2"/>
  <c r="O3224" i="2" s="1"/>
  <c r="R3224" i="2" s="1"/>
  <c r="N3223" i="2"/>
  <c r="O3223" i="2" s="1"/>
  <c r="R3223" i="2" s="1"/>
  <c r="N3222" i="2"/>
  <c r="O3222" i="2" s="1"/>
  <c r="R3222" i="2" s="1"/>
  <c r="N3221" i="2"/>
  <c r="O3221" i="2" s="1"/>
  <c r="R3221" i="2" s="1"/>
  <c r="N3220" i="2"/>
  <c r="O3220" i="2" s="1"/>
  <c r="R3220" i="2" s="1"/>
  <c r="N3219" i="2"/>
  <c r="O3219" i="2" s="1"/>
  <c r="R3219" i="2" s="1"/>
  <c r="N3218" i="2"/>
  <c r="O3218" i="2" s="1"/>
  <c r="R3218" i="2" s="1"/>
  <c r="N3217" i="2"/>
  <c r="O3217" i="2" s="1"/>
  <c r="R3217" i="2" s="1"/>
  <c r="N3216" i="2"/>
  <c r="O3216" i="2" s="1"/>
  <c r="R3216" i="2" s="1"/>
  <c r="N3215" i="2"/>
  <c r="O3215" i="2" s="1"/>
  <c r="R3215" i="2" s="1"/>
  <c r="N2669" i="2"/>
  <c r="O2669" i="2" s="1"/>
  <c r="R2669" i="2" s="1"/>
  <c r="N2663" i="2"/>
  <c r="O2663" i="2" s="1"/>
  <c r="R2663" i="2" s="1"/>
  <c r="N2652" i="2"/>
  <c r="O2652" i="2" s="1"/>
  <c r="R2652" i="2" s="1"/>
  <c r="N2829" i="2"/>
  <c r="O2829" i="2" s="1"/>
  <c r="R2829" i="2" s="1"/>
  <c r="N2" i="2"/>
  <c r="O2" i="2" s="1"/>
  <c r="R2" i="2" s="1"/>
  <c r="N3" i="2"/>
  <c r="O3" i="2" s="1"/>
  <c r="R3" i="2" s="1"/>
  <c r="N4" i="2"/>
  <c r="O4" i="2" s="1"/>
  <c r="R4" i="2" s="1"/>
  <c r="N5" i="2"/>
  <c r="O5" i="2" s="1"/>
  <c r="R5" i="2" s="1"/>
  <c r="N6" i="2"/>
  <c r="O6" i="2" s="1"/>
  <c r="R6" i="2" s="1"/>
  <c r="N9" i="2"/>
  <c r="O9" i="2" s="1"/>
  <c r="R9" i="2" s="1"/>
  <c r="N10" i="2"/>
  <c r="O10" i="2" s="1"/>
  <c r="R10" i="2" s="1"/>
  <c r="N11" i="2"/>
  <c r="O11" i="2" s="1"/>
  <c r="R11" i="2" s="1"/>
  <c r="N12" i="2"/>
  <c r="O12" i="2" s="1"/>
  <c r="R12" i="2" s="1"/>
  <c r="N13" i="2"/>
  <c r="O13" i="2" s="1"/>
  <c r="R13" i="2" s="1"/>
  <c r="N14" i="2"/>
  <c r="O14" i="2" s="1"/>
  <c r="R14" i="2" s="1"/>
  <c r="N19" i="2"/>
  <c r="O19" i="2" s="1"/>
  <c r="R19" i="2" s="1"/>
  <c r="N20" i="2"/>
  <c r="O20" i="2" s="1"/>
  <c r="R20" i="2" s="1"/>
  <c r="N21" i="2"/>
  <c r="O21" i="2" s="1"/>
  <c r="R21" i="2" s="1"/>
  <c r="N22" i="2"/>
  <c r="O22" i="2" s="1"/>
  <c r="R22" i="2" s="1"/>
  <c r="N23" i="2"/>
  <c r="O23" i="2" s="1"/>
  <c r="R23" i="2" s="1"/>
  <c r="N24" i="2"/>
  <c r="O24" i="2" s="1"/>
  <c r="R24" i="2" s="1"/>
  <c r="N25" i="2"/>
  <c r="O25" i="2" s="1"/>
  <c r="R25" i="2" s="1"/>
  <c r="N26" i="2"/>
  <c r="O26" i="2" s="1"/>
  <c r="R26" i="2" s="1"/>
  <c r="N27" i="2"/>
  <c r="O27" i="2" s="1"/>
  <c r="R27" i="2" s="1"/>
  <c r="N28" i="2"/>
  <c r="O28" i="2" s="1"/>
  <c r="R28" i="2" s="1"/>
  <c r="N29" i="2"/>
  <c r="O29" i="2" s="1"/>
  <c r="R29" i="2" s="1"/>
  <c r="N30" i="2"/>
  <c r="O30" i="2" s="1"/>
  <c r="R30" i="2" s="1"/>
  <c r="N31" i="2"/>
  <c r="O31" i="2" s="1"/>
  <c r="R31" i="2" s="1"/>
  <c r="N32" i="2"/>
  <c r="O32" i="2" s="1"/>
  <c r="R32" i="2" s="1"/>
  <c r="N33" i="2"/>
  <c r="O33" i="2" s="1"/>
  <c r="R33" i="2" s="1"/>
  <c r="N34" i="2"/>
  <c r="O34" i="2" s="1"/>
  <c r="R34" i="2" s="1"/>
  <c r="N35" i="2"/>
  <c r="O35" i="2" s="1"/>
  <c r="R35" i="2" s="1"/>
  <c r="N36" i="2"/>
  <c r="O36" i="2" s="1"/>
  <c r="R36" i="2" s="1"/>
  <c r="N37" i="2"/>
  <c r="O37" i="2" s="1"/>
  <c r="R37" i="2" s="1"/>
  <c r="N38" i="2"/>
  <c r="O38" i="2" s="1"/>
  <c r="R38" i="2" s="1"/>
  <c r="N39" i="2"/>
  <c r="O39" i="2" s="1"/>
  <c r="R39" i="2" s="1"/>
  <c r="N40" i="2"/>
  <c r="O40" i="2" s="1"/>
  <c r="R40" i="2" s="1"/>
  <c r="N41" i="2"/>
  <c r="O41" i="2" s="1"/>
  <c r="R41" i="2" s="1"/>
  <c r="N42" i="2"/>
  <c r="O42" i="2" s="1"/>
  <c r="R42" i="2" s="1"/>
  <c r="N48" i="2"/>
  <c r="O48" i="2" s="1"/>
  <c r="R48" i="2" s="1"/>
  <c r="N49" i="2"/>
  <c r="O49" i="2" s="1"/>
  <c r="R49" i="2" s="1"/>
  <c r="N50" i="2"/>
  <c r="O50" i="2" s="1"/>
  <c r="R50" i="2" s="1"/>
  <c r="N51" i="2"/>
  <c r="O51" i="2" s="1"/>
  <c r="R51" i="2" s="1"/>
  <c r="N52" i="2"/>
  <c r="O52" i="2" s="1"/>
  <c r="R52" i="2" s="1"/>
  <c r="N53" i="2"/>
  <c r="O53" i="2" s="1"/>
  <c r="R53" i="2" s="1"/>
  <c r="N54" i="2"/>
  <c r="O54" i="2" s="1"/>
  <c r="R54" i="2" s="1"/>
  <c r="N55" i="2"/>
  <c r="O55" i="2" s="1"/>
  <c r="R55" i="2" s="1"/>
  <c r="N56" i="2"/>
  <c r="O56" i="2" s="1"/>
  <c r="R56" i="2" s="1"/>
  <c r="N57" i="2"/>
  <c r="O57" i="2" s="1"/>
  <c r="R57" i="2" s="1"/>
  <c r="N58" i="2"/>
  <c r="O58" i="2" s="1"/>
  <c r="R58" i="2" s="1"/>
  <c r="N59" i="2"/>
  <c r="O59" i="2" s="1"/>
  <c r="R59" i="2" s="1"/>
  <c r="N60" i="2"/>
  <c r="O60" i="2" s="1"/>
  <c r="R60" i="2" s="1"/>
  <c r="N61" i="2"/>
  <c r="O61" i="2" s="1"/>
  <c r="R61" i="2" s="1"/>
  <c r="N62" i="2"/>
  <c r="O62" i="2" s="1"/>
  <c r="R62" i="2" s="1"/>
  <c r="N63" i="2"/>
  <c r="O63" i="2" s="1"/>
  <c r="R63" i="2" s="1"/>
  <c r="N64" i="2"/>
  <c r="O64" i="2" s="1"/>
  <c r="R64" i="2" s="1"/>
  <c r="N65" i="2"/>
  <c r="O65" i="2" s="1"/>
  <c r="R65" i="2" s="1"/>
  <c r="N66" i="2"/>
  <c r="O66" i="2" s="1"/>
  <c r="R66" i="2" s="1"/>
  <c r="N67" i="2"/>
  <c r="O67" i="2" s="1"/>
  <c r="R67" i="2" s="1"/>
  <c r="N68" i="2"/>
  <c r="O68" i="2" s="1"/>
  <c r="R68" i="2" s="1"/>
  <c r="N69" i="2"/>
  <c r="O69" i="2" s="1"/>
  <c r="R69" i="2" s="1"/>
  <c r="N70" i="2"/>
  <c r="O70" i="2" s="1"/>
  <c r="R70" i="2" s="1"/>
  <c r="N71" i="2"/>
  <c r="O71" i="2" s="1"/>
  <c r="R71" i="2" s="1"/>
  <c r="N72" i="2"/>
  <c r="O72" i="2" s="1"/>
  <c r="R72" i="2" s="1"/>
  <c r="N73" i="2"/>
  <c r="O73" i="2" s="1"/>
  <c r="R73" i="2" s="1"/>
  <c r="N74" i="2"/>
  <c r="O74" i="2" s="1"/>
  <c r="R74" i="2" s="1"/>
  <c r="N75" i="2"/>
  <c r="O75" i="2" s="1"/>
  <c r="R75" i="2" s="1"/>
  <c r="N76" i="2"/>
  <c r="O76" i="2" s="1"/>
  <c r="R76" i="2" s="1"/>
  <c r="N77" i="2"/>
  <c r="O77" i="2" s="1"/>
  <c r="R77" i="2" s="1"/>
  <c r="N78" i="2"/>
  <c r="O78" i="2" s="1"/>
  <c r="R78" i="2" s="1"/>
  <c r="N79" i="2"/>
  <c r="O79" i="2" s="1"/>
  <c r="R79" i="2" s="1"/>
  <c r="N80" i="2"/>
  <c r="O80" i="2" s="1"/>
  <c r="R80" i="2" s="1"/>
  <c r="N81" i="2"/>
  <c r="O81" i="2" s="1"/>
  <c r="R81" i="2" s="1"/>
  <c r="N82" i="2"/>
  <c r="O82" i="2" s="1"/>
  <c r="R82" i="2" s="1"/>
  <c r="N83" i="2"/>
  <c r="O83" i="2" s="1"/>
  <c r="R83" i="2" s="1"/>
  <c r="N84" i="2"/>
  <c r="O84" i="2" s="1"/>
  <c r="R84" i="2" s="1"/>
  <c r="N85" i="2"/>
  <c r="O85" i="2" s="1"/>
  <c r="R85" i="2" s="1"/>
  <c r="N86" i="2"/>
  <c r="O86" i="2" s="1"/>
  <c r="R86" i="2" s="1"/>
  <c r="N87" i="2"/>
  <c r="O87" i="2" s="1"/>
  <c r="R87" i="2" s="1"/>
  <c r="N88" i="2"/>
  <c r="O88" i="2" s="1"/>
  <c r="R88" i="2" s="1"/>
  <c r="N89" i="2"/>
  <c r="O89" i="2" s="1"/>
  <c r="R89" i="2" s="1"/>
  <c r="N90" i="2"/>
  <c r="O90" i="2" s="1"/>
  <c r="R90" i="2" s="1"/>
  <c r="N91" i="2"/>
  <c r="O91" i="2" s="1"/>
  <c r="R91" i="2" s="1"/>
  <c r="N92" i="2"/>
  <c r="O92" i="2" s="1"/>
  <c r="R92" i="2" s="1"/>
  <c r="N93" i="2"/>
  <c r="O93" i="2" s="1"/>
  <c r="R93" i="2" s="1"/>
  <c r="N94" i="2"/>
  <c r="O94" i="2" s="1"/>
  <c r="R94" i="2" s="1"/>
  <c r="N95" i="2"/>
  <c r="O95" i="2" s="1"/>
  <c r="R95" i="2" s="1"/>
  <c r="N96" i="2"/>
  <c r="O96" i="2" s="1"/>
  <c r="R96" i="2" s="1"/>
  <c r="N97" i="2"/>
  <c r="O97" i="2" s="1"/>
  <c r="R97" i="2" s="1"/>
  <c r="N98" i="2"/>
  <c r="O98" i="2" s="1"/>
  <c r="R98" i="2" s="1"/>
  <c r="N99" i="2"/>
  <c r="O99" i="2" s="1"/>
  <c r="R99" i="2" s="1"/>
  <c r="N100" i="2"/>
  <c r="O100" i="2" s="1"/>
  <c r="R100" i="2" s="1"/>
  <c r="N101" i="2"/>
  <c r="O101" i="2" s="1"/>
  <c r="R101" i="2" s="1"/>
  <c r="N102" i="2"/>
  <c r="O102" i="2" s="1"/>
  <c r="R102" i="2" s="1"/>
  <c r="N103" i="2"/>
  <c r="O103" i="2" s="1"/>
  <c r="R103" i="2" s="1"/>
  <c r="N104" i="2"/>
  <c r="O104" i="2" s="1"/>
  <c r="R104" i="2" s="1"/>
  <c r="N105" i="2"/>
  <c r="O105" i="2" s="1"/>
  <c r="R105" i="2" s="1"/>
  <c r="N106" i="2"/>
  <c r="O106" i="2" s="1"/>
  <c r="R106" i="2" s="1"/>
  <c r="N107" i="2"/>
  <c r="O107" i="2" s="1"/>
  <c r="R107" i="2" s="1"/>
  <c r="N108" i="2"/>
  <c r="O108" i="2" s="1"/>
  <c r="R108" i="2" s="1"/>
  <c r="N109" i="2"/>
  <c r="O109" i="2" s="1"/>
  <c r="R109" i="2" s="1"/>
  <c r="N110" i="2"/>
  <c r="O110" i="2" s="1"/>
  <c r="R110" i="2" s="1"/>
  <c r="N111" i="2"/>
  <c r="O111" i="2" s="1"/>
  <c r="R111" i="2" s="1"/>
  <c r="N112" i="2"/>
  <c r="O112" i="2" s="1"/>
  <c r="R112" i="2" s="1"/>
  <c r="N113" i="2"/>
  <c r="O113" i="2" s="1"/>
  <c r="R113" i="2" s="1"/>
  <c r="N114" i="2"/>
  <c r="O114" i="2" s="1"/>
  <c r="R114" i="2" s="1"/>
  <c r="N115" i="2"/>
  <c r="O115" i="2" s="1"/>
  <c r="R115" i="2" s="1"/>
  <c r="N116" i="2"/>
  <c r="O116" i="2" s="1"/>
  <c r="R116" i="2" s="1"/>
  <c r="N117" i="2"/>
  <c r="O117" i="2" s="1"/>
  <c r="R117" i="2" s="1"/>
  <c r="N118" i="2"/>
  <c r="O118" i="2" s="1"/>
  <c r="R118" i="2" s="1"/>
  <c r="N119" i="2"/>
  <c r="O119" i="2" s="1"/>
  <c r="R119" i="2" s="1"/>
  <c r="N120" i="2"/>
  <c r="O120" i="2" s="1"/>
  <c r="R120" i="2" s="1"/>
  <c r="N121" i="2"/>
  <c r="O121" i="2" s="1"/>
  <c r="R121" i="2" s="1"/>
  <c r="N122" i="2"/>
  <c r="O122" i="2" s="1"/>
  <c r="R122" i="2" s="1"/>
  <c r="N123" i="2"/>
  <c r="O123" i="2" s="1"/>
  <c r="R123" i="2" s="1"/>
  <c r="N124" i="2"/>
  <c r="O124" i="2" s="1"/>
  <c r="R124" i="2" s="1"/>
  <c r="N125" i="2"/>
  <c r="O125" i="2" s="1"/>
  <c r="R125" i="2" s="1"/>
  <c r="N126" i="2"/>
  <c r="O126" i="2" s="1"/>
  <c r="R126" i="2" s="1"/>
  <c r="N127" i="2"/>
  <c r="O127" i="2" s="1"/>
  <c r="R127" i="2" s="1"/>
  <c r="N128" i="2"/>
  <c r="O128" i="2" s="1"/>
  <c r="R128" i="2" s="1"/>
  <c r="N129" i="2"/>
  <c r="O129" i="2" s="1"/>
  <c r="R129" i="2" s="1"/>
  <c r="N130" i="2"/>
  <c r="O130" i="2" s="1"/>
  <c r="R130" i="2" s="1"/>
  <c r="N131" i="2"/>
  <c r="O131" i="2" s="1"/>
  <c r="R131" i="2" s="1"/>
  <c r="N132" i="2"/>
  <c r="O132" i="2" s="1"/>
  <c r="R132" i="2" s="1"/>
  <c r="N133" i="2"/>
  <c r="O133" i="2" s="1"/>
  <c r="R133" i="2" s="1"/>
  <c r="N134" i="2"/>
  <c r="O134" i="2" s="1"/>
  <c r="R134" i="2" s="1"/>
  <c r="N135" i="2"/>
  <c r="O135" i="2" s="1"/>
  <c r="R135" i="2" s="1"/>
  <c r="N136" i="2"/>
  <c r="O136" i="2" s="1"/>
  <c r="R136" i="2" s="1"/>
  <c r="N137" i="2"/>
  <c r="O137" i="2" s="1"/>
  <c r="R137" i="2" s="1"/>
  <c r="N138" i="2"/>
  <c r="O138" i="2" s="1"/>
  <c r="R138" i="2" s="1"/>
  <c r="N139" i="2"/>
  <c r="O139" i="2" s="1"/>
  <c r="R139" i="2" s="1"/>
  <c r="N140" i="2"/>
  <c r="O140" i="2" s="1"/>
  <c r="R140" i="2" s="1"/>
  <c r="N141" i="2"/>
  <c r="O141" i="2" s="1"/>
  <c r="R141" i="2" s="1"/>
  <c r="N142" i="2"/>
  <c r="O142" i="2" s="1"/>
  <c r="R142" i="2" s="1"/>
  <c r="N143" i="2"/>
  <c r="O143" i="2" s="1"/>
  <c r="R143" i="2" s="1"/>
  <c r="N144" i="2"/>
  <c r="O144" i="2" s="1"/>
  <c r="R144" i="2" s="1"/>
  <c r="N145" i="2"/>
  <c r="O145" i="2" s="1"/>
  <c r="R145" i="2" s="1"/>
  <c r="N146" i="2"/>
  <c r="O146" i="2" s="1"/>
  <c r="R146" i="2" s="1"/>
  <c r="N147" i="2"/>
  <c r="O147" i="2" s="1"/>
  <c r="R147" i="2" s="1"/>
  <c r="N148" i="2"/>
  <c r="O148" i="2" s="1"/>
  <c r="R148" i="2" s="1"/>
  <c r="N149" i="2"/>
  <c r="O149" i="2" s="1"/>
  <c r="R149" i="2" s="1"/>
  <c r="N150" i="2"/>
  <c r="O150" i="2" s="1"/>
  <c r="R150" i="2" s="1"/>
  <c r="N151" i="2"/>
  <c r="O151" i="2" s="1"/>
  <c r="R151" i="2" s="1"/>
  <c r="N152" i="2"/>
  <c r="O152" i="2" s="1"/>
  <c r="R152" i="2" s="1"/>
  <c r="N153" i="2"/>
  <c r="O153" i="2" s="1"/>
  <c r="R153" i="2" s="1"/>
  <c r="N154" i="2"/>
  <c r="O154" i="2" s="1"/>
  <c r="R154" i="2" s="1"/>
  <c r="N155" i="2"/>
  <c r="O155" i="2" s="1"/>
  <c r="R155" i="2" s="1"/>
  <c r="N156" i="2"/>
  <c r="O156" i="2" s="1"/>
  <c r="R156" i="2" s="1"/>
  <c r="N157" i="2"/>
  <c r="O157" i="2" s="1"/>
  <c r="R157" i="2" s="1"/>
  <c r="N158" i="2"/>
  <c r="O158" i="2" s="1"/>
  <c r="R158" i="2" s="1"/>
  <c r="N159" i="2"/>
  <c r="O159" i="2" s="1"/>
  <c r="R159" i="2" s="1"/>
  <c r="N160" i="2"/>
  <c r="O160" i="2" s="1"/>
  <c r="R160" i="2" s="1"/>
  <c r="N161" i="2"/>
  <c r="O161" i="2" s="1"/>
  <c r="R161" i="2" s="1"/>
  <c r="N162" i="2"/>
  <c r="O162" i="2" s="1"/>
  <c r="R162" i="2" s="1"/>
  <c r="N163" i="2"/>
  <c r="O163" i="2" s="1"/>
  <c r="R163" i="2" s="1"/>
  <c r="N164" i="2"/>
  <c r="O164" i="2" s="1"/>
  <c r="R164" i="2" s="1"/>
  <c r="N165" i="2"/>
  <c r="O165" i="2" s="1"/>
  <c r="R165" i="2" s="1"/>
  <c r="N166" i="2"/>
  <c r="O166" i="2" s="1"/>
  <c r="R166" i="2" s="1"/>
  <c r="N167" i="2"/>
  <c r="O167" i="2" s="1"/>
  <c r="R167" i="2" s="1"/>
  <c r="N168" i="2"/>
  <c r="O168" i="2" s="1"/>
  <c r="R168" i="2" s="1"/>
  <c r="N169" i="2"/>
  <c r="O169" i="2" s="1"/>
  <c r="R169" i="2" s="1"/>
  <c r="N170" i="2"/>
  <c r="O170" i="2" s="1"/>
  <c r="R170" i="2" s="1"/>
  <c r="N171" i="2"/>
  <c r="O171" i="2" s="1"/>
  <c r="R171" i="2" s="1"/>
  <c r="N172" i="2"/>
  <c r="O172" i="2" s="1"/>
  <c r="R172" i="2" s="1"/>
  <c r="N173" i="2"/>
  <c r="O173" i="2" s="1"/>
  <c r="R173" i="2" s="1"/>
  <c r="N174" i="2"/>
  <c r="O174" i="2" s="1"/>
  <c r="R174" i="2" s="1"/>
  <c r="N175" i="2"/>
  <c r="O175" i="2" s="1"/>
  <c r="R175" i="2" s="1"/>
  <c r="N176" i="2"/>
  <c r="O176" i="2" s="1"/>
  <c r="R176" i="2" s="1"/>
  <c r="N177" i="2"/>
  <c r="O177" i="2" s="1"/>
  <c r="R177" i="2" s="1"/>
  <c r="N178" i="2"/>
  <c r="O178" i="2" s="1"/>
  <c r="R178" i="2" s="1"/>
  <c r="N179" i="2"/>
  <c r="O179" i="2" s="1"/>
  <c r="R179" i="2" s="1"/>
  <c r="N180" i="2"/>
  <c r="O180" i="2" s="1"/>
  <c r="R180" i="2" s="1"/>
  <c r="N181" i="2"/>
  <c r="O181" i="2" s="1"/>
  <c r="R181" i="2" s="1"/>
  <c r="N182" i="2"/>
  <c r="O182" i="2" s="1"/>
  <c r="R182" i="2" s="1"/>
  <c r="N183" i="2"/>
  <c r="O183" i="2" s="1"/>
  <c r="R183" i="2" s="1"/>
  <c r="N184" i="2"/>
  <c r="O184" i="2" s="1"/>
  <c r="R184" i="2" s="1"/>
  <c r="N185" i="2"/>
  <c r="O185" i="2" s="1"/>
  <c r="R185" i="2" s="1"/>
  <c r="N186" i="2"/>
  <c r="O186" i="2" s="1"/>
  <c r="R186" i="2" s="1"/>
  <c r="N187" i="2"/>
  <c r="O187" i="2" s="1"/>
  <c r="R187" i="2" s="1"/>
  <c r="N188" i="2"/>
  <c r="O188" i="2" s="1"/>
  <c r="R188" i="2" s="1"/>
  <c r="N189" i="2"/>
  <c r="O189" i="2" s="1"/>
  <c r="R189" i="2" s="1"/>
  <c r="N190" i="2"/>
  <c r="O190" i="2" s="1"/>
  <c r="R190" i="2" s="1"/>
  <c r="N191" i="2"/>
  <c r="O191" i="2" s="1"/>
  <c r="R191" i="2" s="1"/>
  <c r="N192" i="2"/>
  <c r="O192" i="2" s="1"/>
  <c r="R192" i="2" s="1"/>
  <c r="N193" i="2"/>
  <c r="O193" i="2" s="1"/>
  <c r="R193" i="2" s="1"/>
  <c r="N194" i="2"/>
  <c r="O194" i="2" s="1"/>
  <c r="R194" i="2" s="1"/>
  <c r="N195" i="2"/>
  <c r="O195" i="2" s="1"/>
  <c r="R195" i="2" s="1"/>
  <c r="N196" i="2"/>
  <c r="O196" i="2" s="1"/>
  <c r="R196" i="2" s="1"/>
  <c r="N197" i="2"/>
  <c r="O197" i="2" s="1"/>
  <c r="R197" i="2" s="1"/>
  <c r="N198" i="2"/>
  <c r="O198" i="2" s="1"/>
  <c r="R198" i="2" s="1"/>
  <c r="N199" i="2"/>
  <c r="O199" i="2" s="1"/>
  <c r="R199" i="2" s="1"/>
  <c r="N200" i="2"/>
  <c r="O200" i="2" s="1"/>
  <c r="R200" i="2" s="1"/>
  <c r="N201" i="2"/>
  <c r="O201" i="2" s="1"/>
  <c r="R201" i="2" s="1"/>
  <c r="N202" i="2"/>
  <c r="O202" i="2" s="1"/>
  <c r="R202" i="2" s="1"/>
  <c r="N203" i="2"/>
  <c r="O203" i="2" s="1"/>
  <c r="R203" i="2" s="1"/>
  <c r="N204" i="2"/>
  <c r="O204" i="2" s="1"/>
  <c r="R204" i="2" s="1"/>
  <c r="N205" i="2"/>
  <c r="O205" i="2" s="1"/>
  <c r="R205" i="2" s="1"/>
  <c r="N206" i="2"/>
  <c r="O206" i="2" s="1"/>
  <c r="R206" i="2" s="1"/>
  <c r="N207" i="2"/>
  <c r="O207" i="2" s="1"/>
  <c r="R207" i="2" s="1"/>
  <c r="N208" i="2"/>
  <c r="O208" i="2" s="1"/>
  <c r="R208" i="2" s="1"/>
  <c r="N209" i="2"/>
  <c r="O209" i="2" s="1"/>
  <c r="R209" i="2" s="1"/>
  <c r="N210" i="2"/>
  <c r="O210" i="2" s="1"/>
  <c r="R210" i="2" s="1"/>
  <c r="N211" i="2"/>
  <c r="O211" i="2" s="1"/>
  <c r="R211" i="2" s="1"/>
  <c r="N212" i="2"/>
  <c r="O212" i="2" s="1"/>
  <c r="R212" i="2" s="1"/>
  <c r="N213" i="2"/>
  <c r="O213" i="2" s="1"/>
  <c r="R213" i="2" s="1"/>
  <c r="N214" i="2"/>
  <c r="O214" i="2" s="1"/>
  <c r="R214" i="2" s="1"/>
  <c r="N215" i="2"/>
  <c r="O215" i="2" s="1"/>
  <c r="R215" i="2" s="1"/>
  <c r="N216" i="2"/>
  <c r="O216" i="2" s="1"/>
  <c r="R216" i="2" s="1"/>
  <c r="N217" i="2"/>
  <c r="O217" i="2" s="1"/>
  <c r="R217" i="2" s="1"/>
  <c r="N218" i="2"/>
  <c r="O218" i="2" s="1"/>
  <c r="R218" i="2" s="1"/>
  <c r="N219" i="2"/>
  <c r="O219" i="2" s="1"/>
  <c r="R219" i="2" s="1"/>
  <c r="N220" i="2"/>
  <c r="O220" i="2" s="1"/>
  <c r="R220" i="2" s="1"/>
  <c r="N221" i="2"/>
  <c r="O221" i="2" s="1"/>
  <c r="R221" i="2" s="1"/>
  <c r="N222" i="2"/>
  <c r="O222" i="2" s="1"/>
  <c r="R222" i="2" s="1"/>
  <c r="N223" i="2"/>
  <c r="O223" i="2" s="1"/>
  <c r="R223" i="2" s="1"/>
  <c r="N224" i="2"/>
  <c r="O224" i="2" s="1"/>
  <c r="R224" i="2" s="1"/>
  <c r="N225" i="2"/>
  <c r="O225" i="2" s="1"/>
  <c r="R225" i="2" s="1"/>
  <c r="N226" i="2"/>
  <c r="O226" i="2" s="1"/>
  <c r="R226" i="2" s="1"/>
  <c r="N227" i="2"/>
  <c r="O227" i="2" s="1"/>
  <c r="R227" i="2" s="1"/>
  <c r="N228" i="2"/>
  <c r="O228" i="2" s="1"/>
  <c r="R228" i="2" s="1"/>
  <c r="N229" i="2"/>
  <c r="O229" i="2" s="1"/>
  <c r="R229" i="2" s="1"/>
  <c r="N230" i="2"/>
  <c r="O230" i="2" s="1"/>
  <c r="R230" i="2" s="1"/>
  <c r="N231" i="2"/>
  <c r="O231" i="2" s="1"/>
  <c r="R231" i="2" s="1"/>
  <c r="N232" i="2"/>
  <c r="O232" i="2" s="1"/>
  <c r="R232" i="2" s="1"/>
  <c r="N233" i="2"/>
  <c r="O233" i="2" s="1"/>
  <c r="R233" i="2" s="1"/>
  <c r="N234" i="2"/>
  <c r="O234" i="2" s="1"/>
  <c r="R234" i="2" s="1"/>
  <c r="N235" i="2"/>
  <c r="O235" i="2" s="1"/>
  <c r="R235" i="2" s="1"/>
  <c r="N236" i="2"/>
  <c r="O236" i="2" s="1"/>
  <c r="R236" i="2" s="1"/>
  <c r="N237" i="2"/>
  <c r="O237" i="2" s="1"/>
  <c r="R237" i="2" s="1"/>
  <c r="N238" i="2"/>
  <c r="O238" i="2" s="1"/>
  <c r="R238" i="2" s="1"/>
  <c r="N239" i="2"/>
  <c r="O239" i="2" s="1"/>
  <c r="R239" i="2" s="1"/>
  <c r="N240" i="2"/>
  <c r="O240" i="2" s="1"/>
  <c r="R240" i="2" s="1"/>
  <c r="N241" i="2"/>
  <c r="O241" i="2" s="1"/>
  <c r="R241" i="2" s="1"/>
  <c r="N242" i="2"/>
  <c r="O242" i="2" s="1"/>
  <c r="R242" i="2" s="1"/>
  <c r="N243" i="2"/>
  <c r="O243" i="2" s="1"/>
  <c r="R243" i="2" s="1"/>
  <c r="N244" i="2"/>
  <c r="O244" i="2" s="1"/>
  <c r="R244" i="2" s="1"/>
  <c r="N245" i="2"/>
  <c r="O245" i="2" s="1"/>
  <c r="R245" i="2" s="1"/>
  <c r="N246" i="2"/>
  <c r="O246" i="2" s="1"/>
  <c r="R246" i="2" s="1"/>
  <c r="N247" i="2"/>
  <c r="O247" i="2" s="1"/>
  <c r="R247" i="2" s="1"/>
  <c r="N248" i="2"/>
  <c r="O248" i="2" s="1"/>
  <c r="R248" i="2" s="1"/>
  <c r="N249" i="2"/>
  <c r="O249" i="2" s="1"/>
  <c r="R249" i="2" s="1"/>
  <c r="N250" i="2"/>
  <c r="O250" i="2" s="1"/>
  <c r="R250" i="2" s="1"/>
  <c r="N251" i="2"/>
  <c r="O251" i="2" s="1"/>
  <c r="R251" i="2" s="1"/>
  <c r="N252" i="2"/>
  <c r="O252" i="2" s="1"/>
  <c r="R252" i="2" s="1"/>
  <c r="N253" i="2"/>
  <c r="O253" i="2" s="1"/>
  <c r="R253" i="2" s="1"/>
  <c r="N254" i="2"/>
  <c r="O254" i="2" s="1"/>
  <c r="R254" i="2" s="1"/>
  <c r="N255" i="2"/>
  <c r="O255" i="2" s="1"/>
  <c r="R255" i="2" s="1"/>
  <c r="N256" i="2"/>
  <c r="O256" i="2" s="1"/>
  <c r="R256" i="2" s="1"/>
  <c r="N257" i="2"/>
  <c r="O257" i="2" s="1"/>
  <c r="R257" i="2" s="1"/>
  <c r="N258" i="2"/>
  <c r="O258" i="2" s="1"/>
  <c r="R258" i="2" s="1"/>
  <c r="N259" i="2"/>
  <c r="O259" i="2" s="1"/>
  <c r="R259" i="2" s="1"/>
  <c r="N260" i="2"/>
  <c r="O260" i="2" s="1"/>
  <c r="R260" i="2" s="1"/>
  <c r="N261" i="2"/>
  <c r="O261" i="2" s="1"/>
  <c r="R261" i="2" s="1"/>
  <c r="N262" i="2"/>
  <c r="O262" i="2" s="1"/>
  <c r="R262" i="2" s="1"/>
  <c r="N263" i="2"/>
  <c r="O263" i="2" s="1"/>
  <c r="R263" i="2" s="1"/>
  <c r="N264" i="2"/>
  <c r="O264" i="2" s="1"/>
  <c r="R264" i="2" s="1"/>
  <c r="N265" i="2"/>
  <c r="O265" i="2" s="1"/>
  <c r="R265" i="2" s="1"/>
  <c r="N266" i="2"/>
  <c r="O266" i="2" s="1"/>
  <c r="R266" i="2" s="1"/>
  <c r="N267" i="2"/>
  <c r="O267" i="2" s="1"/>
  <c r="R267" i="2" s="1"/>
  <c r="N268" i="2"/>
  <c r="O268" i="2" s="1"/>
  <c r="R268" i="2" s="1"/>
  <c r="N269" i="2"/>
  <c r="O269" i="2" s="1"/>
  <c r="R269" i="2" s="1"/>
  <c r="N270" i="2"/>
  <c r="O270" i="2" s="1"/>
  <c r="R270" i="2" s="1"/>
  <c r="N271" i="2"/>
  <c r="O271" i="2" s="1"/>
  <c r="R271" i="2" s="1"/>
  <c r="N272" i="2"/>
  <c r="O272" i="2" s="1"/>
  <c r="R272" i="2" s="1"/>
  <c r="N273" i="2"/>
  <c r="O273" i="2" s="1"/>
  <c r="R273" i="2" s="1"/>
  <c r="N274" i="2"/>
  <c r="O274" i="2" s="1"/>
  <c r="R274" i="2" s="1"/>
  <c r="N275" i="2"/>
  <c r="O275" i="2" s="1"/>
  <c r="R275" i="2" s="1"/>
  <c r="N276" i="2"/>
  <c r="O276" i="2" s="1"/>
  <c r="R276" i="2" s="1"/>
  <c r="N277" i="2"/>
  <c r="O277" i="2" s="1"/>
  <c r="R277" i="2" s="1"/>
  <c r="N278" i="2"/>
  <c r="O278" i="2" s="1"/>
  <c r="R278" i="2" s="1"/>
  <c r="N279" i="2"/>
  <c r="O279" i="2" s="1"/>
  <c r="R279" i="2" s="1"/>
  <c r="N280" i="2"/>
  <c r="O280" i="2" s="1"/>
  <c r="R280" i="2" s="1"/>
  <c r="N281" i="2"/>
  <c r="O281" i="2" s="1"/>
  <c r="R281" i="2" s="1"/>
  <c r="N282" i="2"/>
  <c r="O282" i="2" s="1"/>
  <c r="R282" i="2" s="1"/>
  <c r="N283" i="2"/>
  <c r="O283" i="2" s="1"/>
  <c r="R283" i="2" s="1"/>
  <c r="N284" i="2"/>
  <c r="O284" i="2" s="1"/>
  <c r="R284" i="2" s="1"/>
  <c r="N285" i="2"/>
  <c r="O285" i="2" s="1"/>
  <c r="R285" i="2" s="1"/>
  <c r="N286" i="2"/>
  <c r="O286" i="2" s="1"/>
  <c r="R286" i="2" s="1"/>
  <c r="N287" i="2"/>
  <c r="O287" i="2" s="1"/>
  <c r="R287" i="2" s="1"/>
  <c r="N288" i="2"/>
  <c r="O288" i="2" s="1"/>
  <c r="R288" i="2" s="1"/>
  <c r="N289" i="2"/>
  <c r="O289" i="2" s="1"/>
  <c r="R289" i="2" s="1"/>
  <c r="N290" i="2"/>
  <c r="O290" i="2" s="1"/>
  <c r="R290" i="2" s="1"/>
  <c r="N291" i="2"/>
  <c r="O291" i="2" s="1"/>
  <c r="R291" i="2" s="1"/>
  <c r="N292" i="2"/>
  <c r="O292" i="2" s="1"/>
  <c r="R292" i="2" s="1"/>
  <c r="N293" i="2"/>
  <c r="O293" i="2" s="1"/>
  <c r="R293" i="2" s="1"/>
  <c r="N294" i="2"/>
  <c r="O294" i="2" s="1"/>
  <c r="R294" i="2" s="1"/>
  <c r="N295" i="2"/>
  <c r="O295" i="2" s="1"/>
  <c r="R295" i="2" s="1"/>
  <c r="N296" i="2"/>
  <c r="O296" i="2" s="1"/>
  <c r="R296" i="2" s="1"/>
  <c r="N297" i="2"/>
  <c r="O297" i="2" s="1"/>
  <c r="R297" i="2" s="1"/>
  <c r="N298" i="2"/>
  <c r="O298" i="2" s="1"/>
  <c r="R298" i="2" s="1"/>
  <c r="N299" i="2"/>
  <c r="O299" i="2" s="1"/>
  <c r="R299" i="2" s="1"/>
  <c r="N300" i="2"/>
  <c r="O300" i="2" s="1"/>
  <c r="R300" i="2" s="1"/>
  <c r="N301" i="2"/>
  <c r="O301" i="2" s="1"/>
  <c r="R301" i="2" s="1"/>
  <c r="N302" i="2"/>
  <c r="O302" i="2" s="1"/>
  <c r="R302" i="2" s="1"/>
  <c r="N303" i="2"/>
  <c r="O303" i="2" s="1"/>
  <c r="R303" i="2" s="1"/>
  <c r="N304" i="2"/>
  <c r="O304" i="2" s="1"/>
  <c r="R304" i="2" s="1"/>
  <c r="N305" i="2"/>
  <c r="O305" i="2" s="1"/>
  <c r="R305" i="2" s="1"/>
  <c r="N306" i="2"/>
  <c r="O306" i="2" s="1"/>
  <c r="R306" i="2" s="1"/>
  <c r="N307" i="2"/>
  <c r="O307" i="2" s="1"/>
  <c r="R307" i="2" s="1"/>
  <c r="N308" i="2"/>
  <c r="O308" i="2" s="1"/>
  <c r="R308" i="2" s="1"/>
  <c r="N309" i="2"/>
  <c r="O309" i="2" s="1"/>
  <c r="R309" i="2" s="1"/>
  <c r="N310" i="2"/>
  <c r="O310" i="2" s="1"/>
  <c r="R310" i="2" s="1"/>
  <c r="N311" i="2"/>
  <c r="O311" i="2" s="1"/>
  <c r="R311" i="2" s="1"/>
  <c r="N312" i="2"/>
  <c r="O312" i="2" s="1"/>
  <c r="R312" i="2" s="1"/>
  <c r="N313" i="2"/>
  <c r="O313" i="2" s="1"/>
  <c r="R313" i="2" s="1"/>
  <c r="N314" i="2"/>
  <c r="O314" i="2" s="1"/>
  <c r="R314" i="2" s="1"/>
  <c r="N315" i="2"/>
  <c r="O315" i="2" s="1"/>
  <c r="R315" i="2" s="1"/>
  <c r="N316" i="2"/>
  <c r="O316" i="2" s="1"/>
  <c r="R316" i="2" s="1"/>
  <c r="N317" i="2"/>
  <c r="O317" i="2" s="1"/>
  <c r="R317" i="2" s="1"/>
  <c r="N318" i="2"/>
  <c r="O318" i="2" s="1"/>
  <c r="R318" i="2" s="1"/>
  <c r="N319" i="2"/>
  <c r="O319" i="2" s="1"/>
  <c r="R319" i="2" s="1"/>
  <c r="N320" i="2"/>
  <c r="O320" i="2" s="1"/>
  <c r="R320" i="2" s="1"/>
  <c r="N321" i="2"/>
  <c r="O321" i="2" s="1"/>
  <c r="R321" i="2" s="1"/>
  <c r="N322" i="2"/>
  <c r="O322" i="2" s="1"/>
  <c r="R322" i="2" s="1"/>
  <c r="N323" i="2"/>
  <c r="O323" i="2" s="1"/>
  <c r="R323" i="2" s="1"/>
  <c r="N324" i="2"/>
  <c r="O324" i="2" s="1"/>
  <c r="R324" i="2" s="1"/>
  <c r="N325" i="2"/>
  <c r="O325" i="2" s="1"/>
  <c r="R325" i="2" s="1"/>
  <c r="N326" i="2"/>
  <c r="O326" i="2" s="1"/>
  <c r="R326" i="2" s="1"/>
  <c r="N327" i="2"/>
  <c r="O327" i="2" s="1"/>
  <c r="R327" i="2" s="1"/>
  <c r="N328" i="2"/>
  <c r="O328" i="2" s="1"/>
  <c r="R328" i="2" s="1"/>
  <c r="N329" i="2"/>
  <c r="O329" i="2" s="1"/>
  <c r="R329" i="2" s="1"/>
  <c r="N330" i="2"/>
  <c r="O330" i="2" s="1"/>
  <c r="R330" i="2" s="1"/>
  <c r="N331" i="2"/>
  <c r="O331" i="2" s="1"/>
  <c r="R331" i="2" s="1"/>
  <c r="N332" i="2"/>
  <c r="O332" i="2" s="1"/>
  <c r="R332" i="2" s="1"/>
  <c r="N333" i="2"/>
  <c r="O333" i="2" s="1"/>
  <c r="R333" i="2" s="1"/>
  <c r="N334" i="2"/>
  <c r="O334" i="2" s="1"/>
  <c r="R334" i="2" s="1"/>
  <c r="N335" i="2"/>
  <c r="O335" i="2" s="1"/>
  <c r="R335" i="2" s="1"/>
  <c r="N336" i="2"/>
  <c r="O336" i="2" s="1"/>
  <c r="R336" i="2" s="1"/>
  <c r="N337" i="2"/>
  <c r="O337" i="2" s="1"/>
  <c r="R337" i="2" s="1"/>
  <c r="N338" i="2"/>
  <c r="O338" i="2" s="1"/>
  <c r="R338" i="2" s="1"/>
  <c r="N339" i="2"/>
  <c r="O339" i="2" s="1"/>
  <c r="R339" i="2" s="1"/>
  <c r="N340" i="2"/>
  <c r="O340" i="2" s="1"/>
  <c r="R340" i="2" s="1"/>
  <c r="N341" i="2"/>
  <c r="O341" i="2" s="1"/>
  <c r="R341" i="2" s="1"/>
  <c r="N342" i="2"/>
  <c r="O342" i="2" s="1"/>
  <c r="R342" i="2" s="1"/>
  <c r="N343" i="2"/>
  <c r="O343" i="2" s="1"/>
  <c r="R343" i="2" s="1"/>
  <c r="N344" i="2"/>
  <c r="O344" i="2" s="1"/>
  <c r="R344" i="2" s="1"/>
  <c r="N345" i="2"/>
  <c r="O345" i="2" s="1"/>
  <c r="R345" i="2" s="1"/>
  <c r="N346" i="2"/>
  <c r="O346" i="2" s="1"/>
  <c r="R346" i="2" s="1"/>
  <c r="N347" i="2"/>
  <c r="O347" i="2" s="1"/>
  <c r="R347" i="2" s="1"/>
  <c r="N348" i="2"/>
  <c r="O348" i="2" s="1"/>
  <c r="R348" i="2" s="1"/>
  <c r="N349" i="2"/>
  <c r="O349" i="2" s="1"/>
  <c r="R349" i="2" s="1"/>
  <c r="N350" i="2"/>
  <c r="O350" i="2" s="1"/>
  <c r="R350" i="2" s="1"/>
  <c r="N351" i="2"/>
  <c r="O351" i="2" s="1"/>
  <c r="R351" i="2" s="1"/>
  <c r="N352" i="2"/>
  <c r="O352" i="2" s="1"/>
  <c r="R352" i="2" s="1"/>
  <c r="N353" i="2"/>
  <c r="O353" i="2" s="1"/>
  <c r="R353" i="2" s="1"/>
  <c r="N354" i="2"/>
  <c r="O354" i="2" s="1"/>
  <c r="R354" i="2" s="1"/>
  <c r="N355" i="2"/>
  <c r="O355" i="2" s="1"/>
  <c r="R355" i="2" s="1"/>
  <c r="N356" i="2"/>
  <c r="O356" i="2" s="1"/>
  <c r="R356" i="2" s="1"/>
  <c r="N357" i="2"/>
  <c r="O357" i="2" s="1"/>
  <c r="R357" i="2" s="1"/>
  <c r="N358" i="2"/>
  <c r="O358" i="2" s="1"/>
  <c r="R358" i="2" s="1"/>
  <c r="N359" i="2"/>
  <c r="O359" i="2" s="1"/>
  <c r="R359" i="2" s="1"/>
  <c r="N360" i="2"/>
  <c r="O360" i="2" s="1"/>
  <c r="R360" i="2" s="1"/>
  <c r="N361" i="2"/>
  <c r="O361" i="2" s="1"/>
  <c r="R361" i="2" s="1"/>
  <c r="N362" i="2"/>
  <c r="O362" i="2" s="1"/>
  <c r="R362" i="2" s="1"/>
  <c r="N363" i="2"/>
  <c r="O363" i="2" s="1"/>
  <c r="R363" i="2" s="1"/>
  <c r="N364" i="2"/>
  <c r="O364" i="2" s="1"/>
  <c r="R364" i="2" s="1"/>
  <c r="N365" i="2"/>
  <c r="O365" i="2" s="1"/>
  <c r="R365" i="2" s="1"/>
  <c r="N366" i="2"/>
  <c r="O366" i="2" s="1"/>
  <c r="R366" i="2" s="1"/>
  <c r="N367" i="2"/>
  <c r="O367" i="2" s="1"/>
  <c r="R367" i="2" s="1"/>
  <c r="N368" i="2"/>
  <c r="O368" i="2" s="1"/>
  <c r="R368" i="2" s="1"/>
  <c r="N369" i="2"/>
  <c r="O369" i="2" s="1"/>
  <c r="R369" i="2" s="1"/>
  <c r="N370" i="2"/>
  <c r="O370" i="2" s="1"/>
  <c r="R370" i="2" s="1"/>
  <c r="N371" i="2"/>
  <c r="O371" i="2" s="1"/>
  <c r="R371" i="2" s="1"/>
  <c r="N372" i="2"/>
  <c r="O372" i="2" s="1"/>
  <c r="R372" i="2" s="1"/>
  <c r="N7" i="2"/>
  <c r="O7" i="2" s="1"/>
  <c r="R7" i="2" s="1"/>
  <c r="N15" i="2"/>
  <c r="O15" i="2" s="1"/>
  <c r="R15" i="2" s="1"/>
  <c r="N16" i="2"/>
  <c r="O16" i="2" s="1"/>
  <c r="R16" i="2" s="1"/>
  <c r="N373" i="2"/>
  <c r="O373" i="2" s="1"/>
  <c r="R373" i="2" s="1"/>
  <c r="N374" i="2"/>
  <c r="O374" i="2" s="1"/>
  <c r="R374" i="2" s="1"/>
  <c r="N8" i="2"/>
  <c r="O8" i="2" s="1"/>
  <c r="R8" i="2" s="1"/>
  <c r="N17" i="2"/>
  <c r="O17" i="2" s="1"/>
  <c r="R17" i="2" s="1"/>
  <c r="N18" i="2"/>
  <c r="O18" i="2" s="1"/>
  <c r="R18" i="2" s="1"/>
  <c r="N43" i="2"/>
  <c r="O43" i="2" s="1"/>
  <c r="R43" i="2" s="1"/>
  <c r="N44" i="2"/>
  <c r="O44" i="2" s="1"/>
  <c r="R44" i="2" s="1"/>
  <c r="N45" i="2"/>
  <c r="O45" i="2" s="1"/>
  <c r="R45" i="2" s="1"/>
  <c r="N46" i="2"/>
  <c r="O46" i="2" s="1"/>
  <c r="R46" i="2" s="1"/>
  <c r="N47" i="2"/>
  <c r="O47" i="2" s="1"/>
  <c r="R47" i="2" s="1"/>
  <c r="N375" i="2"/>
  <c r="O375" i="2" s="1"/>
  <c r="R375" i="2" s="1"/>
  <c r="N379" i="2"/>
  <c r="O379" i="2" s="1"/>
  <c r="R379" i="2" s="1"/>
  <c r="N380" i="2"/>
  <c r="O380" i="2" s="1"/>
  <c r="R380" i="2" s="1"/>
  <c r="N381" i="2"/>
  <c r="O381" i="2" s="1"/>
  <c r="R381" i="2" s="1"/>
  <c r="N382" i="2"/>
  <c r="O382" i="2" s="1"/>
  <c r="R382" i="2" s="1"/>
  <c r="N383" i="2"/>
  <c r="O383" i="2" s="1"/>
  <c r="R383" i="2" s="1"/>
  <c r="N384" i="2"/>
  <c r="O384" i="2" s="1"/>
  <c r="R384" i="2" s="1"/>
  <c r="N385" i="2"/>
  <c r="O385" i="2" s="1"/>
  <c r="R385" i="2" s="1"/>
  <c r="N386" i="2"/>
  <c r="O386" i="2" s="1"/>
  <c r="R386" i="2" s="1"/>
  <c r="N387" i="2"/>
  <c r="O387" i="2" s="1"/>
  <c r="R387" i="2" s="1"/>
  <c r="N388" i="2"/>
  <c r="O388" i="2" s="1"/>
  <c r="R388" i="2" s="1"/>
  <c r="N389" i="2"/>
  <c r="O389" i="2" s="1"/>
  <c r="R389" i="2" s="1"/>
  <c r="N376" i="2"/>
  <c r="O376" i="2" s="1"/>
  <c r="R376" i="2" s="1"/>
  <c r="N390" i="2"/>
  <c r="O390" i="2" s="1"/>
  <c r="R390" i="2" s="1"/>
  <c r="N391" i="2"/>
  <c r="O391" i="2" s="1"/>
  <c r="R391" i="2" s="1"/>
  <c r="N392" i="2"/>
  <c r="O392" i="2" s="1"/>
  <c r="R392" i="2" s="1"/>
  <c r="N393" i="2"/>
  <c r="O393" i="2" s="1"/>
  <c r="R393" i="2" s="1"/>
  <c r="N394" i="2"/>
  <c r="O394" i="2" s="1"/>
  <c r="R394" i="2" s="1"/>
  <c r="N395" i="2"/>
  <c r="O395" i="2" s="1"/>
  <c r="R395" i="2" s="1"/>
  <c r="N396" i="2"/>
  <c r="O396" i="2" s="1"/>
  <c r="R396" i="2" s="1"/>
  <c r="N397" i="2"/>
  <c r="O397" i="2" s="1"/>
  <c r="R397" i="2" s="1"/>
  <c r="N398" i="2"/>
  <c r="O398" i="2" s="1"/>
  <c r="R398" i="2" s="1"/>
  <c r="N399" i="2"/>
  <c r="O399" i="2" s="1"/>
  <c r="R399" i="2" s="1"/>
  <c r="N400" i="2"/>
  <c r="O400" i="2" s="1"/>
  <c r="R400" i="2" s="1"/>
  <c r="N377" i="2"/>
  <c r="O377" i="2" s="1"/>
  <c r="R377" i="2" s="1"/>
  <c r="N401" i="2"/>
  <c r="O401" i="2" s="1"/>
  <c r="R401" i="2" s="1"/>
  <c r="N402" i="2"/>
  <c r="O402" i="2" s="1"/>
  <c r="R402" i="2" s="1"/>
  <c r="N403" i="2"/>
  <c r="O403" i="2" s="1"/>
  <c r="R403" i="2" s="1"/>
  <c r="N404" i="2"/>
  <c r="O404" i="2" s="1"/>
  <c r="R404" i="2" s="1"/>
  <c r="N405" i="2"/>
  <c r="O405" i="2" s="1"/>
  <c r="R405" i="2" s="1"/>
  <c r="N406" i="2"/>
  <c r="O406" i="2" s="1"/>
  <c r="R406" i="2" s="1"/>
  <c r="N407" i="2"/>
  <c r="O407" i="2" s="1"/>
  <c r="R407" i="2" s="1"/>
  <c r="N408" i="2"/>
  <c r="O408" i="2" s="1"/>
  <c r="R408" i="2" s="1"/>
  <c r="N409" i="2"/>
  <c r="O409" i="2" s="1"/>
  <c r="R409" i="2" s="1"/>
  <c r="N410" i="2"/>
  <c r="O410" i="2" s="1"/>
  <c r="R410" i="2" s="1"/>
  <c r="N411" i="2"/>
  <c r="O411" i="2" s="1"/>
  <c r="R411" i="2" s="1"/>
  <c r="N412" i="2"/>
  <c r="O412" i="2" s="1"/>
  <c r="R412" i="2" s="1"/>
  <c r="N378" i="2"/>
  <c r="O378" i="2" s="1"/>
  <c r="R378" i="2" s="1"/>
  <c r="N413" i="2"/>
  <c r="O413" i="2" s="1"/>
  <c r="R413" i="2" s="1"/>
  <c r="N414" i="2"/>
  <c r="O414" i="2" s="1"/>
  <c r="R414" i="2" s="1"/>
  <c r="N415" i="2"/>
  <c r="O415" i="2" s="1"/>
  <c r="R415" i="2" s="1"/>
  <c r="N416" i="2"/>
  <c r="O416" i="2" s="1"/>
  <c r="R416" i="2" s="1"/>
  <c r="N417" i="2"/>
  <c r="O417" i="2" s="1"/>
  <c r="R417" i="2" s="1"/>
  <c r="N418" i="2"/>
  <c r="O418" i="2" s="1"/>
  <c r="R418" i="2" s="1"/>
  <c r="N419" i="2"/>
  <c r="O419" i="2" s="1"/>
  <c r="R419" i="2" s="1"/>
  <c r="N420" i="2"/>
  <c r="O420" i="2" s="1"/>
  <c r="R420" i="2" s="1"/>
  <c r="N421" i="2"/>
  <c r="O421" i="2" s="1"/>
  <c r="R421" i="2" s="1"/>
  <c r="N422" i="2"/>
  <c r="O422" i="2" s="1"/>
  <c r="R422" i="2" s="1"/>
  <c r="N423" i="2"/>
  <c r="O423" i="2" s="1"/>
  <c r="R423" i="2" s="1"/>
  <c r="N424" i="2"/>
  <c r="O424" i="2" s="1"/>
  <c r="R424" i="2" s="1"/>
  <c r="N425" i="2"/>
  <c r="O425" i="2" s="1"/>
  <c r="R425" i="2" s="1"/>
  <c r="N426" i="2"/>
  <c r="O426" i="2" s="1"/>
  <c r="R426" i="2" s="1"/>
  <c r="N427" i="2"/>
  <c r="O427" i="2" s="1"/>
  <c r="R427" i="2" s="1"/>
  <c r="N428" i="2"/>
  <c r="O428" i="2" s="1"/>
  <c r="R428" i="2" s="1"/>
  <c r="N429" i="2"/>
  <c r="O429" i="2" s="1"/>
  <c r="R429" i="2" s="1"/>
  <c r="N430" i="2"/>
  <c r="O430" i="2" s="1"/>
  <c r="R430" i="2" s="1"/>
  <c r="N431" i="2"/>
  <c r="O431" i="2" s="1"/>
  <c r="R431" i="2" s="1"/>
  <c r="N432" i="2"/>
  <c r="O432" i="2" s="1"/>
  <c r="R432" i="2" s="1"/>
  <c r="N433" i="2"/>
  <c r="O433" i="2" s="1"/>
  <c r="R433" i="2" s="1"/>
  <c r="N434" i="2"/>
  <c r="O434" i="2" s="1"/>
  <c r="R434" i="2" s="1"/>
  <c r="N435" i="2"/>
  <c r="O435" i="2" s="1"/>
  <c r="R435" i="2" s="1"/>
  <c r="N436" i="2"/>
  <c r="O436" i="2" s="1"/>
  <c r="R436" i="2" s="1"/>
  <c r="N437" i="2"/>
  <c r="O437" i="2" s="1"/>
  <c r="R437" i="2" s="1"/>
  <c r="N438" i="2"/>
  <c r="O438" i="2" s="1"/>
  <c r="R438" i="2" s="1"/>
  <c r="N439" i="2"/>
  <c r="O439" i="2" s="1"/>
  <c r="R439" i="2" s="1"/>
  <c r="N440" i="2"/>
  <c r="O440" i="2" s="1"/>
  <c r="R440" i="2" s="1"/>
  <c r="N441" i="2"/>
  <c r="O441" i="2" s="1"/>
  <c r="R441" i="2" s="1"/>
  <c r="N442" i="2"/>
  <c r="O442" i="2" s="1"/>
  <c r="R442" i="2" s="1"/>
  <c r="N443" i="2"/>
  <c r="O443" i="2" s="1"/>
  <c r="R443" i="2" s="1"/>
  <c r="N444" i="2"/>
  <c r="O444" i="2" s="1"/>
  <c r="R444" i="2" s="1"/>
  <c r="N445" i="2"/>
  <c r="O445" i="2" s="1"/>
  <c r="R445" i="2" s="1"/>
  <c r="N446" i="2"/>
  <c r="O446" i="2" s="1"/>
  <c r="R446" i="2" s="1"/>
  <c r="N447" i="2"/>
  <c r="O447" i="2" s="1"/>
  <c r="R447" i="2" s="1"/>
  <c r="N448" i="2"/>
  <c r="O448" i="2" s="1"/>
  <c r="R448" i="2" s="1"/>
  <c r="N449" i="2"/>
  <c r="O449" i="2" s="1"/>
  <c r="R449" i="2" s="1"/>
  <c r="N450" i="2"/>
  <c r="O450" i="2" s="1"/>
  <c r="R450" i="2" s="1"/>
  <c r="N451" i="2"/>
  <c r="O451" i="2" s="1"/>
  <c r="R451" i="2" s="1"/>
  <c r="N452" i="2"/>
  <c r="O452" i="2" s="1"/>
  <c r="R452" i="2" s="1"/>
  <c r="N453" i="2"/>
  <c r="O453" i="2" s="1"/>
  <c r="R453" i="2" s="1"/>
  <c r="N454" i="2"/>
  <c r="O454" i="2" s="1"/>
  <c r="R454" i="2" s="1"/>
  <c r="N455" i="2"/>
  <c r="O455" i="2" s="1"/>
  <c r="R455" i="2" s="1"/>
  <c r="N456" i="2"/>
  <c r="O456" i="2" s="1"/>
  <c r="R456" i="2" s="1"/>
  <c r="N457" i="2"/>
  <c r="O457" i="2" s="1"/>
  <c r="R457" i="2" s="1"/>
  <c r="N458" i="2"/>
  <c r="O458" i="2" s="1"/>
  <c r="R458" i="2" s="1"/>
  <c r="N459" i="2"/>
  <c r="O459" i="2" s="1"/>
  <c r="R459" i="2" s="1"/>
  <c r="N460" i="2"/>
  <c r="O460" i="2" s="1"/>
  <c r="R460" i="2" s="1"/>
  <c r="N461" i="2"/>
  <c r="O461" i="2" s="1"/>
  <c r="R461" i="2" s="1"/>
  <c r="N462" i="2"/>
  <c r="O462" i="2" s="1"/>
  <c r="R462" i="2" s="1"/>
  <c r="N463" i="2"/>
  <c r="O463" i="2" s="1"/>
  <c r="R463" i="2" s="1"/>
  <c r="N464" i="2"/>
  <c r="O464" i="2" s="1"/>
  <c r="R464" i="2" s="1"/>
  <c r="N465" i="2"/>
  <c r="O465" i="2" s="1"/>
  <c r="R465" i="2" s="1"/>
  <c r="N466" i="2"/>
  <c r="O466" i="2" s="1"/>
  <c r="R466" i="2" s="1"/>
  <c r="N467" i="2"/>
  <c r="O467" i="2" s="1"/>
  <c r="R467" i="2" s="1"/>
  <c r="N468" i="2"/>
  <c r="O468" i="2" s="1"/>
  <c r="R468" i="2" s="1"/>
  <c r="N469" i="2"/>
  <c r="O469" i="2" s="1"/>
  <c r="R469" i="2" s="1"/>
  <c r="N470" i="2"/>
  <c r="O470" i="2" s="1"/>
  <c r="R470" i="2" s="1"/>
  <c r="N471" i="2"/>
  <c r="O471" i="2" s="1"/>
  <c r="R471" i="2" s="1"/>
  <c r="N472" i="2"/>
  <c r="O472" i="2" s="1"/>
  <c r="R472" i="2" s="1"/>
  <c r="N473" i="2"/>
  <c r="O473" i="2" s="1"/>
  <c r="R473" i="2" s="1"/>
  <c r="N474" i="2"/>
  <c r="O474" i="2" s="1"/>
  <c r="R474" i="2" s="1"/>
  <c r="N475" i="2"/>
  <c r="O475" i="2" s="1"/>
  <c r="R475" i="2" s="1"/>
  <c r="N476" i="2"/>
  <c r="O476" i="2" s="1"/>
  <c r="R476" i="2" s="1"/>
  <c r="N477" i="2"/>
  <c r="O477" i="2" s="1"/>
  <c r="R477" i="2" s="1"/>
  <c r="N478" i="2"/>
  <c r="O478" i="2" s="1"/>
  <c r="R478" i="2" s="1"/>
  <c r="N479" i="2"/>
  <c r="O479" i="2" s="1"/>
  <c r="R479" i="2" s="1"/>
  <c r="N480" i="2"/>
  <c r="O480" i="2" s="1"/>
  <c r="R480" i="2" s="1"/>
  <c r="N481" i="2"/>
  <c r="O481" i="2" s="1"/>
  <c r="R481" i="2" s="1"/>
  <c r="N482" i="2"/>
  <c r="O482" i="2" s="1"/>
  <c r="R482" i="2" s="1"/>
  <c r="N483" i="2"/>
  <c r="O483" i="2" s="1"/>
  <c r="R483" i="2" s="1"/>
  <c r="N484" i="2"/>
  <c r="O484" i="2" s="1"/>
  <c r="R484" i="2" s="1"/>
  <c r="N485" i="2"/>
  <c r="O485" i="2" s="1"/>
  <c r="R485" i="2" s="1"/>
  <c r="N486" i="2"/>
  <c r="O486" i="2" s="1"/>
  <c r="R486" i="2" s="1"/>
  <c r="N487" i="2"/>
  <c r="O487" i="2" s="1"/>
  <c r="R487" i="2" s="1"/>
  <c r="N488" i="2"/>
  <c r="O488" i="2" s="1"/>
  <c r="R488" i="2" s="1"/>
  <c r="N489" i="2"/>
  <c r="O489" i="2" s="1"/>
  <c r="R489" i="2" s="1"/>
  <c r="N592" i="2"/>
  <c r="O592" i="2" s="1"/>
  <c r="R592" i="2" s="1"/>
  <c r="N593" i="2"/>
  <c r="O593" i="2" s="1"/>
  <c r="R593" i="2" s="1"/>
  <c r="N594" i="2"/>
  <c r="O594" i="2" s="1"/>
  <c r="R594" i="2" s="1"/>
  <c r="N595" i="2"/>
  <c r="O595" i="2" s="1"/>
  <c r="R595" i="2" s="1"/>
  <c r="N596" i="2"/>
  <c r="O596" i="2" s="1"/>
  <c r="R596" i="2" s="1"/>
  <c r="N597" i="2"/>
  <c r="O597" i="2" s="1"/>
  <c r="R597" i="2" s="1"/>
  <c r="N598" i="2"/>
  <c r="O598" i="2" s="1"/>
  <c r="R598" i="2" s="1"/>
  <c r="N599" i="2"/>
  <c r="O599" i="2" s="1"/>
  <c r="R599" i="2" s="1"/>
  <c r="N600" i="2"/>
  <c r="O600" i="2" s="1"/>
  <c r="R600" i="2" s="1"/>
  <c r="N601" i="2"/>
  <c r="O601" i="2" s="1"/>
  <c r="R601" i="2" s="1"/>
  <c r="N586" i="2"/>
  <c r="O586" i="2" s="1"/>
  <c r="R586" i="2" s="1"/>
  <c r="N587" i="2"/>
  <c r="O587" i="2" s="1"/>
  <c r="R587" i="2" s="1"/>
  <c r="N602" i="2"/>
  <c r="O602" i="2" s="1"/>
  <c r="R602" i="2" s="1"/>
  <c r="N603" i="2"/>
  <c r="O603" i="2" s="1"/>
  <c r="R603" i="2" s="1"/>
  <c r="N604" i="2"/>
  <c r="O604" i="2" s="1"/>
  <c r="R604" i="2" s="1"/>
  <c r="N605" i="2"/>
  <c r="O605" i="2" s="1"/>
  <c r="R605" i="2" s="1"/>
  <c r="N606" i="2"/>
  <c r="O606" i="2" s="1"/>
  <c r="R606" i="2" s="1"/>
  <c r="N607" i="2"/>
  <c r="O607" i="2" s="1"/>
  <c r="R607" i="2" s="1"/>
  <c r="N608" i="2"/>
  <c r="O608" i="2" s="1"/>
  <c r="R608" i="2" s="1"/>
  <c r="N609" i="2"/>
  <c r="O609" i="2" s="1"/>
  <c r="R609" i="2" s="1"/>
  <c r="N610" i="2"/>
  <c r="O610" i="2" s="1"/>
  <c r="R610" i="2" s="1"/>
  <c r="N611" i="2"/>
  <c r="O611" i="2" s="1"/>
  <c r="R611" i="2" s="1"/>
  <c r="N588" i="2"/>
  <c r="O588" i="2" s="1"/>
  <c r="R588" i="2" s="1"/>
  <c r="N589" i="2"/>
  <c r="O589" i="2" s="1"/>
  <c r="R589" i="2" s="1"/>
  <c r="N612" i="2"/>
  <c r="O612" i="2" s="1"/>
  <c r="R612" i="2" s="1"/>
  <c r="N613" i="2"/>
  <c r="O613" i="2" s="1"/>
  <c r="R613" i="2" s="1"/>
  <c r="N614" i="2"/>
  <c r="O614" i="2" s="1"/>
  <c r="R614" i="2" s="1"/>
  <c r="N615" i="2"/>
  <c r="O615" i="2" s="1"/>
  <c r="R615" i="2" s="1"/>
  <c r="N616" i="2"/>
  <c r="O616" i="2" s="1"/>
  <c r="R616" i="2" s="1"/>
  <c r="N617" i="2"/>
  <c r="O617" i="2" s="1"/>
  <c r="R617" i="2" s="1"/>
  <c r="N618" i="2"/>
  <c r="O618" i="2" s="1"/>
  <c r="R618" i="2" s="1"/>
  <c r="N619" i="2"/>
  <c r="O619" i="2" s="1"/>
  <c r="R619" i="2" s="1"/>
  <c r="N620" i="2"/>
  <c r="O620" i="2" s="1"/>
  <c r="R620" i="2" s="1"/>
  <c r="N621" i="2"/>
  <c r="O621" i="2" s="1"/>
  <c r="R621" i="2" s="1"/>
  <c r="N622" i="2"/>
  <c r="O622" i="2" s="1"/>
  <c r="R622" i="2" s="1"/>
  <c r="N590" i="2"/>
  <c r="O590" i="2" s="1"/>
  <c r="R590" i="2" s="1"/>
  <c r="N591" i="2"/>
  <c r="O591" i="2" s="1"/>
  <c r="R591" i="2" s="1"/>
  <c r="N623" i="2"/>
  <c r="O623" i="2" s="1"/>
  <c r="R623" i="2" s="1"/>
  <c r="N624" i="2"/>
  <c r="O624" i="2" s="1"/>
  <c r="R624" i="2" s="1"/>
  <c r="N625" i="2"/>
  <c r="O625" i="2" s="1"/>
  <c r="R625" i="2" s="1"/>
  <c r="N626" i="2"/>
  <c r="O626" i="2" s="1"/>
  <c r="R626" i="2" s="1"/>
  <c r="N627" i="2"/>
  <c r="O627" i="2" s="1"/>
  <c r="R627" i="2" s="1"/>
  <c r="N628" i="2"/>
  <c r="O628" i="2" s="1"/>
  <c r="R628" i="2" s="1"/>
  <c r="N629" i="2"/>
  <c r="O629" i="2" s="1"/>
  <c r="R629" i="2" s="1"/>
  <c r="N630" i="2"/>
  <c r="O630" i="2" s="1"/>
  <c r="R630" i="2" s="1"/>
  <c r="N631" i="2"/>
  <c r="O631" i="2" s="1"/>
  <c r="R631" i="2" s="1"/>
  <c r="N632" i="2"/>
  <c r="O632" i="2" s="1"/>
  <c r="R632" i="2" s="1"/>
  <c r="N633" i="2"/>
  <c r="O633" i="2" s="1"/>
  <c r="R633" i="2" s="1"/>
  <c r="N634" i="2"/>
  <c r="O634" i="2" s="1"/>
  <c r="R634" i="2" s="1"/>
  <c r="N635" i="2"/>
  <c r="O635" i="2" s="1"/>
  <c r="R635" i="2" s="1"/>
  <c r="N636" i="2"/>
  <c r="O636" i="2" s="1"/>
  <c r="R636" i="2" s="1"/>
  <c r="N637" i="2"/>
  <c r="O637" i="2" s="1"/>
  <c r="R637" i="2" s="1"/>
  <c r="N638" i="2"/>
  <c r="O638" i="2" s="1"/>
  <c r="R638" i="2" s="1"/>
  <c r="N639" i="2"/>
  <c r="O639" i="2" s="1"/>
  <c r="R639" i="2" s="1"/>
  <c r="N640" i="2"/>
  <c r="O640" i="2" s="1"/>
  <c r="R640" i="2" s="1"/>
  <c r="N641" i="2"/>
  <c r="O641" i="2" s="1"/>
  <c r="R641" i="2" s="1"/>
  <c r="N642" i="2"/>
  <c r="O642" i="2" s="1"/>
  <c r="R642" i="2" s="1"/>
  <c r="N643" i="2"/>
  <c r="O643" i="2" s="1"/>
  <c r="R643" i="2" s="1"/>
  <c r="N644" i="2"/>
  <c r="O644" i="2" s="1"/>
  <c r="R644" i="2" s="1"/>
  <c r="N645" i="2"/>
  <c r="O645" i="2" s="1"/>
  <c r="R645" i="2" s="1"/>
  <c r="N646" i="2"/>
  <c r="O646" i="2" s="1"/>
  <c r="R646" i="2" s="1"/>
  <c r="N647" i="2"/>
  <c r="O647" i="2" s="1"/>
  <c r="R647" i="2" s="1"/>
  <c r="N648" i="2"/>
  <c r="O648" i="2" s="1"/>
  <c r="R648" i="2" s="1"/>
  <c r="N649" i="2"/>
  <c r="O649" i="2" s="1"/>
  <c r="R649" i="2" s="1"/>
  <c r="N650" i="2"/>
  <c r="O650" i="2" s="1"/>
  <c r="R650" i="2" s="1"/>
  <c r="N651" i="2"/>
  <c r="O651" i="2" s="1"/>
  <c r="R651" i="2" s="1"/>
  <c r="N652" i="2"/>
  <c r="O652" i="2" s="1"/>
  <c r="R652" i="2" s="1"/>
  <c r="N653" i="2"/>
  <c r="O653" i="2" s="1"/>
  <c r="R653" i="2" s="1"/>
  <c r="N654" i="2"/>
  <c r="O654" i="2" s="1"/>
  <c r="R654" i="2" s="1"/>
  <c r="N655" i="2"/>
  <c r="O655" i="2" s="1"/>
  <c r="R655" i="2" s="1"/>
  <c r="N656" i="2"/>
  <c r="O656" i="2" s="1"/>
  <c r="R656" i="2" s="1"/>
  <c r="N657" i="2"/>
  <c r="O657" i="2" s="1"/>
  <c r="R657" i="2" s="1"/>
  <c r="N658" i="2"/>
  <c r="O658" i="2" s="1"/>
  <c r="R658" i="2" s="1"/>
  <c r="N659" i="2"/>
  <c r="O659" i="2" s="1"/>
  <c r="R659" i="2" s="1"/>
  <c r="N660" i="2"/>
  <c r="O660" i="2" s="1"/>
  <c r="R660" i="2" s="1"/>
  <c r="N661" i="2"/>
  <c r="O661" i="2" s="1"/>
  <c r="R661" i="2" s="1"/>
  <c r="N662" i="2"/>
  <c r="O662" i="2" s="1"/>
  <c r="R662" i="2" s="1"/>
  <c r="N663" i="2"/>
  <c r="O663" i="2" s="1"/>
  <c r="R663" i="2" s="1"/>
  <c r="N664" i="2"/>
  <c r="O664" i="2" s="1"/>
  <c r="R664" i="2" s="1"/>
  <c r="N665" i="2"/>
  <c r="O665" i="2" s="1"/>
  <c r="R665" i="2" s="1"/>
  <c r="N666" i="2"/>
  <c r="O666" i="2" s="1"/>
  <c r="R666" i="2" s="1"/>
  <c r="N667" i="2"/>
  <c r="O667" i="2" s="1"/>
  <c r="R667" i="2" s="1"/>
  <c r="N668" i="2"/>
  <c r="O668" i="2" s="1"/>
  <c r="R668" i="2" s="1"/>
  <c r="N669" i="2"/>
  <c r="O669" i="2" s="1"/>
  <c r="R669" i="2" s="1"/>
  <c r="N670" i="2"/>
  <c r="O670" i="2" s="1"/>
  <c r="R670" i="2" s="1"/>
  <c r="N671" i="2"/>
  <c r="O671" i="2" s="1"/>
  <c r="R671" i="2" s="1"/>
  <c r="N672" i="2"/>
  <c r="O672" i="2" s="1"/>
  <c r="R672" i="2" s="1"/>
  <c r="N673" i="2"/>
  <c r="O673" i="2" s="1"/>
  <c r="R673" i="2" s="1"/>
  <c r="N674" i="2"/>
  <c r="O674" i="2" s="1"/>
  <c r="R674" i="2" s="1"/>
  <c r="N675" i="2"/>
  <c r="O675" i="2" s="1"/>
  <c r="R675" i="2" s="1"/>
  <c r="N676" i="2"/>
  <c r="O676" i="2" s="1"/>
  <c r="R676" i="2" s="1"/>
  <c r="N677" i="2"/>
  <c r="O677" i="2" s="1"/>
  <c r="R677" i="2" s="1"/>
  <c r="N809" i="2"/>
  <c r="O809" i="2" s="1"/>
  <c r="R809" i="2" s="1"/>
  <c r="N810" i="2"/>
  <c r="O810" i="2" s="1"/>
  <c r="R810" i="2" s="1"/>
  <c r="N811" i="2"/>
  <c r="O811" i="2" s="1"/>
  <c r="R811" i="2" s="1"/>
  <c r="N812" i="2"/>
  <c r="O812" i="2" s="1"/>
  <c r="R812" i="2" s="1"/>
  <c r="N813" i="2"/>
  <c r="O813" i="2" s="1"/>
  <c r="R813" i="2" s="1"/>
  <c r="N814" i="2"/>
  <c r="O814" i="2" s="1"/>
  <c r="R814" i="2" s="1"/>
  <c r="N815" i="2"/>
  <c r="O815" i="2" s="1"/>
  <c r="R815" i="2" s="1"/>
  <c r="N816" i="2"/>
  <c r="O816" i="2" s="1"/>
  <c r="R816" i="2" s="1"/>
  <c r="N817" i="2"/>
  <c r="O817" i="2" s="1"/>
  <c r="R817" i="2" s="1"/>
  <c r="N792" i="2"/>
  <c r="O792" i="2" s="1"/>
  <c r="R792" i="2" s="1"/>
  <c r="N793" i="2"/>
  <c r="O793" i="2" s="1"/>
  <c r="R793" i="2" s="1"/>
  <c r="N794" i="2"/>
  <c r="O794" i="2" s="1"/>
  <c r="R794" i="2" s="1"/>
  <c r="N818" i="2"/>
  <c r="O818" i="2" s="1"/>
  <c r="R818" i="2" s="1"/>
  <c r="N819" i="2"/>
  <c r="O819" i="2" s="1"/>
  <c r="R819" i="2" s="1"/>
  <c r="N820" i="2"/>
  <c r="O820" i="2" s="1"/>
  <c r="R820" i="2" s="1"/>
  <c r="N821" i="2"/>
  <c r="O821" i="2" s="1"/>
  <c r="R821" i="2" s="1"/>
  <c r="N822" i="2"/>
  <c r="O822" i="2" s="1"/>
  <c r="R822" i="2" s="1"/>
  <c r="N823" i="2"/>
  <c r="O823" i="2" s="1"/>
  <c r="R823" i="2" s="1"/>
  <c r="N824" i="2"/>
  <c r="O824" i="2" s="1"/>
  <c r="R824" i="2" s="1"/>
  <c r="N825" i="2"/>
  <c r="O825" i="2" s="1"/>
  <c r="R825" i="2" s="1"/>
  <c r="N826" i="2"/>
  <c r="O826" i="2" s="1"/>
  <c r="R826" i="2" s="1"/>
  <c r="N795" i="2"/>
  <c r="O795" i="2" s="1"/>
  <c r="R795" i="2" s="1"/>
  <c r="N796" i="2"/>
  <c r="O796" i="2" s="1"/>
  <c r="R796" i="2" s="1"/>
  <c r="N797" i="2"/>
  <c r="O797" i="2" s="1"/>
  <c r="R797" i="2" s="1"/>
  <c r="N827" i="2"/>
  <c r="O827" i="2" s="1"/>
  <c r="R827" i="2" s="1"/>
  <c r="N828" i="2"/>
  <c r="O828" i="2" s="1"/>
  <c r="R828" i="2" s="1"/>
  <c r="N829" i="2"/>
  <c r="O829" i="2" s="1"/>
  <c r="R829" i="2" s="1"/>
  <c r="N830" i="2"/>
  <c r="O830" i="2" s="1"/>
  <c r="R830" i="2" s="1"/>
  <c r="N831" i="2"/>
  <c r="O831" i="2" s="1"/>
  <c r="R831" i="2" s="1"/>
  <c r="N832" i="2"/>
  <c r="O832" i="2" s="1"/>
  <c r="R832" i="2" s="1"/>
  <c r="N833" i="2"/>
  <c r="O833" i="2" s="1"/>
  <c r="R833" i="2" s="1"/>
  <c r="N834" i="2"/>
  <c r="O834" i="2" s="1"/>
  <c r="R834" i="2" s="1"/>
  <c r="N835" i="2"/>
  <c r="O835" i="2" s="1"/>
  <c r="R835" i="2" s="1"/>
  <c r="N798" i="2"/>
  <c r="O798" i="2" s="1"/>
  <c r="R798" i="2" s="1"/>
  <c r="N799" i="2"/>
  <c r="O799" i="2" s="1"/>
  <c r="R799" i="2" s="1"/>
  <c r="N800" i="2"/>
  <c r="O800" i="2" s="1"/>
  <c r="R800" i="2" s="1"/>
  <c r="N836" i="2"/>
  <c r="O836" i="2" s="1"/>
  <c r="R836" i="2" s="1"/>
  <c r="N837" i="2"/>
  <c r="O837" i="2" s="1"/>
  <c r="R837" i="2" s="1"/>
  <c r="N838" i="2"/>
  <c r="O838" i="2" s="1"/>
  <c r="R838" i="2" s="1"/>
  <c r="N839" i="2"/>
  <c r="O839" i="2" s="1"/>
  <c r="R839" i="2" s="1"/>
  <c r="N840" i="2"/>
  <c r="O840" i="2" s="1"/>
  <c r="R840" i="2" s="1"/>
  <c r="N841" i="2"/>
  <c r="O841" i="2" s="1"/>
  <c r="R841" i="2" s="1"/>
  <c r="N842" i="2"/>
  <c r="O842" i="2" s="1"/>
  <c r="R842" i="2" s="1"/>
  <c r="N843" i="2"/>
  <c r="O843" i="2" s="1"/>
  <c r="R843" i="2" s="1"/>
  <c r="N844" i="2"/>
  <c r="O844" i="2" s="1"/>
  <c r="R844" i="2" s="1"/>
  <c r="N845" i="2"/>
  <c r="O845" i="2" s="1"/>
  <c r="R845" i="2" s="1"/>
  <c r="N846" i="2"/>
  <c r="O846" i="2" s="1"/>
  <c r="R846" i="2" s="1"/>
  <c r="N847" i="2"/>
  <c r="O847" i="2" s="1"/>
  <c r="R847" i="2" s="1"/>
  <c r="N848" i="2"/>
  <c r="O848" i="2" s="1"/>
  <c r="R848" i="2" s="1"/>
  <c r="N849" i="2"/>
  <c r="O849" i="2" s="1"/>
  <c r="R849" i="2" s="1"/>
  <c r="N850" i="2"/>
  <c r="O850" i="2" s="1"/>
  <c r="R850" i="2" s="1"/>
  <c r="N851" i="2"/>
  <c r="O851" i="2" s="1"/>
  <c r="R851" i="2" s="1"/>
  <c r="N852" i="2"/>
  <c r="O852" i="2" s="1"/>
  <c r="R852" i="2" s="1"/>
  <c r="N853" i="2"/>
  <c r="O853" i="2" s="1"/>
  <c r="R853" i="2" s="1"/>
  <c r="N854" i="2"/>
  <c r="O854" i="2" s="1"/>
  <c r="R854" i="2" s="1"/>
  <c r="N855" i="2"/>
  <c r="O855" i="2" s="1"/>
  <c r="R855" i="2" s="1"/>
  <c r="N856" i="2"/>
  <c r="O856" i="2" s="1"/>
  <c r="R856" i="2" s="1"/>
  <c r="N857" i="2"/>
  <c r="O857" i="2" s="1"/>
  <c r="R857" i="2" s="1"/>
  <c r="N858" i="2"/>
  <c r="O858" i="2" s="1"/>
  <c r="R858" i="2" s="1"/>
  <c r="N859" i="2"/>
  <c r="O859" i="2" s="1"/>
  <c r="R859" i="2" s="1"/>
  <c r="N860" i="2"/>
  <c r="O860" i="2" s="1"/>
  <c r="R860" i="2" s="1"/>
  <c r="N861" i="2"/>
  <c r="O861" i="2" s="1"/>
  <c r="R861" i="2" s="1"/>
  <c r="N862" i="2"/>
  <c r="O862" i="2" s="1"/>
  <c r="R862" i="2" s="1"/>
  <c r="N863" i="2"/>
  <c r="O863" i="2" s="1"/>
  <c r="R863" i="2" s="1"/>
  <c r="N864" i="2"/>
  <c r="O864" i="2" s="1"/>
  <c r="R864" i="2" s="1"/>
  <c r="N865" i="2"/>
  <c r="O865" i="2" s="1"/>
  <c r="R865" i="2" s="1"/>
  <c r="N866" i="2"/>
  <c r="O866" i="2" s="1"/>
  <c r="R866" i="2" s="1"/>
  <c r="N867" i="2"/>
  <c r="O867" i="2" s="1"/>
  <c r="R867" i="2" s="1"/>
  <c r="N868" i="2"/>
  <c r="O868" i="2" s="1"/>
  <c r="R868" i="2" s="1"/>
  <c r="N869" i="2"/>
  <c r="O869" i="2" s="1"/>
  <c r="R869" i="2" s="1"/>
  <c r="N870" i="2"/>
  <c r="O870" i="2" s="1"/>
  <c r="R870" i="2" s="1"/>
  <c r="N871" i="2"/>
  <c r="O871" i="2" s="1"/>
  <c r="R871" i="2" s="1"/>
  <c r="N872" i="2"/>
  <c r="O872" i="2" s="1"/>
  <c r="R872" i="2" s="1"/>
  <c r="N873" i="2"/>
  <c r="O873" i="2" s="1"/>
  <c r="R873" i="2" s="1"/>
  <c r="N874" i="2"/>
  <c r="O874" i="2" s="1"/>
  <c r="R874" i="2" s="1"/>
  <c r="N875" i="2"/>
  <c r="O875" i="2" s="1"/>
  <c r="R875" i="2" s="1"/>
  <c r="N876" i="2"/>
  <c r="O876" i="2" s="1"/>
  <c r="R876" i="2" s="1"/>
  <c r="N877" i="2"/>
  <c r="O877" i="2" s="1"/>
  <c r="R877" i="2" s="1"/>
  <c r="N878" i="2"/>
  <c r="O878" i="2" s="1"/>
  <c r="R878" i="2" s="1"/>
  <c r="N879" i="2"/>
  <c r="O879" i="2" s="1"/>
  <c r="R879" i="2" s="1"/>
  <c r="N880" i="2"/>
  <c r="O880" i="2" s="1"/>
  <c r="R880" i="2" s="1"/>
  <c r="N881" i="2"/>
  <c r="O881" i="2" s="1"/>
  <c r="R881" i="2" s="1"/>
  <c r="N882" i="2"/>
  <c r="O882" i="2" s="1"/>
  <c r="R882" i="2" s="1"/>
  <c r="N883" i="2"/>
  <c r="O883" i="2" s="1"/>
  <c r="R883" i="2" s="1"/>
  <c r="N884" i="2"/>
  <c r="O884" i="2" s="1"/>
  <c r="R884" i="2" s="1"/>
  <c r="N885" i="2"/>
  <c r="O885" i="2" s="1"/>
  <c r="R885" i="2" s="1"/>
  <c r="N886" i="2"/>
  <c r="O886" i="2" s="1"/>
  <c r="R886" i="2" s="1"/>
  <c r="N887" i="2"/>
  <c r="O887" i="2" s="1"/>
  <c r="R887" i="2" s="1"/>
  <c r="N888" i="2"/>
  <c r="O888" i="2" s="1"/>
  <c r="R888" i="2" s="1"/>
  <c r="N889" i="2"/>
  <c r="O889" i="2" s="1"/>
  <c r="R889" i="2" s="1"/>
  <c r="N890" i="2"/>
  <c r="O890" i="2" s="1"/>
  <c r="R890" i="2" s="1"/>
  <c r="N891" i="2"/>
  <c r="O891" i="2" s="1"/>
  <c r="R891" i="2" s="1"/>
  <c r="N892" i="2"/>
  <c r="O892" i="2" s="1"/>
  <c r="R892" i="2" s="1"/>
  <c r="N893" i="2"/>
  <c r="O893" i="2" s="1"/>
  <c r="R893" i="2" s="1"/>
  <c r="N894" i="2"/>
  <c r="O894" i="2" s="1"/>
  <c r="R894" i="2" s="1"/>
  <c r="N895" i="2"/>
  <c r="O895" i="2" s="1"/>
  <c r="R895" i="2" s="1"/>
  <c r="N896" i="2"/>
  <c r="O896" i="2" s="1"/>
  <c r="R896" i="2" s="1"/>
  <c r="N897" i="2"/>
  <c r="O897" i="2" s="1"/>
  <c r="R897" i="2" s="1"/>
  <c r="N898" i="2"/>
  <c r="O898" i="2" s="1"/>
  <c r="R898" i="2" s="1"/>
  <c r="N899" i="2"/>
  <c r="O899" i="2" s="1"/>
  <c r="R899" i="2" s="1"/>
  <c r="N900" i="2"/>
  <c r="O900" i="2" s="1"/>
  <c r="R900" i="2" s="1"/>
  <c r="N901" i="2"/>
  <c r="O901" i="2" s="1"/>
  <c r="R901" i="2" s="1"/>
  <c r="N902" i="2"/>
  <c r="O902" i="2" s="1"/>
  <c r="R902" i="2" s="1"/>
  <c r="N903" i="2"/>
  <c r="O903" i="2" s="1"/>
  <c r="R903" i="2" s="1"/>
  <c r="N904" i="2"/>
  <c r="O904" i="2" s="1"/>
  <c r="R904" i="2" s="1"/>
  <c r="N905" i="2"/>
  <c r="O905" i="2" s="1"/>
  <c r="R905" i="2" s="1"/>
  <c r="N906" i="2"/>
  <c r="O906" i="2" s="1"/>
  <c r="R906" i="2" s="1"/>
  <c r="N907" i="2"/>
  <c r="O907" i="2" s="1"/>
  <c r="R907" i="2" s="1"/>
  <c r="N908" i="2"/>
  <c r="O908" i="2" s="1"/>
  <c r="R908" i="2" s="1"/>
  <c r="N909" i="2"/>
  <c r="O909" i="2" s="1"/>
  <c r="R909" i="2" s="1"/>
  <c r="N910" i="2"/>
  <c r="O910" i="2" s="1"/>
  <c r="R910" i="2" s="1"/>
  <c r="N911" i="2"/>
  <c r="O911" i="2" s="1"/>
  <c r="R911" i="2" s="1"/>
  <c r="N801" i="2"/>
  <c r="O801" i="2" s="1"/>
  <c r="R801" i="2" s="1"/>
  <c r="N802" i="2"/>
  <c r="O802" i="2" s="1"/>
  <c r="R802" i="2" s="1"/>
  <c r="N803" i="2"/>
  <c r="O803" i="2" s="1"/>
  <c r="R803" i="2" s="1"/>
  <c r="N912" i="2"/>
  <c r="O912" i="2" s="1"/>
  <c r="R912" i="2" s="1"/>
  <c r="N913" i="2"/>
  <c r="O913" i="2" s="1"/>
  <c r="R913" i="2" s="1"/>
  <c r="N914" i="2"/>
  <c r="O914" i="2" s="1"/>
  <c r="R914" i="2" s="1"/>
  <c r="N915" i="2"/>
  <c r="O915" i="2" s="1"/>
  <c r="R915" i="2" s="1"/>
  <c r="N916" i="2"/>
  <c r="O916" i="2" s="1"/>
  <c r="R916" i="2" s="1"/>
  <c r="N917" i="2"/>
  <c r="O917" i="2" s="1"/>
  <c r="R917" i="2" s="1"/>
  <c r="N918" i="2"/>
  <c r="O918" i="2" s="1"/>
  <c r="R918" i="2" s="1"/>
  <c r="N919" i="2"/>
  <c r="O919" i="2" s="1"/>
  <c r="R919" i="2" s="1"/>
  <c r="N920" i="2"/>
  <c r="O920" i="2" s="1"/>
  <c r="R920" i="2" s="1"/>
  <c r="N921" i="2"/>
  <c r="O921" i="2" s="1"/>
  <c r="R921" i="2" s="1"/>
  <c r="N922" i="2"/>
  <c r="O922" i="2" s="1"/>
  <c r="R922" i="2" s="1"/>
  <c r="N923" i="2"/>
  <c r="O923" i="2" s="1"/>
  <c r="R923" i="2" s="1"/>
  <c r="N924" i="2"/>
  <c r="O924" i="2" s="1"/>
  <c r="R924" i="2" s="1"/>
  <c r="N925" i="2"/>
  <c r="O925" i="2" s="1"/>
  <c r="R925" i="2" s="1"/>
  <c r="N926" i="2"/>
  <c r="O926" i="2" s="1"/>
  <c r="R926" i="2" s="1"/>
  <c r="N927" i="2"/>
  <c r="O927" i="2" s="1"/>
  <c r="R927" i="2" s="1"/>
  <c r="N804" i="2"/>
  <c r="O804" i="2" s="1"/>
  <c r="R804" i="2" s="1"/>
  <c r="N805" i="2"/>
  <c r="O805" i="2" s="1"/>
  <c r="R805" i="2" s="1"/>
  <c r="N928" i="2"/>
  <c r="O928" i="2" s="1"/>
  <c r="R928" i="2" s="1"/>
  <c r="N929" i="2"/>
  <c r="O929" i="2" s="1"/>
  <c r="R929" i="2" s="1"/>
  <c r="N930" i="2"/>
  <c r="O930" i="2" s="1"/>
  <c r="R930" i="2" s="1"/>
  <c r="N931" i="2"/>
  <c r="O931" i="2" s="1"/>
  <c r="R931" i="2" s="1"/>
  <c r="N932" i="2"/>
  <c r="O932" i="2" s="1"/>
  <c r="R932" i="2" s="1"/>
  <c r="N933" i="2"/>
  <c r="O933" i="2" s="1"/>
  <c r="R933" i="2" s="1"/>
  <c r="N934" i="2"/>
  <c r="O934" i="2" s="1"/>
  <c r="R934" i="2" s="1"/>
  <c r="N935" i="2"/>
  <c r="O935" i="2" s="1"/>
  <c r="R935" i="2" s="1"/>
  <c r="N936" i="2"/>
  <c r="O936" i="2" s="1"/>
  <c r="R936" i="2" s="1"/>
  <c r="N806" i="2"/>
  <c r="O806" i="2" s="1"/>
  <c r="R806" i="2" s="1"/>
  <c r="N807" i="2"/>
  <c r="O807" i="2" s="1"/>
  <c r="R807" i="2" s="1"/>
  <c r="N808" i="2"/>
  <c r="O808" i="2" s="1"/>
  <c r="R808" i="2" s="1"/>
  <c r="N937" i="2"/>
  <c r="O937" i="2" s="1"/>
  <c r="R937" i="2" s="1"/>
  <c r="N938" i="2"/>
  <c r="O938" i="2" s="1"/>
  <c r="R938" i="2" s="1"/>
  <c r="N939" i="2"/>
  <c r="O939" i="2" s="1"/>
  <c r="R939" i="2" s="1"/>
  <c r="N940" i="2"/>
  <c r="O940" i="2" s="1"/>
  <c r="R940" i="2" s="1"/>
  <c r="N941" i="2"/>
  <c r="O941" i="2" s="1"/>
  <c r="R941" i="2" s="1"/>
  <c r="N942" i="2"/>
  <c r="O942" i="2" s="1"/>
  <c r="R942" i="2" s="1"/>
  <c r="N943" i="2"/>
  <c r="O943" i="2" s="1"/>
  <c r="R943" i="2" s="1"/>
  <c r="N944" i="2"/>
  <c r="O944" i="2" s="1"/>
  <c r="R944" i="2" s="1"/>
  <c r="N945" i="2"/>
  <c r="O945" i="2" s="1"/>
  <c r="R945" i="2" s="1"/>
  <c r="N946" i="2"/>
  <c r="O946" i="2" s="1"/>
  <c r="R946" i="2" s="1"/>
  <c r="N947" i="2"/>
  <c r="O947" i="2" s="1"/>
  <c r="R947" i="2" s="1"/>
  <c r="N948" i="2"/>
  <c r="O948" i="2" s="1"/>
  <c r="R948" i="2" s="1"/>
  <c r="N949" i="2"/>
  <c r="O949" i="2" s="1"/>
  <c r="R949" i="2" s="1"/>
  <c r="N950" i="2"/>
  <c r="O950" i="2" s="1"/>
  <c r="R950" i="2" s="1"/>
  <c r="N951" i="2"/>
  <c r="O951" i="2" s="1"/>
  <c r="R951" i="2" s="1"/>
  <c r="N952" i="2"/>
  <c r="O952" i="2" s="1"/>
  <c r="R952" i="2" s="1"/>
  <c r="N953" i="2"/>
  <c r="O953" i="2" s="1"/>
  <c r="R953" i="2" s="1"/>
  <c r="N954" i="2"/>
  <c r="O954" i="2" s="1"/>
  <c r="R954" i="2" s="1"/>
  <c r="N955" i="2"/>
  <c r="O955" i="2" s="1"/>
  <c r="R955" i="2" s="1"/>
  <c r="N956" i="2"/>
  <c r="O956" i="2" s="1"/>
  <c r="R956" i="2" s="1"/>
  <c r="N957" i="2"/>
  <c r="O957" i="2" s="1"/>
  <c r="R957" i="2" s="1"/>
  <c r="N958" i="2"/>
  <c r="O958" i="2" s="1"/>
  <c r="R958" i="2" s="1"/>
  <c r="N959" i="2"/>
  <c r="O959" i="2" s="1"/>
  <c r="R959" i="2" s="1"/>
  <c r="N960" i="2"/>
  <c r="O960" i="2" s="1"/>
  <c r="R960" i="2" s="1"/>
  <c r="N1043" i="2"/>
  <c r="O1043" i="2" s="1"/>
  <c r="R1043" i="2" s="1"/>
  <c r="N1044" i="2"/>
  <c r="O1044" i="2" s="1"/>
  <c r="R1044" i="2" s="1"/>
  <c r="N1045" i="2"/>
  <c r="O1045" i="2" s="1"/>
  <c r="R1045" i="2" s="1"/>
  <c r="N1046" i="2"/>
  <c r="O1046" i="2" s="1"/>
  <c r="R1046" i="2" s="1"/>
  <c r="N1047" i="2"/>
  <c r="O1047" i="2" s="1"/>
  <c r="R1047" i="2" s="1"/>
  <c r="N1048" i="2"/>
  <c r="O1048" i="2" s="1"/>
  <c r="R1048" i="2" s="1"/>
  <c r="N1049" i="2"/>
  <c r="O1049" i="2" s="1"/>
  <c r="R1049" i="2" s="1"/>
  <c r="N1050" i="2"/>
  <c r="O1050" i="2" s="1"/>
  <c r="R1050" i="2" s="1"/>
  <c r="N1027" i="2"/>
  <c r="O1027" i="2" s="1"/>
  <c r="R1027" i="2" s="1"/>
  <c r="N1028" i="2"/>
  <c r="O1028" i="2" s="1"/>
  <c r="R1028" i="2" s="1"/>
  <c r="N1029" i="2"/>
  <c r="O1029" i="2" s="1"/>
  <c r="R1029" i="2" s="1"/>
  <c r="N1030" i="2"/>
  <c r="O1030" i="2" s="1"/>
  <c r="R1030" i="2" s="1"/>
  <c r="N1051" i="2"/>
  <c r="O1051" i="2" s="1"/>
  <c r="R1051" i="2" s="1"/>
  <c r="N1052" i="2"/>
  <c r="O1052" i="2" s="1"/>
  <c r="R1052" i="2" s="1"/>
  <c r="N1053" i="2"/>
  <c r="O1053" i="2" s="1"/>
  <c r="R1053" i="2" s="1"/>
  <c r="N1054" i="2"/>
  <c r="O1054" i="2" s="1"/>
  <c r="R1054" i="2" s="1"/>
  <c r="N1055" i="2"/>
  <c r="O1055" i="2" s="1"/>
  <c r="R1055" i="2" s="1"/>
  <c r="N1056" i="2"/>
  <c r="O1056" i="2" s="1"/>
  <c r="R1056" i="2" s="1"/>
  <c r="N1057" i="2"/>
  <c r="O1057" i="2" s="1"/>
  <c r="R1057" i="2" s="1"/>
  <c r="N1058" i="2"/>
  <c r="O1058" i="2" s="1"/>
  <c r="R1058" i="2" s="1"/>
  <c r="N1031" i="2"/>
  <c r="O1031" i="2" s="1"/>
  <c r="R1031" i="2" s="1"/>
  <c r="N1032" i="2"/>
  <c r="O1032" i="2" s="1"/>
  <c r="R1032" i="2" s="1"/>
  <c r="N1033" i="2"/>
  <c r="O1033" i="2" s="1"/>
  <c r="R1033" i="2" s="1"/>
  <c r="N1034" i="2"/>
  <c r="O1034" i="2" s="1"/>
  <c r="R1034" i="2" s="1"/>
  <c r="N1059" i="2"/>
  <c r="O1059" i="2" s="1"/>
  <c r="R1059" i="2" s="1"/>
  <c r="N1060" i="2"/>
  <c r="O1060" i="2" s="1"/>
  <c r="R1060" i="2" s="1"/>
  <c r="N1061" i="2"/>
  <c r="O1061" i="2" s="1"/>
  <c r="R1061" i="2" s="1"/>
  <c r="N1062" i="2"/>
  <c r="O1062" i="2" s="1"/>
  <c r="R1062" i="2" s="1"/>
  <c r="N1063" i="2"/>
  <c r="O1063" i="2" s="1"/>
  <c r="R1063" i="2" s="1"/>
  <c r="N1064" i="2"/>
  <c r="O1064" i="2" s="1"/>
  <c r="R1064" i="2" s="1"/>
  <c r="N1065" i="2"/>
  <c r="O1065" i="2" s="1"/>
  <c r="R1065" i="2" s="1"/>
  <c r="N1066" i="2"/>
  <c r="O1066" i="2" s="1"/>
  <c r="R1066" i="2" s="1"/>
  <c r="N1035" i="2"/>
  <c r="O1035" i="2" s="1"/>
  <c r="R1035" i="2" s="1"/>
  <c r="N1036" i="2"/>
  <c r="O1036" i="2" s="1"/>
  <c r="R1036" i="2" s="1"/>
  <c r="N1037" i="2"/>
  <c r="O1037" i="2" s="1"/>
  <c r="R1037" i="2" s="1"/>
  <c r="N1038" i="2"/>
  <c r="O1038" i="2" s="1"/>
  <c r="R1038" i="2" s="1"/>
  <c r="N1067" i="2"/>
  <c r="O1067" i="2" s="1"/>
  <c r="R1067" i="2" s="1"/>
  <c r="N1068" i="2"/>
  <c r="O1068" i="2" s="1"/>
  <c r="R1068" i="2" s="1"/>
  <c r="N1069" i="2"/>
  <c r="O1069" i="2" s="1"/>
  <c r="R1069" i="2" s="1"/>
  <c r="N1070" i="2"/>
  <c r="O1070" i="2" s="1"/>
  <c r="R1070" i="2" s="1"/>
  <c r="N1071" i="2"/>
  <c r="O1071" i="2" s="1"/>
  <c r="R1071" i="2" s="1"/>
  <c r="N1072" i="2"/>
  <c r="O1072" i="2" s="1"/>
  <c r="R1072" i="2" s="1"/>
  <c r="N1073" i="2"/>
  <c r="O1073" i="2" s="1"/>
  <c r="R1073" i="2" s="1"/>
  <c r="N1074" i="2"/>
  <c r="O1074" i="2" s="1"/>
  <c r="R1074" i="2" s="1"/>
  <c r="N1075" i="2"/>
  <c r="O1075" i="2" s="1"/>
  <c r="R1075" i="2" s="1"/>
  <c r="N1076" i="2"/>
  <c r="O1076" i="2" s="1"/>
  <c r="R1076" i="2" s="1"/>
  <c r="N1077" i="2"/>
  <c r="O1077" i="2" s="1"/>
  <c r="R1077" i="2" s="1"/>
  <c r="N1078" i="2"/>
  <c r="O1078" i="2" s="1"/>
  <c r="R1078" i="2" s="1"/>
  <c r="N1079" i="2"/>
  <c r="O1079" i="2" s="1"/>
  <c r="R1079" i="2" s="1"/>
  <c r="N1080" i="2"/>
  <c r="O1080" i="2" s="1"/>
  <c r="R1080" i="2" s="1"/>
  <c r="N1081" i="2"/>
  <c r="O1081" i="2" s="1"/>
  <c r="R1081" i="2" s="1"/>
  <c r="N1082" i="2"/>
  <c r="O1082" i="2" s="1"/>
  <c r="R1082" i="2" s="1"/>
  <c r="N1083" i="2"/>
  <c r="O1083" i="2" s="1"/>
  <c r="R1083" i="2" s="1"/>
  <c r="N1084" i="2"/>
  <c r="O1084" i="2" s="1"/>
  <c r="R1084" i="2" s="1"/>
  <c r="N1085" i="2"/>
  <c r="O1085" i="2" s="1"/>
  <c r="R1085" i="2" s="1"/>
  <c r="N1086" i="2"/>
  <c r="O1086" i="2" s="1"/>
  <c r="R1086" i="2" s="1"/>
  <c r="N1087" i="2"/>
  <c r="O1087" i="2" s="1"/>
  <c r="R1087" i="2" s="1"/>
  <c r="N1088" i="2"/>
  <c r="O1088" i="2" s="1"/>
  <c r="R1088" i="2" s="1"/>
  <c r="N1089" i="2"/>
  <c r="O1089" i="2" s="1"/>
  <c r="R1089" i="2" s="1"/>
  <c r="N1090" i="2"/>
  <c r="O1090" i="2" s="1"/>
  <c r="R1090" i="2" s="1"/>
  <c r="N1091" i="2"/>
  <c r="O1091" i="2" s="1"/>
  <c r="R1091" i="2" s="1"/>
  <c r="N1092" i="2"/>
  <c r="O1092" i="2" s="1"/>
  <c r="R1092" i="2" s="1"/>
  <c r="N1093" i="2"/>
  <c r="O1093" i="2" s="1"/>
  <c r="R1093" i="2" s="1"/>
  <c r="N1094" i="2"/>
  <c r="O1094" i="2" s="1"/>
  <c r="R1094" i="2" s="1"/>
  <c r="N1095" i="2"/>
  <c r="O1095" i="2" s="1"/>
  <c r="R1095" i="2" s="1"/>
  <c r="N1096" i="2"/>
  <c r="O1096" i="2" s="1"/>
  <c r="R1096" i="2" s="1"/>
  <c r="N1097" i="2"/>
  <c r="O1097" i="2" s="1"/>
  <c r="R1097" i="2" s="1"/>
  <c r="N1098" i="2"/>
  <c r="O1098" i="2" s="1"/>
  <c r="R1098" i="2" s="1"/>
  <c r="N1099" i="2"/>
  <c r="O1099" i="2" s="1"/>
  <c r="R1099" i="2" s="1"/>
  <c r="N1100" i="2"/>
  <c r="O1100" i="2" s="1"/>
  <c r="R1100" i="2" s="1"/>
  <c r="N1101" i="2"/>
  <c r="O1101" i="2" s="1"/>
  <c r="R1101" i="2" s="1"/>
  <c r="N1102" i="2"/>
  <c r="O1102" i="2" s="1"/>
  <c r="R1102" i="2" s="1"/>
  <c r="N1103" i="2"/>
  <c r="O1103" i="2" s="1"/>
  <c r="R1103" i="2" s="1"/>
  <c r="N1104" i="2"/>
  <c r="O1104" i="2" s="1"/>
  <c r="R1104" i="2" s="1"/>
  <c r="N1105" i="2"/>
  <c r="O1105" i="2" s="1"/>
  <c r="R1105" i="2" s="1"/>
  <c r="N1106" i="2"/>
  <c r="O1106" i="2" s="1"/>
  <c r="R1106" i="2" s="1"/>
  <c r="N1107" i="2"/>
  <c r="O1107" i="2" s="1"/>
  <c r="R1107" i="2" s="1"/>
  <c r="N1108" i="2"/>
  <c r="O1108" i="2" s="1"/>
  <c r="R1108" i="2" s="1"/>
  <c r="N1109" i="2"/>
  <c r="O1109" i="2" s="1"/>
  <c r="R1109" i="2" s="1"/>
  <c r="N1110" i="2"/>
  <c r="O1110" i="2" s="1"/>
  <c r="R1110" i="2" s="1"/>
  <c r="N1111" i="2"/>
  <c r="O1111" i="2" s="1"/>
  <c r="R1111" i="2" s="1"/>
  <c r="N1112" i="2"/>
  <c r="O1112" i="2" s="1"/>
  <c r="R1112" i="2" s="1"/>
  <c r="N1113" i="2"/>
  <c r="O1113" i="2" s="1"/>
  <c r="R1113" i="2" s="1"/>
  <c r="N1114" i="2"/>
  <c r="O1114" i="2" s="1"/>
  <c r="R1114" i="2" s="1"/>
  <c r="N1115" i="2"/>
  <c r="O1115" i="2" s="1"/>
  <c r="R1115" i="2" s="1"/>
  <c r="N1116" i="2"/>
  <c r="O1116" i="2" s="1"/>
  <c r="R1116" i="2" s="1"/>
  <c r="N1117" i="2"/>
  <c r="O1117" i="2" s="1"/>
  <c r="R1117" i="2" s="1"/>
  <c r="N1118" i="2"/>
  <c r="O1118" i="2" s="1"/>
  <c r="R1118" i="2" s="1"/>
  <c r="N1119" i="2"/>
  <c r="O1119" i="2" s="1"/>
  <c r="R1119" i="2" s="1"/>
  <c r="N1120" i="2"/>
  <c r="O1120" i="2" s="1"/>
  <c r="R1120" i="2" s="1"/>
  <c r="N1121" i="2"/>
  <c r="O1121" i="2" s="1"/>
  <c r="R1121" i="2" s="1"/>
  <c r="N1122" i="2"/>
  <c r="O1122" i="2" s="1"/>
  <c r="R1122" i="2" s="1"/>
  <c r="N1123" i="2"/>
  <c r="O1123" i="2" s="1"/>
  <c r="R1123" i="2" s="1"/>
  <c r="N1124" i="2"/>
  <c r="O1124" i="2" s="1"/>
  <c r="R1124" i="2" s="1"/>
  <c r="N1125" i="2"/>
  <c r="O1125" i="2" s="1"/>
  <c r="R1125" i="2" s="1"/>
  <c r="N1126" i="2"/>
  <c r="O1126" i="2" s="1"/>
  <c r="R1126" i="2" s="1"/>
  <c r="N1127" i="2"/>
  <c r="O1127" i="2" s="1"/>
  <c r="R1127" i="2" s="1"/>
  <c r="N1128" i="2"/>
  <c r="O1128" i="2" s="1"/>
  <c r="R1128" i="2" s="1"/>
  <c r="N1129" i="2"/>
  <c r="O1129" i="2" s="1"/>
  <c r="R1129" i="2" s="1"/>
  <c r="N1130" i="2"/>
  <c r="O1130" i="2" s="1"/>
  <c r="R1130" i="2" s="1"/>
  <c r="N1131" i="2"/>
  <c r="O1131" i="2" s="1"/>
  <c r="R1131" i="2" s="1"/>
  <c r="N1132" i="2"/>
  <c r="O1132" i="2" s="1"/>
  <c r="R1132" i="2" s="1"/>
  <c r="N1133" i="2"/>
  <c r="O1133" i="2" s="1"/>
  <c r="R1133" i="2" s="1"/>
  <c r="N1134" i="2"/>
  <c r="O1134" i="2" s="1"/>
  <c r="R1134" i="2" s="1"/>
  <c r="N1135" i="2"/>
  <c r="O1135" i="2" s="1"/>
  <c r="R1135" i="2" s="1"/>
  <c r="N1136" i="2"/>
  <c r="O1136" i="2" s="1"/>
  <c r="R1136" i="2" s="1"/>
  <c r="N1137" i="2"/>
  <c r="O1137" i="2" s="1"/>
  <c r="R1137" i="2" s="1"/>
  <c r="N1138" i="2"/>
  <c r="O1138" i="2" s="1"/>
  <c r="R1138" i="2" s="1"/>
  <c r="N1139" i="2"/>
  <c r="O1139" i="2" s="1"/>
  <c r="R1139" i="2" s="1"/>
  <c r="N1140" i="2"/>
  <c r="O1140" i="2" s="1"/>
  <c r="R1140" i="2" s="1"/>
  <c r="N1141" i="2"/>
  <c r="O1141" i="2" s="1"/>
  <c r="R1141" i="2" s="1"/>
  <c r="N1142" i="2"/>
  <c r="O1142" i="2" s="1"/>
  <c r="R1142" i="2" s="1"/>
  <c r="N1143" i="2"/>
  <c r="O1143" i="2" s="1"/>
  <c r="R1143" i="2" s="1"/>
  <c r="N1144" i="2"/>
  <c r="O1144" i="2" s="1"/>
  <c r="R1144" i="2" s="1"/>
  <c r="N1145" i="2"/>
  <c r="O1145" i="2" s="1"/>
  <c r="R1145" i="2" s="1"/>
  <c r="N1146" i="2"/>
  <c r="O1146" i="2" s="1"/>
  <c r="R1146" i="2" s="1"/>
  <c r="N1147" i="2"/>
  <c r="O1147" i="2" s="1"/>
  <c r="R1147" i="2" s="1"/>
  <c r="N1148" i="2"/>
  <c r="O1148" i="2" s="1"/>
  <c r="R1148" i="2" s="1"/>
  <c r="N1149" i="2"/>
  <c r="O1149" i="2" s="1"/>
  <c r="R1149" i="2" s="1"/>
  <c r="N1150" i="2"/>
  <c r="O1150" i="2" s="1"/>
  <c r="R1150" i="2" s="1"/>
  <c r="N1151" i="2"/>
  <c r="O1151" i="2" s="1"/>
  <c r="R1151" i="2" s="1"/>
  <c r="N1152" i="2"/>
  <c r="O1152" i="2" s="1"/>
  <c r="R1152" i="2" s="1"/>
  <c r="N1153" i="2"/>
  <c r="O1153" i="2" s="1"/>
  <c r="R1153" i="2" s="1"/>
  <c r="N1154" i="2"/>
  <c r="O1154" i="2" s="1"/>
  <c r="R1154" i="2" s="1"/>
  <c r="N1155" i="2"/>
  <c r="O1155" i="2" s="1"/>
  <c r="R1155" i="2" s="1"/>
  <c r="N1156" i="2"/>
  <c r="O1156" i="2" s="1"/>
  <c r="R1156" i="2" s="1"/>
  <c r="N1157" i="2"/>
  <c r="O1157" i="2" s="1"/>
  <c r="R1157" i="2" s="1"/>
  <c r="N1039" i="2"/>
  <c r="O1039" i="2" s="1"/>
  <c r="R1039" i="2" s="1"/>
  <c r="N1040" i="2"/>
  <c r="O1040" i="2" s="1"/>
  <c r="R1040" i="2" s="1"/>
  <c r="N1041" i="2"/>
  <c r="O1041" i="2" s="1"/>
  <c r="R1041" i="2" s="1"/>
  <c r="N1042" i="2"/>
  <c r="O1042" i="2" s="1"/>
  <c r="R1042" i="2" s="1"/>
  <c r="N1158" i="2"/>
  <c r="O1158" i="2" s="1"/>
  <c r="R1158" i="2" s="1"/>
  <c r="N1159" i="2"/>
  <c r="O1159" i="2" s="1"/>
  <c r="R1159" i="2" s="1"/>
  <c r="N1160" i="2"/>
  <c r="O1160" i="2" s="1"/>
  <c r="R1160" i="2" s="1"/>
  <c r="N1249" i="2"/>
  <c r="O1249" i="2" s="1"/>
  <c r="R1249" i="2" s="1"/>
  <c r="N1250" i="2"/>
  <c r="O1250" i="2" s="1"/>
  <c r="R1250" i="2" s="1"/>
  <c r="N1251" i="2"/>
  <c r="O1251" i="2" s="1"/>
  <c r="R1251" i="2" s="1"/>
  <c r="N1252" i="2"/>
  <c r="O1252" i="2" s="1"/>
  <c r="R1252" i="2" s="1"/>
  <c r="N1253" i="2"/>
  <c r="O1253" i="2" s="1"/>
  <c r="R1253" i="2" s="1"/>
  <c r="N1254" i="2"/>
  <c r="O1254" i="2" s="1"/>
  <c r="R1254" i="2" s="1"/>
  <c r="N1255" i="2"/>
  <c r="O1255" i="2" s="1"/>
  <c r="R1255" i="2" s="1"/>
  <c r="N1256" i="2"/>
  <c r="O1256" i="2" s="1"/>
  <c r="R1256" i="2" s="1"/>
  <c r="N1225" i="2"/>
  <c r="O1225" i="2" s="1"/>
  <c r="R1225" i="2" s="1"/>
  <c r="N1226" i="2"/>
  <c r="O1226" i="2" s="1"/>
  <c r="R1226" i="2" s="1"/>
  <c r="N1227" i="2"/>
  <c r="O1227" i="2" s="1"/>
  <c r="R1227" i="2" s="1"/>
  <c r="N1228" i="2"/>
  <c r="O1228" i="2" s="1"/>
  <c r="R1228" i="2" s="1"/>
  <c r="N1257" i="2"/>
  <c r="O1257" i="2" s="1"/>
  <c r="R1257" i="2" s="1"/>
  <c r="N1258" i="2"/>
  <c r="O1258" i="2" s="1"/>
  <c r="R1258" i="2" s="1"/>
  <c r="N1259" i="2"/>
  <c r="O1259" i="2" s="1"/>
  <c r="R1259" i="2" s="1"/>
  <c r="N1260" i="2"/>
  <c r="O1260" i="2" s="1"/>
  <c r="R1260" i="2" s="1"/>
  <c r="N1261" i="2"/>
  <c r="O1261" i="2" s="1"/>
  <c r="R1261" i="2" s="1"/>
  <c r="N1262" i="2"/>
  <c r="O1262" i="2" s="1"/>
  <c r="R1262" i="2" s="1"/>
  <c r="N1263" i="2"/>
  <c r="O1263" i="2" s="1"/>
  <c r="R1263" i="2" s="1"/>
  <c r="N1229" i="2"/>
  <c r="O1229" i="2" s="1"/>
  <c r="R1229" i="2" s="1"/>
  <c r="N1230" i="2"/>
  <c r="O1230" i="2" s="1"/>
  <c r="R1230" i="2" s="1"/>
  <c r="N1231" i="2"/>
  <c r="O1231" i="2" s="1"/>
  <c r="R1231" i="2" s="1"/>
  <c r="N1232" i="2"/>
  <c r="O1232" i="2" s="1"/>
  <c r="R1232" i="2" s="1"/>
  <c r="N1233" i="2"/>
  <c r="O1233" i="2" s="1"/>
  <c r="R1233" i="2" s="1"/>
  <c r="N1264" i="2"/>
  <c r="O1264" i="2" s="1"/>
  <c r="R1264" i="2" s="1"/>
  <c r="N1265" i="2"/>
  <c r="O1265" i="2" s="1"/>
  <c r="R1265" i="2" s="1"/>
  <c r="N1266" i="2"/>
  <c r="O1266" i="2" s="1"/>
  <c r="R1266" i="2" s="1"/>
  <c r="N1267" i="2"/>
  <c r="O1267" i="2" s="1"/>
  <c r="R1267" i="2" s="1"/>
  <c r="N1268" i="2"/>
  <c r="O1268" i="2" s="1"/>
  <c r="R1268" i="2" s="1"/>
  <c r="N1269" i="2"/>
  <c r="O1269" i="2" s="1"/>
  <c r="R1269" i="2" s="1"/>
  <c r="N1270" i="2"/>
  <c r="O1270" i="2" s="1"/>
  <c r="R1270" i="2" s="1"/>
  <c r="N1271" i="2"/>
  <c r="O1271" i="2" s="1"/>
  <c r="R1271" i="2" s="1"/>
  <c r="N1272" i="2"/>
  <c r="O1272" i="2" s="1"/>
  <c r="R1272" i="2" s="1"/>
  <c r="N1273" i="2"/>
  <c r="O1273" i="2" s="1"/>
  <c r="R1273" i="2" s="1"/>
  <c r="N1274" i="2"/>
  <c r="O1274" i="2" s="1"/>
  <c r="R1274" i="2" s="1"/>
  <c r="N1275" i="2"/>
  <c r="O1275" i="2" s="1"/>
  <c r="R1275" i="2" s="1"/>
  <c r="N1276" i="2"/>
  <c r="O1276" i="2" s="1"/>
  <c r="R1276" i="2" s="1"/>
  <c r="N1277" i="2"/>
  <c r="O1277" i="2" s="1"/>
  <c r="R1277" i="2" s="1"/>
  <c r="N1278" i="2"/>
  <c r="O1278" i="2" s="1"/>
  <c r="R1278" i="2" s="1"/>
  <c r="N1279" i="2"/>
  <c r="O1279" i="2" s="1"/>
  <c r="R1279" i="2" s="1"/>
  <c r="N1280" i="2"/>
  <c r="O1280" i="2" s="1"/>
  <c r="R1280" i="2" s="1"/>
  <c r="N1281" i="2"/>
  <c r="O1281" i="2" s="1"/>
  <c r="R1281" i="2" s="1"/>
  <c r="N1282" i="2"/>
  <c r="O1282" i="2" s="1"/>
  <c r="R1282" i="2" s="1"/>
  <c r="N1283" i="2"/>
  <c r="O1283" i="2" s="1"/>
  <c r="R1283" i="2" s="1"/>
  <c r="N1284" i="2"/>
  <c r="O1284" i="2" s="1"/>
  <c r="R1284" i="2" s="1"/>
  <c r="N1285" i="2"/>
  <c r="O1285" i="2" s="1"/>
  <c r="R1285" i="2" s="1"/>
  <c r="N1234" i="2"/>
  <c r="O1234" i="2" s="1"/>
  <c r="R1234" i="2" s="1"/>
  <c r="N1235" i="2"/>
  <c r="O1235" i="2" s="1"/>
  <c r="R1235" i="2" s="1"/>
  <c r="N1236" i="2"/>
  <c r="O1236" i="2" s="1"/>
  <c r="R1236" i="2" s="1"/>
  <c r="N1237" i="2"/>
  <c r="O1237" i="2" s="1"/>
  <c r="R1237" i="2" s="1"/>
  <c r="N1238" i="2"/>
  <c r="O1238" i="2" s="1"/>
  <c r="R1238" i="2" s="1"/>
  <c r="N1286" i="2"/>
  <c r="O1286" i="2" s="1"/>
  <c r="R1286" i="2" s="1"/>
  <c r="N1287" i="2"/>
  <c r="O1287" i="2" s="1"/>
  <c r="R1287" i="2" s="1"/>
  <c r="N1288" i="2"/>
  <c r="O1288" i="2" s="1"/>
  <c r="R1288" i="2" s="1"/>
  <c r="N1289" i="2"/>
  <c r="O1289" i="2" s="1"/>
  <c r="R1289" i="2" s="1"/>
  <c r="N1290" i="2"/>
  <c r="O1290" i="2" s="1"/>
  <c r="R1290" i="2" s="1"/>
  <c r="N1291" i="2"/>
  <c r="O1291" i="2" s="1"/>
  <c r="R1291" i="2" s="1"/>
  <c r="N1292" i="2"/>
  <c r="O1292" i="2" s="1"/>
  <c r="R1292" i="2" s="1"/>
  <c r="N1293" i="2"/>
  <c r="O1293" i="2" s="1"/>
  <c r="R1293" i="2" s="1"/>
  <c r="N1294" i="2"/>
  <c r="O1294" i="2" s="1"/>
  <c r="R1294" i="2" s="1"/>
  <c r="N1295" i="2"/>
  <c r="O1295" i="2" s="1"/>
  <c r="R1295" i="2" s="1"/>
  <c r="N1296" i="2"/>
  <c r="O1296" i="2" s="1"/>
  <c r="R1296" i="2" s="1"/>
  <c r="N1297" i="2"/>
  <c r="O1297" i="2" s="1"/>
  <c r="R1297" i="2" s="1"/>
  <c r="N1298" i="2"/>
  <c r="O1298" i="2" s="1"/>
  <c r="R1298" i="2" s="1"/>
  <c r="N1299" i="2"/>
  <c r="O1299" i="2" s="1"/>
  <c r="R1299" i="2" s="1"/>
  <c r="N1300" i="2"/>
  <c r="O1300" i="2" s="1"/>
  <c r="R1300" i="2" s="1"/>
  <c r="N1301" i="2"/>
  <c r="O1301" i="2" s="1"/>
  <c r="R1301" i="2" s="1"/>
  <c r="N1302" i="2"/>
  <c r="O1302" i="2" s="1"/>
  <c r="R1302" i="2" s="1"/>
  <c r="N1303" i="2"/>
  <c r="O1303" i="2" s="1"/>
  <c r="R1303" i="2" s="1"/>
  <c r="N1304" i="2"/>
  <c r="O1304" i="2" s="1"/>
  <c r="R1304" i="2" s="1"/>
  <c r="N1305" i="2"/>
  <c r="O1305" i="2" s="1"/>
  <c r="R1305" i="2" s="1"/>
  <c r="N1306" i="2"/>
  <c r="O1306" i="2" s="1"/>
  <c r="R1306" i="2" s="1"/>
  <c r="N1307" i="2"/>
  <c r="O1307" i="2" s="1"/>
  <c r="R1307" i="2" s="1"/>
  <c r="N1308" i="2"/>
  <c r="O1308" i="2" s="1"/>
  <c r="R1308" i="2" s="1"/>
  <c r="N1239" i="2"/>
  <c r="O1239" i="2" s="1"/>
  <c r="R1239" i="2" s="1"/>
  <c r="N1240" i="2"/>
  <c r="O1240" i="2" s="1"/>
  <c r="R1240" i="2" s="1"/>
  <c r="N1241" i="2"/>
  <c r="O1241" i="2" s="1"/>
  <c r="R1241" i="2" s="1"/>
  <c r="N1242" i="2"/>
  <c r="O1242" i="2" s="1"/>
  <c r="R1242" i="2" s="1"/>
  <c r="N1243" i="2"/>
  <c r="O1243" i="2" s="1"/>
  <c r="R1243" i="2" s="1"/>
  <c r="N1309" i="2"/>
  <c r="O1309" i="2" s="1"/>
  <c r="R1309" i="2" s="1"/>
  <c r="N1310" i="2"/>
  <c r="O1310" i="2" s="1"/>
  <c r="R1310" i="2" s="1"/>
  <c r="N1311" i="2"/>
  <c r="O1311" i="2" s="1"/>
  <c r="R1311" i="2" s="1"/>
  <c r="N1312" i="2"/>
  <c r="O1312" i="2" s="1"/>
  <c r="R1312" i="2" s="1"/>
  <c r="N1313" i="2"/>
  <c r="O1313" i="2" s="1"/>
  <c r="R1313" i="2" s="1"/>
  <c r="N1314" i="2"/>
  <c r="O1314" i="2" s="1"/>
  <c r="R1314" i="2" s="1"/>
  <c r="N1315" i="2"/>
  <c r="O1315" i="2" s="1"/>
  <c r="R1315" i="2" s="1"/>
  <c r="N1316" i="2"/>
  <c r="O1316" i="2" s="1"/>
  <c r="R1316" i="2" s="1"/>
  <c r="N1317" i="2"/>
  <c r="O1317" i="2" s="1"/>
  <c r="R1317" i="2" s="1"/>
  <c r="N1318" i="2"/>
  <c r="O1318" i="2" s="1"/>
  <c r="R1318" i="2" s="1"/>
  <c r="N1319" i="2"/>
  <c r="O1319" i="2" s="1"/>
  <c r="R1319" i="2" s="1"/>
  <c r="N1320" i="2"/>
  <c r="O1320" i="2" s="1"/>
  <c r="R1320" i="2" s="1"/>
  <c r="N1321" i="2"/>
  <c r="O1321" i="2" s="1"/>
  <c r="R1321" i="2" s="1"/>
  <c r="N1322" i="2"/>
  <c r="O1322" i="2" s="1"/>
  <c r="R1322" i="2" s="1"/>
  <c r="N1323" i="2"/>
  <c r="O1323" i="2" s="1"/>
  <c r="R1323" i="2" s="1"/>
  <c r="N1324" i="2"/>
  <c r="O1324" i="2" s="1"/>
  <c r="R1324" i="2" s="1"/>
  <c r="N1325" i="2"/>
  <c r="O1325" i="2" s="1"/>
  <c r="R1325" i="2" s="1"/>
  <c r="N1326" i="2"/>
  <c r="O1326" i="2" s="1"/>
  <c r="R1326" i="2" s="1"/>
  <c r="N1327" i="2"/>
  <c r="O1327" i="2" s="1"/>
  <c r="R1327" i="2" s="1"/>
  <c r="N1328" i="2"/>
  <c r="O1328" i="2" s="1"/>
  <c r="R1328" i="2" s="1"/>
  <c r="N1329" i="2"/>
  <c r="O1329" i="2" s="1"/>
  <c r="R1329" i="2" s="1"/>
  <c r="N1330" i="2"/>
  <c r="O1330" i="2" s="1"/>
  <c r="R1330" i="2" s="1"/>
  <c r="N1331" i="2"/>
  <c r="O1331" i="2" s="1"/>
  <c r="R1331" i="2" s="1"/>
  <c r="N1332" i="2"/>
  <c r="O1332" i="2" s="1"/>
  <c r="R1332" i="2" s="1"/>
  <c r="N1333" i="2"/>
  <c r="O1333" i="2" s="1"/>
  <c r="R1333" i="2" s="1"/>
  <c r="N1334" i="2"/>
  <c r="O1334" i="2" s="1"/>
  <c r="R1334" i="2" s="1"/>
  <c r="N1335" i="2"/>
  <c r="O1335" i="2" s="1"/>
  <c r="R1335" i="2" s="1"/>
  <c r="N1336" i="2"/>
  <c r="O1336" i="2" s="1"/>
  <c r="R1336" i="2" s="1"/>
  <c r="N1337" i="2"/>
  <c r="O1337" i="2" s="1"/>
  <c r="R1337" i="2" s="1"/>
  <c r="N1338" i="2"/>
  <c r="O1338" i="2" s="1"/>
  <c r="R1338" i="2" s="1"/>
  <c r="N1339" i="2"/>
  <c r="O1339" i="2" s="1"/>
  <c r="R1339" i="2" s="1"/>
  <c r="N1340" i="2"/>
  <c r="O1340" i="2" s="1"/>
  <c r="R1340" i="2" s="1"/>
  <c r="N1341" i="2"/>
  <c r="O1341" i="2" s="1"/>
  <c r="R1341" i="2" s="1"/>
  <c r="N1342" i="2"/>
  <c r="O1342" i="2" s="1"/>
  <c r="R1342" i="2" s="1"/>
  <c r="N1343" i="2"/>
  <c r="O1343" i="2" s="1"/>
  <c r="R1343" i="2" s="1"/>
  <c r="N1344" i="2"/>
  <c r="O1344" i="2" s="1"/>
  <c r="R1344" i="2" s="1"/>
  <c r="N1345" i="2"/>
  <c r="O1345" i="2" s="1"/>
  <c r="R1345" i="2" s="1"/>
  <c r="N1346" i="2"/>
  <c r="O1346" i="2" s="1"/>
  <c r="R1346" i="2" s="1"/>
  <c r="N1347" i="2"/>
  <c r="O1347" i="2" s="1"/>
  <c r="R1347" i="2" s="1"/>
  <c r="N1348" i="2"/>
  <c r="O1348" i="2" s="1"/>
  <c r="R1348" i="2" s="1"/>
  <c r="N1349" i="2"/>
  <c r="O1349" i="2" s="1"/>
  <c r="R1349" i="2" s="1"/>
  <c r="N1350" i="2"/>
  <c r="O1350" i="2" s="1"/>
  <c r="R1350" i="2" s="1"/>
  <c r="N1351" i="2"/>
  <c r="O1351" i="2" s="1"/>
  <c r="R1351" i="2" s="1"/>
  <c r="N1352" i="2"/>
  <c r="O1352" i="2" s="1"/>
  <c r="R1352" i="2" s="1"/>
  <c r="N1353" i="2"/>
  <c r="O1353" i="2" s="1"/>
  <c r="R1353" i="2" s="1"/>
  <c r="N1354" i="2"/>
  <c r="O1354" i="2" s="1"/>
  <c r="R1354" i="2" s="1"/>
  <c r="N1355" i="2"/>
  <c r="O1355" i="2" s="1"/>
  <c r="R1355" i="2" s="1"/>
  <c r="N1356" i="2"/>
  <c r="O1356" i="2" s="1"/>
  <c r="R1356" i="2" s="1"/>
  <c r="N1357" i="2"/>
  <c r="O1357" i="2" s="1"/>
  <c r="R1357" i="2" s="1"/>
  <c r="N1358" i="2"/>
  <c r="O1358" i="2" s="1"/>
  <c r="R1358" i="2" s="1"/>
  <c r="N1244" i="2"/>
  <c r="O1244" i="2" s="1"/>
  <c r="R1244" i="2" s="1"/>
  <c r="N1245" i="2"/>
  <c r="O1245" i="2" s="1"/>
  <c r="R1245" i="2" s="1"/>
  <c r="N1246" i="2"/>
  <c r="O1246" i="2" s="1"/>
  <c r="R1246" i="2" s="1"/>
  <c r="N1247" i="2"/>
  <c r="O1247" i="2" s="1"/>
  <c r="R1247" i="2" s="1"/>
  <c r="N1248" i="2"/>
  <c r="O1248" i="2" s="1"/>
  <c r="R1248" i="2" s="1"/>
  <c r="N1359" i="2"/>
  <c r="O1359" i="2" s="1"/>
  <c r="R1359" i="2" s="1"/>
  <c r="N1360" i="2"/>
  <c r="O1360" i="2" s="1"/>
  <c r="R1360" i="2" s="1"/>
  <c r="N1361" i="2"/>
  <c r="O1361" i="2" s="1"/>
  <c r="R1361" i="2" s="1"/>
  <c r="N1362" i="2"/>
  <c r="O1362" i="2" s="1"/>
  <c r="R1362" i="2" s="1"/>
  <c r="N1363" i="2"/>
  <c r="O1363" i="2" s="1"/>
  <c r="R1363" i="2" s="1"/>
  <c r="N1364" i="2"/>
  <c r="O1364" i="2" s="1"/>
  <c r="R1364" i="2" s="1"/>
  <c r="N1365" i="2"/>
  <c r="O1365" i="2" s="1"/>
  <c r="R1365" i="2" s="1"/>
  <c r="N1366" i="2"/>
  <c r="O1366" i="2" s="1"/>
  <c r="R1366" i="2" s="1"/>
  <c r="N1367" i="2"/>
  <c r="O1367" i="2" s="1"/>
  <c r="R1367" i="2" s="1"/>
  <c r="N1368" i="2"/>
  <c r="O1368" i="2" s="1"/>
  <c r="R1368" i="2" s="1"/>
  <c r="N1432" i="2"/>
  <c r="O1432" i="2" s="1"/>
  <c r="R1432" i="2" s="1"/>
  <c r="N1433" i="2"/>
  <c r="O1433" i="2" s="1"/>
  <c r="R1433" i="2" s="1"/>
  <c r="N1434" i="2"/>
  <c r="O1434" i="2" s="1"/>
  <c r="R1434" i="2" s="1"/>
  <c r="N1435" i="2"/>
  <c r="O1435" i="2" s="1"/>
  <c r="R1435" i="2" s="1"/>
  <c r="N1436" i="2"/>
  <c r="O1436" i="2" s="1"/>
  <c r="R1436" i="2" s="1"/>
  <c r="N1437" i="2"/>
  <c r="O1437" i="2" s="1"/>
  <c r="R1437" i="2" s="1"/>
  <c r="N1438" i="2"/>
  <c r="O1438" i="2" s="1"/>
  <c r="R1438" i="2" s="1"/>
  <c r="N1420" i="2"/>
  <c r="O1420" i="2" s="1"/>
  <c r="R1420" i="2" s="1"/>
  <c r="N1421" i="2"/>
  <c r="O1421" i="2" s="1"/>
  <c r="R1421" i="2" s="1"/>
  <c r="N1422" i="2"/>
  <c r="O1422" i="2" s="1"/>
  <c r="R1422" i="2" s="1"/>
  <c r="N1423" i="2"/>
  <c r="O1423" i="2" s="1"/>
  <c r="R1423" i="2" s="1"/>
  <c r="N1424" i="2"/>
  <c r="O1424" i="2" s="1"/>
  <c r="R1424" i="2" s="1"/>
  <c r="N1425" i="2"/>
  <c r="O1425" i="2" s="1"/>
  <c r="R1425" i="2" s="1"/>
  <c r="N1439" i="2"/>
  <c r="O1439" i="2" s="1"/>
  <c r="R1439" i="2" s="1"/>
  <c r="N1440" i="2"/>
  <c r="O1440" i="2" s="1"/>
  <c r="R1440" i="2" s="1"/>
  <c r="N1441" i="2"/>
  <c r="O1441" i="2" s="1"/>
  <c r="R1441" i="2" s="1"/>
  <c r="N1442" i="2"/>
  <c r="O1442" i="2" s="1"/>
  <c r="R1442" i="2" s="1"/>
  <c r="N1443" i="2"/>
  <c r="O1443" i="2" s="1"/>
  <c r="R1443" i="2" s="1"/>
  <c r="N1444" i="2"/>
  <c r="O1444" i="2" s="1"/>
  <c r="R1444" i="2" s="1"/>
  <c r="N1445" i="2"/>
  <c r="O1445" i="2" s="1"/>
  <c r="R1445" i="2" s="1"/>
  <c r="N1446" i="2"/>
  <c r="O1446" i="2" s="1"/>
  <c r="R1446" i="2" s="1"/>
  <c r="N1447" i="2"/>
  <c r="O1447" i="2" s="1"/>
  <c r="R1447" i="2" s="1"/>
  <c r="N1448" i="2"/>
  <c r="O1448" i="2" s="1"/>
  <c r="R1448" i="2" s="1"/>
  <c r="N1449" i="2"/>
  <c r="O1449" i="2" s="1"/>
  <c r="R1449" i="2" s="1"/>
  <c r="N1450" i="2"/>
  <c r="O1450" i="2" s="1"/>
  <c r="R1450" i="2" s="1"/>
  <c r="N1451" i="2"/>
  <c r="O1451" i="2" s="1"/>
  <c r="R1451" i="2" s="1"/>
  <c r="N1452" i="2"/>
  <c r="O1452" i="2" s="1"/>
  <c r="R1452" i="2" s="1"/>
  <c r="N1453" i="2"/>
  <c r="O1453" i="2" s="1"/>
  <c r="R1453" i="2" s="1"/>
  <c r="N1454" i="2"/>
  <c r="O1454" i="2" s="1"/>
  <c r="R1454" i="2" s="1"/>
  <c r="N1455" i="2"/>
  <c r="O1455" i="2" s="1"/>
  <c r="R1455" i="2" s="1"/>
  <c r="N1456" i="2"/>
  <c r="O1456" i="2" s="1"/>
  <c r="R1456" i="2" s="1"/>
  <c r="N1457" i="2"/>
  <c r="O1457" i="2" s="1"/>
  <c r="R1457" i="2" s="1"/>
  <c r="N1458" i="2"/>
  <c r="O1458" i="2" s="1"/>
  <c r="R1458" i="2" s="1"/>
  <c r="N1459" i="2"/>
  <c r="O1459" i="2" s="1"/>
  <c r="R1459" i="2" s="1"/>
  <c r="N1460" i="2"/>
  <c r="O1460" i="2" s="1"/>
  <c r="R1460" i="2" s="1"/>
  <c r="N1461" i="2"/>
  <c r="O1461" i="2" s="1"/>
  <c r="R1461" i="2" s="1"/>
  <c r="N1462" i="2"/>
  <c r="O1462" i="2" s="1"/>
  <c r="R1462" i="2" s="1"/>
  <c r="N1463" i="2"/>
  <c r="O1463" i="2" s="1"/>
  <c r="R1463" i="2" s="1"/>
  <c r="N1464" i="2"/>
  <c r="O1464" i="2" s="1"/>
  <c r="R1464" i="2" s="1"/>
  <c r="N1465" i="2"/>
  <c r="O1465" i="2" s="1"/>
  <c r="R1465" i="2" s="1"/>
  <c r="N1466" i="2"/>
  <c r="O1466" i="2" s="1"/>
  <c r="R1466" i="2" s="1"/>
  <c r="N1467" i="2"/>
  <c r="O1467" i="2" s="1"/>
  <c r="R1467" i="2" s="1"/>
  <c r="N1468" i="2"/>
  <c r="O1468" i="2" s="1"/>
  <c r="R1468" i="2" s="1"/>
  <c r="N1469" i="2"/>
  <c r="O1469" i="2" s="1"/>
  <c r="R1469" i="2" s="1"/>
  <c r="N1470" i="2"/>
  <c r="O1470" i="2" s="1"/>
  <c r="R1470" i="2" s="1"/>
  <c r="N1471" i="2"/>
  <c r="O1471" i="2" s="1"/>
  <c r="R1471" i="2" s="1"/>
  <c r="N1472" i="2"/>
  <c r="O1472" i="2" s="1"/>
  <c r="R1472" i="2" s="1"/>
  <c r="N1473" i="2"/>
  <c r="O1473" i="2" s="1"/>
  <c r="R1473" i="2" s="1"/>
  <c r="N1474" i="2"/>
  <c r="O1474" i="2" s="1"/>
  <c r="R1474" i="2" s="1"/>
  <c r="N1475" i="2"/>
  <c r="O1475" i="2" s="1"/>
  <c r="R1475" i="2" s="1"/>
  <c r="N1476" i="2"/>
  <c r="O1476" i="2" s="1"/>
  <c r="R1476" i="2" s="1"/>
  <c r="N1477" i="2"/>
  <c r="O1477" i="2" s="1"/>
  <c r="R1477" i="2" s="1"/>
  <c r="N1478" i="2"/>
  <c r="O1478" i="2" s="1"/>
  <c r="R1478" i="2" s="1"/>
  <c r="N1479" i="2"/>
  <c r="O1479" i="2" s="1"/>
  <c r="R1479" i="2" s="1"/>
  <c r="N1480" i="2"/>
  <c r="O1480" i="2" s="1"/>
  <c r="R1480" i="2" s="1"/>
  <c r="N1481" i="2"/>
  <c r="O1481" i="2" s="1"/>
  <c r="R1481" i="2" s="1"/>
  <c r="N1482" i="2"/>
  <c r="O1482" i="2" s="1"/>
  <c r="R1482" i="2" s="1"/>
  <c r="N1483" i="2"/>
  <c r="O1483" i="2" s="1"/>
  <c r="R1483" i="2" s="1"/>
  <c r="N1484" i="2"/>
  <c r="O1484" i="2" s="1"/>
  <c r="R1484" i="2" s="1"/>
  <c r="N1485" i="2"/>
  <c r="O1485" i="2" s="1"/>
  <c r="R1485" i="2" s="1"/>
  <c r="N1486" i="2"/>
  <c r="O1486" i="2" s="1"/>
  <c r="R1486" i="2" s="1"/>
  <c r="N1487" i="2"/>
  <c r="O1487" i="2" s="1"/>
  <c r="R1487" i="2" s="1"/>
  <c r="N1488" i="2"/>
  <c r="O1488" i="2" s="1"/>
  <c r="R1488" i="2" s="1"/>
  <c r="N1489" i="2"/>
  <c r="O1489" i="2" s="1"/>
  <c r="R1489" i="2" s="1"/>
  <c r="N1490" i="2"/>
  <c r="O1490" i="2" s="1"/>
  <c r="R1490" i="2" s="1"/>
  <c r="N1491" i="2"/>
  <c r="O1491" i="2" s="1"/>
  <c r="R1491" i="2" s="1"/>
  <c r="N1492" i="2"/>
  <c r="O1492" i="2" s="1"/>
  <c r="R1492" i="2" s="1"/>
  <c r="N1493" i="2"/>
  <c r="O1493" i="2" s="1"/>
  <c r="R1493" i="2" s="1"/>
  <c r="N1494" i="2"/>
  <c r="O1494" i="2" s="1"/>
  <c r="R1494" i="2" s="1"/>
  <c r="N1495" i="2"/>
  <c r="O1495" i="2" s="1"/>
  <c r="R1495" i="2" s="1"/>
  <c r="N1496" i="2"/>
  <c r="O1496" i="2" s="1"/>
  <c r="R1496" i="2" s="1"/>
  <c r="N1497" i="2"/>
  <c r="O1497" i="2" s="1"/>
  <c r="R1497" i="2" s="1"/>
  <c r="N1426" i="2"/>
  <c r="O1426" i="2" s="1"/>
  <c r="R1426" i="2" s="1"/>
  <c r="N1427" i="2"/>
  <c r="O1427" i="2" s="1"/>
  <c r="R1427" i="2" s="1"/>
  <c r="N1428" i="2"/>
  <c r="O1428" i="2" s="1"/>
  <c r="R1428" i="2" s="1"/>
  <c r="N1429" i="2"/>
  <c r="O1429" i="2" s="1"/>
  <c r="R1429" i="2" s="1"/>
  <c r="N1430" i="2"/>
  <c r="O1430" i="2" s="1"/>
  <c r="R1430" i="2" s="1"/>
  <c r="N1431" i="2"/>
  <c r="O1431" i="2" s="1"/>
  <c r="R1431" i="2" s="1"/>
  <c r="N1498" i="2"/>
  <c r="O1498" i="2" s="1"/>
  <c r="R1498" i="2" s="1"/>
  <c r="N1499" i="2"/>
  <c r="O1499" i="2" s="1"/>
  <c r="R1499" i="2" s="1"/>
  <c r="N1500" i="2"/>
  <c r="O1500" i="2" s="1"/>
  <c r="R1500" i="2" s="1"/>
  <c r="N1501" i="2"/>
  <c r="O1501" i="2" s="1"/>
  <c r="R1501" i="2" s="1"/>
  <c r="N1502" i="2"/>
  <c r="O1502" i="2" s="1"/>
  <c r="R1502" i="2" s="1"/>
  <c r="N1503" i="2"/>
  <c r="O1503" i="2" s="1"/>
  <c r="R1503" i="2" s="1"/>
  <c r="N1504" i="2"/>
  <c r="O1504" i="2" s="1"/>
  <c r="R1504" i="2" s="1"/>
  <c r="N1505" i="2"/>
  <c r="O1505" i="2" s="1"/>
  <c r="R1505" i="2" s="1"/>
  <c r="N1506" i="2"/>
  <c r="O1506" i="2" s="1"/>
  <c r="R1506" i="2" s="1"/>
  <c r="N1507" i="2"/>
  <c r="O1507" i="2" s="1"/>
  <c r="R1507" i="2" s="1"/>
  <c r="N1508" i="2"/>
  <c r="O1508" i="2" s="1"/>
  <c r="R1508" i="2" s="1"/>
  <c r="N1509" i="2"/>
  <c r="O1509" i="2" s="1"/>
  <c r="R1509" i="2" s="1"/>
  <c r="N1510" i="2"/>
  <c r="O1510" i="2" s="1"/>
  <c r="R1510" i="2" s="1"/>
  <c r="N1511" i="2"/>
  <c r="O1511" i="2" s="1"/>
  <c r="R1511" i="2" s="1"/>
  <c r="N1512" i="2"/>
  <c r="O1512" i="2" s="1"/>
  <c r="R1512" i="2" s="1"/>
  <c r="N1513" i="2"/>
  <c r="O1513" i="2" s="1"/>
  <c r="R1513" i="2" s="1"/>
  <c r="N1514" i="2"/>
  <c r="O1514" i="2" s="1"/>
  <c r="R1514" i="2" s="1"/>
  <c r="N1515" i="2"/>
  <c r="O1515" i="2" s="1"/>
  <c r="R1515" i="2" s="1"/>
  <c r="N1516" i="2"/>
  <c r="O1516" i="2" s="1"/>
  <c r="R1516" i="2" s="1"/>
  <c r="N1517" i="2"/>
  <c r="O1517" i="2" s="1"/>
  <c r="R1517" i="2" s="1"/>
  <c r="N1518" i="2"/>
  <c r="O1518" i="2" s="1"/>
  <c r="R1518" i="2" s="1"/>
  <c r="N1519" i="2"/>
  <c r="O1519" i="2" s="1"/>
  <c r="R1519" i="2" s="1"/>
  <c r="N1520" i="2"/>
  <c r="O1520" i="2" s="1"/>
  <c r="R1520" i="2" s="1"/>
  <c r="N1521" i="2"/>
  <c r="O1521" i="2" s="1"/>
  <c r="R1521" i="2" s="1"/>
  <c r="N1522" i="2"/>
  <c r="O1522" i="2" s="1"/>
  <c r="R1522" i="2" s="1"/>
  <c r="N1523" i="2"/>
  <c r="O1523" i="2" s="1"/>
  <c r="R1523" i="2" s="1"/>
  <c r="N1524" i="2"/>
  <c r="O1524" i="2" s="1"/>
  <c r="R1524" i="2" s="1"/>
  <c r="N1525" i="2"/>
  <c r="O1525" i="2" s="1"/>
  <c r="R1525" i="2" s="1"/>
  <c r="N1526" i="2"/>
  <c r="O1526" i="2" s="1"/>
  <c r="R1526" i="2" s="1"/>
  <c r="N1527" i="2"/>
  <c r="O1527" i="2" s="1"/>
  <c r="R1527" i="2" s="1"/>
  <c r="N1528" i="2"/>
  <c r="O1528" i="2" s="1"/>
  <c r="R1528" i="2" s="1"/>
  <c r="N1529" i="2"/>
  <c r="O1529" i="2" s="1"/>
  <c r="R1529" i="2" s="1"/>
  <c r="N1530" i="2"/>
  <c r="O1530" i="2" s="1"/>
  <c r="R1530" i="2" s="1"/>
  <c r="N1531" i="2"/>
  <c r="O1531" i="2" s="1"/>
  <c r="R1531" i="2" s="1"/>
  <c r="N1532" i="2"/>
  <c r="O1532" i="2" s="1"/>
  <c r="R1532" i="2" s="1"/>
  <c r="N1533" i="2"/>
  <c r="O1533" i="2" s="1"/>
  <c r="R1533" i="2" s="1"/>
  <c r="N1534" i="2"/>
  <c r="O1534" i="2" s="1"/>
  <c r="R1534" i="2" s="1"/>
  <c r="N1535" i="2"/>
  <c r="O1535" i="2" s="1"/>
  <c r="R1535" i="2" s="1"/>
  <c r="N1536" i="2"/>
  <c r="O1536" i="2" s="1"/>
  <c r="R1536" i="2" s="1"/>
  <c r="N1537" i="2"/>
  <c r="O1537" i="2" s="1"/>
  <c r="R1537" i="2" s="1"/>
  <c r="N1538" i="2"/>
  <c r="O1538" i="2" s="1"/>
  <c r="R1538" i="2" s="1"/>
  <c r="N1539" i="2"/>
  <c r="O1539" i="2" s="1"/>
  <c r="R1539" i="2" s="1"/>
  <c r="N1540" i="2"/>
  <c r="O1540" i="2" s="1"/>
  <c r="R1540" i="2" s="1"/>
  <c r="N1541" i="2"/>
  <c r="O1541" i="2" s="1"/>
  <c r="R1541" i="2" s="1"/>
  <c r="N1542" i="2"/>
  <c r="O1542" i="2" s="1"/>
  <c r="R1542" i="2" s="1"/>
  <c r="N1543" i="2"/>
  <c r="O1543" i="2" s="1"/>
  <c r="R1543" i="2" s="1"/>
  <c r="N1544" i="2"/>
  <c r="O1544" i="2" s="1"/>
  <c r="R1544" i="2" s="1"/>
  <c r="N1545" i="2"/>
  <c r="O1545" i="2" s="1"/>
  <c r="R1545" i="2" s="1"/>
  <c r="N1546" i="2"/>
  <c r="O1546" i="2" s="1"/>
  <c r="R1546" i="2" s="1"/>
  <c r="N1547" i="2"/>
  <c r="O1547" i="2" s="1"/>
  <c r="R1547" i="2" s="1"/>
  <c r="N1548" i="2"/>
  <c r="O1548" i="2" s="1"/>
  <c r="R1548" i="2" s="1"/>
  <c r="N1549" i="2"/>
  <c r="O1549" i="2" s="1"/>
  <c r="R1549" i="2" s="1"/>
  <c r="N1550" i="2"/>
  <c r="O1550" i="2" s="1"/>
  <c r="R1550" i="2" s="1"/>
  <c r="N1551" i="2"/>
  <c r="O1551" i="2" s="1"/>
  <c r="R1551" i="2" s="1"/>
  <c r="N1620" i="2"/>
  <c r="O1620" i="2" s="1"/>
  <c r="R1620" i="2" s="1"/>
  <c r="N1621" i="2"/>
  <c r="O1621" i="2" s="1"/>
  <c r="R1621" i="2" s="1"/>
  <c r="N1622" i="2"/>
  <c r="O1622" i="2" s="1"/>
  <c r="R1622" i="2" s="1"/>
  <c r="N1623" i="2"/>
  <c r="O1623" i="2" s="1"/>
  <c r="R1623" i="2" s="1"/>
  <c r="N1624" i="2"/>
  <c r="O1624" i="2" s="1"/>
  <c r="R1624" i="2" s="1"/>
  <c r="N1602" i="2"/>
  <c r="O1602" i="2" s="1"/>
  <c r="R1602" i="2" s="1"/>
  <c r="N1603" i="2"/>
  <c r="O1603" i="2" s="1"/>
  <c r="R1603" i="2" s="1"/>
  <c r="N1604" i="2"/>
  <c r="O1604" i="2" s="1"/>
  <c r="R1604" i="2" s="1"/>
  <c r="N1605" i="2"/>
  <c r="O1605" i="2" s="1"/>
  <c r="R1605" i="2" s="1"/>
  <c r="N1606" i="2"/>
  <c r="O1606" i="2" s="1"/>
  <c r="R1606" i="2" s="1"/>
  <c r="N1607" i="2"/>
  <c r="O1607" i="2" s="1"/>
  <c r="R1607" i="2" s="1"/>
  <c r="N1608" i="2"/>
  <c r="O1608" i="2" s="1"/>
  <c r="R1608" i="2" s="1"/>
  <c r="N1625" i="2"/>
  <c r="O1625" i="2" s="1"/>
  <c r="R1625" i="2" s="1"/>
  <c r="N1626" i="2"/>
  <c r="O1626" i="2" s="1"/>
  <c r="R1626" i="2" s="1"/>
  <c r="N1627" i="2"/>
  <c r="O1627" i="2" s="1"/>
  <c r="R1627" i="2" s="1"/>
  <c r="N1628" i="2"/>
  <c r="O1628" i="2" s="1"/>
  <c r="R1628" i="2" s="1"/>
  <c r="N1629" i="2"/>
  <c r="O1629" i="2" s="1"/>
  <c r="R1629" i="2" s="1"/>
  <c r="N1609" i="2"/>
  <c r="O1609" i="2" s="1"/>
  <c r="R1609" i="2" s="1"/>
  <c r="N1610" i="2"/>
  <c r="O1610" i="2" s="1"/>
  <c r="R1610" i="2" s="1"/>
  <c r="N1611" i="2"/>
  <c r="O1611" i="2" s="1"/>
  <c r="R1611" i="2" s="1"/>
  <c r="N1612" i="2"/>
  <c r="O1612" i="2" s="1"/>
  <c r="R1612" i="2" s="1"/>
  <c r="N1613" i="2"/>
  <c r="O1613" i="2" s="1"/>
  <c r="R1613" i="2" s="1"/>
  <c r="N1614" i="2"/>
  <c r="O1614" i="2" s="1"/>
  <c r="R1614" i="2" s="1"/>
  <c r="N1615" i="2"/>
  <c r="O1615" i="2" s="1"/>
  <c r="R1615" i="2" s="1"/>
  <c r="N1630" i="2"/>
  <c r="O1630" i="2" s="1"/>
  <c r="R1630" i="2" s="1"/>
  <c r="N1631" i="2"/>
  <c r="O1631" i="2" s="1"/>
  <c r="R1631" i="2" s="1"/>
  <c r="N1632" i="2"/>
  <c r="O1632" i="2" s="1"/>
  <c r="R1632" i="2" s="1"/>
  <c r="N1633" i="2"/>
  <c r="O1633" i="2" s="1"/>
  <c r="R1633" i="2" s="1"/>
  <c r="N1634" i="2"/>
  <c r="O1634" i="2" s="1"/>
  <c r="R1634" i="2" s="1"/>
  <c r="N1635" i="2"/>
  <c r="O1635" i="2" s="1"/>
  <c r="R1635" i="2" s="1"/>
  <c r="N1636" i="2"/>
  <c r="O1636" i="2" s="1"/>
  <c r="R1636" i="2" s="1"/>
  <c r="N1637" i="2"/>
  <c r="O1637" i="2" s="1"/>
  <c r="R1637" i="2" s="1"/>
  <c r="N1638" i="2"/>
  <c r="O1638" i="2" s="1"/>
  <c r="R1638" i="2" s="1"/>
  <c r="N1639" i="2"/>
  <c r="O1639" i="2" s="1"/>
  <c r="R1639" i="2" s="1"/>
  <c r="N1640" i="2"/>
  <c r="O1640" i="2" s="1"/>
  <c r="R1640" i="2" s="1"/>
  <c r="N1616" i="2"/>
  <c r="O1616" i="2" s="1"/>
  <c r="R1616" i="2" s="1"/>
  <c r="N1641" i="2"/>
  <c r="O1641" i="2" s="1"/>
  <c r="R1641" i="2" s="1"/>
  <c r="N1642" i="2"/>
  <c r="O1642" i="2" s="1"/>
  <c r="R1642" i="2" s="1"/>
  <c r="N1643" i="2"/>
  <c r="O1643" i="2" s="1"/>
  <c r="R1643" i="2" s="1"/>
  <c r="N1644" i="2"/>
  <c r="O1644" i="2" s="1"/>
  <c r="R1644" i="2" s="1"/>
  <c r="N1645" i="2"/>
  <c r="O1645" i="2" s="1"/>
  <c r="R1645" i="2" s="1"/>
  <c r="N1617" i="2"/>
  <c r="O1617" i="2" s="1"/>
  <c r="R1617" i="2" s="1"/>
  <c r="N1646" i="2"/>
  <c r="O1646" i="2" s="1"/>
  <c r="R1646" i="2" s="1"/>
  <c r="N1647" i="2"/>
  <c r="O1647" i="2" s="1"/>
  <c r="R1647" i="2" s="1"/>
  <c r="N1648" i="2"/>
  <c r="O1648" i="2" s="1"/>
  <c r="R1648" i="2" s="1"/>
  <c r="N1649" i="2"/>
  <c r="O1649" i="2" s="1"/>
  <c r="R1649" i="2" s="1"/>
  <c r="N1650" i="2"/>
  <c r="O1650" i="2" s="1"/>
  <c r="R1650" i="2" s="1"/>
  <c r="N1651" i="2"/>
  <c r="O1651" i="2" s="1"/>
  <c r="R1651" i="2" s="1"/>
  <c r="N1652" i="2"/>
  <c r="O1652" i="2" s="1"/>
  <c r="R1652" i="2" s="1"/>
  <c r="N1653" i="2"/>
  <c r="O1653" i="2" s="1"/>
  <c r="R1653" i="2" s="1"/>
  <c r="N1654" i="2"/>
  <c r="O1654" i="2" s="1"/>
  <c r="R1654" i="2" s="1"/>
  <c r="N1655" i="2"/>
  <c r="O1655" i="2" s="1"/>
  <c r="R1655" i="2" s="1"/>
  <c r="N1656" i="2"/>
  <c r="O1656" i="2" s="1"/>
  <c r="R1656" i="2" s="1"/>
  <c r="N1657" i="2"/>
  <c r="O1657" i="2" s="1"/>
  <c r="R1657" i="2" s="1"/>
  <c r="N1658" i="2"/>
  <c r="O1658" i="2" s="1"/>
  <c r="R1658" i="2" s="1"/>
  <c r="N1659" i="2"/>
  <c r="O1659" i="2" s="1"/>
  <c r="R1659" i="2" s="1"/>
  <c r="N1660" i="2"/>
  <c r="O1660" i="2" s="1"/>
  <c r="R1660" i="2" s="1"/>
  <c r="N1661" i="2"/>
  <c r="O1661" i="2" s="1"/>
  <c r="R1661" i="2" s="1"/>
  <c r="N1662" i="2"/>
  <c r="O1662" i="2" s="1"/>
  <c r="R1662" i="2" s="1"/>
  <c r="N1663" i="2"/>
  <c r="O1663" i="2" s="1"/>
  <c r="R1663" i="2" s="1"/>
  <c r="N1664" i="2"/>
  <c r="O1664" i="2" s="1"/>
  <c r="R1664" i="2" s="1"/>
  <c r="N1665" i="2"/>
  <c r="O1665" i="2" s="1"/>
  <c r="R1665" i="2" s="1"/>
  <c r="N1666" i="2"/>
  <c r="O1666" i="2" s="1"/>
  <c r="R1666" i="2" s="1"/>
  <c r="N1667" i="2"/>
  <c r="O1667" i="2" s="1"/>
  <c r="R1667" i="2" s="1"/>
  <c r="N1668" i="2"/>
  <c r="O1668" i="2" s="1"/>
  <c r="R1668" i="2" s="1"/>
  <c r="N1669" i="2"/>
  <c r="O1669" i="2" s="1"/>
  <c r="R1669" i="2" s="1"/>
  <c r="N1670" i="2"/>
  <c r="O1670" i="2" s="1"/>
  <c r="R1670" i="2" s="1"/>
  <c r="N1671" i="2"/>
  <c r="O1671" i="2" s="1"/>
  <c r="R1671" i="2" s="1"/>
  <c r="N1672" i="2"/>
  <c r="O1672" i="2" s="1"/>
  <c r="R1672" i="2" s="1"/>
  <c r="N1673" i="2"/>
  <c r="O1673" i="2" s="1"/>
  <c r="R1673" i="2" s="1"/>
  <c r="N1674" i="2"/>
  <c r="O1674" i="2" s="1"/>
  <c r="R1674" i="2" s="1"/>
  <c r="N1675" i="2"/>
  <c r="O1675" i="2" s="1"/>
  <c r="R1675" i="2" s="1"/>
  <c r="N1676" i="2"/>
  <c r="O1676" i="2" s="1"/>
  <c r="R1676" i="2" s="1"/>
  <c r="N1677" i="2"/>
  <c r="O1677" i="2" s="1"/>
  <c r="R1677" i="2" s="1"/>
  <c r="N1678" i="2"/>
  <c r="O1678" i="2" s="1"/>
  <c r="R1678" i="2" s="1"/>
  <c r="N1679" i="2"/>
  <c r="O1679" i="2" s="1"/>
  <c r="R1679" i="2" s="1"/>
  <c r="N1680" i="2"/>
  <c r="O1680" i="2" s="1"/>
  <c r="R1680" i="2" s="1"/>
  <c r="N1681" i="2"/>
  <c r="O1681" i="2" s="1"/>
  <c r="R1681" i="2" s="1"/>
  <c r="N1682" i="2"/>
  <c r="O1682" i="2" s="1"/>
  <c r="R1682" i="2" s="1"/>
  <c r="N1683" i="2"/>
  <c r="O1683" i="2" s="1"/>
  <c r="R1683" i="2" s="1"/>
  <c r="N1684" i="2"/>
  <c r="O1684" i="2" s="1"/>
  <c r="R1684" i="2" s="1"/>
  <c r="N1685" i="2"/>
  <c r="O1685" i="2" s="1"/>
  <c r="R1685" i="2" s="1"/>
  <c r="N1686" i="2"/>
  <c r="O1686" i="2" s="1"/>
  <c r="R1686" i="2" s="1"/>
  <c r="N1687" i="2"/>
  <c r="O1687" i="2" s="1"/>
  <c r="R1687" i="2" s="1"/>
  <c r="N1688" i="2"/>
  <c r="O1688" i="2" s="1"/>
  <c r="R1688" i="2" s="1"/>
  <c r="N1689" i="2"/>
  <c r="O1689" i="2" s="1"/>
  <c r="R1689" i="2" s="1"/>
  <c r="N1690" i="2"/>
  <c r="O1690" i="2" s="1"/>
  <c r="R1690" i="2" s="1"/>
  <c r="N1691" i="2"/>
  <c r="O1691" i="2" s="1"/>
  <c r="R1691" i="2" s="1"/>
  <c r="N1692" i="2"/>
  <c r="O1692" i="2" s="1"/>
  <c r="R1692" i="2" s="1"/>
  <c r="N1618" i="2"/>
  <c r="O1618" i="2" s="1"/>
  <c r="R1618" i="2" s="1"/>
  <c r="N1693" i="2"/>
  <c r="O1693" i="2" s="1"/>
  <c r="R1693" i="2" s="1"/>
  <c r="N1694" i="2"/>
  <c r="O1694" i="2" s="1"/>
  <c r="R1694" i="2" s="1"/>
  <c r="N1695" i="2"/>
  <c r="O1695" i="2" s="1"/>
  <c r="R1695" i="2" s="1"/>
  <c r="N1696" i="2"/>
  <c r="O1696" i="2" s="1"/>
  <c r="R1696" i="2" s="1"/>
  <c r="N1697" i="2"/>
  <c r="O1697" i="2" s="1"/>
  <c r="R1697" i="2" s="1"/>
  <c r="N1619" i="2"/>
  <c r="O1619" i="2" s="1"/>
  <c r="R1619" i="2" s="1"/>
  <c r="N1698" i="2"/>
  <c r="O1698" i="2" s="1"/>
  <c r="R1698" i="2" s="1"/>
  <c r="N1699" i="2"/>
  <c r="O1699" i="2" s="1"/>
  <c r="R1699" i="2" s="1"/>
  <c r="N1700" i="2"/>
  <c r="O1700" i="2" s="1"/>
  <c r="R1700" i="2" s="1"/>
  <c r="N1701" i="2"/>
  <c r="O1701" i="2" s="1"/>
  <c r="R1701" i="2" s="1"/>
  <c r="N1702" i="2"/>
  <c r="O1702" i="2" s="1"/>
  <c r="R1702" i="2" s="1"/>
  <c r="N1703" i="2"/>
  <c r="O1703" i="2" s="1"/>
  <c r="R1703" i="2" s="1"/>
  <c r="N1704" i="2"/>
  <c r="O1704" i="2" s="1"/>
  <c r="R1704" i="2" s="1"/>
  <c r="N1705" i="2"/>
  <c r="O1705" i="2" s="1"/>
  <c r="R1705" i="2" s="1"/>
  <c r="N1706" i="2"/>
  <c r="O1706" i="2" s="1"/>
  <c r="R1706" i="2" s="1"/>
  <c r="N1707" i="2"/>
  <c r="O1707" i="2" s="1"/>
  <c r="R1707" i="2" s="1"/>
  <c r="N1708" i="2"/>
  <c r="O1708" i="2" s="1"/>
  <c r="R1708" i="2" s="1"/>
  <c r="N1709" i="2"/>
  <c r="O1709" i="2" s="1"/>
  <c r="R1709" i="2" s="1"/>
  <c r="N1710" i="2"/>
  <c r="O1710" i="2" s="1"/>
  <c r="R1710" i="2" s="1"/>
  <c r="N1711" i="2"/>
  <c r="O1711" i="2" s="1"/>
  <c r="R1711" i="2" s="1"/>
  <c r="N1712" i="2"/>
  <c r="O1712" i="2" s="1"/>
  <c r="R1712" i="2" s="1"/>
  <c r="N1713" i="2"/>
  <c r="O1713" i="2" s="1"/>
  <c r="R1713" i="2" s="1"/>
  <c r="N1714" i="2"/>
  <c r="O1714" i="2" s="1"/>
  <c r="R1714" i="2" s="1"/>
  <c r="N1715" i="2"/>
  <c r="O1715" i="2" s="1"/>
  <c r="R1715" i="2" s="1"/>
  <c r="N1716" i="2"/>
  <c r="O1716" i="2" s="1"/>
  <c r="R1716" i="2" s="1"/>
  <c r="N1717" i="2"/>
  <c r="O1717" i="2" s="1"/>
  <c r="R1717" i="2" s="1"/>
  <c r="N1718" i="2"/>
  <c r="O1718" i="2" s="1"/>
  <c r="R1718" i="2" s="1"/>
  <c r="N1719" i="2"/>
  <c r="O1719" i="2" s="1"/>
  <c r="R1719" i="2" s="1"/>
  <c r="N1799" i="2"/>
  <c r="O1799" i="2" s="1"/>
  <c r="R1799" i="2" s="1"/>
  <c r="N1800" i="2"/>
  <c r="O1800" i="2" s="1"/>
  <c r="R1800" i="2" s="1"/>
  <c r="N1801" i="2"/>
  <c r="O1801" i="2" s="1"/>
  <c r="R1801" i="2" s="1"/>
  <c r="N1802" i="2"/>
  <c r="O1802" i="2" s="1"/>
  <c r="R1802" i="2" s="1"/>
  <c r="N1803" i="2"/>
  <c r="O1803" i="2" s="1"/>
  <c r="R1803" i="2" s="1"/>
  <c r="N1804" i="2"/>
  <c r="O1804" i="2" s="1"/>
  <c r="R1804" i="2" s="1"/>
  <c r="N1805" i="2"/>
  <c r="O1805" i="2" s="1"/>
  <c r="R1805" i="2" s="1"/>
  <c r="N1806" i="2"/>
  <c r="O1806" i="2" s="1"/>
  <c r="R1806" i="2" s="1"/>
  <c r="N1807" i="2"/>
  <c r="O1807" i="2" s="1"/>
  <c r="R1807" i="2" s="1"/>
  <c r="N1808" i="2"/>
  <c r="O1808" i="2" s="1"/>
  <c r="R1808" i="2" s="1"/>
  <c r="N1809" i="2"/>
  <c r="O1809" i="2" s="1"/>
  <c r="R1809" i="2" s="1"/>
  <c r="N1810" i="2"/>
  <c r="O1810" i="2" s="1"/>
  <c r="R1810" i="2" s="1"/>
  <c r="N1811" i="2"/>
  <c r="O1811" i="2" s="1"/>
  <c r="R1811" i="2" s="1"/>
  <c r="N1812" i="2"/>
  <c r="O1812" i="2" s="1"/>
  <c r="R1812" i="2" s="1"/>
  <c r="N1813" i="2"/>
  <c r="O1813" i="2" s="1"/>
  <c r="R1813" i="2" s="1"/>
  <c r="N1814" i="2"/>
  <c r="O1814" i="2" s="1"/>
  <c r="R1814" i="2" s="1"/>
  <c r="N1815" i="2"/>
  <c r="O1815" i="2" s="1"/>
  <c r="R1815" i="2" s="1"/>
  <c r="N1816" i="2"/>
  <c r="O1816" i="2" s="1"/>
  <c r="R1816" i="2" s="1"/>
  <c r="N1817" i="2"/>
  <c r="O1817" i="2" s="1"/>
  <c r="R1817" i="2" s="1"/>
  <c r="N1818" i="2"/>
  <c r="O1818" i="2" s="1"/>
  <c r="R1818" i="2" s="1"/>
  <c r="N1819" i="2"/>
  <c r="O1819" i="2" s="1"/>
  <c r="R1819" i="2" s="1"/>
  <c r="N1820" i="2"/>
  <c r="O1820" i="2" s="1"/>
  <c r="R1820" i="2" s="1"/>
  <c r="N1821" i="2"/>
  <c r="O1821" i="2" s="1"/>
  <c r="R1821" i="2" s="1"/>
  <c r="N1822" i="2"/>
  <c r="O1822" i="2" s="1"/>
  <c r="R1822" i="2" s="1"/>
  <c r="N1823" i="2"/>
  <c r="O1823" i="2" s="1"/>
  <c r="R1823" i="2" s="1"/>
  <c r="N1824" i="2"/>
  <c r="O1824" i="2" s="1"/>
  <c r="R1824" i="2" s="1"/>
  <c r="N1825" i="2"/>
  <c r="O1825" i="2" s="1"/>
  <c r="R1825" i="2" s="1"/>
  <c r="N1826" i="2"/>
  <c r="O1826" i="2" s="1"/>
  <c r="R1826" i="2" s="1"/>
  <c r="N1827" i="2"/>
  <c r="O1827" i="2" s="1"/>
  <c r="R1827" i="2" s="1"/>
  <c r="N1828" i="2"/>
  <c r="O1828" i="2" s="1"/>
  <c r="R1828" i="2" s="1"/>
  <c r="N1775" i="2"/>
  <c r="O1775" i="2" s="1"/>
  <c r="R1775" i="2" s="1"/>
  <c r="N1776" i="2"/>
  <c r="O1776" i="2" s="1"/>
  <c r="R1776" i="2" s="1"/>
  <c r="N1777" i="2"/>
  <c r="O1777" i="2" s="1"/>
  <c r="R1777" i="2" s="1"/>
  <c r="N1778" i="2"/>
  <c r="O1778" i="2" s="1"/>
  <c r="R1778" i="2" s="1"/>
  <c r="N1779" i="2"/>
  <c r="O1779" i="2" s="1"/>
  <c r="R1779" i="2" s="1"/>
  <c r="N1780" i="2"/>
  <c r="O1780" i="2" s="1"/>
  <c r="R1780" i="2" s="1"/>
  <c r="N1781" i="2"/>
  <c r="O1781" i="2" s="1"/>
  <c r="R1781" i="2" s="1"/>
  <c r="N1782" i="2"/>
  <c r="O1782" i="2" s="1"/>
  <c r="R1782" i="2" s="1"/>
  <c r="N1829" i="2"/>
  <c r="O1829" i="2" s="1"/>
  <c r="R1829" i="2" s="1"/>
  <c r="N1830" i="2"/>
  <c r="O1830" i="2" s="1"/>
  <c r="R1830" i="2" s="1"/>
  <c r="N1831" i="2"/>
  <c r="O1831" i="2" s="1"/>
  <c r="R1831" i="2" s="1"/>
  <c r="N1832" i="2"/>
  <c r="O1832" i="2" s="1"/>
  <c r="R1832" i="2" s="1"/>
  <c r="N1833" i="2"/>
  <c r="O1833" i="2" s="1"/>
  <c r="R1833" i="2" s="1"/>
  <c r="N1834" i="2"/>
  <c r="O1834" i="2" s="1"/>
  <c r="R1834" i="2" s="1"/>
  <c r="N1835" i="2"/>
  <c r="O1835" i="2" s="1"/>
  <c r="R1835" i="2" s="1"/>
  <c r="N1836" i="2"/>
  <c r="O1836" i="2" s="1"/>
  <c r="R1836" i="2" s="1"/>
  <c r="N1837" i="2"/>
  <c r="O1837" i="2" s="1"/>
  <c r="R1837" i="2" s="1"/>
  <c r="N1838" i="2"/>
  <c r="O1838" i="2" s="1"/>
  <c r="R1838" i="2" s="1"/>
  <c r="N1783" i="2"/>
  <c r="O1783" i="2" s="1"/>
  <c r="R1783" i="2" s="1"/>
  <c r="N1784" i="2"/>
  <c r="O1784" i="2" s="1"/>
  <c r="R1784" i="2" s="1"/>
  <c r="N1839" i="2"/>
  <c r="O1839" i="2" s="1"/>
  <c r="R1839" i="2" s="1"/>
  <c r="N1840" i="2"/>
  <c r="O1840" i="2" s="1"/>
  <c r="R1840" i="2" s="1"/>
  <c r="N1841" i="2"/>
  <c r="O1841" i="2" s="1"/>
  <c r="R1841" i="2" s="1"/>
  <c r="N1842" i="2"/>
  <c r="O1842" i="2" s="1"/>
  <c r="R1842" i="2" s="1"/>
  <c r="N1785" i="2"/>
  <c r="O1785" i="2" s="1"/>
  <c r="R1785" i="2" s="1"/>
  <c r="N1786" i="2"/>
  <c r="O1786" i="2" s="1"/>
  <c r="R1786" i="2" s="1"/>
  <c r="N1843" i="2"/>
  <c r="O1843" i="2" s="1"/>
  <c r="R1843" i="2" s="1"/>
  <c r="N1844" i="2"/>
  <c r="O1844" i="2" s="1"/>
  <c r="R1844" i="2" s="1"/>
  <c r="N1845" i="2"/>
  <c r="O1845" i="2" s="1"/>
  <c r="R1845" i="2" s="1"/>
  <c r="N1846" i="2"/>
  <c r="O1846" i="2" s="1"/>
  <c r="R1846" i="2" s="1"/>
  <c r="N1847" i="2"/>
  <c r="O1847" i="2" s="1"/>
  <c r="R1847" i="2" s="1"/>
  <c r="N1848" i="2"/>
  <c r="O1848" i="2" s="1"/>
  <c r="R1848" i="2" s="1"/>
  <c r="N1849" i="2"/>
  <c r="O1849" i="2" s="1"/>
  <c r="R1849" i="2" s="1"/>
  <c r="N1850" i="2"/>
  <c r="O1850" i="2" s="1"/>
  <c r="R1850" i="2" s="1"/>
  <c r="N1851" i="2"/>
  <c r="O1851" i="2" s="1"/>
  <c r="R1851" i="2" s="1"/>
  <c r="N1852" i="2"/>
  <c r="O1852" i="2" s="1"/>
  <c r="R1852" i="2" s="1"/>
  <c r="N1853" i="2"/>
  <c r="O1853" i="2" s="1"/>
  <c r="R1853" i="2" s="1"/>
  <c r="N1854" i="2"/>
  <c r="O1854" i="2" s="1"/>
  <c r="R1854" i="2" s="1"/>
  <c r="N1787" i="2"/>
  <c r="O1787" i="2" s="1"/>
  <c r="R1787" i="2" s="1"/>
  <c r="N1788" i="2"/>
  <c r="O1788" i="2" s="1"/>
  <c r="R1788" i="2" s="1"/>
  <c r="N1789" i="2"/>
  <c r="O1789" i="2" s="1"/>
  <c r="R1789" i="2" s="1"/>
  <c r="N1790" i="2"/>
  <c r="O1790" i="2" s="1"/>
  <c r="R1790" i="2" s="1"/>
  <c r="N1791" i="2"/>
  <c r="O1791" i="2" s="1"/>
  <c r="R1791" i="2" s="1"/>
  <c r="N1792" i="2"/>
  <c r="O1792" i="2" s="1"/>
  <c r="R1792" i="2" s="1"/>
  <c r="N1793" i="2"/>
  <c r="O1793" i="2" s="1"/>
  <c r="R1793" i="2" s="1"/>
  <c r="N1794" i="2"/>
  <c r="O1794" i="2" s="1"/>
  <c r="R1794" i="2" s="1"/>
  <c r="N1855" i="2"/>
  <c r="O1855" i="2" s="1"/>
  <c r="R1855" i="2" s="1"/>
  <c r="N1856" i="2"/>
  <c r="O1856" i="2" s="1"/>
  <c r="R1856" i="2" s="1"/>
  <c r="N1857" i="2"/>
  <c r="O1857" i="2" s="1"/>
  <c r="R1857" i="2" s="1"/>
  <c r="N1858" i="2"/>
  <c r="O1858" i="2" s="1"/>
  <c r="R1858" i="2" s="1"/>
  <c r="N1859" i="2"/>
  <c r="O1859" i="2" s="1"/>
  <c r="R1859" i="2" s="1"/>
  <c r="N1860" i="2"/>
  <c r="O1860" i="2" s="1"/>
  <c r="R1860" i="2" s="1"/>
  <c r="N1861" i="2"/>
  <c r="O1861" i="2" s="1"/>
  <c r="R1861" i="2" s="1"/>
  <c r="N1862" i="2"/>
  <c r="O1862" i="2" s="1"/>
  <c r="R1862" i="2" s="1"/>
  <c r="N1863" i="2"/>
  <c r="O1863" i="2" s="1"/>
  <c r="R1863" i="2" s="1"/>
  <c r="N1795" i="2"/>
  <c r="O1795" i="2" s="1"/>
  <c r="R1795" i="2" s="1"/>
  <c r="N1796" i="2"/>
  <c r="O1796" i="2" s="1"/>
  <c r="R1796" i="2" s="1"/>
  <c r="N1864" i="2"/>
  <c r="O1864" i="2" s="1"/>
  <c r="R1864" i="2" s="1"/>
  <c r="N1865" i="2"/>
  <c r="O1865" i="2" s="1"/>
  <c r="R1865" i="2" s="1"/>
  <c r="N1866" i="2"/>
  <c r="O1866" i="2" s="1"/>
  <c r="R1866" i="2" s="1"/>
  <c r="N1867" i="2"/>
  <c r="O1867" i="2" s="1"/>
  <c r="R1867" i="2" s="1"/>
  <c r="N1868" i="2"/>
  <c r="O1868" i="2" s="1"/>
  <c r="R1868" i="2" s="1"/>
  <c r="N1869" i="2"/>
  <c r="O1869" i="2" s="1"/>
  <c r="R1869" i="2" s="1"/>
  <c r="N1870" i="2"/>
  <c r="O1870" i="2" s="1"/>
  <c r="R1870" i="2" s="1"/>
  <c r="N1871" i="2"/>
  <c r="O1871" i="2" s="1"/>
  <c r="R1871" i="2" s="1"/>
  <c r="N1872" i="2"/>
  <c r="O1872" i="2" s="1"/>
  <c r="R1872" i="2" s="1"/>
  <c r="N1873" i="2"/>
  <c r="O1873" i="2" s="1"/>
  <c r="R1873" i="2" s="1"/>
  <c r="N1874" i="2"/>
  <c r="O1874" i="2" s="1"/>
  <c r="R1874" i="2" s="1"/>
  <c r="N1875" i="2"/>
  <c r="O1875" i="2" s="1"/>
  <c r="R1875" i="2" s="1"/>
  <c r="N1876" i="2"/>
  <c r="O1876" i="2" s="1"/>
  <c r="R1876" i="2" s="1"/>
  <c r="N1797" i="2"/>
  <c r="O1797" i="2" s="1"/>
  <c r="R1797" i="2" s="1"/>
  <c r="N1798" i="2"/>
  <c r="O1798" i="2" s="1"/>
  <c r="R1798" i="2" s="1"/>
  <c r="N1877" i="2"/>
  <c r="O1877" i="2" s="1"/>
  <c r="R1877" i="2" s="1"/>
  <c r="N1878" i="2"/>
  <c r="O1878" i="2" s="1"/>
  <c r="R1878" i="2" s="1"/>
  <c r="N1879" i="2"/>
  <c r="O1879" i="2" s="1"/>
  <c r="R1879" i="2" s="1"/>
  <c r="N1880" i="2"/>
  <c r="O1880" i="2" s="1"/>
  <c r="R1880" i="2" s="1"/>
  <c r="N1881" i="2"/>
  <c r="O1881" i="2" s="1"/>
  <c r="R1881" i="2" s="1"/>
  <c r="N1882" i="2"/>
  <c r="O1882" i="2" s="1"/>
  <c r="R1882" i="2" s="1"/>
  <c r="N1998" i="2"/>
  <c r="O1998" i="2" s="1"/>
  <c r="R1998" i="2" s="1"/>
  <c r="N1999" i="2"/>
  <c r="O1999" i="2" s="1"/>
  <c r="R1999" i="2" s="1"/>
  <c r="N2000" i="2"/>
  <c r="O2000" i="2" s="1"/>
  <c r="R2000" i="2" s="1"/>
  <c r="N1953" i="2"/>
  <c r="O1953" i="2" s="1"/>
  <c r="R1953" i="2" s="1"/>
  <c r="N1954" i="2"/>
  <c r="O1954" i="2" s="1"/>
  <c r="R1954" i="2" s="1"/>
  <c r="N1955" i="2"/>
  <c r="O1955" i="2" s="1"/>
  <c r="R1955" i="2" s="1"/>
  <c r="N1956" i="2"/>
  <c r="O1956" i="2" s="1"/>
  <c r="R1956" i="2" s="1"/>
  <c r="N1957" i="2"/>
  <c r="O1957" i="2" s="1"/>
  <c r="R1957" i="2" s="1"/>
  <c r="N1958" i="2"/>
  <c r="O1958" i="2" s="1"/>
  <c r="R1958" i="2" s="1"/>
  <c r="N1959" i="2"/>
  <c r="O1959" i="2" s="1"/>
  <c r="R1959" i="2" s="1"/>
  <c r="N1960" i="2"/>
  <c r="O1960" i="2" s="1"/>
  <c r="R1960" i="2" s="1"/>
  <c r="N1961" i="2"/>
  <c r="O1961" i="2" s="1"/>
  <c r="R1961" i="2" s="1"/>
  <c r="N2001" i="2"/>
  <c r="O2001" i="2" s="1"/>
  <c r="R2001" i="2" s="1"/>
  <c r="N2002" i="2"/>
  <c r="O2002" i="2" s="1"/>
  <c r="R2002" i="2" s="1"/>
  <c r="N2003" i="2"/>
  <c r="O2003" i="2" s="1"/>
  <c r="R2003" i="2" s="1"/>
  <c r="N2004" i="2"/>
  <c r="O2004" i="2" s="1"/>
  <c r="R2004" i="2" s="1"/>
  <c r="N2005" i="2"/>
  <c r="O2005" i="2" s="1"/>
  <c r="R2005" i="2" s="1"/>
  <c r="N1962" i="2"/>
  <c r="O1962" i="2" s="1"/>
  <c r="R1962" i="2" s="1"/>
  <c r="N1963" i="2"/>
  <c r="O1963" i="2" s="1"/>
  <c r="R1963" i="2" s="1"/>
  <c r="N1964" i="2"/>
  <c r="O1964" i="2" s="1"/>
  <c r="R1964" i="2" s="1"/>
  <c r="N2006" i="2"/>
  <c r="O2006" i="2" s="1"/>
  <c r="R2006" i="2" s="1"/>
  <c r="N2007" i="2"/>
  <c r="O2007" i="2" s="1"/>
  <c r="R2007" i="2" s="1"/>
  <c r="N2008" i="2"/>
  <c r="O2008" i="2" s="1"/>
  <c r="R2008" i="2" s="1"/>
  <c r="N1965" i="2"/>
  <c r="O1965" i="2" s="1"/>
  <c r="R1965" i="2" s="1"/>
  <c r="N1966" i="2"/>
  <c r="O1966" i="2" s="1"/>
  <c r="R1966" i="2" s="1"/>
  <c r="N1967" i="2"/>
  <c r="O1967" i="2" s="1"/>
  <c r="R1967" i="2" s="1"/>
  <c r="N2009" i="2"/>
  <c r="O2009" i="2" s="1"/>
  <c r="R2009" i="2" s="1"/>
  <c r="N2010" i="2"/>
  <c r="O2010" i="2" s="1"/>
  <c r="R2010" i="2" s="1"/>
  <c r="N2011" i="2"/>
  <c r="O2011" i="2" s="1"/>
  <c r="R2011" i="2" s="1"/>
  <c r="N2012" i="2"/>
  <c r="O2012" i="2" s="1"/>
  <c r="R2012" i="2" s="1"/>
  <c r="N2013" i="2"/>
  <c r="O2013" i="2" s="1"/>
  <c r="R2013" i="2" s="1"/>
  <c r="N2014" i="2"/>
  <c r="O2014" i="2" s="1"/>
  <c r="R2014" i="2" s="1"/>
  <c r="N2015" i="2"/>
  <c r="O2015" i="2" s="1"/>
  <c r="R2015" i="2" s="1"/>
  <c r="N2016" i="2"/>
  <c r="O2016" i="2" s="1"/>
  <c r="R2016" i="2" s="1"/>
  <c r="N2017" i="2"/>
  <c r="O2017" i="2" s="1"/>
  <c r="R2017" i="2" s="1"/>
  <c r="N2018" i="2"/>
  <c r="O2018" i="2" s="1"/>
  <c r="R2018" i="2" s="1"/>
  <c r="N2019" i="2"/>
  <c r="O2019" i="2" s="1"/>
  <c r="R2019" i="2" s="1"/>
  <c r="N2020" i="2"/>
  <c r="O2020" i="2" s="1"/>
  <c r="R2020" i="2" s="1"/>
  <c r="N2021" i="2"/>
  <c r="O2021" i="2" s="1"/>
  <c r="R2021" i="2" s="1"/>
  <c r="N2022" i="2"/>
  <c r="O2022" i="2" s="1"/>
  <c r="R2022" i="2" s="1"/>
  <c r="N2023" i="2"/>
  <c r="O2023" i="2" s="1"/>
  <c r="R2023" i="2" s="1"/>
  <c r="N2024" i="2"/>
  <c r="O2024" i="2" s="1"/>
  <c r="R2024" i="2" s="1"/>
  <c r="N2025" i="2"/>
  <c r="O2025" i="2" s="1"/>
  <c r="R2025" i="2" s="1"/>
  <c r="N2026" i="2"/>
  <c r="O2026" i="2" s="1"/>
  <c r="R2026" i="2" s="1"/>
  <c r="N2027" i="2"/>
  <c r="O2027" i="2" s="1"/>
  <c r="R2027" i="2" s="1"/>
  <c r="N2028" i="2"/>
  <c r="O2028" i="2" s="1"/>
  <c r="R2028" i="2" s="1"/>
  <c r="N2029" i="2"/>
  <c r="O2029" i="2" s="1"/>
  <c r="R2029" i="2" s="1"/>
  <c r="N2030" i="2"/>
  <c r="O2030" i="2" s="1"/>
  <c r="R2030" i="2" s="1"/>
  <c r="N2031" i="2"/>
  <c r="O2031" i="2" s="1"/>
  <c r="R2031" i="2" s="1"/>
  <c r="N2032" i="2"/>
  <c r="O2032" i="2" s="1"/>
  <c r="R2032" i="2" s="1"/>
  <c r="N2033" i="2"/>
  <c r="O2033" i="2" s="1"/>
  <c r="R2033" i="2" s="1"/>
  <c r="N2034" i="2"/>
  <c r="O2034" i="2" s="1"/>
  <c r="R2034" i="2" s="1"/>
  <c r="N2035" i="2"/>
  <c r="O2035" i="2" s="1"/>
  <c r="R2035" i="2" s="1"/>
  <c r="N2036" i="2"/>
  <c r="O2036" i="2" s="1"/>
  <c r="R2036" i="2" s="1"/>
  <c r="N2037" i="2"/>
  <c r="O2037" i="2" s="1"/>
  <c r="R2037" i="2" s="1"/>
  <c r="N2038" i="2"/>
  <c r="O2038" i="2" s="1"/>
  <c r="R2038" i="2" s="1"/>
  <c r="N1968" i="2"/>
  <c r="O1968" i="2" s="1"/>
  <c r="R1968" i="2" s="1"/>
  <c r="N1969" i="2"/>
  <c r="O1969" i="2" s="1"/>
  <c r="R1969" i="2" s="1"/>
  <c r="N1970" i="2"/>
  <c r="O1970" i="2" s="1"/>
  <c r="R1970" i="2" s="1"/>
  <c r="N1971" i="2"/>
  <c r="O1971" i="2" s="1"/>
  <c r="R1971" i="2" s="1"/>
  <c r="N1972" i="2"/>
  <c r="O1972" i="2" s="1"/>
  <c r="R1972" i="2" s="1"/>
  <c r="N1973" i="2"/>
  <c r="O1973" i="2" s="1"/>
  <c r="R1973" i="2" s="1"/>
  <c r="N1974" i="2"/>
  <c r="O1974" i="2" s="1"/>
  <c r="R1974" i="2" s="1"/>
  <c r="N1975" i="2"/>
  <c r="O1975" i="2" s="1"/>
  <c r="R1975" i="2" s="1"/>
  <c r="N1976" i="2"/>
  <c r="O1976" i="2" s="1"/>
  <c r="R1976" i="2" s="1"/>
  <c r="N2039" i="2"/>
  <c r="O2039" i="2" s="1"/>
  <c r="R2039" i="2" s="1"/>
  <c r="N2040" i="2"/>
  <c r="O2040" i="2" s="1"/>
  <c r="R2040" i="2" s="1"/>
  <c r="N2041" i="2"/>
  <c r="O2041" i="2" s="1"/>
  <c r="R2041" i="2" s="1"/>
  <c r="N2042" i="2"/>
  <c r="O2042" i="2" s="1"/>
  <c r="R2042" i="2" s="1"/>
  <c r="N2043" i="2"/>
  <c r="O2043" i="2" s="1"/>
  <c r="R2043" i="2" s="1"/>
  <c r="N2044" i="2"/>
  <c r="O2044" i="2" s="1"/>
  <c r="R2044" i="2" s="1"/>
  <c r="N1977" i="2"/>
  <c r="O1977" i="2" s="1"/>
  <c r="R1977" i="2" s="1"/>
  <c r="N1978" i="2"/>
  <c r="O1978" i="2" s="1"/>
  <c r="R1978" i="2" s="1"/>
  <c r="N1979" i="2"/>
  <c r="O1979" i="2" s="1"/>
  <c r="R1979" i="2" s="1"/>
  <c r="N2045" i="2"/>
  <c r="O2045" i="2" s="1"/>
  <c r="R2045" i="2" s="1"/>
  <c r="N2046" i="2"/>
  <c r="O2046" i="2" s="1"/>
  <c r="R2046" i="2" s="1"/>
  <c r="N2047" i="2"/>
  <c r="O2047" i="2" s="1"/>
  <c r="R2047" i="2" s="1"/>
  <c r="N1980" i="2"/>
  <c r="O1980" i="2" s="1"/>
  <c r="R1980" i="2" s="1"/>
  <c r="N1981" i="2"/>
  <c r="O1981" i="2" s="1"/>
  <c r="R1981" i="2" s="1"/>
  <c r="N1982" i="2"/>
  <c r="O1982" i="2" s="1"/>
  <c r="R1982" i="2" s="1"/>
  <c r="N2048" i="2"/>
  <c r="O2048" i="2" s="1"/>
  <c r="R2048" i="2" s="1"/>
  <c r="N2049" i="2"/>
  <c r="O2049" i="2" s="1"/>
  <c r="R2049" i="2" s="1"/>
  <c r="N2050" i="2"/>
  <c r="O2050" i="2" s="1"/>
  <c r="R2050" i="2" s="1"/>
  <c r="N2051" i="2"/>
  <c r="O2051" i="2" s="1"/>
  <c r="R2051" i="2" s="1"/>
  <c r="N2052" i="2"/>
  <c r="O2052" i="2" s="1"/>
  <c r="R2052" i="2" s="1"/>
  <c r="N2053" i="2"/>
  <c r="O2053" i="2" s="1"/>
  <c r="R2053" i="2" s="1"/>
  <c r="N2054" i="2"/>
  <c r="O2054" i="2" s="1"/>
  <c r="R2054" i="2" s="1"/>
  <c r="N2055" i="2"/>
  <c r="O2055" i="2" s="1"/>
  <c r="R2055" i="2" s="1"/>
  <c r="N2056" i="2"/>
  <c r="O2056" i="2" s="1"/>
  <c r="R2056" i="2" s="1"/>
  <c r="N2057" i="2"/>
  <c r="O2057" i="2" s="1"/>
  <c r="R2057" i="2" s="1"/>
  <c r="N2058" i="2"/>
  <c r="O2058" i="2" s="1"/>
  <c r="R2058" i="2" s="1"/>
  <c r="N2059" i="2"/>
  <c r="O2059" i="2" s="1"/>
  <c r="R2059" i="2" s="1"/>
  <c r="N2060" i="2"/>
  <c r="O2060" i="2" s="1"/>
  <c r="R2060" i="2" s="1"/>
  <c r="N2061" i="2"/>
  <c r="O2061" i="2" s="1"/>
  <c r="R2061" i="2" s="1"/>
  <c r="N2062" i="2"/>
  <c r="O2062" i="2" s="1"/>
  <c r="R2062" i="2" s="1"/>
  <c r="N2063" i="2"/>
  <c r="O2063" i="2" s="1"/>
  <c r="R2063" i="2" s="1"/>
  <c r="N2064" i="2"/>
  <c r="O2064" i="2" s="1"/>
  <c r="R2064" i="2" s="1"/>
  <c r="N2065" i="2"/>
  <c r="O2065" i="2" s="1"/>
  <c r="R2065" i="2" s="1"/>
  <c r="N2066" i="2"/>
  <c r="O2066" i="2" s="1"/>
  <c r="R2066" i="2" s="1"/>
  <c r="N2067" i="2"/>
  <c r="O2067" i="2" s="1"/>
  <c r="R2067" i="2" s="1"/>
  <c r="N2068" i="2"/>
  <c r="O2068" i="2" s="1"/>
  <c r="R2068" i="2" s="1"/>
  <c r="N1983" i="2"/>
  <c r="O1983" i="2" s="1"/>
  <c r="R1983" i="2" s="1"/>
  <c r="N1984" i="2"/>
  <c r="O1984" i="2" s="1"/>
  <c r="R1984" i="2" s="1"/>
  <c r="N1985" i="2"/>
  <c r="O1985" i="2" s="1"/>
  <c r="R1985" i="2" s="1"/>
  <c r="N1986" i="2"/>
  <c r="O1986" i="2" s="1"/>
  <c r="R1986" i="2" s="1"/>
  <c r="N1987" i="2"/>
  <c r="O1987" i="2" s="1"/>
  <c r="R1987" i="2" s="1"/>
  <c r="N1988" i="2"/>
  <c r="O1988" i="2" s="1"/>
  <c r="R1988" i="2" s="1"/>
  <c r="N1989" i="2"/>
  <c r="O1989" i="2" s="1"/>
  <c r="R1989" i="2" s="1"/>
  <c r="N1990" i="2"/>
  <c r="O1990" i="2" s="1"/>
  <c r="R1990" i="2" s="1"/>
  <c r="N1991" i="2"/>
  <c r="O1991" i="2" s="1"/>
  <c r="R1991" i="2" s="1"/>
  <c r="N2069" i="2"/>
  <c r="O2069" i="2" s="1"/>
  <c r="R2069" i="2" s="1"/>
  <c r="N2070" i="2"/>
  <c r="O2070" i="2" s="1"/>
  <c r="R2070" i="2" s="1"/>
  <c r="N2071" i="2"/>
  <c r="O2071" i="2" s="1"/>
  <c r="R2071" i="2" s="1"/>
  <c r="N1992" i="2"/>
  <c r="O1992" i="2" s="1"/>
  <c r="R1992" i="2" s="1"/>
  <c r="N1993" i="2"/>
  <c r="O1993" i="2" s="1"/>
  <c r="R1993" i="2" s="1"/>
  <c r="N1994" i="2"/>
  <c r="O1994" i="2" s="1"/>
  <c r="R1994" i="2" s="1"/>
  <c r="N2168" i="2"/>
  <c r="O2168" i="2" s="1"/>
  <c r="R2168" i="2" s="1"/>
  <c r="N2169" i="2"/>
  <c r="O2169" i="2" s="1"/>
  <c r="R2169" i="2" s="1"/>
  <c r="N2135" i="2"/>
  <c r="O2135" i="2" s="1"/>
  <c r="R2135" i="2" s="1"/>
  <c r="N2136" i="2"/>
  <c r="O2136" i="2" s="1"/>
  <c r="R2136" i="2" s="1"/>
  <c r="N2137" i="2"/>
  <c r="O2137" i="2" s="1"/>
  <c r="R2137" i="2" s="1"/>
  <c r="N2138" i="2"/>
  <c r="O2138" i="2" s="1"/>
  <c r="R2138" i="2" s="1"/>
  <c r="N2139" i="2"/>
  <c r="O2139" i="2" s="1"/>
  <c r="R2139" i="2" s="1"/>
  <c r="N2140" i="2"/>
  <c r="O2140" i="2" s="1"/>
  <c r="R2140" i="2" s="1"/>
  <c r="N2141" i="2"/>
  <c r="O2141" i="2" s="1"/>
  <c r="R2141" i="2" s="1"/>
  <c r="N2142" i="2"/>
  <c r="O2142" i="2" s="1"/>
  <c r="R2142" i="2" s="1"/>
  <c r="N2143" i="2"/>
  <c r="O2143" i="2" s="1"/>
  <c r="R2143" i="2" s="1"/>
  <c r="N2144" i="2"/>
  <c r="O2144" i="2" s="1"/>
  <c r="R2144" i="2" s="1"/>
  <c r="N2170" i="2"/>
  <c r="O2170" i="2" s="1"/>
  <c r="R2170" i="2" s="1"/>
  <c r="N2171" i="2"/>
  <c r="O2171" i="2" s="1"/>
  <c r="R2171" i="2" s="1"/>
  <c r="N2145" i="2"/>
  <c r="O2145" i="2" s="1"/>
  <c r="R2145" i="2" s="1"/>
  <c r="N2146" i="2"/>
  <c r="O2146" i="2" s="1"/>
  <c r="R2146" i="2" s="1"/>
  <c r="N2147" i="2"/>
  <c r="O2147" i="2" s="1"/>
  <c r="R2147" i="2" s="1"/>
  <c r="N2148" i="2"/>
  <c r="O2148" i="2" s="1"/>
  <c r="R2148" i="2" s="1"/>
  <c r="N2149" i="2"/>
  <c r="O2149" i="2" s="1"/>
  <c r="R2149" i="2" s="1"/>
  <c r="N2150" i="2"/>
  <c r="O2150" i="2" s="1"/>
  <c r="R2150" i="2" s="1"/>
  <c r="N2151" i="2"/>
  <c r="O2151" i="2" s="1"/>
  <c r="R2151" i="2" s="1"/>
  <c r="N2152" i="2"/>
  <c r="O2152" i="2" s="1"/>
  <c r="R2152" i="2" s="1"/>
  <c r="N2153" i="2"/>
  <c r="O2153" i="2" s="1"/>
  <c r="R2153" i="2" s="1"/>
  <c r="N2154" i="2"/>
  <c r="O2154" i="2" s="1"/>
  <c r="R2154" i="2" s="1"/>
  <c r="N2172" i="2"/>
  <c r="O2172" i="2" s="1"/>
  <c r="R2172" i="2" s="1"/>
  <c r="N2173" i="2"/>
  <c r="O2173" i="2" s="1"/>
  <c r="R2173" i="2" s="1"/>
  <c r="N2174" i="2"/>
  <c r="O2174" i="2" s="1"/>
  <c r="R2174" i="2" s="1"/>
  <c r="N2175" i="2"/>
  <c r="O2175" i="2" s="1"/>
  <c r="R2175" i="2" s="1"/>
  <c r="N2176" i="2"/>
  <c r="O2176" i="2" s="1"/>
  <c r="R2176" i="2" s="1"/>
  <c r="N2155" i="2"/>
  <c r="O2155" i="2" s="1"/>
  <c r="R2155" i="2" s="1"/>
  <c r="N2156" i="2"/>
  <c r="O2156" i="2" s="1"/>
  <c r="R2156" i="2" s="1"/>
  <c r="N2157" i="2"/>
  <c r="O2157" i="2" s="1"/>
  <c r="R2157" i="2" s="1"/>
  <c r="N2158" i="2"/>
  <c r="O2158" i="2" s="1"/>
  <c r="R2158" i="2" s="1"/>
  <c r="N2177" i="2"/>
  <c r="O2177" i="2" s="1"/>
  <c r="R2177" i="2" s="1"/>
  <c r="N2178" i="2"/>
  <c r="O2178" i="2" s="1"/>
  <c r="R2178" i="2" s="1"/>
  <c r="N2159" i="2"/>
  <c r="O2159" i="2" s="1"/>
  <c r="R2159" i="2" s="1"/>
  <c r="N2160" i="2"/>
  <c r="O2160" i="2" s="1"/>
  <c r="R2160" i="2" s="1"/>
  <c r="N2161" i="2"/>
  <c r="O2161" i="2" s="1"/>
  <c r="R2161" i="2" s="1"/>
  <c r="N2162" i="2"/>
  <c r="O2162" i="2" s="1"/>
  <c r="R2162" i="2" s="1"/>
  <c r="N2179" i="2"/>
  <c r="O2179" i="2" s="1"/>
  <c r="R2179" i="2" s="1"/>
  <c r="N2180" i="2"/>
  <c r="O2180" i="2" s="1"/>
  <c r="R2180" i="2" s="1"/>
  <c r="N2181" i="2"/>
  <c r="O2181" i="2" s="1"/>
  <c r="R2181" i="2" s="1"/>
  <c r="N2182" i="2"/>
  <c r="O2182" i="2" s="1"/>
  <c r="R2182" i="2" s="1"/>
  <c r="N2183" i="2"/>
  <c r="O2183" i="2" s="1"/>
  <c r="R2183" i="2" s="1"/>
  <c r="N2184" i="2"/>
  <c r="O2184" i="2" s="1"/>
  <c r="R2184" i="2" s="1"/>
  <c r="N2185" i="2"/>
  <c r="O2185" i="2" s="1"/>
  <c r="R2185" i="2" s="1"/>
  <c r="N2186" i="2"/>
  <c r="O2186" i="2" s="1"/>
  <c r="R2186" i="2" s="1"/>
  <c r="N2187" i="2"/>
  <c r="O2187" i="2" s="1"/>
  <c r="R2187" i="2" s="1"/>
  <c r="N2188" i="2"/>
  <c r="O2188" i="2" s="1"/>
  <c r="R2188" i="2" s="1"/>
  <c r="N2189" i="2"/>
  <c r="O2189" i="2" s="1"/>
  <c r="R2189" i="2" s="1"/>
  <c r="N2190" i="2"/>
  <c r="O2190" i="2" s="1"/>
  <c r="R2190" i="2" s="1"/>
  <c r="N2191" i="2"/>
  <c r="O2191" i="2" s="1"/>
  <c r="R2191" i="2" s="1"/>
  <c r="N2192" i="2"/>
  <c r="O2192" i="2" s="1"/>
  <c r="R2192" i="2" s="1"/>
  <c r="N2193" i="2"/>
  <c r="O2193" i="2" s="1"/>
  <c r="R2193" i="2" s="1"/>
  <c r="N2194" i="2"/>
  <c r="O2194" i="2" s="1"/>
  <c r="R2194" i="2" s="1"/>
  <c r="N2195" i="2"/>
  <c r="O2195" i="2" s="1"/>
  <c r="R2195" i="2" s="1"/>
  <c r="N2196" i="2"/>
  <c r="O2196" i="2" s="1"/>
  <c r="R2196" i="2" s="1"/>
  <c r="N2197" i="2"/>
  <c r="O2197" i="2" s="1"/>
  <c r="R2197" i="2" s="1"/>
  <c r="N2198" i="2"/>
  <c r="O2198" i="2" s="1"/>
  <c r="R2198" i="2" s="1"/>
  <c r="N2199" i="2"/>
  <c r="O2199" i="2" s="1"/>
  <c r="R2199" i="2" s="1"/>
  <c r="N2200" i="2"/>
  <c r="O2200" i="2" s="1"/>
  <c r="R2200" i="2" s="1"/>
  <c r="N2201" i="2"/>
  <c r="O2201" i="2" s="1"/>
  <c r="R2201" i="2" s="1"/>
  <c r="N2163" i="2"/>
  <c r="O2163" i="2" s="1"/>
  <c r="R2163" i="2" s="1"/>
  <c r="N2202" i="2"/>
  <c r="O2202" i="2" s="1"/>
  <c r="R2202" i="2" s="1"/>
  <c r="N2203" i="2"/>
  <c r="O2203" i="2" s="1"/>
  <c r="R2203" i="2" s="1"/>
  <c r="N2164" i="2"/>
  <c r="O2164" i="2" s="1"/>
  <c r="R2164" i="2" s="1"/>
  <c r="N2165" i="2"/>
  <c r="O2165" i="2" s="1"/>
  <c r="R2165" i="2" s="1"/>
  <c r="N2166" i="2"/>
  <c r="O2166" i="2" s="1"/>
  <c r="R2166" i="2" s="1"/>
  <c r="N2167" i="2"/>
  <c r="O2167" i="2" s="1"/>
  <c r="R2167" i="2" s="1"/>
  <c r="N2204" i="2"/>
  <c r="O2204" i="2" s="1"/>
  <c r="R2204" i="2" s="1"/>
  <c r="N2205" i="2"/>
  <c r="O2205" i="2" s="1"/>
  <c r="R2205" i="2" s="1"/>
  <c r="N2206" i="2"/>
  <c r="O2206" i="2" s="1"/>
  <c r="R2206" i="2" s="1"/>
  <c r="N2207" i="2"/>
  <c r="O2207" i="2" s="1"/>
  <c r="R2207" i="2" s="1"/>
  <c r="N2208" i="2"/>
  <c r="O2208" i="2" s="1"/>
  <c r="R2208" i="2" s="1"/>
  <c r="N2209" i="2"/>
  <c r="O2209" i="2" s="1"/>
  <c r="R2209" i="2" s="1"/>
  <c r="N2210" i="2"/>
  <c r="O2210" i="2" s="1"/>
  <c r="R2210" i="2" s="1"/>
  <c r="N2211" i="2"/>
  <c r="O2211" i="2" s="1"/>
  <c r="R2211" i="2" s="1"/>
  <c r="N2212" i="2"/>
  <c r="O2212" i="2" s="1"/>
  <c r="R2212" i="2" s="1"/>
  <c r="N2213" i="2"/>
  <c r="O2213" i="2" s="1"/>
  <c r="R2213" i="2" s="1"/>
  <c r="N2214" i="2"/>
  <c r="O2214" i="2" s="1"/>
  <c r="R2214" i="2" s="1"/>
  <c r="N2215" i="2"/>
  <c r="O2215" i="2" s="1"/>
  <c r="R2215" i="2" s="1"/>
  <c r="N2216" i="2"/>
  <c r="O2216" i="2" s="1"/>
  <c r="R2216" i="2" s="1"/>
  <c r="N2217" i="2"/>
  <c r="O2217" i="2" s="1"/>
  <c r="R2217" i="2" s="1"/>
  <c r="N2218" i="2"/>
  <c r="O2218" i="2" s="1"/>
  <c r="R2218" i="2" s="1"/>
  <c r="N2219" i="2"/>
  <c r="O2219" i="2" s="1"/>
  <c r="R2219" i="2" s="1"/>
  <c r="N2220" i="2"/>
  <c r="O2220" i="2" s="1"/>
  <c r="R2220" i="2" s="1"/>
  <c r="N2371" i="2"/>
  <c r="O2371" i="2" s="1"/>
  <c r="R2371" i="2" s="1"/>
  <c r="N2308" i="2"/>
  <c r="O2308" i="2" s="1"/>
  <c r="R2308" i="2" s="1"/>
  <c r="N2309" i="2"/>
  <c r="O2309" i="2" s="1"/>
  <c r="R2309" i="2" s="1"/>
  <c r="N2310" i="2"/>
  <c r="O2310" i="2" s="1"/>
  <c r="R2310" i="2" s="1"/>
  <c r="N2311" i="2"/>
  <c r="O2311" i="2" s="1"/>
  <c r="R2311" i="2" s="1"/>
  <c r="N2312" i="2"/>
  <c r="O2312" i="2" s="1"/>
  <c r="R2312" i="2" s="1"/>
  <c r="N2313" i="2"/>
  <c r="O2313" i="2" s="1"/>
  <c r="R2313" i="2" s="1"/>
  <c r="N2314" i="2"/>
  <c r="O2314" i="2" s="1"/>
  <c r="R2314" i="2" s="1"/>
  <c r="N2315" i="2"/>
  <c r="O2315" i="2" s="1"/>
  <c r="R2315" i="2" s="1"/>
  <c r="N2316" i="2"/>
  <c r="O2316" i="2" s="1"/>
  <c r="R2316" i="2" s="1"/>
  <c r="N2317" i="2"/>
  <c r="O2317" i="2" s="1"/>
  <c r="R2317" i="2" s="1"/>
  <c r="N2318" i="2"/>
  <c r="O2318" i="2" s="1"/>
  <c r="R2318" i="2" s="1"/>
  <c r="N2372" i="2"/>
  <c r="O2372" i="2" s="1"/>
  <c r="R2372" i="2" s="1"/>
  <c r="N2373" i="2"/>
  <c r="O2373" i="2" s="1"/>
  <c r="R2373" i="2" s="1"/>
  <c r="N2319" i="2"/>
  <c r="O2319" i="2" s="1"/>
  <c r="R2319" i="2" s="1"/>
  <c r="N2320" i="2"/>
  <c r="O2320" i="2" s="1"/>
  <c r="R2320" i="2" s="1"/>
  <c r="N2321" i="2"/>
  <c r="O2321" i="2" s="1"/>
  <c r="R2321" i="2" s="1"/>
  <c r="N2322" i="2"/>
  <c r="O2322" i="2" s="1"/>
  <c r="R2322" i="2" s="1"/>
  <c r="N2323" i="2"/>
  <c r="O2323" i="2" s="1"/>
  <c r="R2323" i="2" s="1"/>
  <c r="N2374" i="2"/>
  <c r="O2374" i="2" s="1"/>
  <c r="R2374" i="2" s="1"/>
  <c r="N2324" i="2"/>
  <c r="O2324" i="2" s="1"/>
  <c r="R2324" i="2" s="1"/>
  <c r="N2325" i="2"/>
  <c r="O2325" i="2" s="1"/>
  <c r="R2325" i="2" s="1"/>
  <c r="N2326" i="2"/>
  <c r="O2326" i="2" s="1"/>
  <c r="R2326" i="2" s="1"/>
  <c r="N2327" i="2"/>
  <c r="O2327" i="2" s="1"/>
  <c r="R2327" i="2" s="1"/>
  <c r="N2328" i="2"/>
  <c r="O2328" i="2" s="1"/>
  <c r="R2328" i="2" s="1"/>
  <c r="N2375" i="2"/>
  <c r="O2375" i="2" s="1"/>
  <c r="R2375" i="2" s="1"/>
  <c r="N2376" i="2"/>
  <c r="O2376" i="2" s="1"/>
  <c r="R2376" i="2" s="1"/>
  <c r="N2377" i="2"/>
  <c r="O2377" i="2" s="1"/>
  <c r="R2377" i="2" s="1"/>
  <c r="N2378" i="2"/>
  <c r="O2378" i="2" s="1"/>
  <c r="R2378" i="2" s="1"/>
  <c r="N2379" i="2"/>
  <c r="O2379" i="2" s="1"/>
  <c r="R2379" i="2" s="1"/>
  <c r="N2380" i="2"/>
  <c r="O2380" i="2" s="1"/>
  <c r="R2380" i="2" s="1"/>
  <c r="N2381" i="2"/>
  <c r="O2381" i="2" s="1"/>
  <c r="R2381" i="2" s="1"/>
  <c r="N2382" i="2"/>
  <c r="O2382" i="2" s="1"/>
  <c r="R2382" i="2" s="1"/>
  <c r="N2383" i="2"/>
  <c r="O2383" i="2" s="1"/>
  <c r="R2383" i="2" s="1"/>
  <c r="N2384" i="2"/>
  <c r="O2384" i="2" s="1"/>
  <c r="R2384" i="2" s="1"/>
  <c r="N2385" i="2"/>
  <c r="O2385" i="2" s="1"/>
  <c r="R2385" i="2" s="1"/>
  <c r="N2386" i="2"/>
  <c r="O2386" i="2" s="1"/>
  <c r="R2386" i="2" s="1"/>
  <c r="N2387" i="2"/>
  <c r="O2387" i="2" s="1"/>
  <c r="R2387" i="2" s="1"/>
  <c r="N2388" i="2"/>
  <c r="O2388" i="2" s="1"/>
  <c r="R2388" i="2" s="1"/>
  <c r="N2389" i="2"/>
  <c r="O2389" i="2" s="1"/>
  <c r="R2389" i="2" s="1"/>
  <c r="N2390" i="2"/>
  <c r="O2390" i="2" s="1"/>
  <c r="R2390" i="2" s="1"/>
  <c r="N2391" i="2"/>
  <c r="O2391" i="2" s="1"/>
  <c r="R2391" i="2" s="1"/>
  <c r="N2392" i="2"/>
  <c r="O2392" i="2" s="1"/>
  <c r="R2392" i="2" s="1"/>
  <c r="N2393" i="2"/>
  <c r="O2393" i="2" s="1"/>
  <c r="R2393" i="2" s="1"/>
  <c r="N2394" i="2"/>
  <c r="O2394" i="2" s="1"/>
  <c r="R2394" i="2" s="1"/>
  <c r="N2395" i="2"/>
  <c r="O2395" i="2" s="1"/>
  <c r="R2395" i="2" s="1"/>
  <c r="N2396" i="2"/>
  <c r="O2396" i="2" s="1"/>
  <c r="R2396" i="2" s="1"/>
  <c r="N2397" i="2"/>
  <c r="O2397" i="2" s="1"/>
  <c r="R2397" i="2" s="1"/>
  <c r="N2398" i="2"/>
  <c r="O2398" i="2" s="1"/>
  <c r="R2398" i="2" s="1"/>
  <c r="N2399" i="2"/>
  <c r="O2399" i="2" s="1"/>
  <c r="R2399" i="2" s="1"/>
  <c r="N2400" i="2"/>
  <c r="O2400" i="2" s="1"/>
  <c r="R2400" i="2" s="1"/>
  <c r="N2401" i="2"/>
  <c r="O2401" i="2" s="1"/>
  <c r="R2401" i="2" s="1"/>
  <c r="N2329" i="2"/>
  <c r="O2329" i="2" s="1"/>
  <c r="R2329" i="2" s="1"/>
  <c r="N2330" i="2"/>
  <c r="O2330" i="2" s="1"/>
  <c r="R2330" i="2" s="1"/>
  <c r="N2402" i="2"/>
  <c r="O2402" i="2" s="1"/>
  <c r="R2402" i="2" s="1"/>
  <c r="N2331" i="2"/>
  <c r="O2331" i="2" s="1"/>
  <c r="R2331" i="2" s="1"/>
  <c r="N2332" i="2"/>
  <c r="O2332" i="2" s="1"/>
  <c r="R2332" i="2" s="1"/>
  <c r="N2403" i="2"/>
  <c r="O2403" i="2" s="1"/>
  <c r="R2403" i="2" s="1"/>
  <c r="N2333" i="2"/>
  <c r="O2333" i="2" s="1"/>
  <c r="R2333" i="2" s="1"/>
  <c r="N2334" i="2"/>
  <c r="O2334" i="2" s="1"/>
  <c r="R2334" i="2" s="1"/>
  <c r="N2404" i="2"/>
  <c r="O2404" i="2" s="1"/>
  <c r="R2404" i="2" s="1"/>
  <c r="N2335" i="2"/>
  <c r="O2335" i="2" s="1"/>
  <c r="R2335" i="2" s="1"/>
  <c r="N2336" i="2"/>
  <c r="O2336" i="2" s="1"/>
  <c r="R2336" i="2" s="1"/>
  <c r="N2337" i="2"/>
  <c r="O2337" i="2" s="1"/>
  <c r="R2337" i="2" s="1"/>
  <c r="N2338" i="2"/>
  <c r="O2338" i="2" s="1"/>
  <c r="R2338" i="2" s="1"/>
  <c r="N2339" i="2"/>
  <c r="O2339" i="2" s="1"/>
  <c r="R2339" i="2" s="1"/>
  <c r="N2405" i="2"/>
  <c r="O2405" i="2" s="1"/>
  <c r="R2405" i="2" s="1"/>
  <c r="N2340" i="2"/>
  <c r="O2340" i="2" s="1"/>
  <c r="R2340" i="2" s="1"/>
  <c r="N2341" i="2"/>
  <c r="O2341" i="2" s="1"/>
  <c r="R2341" i="2" s="1"/>
  <c r="N2342" i="2"/>
  <c r="O2342" i="2" s="1"/>
  <c r="R2342" i="2" s="1"/>
  <c r="N2343" i="2"/>
  <c r="O2343" i="2" s="1"/>
  <c r="R2343" i="2" s="1"/>
  <c r="N2344" i="2"/>
  <c r="O2344" i="2" s="1"/>
  <c r="R2344" i="2" s="1"/>
  <c r="N2406" i="2"/>
  <c r="O2406" i="2" s="1"/>
  <c r="R2406" i="2" s="1"/>
  <c r="N2345" i="2"/>
  <c r="O2345" i="2" s="1"/>
  <c r="R2345" i="2" s="1"/>
  <c r="N2346" i="2"/>
  <c r="O2346" i="2" s="1"/>
  <c r="R2346" i="2" s="1"/>
  <c r="N2347" i="2"/>
  <c r="O2347" i="2" s="1"/>
  <c r="R2347" i="2" s="1"/>
  <c r="N2348" i="2"/>
  <c r="O2348" i="2" s="1"/>
  <c r="R2348" i="2" s="1"/>
  <c r="N2349" i="2"/>
  <c r="O2349" i="2" s="1"/>
  <c r="R2349" i="2" s="1"/>
  <c r="N2407" i="2"/>
  <c r="O2407" i="2" s="1"/>
  <c r="R2407" i="2" s="1"/>
  <c r="N2408" i="2"/>
  <c r="O2408" i="2" s="1"/>
  <c r="R2408" i="2" s="1"/>
  <c r="N2409" i="2"/>
  <c r="O2409" i="2" s="1"/>
  <c r="R2409" i="2" s="1"/>
  <c r="N2410" i="2"/>
  <c r="O2410" i="2" s="1"/>
  <c r="R2410" i="2" s="1"/>
  <c r="N2411" i="2"/>
  <c r="O2411" i="2" s="1"/>
  <c r="R2411" i="2" s="1"/>
  <c r="N2412" i="2"/>
  <c r="O2412" i="2" s="1"/>
  <c r="R2412" i="2" s="1"/>
  <c r="N2413" i="2"/>
  <c r="O2413" i="2" s="1"/>
  <c r="R2413" i="2" s="1"/>
  <c r="N2350" i="2"/>
  <c r="O2350" i="2" s="1"/>
  <c r="R2350" i="2" s="1"/>
  <c r="N2351" i="2"/>
  <c r="O2351" i="2" s="1"/>
  <c r="R2351" i="2" s="1"/>
  <c r="N2352" i="2"/>
  <c r="O2352" i="2" s="1"/>
  <c r="R2352" i="2" s="1"/>
  <c r="N2353" i="2"/>
  <c r="O2353" i="2" s="1"/>
  <c r="R2353" i="2" s="1"/>
  <c r="N2354" i="2"/>
  <c r="O2354" i="2" s="1"/>
  <c r="R2354" i="2" s="1"/>
  <c r="N2355" i="2"/>
  <c r="O2355" i="2" s="1"/>
  <c r="R2355" i="2" s="1"/>
  <c r="N2356" i="2"/>
  <c r="O2356" i="2" s="1"/>
  <c r="R2356" i="2" s="1"/>
  <c r="N2357" i="2"/>
  <c r="O2357" i="2" s="1"/>
  <c r="R2357" i="2" s="1"/>
  <c r="N2358" i="2"/>
  <c r="O2358" i="2" s="1"/>
  <c r="R2358" i="2" s="1"/>
  <c r="N2359" i="2"/>
  <c r="O2359" i="2" s="1"/>
  <c r="R2359" i="2" s="1"/>
  <c r="N2360" i="2"/>
  <c r="O2360" i="2" s="1"/>
  <c r="R2360" i="2" s="1"/>
  <c r="N2414" i="2"/>
  <c r="O2414" i="2" s="1"/>
  <c r="R2414" i="2" s="1"/>
  <c r="N2361" i="2"/>
  <c r="O2361" i="2" s="1"/>
  <c r="R2361" i="2" s="1"/>
  <c r="N2362" i="2"/>
  <c r="O2362" i="2" s="1"/>
  <c r="R2362" i="2" s="1"/>
  <c r="N2363" i="2"/>
  <c r="O2363" i="2" s="1"/>
  <c r="R2363" i="2" s="1"/>
  <c r="N2364" i="2"/>
  <c r="O2364" i="2" s="1"/>
  <c r="R2364" i="2" s="1"/>
  <c r="N2365" i="2"/>
  <c r="O2365" i="2" s="1"/>
  <c r="R2365" i="2" s="1"/>
  <c r="N2415" i="2"/>
  <c r="O2415" i="2" s="1"/>
  <c r="R2415" i="2" s="1"/>
  <c r="N2416" i="2"/>
  <c r="O2416" i="2" s="1"/>
  <c r="R2416" i="2" s="1"/>
  <c r="N2417" i="2"/>
  <c r="O2417" i="2" s="1"/>
  <c r="R2417" i="2" s="1"/>
  <c r="N2418" i="2"/>
  <c r="O2418" i="2" s="1"/>
  <c r="R2418" i="2" s="1"/>
  <c r="N2366" i="2"/>
  <c r="O2366" i="2" s="1"/>
  <c r="R2366" i="2" s="1"/>
  <c r="N2367" i="2"/>
  <c r="O2367" i="2" s="1"/>
  <c r="R2367" i="2" s="1"/>
  <c r="N2368" i="2"/>
  <c r="O2368" i="2" s="1"/>
  <c r="R2368" i="2" s="1"/>
  <c r="N2369" i="2"/>
  <c r="O2369" i="2" s="1"/>
  <c r="R2369" i="2" s="1"/>
  <c r="N2370" i="2"/>
  <c r="O2370" i="2" s="1"/>
  <c r="R2370" i="2" s="1"/>
  <c r="N2476" i="2"/>
  <c r="O2476" i="2" s="1"/>
  <c r="R2476" i="2" s="1"/>
  <c r="N2477" i="2"/>
  <c r="O2477" i="2" s="1"/>
  <c r="R2477" i="2" s="1"/>
  <c r="N2478" i="2"/>
  <c r="O2478" i="2" s="1"/>
  <c r="R2478" i="2" s="1"/>
  <c r="N2479" i="2"/>
  <c r="O2479" i="2" s="1"/>
  <c r="R2479" i="2" s="1"/>
  <c r="N2480" i="2"/>
  <c r="O2480" i="2" s="1"/>
  <c r="R2480" i="2" s="1"/>
  <c r="N2481" i="2"/>
  <c r="O2481" i="2" s="1"/>
  <c r="R2481" i="2" s="1"/>
  <c r="N2482" i="2"/>
  <c r="O2482" i="2" s="1"/>
  <c r="R2482" i="2" s="1"/>
  <c r="N2483" i="2"/>
  <c r="O2483" i="2" s="1"/>
  <c r="R2483" i="2" s="1"/>
  <c r="N2484" i="2"/>
  <c r="O2484" i="2" s="1"/>
  <c r="R2484" i="2" s="1"/>
  <c r="N2485" i="2"/>
  <c r="O2485" i="2" s="1"/>
  <c r="R2485" i="2" s="1"/>
  <c r="N2486" i="2"/>
  <c r="O2486" i="2" s="1"/>
  <c r="R2486" i="2" s="1"/>
  <c r="N2487" i="2"/>
  <c r="O2487" i="2" s="1"/>
  <c r="R2487" i="2" s="1"/>
  <c r="N2572" i="2"/>
  <c r="O2572" i="2" s="1"/>
  <c r="R2572" i="2" s="1"/>
  <c r="N2488" i="2"/>
  <c r="O2488" i="2" s="1"/>
  <c r="R2488" i="2" s="1"/>
  <c r="N2489" i="2"/>
  <c r="O2489" i="2" s="1"/>
  <c r="R2489" i="2" s="1"/>
  <c r="N2490" i="2"/>
  <c r="O2490" i="2" s="1"/>
  <c r="R2490" i="2" s="1"/>
  <c r="N2491" i="2"/>
  <c r="O2491" i="2" s="1"/>
  <c r="R2491" i="2" s="1"/>
  <c r="N2492" i="2"/>
  <c r="O2492" i="2" s="1"/>
  <c r="R2492" i="2" s="1"/>
  <c r="N2493" i="2"/>
  <c r="O2493" i="2" s="1"/>
  <c r="R2493" i="2" s="1"/>
  <c r="N2494" i="2"/>
  <c r="O2494" i="2" s="1"/>
  <c r="R2494" i="2" s="1"/>
  <c r="N2495" i="2"/>
  <c r="O2495" i="2" s="1"/>
  <c r="R2495" i="2" s="1"/>
  <c r="N2496" i="2"/>
  <c r="O2496" i="2" s="1"/>
  <c r="R2496" i="2" s="1"/>
  <c r="N2497" i="2"/>
  <c r="O2497" i="2" s="1"/>
  <c r="R2497" i="2" s="1"/>
  <c r="N2573" i="2"/>
  <c r="O2573" i="2" s="1"/>
  <c r="R2573" i="2" s="1"/>
  <c r="N2574" i="2"/>
  <c r="O2574" i="2" s="1"/>
  <c r="R2574" i="2" s="1"/>
  <c r="N2575" i="2"/>
  <c r="O2575" i="2" s="1"/>
  <c r="R2575" i="2" s="1"/>
  <c r="N2576" i="2"/>
  <c r="O2576" i="2" s="1"/>
  <c r="R2576" i="2" s="1"/>
  <c r="N2577" i="2"/>
  <c r="O2577" i="2" s="1"/>
  <c r="R2577" i="2" s="1"/>
  <c r="N2578" i="2"/>
  <c r="O2578" i="2" s="1"/>
  <c r="R2578" i="2" s="1"/>
  <c r="N2579" i="2"/>
  <c r="O2579" i="2" s="1"/>
  <c r="R2579" i="2" s="1"/>
  <c r="N2580" i="2"/>
  <c r="O2580" i="2" s="1"/>
  <c r="R2580" i="2" s="1"/>
  <c r="N2581" i="2"/>
  <c r="O2581" i="2" s="1"/>
  <c r="R2581" i="2" s="1"/>
  <c r="N2582" i="2"/>
  <c r="O2582" i="2" s="1"/>
  <c r="R2582" i="2" s="1"/>
  <c r="N2583" i="2"/>
  <c r="O2583" i="2" s="1"/>
  <c r="R2583" i="2" s="1"/>
  <c r="N2498" i="2"/>
  <c r="O2498" i="2" s="1"/>
  <c r="R2498" i="2" s="1"/>
  <c r="N2499" i="2"/>
  <c r="O2499" i="2" s="1"/>
  <c r="R2499" i="2" s="1"/>
  <c r="N2500" i="2"/>
  <c r="O2500" i="2" s="1"/>
  <c r="R2500" i="2" s="1"/>
  <c r="N2501" i="2"/>
  <c r="O2501" i="2" s="1"/>
  <c r="R2501" i="2" s="1"/>
  <c r="N2584" i="2"/>
  <c r="O2584" i="2" s="1"/>
  <c r="R2584" i="2" s="1"/>
  <c r="N2585" i="2"/>
  <c r="O2585" i="2" s="1"/>
  <c r="R2585" i="2" s="1"/>
  <c r="N2586" i="2"/>
  <c r="O2586" i="2" s="1"/>
  <c r="R2586" i="2" s="1"/>
  <c r="N2587" i="2"/>
  <c r="O2587" i="2" s="1"/>
  <c r="R2587" i="2" s="1"/>
  <c r="N2502" i="2"/>
  <c r="O2502" i="2" s="1"/>
  <c r="R2502" i="2" s="1"/>
  <c r="N2503" i="2"/>
  <c r="O2503" i="2" s="1"/>
  <c r="R2503" i="2" s="1"/>
  <c r="N2504" i="2"/>
  <c r="O2504" i="2" s="1"/>
  <c r="R2504" i="2" s="1"/>
  <c r="N2588" i="2"/>
  <c r="O2588" i="2" s="1"/>
  <c r="R2588" i="2" s="1"/>
  <c r="N2505" i="2"/>
  <c r="O2505" i="2" s="1"/>
  <c r="R2505" i="2" s="1"/>
  <c r="N2506" i="2"/>
  <c r="O2506" i="2" s="1"/>
  <c r="R2506" i="2" s="1"/>
  <c r="N2507" i="2"/>
  <c r="O2507" i="2" s="1"/>
  <c r="R2507" i="2" s="1"/>
  <c r="N2508" i="2"/>
  <c r="O2508" i="2" s="1"/>
  <c r="R2508" i="2" s="1"/>
  <c r="N2509" i="2"/>
  <c r="O2509" i="2" s="1"/>
  <c r="R2509" i="2" s="1"/>
  <c r="N2589" i="2"/>
  <c r="O2589" i="2" s="1"/>
  <c r="R2589" i="2" s="1"/>
  <c r="N2510" i="2"/>
  <c r="O2510" i="2" s="1"/>
  <c r="R2510" i="2" s="1"/>
  <c r="N2511" i="2"/>
  <c r="O2511" i="2" s="1"/>
  <c r="R2511" i="2" s="1"/>
  <c r="N2512" i="2"/>
  <c r="O2512" i="2" s="1"/>
  <c r="R2512" i="2" s="1"/>
  <c r="N2513" i="2"/>
  <c r="O2513" i="2" s="1"/>
  <c r="R2513" i="2" s="1"/>
  <c r="N2514" i="2"/>
  <c r="O2514" i="2" s="1"/>
  <c r="R2514" i="2" s="1"/>
  <c r="N2515" i="2"/>
  <c r="O2515" i="2" s="1"/>
  <c r="R2515" i="2" s="1"/>
  <c r="N2516" i="2"/>
  <c r="O2516" i="2" s="1"/>
  <c r="R2516" i="2" s="1"/>
  <c r="N2517" i="2"/>
  <c r="O2517" i="2" s="1"/>
  <c r="R2517" i="2" s="1"/>
  <c r="N2518" i="2"/>
  <c r="O2518" i="2" s="1"/>
  <c r="R2518" i="2" s="1"/>
  <c r="N2519" i="2"/>
  <c r="O2519" i="2" s="1"/>
  <c r="R2519" i="2" s="1"/>
  <c r="N2520" i="2"/>
  <c r="O2520" i="2" s="1"/>
  <c r="R2520" i="2" s="1"/>
  <c r="N2590" i="2"/>
  <c r="O2590" i="2" s="1"/>
  <c r="R2590" i="2" s="1"/>
  <c r="N2521" i="2"/>
  <c r="O2521" i="2" s="1"/>
  <c r="R2521" i="2" s="1"/>
  <c r="N2522" i="2"/>
  <c r="O2522" i="2" s="1"/>
  <c r="R2522" i="2" s="1"/>
  <c r="N2523" i="2"/>
  <c r="O2523" i="2" s="1"/>
  <c r="R2523" i="2" s="1"/>
  <c r="N2524" i="2"/>
  <c r="O2524" i="2" s="1"/>
  <c r="R2524" i="2" s="1"/>
  <c r="N2525" i="2"/>
  <c r="O2525" i="2" s="1"/>
  <c r="R2525" i="2" s="1"/>
  <c r="N2526" i="2"/>
  <c r="O2526" i="2" s="1"/>
  <c r="R2526" i="2" s="1"/>
  <c r="N2527" i="2"/>
  <c r="O2527" i="2" s="1"/>
  <c r="R2527" i="2" s="1"/>
  <c r="N2528" i="2"/>
  <c r="O2528" i="2" s="1"/>
  <c r="R2528" i="2" s="1"/>
  <c r="N2529" i="2"/>
  <c r="O2529" i="2" s="1"/>
  <c r="R2529" i="2" s="1"/>
  <c r="N2530" i="2"/>
  <c r="O2530" i="2" s="1"/>
  <c r="R2530" i="2" s="1"/>
  <c r="N2531" i="2"/>
  <c r="O2531" i="2" s="1"/>
  <c r="R2531" i="2" s="1"/>
  <c r="N2532" i="2"/>
  <c r="O2532" i="2" s="1"/>
  <c r="R2532" i="2" s="1"/>
  <c r="N2533" i="2"/>
  <c r="O2533" i="2" s="1"/>
  <c r="R2533" i="2" s="1"/>
  <c r="N2534" i="2"/>
  <c r="O2534" i="2" s="1"/>
  <c r="R2534" i="2" s="1"/>
  <c r="N2535" i="2"/>
  <c r="O2535" i="2" s="1"/>
  <c r="R2535" i="2" s="1"/>
  <c r="N2536" i="2"/>
  <c r="O2536" i="2" s="1"/>
  <c r="R2536" i="2" s="1"/>
  <c r="N2537" i="2"/>
  <c r="O2537" i="2" s="1"/>
  <c r="R2537" i="2" s="1"/>
  <c r="N2538" i="2"/>
  <c r="O2538" i="2" s="1"/>
  <c r="R2538" i="2" s="1"/>
  <c r="N2539" i="2"/>
  <c r="O2539" i="2" s="1"/>
  <c r="R2539" i="2" s="1"/>
  <c r="N2540" i="2"/>
  <c r="O2540" i="2" s="1"/>
  <c r="R2540" i="2" s="1"/>
  <c r="N2541" i="2"/>
  <c r="O2541" i="2" s="1"/>
  <c r="R2541" i="2" s="1"/>
  <c r="N2542" i="2"/>
  <c r="O2542" i="2" s="1"/>
  <c r="R2542" i="2" s="1"/>
  <c r="N2543" i="2"/>
  <c r="O2543" i="2" s="1"/>
  <c r="R2543" i="2" s="1"/>
  <c r="N2544" i="2"/>
  <c r="O2544" i="2" s="1"/>
  <c r="R2544" i="2" s="1"/>
  <c r="N2545" i="2"/>
  <c r="O2545" i="2" s="1"/>
  <c r="R2545" i="2" s="1"/>
  <c r="N2591" i="2"/>
  <c r="O2591" i="2" s="1"/>
  <c r="R2591" i="2" s="1"/>
  <c r="N2546" i="2"/>
  <c r="O2546" i="2" s="1"/>
  <c r="R2546" i="2" s="1"/>
  <c r="N2547" i="2"/>
  <c r="O2547" i="2" s="1"/>
  <c r="R2547" i="2" s="1"/>
  <c r="N2548" i="2"/>
  <c r="O2548" i="2" s="1"/>
  <c r="R2548" i="2" s="1"/>
  <c r="N2592" i="2"/>
  <c r="O2592" i="2" s="1"/>
  <c r="R2592" i="2" s="1"/>
  <c r="N2593" i="2"/>
  <c r="O2593" i="2" s="1"/>
  <c r="R2593" i="2" s="1"/>
  <c r="N490" i="2"/>
  <c r="O490" i="2" s="1"/>
  <c r="R490" i="2" s="1"/>
  <c r="N678" i="2"/>
  <c r="O678" i="2" s="1"/>
  <c r="R678" i="2" s="1"/>
  <c r="N961" i="2"/>
  <c r="O961" i="2" s="1"/>
  <c r="R961" i="2" s="1"/>
  <c r="N962" i="2"/>
  <c r="O962" i="2" s="1"/>
  <c r="R962" i="2" s="1"/>
  <c r="N963" i="2"/>
  <c r="O963" i="2" s="1"/>
  <c r="R963" i="2" s="1"/>
  <c r="N1161" i="2"/>
  <c r="O1161" i="2" s="1"/>
  <c r="R1161" i="2" s="1"/>
  <c r="N1162" i="2"/>
  <c r="O1162" i="2" s="1"/>
  <c r="R1162" i="2" s="1"/>
  <c r="N1163" i="2"/>
  <c r="O1163" i="2" s="1"/>
  <c r="R1163" i="2" s="1"/>
  <c r="N1369" i="2"/>
  <c r="O1369" i="2" s="1"/>
  <c r="R1369" i="2" s="1"/>
  <c r="N1370" i="2"/>
  <c r="O1370" i="2" s="1"/>
  <c r="R1370" i="2" s="1"/>
  <c r="N1552" i="2"/>
  <c r="O1552" i="2" s="1"/>
  <c r="R1552" i="2" s="1"/>
  <c r="N1553" i="2"/>
  <c r="O1553" i="2" s="1"/>
  <c r="R1553" i="2" s="1"/>
  <c r="N1720" i="2"/>
  <c r="O1720" i="2" s="1"/>
  <c r="R1720" i="2" s="1"/>
  <c r="N1721" i="2"/>
  <c r="O1721" i="2" s="1"/>
  <c r="R1721" i="2" s="1"/>
  <c r="N1883" i="2"/>
  <c r="O1883" i="2" s="1"/>
  <c r="R1883" i="2" s="1"/>
  <c r="N1884" i="2"/>
  <c r="O1884" i="2" s="1"/>
  <c r="R1884" i="2" s="1"/>
  <c r="N2072" i="2"/>
  <c r="O2072" i="2" s="1"/>
  <c r="R2072" i="2" s="1"/>
  <c r="N2073" i="2"/>
  <c r="O2073" i="2" s="1"/>
  <c r="R2073" i="2" s="1"/>
  <c r="N2221" i="2"/>
  <c r="O2221" i="2" s="1"/>
  <c r="R2221" i="2" s="1"/>
  <c r="N2222" i="2"/>
  <c r="O2222" i="2" s="1"/>
  <c r="R2222" i="2" s="1"/>
  <c r="N2419" i="2"/>
  <c r="O2419" i="2" s="1"/>
  <c r="R2419" i="2" s="1"/>
  <c r="N2594" i="2"/>
  <c r="O2594" i="2" s="1"/>
  <c r="R2594" i="2" s="1"/>
  <c r="N491" i="2"/>
  <c r="O491" i="2" s="1"/>
  <c r="R491" i="2" s="1"/>
  <c r="N492" i="2"/>
  <c r="O492" i="2" s="1"/>
  <c r="R492" i="2" s="1"/>
  <c r="N493" i="2"/>
  <c r="O493" i="2" s="1"/>
  <c r="R493" i="2" s="1"/>
  <c r="N494" i="2"/>
  <c r="O494" i="2" s="1"/>
  <c r="R494" i="2" s="1"/>
  <c r="N495" i="2"/>
  <c r="O495" i="2" s="1"/>
  <c r="R495" i="2" s="1"/>
  <c r="N496" i="2"/>
  <c r="O496" i="2" s="1"/>
  <c r="R496" i="2" s="1"/>
  <c r="N497" i="2"/>
  <c r="O497" i="2" s="1"/>
  <c r="R497" i="2" s="1"/>
  <c r="N498" i="2"/>
  <c r="O498" i="2" s="1"/>
  <c r="R498" i="2" s="1"/>
  <c r="N499" i="2"/>
  <c r="O499" i="2" s="1"/>
  <c r="R499" i="2" s="1"/>
  <c r="N500" i="2"/>
  <c r="O500" i="2" s="1"/>
  <c r="R500" i="2" s="1"/>
  <c r="N501" i="2"/>
  <c r="O501" i="2" s="1"/>
  <c r="R501" i="2" s="1"/>
  <c r="N502" i="2"/>
  <c r="O502" i="2" s="1"/>
  <c r="R502" i="2" s="1"/>
  <c r="N503" i="2"/>
  <c r="O503" i="2" s="1"/>
  <c r="R503" i="2" s="1"/>
  <c r="N504" i="2"/>
  <c r="O504" i="2" s="1"/>
  <c r="R504" i="2" s="1"/>
  <c r="N505" i="2"/>
  <c r="O505" i="2" s="1"/>
  <c r="R505" i="2" s="1"/>
  <c r="N506" i="2"/>
  <c r="O506" i="2" s="1"/>
  <c r="R506" i="2" s="1"/>
  <c r="N507" i="2"/>
  <c r="O507" i="2" s="1"/>
  <c r="R507" i="2" s="1"/>
  <c r="N508" i="2"/>
  <c r="O508" i="2" s="1"/>
  <c r="R508" i="2" s="1"/>
  <c r="N509" i="2"/>
  <c r="O509" i="2" s="1"/>
  <c r="R509" i="2" s="1"/>
  <c r="N510" i="2"/>
  <c r="O510" i="2" s="1"/>
  <c r="R510" i="2" s="1"/>
  <c r="N511" i="2"/>
  <c r="O511" i="2" s="1"/>
  <c r="R511" i="2" s="1"/>
  <c r="N512" i="2"/>
  <c r="O512" i="2" s="1"/>
  <c r="R512" i="2" s="1"/>
  <c r="N513" i="2"/>
  <c r="O513" i="2" s="1"/>
  <c r="R513" i="2" s="1"/>
  <c r="N514" i="2"/>
  <c r="O514" i="2" s="1"/>
  <c r="R514" i="2" s="1"/>
  <c r="N515" i="2"/>
  <c r="O515" i="2" s="1"/>
  <c r="R515" i="2" s="1"/>
  <c r="N679" i="2"/>
  <c r="O679" i="2" s="1"/>
  <c r="R679" i="2" s="1"/>
  <c r="N680" i="2"/>
  <c r="O680" i="2" s="1"/>
  <c r="R680" i="2" s="1"/>
  <c r="N681" i="2"/>
  <c r="O681" i="2" s="1"/>
  <c r="R681" i="2" s="1"/>
  <c r="N682" i="2"/>
  <c r="O682" i="2" s="1"/>
  <c r="R682" i="2" s="1"/>
  <c r="N683" i="2"/>
  <c r="O683" i="2" s="1"/>
  <c r="R683" i="2" s="1"/>
  <c r="N684" i="2"/>
  <c r="O684" i="2" s="1"/>
  <c r="R684" i="2" s="1"/>
  <c r="N685" i="2"/>
  <c r="O685" i="2" s="1"/>
  <c r="R685" i="2" s="1"/>
  <c r="N686" i="2"/>
  <c r="O686" i="2" s="1"/>
  <c r="R686" i="2" s="1"/>
  <c r="N687" i="2"/>
  <c r="O687" i="2" s="1"/>
  <c r="R687" i="2" s="1"/>
  <c r="N688" i="2"/>
  <c r="O688" i="2" s="1"/>
  <c r="R688" i="2" s="1"/>
  <c r="N689" i="2"/>
  <c r="O689" i="2" s="1"/>
  <c r="R689" i="2" s="1"/>
  <c r="N690" i="2"/>
  <c r="O690" i="2" s="1"/>
  <c r="R690" i="2" s="1"/>
  <c r="N691" i="2"/>
  <c r="O691" i="2" s="1"/>
  <c r="R691" i="2" s="1"/>
  <c r="N692" i="2"/>
  <c r="O692" i="2" s="1"/>
  <c r="R692" i="2" s="1"/>
  <c r="N693" i="2"/>
  <c r="O693" i="2" s="1"/>
  <c r="R693" i="2" s="1"/>
  <c r="N694" i="2"/>
  <c r="O694" i="2" s="1"/>
  <c r="R694" i="2" s="1"/>
  <c r="N695" i="2"/>
  <c r="O695" i="2" s="1"/>
  <c r="R695" i="2" s="1"/>
  <c r="N696" i="2"/>
  <c r="O696" i="2" s="1"/>
  <c r="R696" i="2" s="1"/>
  <c r="N697" i="2"/>
  <c r="O697" i="2" s="1"/>
  <c r="R697" i="2" s="1"/>
  <c r="N698" i="2"/>
  <c r="O698" i="2" s="1"/>
  <c r="R698" i="2" s="1"/>
  <c r="N699" i="2"/>
  <c r="O699" i="2" s="1"/>
  <c r="R699" i="2" s="1"/>
  <c r="N700" i="2"/>
  <c r="O700" i="2" s="1"/>
  <c r="R700" i="2" s="1"/>
  <c r="N701" i="2"/>
  <c r="O701" i="2" s="1"/>
  <c r="R701" i="2" s="1"/>
  <c r="N702" i="2"/>
  <c r="O702" i="2" s="1"/>
  <c r="R702" i="2" s="1"/>
  <c r="N964" i="2"/>
  <c r="O964" i="2" s="1"/>
  <c r="R964" i="2" s="1"/>
  <c r="N965" i="2"/>
  <c r="O965" i="2" s="1"/>
  <c r="R965" i="2" s="1"/>
  <c r="N966" i="2"/>
  <c r="O966" i="2" s="1"/>
  <c r="R966" i="2" s="1"/>
  <c r="N967" i="2"/>
  <c r="O967" i="2" s="1"/>
  <c r="R967" i="2" s="1"/>
  <c r="N968" i="2"/>
  <c r="O968" i="2" s="1"/>
  <c r="R968" i="2" s="1"/>
  <c r="N969" i="2"/>
  <c r="O969" i="2" s="1"/>
  <c r="R969" i="2" s="1"/>
  <c r="N970" i="2"/>
  <c r="O970" i="2" s="1"/>
  <c r="R970" i="2" s="1"/>
  <c r="N971" i="2"/>
  <c r="O971" i="2" s="1"/>
  <c r="R971" i="2" s="1"/>
  <c r="N972" i="2"/>
  <c r="O972" i="2" s="1"/>
  <c r="R972" i="2" s="1"/>
  <c r="N973" i="2"/>
  <c r="O973" i="2" s="1"/>
  <c r="R973" i="2" s="1"/>
  <c r="N974" i="2"/>
  <c r="O974" i="2" s="1"/>
  <c r="R974" i="2" s="1"/>
  <c r="N975" i="2"/>
  <c r="O975" i="2" s="1"/>
  <c r="R975" i="2" s="1"/>
  <c r="N976" i="2"/>
  <c r="O976" i="2" s="1"/>
  <c r="R976" i="2" s="1"/>
  <c r="N977" i="2"/>
  <c r="O977" i="2" s="1"/>
  <c r="R977" i="2" s="1"/>
  <c r="N978" i="2"/>
  <c r="O978" i="2" s="1"/>
  <c r="R978" i="2" s="1"/>
  <c r="N979" i="2"/>
  <c r="O979" i="2" s="1"/>
  <c r="R979" i="2" s="1"/>
  <c r="N980" i="2"/>
  <c r="O980" i="2" s="1"/>
  <c r="R980" i="2" s="1"/>
  <c r="N981" i="2"/>
  <c r="O981" i="2" s="1"/>
  <c r="R981" i="2" s="1"/>
  <c r="N982" i="2"/>
  <c r="O982" i="2" s="1"/>
  <c r="R982" i="2" s="1"/>
  <c r="N983" i="2"/>
  <c r="O983" i="2" s="1"/>
  <c r="R983" i="2" s="1"/>
  <c r="N984" i="2"/>
  <c r="O984" i="2" s="1"/>
  <c r="R984" i="2" s="1"/>
  <c r="N1164" i="2"/>
  <c r="O1164" i="2" s="1"/>
  <c r="R1164" i="2" s="1"/>
  <c r="N1165" i="2"/>
  <c r="O1165" i="2" s="1"/>
  <c r="R1165" i="2" s="1"/>
  <c r="N1166" i="2"/>
  <c r="O1166" i="2" s="1"/>
  <c r="R1166" i="2" s="1"/>
  <c r="N1167" i="2"/>
  <c r="O1167" i="2" s="1"/>
  <c r="R1167" i="2" s="1"/>
  <c r="N1168" i="2"/>
  <c r="O1168" i="2" s="1"/>
  <c r="R1168" i="2" s="1"/>
  <c r="N1169" i="2"/>
  <c r="O1169" i="2" s="1"/>
  <c r="R1169" i="2" s="1"/>
  <c r="N1170" i="2"/>
  <c r="O1170" i="2" s="1"/>
  <c r="R1170" i="2" s="1"/>
  <c r="N1171" i="2"/>
  <c r="O1171" i="2" s="1"/>
  <c r="R1171" i="2" s="1"/>
  <c r="N1172" i="2"/>
  <c r="O1172" i="2" s="1"/>
  <c r="R1172" i="2" s="1"/>
  <c r="N1173" i="2"/>
  <c r="O1173" i="2" s="1"/>
  <c r="R1173" i="2" s="1"/>
  <c r="N1174" i="2"/>
  <c r="O1174" i="2" s="1"/>
  <c r="R1174" i="2" s="1"/>
  <c r="N1175" i="2"/>
  <c r="O1175" i="2" s="1"/>
  <c r="R1175" i="2" s="1"/>
  <c r="N1176" i="2"/>
  <c r="O1176" i="2" s="1"/>
  <c r="R1176" i="2" s="1"/>
  <c r="N1177" i="2"/>
  <c r="O1177" i="2" s="1"/>
  <c r="R1177" i="2" s="1"/>
  <c r="N1178" i="2"/>
  <c r="O1178" i="2" s="1"/>
  <c r="R1178" i="2" s="1"/>
  <c r="N1179" i="2"/>
  <c r="O1179" i="2" s="1"/>
  <c r="R1179" i="2" s="1"/>
  <c r="N1180" i="2"/>
  <c r="O1180" i="2" s="1"/>
  <c r="R1180" i="2" s="1"/>
  <c r="N1181" i="2"/>
  <c r="O1181" i="2" s="1"/>
  <c r="R1181" i="2" s="1"/>
  <c r="N1182" i="2"/>
  <c r="O1182" i="2" s="1"/>
  <c r="R1182" i="2" s="1"/>
  <c r="N1371" i="2"/>
  <c r="O1371" i="2" s="1"/>
  <c r="R1371" i="2" s="1"/>
  <c r="N1372" i="2"/>
  <c r="O1372" i="2" s="1"/>
  <c r="R1372" i="2" s="1"/>
  <c r="N1373" i="2"/>
  <c r="O1373" i="2" s="1"/>
  <c r="R1373" i="2" s="1"/>
  <c r="N1374" i="2"/>
  <c r="O1374" i="2" s="1"/>
  <c r="R1374" i="2" s="1"/>
  <c r="N1375" i="2"/>
  <c r="O1375" i="2" s="1"/>
  <c r="R1375" i="2" s="1"/>
  <c r="N1376" i="2"/>
  <c r="O1376" i="2" s="1"/>
  <c r="R1376" i="2" s="1"/>
  <c r="N1377" i="2"/>
  <c r="O1377" i="2" s="1"/>
  <c r="R1377" i="2" s="1"/>
  <c r="N1378" i="2"/>
  <c r="O1378" i="2" s="1"/>
  <c r="R1378" i="2" s="1"/>
  <c r="N1379" i="2"/>
  <c r="O1379" i="2" s="1"/>
  <c r="R1379" i="2" s="1"/>
  <c r="N1554" i="2"/>
  <c r="O1554" i="2" s="1"/>
  <c r="R1554" i="2" s="1"/>
  <c r="N1555" i="2"/>
  <c r="O1555" i="2" s="1"/>
  <c r="R1555" i="2" s="1"/>
  <c r="N1556" i="2"/>
  <c r="O1556" i="2" s="1"/>
  <c r="R1556" i="2" s="1"/>
  <c r="N1557" i="2"/>
  <c r="O1557" i="2" s="1"/>
  <c r="R1557" i="2" s="1"/>
  <c r="N1558" i="2"/>
  <c r="O1558" i="2" s="1"/>
  <c r="R1558" i="2" s="1"/>
  <c r="N1559" i="2"/>
  <c r="O1559" i="2" s="1"/>
  <c r="R1559" i="2" s="1"/>
  <c r="N1560" i="2"/>
  <c r="O1560" i="2" s="1"/>
  <c r="R1560" i="2" s="1"/>
  <c r="N1722" i="2"/>
  <c r="O1722" i="2" s="1"/>
  <c r="R1722" i="2" s="1"/>
  <c r="N1723" i="2"/>
  <c r="O1723" i="2" s="1"/>
  <c r="R1723" i="2" s="1"/>
  <c r="N1724" i="2"/>
  <c r="O1724" i="2" s="1"/>
  <c r="R1724" i="2" s="1"/>
  <c r="N1725" i="2"/>
  <c r="O1725" i="2" s="1"/>
  <c r="R1725" i="2" s="1"/>
  <c r="N1726" i="2"/>
  <c r="O1726" i="2" s="1"/>
  <c r="R1726" i="2" s="1"/>
  <c r="N1885" i="2"/>
  <c r="O1885" i="2" s="1"/>
  <c r="R1885" i="2" s="1"/>
  <c r="N1886" i="2"/>
  <c r="O1886" i="2" s="1"/>
  <c r="R1886" i="2" s="1"/>
  <c r="N1887" i="2"/>
  <c r="O1887" i="2" s="1"/>
  <c r="R1887" i="2" s="1"/>
  <c r="N1888" i="2"/>
  <c r="O1888" i="2" s="1"/>
  <c r="R1888" i="2" s="1"/>
  <c r="N1889" i="2"/>
  <c r="O1889" i="2" s="1"/>
  <c r="R1889" i="2" s="1"/>
  <c r="N2223" i="2"/>
  <c r="O2223" i="2" s="1"/>
  <c r="R2223" i="2" s="1"/>
  <c r="N2224" i="2"/>
  <c r="O2224" i="2" s="1"/>
  <c r="R2224" i="2" s="1"/>
  <c r="N2225" i="2"/>
  <c r="O2225" i="2" s="1"/>
  <c r="R2225" i="2" s="1"/>
  <c r="N2226" i="2"/>
  <c r="O2226" i="2" s="1"/>
  <c r="R2226" i="2" s="1"/>
  <c r="N2227" i="2"/>
  <c r="O2227" i="2" s="1"/>
  <c r="R2227" i="2" s="1"/>
  <c r="N2228" i="2"/>
  <c r="O2228" i="2" s="1"/>
  <c r="R2228" i="2" s="1"/>
  <c r="N2420" i="2"/>
  <c r="O2420" i="2" s="1"/>
  <c r="R2420" i="2" s="1"/>
  <c r="N2421" i="2"/>
  <c r="O2421" i="2" s="1"/>
  <c r="R2421" i="2" s="1"/>
  <c r="N2422" i="2"/>
  <c r="O2422" i="2" s="1"/>
  <c r="R2422" i="2" s="1"/>
  <c r="N2423" i="2"/>
  <c r="O2423" i="2" s="1"/>
  <c r="R2423" i="2" s="1"/>
  <c r="N2549" i="2"/>
  <c r="O2549" i="2" s="1"/>
  <c r="R2549" i="2" s="1"/>
  <c r="N2550" i="2"/>
  <c r="O2550" i="2" s="1"/>
  <c r="R2550" i="2" s="1"/>
  <c r="N516" i="2"/>
  <c r="O516" i="2" s="1"/>
  <c r="R516" i="2" s="1"/>
  <c r="N517" i="2"/>
  <c r="O517" i="2" s="1"/>
  <c r="R517" i="2" s="1"/>
  <c r="N518" i="2"/>
  <c r="O518" i="2" s="1"/>
  <c r="R518" i="2" s="1"/>
  <c r="N519" i="2"/>
  <c r="O519" i="2" s="1"/>
  <c r="R519" i="2" s="1"/>
  <c r="N520" i="2"/>
  <c r="O520" i="2" s="1"/>
  <c r="R520" i="2" s="1"/>
  <c r="N521" i="2"/>
  <c r="O521" i="2" s="1"/>
  <c r="R521" i="2" s="1"/>
  <c r="N522" i="2"/>
  <c r="O522" i="2" s="1"/>
  <c r="R522" i="2" s="1"/>
  <c r="N523" i="2"/>
  <c r="O523" i="2" s="1"/>
  <c r="R523" i="2" s="1"/>
  <c r="N524" i="2"/>
  <c r="O524" i="2" s="1"/>
  <c r="R524" i="2" s="1"/>
  <c r="N525" i="2"/>
  <c r="O525" i="2" s="1"/>
  <c r="R525" i="2" s="1"/>
  <c r="N526" i="2"/>
  <c r="O526" i="2" s="1"/>
  <c r="R526" i="2" s="1"/>
  <c r="N527" i="2"/>
  <c r="O527" i="2" s="1"/>
  <c r="R527" i="2" s="1"/>
  <c r="N528" i="2"/>
  <c r="O528" i="2" s="1"/>
  <c r="R528" i="2" s="1"/>
  <c r="N529" i="2"/>
  <c r="O529" i="2" s="1"/>
  <c r="R529" i="2" s="1"/>
  <c r="N530" i="2"/>
  <c r="O530" i="2" s="1"/>
  <c r="R530" i="2" s="1"/>
  <c r="N531" i="2"/>
  <c r="O531" i="2" s="1"/>
  <c r="R531" i="2" s="1"/>
  <c r="N703" i="2"/>
  <c r="O703" i="2" s="1"/>
  <c r="R703" i="2" s="1"/>
  <c r="N704" i="2"/>
  <c r="O704" i="2" s="1"/>
  <c r="R704" i="2" s="1"/>
  <c r="N705" i="2"/>
  <c r="O705" i="2" s="1"/>
  <c r="R705" i="2" s="1"/>
  <c r="N706" i="2"/>
  <c r="O706" i="2" s="1"/>
  <c r="R706" i="2" s="1"/>
  <c r="N707" i="2"/>
  <c r="O707" i="2" s="1"/>
  <c r="R707" i="2" s="1"/>
  <c r="N708" i="2"/>
  <c r="O708" i="2" s="1"/>
  <c r="R708" i="2" s="1"/>
  <c r="N709" i="2"/>
  <c r="O709" i="2" s="1"/>
  <c r="R709" i="2" s="1"/>
  <c r="N710" i="2"/>
  <c r="O710" i="2" s="1"/>
  <c r="R710" i="2" s="1"/>
  <c r="N711" i="2"/>
  <c r="O711" i="2" s="1"/>
  <c r="R711" i="2" s="1"/>
  <c r="N712" i="2"/>
  <c r="O712" i="2" s="1"/>
  <c r="R712" i="2" s="1"/>
  <c r="N713" i="2"/>
  <c r="O713" i="2" s="1"/>
  <c r="R713" i="2" s="1"/>
  <c r="N714" i="2"/>
  <c r="O714" i="2" s="1"/>
  <c r="R714" i="2" s="1"/>
  <c r="N715" i="2"/>
  <c r="O715" i="2" s="1"/>
  <c r="R715" i="2" s="1"/>
  <c r="N716" i="2"/>
  <c r="O716" i="2" s="1"/>
  <c r="R716" i="2" s="1"/>
  <c r="N717" i="2"/>
  <c r="O717" i="2" s="1"/>
  <c r="R717" i="2" s="1"/>
  <c r="N718" i="2"/>
  <c r="O718" i="2" s="1"/>
  <c r="R718" i="2" s="1"/>
  <c r="N985" i="2"/>
  <c r="O985" i="2" s="1"/>
  <c r="R985" i="2" s="1"/>
  <c r="N986" i="2"/>
  <c r="O986" i="2" s="1"/>
  <c r="R986" i="2" s="1"/>
  <c r="N987" i="2"/>
  <c r="O987" i="2" s="1"/>
  <c r="R987" i="2" s="1"/>
  <c r="N988" i="2"/>
  <c r="O988" i="2" s="1"/>
  <c r="R988" i="2" s="1"/>
  <c r="N989" i="2"/>
  <c r="O989" i="2" s="1"/>
  <c r="R989" i="2" s="1"/>
  <c r="N990" i="2"/>
  <c r="O990" i="2" s="1"/>
  <c r="R990" i="2" s="1"/>
  <c r="N991" i="2"/>
  <c r="O991" i="2" s="1"/>
  <c r="R991" i="2" s="1"/>
  <c r="N992" i="2"/>
  <c r="O992" i="2" s="1"/>
  <c r="R992" i="2" s="1"/>
  <c r="N993" i="2"/>
  <c r="O993" i="2" s="1"/>
  <c r="R993" i="2" s="1"/>
  <c r="N994" i="2"/>
  <c r="O994" i="2" s="1"/>
  <c r="R994" i="2" s="1"/>
  <c r="N995" i="2"/>
  <c r="O995" i="2" s="1"/>
  <c r="R995" i="2" s="1"/>
  <c r="N996" i="2"/>
  <c r="O996" i="2" s="1"/>
  <c r="R996" i="2" s="1"/>
  <c r="N997" i="2"/>
  <c r="O997" i="2" s="1"/>
  <c r="R997" i="2" s="1"/>
  <c r="N998" i="2"/>
  <c r="O998" i="2" s="1"/>
  <c r="R998" i="2" s="1"/>
  <c r="N1183" i="2"/>
  <c r="O1183" i="2" s="1"/>
  <c r="R1183" i="2" s="1"/>
  <c r="N1184" i="2"/>
  <c r="O1184" i="2" s="1"/>
  <c r="R1184" i="2" s="1"/>
  <c r="N1185" i="2"/>
  <c r="O1185" i="2" s="1"/>
  <c r="R1185" i="2" s="1"/>
  <c r="N1186" i="2"/>
  <c r="O1186" i="2" s="1"/>
  <c r="R1186" i="2" s="1"/>
  <c r="N1187" i="2"/>
  <c r="O1187" i="2" s="1"/>
  <c r="R1187" i="2" s="1"/>
  <c r="N1188" i="2"/>
  <c r="O1188" i="2" s="1"/>
  <c r="R1188" i="2" s="1"/>
  <c r="N1189" i="2"/>
  <c r="O1189" i="2" s="1"/>
  <c r="R1189" i="2" s="1"/>
  <c r="N1190" i="2"/>
  <c r="O1190" i="2" s="1"/>
  <c r="R1190" i="2" s="1"/>
  <c r="N1191" i="2"/>
  <c r="O1191" i="2" s="1"/>
  <c r="R1191" i="2" s="1"/>
  <c r="N1192" i="2"/>
  <c r="O1192" i="2" s="1"/>
  <c r="R1192" i="2" s="1"/>
  <c r="N1193" i="2"/>
  <c r="O1193" i="2" s="1"/>
  <c r="R1193" i="2" s="1"/>
  <c r="N1194" i="2"/>
  <c r="O1194" i="2" s="1"/>
  <c r="R1194" i="2" s="1"/>
  <c r="N1195" i="2"/>
  <c r="O1195" i="2" s="1"/>
  <c r="R1195" i="2" s="1"/>
  <c r="N1196" i="2"/>
  <c r="O1196" i="2" s="1"/>
  <c r="R1196" i="2" s="1"/>
  <c r="N1380" i="2"/>
  <c r="O1380" i="2" s="1"/>
  <c r="R1380" i="2" s="1"/>
  <c r="N1381" i="2"/>
  <c r="O1381" i="2" s="1"/>
  <c r="R1381" i="2" s="1"/>
  <c r="N1382" i="2"/>
  <c r="O1382" i="2" s="1"/>
  <c r="R1382" i="2" s="1"/>
  <c r="N1383" i="2"/>
  <c r="O1383" i="2" s="1"/>
  <c r="R1383" i="2" s="1"/>
  <c r="N1384" i="2"/>
  <c r="O1384" i="2" s="1"/>
  <c r="R1384" i="2" s="1"/>
  <c r="N1385" i="2"/>
  <c r="O1385" i="2" s="1"/>
  <c r="R1385" i="2" s="1"/>
  <c r="N1386" i="2"/>
  <c r="O1386" i="2" s="1"/>
  <c r="R1386" i="2" s="1"/>
  <c r="N1387" i="2"/>
  <c r="O1387" i="2" s="1"/>
  <c r="R1387" i="2" s="1"/>
  <c r="N1388" i="2"/>
  <c r="O1388" i="2" s="1"/>
  <c r="R1388" i="2" s="1"/>
  <c r="N1389" i="2"/>
  <c r="O1389" i="2" s="1"/>
  <c r="R1389" i="2" s="1"/>
  <c r="N1390" i="2"/>
  <c r="O1390" i="2" s="1"/>
  <c r="R1390" i="2" s="1"/>
  <c r="N1391" i="2"/>
  <c r="O1391" i="2" s="1"/>
  <c r="R1391" i="2" s="1"/>
  <c r="N1392" i="2"/>
  <c r="O1392" i="2" s="1"/>
  <c r="R1392" i="2" s="1"/>
  <c r="N1561" i="2"/>
  <c r="O1561" i="2" s="1"/>
  <c r="R1561" i="2" s="1"/>
  <c r="N1562" i="2"/>
  <c r="O1562" i="2" s="1"/>
  <c r="R1562" i="2" s="1"/>
  <c r="N1563" i="2"/>
  <c r="O1563" i="2" s="1"/>
  <c r="R1563" i="2" s="1"/>
  <c r="N1564" i="2"/>
  <c r="O1564" i="2" s="1"/>
  <c r="R1564" i="2" s="1"/>
  <c r="N1565" i="2"/>
  <c r="O1565" i="2" s="1"/>
  <c r="R1565" i="2" s="1"/>
  <c r="N1566" i="2"/>
  <c r="O1566" i="2" s="1"/>
  <c r="R1566" i="2" s="1"/>
  <c r="N1567" i="2"/>
  <c r="O1567" i="2" s="1"/>
  <c r="R1567" i="2" s="1"/>
  <c r="N1568" i="2"/>
  <c r="O1568" i="2" s="1"/>
  <c r="R1568" i="2" s="1"/>
  <c r="N1569" i="2"/>
  <c r="O1569" i="2" s="1"/>
  <c r="R1569" i="2" s="1"/>
  <c r="N1570" i="2"/>
  <c r="O1570" i="2" s="1"/>
  <c r="R1570" i="2" s="1"/>
  <c r="N1571" i="2"/>
  <c r="O1571" i="2" s="1"/>
  <c r="R1571" i="2" s="1"/>
  <c r="N1572" i="2"/>
  <c r="O1572" i="2" s="1"/>
  <c r="R1572" i="2" s="1"/>
  <c r="N1573" i="2"/>
  <c r="O1573" i="2" s="1"/>
  <c r="R1573" i="2" s="1"/>
  <c r="N1727" i="2"/>
  <c r="O1727" i="2" s="1"/>
  <c r="R1727" i="2" s="1"/>
  <c r="N1728" i="2"/>
  <c r="O1728" i="2" s="1"/>
  <c r="R1728" i="2" s="1"/>
  <c r="N1729" i="2"/>
  <c r="O1729" i="2" s="1"/>
  <c r="R1729" i="2" s="1"/>
  <c r="N1730" i="2"/>
  <c r="O1730" i="2" s="1"/>
  <c r="R1730" i="2" s="1"/>
  <c r="N1731" i="2"/>
  <c r="O1731" i="2" s="1"/>
  <c r="R1731" i="2" s="1"/>
  <c r="N1732" i="2"/>
  <c r="O1732" i="2" s="1"/>
  <c r="R1732" i="2" s="1"/>
  <c r="N1733" i="2"/>
  <c r="O1733" i="2" s="1"/>
  <c r="R1733" i="2" s="1"/>
  <c r="N1734" i="2"/>
  <c r="O1734" i="2" s="1"/>
  <c r="R1734" i="2" s="1"/>
  <c r="N1735" i="2"/>
  <c r="O1735" i="2" s="1"/>
  <c r="R1735" i="2" s="1"/>
  <c r="N1736" i="2"/>
  <c r="O1736" i="2" s="1"/>
  <c r="R1736" i="2" s="1"/>
  <c r="N1737" i="2"/>
  <c r="O1737" i="2" s="1"/>
  <c r="R1737" i="2" s="1"/>
  <c r="N1738" i="2"/>
  <c r="O1738" i="2" s="1"/>
  <c r="R1738" i="2" s="1"/>
  <c r="N1890" i="2"/>
  <c r="O1890" i="2" s="1"/>
  <c r="R1890" i="2" s="1"/>
  <c r="N1891" i="2"/>
  <c r="O1891" i="2" s="1"/>
  <c r="R1891" i="2" s="1"/>
  <c r="N1892" i="2"/>
  <c r="O1892" i="2" s="1"/>
  <c r="R1892" i="2" s="1"/>
  <c r="N1893" i="2"/>
  <c r="O1893" i="2" s="1"/>
  <c r="R1893" i="2" s="1"/>
  <c r="N1894" i="2"/>
  <c r="O1894" i="2" s="1"/>
  <c r="R1894" i="2" s="1"/>
  <c r="N1895" i="2"/>
  <c r="O1895" i="2" s="1"/>
  <c r="R1895" i="2" s="1"/>
  <c r="N1896" i="2"/>
  <c r="O1896" i="2" s="1"/>
  <c r="R1896" i="2" s="1"/>
  <c r="N1897" i="2"/>
  <c r="O1897" i="2" s="1"/>
  <c r="R1897" i="2" s="1"/>
  <c r="N1898" i="2"/>
  <c r="O1898" i="2" s="1"/>
  <c r="R1898" i="2" s="1"/>
  <c r="N1899" i="2"/>
  <c r="O1899" i="2" s="1"/>
  <c r="R1899" i="2" s="1"/>
  <c r="N1900" i="2"/>
  <c r="O1900" i="2" s="1"/>
  <c r="R1900" i="2" s="1"/>
  <c r="N1901" i="2"/>
  <c r="O1901" i="2" s="1"/>
  <c r="R1901" i="2" s="1"/>
  <c r="N2074" i="2"/>
  <c r="O2074" i="2" s="1"/>
  <c r="R2074" i="2" s="1"/>
  <c r="N2075" i="2"/>
  <c r="O2075" i="2" s="1"/>
  <c r="R2075" i="2" s="1"/>
  <c r="N2076" i="2"/>
  <c r="O2076" i="2" s="1"/>
  <c r="R2076" i="2" s="1"/>
  <c r="N2077" i="2"/>
  <c r="O2077" i="2" s="1"/>
  <c r="R2077" i="2" s="1"/>
  <c r="N2078" i="2"/>
  <c r="O2078" i="2" s="1"/>
  <c r="R2078" i="2" s="1"/>
  <c r="N2079" i="2"/>
  <c r="O2079" i="2" s="1"/>
  <c r="R2079" i="2" s="1"/>
  <c r="N2080" i="2"/>
  <c r="O2080" i="2" s="1"/>
  <c r="R2080" i="2" s="1"/>
  <c r="N2081" i="2"/>
  <c r="O2081" i="2" s="1"/>
  <c r="R2081" i="2" s="1"/>
  <c r="N2082" i="2"/>
  <c r="O2082" i="2" s="1"/>
  <c r="R2082" i="2" s="1"/>
  <c r="N2083" i="2"/>
  <c r="O2083" i="2" s="1"/>
  <c r="R2083" i="2" s="1"/>
  <c r="N2229" i="2"/>
  <c r="O2229" i="2" s="1"/>
  <c r="R2229" i="2" s="1"/>
  <c r="N2230" i="2"/>
  <c r="O2230" i="2" s="1"/>
  <c r="R2230" i="2" s="1"/>
  <c r="N2231" i="2"/>
  <c r="O2231" i="2" s="1"/>
  <c r="R2231" i="2" s="1"/>
  <c r="N2232" i="2"/>
  <c r="O2232" i="2" s="1"/>
  <c r="R2232" i="2" s="1"/>
  <c r="N2233" i="2"/>
  <c r="O2233" i="2" s="1"/>
  <c r="R2233" i="2" s="1"/>
  <c r="N2234" i="2"/>
  <c r="O2234" i="2" s="1"/>
  <c r="R2234" i="2" s="1"/>
  <c r="N2235" i="2"/>
  <c r="O2235" i="2" s="1"/>
  <c r="R2235" i="2" s="1"/>
  <c r="N2236" i="2"/>
  <c r="O2236" i="2" s="1"/>
  <c r="R2236" i="2" s="1"/>
  <c r="N2237" i="2"/>
  <c r="O2237" i="2" s="1"/>
  <c r="R2237" i="2" s="1"/>
  <c r="N2238" i="2"/>
  <c r="O2238" i="2" s="1"/>
  <c r="R2238" i="2" s="1"/>
  <c r="N2424" i="2"/>
  <c r="O2424" i="2" s="1"/>
  <c r="R2424" i="2" s="1"/>
  <c r="N2425" i="2"/>
  <c r="O2425" i="2" s="1"/>
  <c r="R2425" i="2" s="1"/>
  <c r="N2426" i="2"/>
  <c r="O2426" i="2" s="1"/>
  <c r="R2426" i="2" s="1"/>
  <c r="N2427" i="2"/>
  <c r="O2427" i="2" s="1"/>
  <c r="R2427" i="2" s="1"/>
  <c r="N2428" i="2"/>
  <c r="O2428" i="2" s="1"/>
  <c r="R2428" i="2" s="1"/>
  <c r="N2429" i="2"/>
  <c r="O2429" i="2" s="1"/>
  <c r="R2429" i="2" s="1"/>
  <c r="N2430" i="2"/>
  <c r="O2430" i="2" s="1"/>
  <c r="R2430" i="2" s="1"/>
  <c r="N2431" i="2"/>
  <c r="O2431" i="2" s="1"/>
  <c r="R2431" i="2" s="1"/>
  <c r="N2432" i="2"/>
  <c r="O2432" i="2" s="1"/>
  <c r="R2432" i="2" s="1"/>
  <c r="N2433" i="2"/>
  <c r="O2433" i="2" s="1"/>
  <c r="R2433" i="2" s="1"/>
  <c r="N2434" i="2"/>
  <c r="O2434" i="2" s="1"/>
  <c r="R2434" i="2" s="1"/>
  <c r="N2435" i="2"/>
  <c r="O2435" i="2" s="1"/>
  <c r="R2435" i="2" s="1"/>
  <c r="N2551" i="2"/>
  <c r="O2551" i="2" s="1"/>
  <c r="R2551" i="2" s="1"/>
  <c r="N2552" i="2"/>
  <c r="O2552" i="2" s="1"/>
  <c r="R2552" i="2" s="1"/>
  <c r="N2553" i="2"/>
  <c r="O2553" i="2" s="1"/>
  <c r="R2553" i="2" s="1"/>
  <c r="N2554" i="2"/>
  <c r="O2554" i="2" s="1"/>
  <c r="R2554" i="2" s="1"/>
  <c r="N2555" i="2"/>
  <c r="O2555" i="2" s="1"/>
  <c r="R2555" i="2" s="1"/>
  <c r="N2556" i="2"/>
  <c r="O2556" i="2" s="1"/>
  <c r="R2556" i="2" s="1"/>
  <c r="N2557" i="2"/>
  <c r="O2557" i="2" s="1"/>
  <c r="R2557" i="2" s="1"/>
  <c r="N2558" i="2"/>
  <c r="O2558" i="2" s="1"/>
  <c r="R2558" i="2" s="1"/>
  <c r="N2559" i="2"/>
  <c r="O2559" i="2" s="1"/>
  <c r="R2559" i="2" s="1"/>
  <c r="N532" i="2"/>
  <c r="O532" i="2" s="1"/>
  <c r="R532" i="2" s="1"/>
  <c r="N533" i="2"/>
  <c r="O533" i="2" s="1"/>
  <c r="R533" i="2" s="1"/>
  <c r="N719" i="2"/>
  <c r="O719" i="2" s="1"/>
  <c r="R719" i="2" s="1"/>
  <c r="N720" i="2"/>
  <c r="O720" i="2" s="1"/>
  <c r="R720" i="2" s="1"/>
  <c r="N721" i="2"/>
  <c r="O721" i="2" s="1"/>
  <c r="R721" i="2" s="1"/>
  <c r="N722" i="2"/>
  <c r="O722" i="2" s="1"/>
  <c r="R722" i="2" s="1"/>
  <c r="N723" i="2"/>
  <c r="O723" i="2" s="1"/>
  <c r="R723" i="2" s="1"/>
  <c r="N724" i="2"/>
  <c r="O724" i="2" s="1"/>
  <c r="R724" i="2" s="1"/>
  <c r="N725" i="2"/>
  <c r="O725" i="2" s="1"/>
  <c r="R725" i="2" s="1"/>
  <c r="N726" i="2"/>
  <c r="O726" i="2" s="1"/>
  <c r="R726" i="2" s="1"/>
  <c r="N727" i="2"/>
  <c r="O727" i="2" s="1"/>
  <c r="R727" i="2" s="1"/>
  <c r="N728" i="2"/>
  <c r="O728" i="2" s="1"/>
  <c r="R728" i="2" s="1"/>
  <c r="N729" i="2"/>
  <c r="O729" i="2" s="1"/>
  <c r="R729" i="2" s="1"/>
  <c r="N730" i="2"/>
  <c r="O730" i="2" s="1"/>
  <c r="R730" i="2" s="1"/>
  <c r="N731" i="2"/>
  <c r="O731" i="2" s="1"/>
  <c r="R731" i="2" s="1"/>
  <c r="N732" i="2"/>
  <c r="O732" i="2" s="1"/>
  <c r="R732" i="2" s="1"/>
  <c r="N733" i="2"/>
  <c r="O733" i="2" s="1"/>
  <c r="R733" i="2" s="1"/>
  <c r="N734" i="2"/>
  <c r="O734" i="2" s="1"/>
  <c r="R734" i="2" s="1"/>
  <c r="N999" i="2"/>
  <c r="O999" i="2" s="1"/>
  <c r="R999" i="2" s="1"/>
  <c r="N1000" i="2"/>
  <c r="O1000" i="2" s="1"/>
  <c r="R1000" i="2" s="1"/>
  <c r="N1197" i="2"/>
  <c r="O1197" i="2" s="1"/>
  <c r="R1197" i="2" s="1"/>
  <c r="N1198" i="2"/>
  <c r="O1198" i="2" s="1"/>
  <c r="R1198" i="2" s="1"/>
  <c r="N1393" i="2"/>
  <c r="O1393" i="2" s="1"/>
  <c r="R1393" i="2" s="1"/>
  <c r="N1394" i="2"/>
  <c r="O1394" i="2" s="1"/>
  <c r="R1394" i="2" s="1"/>
  <c r="N1395" i="2"/>
  <c r="O1395" i="2" s="1"/>
  <c r="R1395" i="2" s="1"/>
  <c r="N1396" i="2"/>
  <c r="O1396" i="2" s="1"/>
  <c r="R1396" i="2" s="1"/>
  <c r="N1574" i="2"/>
  <c r="O1574" i="2" s="1"/>
  <c r="R1574" i="2" s="1"/>
  <c r="N1575" i="2"/>
  <c r="O1575" i="2" s="1"/>
  <c r="R1575" i="2" s="1"/>
  <c r="N1576" i="2"/>
  <c r="O1576" i="2" s="1"/>
  <c r="R1576" i="2" s="1"/>
  <c r="N1577" i="2"/>
  <c r="O1577" i="2" s="1"/>
  <c r="R1577" i="2" s="1"/>
  <c r="N1739" i="2"/>
  <c r="O1739" i="2" s="1"/>
  <c r="R1739" i="2" s="1"/>
  <c r="N1740" i="2"/>
  <c r="O1740" i="2" s="1"/>
  <c r="R1740" i="2" s="1"/>
  <c r="N1741" i="2"/>
  <c r="O1741" i="2" s="1"/>
  <c r="R1741" i="2" s="1"/>
  <c r="N1742" i="2"/>
  <c r="O1742" i="2" s="1"/>
  <c r="R1742" i="2" s="1"/>
  <c r="N1743" i="2"/>
  <c r="O1743" i="2" s="1"/>
  <c r="R1743" i="2" s="1"/>
  <c r="N1744" i="2"/>
  <c r="O1744" i="2" s="1"/>
  <c r="R1744" i="2" s="1"/>
  <c r="N1902" i="2"/>
  <c r="O1902" i="2" s="1"/>
  <c r="R1902" i="2" s="1"/>
  <c r="N1903" i="2"/>
  <c r="O1903" i="2" s="1"/>
  <c r="R1903" i="2" s="1"/>
  <c r="N1904" i="2"/>
  <c r="O1904" i="2" s="1"/>
  <c r="R1904" i="2" s="1"/>
  <c r="N1905" i="2"/>
  <c r="O1905" i="2" s="1"/>
  <c r="R1905" i="2" s="1"/>
  <c r="N1906" i="2"/>
  <c r="O1906" i="2" s="1"/>
  <c r="R1906" i="2" s="1"/>
  <c r="N1907" i="2"/>
  <c r="O1907" i="2" s="1"/>
  <c r="R1907" i="2" s="1"/>
  <c r="N2084" i="2"/>
  <c r="O2084" i="2" s="1"/>
  <c r="R2084" i="2" s="1"/>
  <c r="N2085" i="2"/>
  <c r="O2085" i="2" s="1"/>
  <c r="R2085" i="2" s="1"/>
  <c r="N2086" i="2"/>
  <c r="O2086" i="2" s="1"/>
  <c r="R2086" i="2" s="1"/>
  <c r="N2087" i="2"/>
  <c r="O2087" i="2" s="1"/>
  <c r="R2087" i="2" s="1"/>
  <c r="N2088" i="2"/>
  <c r="O2088" i="2" s="1"/>
  <c r="R2088" i="2" s="1"/>
  <c r="N2089" i="2"/>
  <c r="O2089" i="2" s="1"/>
  <c r="R2089" i="2" s="1"/>
  <c r="N2090" i="2"/>
  <c r="O2090" i="2" s="1"/>
  <c r="R2090" i="2" s="1"/>
  <c r="N2091" i="2"/>
  <c r="O2091" i="2" s="1"/>
  <c r="R2091" i="2" s="1"/>
  <c r="N2239" i="2"/>
  <c r="O2239" i="2" s="1"/>
  <c r="R2239" i="2" s="1"/>
  <c r="N2240" i="2"/>
  <c r="O2240" i="2" s="1"/>
  <c r="R2240" i="2" s="1"/>
  <c r="N2241" i="2"/>
  <c r="O2241" i="2" s="1"/>
  <c r="R2241" i="2" s="1"/>
  <c r="N2242" i="2"/>
  <c r="O2242" i="2" s="1"/>
  <c r="R2242" i="2" s="1"/>
  <c r="N2243" i="2"/>
  <c r="O2243" i="2" s="1"/>
  <c r="R2243" i="2" s="1"/>
  <c r="N2244" i="2"/>
  <c r="O2244" i="2" s="1"/>
  <c r="R2244" i="2" s="1"/>
  <c r="N2245" i="2"/>
  <c r="O2245" i="2" s="1"/>
  <c r="R2245" i="2" s="1"/>
  <c r="N2246" i="2"/>
  <c r="O2246" i="2" s="1"/>
  <c r="R2246" i="2" s="1"/>
  <c r="N2436" i="2"/>
  <c r="O2436" i="2" s="1"/>
  <c r="R2436" i="2" s="1"/>
  <c r="N2437" i="2"/>
  <c r="O2437" i="2" s="1"/>
  <c r="R2437" i="2" s="1"/>
  <c r="N2438" i="2"/>
  <c r="O2438" i="2" s="1"/>
  <c r="R2438" i="2" s="1"/>
  <c r="N2439" i="2"/>
  <c r="O2439" i="2" s="1"/>
  <c r="R2439" i="2" s="1"/>
  <c r="N2440" i="2"/>
  <c r="O2440" i="2" s="1"/>
  <c r="R2440" i="2" s="1"/>
  <c r="N2441" i="2"/>
  <c r="O2441" i="2" s="1"/>
  <c r="R2441" i="2" s="1"/>
  <c r="N2442" i="2"/>
  <c r="O2442" i="2" s="1"/>
  <c r="R2442" i="2" s="1"/>
  <c r="N2443" i="2"/>
  <c r="O2443" i="2" s="1"/>
  <c r="R2443" i="2" s="1"/>
  <c r="N2595" i="2"/>
  <c r="O2595" i="2" s="1"/>
  <c r="R2595" i="2" s="1"/>
  <c r="N2596" i="2"/>
  <c r="O2596" i="2" s="1"/>
  <c r="R2596" i="2" s="1"/>
  <c r="N2597" i="2"/>
  <c r="O2597" i="2" s="1"/>
  <c r="R2597" i="2" s="1"/>
  <c r="N2598" i="2"/>
  <c r="O2598" i="2" s="1"/>
  <c r="R2598" i="2" s="1"/>
  <c r="N2599" i="2"/>
  <c r="O2599" i="2" s="1"/>
  <c r="R2599" i="2" s="1"/>
  <c r="N2600" i="2"/>
  <c r="O2600" i="2" s="1"/>
  <c r="R2600" i="2" s="1"/>
  <c r="N2601" i="2"/>
  <c r="O2601" i="2" s="1"/>
  <c r="R2601" i="2" s="1"/>
  <c r="N534" i="2"/>
  <c r="O534" i="2" s="1"/>
  <c r="R534" i="2" s="1"/>
  <c r="N535" i="2"/>
  <c r="O535" i="2" s="1"/>
  <c r="R535" i="2" s="1"/>
  <c r="N536" i="2"/>
  <c r="O536" i="2" s="1"/>
  <c r="R536" i="2" s="1"/>
  <c r="N537" i="2"/>
  <c r="O537" i="2" s="1"/>
  <c r="R537" i="2" s="1"/>
  <c r="N538" i="2"/>
  <c r="O538" i="2" s="1"/>
  <c r="R538" i="2" s="1"/>
  <c r="N539" i="2"/>
  <c r="O539" i="2" s="1"/>
  <c r="R539" i="2" s="1"/>
  <c r="N540" i="2"/>
  <c r="O540" i="2" s="1"/>
  <c r="R540" i="2" s="1"/>
  <c r="N541" i="2"/>
  <c r="O541" i="2" s="1"/>
  <c r="R541" i="2" s="1"/>
  <c r="N542" i="2"/>
  <c r="O542" i="2" s="1"/>
  <c r="R542" i="2" s="1"/>
  <c r="N543" i="2"/>
  <c r="O543" i="2" s="1"/>
  <c r="R543" i="2" s="1"/>
  <c r="N544" i="2"/>
  <c r="O544" i="2" s="1"/>
  <c r="R544" i="2" s="1"/>
  <c r="N545" i="2"/>
  <c r="O545" i="2" s="1"/>
  <c r="R545" i="2" s="1"/>
  <c r="N546" i="2"/>
  <c r="O546" i="2" s="1"/>
  <c r="R546" i="2" s="1"/>
  <c r="N547" i="2"/>
  <c r="O547" i="2" s="1"/>
  <c r="R547" i="2" s="1"/>
  <c r="N548" i="2"/>
  <c r="O548" i="2" s="1"/>
  <c r="R548" i="2" s="1"/>
  <c r="N549" i="2"/>
  <c r="O549" i="2" s="1"/>
  <c r="R549" i="2" s="1"/>
  <c r="N550" i="2"/>
  <c r="O550" i="2" s="1"/>
  <c r="R550" i="2" s="1"/>
  <c r="N551" i="2"/>
  <c r="O551" i="2" s="1"/>
  <c r="R551" i="2" s="1"/>
  <c r="N552" i="2"/>
  <c r="O552" i="2" s="1"/>
  <c r="R552" i="2" s="1"/>
  <c r="N553" i="2"/>
  <c r="O553" i="2" s="1"/>
  <c r="R553" i="2" s="1"/>
  <c r="N554" i="2"/>
  <c r="O554" i="2" s="1"/>
  <c r="R554" i="2" s="1"/>
  <c r="N555" i="2"/>
  <c r="O555" i="2" s="1"/>
  <c r="R555" i="2" s="1"/>
  <c r="N556" i="2"/>
  <c r="O556" i="2" s="1"/>
  <c r="R556" i="2" s="1"/>
  <c r="N557" i="2"/>
  <c r="O557" i="2" s="1"/>
  <c r="R557" i="2" s="1"/>
  <c r="N558" i="2"/>
  <c r="O558" i="2" s="1"/>
  <c r="R558" i="2" s="1"/>
  <c r="N559" i="2"/>
  <c r="O559" i="2" s="1"/>
  <c r="R559" i="2" s="1"/>
  <c r="N560" i="2"/>
  <c r="O560" i="2" s="1"/>
  <c r="R560" i="2" s="1"/>
  <c r="N561" i="2"/>
  <c r="O561" i="2" s="1"/>
  <c r="R561" i="2" s="1"/>
  <c r="N562" i="2"/>
  <c r="O562" i="2" s="1"/>
  <c r="R562" i="2" s="1"/>
  <c r="N563" i="2"/>
  <c r="O563" i="2" s="1"/>
  <c r="R563" i="2" s="1"/>
  <c r="N564" i="2"/>
  <c r="O564" i="2" s="1"/>
  <c r="R564" i="2" s="1"/>
  <c r="N565" i="2"/>
  <c r="O565" i="2" s="1"/>
  <c r="R565" i="2" s="1"/>
  <c r="N566" i="2"/>
  <c r="O566" i="2" s="1"/>
  <c r="R566" i="2" s="1"/>
  <c r="N567" i="2"/>
  <c r="O567" i="2" s="1"/>
  <c r="R567" i="2" s="1"/>
  <c r="N568" i="2"/>
  <c r="O568" i="2" s="1"/>
  <c r="R568" i="2" s="1"/>
  <c r="N569" i="2"/>
  <c r="O569" i="2" s="1"/>
  <c r="R569" i="2" s="1"/>
  <c r="N570" i="2"/>
  <c r="O570" i="2" s="1"/>
  <c r="R570" i="2" s="1"/>
  <c r="N571" i="2"/>
  <c r="O571" i="2" s="1"/>
  <c r="R571" i="2" s="1"/>
  <c r="N572" i="2"/>
  <c r="O572" i="2" s="1"/>
  <c r="R572" i="2" s="1"/>
  <c r="N573" i="2"/>
  <c r="O573" i="2" s="1"/>
  <c r="R573" i="2" s="1"/>
  <c r="N574" i="2"/>
  <c r="O574" i="2" s="1"/>
  <c r="R574" i="2" s="1"/>
  <c r="N575" i="2"/>
  <c r="O575" i="2" s="1"/>
  <c r="R575" i="2" s="1"/>
  <c r="N576" i="2"/>
  <c r="O576" i="2" s="1"/>
  <c r="R576" i="2" s="1"/>
  <c r="N577" i="2"/>
  <c r="O577" i="2" s="1"/>
  <c r="R577" i="2" s="1"/>
  <c r="N578" i="2"/>
  <c r="O578" i="2" s="1"/>
  <c r="R578" i="2" s="1"/>
  <c r="N579" i="2"/>
  <c r="O579" i="2" s="1"/>
  <c r="R579" i="2" s="1"/>
  <c r="N735" i="2"/>
  <c r="O735" i="2" s="1"/>
  <c r="R735" i="2" s="1"/>
  <c r="N736" i="2"/>
  <c r="O736" i="2" s="1"/>
  <c r="R736" i="2" s="1"/>
  <c r="N737" i="2"/>
  <c r="O737" i="2" s="1"/>
  <c r="R737" i="2" s="1"/>
  <c r="N738" i="2"/>
  <c r="O738" i="2" s="1"/>
  <c r="R738" i="2" s="1"/>
  <c r="N739" i="2"/>
  <c r="O739" i="2" s="1"/>
  <c r="R739" i="2" s="1"/>
  <c r="N740" i="2"/>
  <c r="O740" i="2" s="1"/>
  <c r="R740" i="2" s="1"/>
  <c r="N741" i="2"/>
  <c r="O741" i="2" s="1"/>
  <c r="R741" i="2" s="1"/>
  <c r="N742" i="2"/>
  <c r="O742" i="2" s="1"/>
  <c r="R742" i="2" s="1"/>
  <c r="N743" i="2"/>
  <c r="O743" i="2" s="1"/>
  <c r="R743" i="2" s="1"/>
  <c r="N744" i="2"/>
  <c r="O744" i="2" s="1"/>
  <c r="R744" i="2" s="1"/>
  <c r="N745" i="2"/>
  <c r="O745" i="2" s="1"/>
  <c r="R745" i="2" s="1"/>
  <c r="N746" i="2"/>
  <c r="O746" i="2" s="1"/>
  <c r="R746" i="2" s="1"/>
  <c r="N747" i="2"/>
  <c r="O747" i="2" s="1"/>
  <c r="R747" i="2" s="1"/>
  <c r="N748" i="2"/>
  <c r="O748" i="2" s="1"/>
  <c r="R748" i="2" s="1"/>
  <c r="N749" i="2"/>
  <c r="O749" i="2" s="1"/>
  <c r="R749" i="2" s="1"/>
  <c r="N750" i="2"/>
  <c r="O750" i="2" s="1"/>
  <c r="R750" i="2" s="1"/>
  <c r="N751" i="2"/>
  <c r="O751" i="2" s="1"/>
  <c r="R751" i="2" s="1"/>
  <c r="N752" i="2"/>
  <c r="O752" i="2" s="1"/>
  <c r="R752" i="2" s="1"/>
  <c r="N753" i="2"/>
  <c r="O753" i="2" s="1"/>
  <c r="R753" i="2" s="1"/>
  <c r="N754" i="2"/>
  <c r="O754" i="2" s="1"/>
  <c r="R754" i="2" s="1"/>
  <c r="N755" i="2"/>
  <c r="O755" i="2" s="1"/>
  <c r="R755" i="2" s="1"/>
  <c r="N756" i="2"/>
  <c r="O756" i="2" s="1"/>
  <c r="R756" i="2" s="1"/>
  <c r="N757" i="2"/>
  <c r="O757" i="2" s="1"/>
  <c r="R757" i="2" s="1"/>
  <c r="N758" i="2"/>
  <c r="O758" i="2" s="1"/>
  <c r="R758" i="2" s="1"/>
  <c r="N759" i="2"/>
  <c r="O759" i="2" s="1"/>
  <c r="R759" i="2" s="1"/>
  <c r="N760" i="2"/>
  <c r="O760" i="2" s="1"/>
  <c r="R760" i="2" s="1"/>
  <c r="N761" i="2"/>
  <c r="O761" i="2" s="1"/>
  <c r="R761" i="2" s="1"/>
  <c r="N762" i="2"/>
  <c r="O762" i="2" s="1"/>
  <c r="R762" i="2" s="1"/>
  <c r="N763" i="2"/>
  <c r="O763" i="2" s="1"/>
  <c r="R763" i="2" s="1"/>
  <c r="N764" i="2"/>
  <c r="O764" i="2" s="1"/>
  <c r="R764" i="2" s="1"/>
  <c r="N765" i="2"/>
  <c r="O765" i="2" s="1"/>
  <c r="R765" i="2" s="1"/>
  <c r="N766" i="2"/>
  <c r="O766" i="2" s="1"/>
  <c r="R766" i="2" s="1"/>
  <c r="N767" i="2"/>
  <c r="O767" i="2" s="1"/>
  <c r="R767" i="2" s="1"/>
  <c r="N768" i="2"/>
  <c r="O768" i="2" s="1"/>
  <c r="R768" i="2" s="1"/>
  <c r="N769" i="2"/>
  <c r="O769" i="2" s="1"/>
  <c r="R769" i="2" s="1"/>
  <c r="N770" i="2"/>
  <c r="O770" i="2" s="1"/>
  <c r="R770" i="2" s="1"/>
  <c r="N771" i="2"/>
  <c r="O771" i="2" s="1"/>
  <c r="R771" i="2" s="1"/>
  <c r="N772" i="2"/>
  <c r="O772" i="2" s="1"/>
  <c r="R772" i="2" s="1"/>
  <c r="N773" i="2"/>
  <c r="O773" i="2" s="1"/>
  <c r="R773" i="2" s="1"/>
  <c r="N774" i="2"/>
  <c r="O774" i="2" s="1"/>
  <c r="R774" i="2" s="1"/>
  <c r="N775" i="2"/>
  <c r="O775" i="2" s="1"/>
  <c r="R775" i="2" s="1"/>
  <c r="N776" i="2"/>
  <c r="O776" i="2" s="1"/>
  <c r="R776" i="2" s="1"/>
  <c r="N777" i="2"/>
  <c r="O777" i="2" s="1"/>
  <c r="R777" i="2" s="1"/>
  <c r="N778" i="2"/>
  <c r="O778" i="2" s="1"/>
  <c r="R778" i="2" s="1"/>
  <c r="N779" i="2"/>
  <c r="O779" i="2" s="1"/>
  <c r="R779" i="2" s="1"/>
  <c r="N780" i="2"/>
  <c r="O780" i="2" s="1"/>
  <c r="R780" i="2" s="1"/>
  <c r="N781" i="2"/>
  <c r="O781" i="2" s="1"/>
  <c r="R781" i="2" s="1"/>
  <c r="N782" i="2"/>
  <c r="O782" i="2" s="1"/>
  <c r="R782" i="2" s="1"/>
  <c r="N783" i="2"/>
  <c r="O783" i="2" s="1"/>
  <c r="R783" i="2" s="1"/>
  <c r="N1001" i="2"/>
  <c r="O1001" i="2" s="1"/>
  <c r="R1001" i="2" s="1"/>
  <c r="N1002" i="2"/>
  <c r="O1002" i="2" s="1"/>
  <c r="R1002" i="2" s="1"/>
  <c r="N1003" i="2"/>
  <c r="O1003" i="2" s="1"/>
  <c r="R1003" i="2" s="1"/>
  <c r="N1004" i="2"/>
  <c r="O1004" i="2" s="1"/>
  <c r="R1004" i="2" s="1"/>
  <c r="N1005" i="2"/>
  <c r="O1005" i="2" s="1"/>
  <c r="R1005" i="2" s="1"/>
  <c r="N1006" i="2"/>
  <c r="O1006" i="2" s="1"/>
  <c r="R1006" i="2" s="1"/>
  <c r="N1007" i="2"/>
  <c r="O1007" i="2" s="1"/>
  <c r="R1007" i="2" s="1"/>
  <c r="N1008" i="2"/>
  <c r="O1008" i="2" s="1"/>
  <c r="R1008" i="2" s="1"/>
  <c r="N1009" i="2"/>
  <c r="O1009" i="2" s="1"/>
  <c r="R1009" i="2" s="1"/>
  <c r="N1010" i="2"/>
  <c r="O1010" i="2" s="1"/>
  <c r="R1010" i="2" s="1"/>
  <c r="N1011" i="2"/>
  <c r="O1011" i="2" s="1"/>
  <c r="R1011" i="2" s="1"/>
  <c r="N1012" i="2"/>
  <c r="O1012" i="2" s="1"/>
  <c r="R1012" i="2" s="1"/>
  <c r="N1013" i="2"/>
  <c r="O1013" i="2" s="1"/>
  <c r="R1013" i="2" s="1"/>
  <c r="N1014" i="2"/>
  <c r="O1014" i="2" s="1"/>
  <c r="R1014" i="2" s="1"/>
  <c r="N1015" i="2"/>
  <c r="O1015" i="2" s="1"/>
  <c r="R1015" i="2" s="1"/>
  <c r="N1016" i="2"/>
  <c r="O1016" i="2" s="1"/>
  <c r="R1016" i="2" s="1"/>
  <c r="N1017" i="2"/>
  <c r="O1017" i="2" s="1"/>
  <c r="R1017" i="2" s="1"/>
  <c r="N1018" i="2"/>
  <c r="O1018" i="2" s="1"/>
  <c r="R1018" i="2" s="1"/>
  <c r="N1019" i="2"/>
  <c r="O1019" i="2" s="1"/>
  <c r="R1019" i="2" s="1"/>
  <c r="N1020" i="2"/>
  <c r="O1020" i="2" s="1"/>
  <c r="R1020" i="2" s="1"/>
  <c r="N1199" i="2"/>
  <c r="O1199" i="2" s="1"/>
  <c r="R1199" i="2" s="1"/>
  <c r="N1200" i="2"/>
  <c r="O1200" i="2" s="1"/>
  <c r="R1200" i="2" s="1"/>
  <c r="N1201" i="2"/>
  <c r="O1201" i="2" s="1"/>
  <c r="R1201" i="2" s="1"/>
  <c r="N1202" i="2"/>
  <c r="O1202" i="2" s="1"/>
  <c r="R1202" i="2" s="1"/>
  <c r="N1203" i="2"/>
  <c r="O1203" i="2" s="1"/>
  <c r="R1203" i="2" s="1"/>
  <c r="N1204" i="2"/>
  <c r="O1204" i="2" s="1"/>
  <c r="R1204" i="2" s="1"/>
  <c r="N1205" i="2"/>
  <c r="O1205" i="2" s="1"/>
  <c r="R1205" i="2" s="1"/>
  <c r="N1206" i="2"/>
  <c r="O1206" i="2" s="1"/>
  <c r="R1206" i="2" s="1"/>
  <c r="N1207" i="2"/>
  <c r="O1207" i="2" s="1"/>
  <c r="R1207" i="2" s="1"/>
  <c r="N1208" i="2"/>
  <c r="O1208" i="2" s="1"/>
  <c r="R1208" i="2" s="1"/>
  <c r="N1209" i="2"/>
  <c r="O1209" i="2" s="1"/>
  <c r="R1209" i="2" s="1"/>
  <c r="N1210" i="2"/>
  <c r="O1210" i="2" s="1"/>
  <c r="R1210" i="2" s="1"/>
  <c r="N1211" i="2"/>
  <c r="O1211" i="2" s="1"/>
  <c r="R1211" i="2" s="1"/>
  <c r="N1212" i="2"/>
  <c r="O1212" i="2" s="1"/>
  <c r="R1212" i="2" s="1"/>
  <c r="N1213" i="2"/>
  <c r="O1213" i="2" s="1"/>
  <c r="R1213" i="2" s="1"/>
  <c r="N1214" i="2"/>
  <c r="O1214" i="2" s="1"/>
  <c r="R1214" i="2" s="1"/>
  <c r="N1215" i="2"/>
  <c r="O1215" i="2" s="1"/>
  <c r="R1215" i="2" s="1"/>
  <c r="N1216" i="2"/>
  <c r="O1216" i="2" s="1"/>
  <c r="R1216" i="2" s="1"/>
  <c r="N1397" i="2"/>
  <c r="O1397" i="2" s="1"/>
  <c r="R1397" i="2" s="1"/>
  <c r="N1398" i="2"/>
  <c r="O1398" i="2" s="1"/>
  <c r="R1398" i="2" s="1"/>
  <c r="N1399" i="2"/>
  <c r="O1399" i="2" s="1"/>
  <c r="R1399" i="2" s="1"/>
  <c r="N1400" i="2"/>
  <c r="O1400" i="2" s="1"/>
  <c r="R1400" i="2" s="1"/>
  <c r="N1401" i="2"/>
  <c r="O1401" i="2" s="1"/>
  <c r="R1401" i="2" s="1"/>
  <c r="N1402" i="2"/>
  <c r="O1402" i="2" s="1"/>
  <c r="R1402" i="2" s="1"/>
  <c r="N1403" i="2"/>
  <c r="O1403" i="2" s="1"/>
  <c r="R1403" i="2" s="1"/>
  <c r="N1404" i="2"/>
  <c r="O1404" i="2" s="1"/>
  <c r="R1404" i="2" s="1"/>
  <c r="N1405" i="2"/>
  <c r="O1405" i="2" s="1"/>
  <c r="R1405" i="2" s="1"/>
  <c r="N1406" i="2"/>
  <c r="O1406" i="2" s="1"/>
  <c r="R1406" i="2" s="1"/>
  <c r="N1578" i="2"/>
  <c r="O1578" i="2" s="1"/>
  <c r="R1578" i="2" s="1"/>
  <c r="N1579" i="2"/>
  <c r="O1579" i="2" s="1"/>
  <c r="R1579" i="2" s="1"/>
  <c r="N1580" i="2"/>
  <c r="O1580" i="2" s="1"/>
  <c r="R1580" i="2" s="1"/>
  <c r="N1581" i="2"/>
  <c r="O1581" i="2" s="1"/>
  <c r="R1581" i="2" s="1"/>
  <c r="N1582" i="2"/>
  <c r="O1582" i="2" s="1"/>
  <c r="R1582" i="2" s="1"/>
  <c r="N1583" i="2"/>
  <c r="O1583" i="2" s="1"/>
  <c r="R1583" i="2" s="1"/>
  <c r="N1584" i="2"/>
  <c r="O1584" i="2" s="1"/>
  <c r="R1584" i="2" s="1"/>
  <c r="N1585" i="2"/>
  <c r="O1585" i="2" s="1"/>
  <c r="R1585" i="2" s="1"/>
  <c r="N1586" i="2"/>
  <c r="O1586" i="2" s="1"/>
  <c r="R1586" i="2" s="1"/>
  <c r="N1587" i="2"/>
  <c r="O1587" i="2" s="1"/>
  <c r="R1587" i="2" s="1"/>
  <c r="N1745" i="2"/>
  <c r="O1745" i="2" s="1"/>
  <c r="R1745" i="2" s="1"/>
  <c r="N1746" i="2"/>
  <c r="O1746" i="2" s="1"/>
  <c r="R1746" i="2" s="1"/>
  <c r="N1747" i="2"/>
  <c r="O1747" i="2" s="1"/>
  <c r="R1747" i="2" s="1"/>
  <c r="N1748" i="2"/>
  <c r="O1748" i="2" s="1"/>
  <c r="R1748" i="2" s="1"/>
  <c r="N1749" i="2"/>
  <c r="O1749" i="2" s="1"/>
  <c r="R1749" i="2" s="1"/>
  <c r="N1750" i="2"/>
  <c r="O1750" i="2" s="1"/>
  <c r="R1750" i="2" s="1"/>
  <c r="N1751" i="2"/>
  <c r="O1751" i="2" s="1"/>
  <c r="R1751" i="2" s="1"/>
  <c r="N1752" i="2"/>
  <c r="O1752" i="2" s="1"/>
  <c r="R1752" i="2" s="1"/>
  <c r="N1753" i="2"/>
  <c r="O1753" i="2" s="1"/>
  <c r="R1753" i="2" s="1"/>
  <c r="N1754" i="2"/>
  <c r="O1754" i="2" s="1"/>
  <c r="R1754" i="2" s="1"/>
  <c r="N1755" i="2"/>
  <c r="O1755" i="2" s="1"/>
  <c r="R1755" i="2" s="1"/>
  <c r="N1756" i="2"/>
  <c r="O1756" i="2" s="1"/>
  <c r="R1756" i="2" s="1"/>
  <c r="N1757" i="2"/>
  <c r="O1757" i="2" s="1"/>
  <c r="R1757" i="2" s="1"/>
  <c r="N1758" i="2"/>
  <c r="O1758" i="2" s="1"/>
  <c r="R1758" i="2" s="1"/>
  <c r="N1759" i="2"/>
  <c r="O1759" i="2" s="1"/>
  <c r="R1759" i="2" s="1"/>
  <c r="N1760" i="2"/>
  <c r="O1760" i="2" s="1"/>
  <c r="R1760" i="2" s="1"/>
  <c r="N1908" i="2"/>
  <c r="O1908" i="2" s="1"/>
  <c r="R1908" i="2" s="1"/>
  <c r="N1909" i="2"/>
  <c r="O1909" i="2" s="1"/>
  <c r="R1909" i="2" s="1"/>
  <c r="N1910" i="2"/>
  <c r="O1910" i="2" s="1"/>
  <c r="R1910" i="2" s="1"/>
  <c r="N1911" i="2"/>
  <c r="O1911" i="2" s="1"/>
  <c r="R1911" i="2" s="1"/>
  <c r="N1912" i="2"/>
  <c r="O1912" i="2" s="1"/>
  <c r="R1912" i="2" s="1"/>
  <c r="N1913" i="2"/>
  <c r="O1913" i="2" s="1"/>
  <c r="R1913" i="2" s="1"/>
  <c r="N1914" i="2"/>
  <c r="O1914" i="2" s="1"/>
  <c r="R1914" i="2" s="1"/>
  <c r="N1915" i="2"/>
  <c r="O1915" i="2" s="1"/>
  <c r="R1915" i="2" s="1"/>
  <c r="N1916" i="2"/>
  <c r="O1916" i="2" s="1"/>
  <c r="R1916" i="2" s="1"/>
  <c r="N1917" i="2"/>
  <c r="O1917" i="2" s="1"/>
  <c r="R1917" i="2" s="1"/>
  <c r="N1918" i="2"/>
  <c r="O1918" i="2" s="1"/>
  <c r="R1918" i="2" s="1"/>
  <c r="N1919" i="2"/>
  <c r="O1919" i="2" s="1"/>
  <c r="R1919" i="2" s="1"/>
  <c r="N1920" i="2"/>
  <c r="O1920" i="2" s="1"/>
  <c r="R1920" i="2" s="1"/>
  <c r="N1921" i="2"/>
  <c r="O1921" i="2" s="1"/>
  <c r="R1921" i="2" s="1"/>
  <c r="N1922" i="2"/>
  <c r="O1922" i="2" s="1"/>
  <c r="R1922" i="2" s="1"/>
  <c r="N1923" i="2"/>
  <c r="O1923" i="2" s="1"/>
  <c r="R1923" i="2" s="1"/>
  <c r="N1924" i="2"/>
  <c r="O1924" i="2" s="1"/>
  <c r="R1924" i="2" s="1"/>
  <c r="N1925" i="2"/>
  <c r="O1925" i="2" s="1"/>
  <c r="R1925" i="2" s="1"/>
  <c r="N1926" i="2"/>
  <c r="O1926" i="2" s="1"/>
  <c r="R1926" i="2" s="1"/>
  <c r="N1927" i="2"/>
  <c r="O1927" i="2" s="1"/>
  <c r="R1927" i="2" s="1"/>
  <c r="N1928" i="2"/>
  <c r="O1928" i="2" s="1"/>
  <c r="R1928" i="2" s="1"/>
  <c r="N1929" i="2"/>
  <c r="O1929" i="2" s="1"/>
  <c r="R1929" i="2" s="1"/>
  <c r="N1930" i="2"/>
  <c r="O1930" i="2" s="1"/>
  <c r="R1930" i="2" s="1"/>
  <c r="N1931" i="2"/>
  <c r="O1931" i="2" s="1"/>
  <c r="R1931" i="2" s="1"/>
  <c r="N2092" i="2"/>
  <c r="O2092" i="2" s="1"/>
  <c r="R2092" i="2" s="1"/>
  <c r="N2093" i="2"/>
  <c r="O2093" i="2" s="1"/>
  <c r="R2093" i="2" s="1"/>
  <c r="N2094" i="2"/>
  <c r="O2094" i="2" s="1"/>
  <c r="R2094" i="2" s="1"/>
  <c r="N2095" i="2"/>
  <c r="O2095" i="2" s="1"/>
  <c r="R2095" i="2" s="1"/>
  <c r="N2096" i="2"/>
  <c r="O2096" i="2" s="1"/>
  <c r="R2096" i="2" s="1"/>
  <c r="N2097" i="2"/>
  <c r="O2097" i="2" s="1"/>
  <c r="R2097" i="2" s="1"/>
  <c r="N2098" i="2"/>
  <c r="O2098" i="2" s="1"/>
  <c r="R2098" i="2" s="1"/>
  <c r="N2099" i="2"/>
  <c r="O2099" i="2" s="1"/>
  <c r="R2099" i="2" s="1"/>
  <c r="N2100" i="2"/>
  <c r="O2100" i="2" s="1"/>
  <c r="R2100" i="2" s="1"/>
  <c r="N2101" i="2"/>
  <c r="O2101" i="2" s="1"/>
  <c r="R2101" i="2" s="1"/>
  <c r="N2102" i="2"/>
  <c r="O2102" i="2" s="1"/>
  <c r="R2102" i="2" s="1"/>
  <c r="N2103" i="2"/>
  <c r="O2103" i="2" s="1"/>
  <c r="R2103" i="2" s="1"/>
  <c r="N2104" i="2"/>
  <c r="O2104" i="2" s="1"/>
  <c r="R2104" i="2" s="1"/>
  <c r="N2105" i="2"/>
  <c r="O2105" i="2" s="1"/>
  <c r="R2105" i="2" s="1"/>
  <c r="N2106" i="2"/>
  <c r="O2106" i="2" s="1"/>
  <c r="R2106" i="2" s="1"/>
  <c r="N2107" i="2"/>
  <c r="O2107" i="2" s="1"/>
  <c r="R2107" i="2" s="1"/>
  <c r="N2247" i="2"/>
  <c r="O2247" i="2" s="1"/>
  <c r="R2247" i="2" s="1"/>
  <c r="N2248" i="2"/>
  <c r="O2248" i="2" s="1"/>
  <c r="R2248" i="2" s="1"/>
  <c r="N2249" i="2"/>
  <c r="O2249" i="2" s="1"/>
  <c r="R2249" i="2" s="1"/>
  <c r="N2250" i="2"/>
  <c r="O2250" i="2" s="1"/>
  <c r="R2250" i="2" s="1"/>
  <c r="N2251" i="2"/>
  <c r="O2251" i="2" s="1"/>
  <c r="R2251" i="2" s="1"/>
  <c r="N2252" i="2"/>
  <c r="O2252" i="2" s="1"/>
  <c r="R2252" i="2" s="1"/>
  <c r="N2253" i="2"/>
  <c r="O2253" i="2" s="1"/>
  <c r="R2253" i="2" s="1"/>
  <c r="N2254" i="2"/>
  <c r="O2254" i="2" s="1"/>
  <c r="R2254" i="2" s="1"/>
  <c r="N2255" i="2"/>
  <c r="O2255" i="2" s="1"/>
  <c r="R2255" i="2" s="1"/>
  <c r="N2256" i="2"/>
  <c r="O2256" i="2" s="1"/>
  <c r="R2256" i="2" s="1"/>
  <c r="N2257" i="2"/>
  <c r="O2257" i="2" s="1"/>
  <c r="R2257" i="2" s="1"/>
  <c r="N2258" i="2"/>
  <c r="O2258" i="2" s="1"/>
  <c r="R2258" i="2" s="1"/>
  <c r="N2259" i="2"/>
  <c r="O2259" i="2" s="1"/>
  <c r="R2259" i="2" s="1"/>
  <c r="N2260" i="2"/>
  <c r="O2260" i="2" s="1"/>
  <c r="R2260" i="2" s="1"/>
  <c r="N2261" i="2"/>
  <c r="O2261" i="2" s="1"/>
  <c r="R2261" i="2" s="1"/>
  <c r="N2262" i="2"/>
  <c r="O2262" i="2" s="1"/>
  <c r="R2262" i="2" s="1"/>
  <c r="N2263" i="2"/>
  <c r="O2263" i="2" s="1"/>
  <c r="R2263" i="2" s="1"/>
  <c r="N2264" i="2"/>
  <c r="O2264" i="2" s="1"/>
  <c r="R2264" i="2" s="1"/>
  <c r="N2265" i="2"/>
  <c r="O2265" i="2" s="1"/>
  <c r="R2265" i="2" s="1"/>
  <c r="N2266" i="2"/>
  <c r="O2266" i="2" s="1"/>
  <c r="R2266" i="2" s="1"/>
  <c r="N2267" i="2"/>
  <c r="O2267" i="2" s="1"/>
  <c r="R2267" i="2" s="1"/>
  <c r="N2268" i="2"/>
  <c r="O2268" i="2" s="1"/>
  <c r="R2268" i="2" s="1"/>
  <c r="N2269" i="2"/>
  <c r="O2269" i="2" s="1"/>
  <c r="R2269" i="2" s="1"/>
  <c r="N2270" i="2"/>
  <c r="O2270" i="2" s="1"/>
  <c r="R2270" i="2" s="1"/>
  <c r="N2271" i="2"/>
  <c r="O2271" i="2" s="1"/>
  <c r="R2271" i="2" s="1"/>
  <c r="N2272" i="2"/>
  <c r="O2272" i="2" s="1"/>
  <c r="R2272" i="2" s="1"/>
  <c r="N2273" i="2"/>
  <c r="O2273" i="2" s="1"/>
  <c r="R2273" i="2" s="1"/>
  <c r="N2274" i="2"/>
  <c r="O2274" i="2" s="1"/>
  <c r="R2274" i="2" s="1"/>
  <c r="N2275" i="2"/>
  <c r="O2275" i="2" s="1"/>
  <c r="R2275" i="2" s="1"/>
  <c r="N2276" i="2"/>
  <c r="O2276" i="2" s="1"/>
  <c r="R2276" i="2" s="1"/>
  <c r="N2277" i="2"/>
  <c r="O2277" i="2" s="1"/>
  <c r="R2277" i="2" s="1"/>
  <c r="N2278" i="2"/>
  <c r="O2278" i="2" s="1"/>
  <c r="R2278" i="2" s="1"/>
  <c r="N2279" i="2"/>
  <c r="O2279" i="2" s="1"/>
  <c r="R2279" i="2" s="1"/>
  <c r="N2280" i="2"/>
  <c r="O2280" i="2" s="1"/>
  <c r="R2280" i="2" s="1"/>
  <c r="N2281" i="2"/>
  <c r="O2281" i="2" s="1"/>
  <c r="R2281" i="2" s="1"/>
  <c r="N2282" i="2"/>
  <c r="O2282" i="2" s="1"/>
  <c r="R2282" i="2" s="1"/>
  <c r="N2444" i="2"/>
  <c r="O2444" i="2" s="1"/>
  <c r="R2444" i="2" s="1"/>
  <c r="N2445" i="2"/>
  <c r="O2445" i="2" s="1"/>
  <c r="R2445" i="2" s="1"/>
  <c r="N2446" i="2"/>
  <c r="O2446" i="2" s="1"/>
  <c r="R2446" i="2" s="1"/>
  <c r="N2447" i="2"/>
  <c r="O2447" i="2" s="1"/>
  <c r="R2447" i="2" s="1"/>
  <c r="N2448" i="2"/>
  <c r="O2448" i="2" s="1"/>
  <c r="R2448" i="2" s="1"/>
  <c r="N2449" i="2"/>
  <c r="O2449" i="2" s="1"/>
  <c r="R2449" i="2" s="1"/>
  <c r="N2450" i="2"/>
  <c r="O2450" i="2" s="1"/>
  <c r="R2450" i="2" s="1"/>
  <c r="N2451" i="2"/>
  <c r="O2451" i="2" s="1"/>
  <c r="R2451" i="2" s="1"/>
  <c r="N2452" i="2"/>
  <c r="O2452" i="2" s="1"/>
  <c r="R2452" i="2" s="1"/>
  <c r="N2453" i="2"/>
  <c r="O2453" i="2" s="1"/>
  <c r="R2453" i="2" s="1"/>
  <c r="N2602" i="2"/>
  <c r="O2602" i="2" s="1"/>
  <c r="R2602" i="2" s="1"/>
  <c r="N2603" i="2"/>
  <c r="O2603" i="2" s="1"/>
  <c r="R2603" i="2" s="1"/>
  <c r="N2604" i="2"/>
  <c r="O2604" i="2" s="1"/>
  <c r="R2604" i="2" s="1"/>
  <c r="N2605" i="2"/>
  <c r="O2605" i="2" s="1"/>
  <c r="R2605" i="2" s="1"/>
  <c r="N2606" i="2"/>
  <c r="O2606" i="2" s="1"/>
  <c r="R2606" i="2" s="1"/>
  <c r="N2607" i="2"/>
  <c r="O2607" i="2" s="1"/>
  <c r="R2607" i="2" s="1"/>
  <c r="N2608" i="2"/>
  <c r="O2608" i="2" s="1"/>
  <c r="R2608" i="2" s="1"/>
  <c r="N2609" i="2"/>
  <c r="O2609" i="2" s="1"/>
  <c r="R2609" i="2" s="1"/>
  <c r="N2610" i="2"/>
  <c r="O2610" i="2" s="1"/>
  <c r="R2610" i="2" s="1"/>
  <c r="N2611" i="2"/>
  <c r="O2611" i="2" s="1"/>
  <c r="R2611" i="2" s="1"/>
  <c r="N2612" i="2"/>
  <c r="O2612" i="2" s="1"/>
  <c r="R2612" i="2" s="1"/>
  <c r="N2613" i="2"/>
  <c r="O2613" i="2" s="1"/>
  <c r="R2613" i="2" s="1"/>
  <c r="N2614" i="2"/>
  <c r="O2614" i="2" s="1"/>
  <c r="R2614" i="2" s="1"/>
  <c r="N2615" i="2"/>
  <c r="O2615" i="2" s="1"/>
  <c r="R2615" i="2" s="1"/>
  <c r="N2616" i="2"/>
  <c r="O2616" i="2" s="1"/>
  <c r="R2616" i="2" s="1"/>
  <c r="N2617" i="2"/>
  <c r="O2617" i="2" s="1"/>
  <c r="R2617" i="2" s="1"/>
  <c r="N2618" i="2"/>
  <c r="O2618" i="2" s="1"/>
  <c r="R2618" i="2" s="1"/>
  <c r="N2619" i="2"/>
  <c r="O2619" i="2" s="1"/>
  <c r="R2619" i="2" s="1"/>
  <c r="N2620" i="2"/>
  <c r="O2620" i="2" s="1"/>
  <c r="R2620" i="2" s="1"/>
  <c r="N2621" i="2"/>
  <c r="O2621" i="2" s="1"/>
  <c r="R2621" i="2" s="1"/>
  <c r="N1217" i="2"/>
  <c r="O1217" i="2" s="1"/>
  <c r="R1217" i="2" s="1"/>
  <c r="N1407" i="2"/>
  <c r="O1407" i="2" s="1"/>
  <c r="R1407" i="2" s="1"/>
  <c r="N1408" i="2"/>
  <c r="O1408" i="2" s="1"/>
  <c r="R1408" i="2" s="1"/>
  <c r="N1409" i="2"/>
  <c r="O1409" i="2" s="1"/>
  <c r="R1409" i="2" s="1"/>
  <c r="N1410" i="2"/>
  <c r="O1410" i="2" s="1"/>
  <c r="R1410" i="2" s="1"/>
  <c r="N1411" i="2"/>
  <c r="O1411" i="2" s="1"/>
  <c r="R1411" i="2" s="1"/>
  <c r="N1412" i="2"/>
  <c r="O1412" i="2" s="1"/>
  <c r="R1412" i="2" s="1"/>
  <c r="N1413" i="2"/>
  <c r="O1413" i="2" s="1"/>
  <c r="R1413" i="2" s="1"/>
  <c r="N1414" i="2"/>
  <c r="O1414" i="2" s="1"/>
  <c r="R1414" i="2" s="1"/>
  <c r="N1588" i="2"/>
  <c r="O1588" i="2" s="1"/>
  <c r="R1588" i="2" s="1"/>
  <c r="N1589" i="2"/>
  <c r="O1589" i="2" s="1"/>
  <c r="R1589" i="2" s="1"/>
  <c r="N1590" i="2"/>
  <c r="O1590" i="2" s="1"/>
  <c r="R1590" i="2" s="1"/>
  <c r="N1591" i="2"/>
  <c r="O1591" i="2" s="1"/>
  <c r="R1591" i="2" s="1"/>
  <c r="N1592" i="2"/>
  <c r="O1592" i="2" s="1"/>
  <c r="R1592" i="2" s="1"/>
  <c r="N1593" i="2"/>
  <c r="O1593" i="2" s="1"/>
  <c r="R1593" i="2" s="1"/>
  <c r="N1594" i="2"/>
  <c r="O1594" i="2" s="1"/>
  <c r="R1594" i="2" s="1"/>
  <c r="N1595" i="2"/>
  <c r="O1595" i="2" s="1"/>
  <c r="R1595" i="2" s="1"/>
  <c r="N1761" i="2"/>
  <c r="O1761" i="2" s="1"/>
  <c r="R1761" i="2" s="1"/>
  <c r="N1762" i="2"/>
  <c r="O1762" i="2" s="1"/>
  <c r="R1762" i="2" s="1"/>
  <c r="N1763" i="2"/>
  <c r="O1763" i="2" s="1"/>
  <c r="R1763" i="2" s="1"/>
  <c r="N1764" i="2"/>
  <c r="O1764" i="2" s="1"/>
  <c r="R1764" i="2" s="1"/>
  <c r="N1765" i="2"/>
  <c r="O1765" i="2" s="1"/>
  <c r="R1765" i="2" s="1"/>
  <c r="N1766" i="2"/>
  <c r="O1766" i="2" s="1"/>
  <c r="R1766" i="2" s="1"/>
  <c r="N1767" i="2"/>
  <c r="O1767" i="2" s="1"/>
  <c r="R1767" i="2" s="1"/>
  <c r="N1768" i="2"/>
  <c r="O1768" i="2" s="1"/>
  <c r="R1768" i="2" s="1"/>
  <c r="N1932" i="2"/>
  <c r="O1932" i="2" s="1"/>
  <c r="R1932" i="2" s="1"/>
  <c r="N1933" i="2"/>
  <c r="O1933" i="2" s="1"/>
  <c r="R1933" i="2" s="1"/>
  <c r="N1934" i="2"/>
  <c r="O1934" i="2" s="1"/>
  <c r="R1934" i="2" s="1"/>
  <c r="N1935" i="2"/>
  <c r="O1935" i="2" s="1"/>
  <c r="R1935" i="2" s="1"/>
  <c r="N1936" i="2"/>
  <c r="O1936" i="2" s="1"/>
  <c r="R1936" i="2" s="1"/>
  <c r="N1937" i="2"/>
  <c r="O1937" i="2" s="1"/>
  <c r="R1937" i="2" s="1"/>
  <c r="N1938" i="2"/>
  <c r="O1938" i="2" s="1"/>
  <c r="R1938" i="2" s="1"/>
  <c r="N1939" i="2"/>
  <c r="O1939" i="2" s="1"/>
  <c r="R1939" i="2" s="1"/>
  <c r="N1940" i="2"/>
  <c r="O1940" i="2" s="1"/>
  <c r="R1940" i="2" s="1"/>
  <c r="N1941" i="2"/>
  <c r="O1941" i="2" s="1"/>
  <c r="R1941" i="2" s="1"/>
  <c r="N1942" i="2"/>
  <c r="O1942" i="2" s="1"/>
  <c r="R1942" i="2" s="1"/>
  <c r="N1943" i="2"/>
  <c r="O1943" i="2" s="1"/>
  <c r="R1943" i="2" s="1"/>
  <c r="N1944" i="2"/>
  <c r="O1944" i="2" s="1"/>
  <c r="R1944" i="2" s="1"/>
  <c r="N1945" i="2"/>
  <c r="O1945" i="2" s="1"/>
  <c r="R1945" i="2" s="1"/>
  <c r="N1946" i="2"/>
  <c r="O1946" i="2" s="1"/>
  <c r="R1946" i="2" s="1"/>
  <c r="N2108" i="2"/>
  <c r="O2108" i="2" s="1"/>
  <c r="R2108" i="2" s="1"/>
  <c r="N2109" i="2"/>
  <c r="O2109" i="2" s="1"/>
  <c r="R2109" i="2" s="1"/>
  <c r="N2110" i="2"/>
  <c r="O2110" i="2" s="1"/>
  <c r="R2110" i="2" s="1"/>
  <c r="N1995" i="2"/>
  <c r="O1995" i="2" s="1"/>
  <c r="R1995" i="2" s="1"/>
  <c r="N1996" i="2"/>
  <c r="O1996" i="2" s="1"/>
  <c r="R1996" i="2" s="1"/>
  <c r="N1997" i="2"/>
  <c r="O1997" i="2" s="1"/>
  <c r="R1997" i="2" s="1"/>
  <c r="N2111" i="2"/>
  <c r="O2111" i="2" s="1"/>
  <c r="R2111" i="2" s="1"/>
  <c r="N2112" i="2"/>
  <c r="O2112" i="2" s="1"/>
  <c r="R2112" i="2" s="1"/>
  <c r="N2113" i="2"/>
  <c r="O2113" i="2" s="1"/>
  <c r="R2113" i="2" s="1"/>
  <c r="N2114" i="2"/>
  <c r="O2114" i="2" s="1"/>
  <c r="R2114" i="2" s="1"/>
  <c r="N2115" i="2"/>
  <c r="O2115" i="2" s="1"/>
  <c r="R2115" i="2" s="1"/>
  <c r="N2116" i="2"/>
  <c r="O2116" i="2" s="1"/>
  <c r="R2116" i="2" s="1"/>
  <c r="N2117" i="2"/>
  <c r="O2117" i="2" s="1"/>
  <c r="R2117" i="2" s="1"/>
  <c r="N2118" i="2"/>
  <c r="O2118" i="2" s="1"/>
  <c r="R2118" i="2" s="1"/>
  <c r="N2119" i="2"/>
  <c r="O2119" i="2" s="1"/>
  <c r="R2119" i="2" s="1"/>
  <c r="N2120" i="2"/>
  <c r="O2120" i="2" s="1"/>
  <c r="R2120" i="2" s="1"/>
  <c r="N2283" i="2"/>
  <c r="O2283" i="2" s="1"/>
  <c r="R2283" i="2" s="1"/>
  <c r="N2284" i="2"/>
  <c r="O2284" i="2" s="1"/>
  <c r="R2284" i="2" s="1"/>
  <c r="N2285" i="2"/>
  <c r="O2285" i="2" s="1"/>
  <c r="R2285" i="2" s="1"/>
  <c r="N2286" i="2"/>
  <c r="O2286" i="2" s="1"/>
  <c r="R2286" i="2" s="1"/>
  <c r="N2287" i="2"/>
  <c r="O2287" i="2" s="1"/>
  <c r="R2287" i="2" s="1"/>
  <c r="N2288" i="2"/>
  <c r="O2288" i="2" s="1"/>
  <c r="R2288" i="2" s="1"/>
  <c r="N2289" i="2"/>
  <c r="O2289" i="2" s="1"/>
  <c r="R2289" i="2" s="1"/>
  <c r="N2290" i="2"/>
  <c r="O2290" i="2" s="1"/>
  <c r="R2290" i="2" s="1"/>
  <c r="N2291" i="2"/>
  <c r="O2291" i="2" s="1"/>
  <c r="R2291" i="2" s="1"/>
  <c r="N2292" i="2"/>
  <c r="O2292" i="2" s="1"/>
  <c r="R2292" i="2" s="1"/>
  <c r="N2454" i="2"/>
  <c r="O2454" i="2" s="1"/>
  <c r="R2454" i="2" s="1"/>
  <c r="N2455" i="2"/>
  <c r="O2455" i="2" s="1"/>
  <c r="R2455" i="2" s="1"/>
  <c r="N2456" i="2"/>
  <c r="O2456" i="2" s="1"/>
  <c r="R2456" i="2" s="1"/>
  <c r="N2457" i="2"/>
  <c r="O2457" i="2" s="1"/>
  <c r="R2457" i="2" s="1"/>
  <c r="N2458" i="2"/>
  <c r="O2458" i="2" s="1"/>
  <c r="R2458" i="2" s="1"/>
  <c r="N2459" i="2"/>
  <c r="O2459" i="2" s="1"/>
  <c r="R2459" i="2" s="1"/>
  <c r="N2460" i="2"/>
  <c r="O2460" i="2" s="1"/>
  <c r="R2460" i="2" s="1"/>
  <c r="N2461" i="2"/>
  <c r="O2461" i="2" s="1"/>
  <c r="R2461" i="2" s="1"/>
  <c r="N2462" i="2"/>
  <c r="O2462" i="2" s="1"/>
  <c r="R2462" i="2" s="1"/>
  <c r="N2463" i="2"/>
  <c r="O2463" i="2" s="1"/>
  <c r="R2463" i="2" s="1"/>
  <c r="N2464" i="2"/>
  <c r="O2464" i="2" s="1"/>
  <c r="R2464" i="2" s="1"/>
  <c r="N2465" i="2"/>
  <c r="O2465" i="2" s="1"/>
  <c r="R2465" i="2" s="1"/>
  <c r="N2466" i="2"/>
  <c r="O2466" i="2" s="1"/>
  <c r="R2466" i="2" s="1"/>
  <c r="N2467" i="2"/>
  <c r="O2467" i="2" s="1"/>
  <c r="R2467" i="2" s="1"/>
  <c r="N2468" i="2"/>
  <c r="O2468" i="2" s="1"/>
  <c r="R2468" i="2" s="1"/>
  <c r="N2560" i="2"/>
  <c r="O2560" i="2" s="1"/>
  <c r="R2560" i="2" s="1"/>
  <c r="N2561" i="2"/>
  <c r="O2561" i="2" s="1"/>
  <c r="R2561" i="2" s="1"/>
  <c r="N2562" i="2"/>
  <c r="O2562" i="2" s="1"/>
  <c r="R2562" i="2" s="1"/>
  <c r="N2563" i="2"/>
  <c r="O2563" i="2" s="1"/>
  <c r="R2563" i="2" s="1"/>
  <c r="N2564" i="2"/>
  <c r="O2564" i="2" s="1"/>
  <c r="R2564" i="2" s="1"/>
  <c r="N2565" i="2"/>
  <c r="O2565" i="2" s="1"/>
  <c r="R2565" i="2" s="1"/>
  <c r="N2566" i="2"/>
  <c r="O2566" i="2" s="1"/>
  <c r="R2566" i="2" s="1"/>
  <c r="N2567" i="2"/>
  <c r="O2567" i="2" s="1"/>
  <c r="R2567" i="2" s="1"/>
  <c r="N2622" i="2"/>
  <c r="O2622" i="2" s="1"/>
  <c r="R2622" i="2" s="1"/>
  <c r="N2623" i="2"/>
  <c r="O2623" i="2" s="1"/>
  <c r="R2623" i="2" s="1"/>
  <c r="N2624" i="2"/>
  <c r="O2624" i="2" s="1"/>
  <c r="R2624" i="2" s="1"/>
  <c r="N2625" i="2"/>
  <c r="O2625" i="2" s="1"/>
  <c r="R2625" i="2" s="1"/>
  <c r="N2626" i="2"/>
  <c r="O2626" i="2" s="1"/>
  <c r="R2626" i="2" s="1"/>
  <c r="N2627" i="2"/>
  <c r="O2627" i="2" s="1"/>
  <c r="R2627" i="2" s="1"/>
  <c r="N2628" i="2"/>
  <c r="O2628" i="2" s="1"/>
  <c r="R2628" i="2" s="1"/>
  <c r="N2629" i="2"/>
  <c r="O2629" i="2" s="1"/>
  <c r="R2629" i="2" s="1"/>
  <c r="N2630" i="2"/>
  <c r="O2630" i="2" s="1"/>
  <c r="R2630" i="2" s="1"/>
  <c r="N2631" i="2"/>
  <c r="O2631" i="2" s="1"/>
  <c r="R2631" i="2" s="1"/>
  <c r="N2568" i="2"/>
  <c r="O2568" i="2" s="1"/>
  <c r="R2568" i="2" s="1"/>
  <c r="N2569" i="2"/>
  <c r="O2569" i="2" s="1"/>
  <c r="R2569" i="2" s="1"/>
  <c r="N2570" i="2"/>
  <c r="O2570" i="2" s="1"/>
  <c r="R2570" i="2" s="1"/>
  <c r="N2632" i="2"/>
  <c r="O2632" i="2" s="1"/>
  <c r="R2632" i="2" s="1"/>
  <c r="N2633" i="2"/>
  <c r="O2633" i="2" s="1"/>
  <c r="R2633" i="2" s="1"/>
  <c r="N2634" i="2"/>
  <c r="O2634" i="2" s="1"/>
  <c r="R2634" i="2" s="1"/>
  <c r="N2571" i="2"/>
  <c r="O2571" i="2" s="1"/>
  <c r="R2571" i="2" s="1"/>
  <c r="N2635" i="2"/>
  <c r="O2635" i="2" s="1"/>
  <c r="R2635" i="2" s="1"/>
  <c r="N2121" i="2"/>
  <c r="O2121" i="2" s="1"/>
  <c r="R2121" i="2" s="1"/>
  <c r="N2122" i="2"/>
  <c r="O2122" i="2" s="1"/>
  <c r="R2122" i="2" s="1"/>
  <c r="N2123" i="2"/>
  <c r="O2123" i="2" s="1"/>
  <c r="R2123" i="2" s="1"/>
  <c r="N2124" i="2"/>
  <c r="O2124" i="2" s="1"/>
  <c r="R2124" i="2" s="1"/>
  <c r="N2125" i="2"/>
  <c r="O2125" i="2" s="1"/>
  <c r="R2125" i="2" s="1"/>
  <c r="N2126" i="2"/>
  <c r="O2126" i="2" s="1"/>
  <c r="R2126" i="2" s="1"/>
  <c r="N2293" i="2"/>
  <c r="O2293" i="2" s="1"/>
  <c r="R2293" i="2" s="1"/>
  <c r="N2294" i="2"/>
  <c r="O2294" i="2" s="1"/>
  <c r="R2294" i="2" s="1"/>
  <c r="N2295" i="2"/>
  <c r="O2295" i="2" s="1"/>
  <c r="R2295" i="2" s="1"/>
  <c r="N2296" i="2"/>
  <c r="O2296" i="2" s="1"/>
  <c r="R2296" i="2" s="1"/>
  <c r="N2469" i="2"/>
  <c r="O2469" i="2" s="1"/>
  <c r="R2469" i="2" s="1"/>
  <c r="N2470" i="2"/>
  <c r="O2470" i="2" s="1"/>
  <c r="R2470" i="2" s="1"/>
  <c r="N2636" i="2"/>
  <c r="O2636" i="2" s="1"/>
  <c r="R2636" i="2" s="1"/>
  <c r="N2637" i="2"/>
  <c r="O2637" i="2" s="1"/>
  <c r="R2637" i="2" s="1"/>
  <c r="N580" i="2"/>
  <c r="O580" i="2" s="1"/>
  <c r="R580" i="2" s="1"/>
  <c r="N581" i="2"/>
  <c r="O581" i="2" s="1"/>
  <c r="R581" i="2" s="1"/>
  <c r="N784" i="2"/>
  <c r="O784" i="2" s="1"/>
  <c r="R784" i="2" s="1"/>
  <c r="N785" i="2"/>
  <c r="O785" i="2" s="1"/>
  <c r="R785" i="2" s="1"/>
  <c r="N1021" i="2"/>
  <c r="O1021" i="2" s="1"/>
  <c r="R1021" i="2" s="1"/>
  <c r="N1022" i="2"/>
  <c r="O1022" i="2" s="1"/>
  <c r="R1022" i="2" s="1"/>
  <c r="N1218" i="2"/>
  <c r="O1218" i="2" s="1"/>
  <c r="R1218" i="2" s="1"/>
  <c r="N1219" i="2"/>
  <c r="O1219" i="2" s="1"/>
  <c r="R1219" i="2" s="1"/>
  <c r="N1415" i="2"/>
  <c r="O1415" i="2" s="1"/>
  <c r="R1415" i="2" s="1"/>
  <c r="N1416" i="2"/>
  <c r="O1416" i="2" s="1"/>
  <c r="R1416" i="2" s="1"/>
  <c r="N1596" i="2"/>
  <c r="O1596" i="2" s="1"/>
  <c r="R1596" i="2" s="1"/>
  <c r="N1597" i="2"/>
  <c r="O1597" i="2" s="1"/>
  <c r="R1597" i="2" s="1"/>
  <c r="N1769" i="2"/>
  <c r="O1769" i="2" s="1"/>
  <c r="R1769" i="2" s="1"/>
  <c r="N1770" i="2"/>
  <c r="O1770" i="2" s="1"/>
  <c r="R1770" i="2" s="1"/>
  <c r="N1947" i="2"/>
  <c r="O1947" i="2" s="1"/>
  <c r="R1947" i="2" s="1"/>
  <c r="N1948" i="2"/>
  <c r="O1948" i="2" s="1"/>
  <c r="R1948" i="2" s="1"/>
  <c r="N2127" i="2"/>
  <c r="O2127" i="2" s="1"/>
  <c r="R2127" i="2" s="1"/>
  <c r="N2297" i="2"/>
  <c r="O2297" i="2" s="1"/>
  <c r="R2297" i="2" s="1"/>
  <c r="N2128" i="2"/>
  <c r="O2128" i="2" s="1"/>
  <c r="R2128" i="2" s="1"/>
  <c r="N2298" i="2"/>
  <c r="O2298" i="2" s="1"/>
  <c r="R2298" i="2" s="1"/>
  <c r="N2299" i="2"/>
  <c r="O2299" i="2" s="1"/>
  <c r="R2299" i="2" s="1"/>
  <c r="N2300" i="2"/>
  <c r="O2300" i="2" s="1"/>
  <c r="R2300" i="2" s="1"/>
  <c r="N2301" i="2"/>
  <c r="O2301" i="2" s="1"/>
  <c r="R2301" i="2" s="1"/>
  <c r="N2302" i="2"/>
  <c r="O2302" i="2" s="1"/>
  <c r="R2302" i="2" s="1"/>
  <c r="N2471" i="2"/>
  <c r="O2471" i="2" s="1"/>
  <c r="R2471" i="2" s="1"/>
  <c r="N2472" i="2"/>
  <c r="O2472" i="2" s="1"/>
  <c r="R2472" i="2" s="1"/>
  <c r="N786" i="2"/>
  <c r="O786" i="2" s="1"/>
  <c r="R786" i="2" s="1"/>
  <c r="N787" i="2"/>
  <c r="O787" i="2" s="1"/>
  <c r="R787" i="2" s="1"/>
  <c r="N2129" i="2"/>
  <c r="O2129" i="2" s="1"/>
  <c r="R2129" i="2" s="1"/>
  <c r="N2130" i="2"/>
  <c r="O2130" i="2" s="1"/>
  <c r="R2130" i="2" s="1"/>
  <c r="N2303" i="2"/>
  <c r="O2303" i="2" s="1"/>
  <c r="R2303" i="2" s="1"/>
  <c r="N582" i="2"/>
  <c r="O582" i="2" s="1"/>
  <c r="R582" i="2" s="1"/>
  <c r="N583" i="2"/>
  <c r="O583" i="2" s="1"/>
  <c r="R583" i="2" s="1"/>
  <c r="N584" i="2"/>
  <c r="O584" i="2" s="1"/>
  <c r="R584" i="2" s="1"/>
  <c r="N585" i="2"/>
  <c r="O585" i="2" s="1"/>
  <c r="R585" i="2" s="1"/>
  <c r="N788" i="2"/>
  <c r="O788" i="2" s="1"/>
  <c r="R788" i="2" s="1"/>
  <c r="N789" i="2"/>
  <c r="O789" i="2" s="1"/>
  <c r="R789" i="2" s="1"/>
  <c r="N790" i="2"/>
  <c r="O790" i="2" s="1"/>
  <c r="R790" i="2" s="1"/>
  <c r="N791" i="2"/>
  <c r="O791" i="2" s="1"/>
  <c r="R791" i="2" s="1"/>
  <c r="N1023" i="2"/>
  <c r="O1023" i="2" s="1"/>
  <c r="R1023" i="2" s="1"/>
  <c r="N1024" i="2"/>
  <c r="O1024" i="2" s="1"/>
  <c r="R1024" i="2" s="1"/>
  <c r="N1025" i="2"/>
  <c r="O1025" i="2" s="1"/>
  <c r="R1025" i="2" s="1"/>
  <c r="N1026" i="2"/>
  <c r="O1026" i="2" s="1"/>
  <c r="R1026" i="2" s="1"/>
  <c r="N1220" i="2"/>
  <c r="O1220" i="2" s="1"/>
  <c r="R1220" i="2" s="1"/>
  <c r="N1221" i="2"/>
  <c r="O1221" i="2" s="1"/>
  <c r="R1221" i="2" s="1"/>
  <c r="N1222" i="2"/>
  <c r="O1222" i="2" s="1"/>
  <c r="R1222" i="2" s="1"/>
  <c r="N1223" i="2"/>
  <c r="O1223" i="2" s="1"/>
  <c r="R1223" i="2" s="1"/>
  <c r="N1224" i="2"/>
  <c r="O1224" i="2" s="1"/>
  <c r="R1224" i="2" s="1"/>
  <c r="N1417" i="2"/>
  <c r="O1417" i="2" s="1"/>
  <c r="R1417" i="2" s="1"/>
  <c r="N1418" i="2"/>
  <c r="O1418" i="2" s="1"/>
  <c r="R1418" i="2" s="1"/>
  <c r="N1419" i="2"/>
  <c r="O1419" i="2" s="1"/>
  <c r="R1419" i="2" s="1"/>
  <c r="N1598" i="2"/>
  <c r="O1598" i="2" s="1"/>
  <c r="R1598" i="2" s="1"/>
  <c r="N1599" i="2"/>
  <c r="O1599" i="2" s="1"/>
  <c r="R1599" i="2" s="1"/>
  <c r="N1600" i="2"/>
  <c r="O1600" i="2" s="1"/>
  <c r="R1600" i="2" s="1"/>
  <c r="N1601" i="2"/>
  <c r="O1601" i="2" s="1"/>
  <c r="R1601" i="2" s="1"/>
  <c r="N1771" i="2"/>
  <c r="O1771" i="2" s="1"/>
  <c r="R1771" i="2" s="1"/>
  <c r="N1772" i="2"/>
  <c r="O1772" i="2" s="1"/>
  <c r="R1772" i="2" s="1"/>
  <c r="N1773" i="2"/>
  <c r="O1773" i="2" s="1"/>
  <c r="R1773" i="2" s="1"/>
  <c r="N1774" i="2"/>
  <c r="O1774" i="2" s="1"/>
  <c r="R1774" i="2" s="1"/>
  <c r="N1949" i="2"/>
  <c r="O1949" i="2" s="1"/>
  <c r="R1949" i="2" s="1"/>
  <c r="N1950" i="2"/>
  <c r="O1950" i="2" s="1"/>
  <c r="R1950" i="2" s="1"/>
  <c r="N1951" i="2"/>
  <c r="O1951" i="2" s="1"/>
  <c r="R1951" i="2" s="1"/>
  <c r="N1952" i="2"/>
  <c r="O1952" i="2" s="1"/>
  <c r="R1952" i="2" s="1"/>
  <c r="N2131" i="2"/>
  <c r="O2131" i="2" s="1"/>
  <c r="R2131" i="2" s="1"/>
  <c r="N2132" i="2"/>
  <c r="O2132" i="2" s="1"/>
  <c r="R2132" i="2" s="1"/>
  <c r="N2133" i="2"/>
  <c r="O2133" i="2" s="1"/>
  <c r="R2133" i="2" s="1"/>
  <c r="N2134" i="2"/>
  <c r="O2134" i="2" s="1"/>
  <c r="R2134" i="2" s="1"/>
  <c r="N2304" i="2"/>
  <c r="O2304" i="2" s="1"/>
  <c r="R2304" i="2" s="1"/>
  <c r="N2305" i="2"/>
  <c r="O2305" i="2" s="1"/>
  <c r="R2305" i="2" s="1"/>
  <c r="N2306" i="2"/>
  <c r="O2306" i="2" s="1"/>
  <c r="R2306" i="2" s="1"/>
  <c r="N2307" i="2"/>
  <c r="O2307" i="2" s="1"/>
  <c r="R2307" i="2" s="1"/>
  <c r="N2473" i="2"/>
  <c r="O2473" i="2" s="1"/>
  <c r="R2473" i="2" s="1"/>
  <c r="N2474" i="2"/>
  <c r="O2474" i="2" s="1"/>
  <c r="R2474" i="2" s="1"/>
  <c r="N2475" i="2"/>
  <c r="O2475" i="2" s="1"/>
  <c r="R2475" i="2" s="1"/>
  <c r="N2638" i="2"/>
  <c r="O2638" i="2" s="1"/>
  <c r="R2638" i="2" s="1"/>
  <c r="N2639" i="2"/>
  <c r="O2639" i="2" s="1"/>
  <c r="R2639" i="2" s="1"/>
  <c r="N2646" i="2"/>
  <c r="O2646" i="2" s="1"/>
  <c r="R2646" i="2" s="1"/>
  <c r="N2653" i="2"/>
  <c r="O2653" i="2" s="1"/>
  <c r="R2653" i="2" s="1"/>
  <c r="N2658" i="2"/>
  <c r="O2658" i="2" s="1"/>
  <c r="R2658" i="2" s="1"/>
  <c r="N2664" i="2"/>
  <c r="O2664" i="2" s="1"/>
  <c r="R2664" i="2" s="1"/>
  <c r="N2670" i="2"/>
  <c r="O2670" i="2" s="1"/>
  <c r="R2670" i="2" s="1"/>
  <c r="N2675" i="2"/>
  <c r="O2675" i="2" s="1"/>
  <c r="R2675" i="2" s="1"/>
  <c r="N2680" i="2"/>
  <c r="O2680" i="2" s="1"/>
  <c r="R2680" i="2" s="1"/>
  <c r="N2685" i="2"/>
  <c r="O2685" i="2" s="1"/>
  <c r="R2685" i="2" s="1"/>
  <c r="N2689" i="2"/>
  <c r="O2689" i="2" s="1"/>
  <c r="R2689" i="2" s="1"/>
  <c r="N2692" i="2"/>
  <c r="O2692" i="2" s="1"/>
  <c r="R2692" i="2" s="1"/>
  <c r="N2695" i="2"/>
  <c r="O2695" i="2" s="1"/>
  <c r="R2695" i="2" s="1"/>
  <c r="N2698" i="2"/>
  <c r="O2698" i="2" s="1"/>
  <c r="R2698" i="2" s="1"/>
  <c r="N2701" i="2"/>
  <c r="O2701" i="2" s="1"/>
  <c r="R2701" i="2" s="1"/>
  <c r="N2704" i="2"/>
  <c r="O2704" i="2" s="1"/>
  <c r="R2704" i="2" s="1"/>
  <c r="N2707" i="2"/>
  <c r="O2707" i="2" s="1"/>
  <c r="R2707" i="2" s="1"/>
  <c r="N2710" i="2"/>
  <c r="O2710" i="2" s="1"/>
  <c r="R2710" i="2" s="1"/>
  <c r="N2712" i="2"/>
  <c r="O2712" i="2" s="1"/>
  <c r="R2712" i="2" s="1"/>
  <c r="N2714" i="2"/>
  <c r="O2714" i="2" s="1"/>
  <c r="R2714" i="2" s="1"/>
  <c r="N2716" i="2"/>
  <c r="O2716" i="2" s="1"/>
  <c r="R2716" i="2" s="1"/>
  <c r="N2718" i="2"/>
  <c r="O2718" i="2" s="1"/>
  <c r="R2718" i="2" s="1"/>
  <c r="N2720" i="2"/>
  <c r="O2720" i="2" s="1"/>
  <c r="R2720" i="2" s="1"/>
  <c r="N2722" i="2"/>
  <c r="O2722" i="2" s="1"/>
  <c r="R2722" i="2" s="1"/>
  <c r="N2724" i="2"/>
  <c r="O2724" i="2" s="1"/>
  <c r="R2724" i="2" s="1"/>
  <c r="N2726" i="2"/>
  <c r="O2726" i="2" s="1"/>
  <c r="R2726" i="2" s="1"/>
  <c r="N2728" i="2"/>
  <c r="O2728" i="2" s="1"/>
  <c r="R2728" i="2" s="1"/>
  <c r="N2730" i="2"/>
  <c r="O2730" i="2" s="1"/>
  <c r="R2730" i="2" s="1"/>
  <c r="N2732" i="2"/>
  <c r="O2732" i="2" s="1"/>
  <c r="R2732" i="2" s="1"/>
  <c r="N2734" i="2"/>
  <c r="O2734" i="2" s="1"/>
  <c r="R2734" i="2" s="1"/>
  <c r="N2736" i="2"/>
  <c r="O2736" i="2" s="1"/>
  <c r="R2736" i="2" s="1"/>
  <c r="N2738" i="2"/>
  <c r="O2738" i="2" s="1"/>
  <c r="R2738" i="2" s="1"/>
  <c r="N2740" i="2"/>
  <c r="O2740" i="2" s="1"/>
  <c r="R2740" i="2" s="1"/>
  <c r="N2742" i="2"/>
  <c r="O2742" i="2" s="1"/>
  <c r="R2742" i="2" s="1"/>
  <c r="N2744" i="2"/>
  <c r="O2744" i="2" s="1"/>
  <c r="R2744" i="2" s="1"/>
  <c r="N2745" i="2"/>
  <c r="O2745" i="2" s="1"/>
  <c r="R2745" i="2" s="1"/>
  <c r="N2746" i="2"/>
  <c r="O2746" i="2" s="1"/>
  <c r="R2746" i="2" s="1"/>
  <c r="N2747" i="2"/>
  <c r="O2747" i="2" s="1"/>
  <c r="R2747" i="2" s="1"/>
  <c r="N2748" i="2"/>
  <c r="O2748" i="2" s="1"/>
  <c r="R2748" i="2" s="1"/>
  <c r="N2749" i="2"/>
  <c r="O2749" i="2" s="1"/>
  <c r="R2749" i="2" s="1"/>
  <c r="N2750" i="2"/>
  <c r="O2750" i="2" s="1"/>
  <c r="R2750" i="2" s="1"/>
  <c r="N2751" i="2"/>
  <c r="O2751" i="2" s="1"/>
  <c r="R2751" i="2" s="1"/>
  <c r="N2752" i="2"/>
  <c r="O2752" i="2" s="1"/>
  <c r="R2752" i="2" s="1"/>
  <c r="N2753" i="2"/>
  <c r="O2753" i="2" s="1"/>
  <c r="R2753" i="2" s="1"/>
  <c r="N2754" i="2"/>
  <c r="O2754" i="2" s="1"/>
  <c r="R2754" i="2" s="1"/>
  <c r="N2755" i="2"/>
  <c r="O2755" i="2" s="1"/>
  <c r="R2755" i="2" s="1"/>
  <c r="N2756" i="2"/>
  <c r="O2756" i="2" s="1"/>
  <c r="R2756" i="2" s="1"/>
  <c r="N2757" i="2"/>
  <c r="O2757" i="2" s="1"/>
  <c r="R2757" i="2" s="1"/>
  <c r="N2758" i="2"/>
  <c r="O2758" i="2" s="1"/>
  <c r="R2758" i="2" s="1"/>
  <c r="N2759" i="2"/>
  <c r="O2759" i="2" s="1"/>
  <c r="R2759" i="2" s="1"/>
  <c r="N2760" i="2"/>
  <c r="O2760" i="2" s="1"/>
  <c r="R2760" i="2" s="1"/>
  <c r="N2761" i="2"/>
  <c r="O2761" i="2" s="1"/>
  <c r="R2761" i="2" s="1"/>
  <c r="N2762" i="2"/>
  <c r="O2762" i="2" s="1"/>
  <c r="R2762" i="2" s="1"/>
  <c r="N2763" i="2"/>
  <c r="O2763" i="2" s="1"/>
  <c r="R2763" i="2" s="1"/>
  <c r="N2764" i="2"/>
  <c r="O2764" i="2" s="1"/>
  <c r="R2764" i="2" s="1"/>
  <c r="N2765" i="2"/>
  <c r="O2765" i="2" s="1"/>
  <c r="R2765" i="2" s="1"/>
  <c r="N2766" i="2"/>
  <c r="O2766" i="2" s="1"/>
  <c r="R2766" i="2" s="1"/>
  <c r="N2767" i="2"/>
  <c r="O2767" i="2" s="1"/>
  <c r="R2767" i="2" s="1"/>
  <c r="N2768" i="2"/>
  <c r="O2768" i="2" s="1"/>
  <c r="R2768" i="2" s="1"/>
  <c r="N2769" i="2"/>
  <c r="O2769" i="2" s="1"/>
  <c r="R2769" i="2" s="1"/>
  <c r="N2770" i="2"/>
  <c r="O2770" i="2" s="1"/>
  <c r="R2770" i="2" s="1"/>
  <c r="N2771" i="2"/>
  <c r="O2771" i="2" s="1"/>
  <c r="R2771" i="2" s="1"/>
  <c r="N2772" i="2"/>
  <c r="O2772" i="2" s="1"/>
  <c r="R2772" i="2" s="1"/>
  <c r="N2773" i="2"/>
  <c r="O2773" i="2" s="1"/>
  <c r="R2773" i="2" s="1"/>
  <c r="N2774" i="2"/>
  <c r="O2774" i="2" s="1"/>
  <c r="R2774" i="2" s="1"/>
  <c r="N2775" i="2"/>
  <c r="O2775" i="2" s="1"/>
  <c r="R2775" i="2" s="1"/>
  <c r="N2776" i="2"/>
  <c r="O2776" i="2" s="1"/>
  <c r="R2776" i="2" s="1"/>
  <c r="N2777" i="2"/>
  <c r="O2777" i="2" s="1"/>
  <c r="R2777" i="2" s="1"/>
  <c r="N2778" i="2"/>
  <c r="O2778" i="2" s="1"/>
  <c r="R2778" i="2" s="1"/>
  <c r="N2779" i="2"/>
  <c r="O2779" i="2" s="1"/>
  <c r="R2779" i="2" s="1"/>
  <c r="N2780" i="2"/>
  <c r="O2780" i="2" s="1"/>
  <c r="R2780" i="2" s="1"/>
  <c r="N2781" i="2"/>
  <c r="O2781" i="2" s="1"/>
  <c r="R2781" i="2" s="1"/>
  <c r="N2782" i="2"/>
  <c r="O2782" i="2" s="1"/>
  <c r="R2782" i="2" s="1"/>
  <c r="N2783" i="2"/>
  <c r="O2783" i="2" s="1"/>
  <c r="R2783" i="2" s="1"/>
  <c r="N2784" i="2"/>
  <c r="O2784" i="2" s="1"/>
  <c r="R2784" i="2" s="1"/>
  <c r="N2785" i="2"/>
  <c r="O2785" i="2" s="1"/>
  <c r="R2785" i="2" s="1"/>
  <c r="N2786" i="2"/>
  <c r="O2786" i="2" s="1"/>
  <c r="R2786" i="2" s="1"/>
  <c r="N2787" i="2"/>
  <c r="O2787" i="2" s="1"/>
  <c r="R2787" i="2" s="1"/>
  <c r="N2788" i="2"/>
  <c r="O2788" i="2" s="1"/>
  <c r="R2788" i="2" s="1"/>
  <c r="N2789" i="2"/>
  <c r="O2789" i="2" s="1"/>
  <c r="R2789" i="2" s="1"/>
  <c r="N2790" i="2"/>
  <c r="O2790" i="2" s="1"/>
  <c r="R2790" i="2" s="1"/>
  <c r="N2791" i="2"/>
  <c r="O2791" i="2" s="1"/>
  <c r="R2791" i="2" s="1"/>
  <c r="N2792" i="2"/>
  <c r="O2792" i="2" s="1"/>
  <c r="R2792" i="2" s="1"/>
  <c r="N2793" i="2"/>
  <c r="O2793" i="2" s="1"/>
  <c r="R2793" i="2" s="1"/>
  <c r="N2794" i="2"/>
  <c r="O2794" i="2" s="1"/>
  <c r="R2794" i="2" s="1"/>
  <c r="N2795" i="2"/>
  <c r="O2795" i="2" s="1"/>
  <c r="R2795" i="2" s="1"/>
  <c r="N2796" i="2"/>
  <c r="O2796" i="2" s="1"/>
  <c r="R2796" i="2" s="1"/>
  <c r="N2797" i="2"/>
  <c r="O2797" i="2" s="1"/>
  <c r="R2797" i="2" s="1"/>
  <c r="N2798" i="2"/>
  <c r="O2798" i="2" s="1"/>
  <c r="R2798" i="2" s="1"/>
  <c r="N2799" i="2"/>
  <c r="O2799" i="2" s="1"/>
  <c r="R2799" i="2" s="1"/>
  <c r="N2800" i="2"/>
  <c r="O2800" i="2" s="1"/>
  <c r="R2800" i="2" s="1"/>
  <c r="N2801" i="2"/>
  <c r="O2801" i="2" s="1"/>
  <c r="R2801" i="2" s="1"/>
  <c r="N2802" i="2"/>
  <c r="O2802" i="2" s="1"/>
  <c r="R2802" i="2" s="1"/>
  <c r="N2803" i="2"/>
  <c r="O2803" i="2" s="1"/>
  <c r="R2803" i="2" s="1"/>
  <c r="N2804" i="2"/>
  <c r="O2804" i="2" s="1"/>
  <c r="R2804" i="2" s="1"/>
  <c r="N2805" i="2"/>
  <c r="O2805" i="2" s="1"/>
  <c r="R2805" i="2" s="1"/>
  <c r="N2806" i="2"/>
  <c r="O2806" i="2" s="1"/>
  <c r="R2806" i="2" s="1"/>
  <c r="N2807" i="2"/>
  <c r="O2807" i="2" s="1"/>
  <c r="R2807" i="2" s="1"/>
  <c r="N2808" i="2"/>
  <c r="O2808" i="2" s="1"/>
  <c r="R2808" i="2" s="1"/>
  <c r="N2809" i="2"/>
  <c r="O2809" i="2" s="1"/>
  <c r="R2809" i="2" s="1"/>
  <c r="N2810" i="2"/>
  <c r="O2810" i="2" s="1"/>
  <c r="R2810" i="2" s="1"/>
  <c r="N2811" i="2"/>
  <c r="O2811" i="2" s="1"/>
  <c r="R2811" i="2" s="1"/>
  <c r="N2812" i="2"/>
  <c r="O2812" i="2" s="1"/>
  <c r="R2812" i="2" s="1"/>
  <c r="N2813" i="2"/>
  <c r="O2813" i="2" s="1"/>
  <c r="R2813" i="2" s="1"/>
  <c r="N2814" i="2"/>
  <c r="O2814" i="2" s="1"/>
  <c r="R2814" i="2" s="1"/>
  <c r="N2815" i="2"/>
  <c r="O2815" i="2" s="1"/>
  <c r="R2815" i="2" s="1"/>
  <c r="N2816" i="2"/>
  <c r="O2816" i="2" s="1"/>
  <c r="R2816" i="2" s="1"/>
  <c r="N2817" i="2"/>
  <c r="O2817" i="2" s="1"/>
  <c r="R2817" i="2" s="1"/>
  <c r="N2818" i="2"/>
  <c r="O2818" i="2" s="1"/>
  <c r="R2818" i="2" s="1"/>
  <c r="N2819" i="2"/>
  <c r="O2819" i="2" s="1"/>
  <c r="R2819" i="2" s="1"/>
  <c r="N2820" i="2"/>
  <c r="O2820" i="2" s="1"/>
  <c r="R2820" i="2" s="1"/>
  <c r="N2821" i="2"/>
  <c r="O2821" i="2" s="1"/>
  <c r="R2821" i="2" s="1"/>
  <c r="N2822" i="2"/>
  <c r="O2822" i="2" s="1"/>
  <c r="R2822" i="2" s="1"/>
  <c r="N2823" i="2"/>
  <c r="O2823" i="2" s="1"/>
  <c r="R2823" i="2" s="1"/>
  <c r="N2824" i="2"/>
  <c r="O2824" i="2" s="1"/>
  <c r="R2824" i="2" s="1"/>
  <c r="N2825" i="2"/>
  <c r="O2825" i="2" s="1"/>
  <c r="R2825" i="2" s="1"/>
  <c r="N2890" i="2"/>
  <c r="O2890" i="2" s="1"/>
  <c r="R2890" i="2" s="1"/>
  <c r="N2891" i="2"/>
  <c r="O2891" i="2" s="1"/>
  <c r="R2891" i="2" s="1"/>
  <c r="N2892" i="2"/>
  <c r="O2892" i="2" s="1"/>
  <c r="R2892" i="2" s="1"/>
  <c r="N2893" i="2"/>
  <c r="O2893" i="2" s="1"/>
  <c r="R2893" i="2" s="1"/>
  <c r="N2894" i="2"/>
  <c r="O2894" i="2" s="1"/>
  <c r="R2894" i="2" s="1"/>
  <c r="N2895" i="2"/>
  <c r="O2895" i="2" s="1"/>
  <c r="R2895" i="2" s="1"/>
  <c r="N2896" i="2"/>
  <c r="O2896" i="2" s="1"/>
  <c r="R2896" i="2" s="1"/>
  <c r="N2897" i="2"/>
  <c r="O2897" i="2" s="1"/>
  <c r="R2897" i="2" s="1"/>
  <c r="N2898" i="2"/>
  <c r="O2898" i="2" s="1"/>
  <c r="R2898" i="2" s="1"/>
  <c r="N2899" i="2"/>
  <c r="O2899" i="2" s="1"/>
  <c r="R2899" i="2" s="1"/>
  <c r="N2900" i="2"/>
  <c r="O2900" i="2" s="1"/>
  <c r="R2900" i="2" s="1"/>
  <c r="N2901" i="2"/>
  <c r="O2901" i="2" s="1"/>
  <c r="R2901" i="2" s="1"/>
  <c r="N2902" i="2"/>
  <c r="O2902" i="2" s="1"/>
  <c r="R2902" i="2" s="1"/>
  <c r="N2903" i="2"/>
  <c r="O2903" i="2" s="1"/>
  <c r="R2903" i="2" s="1"/>
  <c r="N2904" i="2"/>
  <c r="O2904" i="2" s="1"/>
  <c r="R2904" i="2" s="1"/>
  <c r="N2905" i="2"/>
  <c r="O2905" i="2" s="1"/>
  <c r="R2905" i="2" s="1"/>
  <c r="N2906" i="2"/>
  <c r="O2906" i="2" s="1"/>
  <c r="R2906" i="2" s="1"/>
  <c r="N2907" i="2"/>
  <c r="O2907" i="2" s="1"/>
  <c r="R2907" i="2" s="1"/>
  <c r="N2908" i="2"/>
  <c r="O2908" i="2" s="1"/>
  <c r="R2908" i="2" s="1"/>
  <c r="N2909" i="2"/>
  <c r="O2909" i="2" s="1"/>
  <c r="R2909" i="2" s="1"/>
  <c r="N2910" i="2"/>
  <c r="O2910" i="2" s="1"/>
  <c r="R2910" i="2" s="1"/>
  <c r="N2911" i="2"/>
  <c r="O2911" i="2" s="1"/>
  <c r="R2911" i="2" s="1"/>
  <c r="N2912" i="2"/>
  <c r="O2912" i="2" s="1"/>
  <c r="R2912" i="2" s="1"/>
  <c r="N2913" i="2"/>
  <c r="O2913" i="2" s="1"/>
  <c r="R2913" i="2" s="1"/>
  <c r="N2914" i="2"/>
  <c r="O2914" i="2" s="1"/>
  <c r="R2914" i="2" s="1"/>
  <c r="N2915" i="2"/>
  <c r="O2915" i="2" s="1"/>
  <c r="R2915" i="2" s="1"/>
  <c r="N2916" i="2"/>
  <c r="O2916" i="2" s="1"/>
  <c r="R2916" i="2" s="1"/>
  <c r="N2917" i="2"/>
  <c r="O2917" i="2" s="1"/>
  <c r="R2917" i="2" s="1"/>
  <c r="N2918" i="2"/>
  <c r="O2918" i="2" s="1"/>
  <c r="R2918" i="2" s="1"/>
  <c r="N2919" i="2"/>
  <c r="O2919" i="2" s="1"/>
  <c r="R2919" i="2" s="1"/>
  <c r="N2920" i="2"/>
  <c r="O2920" i="2" s="1"/>
  <c r="R2920" i="2" s="1"/>
  <c r="N2921" i="2"/>
  <c r="O2921" i="2" s="1"/>
  <c r="R2921" i="2" s="1"/>
  <c r="N2922" i="2"/>
  <c r="O2922" i="2" s="1"/>
  <c r="R2922" i="2" s="1"/>
  <c r="N2923" i="2"/>
  <c r="O2923" i="2" s="1"/>
  <c r="R2923" i="2" s="1"/>
  <c r="N2924" i="2"/>
  <c r="O2924" i="2" s="1"/>
  <c r="R2924" i="2" s="1"/>
  <c r="N2925" i="2"/>
  <c r="O2925" i="2" s="1"/>
  <c r="R2925" i="2" s="1"/>
  <c r="N2926" i="2"/>
  <c r="O2926" i="2" s="1"/>
  <c r="R2926" i="2" s="1"/>
  <c r="N2927" i="2"/>
  <c r="O2927" i="2" s="1"/>
  <c r="R2927" i="2" s="1"/>
  <c r="N2928" i="2"/>
  <c r="O2928" i="2" s="1"/>
  <c r="R2928" i="2" s="1"/>
  <c r="N2929" i="2"/>
  <c r="O2929" i="2" s="1"/>
  <c r="R2929" i="2" s="1"/>
  <c r="N2930" i="2"/>
  <c r="O2930" i="2" s="1"/>
  <c r="R2930" i="2" s="1"/>
  <c r="N2931" i="2"/>
  <c r="O2931" i="2" s="1"/>
  <c r="R2931" i="2" s="1"/>
  <c r="N2932" i="2"/>
  <c r="O2932" i="2" s="1"/>
  <c r="R2932" i="2" s="1"/>
  <c r="N2933" i="2"/>
  <c r="O2933" i="2" s="1"/>
  <c r="R2933" i="2" s="1"/>
  <c r="N2934" i="2"/>
  <c r="O2934" i="2" s="1"/>
  <c r="R2934" i="2" s="1"/>
  <c r="N2935" i="2"/>
  <c r="O2935" i="2" s="1"/>
  <c r="R2935" i="2" s="1"/>
  <c r="N2936" i="2"/>
  <c r="O2936" i="2" s="1"/>
  <c r="R2936" i="2" s="1"/>
  <c r="N2937" i="2"/>
  <c r="O2937" i="2" s="1"/>
  <c r="R2937" i="2" s="1"/>
  <c r="N2938" i="2"/>
  <c r="O2938" i="2" s="1"/>
  <c r="R2938" i="2" s="1"/>
  <c r="N2939" i="2"/>
  <c r="O2939" i="2" s="1"/>
  <c r="R2939" i="2" s="1"/>
  <c r="N2940" i="2"/>
  <c r="O2940" i="2" s="1"/>
  <c r="R2940" i="2" s="1"/>
  <c r="N2941" i="2"/>
  <c r="O2941" i="2" s="1"/>
  <c r="R2941" i="2" s="1"/>
  <c r="N2942" i="2"/>
  <c r="O2942" i="2" s="1"/>
  <c r="R2942" i="2" s="1"/>
  <c r="N2943" i="2"/>
  <c r="O2943" i="2" s="1"/>
  <c r="R2943" i="2" s="1"/>
  <c r="N2944" i="2"/>
  <c r="O2944" i="2" s="1"/>
  <c r="R2944" i="2" s="1"/>
  <c r="N2945" i="2"/>
  <c r="O2945" i="2" s="1"/>
  <c r="R2945" i="2" s="1"/>
  <c r="N2946" i="2"/>
  <c r="O2946" i="2" s="1"/>
  <c r="R2946" i="2" s="1"/>
  <c r="N2947" i="2"/>
  <c r="O2947" i="2" s="1"/>
  <c r="R2947" i="2" s="1"/>
  <c r="N2948" i="2"/>
  <c r="O2948" i="2" s="1"/>
  <c r="R2948" i="2" s="1"/>
  <c r="N2949" i="2"/>
  <c r="O2949" i="2" s="1"/>
  <c r="R2949" i="2" s="1"/>
  <c r="N2950" i="2"/>
  <c r="O2950" i="2" s="1"/>
  <c r="R2950" i="2" s="1"/>
  <c r="N2951" i="2"/>
  <c r="O2951" i="2" s="1"/>
  <c r="R2951" i="2" s="1"/>
  <c r="N2952" i="2"/>
  <c r="O2952" i="2" s="1"/>
  <c r="R2952" i="2" s="1"/>
  <c r="N2953" i="2"/>
  <c r="O2953" i="2" s="1"/>
  <c r="R2953" i="2" s="1"/>
  <c r="N2954" i="2"/>
  <c r="O2954" i="2" s="1"/>
  <c r="R2954" i="2" s="1"/>
  <c r="N2955" i="2"/>
  <c r="O2955" i="2" s="1"/>
  <c r="R2955" i="2" s="1"/>
  <c r="N2956" i="2"/>
  <c r="O2956" i="2" s="1"/>
  <c r="R2956" i="2" s="1"/>
  <c r="N2957" i="2"/>
  <c r="O2957" i="2" s="1"/>
  <c r="R2957" i="2" s="1"/>
  <c r="N2958" i="2"/>
  <c r="O2958" i="2" s="1"/>
  <c r="R2958" i="2" s="1"/>
  <c r="N2959" i="2"/>
  <c r="O2959" i="2" s="1"/>
  <c r="R2959" i="2" s="1"/>
  <c r="N2960" i="2"/>
  <c r="O2960" i="2" s="1"/>
  <c r="R2960" i="2" s="1"/>
  <c r="N2961" i="2"/>
  <c r="O2961" i="2" s="1"/>
  <c r="R2961" i="2" s="1"/>
  <c r="N2962" i="2"/>
  <c r="O2962" i="2" s="1"/>
  <c r="R2962" i="2" s="1"/>
  <c r="N2963" i="2"/>
  <c r="O2963" i="2" s="1"/>
  <c r="R2963" i="2" s="1"/>
  <c r="N2964" i="2"/>
  <c r="O2964" i="2" s="1"/>
  <c r="R2964" i="2" s="1"/>
  <c r="N2965" i="2"/>
  <c r="O2965" i="2" s="1"/>
  <c r="R2965" i="2" s="1"/>
  <c r="N2966" i="2"/>
  <c r="O2966" i="2" s="1"/>
  <c r="R2966" i="2" s="1"/>
  <c r="N2967" i="2"/>
  <c r="O2967" i="2" s="1"/>
  <c r="R2967" i="2" s="1"/>
  <c r="N2968" i="2"/>
  <c r="O2968" i="2" s="1"/>
  <c r="R2968" i="2" s="1"/>
  <c r="N2969" i="2"/>
  <c r="O2969" i="2" s="1"/>
  <c r="R2969" i="2" s="1"/>
  <c r="N2970" i="2"/>
  <c r="O2970" i="2" s="1"/>
  <c r="R2970" i="2" s="1"/>
  <c r="N2971" i="2"/>
  <c r="O2971" i="2" s="1"/>
  <c r="R2971" i="2" s="1"/>
  <c r="N2972" i="2"/>
  <c r="O2972" i="2" s="1"/>
  <c r="R2972" i="2" s="1"/>
  <c r="N2973" i="2"/>
  <c r="O2973" i="2" s="1"/>
  <c r="R2973" i="2" s="1"/>
  <c r="N2974" i="2"/>
  <c r="O2974" i="2" s="1"/>
  <c r="R2974" i="2" s="1"/>
  <c r="N2975" i="2"/>
  <c r="O2975" i="2" s="1"/>
  <c r="R2975" i="2" s="1"/>
  <c r="N2976" i="2"/>
  <c r="O2976" i="2" s="1"/>
  <c r="R2976" i="2" s="1"/>
  <c r="N2977" i="2"/>
  <c r="O2977" i="2" s="1"/>
  <c r="R2977" i="2" s="1"/>
  <c r="N2978" i="2"/>
  <c r="O2978" i="2" s="1"/>
  <c r="R2978" i="2" s="1"/>
  <c r="N2979" i="2"/>
  <c r="O2979" i="2" s="1"/>
  <c r="R2979" i="2" s="1"/>
  <c r="N2980" i="2"/>
  <c r="O2980" i="2" s="1"/>
  <c r="R2980" i="2" s="1"/>
  <c r="N2981" i="2"/>
  <c r="O2981" i="2" s="1"/>
  <c r="R2981" i="2" s="1"/>
  <c r="N2982" i="2"/>
  <c r="O2982" i="2" s="1"/>
  <c r="R2982" i="2" s="1"/>
  <c r="N2983" i="2"/>
  <c r="O2983" i="2" s="1"/>
  <c r="R2983" i="2" s="1"/>
  <c r="N2984" i="2"/>
  <c r="O2984" i="2" s="1"/>
  <c r="R2984" i="2" s="1"/>
  <c r="N2985" i="2"/>
  <c r="O2985" i="2" s="1"/>
  <c r="R2985" i="2" s="1"/>
  <c r="N2986" i="2"/>
  <c r="O2986" i="2" s="1"/>
  <c r="R2986" i="2" s="1"/>
  <c r="N2987" i="2"/>
  <c r="O2987" i="2" s="1"/>
  <c r="R2987" i="2" s="1"/>
  <c r="N2988" i="2"/>
  <c r="O2988" i="2" s="1"/>
  <c r="R2988" i="2" s="1"/>
  <c r="N2989" i="2"/>
  <c r="O2989" i="2" s="1"/>
  <c r="R2989" i="2" s="1"/>
  <c r="N2990" i="2"/>
  <c r="O2990" i="2" s="1"/>
  <c r="R2990" i="2" s="1"/>
  <c r="N2991" i="2"/>
  <c r="O2991" i="2" s="1"/>
  <c r="R2991" i="2" s="1"/>
  <c r="N2992" i="2"/>
  <c r="O2992" i="2" s="1"/>
  <c r="R2992" i="2" s="1"/>
  <c r="N2993" i="2"/>
  <c r="O2993" i="2" s="1"/>
  <c r="R2993" i="2" s="1"/>
  <c r="N2994" i="2"/>
  <c r="O2994" i="2" s="1"/>
  <c r="R2994" i="2" s="1"/>
  <c r="N2995" i="2"/>
  <c r="O2995" i="2" s="1"/>
  <c r="R2995" i="2" s="1"/>
  <c r="N2996" i="2"/>
  <c r="O2996" i="2" s="1"/>
  <c r="R2996" i="2" s="1"/>
  <c r="N2997" i="2"/>
  <c r="O2997" i="2" s="1"/>
  <c r="R2997" i="2" s="1"/>
  <c r="N2998" i="2"/>
  <c r="O2998" i="2" s="1"/>
  <c r="R2998" i="2" s="1"/>
  <c r="N2999" i="2"/>
  <c r="O2999" i="2" s="1"/>
  <c r="R2999" i="2" s="1"/>
  <c r="N3000" i="2"/>
  <c r="O3000" i="2" s="1"/>
  <c r="R3000" i="2" s="1"/>
  <c r="N3001" i="2"/>
  <c r="O3001" i="2" s="1"/>
  <c r="R3001" i="2" s="1"/>
  <c r="N3002" i="2"/>
  <c r="O3002" i="2" s="1"/>
  <c r="R3002" i="2" s="1"/>
  <c r="N3003" i="2"/>
  <c r="O3003" i="2" s="1"/>
  <c r="R3003" i="2" s="1"/>
  <c r="N3004" i="2"/>
  <c r="O3004" i="2" s="1"/>
  <c r="R3004" i="2" s="1"/>
  <c r="N2640" i="2"/>
  <c r="O2640" i="2" s="1"/>
  <c r="R2640" i="2" s="1"/>
  <c r="N2647" i="2"/>
  <c r="O2647" i="2" s="1"/>
  <c r="R2647" i="2" s="1"/>
  <c r="N2654" i="2"/>
  <c r="O2654" i="2" s="1"/>
  <c r="R2654" i="2" s="1"/>
  <c r="N2659" i="2"/>
  <c r="O2659" i="2" s="1"/>
  <c r="R2659" i="2" s="1"/>
  <c r="N2665" i="2"/>
  <c r="O2665" i="2" s="1"/>
  <c r="R2665" i="2" s="1"/>
  <c r="N2671" i="2"/>
  <c r="O2671" i="2" s="1"/>
  <c r="R2671" i="2" s="1"/>
  <c r="N2676" i="2"/>
  <c r="O2676" i="2" s="1"/>
  <c r="R2676" i="2" s="1"/>
  <c r="N2681" i="2"/>
  <c r="O2681" i="2" s="1"/>
  <c r="R2681" i="2" s="1"/>
  <c r="N2686" i="2"/>
  <c r="O2686" i="2" s="1"/>
  <c r="R2686" i="2" s="1"/>
  <c r="N2833" i="2"/>
  <c r="O2833" i="2" s="1"/>
  <c r="R2833" i="2" s="1"/>
  <c r="N2835" i="2"/>
  <c r="O2835" i="2" s="1"/>
  <c r="R2835" i="2" s="1"/>
  <c r="N2837" i="2"/>
  <c r="O2837" i="2" s="1"/>
  <c r="R2837" i="2" s="1"/>
  <c r="N2839" i="2"/>
  <c r="O2839" i="2" s="1"/>
  <c r="R2839" i="2" s="1"/>
  <c r="N2841" i="2"/>
  <c r="O2841" i="2" s="1"/>
  <c r="R2841" i="2" s="1"/>
  <c r="N2843" i="2"/>
  <c r="O2843" i="2" s="1"/>
  <c r="R2843" i="2" s="1"/>
  <c r="N2845" i="2"/>
  <c r="O2845" i="2" s="1"/>
  <c r="R2845" i="2" s="1"/>
  <c r="N2847" i="2"/>
  <c r="O2847" i="2" s="1"/>
  <c r="R2847" i="2" s="1"/>
  <c r="N2850" i="2"/>
  <c r="O2850" i="2" s="1"/>
  <c r="R2850" i="2" s="1"/>
  <c r="N2641" i="2"/>
  <c r="O2641" i="2" s="1"/>
  <c r="R2641" i="2" s="1"/>
  <c r="N2648" i="2"/>
  <c r="O2648" i="2" s="1"/>
  <c r="R2648" i="2" s="1"/>
  <c r="N2655" i="2"/>
  <c r="O2655" i="2" s="1"/>
  <c r="R2655" i="2" s="1"/>
  <c r="N2660" i="2"/>
  <c r="O2660" i="2" s="1"/>
  <c r="R2660" i="2" s="1"/>
  <c r="N2666" i="2"/>
  <c r="O2666" i="2" s="1"/>
  <c r="R2666" i="2" s="1"/>
  <c r="N2672" i="2"/>
  <c r="O2672" i="2" s="1"/>
  <c r="R2672" i="2" s="1"/>
  <c r="N2677" i="2"/>
  <c r="O2677" i="2" s="1"/>
  <c r="R2677" i="2" s="1"/>
  <c r="N2682" i="2"/>
  <c r="O2682" i="2" s="1"/>
  <c r="R2682" i="2" s="1"/>
  <c r="N2832" i="2"/>
  <c r="O2832" i="2" s="1"/>
  <c r="R2832" i="2" s="1"/>
  <c r="N2834" i="2"/>
  <c r="O2834" i="2" s="1"/>
  <c r="R2834" i="2" s="1"/>
  <c r="N2836" i="2"/>
  <c r="O2836" i="2" s="1"/>
  <c r="R2836" i="2" s="1"/>
  <c r="N2838" i="2"/>
  <c r="O2838" i="2" s="1"/>
  <c r="R2838" i="2" s="1"/>
  <c r="N2840" i="2"/>
  <c r="O2840" i="2" s="1"/>
  <c r="R2840" i="2" s="1"/>
  <c r="N2842" i="2"/>
  <c r="O2842" i="2" s="1"/>
  <c r="R2842" i="2" s="1"/>
  <c r="N2844" i="2"/>
  <c r="O2844" i="2" s="1"/>
  <c r="R2844" i="2" s="1"/>
  <c r="N2846" i="2"/>
  <c r="O2846" i="2" s="1"/>
  <c r="R2846" i="2" s="1"/>
  <c r="N2848" i="2"/>
  <c r="O2848" i="2" s="1"/>
  <c r="R2848" i="2" s="1"/>
  <c r="N2851" i="2"/>
  <c r="O2851" i="2" s="1"/>
  <c r="R2851" i="2" s="1"/>
  <c r="N2853" i="2"/>
  <c r="O2853" i="2" s="1"/>
  <c r="R2853" i="2" s="1"/>
  <c r="N2855" i="2"/>
  <c r="O2855" i="2" s="1"/>
  <c r="R2855" i="2" s="1"/>
  <c r="N2857" i="2"/>
  <c r="O2857" i="2" s="1"/>
  <c r="R2857" i="2" s="1"/>
  <c r="N2859" i="2"/>
  <c r="O2859" i="2" s="1"/>
  <c r="R2859" i="2" s="1"/>
  <c r="N2861" i="2"/>
  <c r="O2861" i="2" s="1"/>
  <c r="R2861" i="2" s="1"/>
  <c r="N2642" i="2"/>
  <c r="O2642" i="2" s="1"/>
  <c r="R2642" i="2" s="1"/>
  <c r="N2649" i="2"/>
  <c r="O2649" i="2" s="1"/>
  <c r="R2649" i="2" s="1"/>
  <c r="N2656" i="2"/>
  <c r="O2656" i="2" s="1"/>
  <c r="R2656" i="2" s="1"/>
  <c r="N2661" i="2"/>
  <c r="O2661" i="2" s="1"/>
  <c r="R2661" i="2" s="1"/>
  <c r="N2667" i="2"/>
  <c r="O2667" i="2" s="1"/>
  <c r="R2667" i="2" s="1"/>
  <c r="N2673" i="2"/>
  <c r="O2673" i="2" s="1"/>
  <c r="R2673" i="2" s="1"/>
  <c r="N2678" i="2"/>
  <c r="O2678" i="2" s="1"/>
  <c r="R2678" i="2" s="1"/>
  <c r="N2683" i="2"/>
  <c r="O2683" i="2" s="1"/>
  <c r="R2683" i="2" s="1"/>
  <c r="N2687" i="2"/>
  <c r="O2687" i="2" s="1"/>
  <c r="R2687" i="2" s="1"/>
  <c r="N2690" i="2"/>
  <c r="O2690" i="2" s="1"/>
  <c r="R2690" i="2" s="1"/>
  <c r="N2693" i="2"/>
  <c r="O2693" i="2" s="1"/>
  <c r="R2693" i="2" s="1"/>
  <c r="N2696" i="2"/>
  <c r="O2696" i="2" s="1"/>
  <c r="R2696" i="2" s="1"/>
  <c r="N2699" i="2"/>
  <c r="O2699" i="2" s="1"/>
  <c r="R2699" i="2" s="1"/>
  <c r="N2702" i="2"/>
  <c r="O2702" i="2" s="1"/>
  <c r="R2702" i="2" s="1"/>
  <c r="N2705" i="2"/>
  <c r="O2705" i="2" s="1"/>
  <c r="R2705" i="2" s="1"/>
  <c r="N2708" i="2"/>
  <c r="O2708" i="2" s="1"/>
  <c r="R2708" i="2" s="1"/>
  <c r="N2711" i="2"/>
  <c r="O2711" i="2" s="1"/>
  <c r="R2711" i="2" s="1"/>
  <c r="N2713" i="2"/>
  <c r="O2713" i="2" s="1"/>
  <c r="R2713" i="2" s="1"/>
  <c r="N2715" i="2"/>
  <c r="O2715" i="2" s="1"/>
  <c r="R2715" i="2" s="1"/>
  <c r="N2717" i="2"/>
  <c r="O2717" i="2" s="1"/>
  <c r="R2717" i="2" s="1"/>
  <c r="N2719" i="2"/>
  <c r="O2719" i="2" s="1"/>
  <c r="R2719" i="2" s="1"/>
  <c r="N2721" i="2"/>
  <c r="O2721" i="2" s="1"/>
  <c r="R2721" i="2" s="1"/>
  <c r="N2723" i="2"/>
  <c r="O2723" i="2" s="1"/>
  <c r="R2723" i="2" s="1"/>
  <c r="N2725" i="2"/>
  <c r="O2725" i="2" s="1"/>
  <c r="R2725" i="2" s="1"/>
  <c r="N2727" i="2"/>
  <c r="O2727" i="2" s="1"/>
  <c r="R2727" i="2" s="1"/>
  <c r="N2729" i="2"/>
  <c r="O2729" i="2" s="1"/>
  <c r="R2729" i="2" s="1"/>
  <c r="N2731" i="2"/>
  <c r="O2731" i="2" s="1"/>
  <c r="R2731" i="2" s="1"/>
  <c r="N2733" i="2"/>
  <c r="O2733" i="2" s="1"/>
  <c r="R2733" i="2" s="1"/>
  <c r="N2735" i="2"/>
  <c r="O2735" i="2" s="1"/>
  <c r="R2735" i="2" s="1"/>
  <c r="N2737" i="2"/>
  <c r="O2737" i="2" s="1"/>
  <c r="R2737" i="2" s="1"/>
  <c r="N2739" i="2"/>
  <c r="O2739" i="2" s="1"/>
  <c r="R2739" i="2" s="1"/>
  <c r="N2741" i="2"/>
  <c r="O2741" i="2" s="1"/>
  <c r="R2741" i="2" s="1"/>
  <c r="N2743" i="2"/>
  <c r="O2743" i="2" s="1"/>
  <c r="R2743" i="2" s="1"/>
  <c r="N2873" i="2"/>
  <c r="O2873" i="2" s="1"/>
  <c r="R2873" i="2" s="1"/>
  <c r="N2875" i="2"/>
  <c r="O2875" i="2" s="1"/>
  <c r="R2875" i="2" s="1"/>
  <c r="N2877" i="2"/>
  <c r="O2877" i="2" s="1"/>
  <c r="R2877" i="2" s="1"/>
  <c r="N2879" i="2"/>
  <c r="O2879" i="2" s="1"/>
  <c r="R2879" i="2" s="1"/>
  <c r="N2643" i="2"/>
  <c r="O2643" i="2" s="1"/>
  <c r="R2643" i="2" s="1"/>
  <c r="N2650" i="2"/>
  <c r="O2650" i="2" s="1"/>
  <c r="R2650" i="2" s="1"/>
  <c r="N2657" i="2"/>
  <c r="O2657" i="2" s="1"/>
  <c r="R2657" i="2" s="1"/>
  <c r="N2662" i="2"/>
  <c r="O2662" i="2" s="1"/>
  <c r="R2662" i="2" s="1"/>
  <c r="N2668" i="2"/>
  <c r="O2668" i="2" s="1"/>
  <c r="R2668" i="2" s="1"/>
  <c r="N2674" i="2"/>
  <c r="O2674" i="2" s="1"/>
  <c r="R2674" i="2" s="1"/>
  <c r="N2679" i="2"/>
  <c r="O2679" i="2" s="1"/>
  <c r="R2679" i="2" s="1"/>
  <c r="N2684" i="2"/>
  <c r="O2684" i="2" s="1"/>
  <c r="R2684" i="2" s="1"/>
  <c r="N2688" i="2"/>
  <c r="O2688" i="2" s="1"/>
  <c r="R2688" i="2" s="1"/>
  <c r="N2691" i="2"/>
  <c r="O2691" i="2" s="1"/>
  <c r="R2691" i="2" s="1"/>
  <c r="N2694" i="2"/>
  <c r="O2694" i="2" s="1"/>
  <c r="R2694" i="2" s="1"/>
  <c r="N2697" i="2"/>
  <c r="O2697" i="2" s="1"/>
  <c r="R2697" i="2" s="1"/>
  <c r="N2700" i="2"/>
  <c r="O2700" i="2" s="1"/>
  <c r="R2700" i="2" s="1"/>
  <c r="N2703" i="2"/>
  <c r="O2703" i="2" s="1"/>
  <c r="R2703" i="2" s="1"/>
  <c r="N2706" i="2"/>
  <c r="O2706" i="2" s="1"/>
  <c r="R2706" i="2" s="1"/>
  <c r="N2709" i="2"/>
  <c r="O2709" i="2" s="1"/>
  <c r="R2709" i="2" s="1"/>
  <c r="N2849" i="2"/>
  <c r="O2849" i="2" s="1"/>
  <c r="R2849" i="2" s="1"/>
  <c r="N2852" i="2"/>
  <c r="O2852" i="2" s="1"/>
  <c r="R2852" i="2" s="1"/>
  <c r="N2854" i="2"/>
  <c r="O2854" i="2" s="1"/>
  <c r="R2854" i="2" s="1"/>
  <c r="N2856" i="2"/>
  <c r="O2856" i="2" s="1"/>
  <c r="R2856" i="2" s="1"/>
  <c r="N2858" i="2"/>
  <c r="O2858" i="2" s="1"/>
  <c r="R2858" i="2" s="1"/>
  <c r="N2860" i="2"/>
  <c r="O2860" i="2" s="1"/>
  <c r="R2860" i="2" s="1"/>
  <c r="N2862" i="2"/>
  <c r="O2862" i="2" s="1"/>
  <c r="R2862" i="2" s="1"/>
  <c r="N2863" i="2"/>
  <c r="O2863" i="2" s="1"/>
  <c r="R2863" i="2" s="1"/>
  <c r="N2864" i="2"/>
  <c r="O2864" i="2" s="1"/>
  <c r="R2864" i="2" s="1"/>
  <c r="N2865" i="2"/>
  <c r="O2865" i="2" s="1"/>
  <c r="R2865" i="2" s="1"/>
  <c r="N2866" i="2"/>
  <c r="O2866" i="2" s="1"/>
  <c r="R2866" i="2" s="1"/>
  <c r="N2867" i="2"/>
  <c r="O2867" i="2" s="1"/>
  <c r="R2867" i="2" s="1"/>
  <c r="N2868" i="2"/>
  <c r="O2868" i="2" s="1"/>
  <c r="R2868" i="2" s="1"/>
  <c r="N2869" i="2"/>
  <c r="O2869" i="2" s="1"/>
  <c r="R2869" i="2" s="1"/>
  <c r="N2870" i="2"/>
  <c r="O2870" i="2" s="1"/>
  <c r="R2870" i="2" s="1"/>
  <c r="N2871" i="2"/>
  <c r="O2871" i="2" s="1"/>
  <c r="R2871" i="2" s="1"/>
  <c r="N2872" i="2"/>
  <c r="O2872" i="2" s="1"/>
  <c r="R2872" i="2" s="1"/>
  <c r="N2874" i="2"/>
  <c r="O2874" i="2" s="1"/>
  <c r="R2874" i="2" s="1"/>
  <c r="N2876" i="2"/>
  <c r="O2876" i="2" s="1"/>
  <c r="R2876" i="2" s="1"/>
  <c r="N2878" i="2"/>
  <c r="O2878" i="2" s="1"/>
  <c r="R2878" i="2" s="1"/>
  <c r="N2880" i="2"/>
  <c r="O2880" i="2" s="1"/>
  <c r="R2880" i="2" s="1"/>
  <c r="N2881" i="2"/>
  <c r="O2881" i="2" s="1"/>
  <c r="R2881" i="2" s="1"/>
  <c r="N2882" i="2"/>
  <c r="O2882" i="2" s="1"/>
  <c r="R2882" i="2" s="1"/>
  <c r="N2883" i="2"/>
  <c r="O2883" i="2" s="1"/>
  <c r="R2883" i="2" s="1"/>
  <c r="N2884" i="2"/>
  <c r="O2884" i="2" s="1"/>
  <c r="R2884" i="2" s="1"/>
  <c r="N2885" i="2"/>
  <c r="O2885" i="2" s="1"/>
  <c r="R2885" i="2" s="1"/>
  <c r="N2886" i="2"/>
  <c r="O2886" i="2" s="1"/>
  <c r="R2886" i="2" s="1"/>
  <c r="N2887" i="2"/>
  <c r="O2887" i="2" s="1"/>
  <c r="R2887" i="2" s="1"/>
  <c r="N2888" i="2"/>
  <c r="O2888" i="2" s="1"/>
  <c r="R2888" i="2" s="1"/>
  <c r="N2889" i="2"/>
  <c r="O2889" i="2" s="1"/>
  <c r="R2889" i="2" s="1"/>
  <c r="N2644" i="2"/>
  <c r="O2644" i="2" s="1"/>
  <c r="R2644" i="2" s="1"/>
  <c r="N2651" i="2"/>
  <c r="O2651" i="2" s="1"/>
  <c r="R2651" i="2" s="1"/>
  <c r="N2830" i="2"/>
  <c r="O2830" i="2" s="1"/>
  <c r="R2830" i="2" s="1"/>
  <c r="N2831" i="2"/>
  <c r="O2831" i="2" s="1"/>
  <c r="R2831" i="2" s="1"/>
  <c r="N2645" i="2"/>
  <c r="O2645" i="2" s="1"/>
  <c r="R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<sst xmlns="http://schemas.openxmlformats.org/spreadsheetml/2006/main" count="22367" uniqueCount="3084">
  <si>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</si>
  <si>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</si>
  <si>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</si>
  <si>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</si>
  <si>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</si>
  <si>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</si>
  <si>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</si>
  <si>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</si>
  <si>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</si>
  <si>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</si>
  <si>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</si>
  <si>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</si>
  <si>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</si>
  <si>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</si>
  <si>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</si>
  <si>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</si>
  <si>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</si>
  <si>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</si>
  <si>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</si>
  <si>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</si>
  <si>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</si>
  <si>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</si>
  <si>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</si>
  <si>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</si>
  <si>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</si>
  <si>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</si>
  <si>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</si>
  <si>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</si>
  <si>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</si>
  <si>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</si>
  <si>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</si>
  <si>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</si>
  <si>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</si>
  <si>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</si>
  <si>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</si>
  <si>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</si>
  <si>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</si>
  <si>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</si>
  <si>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</si>
  <si>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</si>
  <si>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</si>
  <si>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</si>
  <si>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</si>
  <si>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</si>
  <si>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</si>
  <si>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</si>
  <si>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</si>
  <si>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</si>
  <si>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</si>
  <si>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</si>
  <si>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</si>
  <si>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</si>
  <si>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</si>
  <si>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</si>
  <si>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</si>
  <si>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</si>
  <si>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</si>
  <si>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</si>
  <si>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</si>
  <si>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</si>
  <si>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</si>
  <si>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</si>
  <si>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</si>
  <si>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</si>
  <si>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</si>
  <si>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</si>
  <si>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</si>
  <si>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</si>
  <si>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</si>
  <si>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</si>
  <si>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</si>
  <si>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</si>
  <si>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</si>
  <si>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</si>
  <si>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</si>
  <si>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</si>
  <si>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</si>
  <si>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</si>
  <si>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</si>
  <si>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</si>
  <si>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</si>
  <si>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</si>
  <si>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</si>
  <si>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</si>
  <si>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</si>
  <si>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</si>
  <si>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</si>
  <si>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</si>
  <si>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</si>
  <si>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</si>
  <si>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</si>
  <si>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</si>
  <si>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</si>
  <si>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</si>
  <si>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</si>
  <si>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</si>
  <si>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</si>
  <si>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</si>
  <si>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</si>
  <si>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</si>
  <si>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</si>
  <si>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</si>
  <si>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</si>
  <si>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</si>
  <si>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</si>
  <si>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</si>
  <si>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</si>
  <si>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</si>
  <si>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</si>
  <si>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</si>
  <si>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</si>
  <si>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</si>
  <si>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</si>
  <si>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</si>
  <si>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</si>
  <si>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</si>
  <si>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</si>
  <si>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</si>
  <si>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</si>
  <si>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</si>
  <si>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</si>
  <si>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</si>
  <si>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</si>
  <si>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</si>
  <si>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</si>
  <si>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</si>
  <si>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</si>
  <si>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</si>
  <si>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</si>
  <si>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</si>
  <si>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</si>
  <si>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</si>
  <si>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</si>
  <si>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</si>
  <si>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</si>
  <si>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</si>
  <si>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</si>
  <si>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</si>
  <si>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</si>
  <si>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</si>
  <si>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</si>
  <si>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</si>
  <si>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</si>
  <si>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</si>
  <si>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</si>
  <si>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</si>
  <si>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</si>
  <si>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</si>
  <si>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</si>
  <si>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</si>
  <si>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</si>
  <si>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</si>
  <si>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</si>
  <si>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</si>
  <si>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</si>
  <si>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</si>
  <si>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</si>
  <si>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</si>
  <si>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</si>
  <si>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</si>
  <si>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</si>
  <si>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</si>
  <si>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</si>
  <si>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</si>
  <si>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</si>
  <si>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</si>
  <si>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</si>
  <si>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</si>
  <si>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</si>
  <si>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</si>
  <si>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</si>
  <si>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</si>
  <si>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</si>
  <si>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</si>
  <si>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</si>
  <si>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</si>
  <si>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</si>
  <si>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</si>
  <si>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</si>
  <si>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</si>
  <si>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</si>
  <si>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</si>
  <si>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</si>
  <si>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</si>
  <si>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</si>
  <si>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</si>
  <si>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</si>
  <si>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</si>
  <si>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</si>
  <si>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</si>
  <si>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</si>
  <si>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</si>
  <si>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</si>
  <si>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</si>
  <si>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</si>
  <si>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</si>
  <si>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</si>
  <si>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</si>
  <si>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</si>
  <si>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</si>
  <si>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</si>
  <si>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</si>
  <si>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</si>
  <si>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</si>
  <si>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</si>
  <si>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</si>
  <si>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</si>
  <si>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</si>
  <si>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</si>
  <si>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</si>
  <si>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</si>
  <si>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</si>
  <si>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</si>
  <si>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</si>
  <si>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</si>
  <si>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</si>
  <si>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</si>
  <si>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</si>
  <si>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</si>
  <si>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</si>
  <si>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</si>
  <si>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</si>
  <si>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</si>
  <si>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</si>
  <si>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</si>
  <si>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</si>
  <si>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</si>
  <si>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</si>
  <si>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</si>
  <si>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</si>
  <si>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</si>
  <si>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</si>
  <si>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</si>
  <si>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</si>
  <si>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</si>
  <si>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</si>
  <si>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</si>
  <si>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</si>
  <si>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</si>
  <si>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</si>
  <si>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</si>
  <si>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</si>
  <si>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</si>
  <si>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</si>
  <si>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</si>
  <si>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</si>
  <si>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</si>
  <si>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</si>
  <si>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</si>
  <si>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</si>
  <si>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</si>
  <si>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</si>
  <si>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</si>
  <si>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</si>
  <si>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</si>
  <si>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</si>
  <si>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</si>
  <si>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</si>
  <si>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</si>
  <si>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</si>
  <si>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</si>
  <si>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</si>
  <si>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</si>
  <si>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</si>
  <si>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</si>
  <si>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</si>
  <si>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</si>
  <si>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</si>
  <si>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</si>
  <si>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</si>
  <si>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</si>
  <si>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</si>
  <si>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</si>
  <si>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</si>
  <si>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</si>
  <si>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</si>
  <si>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</si>
  <si>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</si>
  <si>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</si>
  <si>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</si>
  <si>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</si>
  <si>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</si>
  <si>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</si>
  <si>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</si>
  <si>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</si>
  <si>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</si>
  <si>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</si>
  <si>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</si>
  <si>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</si>
  <si>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</si>
  <si>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</si>
  <si>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</si>
  <si>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</si>
  <si>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</si>
  <si>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</si>
  <si>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</si>
  <si>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</si>
  <si>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</si>
  <si>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</si>
  <si>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</si>
  <si>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</si>
  <si>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</si>
  <si>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</si>
  <si>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</si>
  <si>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</si>
  <si>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</si>
  <si>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</si>
  <si>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</si>
  <si>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</si>
  <si>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</si>
  <si>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</si>
  <si>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</si>
  <si>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</si>
  <si>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</si>
  <si>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</si>
  <si>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</si>
  <si>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</si>
  <si>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</si>
  <si>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</si>
  <si>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</si>
  <si>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</si>
  <si>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</si>
  <si>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</si>
  <si>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</si>
  <si>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</si>
  <si>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</si>
  <si>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</si>
  <si>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</si>
  <si>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</si>
  <si>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</si>
  <si>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</si>
  <si>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</si>
  <si>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</si>
  <si>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</si>
  <si>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</si>
  <si>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</si>
  <si>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</si>
  <si>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</si>
  <si>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</si>
  <si>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</si>
  <si>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</si>
  <si>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</si>
  <si>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</si>
  <si>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</si>
  <si>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</si>
  <si>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</si>
  <si>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</si>
  <si>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</si>
  <si>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</si>
  <si>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</si>
  <si>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</si>
  <si>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</si>
  <si>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</si>
  <si>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</si>
  <si>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</si>
  <si>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</si>
  <si>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</si>
  <si>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</si>
  <si>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</si>
  <si>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</si>
  <si>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</si>
  <si>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</si>
  <si>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</si>
  <si>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</si>
  <si>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</si>
  <si>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</si>
  <si>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</si>
  <si>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</si>
  <si>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</si>
  <si>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</si>
  <si>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</si>
  <si>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</si>
  <si>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</si>
  <si>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</si>
  <si>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</si>
  <si>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</si>
  <si>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</si>
  <si>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</si>
  <si>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</si>
  <si>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</si>
  <si>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</si>
  <si>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</si>
  <si>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</si>
  <si>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</si>
  <si>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</si>
  <si>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</si>
  <si>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</si>
  <si>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</si>
  <si>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</si>
  <si>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</si>
  <si>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</si>
  <si>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</si>
  <si>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</si>
  <si>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</si>
  <si>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</si>
  <si>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</si>
  <si>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</si>
  <si>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</si>
  <si>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</si>
  <si>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</si>
  <si>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</si>
  <si>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</si>
  <si>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</si>
  <si>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</si>
  <si>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</si>
  <si>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</si>
  <si>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</si>
  <si>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</si>
  <si>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</si>
  <si>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</si>
  <si>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</si>
  <si>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</si>
  <si>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</si>
  <si>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</si>
  <si>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</si>
  <si>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</si>
  <si>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</si>
  <si>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</si>
  <si>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</si>
  <si>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</si>
  <si>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</si>
  <si>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</si>
  <si>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</si>
  <si>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</si>
  <si>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</si>
  <si>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</si>
  <si>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</si>
  <si>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</si>
  <si>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</si>
  <si>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</si>
  <si>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</si>
  <si>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</si>
  <si>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</si>
  <si>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</si>
  <si>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</si>
  <si>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</si>
  <si>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</si>
  <si>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</si>
  <si>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</si>
  <si>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</si>
  <si>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</si>
  <si>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</si>
  <si>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</si>
  <si>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</si>
  <si>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</si>
  <si>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</si>
  <si>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</si>
  <si>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</si>
  <si>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</si>
  <si>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</si>
  <si>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</si>
  <si>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</si>
  <si>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</si>
  <si>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</si>
  <si>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</si>
  <si>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</si>
  <si>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</si>
  <si>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</si>
  <si>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</si>
  <si>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</si>
  <si>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</si>
  <si>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</si>
  <si>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</si>
  <si>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</si>
  <si>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</si>
  <si>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</si>
  <si>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</si>
  <si>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</si>
  <si>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</si>
  <si>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</si>
  <si>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</si>
  <si>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</si>
  <si>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</si>
  <si>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</si>
  <si>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</si>
  <si>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</si>
  <si>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</si>
  <si>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</si>
  <si>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</si>
  <si>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</si>
  <si>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</si>
  <si>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</si>
  <si>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</si>
  <si>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</si>
  <si>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</si>
  <si>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</si>
  <si>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</si>
  <si>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</si>
  <si>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</si>
  <si>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</si>
  <si>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</si>
  <si>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</si>
  <si>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</si>
  <si>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</si>
  <si>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</si>
  <si>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</si>
  <si>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</si>
  <si>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</si>
  <si>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</si>
  <si>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</si>
  <si>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</si>
  <si>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</si>
  <si>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</si>
  <si>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</si>
  <si>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</si>
  <si>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</si>
  <si>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</si>
  <si>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</si>
  <si>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</si>
  <si>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</si>
  <si>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</si>
  <si>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</si>
  <si>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</si>
  <si>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</si>
  <si>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</si>
  <si>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</si>
  <si>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</si>
  <si>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</si>
  <si>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</si>
  <si>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</si>
  <si>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</si>
  <si>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</si>
  <si>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</si>
  <si>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</si>
  <si>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</si>
  <si>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</si>
  <si>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</si>
  <si>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</si>
  <si>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</si>
  <si>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</si>
  <si>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</si>
  <si>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</si>
  <si>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</si>
  <si>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</si>
  <si>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</si>
  <si>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</si>
  <si>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</si>
  <si>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</si>
  <si>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</si>
  <si>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</si>
  <si>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</si>
  <si>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</si>
  <si>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</si>
  <si>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</si>
  <si>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</si>
  <si>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</si>
  <si>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</si>
  <si>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</si>
  <si>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</si>
  <si>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</si>
  <si>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</si>
  <si>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</si>
  <si>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</si>
  <si>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</si>
  <si>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</si>
  <si>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</si>
  <si>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</si>
  <si>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</si>
  <si>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</si>
  <si>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</si>
  <si>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</si>
  <si>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</si>
  <si>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</si>
  <si>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</si>
  <si>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</si>
  <si>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</si>
  <si>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</si>
  <si>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</si>
  <si>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</si>
  <si>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</si>
  <si>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</si>
  <si>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</si>
  <si>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</si>
  <si>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</si>
  <si>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</si>
  <si>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</si>
  <si>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</si>
  <si>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</si>
  <si>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</si>
  <si>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</si>
  <si>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</si>
  <si>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</si>
  <si>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</si>
  <si>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</si>
  <si>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</si>
  <si>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</si>
  <si>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</si>
  <si>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</si>
  <si>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</si>
  <si>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</si>
  <si>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</si>
  <si>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</si>
  <si>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</si>
  <si>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</si>
  <si>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</si>
  <si>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</si>
  <si>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</si>
  <si>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</si>
  <si>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</si>
  <si>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</si>
  <si>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</si>
  <si>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</si>
  <si>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</si>
  <si>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</si>
  <si>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</si>
  <si>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</si>
  <si>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</si>
  <si>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</si>
  <si>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</si>
  <si>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</si>
  <si>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</si>
  <si>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</si>
  <si>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</si>
  <si>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</si>
  <si>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</si>
  <si>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</si>
  <si>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</si>
  <si>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</si>
  <si>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</si>
  <si>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</si>
  <si>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</si>
  <si>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</si>
  <si>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</si>
  <si>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</si>
  <si>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</si>
  <si>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</si>
  <si>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</si>
  <si>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</si>
  <si>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</si>
  <si>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</si>
  <si>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</si>
  <si>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</si>
  <si>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</si>
  <si>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</si>
  <si>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</si>
  <si>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</si>
  <si>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</si>
  <si>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</si>
  <si>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</si>
  <si>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</si>
  <si>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</si>
  <si>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</si>
  <si>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</si>
  <si>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</si>
  <si>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</si>
  <si>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</si>
  <si>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</si>
  <si>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</si>
  <si>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</si>
  <si>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</si>
  <si>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</si>
  <si>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</si>
  <si>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</si>
  <si>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</si>
  <si>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</si>
  <si>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</si>
  <si>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</si>
  <si>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</si>
  <si>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</si>
  <si>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</si>
  <si>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</si>
  <si>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</si>
  <si>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</si>
  <si>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</si>
  <si>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</si>
  <si>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</si>
  <si>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</si>
  <si>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</si>
  <si>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</si>
  <si>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</si>
  <si>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</si>
  <si>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</si>
  <si>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</si>
  <si>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</si>
  <si>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</si>
  <si>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</si>
  <si>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</si>
  <si>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</si>
  <si>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</si>
  <si>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</si>
  <si>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</si>
  <si>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</si>
  <si>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</si>
  <si>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</si>
  <si>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</si>
  <si>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</si>
  <si>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</si>
  <si>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</si>
  <si>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</si>
  <si>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</si>
  <si>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</si>
  <si>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</si>
  <si>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</si>
  <si>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</si>
  <si>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</si>
  <si>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</si>
  <si>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</si>
  <si>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</si>
  <si>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</si>
  <si>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</si>
  <si>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</si>
  <si>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</si>
  <si>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</si>
  <si>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</si>
  <si>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</si>
  <si>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</si>
  <si>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</si>
  <si>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</si>
  <si>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</si>
  <si>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</si>
  <si>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</si>
  <si>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</si>
  <si>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</si>
  <si>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</si>
  <si>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</si>
  <si>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</si>
  <si>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</si>
  <si>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</si>
  <si>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</si>
  <si>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</si>
  <si>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</si>
  <si>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</si>
  <si>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</si>
  <si>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</si>
  <si>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</si>
  <si>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</si>
  <si>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</si>
  <si>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</si>
  <si>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</si>
  <si>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</si>
  <si>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</si>
  <si>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</si>
  <si>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</si>
  <si>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</si>
  <si>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</si>
  <si>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</si>
  <si>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</si>
  <si>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</si>
  <si>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</si>
  <si>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</si>
  <si>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</si>
  <si>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</si>
  <si>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</si>
  <si>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</si>
  <si>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</si>
  <si>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</si>
  <si>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</si>
  <si>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</si>
  <si>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</si>
  <si>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</si>
  <si>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</si>
  <si>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</si>
  <si>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</si>
  <si>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</si>
  <si>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</si>
  <si>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</si>
  <si>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</si>
  <si>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</si>
  <si>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</si>
  <si>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</si>
  <si>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</si>
  <si>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</si>
  <si>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</si>
  <si>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</si>
  <si>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</si>
  <si>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</si>
  <si>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</si>
  <si>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</si>
  <si>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</si>
  <si>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</si>
  <si>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</si>
  <si>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</si>
  <si>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</si>
  <si>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</si>
  <si>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</si>
  <si>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</si>
  <si>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</si>
  <si>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</si>
  <si>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</si>
  <si>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</si>
  <si>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</si>
  <si>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</si>
  <si>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</si>
  <si>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</si>
  <si>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</si>
  <si>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</si>
  <si>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</si>
  <si>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</si>
  <si>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</si>
  <si>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</si>
  <si>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</si>
  <si>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</si>
  <si>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</si>
  <si>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</si>
  <si>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</si>
  <si>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</si>
  <si>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</si>
  <si>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</si>
  <si>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</si>
  <si>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</si>
  <si>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</si>
  <si>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</si>
  <si>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</si>
  <si>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</si>
  <si>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</si>
  <si>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</si>
  <si>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</si>
  <si>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</si>
  <si>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</si>
  <si>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</si>
  <si>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</si>
  <si>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</si>
  <si>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</si>
  <si>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</si>
  <si>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</si>
  <si>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</si>
  <si>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</si>
  <si>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</si>
  <si>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</si>
  <si>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</si>
  <si>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</si>
  <si>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</si>
  <si>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</si>
  <si>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</si>
  <si>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</si>
  <si>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</si>
  <si>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</si>
  <si>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</si>
  <si>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</si>
  <si>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</si>
  <si>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</si>
  <si>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</si>
  <si>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</si>
  <si>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</si>
  <si>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</si>
  <si>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</si>
  <si>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</si>
  <si>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</si>
  <si>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</si>
  <si>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</si>
  <si>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</si>
  <si>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</si>
  <si>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</si>
  <si>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</si>
  <si>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</si>
  <si>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</si>
  <si>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</si>
  <si>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</si>
  <si>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</si>
  <si>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</si>
  <si>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</si>
  <si>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</si>
  <si>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</si>
  <si>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</si>
  <si>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</si>
  <si>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</si>
  <si>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</si>
  <si>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</si>
  <si>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</si>
  <si>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</si>
  <si>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</si>
  <si>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</si>
  <si>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</si>
  <si>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</si>
  <si>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</si>
  <si>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</si>
  <si>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</si>
  <si>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</si>
  <si>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</si>
  <si>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</si>
  <si>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</si>
  <si>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</si>
  <si>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</si>
  <si>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</si>
  <si>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</si>
  <si>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</si>
  <si>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</si>
  <si>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</si>
  <si>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</si>
  <si>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</si>
  <si>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</si>
  <si>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</si>
  <si>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</si>
  <si>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</si>
  <si>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</si>
  <si>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</si>
  <si>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</si>
  <si>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</si>
  <si>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</si>
  <si>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</si>
  <si>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</si>
  <si>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</si>
  <si>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</si>
  <si>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</si>
  <si>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</si>
  <si>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</si>
  <si>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</si>
  <si>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</si>
  <si>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</si>
  <si>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</si>
  <si>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</si>
  <si>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</si>
  <si>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</si>
  <si>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</si>
  <si>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</si>
  <si>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</si>
  <si>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</si>
  <si>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</si>
  <si>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</si>
  <si>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</si>
  <si>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</si>
  <si>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</si>
  <si>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</si>
  <si>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</si>
  <si>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</si>
  <si>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</si>
  <si>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</si>
  <si>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</si>
  <si>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</si>
  <si>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</si>
  <si>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</si>
  <si>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</si>
  <si>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</si>
  <si>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</si>
  <si>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</si>
  <si>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</si>
  <si>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</si>
  <si>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</si>
  <si>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</si>
  <si>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</si>
  <si>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</si>
  <si>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</si>
  <si>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</si>
  <si>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</si>
  <si>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</si>
  <si>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</si>
  <si>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</si>
  <si>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</si>
  <si>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</si>
  <si>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</si>
  <si>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</si>
  <si>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</si>
  <si>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</si>
  <si>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</si>
  <si>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</si>
  <si>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</si>
  <si>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</si>
  <si>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</si>
  <si>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</si>
  <si>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</si>
  <si>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</si>
  <si>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</si>
  <si>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</si>
  <si>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</si>
  <si>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</si>
  <si>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</si>
  <si>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</si>
  <si>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</si>
  <si>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</si>
  <si>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</si>
  <si>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</si>
  <si>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</si>
  <si>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</si>
  <si>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</si>
  <si>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</si>
  <si>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</si>
  <si>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</si>
  <si>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</si>
  <si>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</si>
  <si>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</si>
  <si>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</si>
  <si>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</si>
  <si>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</si>
  <si>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</si>
  <si>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</si>
  <si>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</si>
  <si>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</si>
  <si>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</si>
  <si>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</si>
  <si>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</si>
  <si>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</si>
  <si>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</si>
  <si>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</si>
  <si>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</si>
  <si>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</si>
  <si>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</si>
  <si>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</si>
  <si>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</si>
  <si>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</si>
  <si>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</si>
  <si>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</si>
  <si>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</si>
  <si>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</si>
  <si>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</si>
  <si>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</si>
  <si>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</si>
  <si>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</si>
  <si>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</si>
  <si>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</si>
  <si>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</si>
  <si>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</si>
  <si>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</si>
  <si>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</si>
  <si>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</si>
  <si>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</si>
  <si>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</si>
  <si>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</si>
  <si>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</si>
  <si>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</si>
  <si>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</si>
  <si>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</si>
  <si>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</si>
  <si>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</si>
  <si>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</si>
  <si>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</si>
  <si>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</si>
  <si>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</si>
  <si>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</si>
  <si>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</si>
  <si>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</si>
  <si>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</si>
  <si>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</si>
  <si>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</si>
  <si>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</si>
  <si>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</si>
  <si>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</si>
  <si>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</si>
  <si>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</si>
  <si>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</si>
  <si>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</si>
  <si>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</si>
  <si>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</si>
  <si>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</si>
  <si>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</si>
  <si>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</si>
  <si>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</si>
  <si>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</si>
  <si>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</si>
  <si>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</si>
  <si>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</si>
  <si>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</si>
  <si>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</si>
  <si>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</si>
  <si>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</si>
  <si>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</si>
  <si>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</si>
  <si>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</si>
  <si>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</si>
  <si>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</si>
  <si>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</si>
  <si>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</si>
  <si>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</si>
  <si>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</si>
  <si>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</si>
  <si>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</si>
  <si>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</si>
  <si>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</si>
  <si>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</si>
  <si>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</si>
  <si>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</si>
  <si>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</si>
  <si>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</si>
  <si>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</si>
  <si>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</si>
  <si>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</si>
  <si>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</si>
  <si>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</si>
  <si>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</si>
  <si>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</si>
  <si>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</si>
  <si>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</si>
  <si>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</si>
  <si>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</si>
  <si>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</si>
  <si>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</si>
  <si>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</si>
  <si>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</si>
  <si>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</si>
  <si>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</si>
  <si>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</si>
  <si>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</si>
  <si>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</si>
  <si>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</si>
  <si>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</si>
  <si>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</si>
  <si>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</si>
  <si>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</si>
  <si>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</si>
  <si>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</si>
  <si>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</si>
  <si>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</si>
  <si>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</si>
  <si>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</si>
  <si>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</si>
  <si>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</si>
  <si>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</si>
  <si>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</si>
  <si>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</si>
  <si>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</si>
  <si>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</si>
  <si>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</si>
  <si>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</si>
  <si>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</si>
  <si>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</si>
  <si>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</si>
  <si>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</si>
  <si>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</si>
  <si>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</si>
  <si>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</si>
  <si>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</si>
  <si>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</si>
  <si>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</si>
  <si>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</si>
  <si>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</si>
  <si>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</si>
  <si>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</si>
  <si>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</si>
  <si>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</si>
  <si>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</si>
  <si>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</si>
  <si>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</si>
  <si>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</si>
  <si>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</si>
  <si>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</si>
  <si>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</si>
  <si>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</si>
  <si>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</si>
  <si>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</si>
  <si>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</si>
  <si>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</si>
  <si>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</si>
  <si>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</si>
  <si>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</si>
  <si>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</si>
  <si>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</si>
  <si>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</si>
  <si>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</si>
  <si>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</si>
  <si>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</si>
  <si>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</si>
  <si>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</si>
  <si>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</si>
  <si>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</si>
  <si>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</si>
  <si>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</si>
  <si>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</si>
  <si>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</si>
  <si>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</si>
  <si>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</si>
  <si>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</si>
  <si>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</si>
  <si>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</si>
  <si>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</si>
  <si>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</si>
  <si>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</si>
  <si>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</si>
  <si>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</si>
  <si>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</si>
  <si>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</si>
  <si>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</si>
  <si>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</si>
  <si>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</si>
  <si>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</si>
  <si>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</si>
  <si>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</si>
  <si>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</si>
  <si>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</si>
  <si>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</si>
  <si>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</si>
  <si>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</si>
  <si>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</si>
  <si>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</si>
  <si>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</si>
  <si>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</si>
  <si>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</si>
  <si>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</si>
  <si>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</si>
  <si>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</si>
  <si>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</si>
  <si>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</si>
  <si>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</si>
  <si>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</si>
  <si>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</si>
  <si>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</si>
  <si>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</si>
  <si>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</si>
  <si>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</si>
  <si>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</si>
  <si>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</si>
  <si>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</si>
  <si>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</si>
  <si>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</si>
  <si>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</si>
  <si>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</si>
  <si>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</si>
  <si>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</si>
  <si>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</si>
  <si>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</si>
  <si>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</si>
  <si>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</si>
  <si>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</si>
  <si>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</si>
  <si>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</si>
  <si>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</si>
  <si>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</si>
  <si>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</si>
  <si>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</si>
  <si>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</si>
  <si>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</si>
  <si>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</si>
  <si>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</si>
  <si>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</si>
  <si>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</si>
  <si>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</si>
  <si>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</si>
  <si>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</si>
  <si>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</si>
  <si>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</si>
  <si>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</si>
  <si>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</si>
  <si>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</si>
  <si>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</si>
  <si>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</si>
  <si>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</si>
  <si>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</si>
  <si>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</si>
  <si>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</si>
  <si>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</si>
  <si>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</si>
  <si>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</si>
  <si>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</si>
  <si>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</si>
  <si>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</si>
  <si>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</si>
  <si>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</si>
  <si>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</si>
  <si>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</si>
  <si>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</si>
  <si>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</si>
  <si>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</si>
  <si>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</si>
  <si>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</si>
  <si>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</si>
  <si>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</si>
  <si>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</si>
  <si>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</si>
  <si>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</si>
  <si>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</si>
  <si>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</si>
  <si>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</si>
  <si>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</si>
  <si>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</si>
  <si>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</si>
  <si>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</si>
  <si>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</si>
  <si>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</si>
  <si>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</si>
  <si>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</si>
  <si>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</si>
  <si>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</si>
  <si>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</si>
  <si>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</si>
  <si>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</si>
  <si>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</si>
  <si>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</si>
  <si>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</si>
  <si>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</si>
  <si>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</si>
  <si>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</si>
  <si>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</si>
  <si>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</si>
  <si>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</si>
  <si>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</si>
  <si>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</si>
  <si>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</si>
  <si>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</si>
  <si>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</si>
  <si>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</si>
  <si>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</si>
  <si>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</si>
  <si>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</si>
  <si>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</si>
  <si>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</si>
  <si>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</si>
  <si>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</si>
  <si>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</si>
  <si>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</si>
  <si>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</si>
  <si>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</si>
  <si>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</si>
  <si>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</si>
  <si>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</si>
  <si>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</si>
  <si>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</si>
  <si>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</si>
  <si>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</si>
  <si>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</si>
  <si>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</si>
  <si>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</si>
  <si>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</si>
  <si>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</si>
  <si>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</si>
  <si>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</si>
  <si>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</si>
  <si>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</si>
  <si>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</si>
  <si>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</si>
  <si>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</si>
  <si>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</si>
  <si>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</si>
  <si>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</si>
  <si>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</si>
  <si>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</si>
  <si>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</si>
  <si>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</si>
  <si>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</si>
  <si>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</si>
  <si>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</si>
  <si>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</si>
  <si>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</si>
  <si>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</si>
  <si>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</si>
  <si>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</si>
  <si>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</si>
  <si>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</si>
  <si>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</si>
  <si>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</si>
  <si>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</si>
  <si>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</si>
  <si>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</si>
  <si>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</si>
  <si>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</si>
  <si>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</si>
  <si>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</si>
  <si>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</si>
  <si>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</si>
  <si>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</si>
  <si>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</si>
  <si>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</si>
  <si>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</si>
  <si>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</si>
  <si>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</si>
  <si>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</si>
  <si>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</si>
  <si>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</si>
  <si>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</si>
  <si>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</si>
  <si>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</si>
  <si>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</si>
  <si>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</si>
  <si>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</si>
  <si>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</si>
  <si>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</si>
  <si>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</si>
  <si>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</si>
  <si>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</si>
  <si>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</si>
  <si>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</si>
  <si>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</si>
  <si>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</si>
  <si>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</si>
  <si>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</si>
  <si>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</si>
  <si>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</si>
  <si>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</si>
  <si>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</si>
  <si>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</si>
  <si>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</si>
  <si>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</si>
  <si>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</si>
  <si>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</si>
  <si>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</si>
  <si>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</si>
  <si>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</si>
  <si>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</si>
  <si>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</si>
  <si>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</si>
  <si>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</si>
  <si>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</si>
  <si>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</si>
  <si>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</si>
  <si>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</si>
  <si>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</si>
  <si>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</si>
  <si>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</si>
  <si>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</si>
  <si>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</si>
  <si>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</si>
  <si>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</si>
  <si>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</si>
  <si>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</si>
  <si>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</si>
  <si>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</si>
  <si>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</si>
  <si>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</si>
  <si>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</si>
  <si>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</si>
  <si>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</si>
  <si>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</si>
  <si>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</si>
  <si>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</si>
  <si>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</si>
  <si>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</si>
  <si>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</si>
  <si>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</si>
  <si>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</si>
  <si>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</si>
  <si>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</si>
  <si>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</si>
  <si>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</si>
  <si>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</si>
  <si>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</si>
  <si>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</si>
  <si>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</si>
  <si>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</si>
  <si>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</si>
  <si>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</si>
  <si>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</si>
  <si>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</si>
  <si>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</si>
  <si>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</si>
  <si>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</si>
  <si>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</si>
  <si>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</si>
  <si>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</si>
  <si>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</si>
  <si>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</si>
  <si>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</si>
  <si>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</si>
  <si>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</si>
  <si>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</si>
  <si>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</si>
  <si>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</si>
  <si>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</si>
  <si>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</si>
  <si>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</si>
  <si>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</si>
  <si>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</si>
  <si>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</si>
  <si>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</si>
  <si>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</si>
  <si>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</si>
  <si>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</si>
  <si>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</si>
  <si>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</si>
  <si>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</si>
  <si>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</si>
  <si>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</si>
  <si>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</si>
  <si>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</si>
  <si>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</si>
  <si>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</si>
  <si>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</si>
  <si>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</si>
  <si>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</si>
  <si>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</si>
  <si>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</si>
  <si>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</si>
  <si>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</si>
  <si>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</si>
  <si>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</si>
  <si>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</si>
  <si>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</si>
  <si>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</si>
  <si>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</si>
  <si>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</si>
  <si>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</si>
  <si>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</si>
  <si>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</si>
  <si>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</si>
  <si>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</si>
  <si>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</si>
  <si>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</si>
  <si>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</si>
  <si>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</si>
  <si>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</si>
  <si>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</si>
  <si>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</si>
  <si>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</si>
  <si>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</si>
  <si>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</si>
  <si>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</si>
  <si>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</si>
  <si>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</si>
  <si>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</si>
  <si>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</si>
  <si>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</si>
  <si>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</si>
  <si>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</si>
  <si>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</si>
  <si>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</si>
  <si>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</si>
  <si>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</si>
  <si>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</si>
  <si>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</si>
  <si>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</si>
  <si>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</si>
  <si>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</si>
  <si>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</si>
  <si>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</si>
  <si>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</si>
  <si>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</si>
  <si>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</si>
  <si>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</si>
  <si>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</si>
  <si>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</si>
  <si>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</si>
  <si>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</si>
  <si>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</si>
  <si>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</si>
  <si>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</si>
  <si>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</si>
  <si>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</si>
  <si>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</si>
  <si>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</si>
  <si>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</si>
  <si>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</si>
  <si>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</si>
  <si>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</si>
  <si>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</si>
  <si>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</si>
  <si>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</si>
  <si>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</si>
  <si>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</si>
  <si>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</si>
  <si>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</si>
  <si>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</si>
  <si>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</si>
  <si>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</si>
  <si>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</si>
  <si>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</si>
  <si>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</si>
  <si>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</si>
  <si>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</si>
  <si>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</si>
  <si>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</si>
  <si>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</si>
  <si>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</si>
  <si>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</si>
  <si>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</si>
  <si>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</si>
  <si>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</si>
  <si>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</si>
  <si>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</si>
  <si>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</si>
  <si>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</si>
  <si>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</si>
  <si>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</si>
  <si>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</si>
  <si>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</si>
  <si>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</si>
  <si>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</si>
  <si>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</si>
  <si>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</si>
  <si>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</si>
  <si>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</si>
  <si>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</si>
  <si>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</si>
  <si>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</si>
  <si>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</si>
  <si>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</si>
  <si>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</si>
  <si>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</si>
  <si>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</si>
  <si>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</si>
  <si>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</si>
  <si>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</si>
  <si>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</si>
  <si>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</si>
  <si>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</si>
  <si>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</si>
  <si>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</si>
  <si>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</si>
  <si>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</si>
  <si>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</si>
  <si>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</si>
  <si>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</si>
  <si>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</si>
  <si>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</si>
  <si>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</si>
  <si>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</si>
  <si>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</si>
  <si>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</si>
  <si>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</si>
  <si>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</si>
  <si>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</si>
  <si>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</si>
  <si>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</si>
  <si>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</si>
  <si>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</si>
  <si>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</si>
  <si>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</si>
  <si>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</si>
  <si>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</si>
  <si>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</si>
  <si>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</si>
  <si>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</si>
  <si>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</si>
  <si>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</si>
  <si>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</si>
  <si>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</si>
  <si>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</si>
  <si>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</si>
  <si>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</si>
  <si>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</si>
  <si>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</si>
  <si>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</si>
  <si>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</si>
  <si>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</si>
  <si>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</si>
  <si>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</si>
  <si>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</si>
  <si>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</si>
  <si>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</si>
  <si>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</si>
  <si>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</si>
  <si>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</si>
  <si>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</si>
  <si>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</si>
  <si>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</si>
  <si>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</si>
  <si>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</si>
  <si>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</si>
  <si>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</si>
  <si>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</si>
  <si>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</si>
  <si>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</si>
  <si>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</si>
  <si>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</si>
  <si>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</si>
  <si>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</si>
  <si>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</si>
  <si>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</si>
  <si>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</si>
  <si>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</si>
  <si>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</si>
  <si>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</si>
  <si>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</si>
  <si>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</si>
  <si>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</si>
  <si>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</si>
  <si>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</si>
  <si>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</si>
  <si>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</si>
  <si>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</si>
  <si>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</si>
  <si>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</si>
  <si>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</si>
  <si>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</si>
  <si>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</si>
  <si>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</si>
  <si>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</si>
  <si>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</si>
  <si>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</si>
  <si>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</si>
  <si>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</si>
  <si>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</si>
  <si>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</si>
  <si>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</si>
  <si>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</si>
  <si>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</si>
  <si>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</si>
  <si>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</si>
  <si>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</si>
  <si>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</si>
  <si>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</si>
  <si>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</si>
  <si>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</si>
  <si>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</si>
  <si>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</si>
  <si>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</si>
  <si>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</si>
  <si>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</si>
  <si>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</si>
  <si>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</si>
  <si>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</si>
  <si>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</si>
  <si>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</si>
  <si>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</si>
  <si>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</si>
  <si>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</si>
  <si>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</si>
  <si>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</si>
  <si>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</si>
  <si>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</si>
  <si>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</si>
  <si>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</si>
  <si>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</si>
  <si>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</si>
  <si>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</si>
  <si>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</si>
  <si>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</si>
  <si>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</si>
  <si>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</si>
  <si>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</si>
  <si>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</si>
  <si>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</si>
  <si>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</si>
  <si>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</si>
  <si>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</si>
  <si>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</si>
  <si>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</si>
  <si>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</si>
  <si>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</si>
  <si>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</si>
  <si>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</si>
  <si>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</si>
  <si>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</si>
  <si>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</si>
  <si>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</si>
  <si>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</si>
  <si>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</si>
  <si>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</si>
  <si>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</si>
  <si>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</si>
  <si>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</si>
  <si>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</si>
  <si>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</si>
  <si>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</si>
  <si>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</si>
  <si>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</si>
  <si>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</si>
  <si>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</si>
  <si>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</si>
  <si>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</si>
  <si>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</si>
  <si>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</si>
  <si>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</si>
  <si>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</si>
  <si>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</si>
  <si>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</si>
  <si>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</si>
  <si>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</si>
  <si>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</si>
  <si>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</si>
  <si>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</si>
  <si>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</si>
  <si>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</si>
  <si>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</si>
  <si>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</si>
  <si>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</si>
  <si>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</si>
  <si>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</si>
  <si>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</si>
  <si>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</si>
  <si>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</si>
  <si>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</si>
  <si>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</si>
  <si>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</si>
  <si>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</si>
  <si>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</si>
  <si>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</si>
  <si>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</si>
  <si>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</si>
  <si>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</si>
  <si>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</si>
  <si>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</si>
  <si>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</si>
  <si>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</si>
  <si>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</si>
  <si>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</si>
  <si>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</si>
  <si>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</si>
  <si>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</si>
  <si>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</si>
  <si>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</si>
  <si>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</si>
  <si>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</si>
  <si>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</si>
  <si>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</si>
  <si>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</si>
  <si>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</si>
  <si>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</si>
  <si>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</si>
  <si>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</si>
  <si>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</si>
  <si>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</si>
  <si>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</si>
  <si>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</si>
  <si>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</si>
  <si>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</si>
  <si>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</si>
  <si>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</si>
  <si>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</si>
  <si>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</si>
  <si>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</si>
  <si>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</si>
  <si>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</si>
  <si>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</si>
  <si>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</si>
  <si>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</si>
  <si>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</si>
  <si>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</si>
  <si>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</si>
  <si>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</si>
  <si>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</si>
  <si>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</si>
  <si>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</si>
  <si>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</si>
  <si>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</si>
  <si>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</si>
  <si>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</si>
  <si>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</si>
  <si>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</si>
  <si>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</si>
  <si>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</si>
  <si>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</si>
  <si>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</si>
  <si>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</si>
  <si>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</si>
  <si>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</si>
  <si>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</si>
  <si>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</si>
  <si>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</si>
  <si>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</si>
  <si>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</si>
  <si>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</si>
  <si>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</si>
  <si>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</si>
  <si>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</si>
  <si>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</si>
  <si>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</si>
  <si>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</si>
  <si>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</si>
  <si>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</si>
  <si>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</si>
  <si>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</si>
  <si>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</si>
  <si>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</si>
  <si>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</si>
  <si>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</si>
  <si>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</si>
  <si>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</si>
  <si>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</si>
  <si>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</si>
  <si>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</si>
  <si>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</si>
  <si>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</si>
  <si>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</si>
  <si>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</si>
  <si>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</si>
  <si>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</si>
  <si>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</si>
  <si>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</si>
  <si>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</si>
  <si>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</si>
  <si>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</si>
  <si>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</si>
  <si>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</si>
  <si>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</si>
  <si>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</si>
  <si>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</si>
  <si>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</si>
  <si>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</si>
  <si>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</si>
  <si>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</si>
  <si>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</si>
  <si>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</si>
  <si>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</si>
  <si>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</si>
  <si>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</si>
  <si>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</si>
  <si>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</si>
  <si>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</si>
  <si>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</si>
  <si>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</si>
  <si>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</si>
  <si>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</si>
  <si>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</si>
  <si>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</si>
  <si>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</si>
  <si>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</si>
  <si>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</si>
  <si>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</si>
  <si>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</si>
  <si>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</si>
  <si>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</si>
  <si>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</si>
  <si>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</si>
  <si>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</si>
  <si>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</si>
  <si>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</si>
  <si>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</si>
  <si>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</si>
  <si>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</si>
  <si>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</si>
  <si>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</si>
  <si>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</si>
  <si>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</si>
  <si>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</si>
  <si>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</si>
  <si>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</si>
  <si>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</si>
  <si>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</si>
  <si>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</si>
  <si>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</si>
  <si>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</si>
  <si>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</si>
  <si>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</si>
  <si>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</si>
  <si>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</si>
  <si>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</si>
  <si>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</si>
  <si>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</si>
  <si>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</si>
  <si>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</si>
  <si>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</si>
  <si>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</si>
  <si>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</si>
  <si>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</si>
  <si>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</si>
  <si>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</si>
  <si>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</si>
  <si>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</si>
  <si>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</si>
  <si>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</si>
  <si>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</si>
  <si>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</si>
  <si>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</si>
  <si>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</si>
  <si>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</si>
  <si>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</si>
  <si>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</si>
  <si>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</si>
  <si>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</si>
  <si>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</si>
  <si>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</si>
  <si>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</si>
  <si>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</si>
  <si>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</si>
  <si>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</si>
  <si>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</si>
  <si>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</si>
  <si>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</si>
  <si>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</si>
  <si>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</si>
  <si>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</si>
  <si>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</si>
  <si>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</si>
  <si>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</si>
  <si>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</si>
  <si>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</si>
  <si>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</si>
  <si>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</si>
  <si>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</si>
  <si>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</si>
  <si>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</si>
  <si>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</si>
  <si>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</si>
  <si>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</si>
  <si>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</si>
  <si>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</si>
  <si>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</si>
  <si>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</si>
  <si>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</si>
  <si>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</si>
  <si>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</si>
  <si>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</si>
  <si>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</si>
  <si>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</si>
  <si>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</si>
  <si>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</si>
  <si>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</si>
  <si>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</si>
  <si>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</si>
  <si>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</si>
  <si>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</si>
  <si>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</si>
  <si>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</si>
  <si>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</si>
  <si>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</si>
  <si>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</si>
  <si>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</si>
  <si>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</si>
  <si>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</si>
  <si>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</si>
  <si>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</si>
  <si>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</si>
  <si>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</si>
  <si>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</si>
  <si>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</si>
  <si>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</si>
  <si>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</si>
  <si>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</si>
  <si>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</si>
  <si>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</si>
  <si>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</si>
  <si>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</si>
  <si>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</si>
  <si>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</si>
  <si>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</si>
  <si>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</si>
  <si>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</si>
  <si>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</si>
  <si>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</si>
  <si>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</si>
  <si>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</si>
  <si>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</si>
  <si>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</si>
  <si>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</si>
  <si>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</si>
  <si>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</si>
  <si>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</si>
  <si>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</si>
  <si>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</si>
  <si>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</si>
  <si>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</si>
  <si>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</si>
  <si>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</si>
  <si>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</si>
  <si>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</si>
  <si>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</si>
  <si>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</si>
  <si>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</si>
  <si>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</si>
  <si>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</si>
  <si>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</si>
  <si>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</si>
  <si>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</si>
  <si>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</si>
  <si>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</si>
  <si>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</si>
  <si>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</si>
  <si>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</si>
  <si>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</si>
  <si>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</si>
  <si>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</si>
  <si>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</si>
  <si>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</si>
  <si>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</si>
  <si>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</si>
  <si>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</si>
  <si>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</si>
  <si>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</si>
  <si>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</si>
  <si>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</si>
  <si>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</si>
  <si>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</si>
  <si>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</si>
  <si>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</si>
  <si>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</si>
  <si>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</si>
  <si>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</si>
  <si>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</si>
  <si>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</si>
  <si>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</si>
  <si>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</si>
  <si>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</si>
  <si>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</si>
  <si>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</si>
  <si>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</si>
  <si>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</si>
  <si>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</si>
  <si>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</si>
  <si>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</si>
  <si>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</si>
  <si>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</si>
  <si>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</si>
  <si>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</si>
  <si>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</si>
  <si>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</si>
  <si>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</si>
  <si>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</si>
  <si>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</si>
  <si>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</si>
  <si>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</si>
  <si>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</si>
  <si>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</si>
  <si>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</si>
  <si>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</si>
  <si>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</si>
  <si>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</si>
  <si>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</si>
  <si>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</si>
  <si>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</si>
  <si>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</si>
  <si>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</si>
  <si>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</si>
  <si>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</si>
  <si>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</si>
  <si>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</si>
  <si>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</si>
  <si>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</si>
  <si>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</si>
  <si>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</si>
  <si>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</si>
  <si>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</si>
  <si>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</si>
  <si>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</si>
  <si>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</si>
  <si>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</si>
  <si>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</si>
  <si>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</si>
  <si>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</si>
  <si>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</si>
  <si>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</si>
  <si>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</si>
  <si>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</si>
  <si>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</si>
  <si>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</si>
  <si>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</si>
  <si>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</si>
  <si>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</si>
  <si>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</si>
  <si>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</si>
  <si>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</si>
  <si>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</si>
  <si>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</si>
  <si>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</si>
  <si>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</si>
  <si>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</si>
  <si>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</si>
  <si>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</si>
  <si>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</si>
  <si>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</si>
  <si>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</si>
  <si>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</si>
  <si>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</si>
  <si>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</si>
  <si>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</si>
  <si>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</si>
  <si>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</si>
  <si>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</si>
  <si>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</si>
  <si>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</si>
  <si>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</si>
  <si>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</si>
  <si>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</si>
  <si>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</si>
  <si>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</si>
  <si>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</si>
  <si>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</si>
  <si>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</si>
  <si>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</si>
  <si>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</si>
  <si>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</si>
  <si>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</si>
  <si>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</si>
  <si>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</si>
  <si>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</si>
  <si>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</si>
  <si>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</si>
  <si>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</si>
  <si>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</si>
  <si>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</si>
  <si>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</si>
  <si>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</si>
  <si>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</si>
  <si>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</si>
  <si>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</si>
  <si>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</si>
  <si>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</si>
  <si>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</si>
  <si>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</si>
  <si>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</si>
  <si>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</si>
  <si>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</si>
  <si>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</si>
  <si>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</si>
  <si>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</si>
  <si>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</si>
  <si>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</si>
  <si>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</si>
  <si>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</si>
  <si>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</si>
  <si>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</si>
  <si>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</si>
  <si>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</si>
  <si>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</si>
  <si>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</si>
  <si>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</si>
  <si>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</si>
  <si>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</si>
  <si>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</si>
  <si>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</si>
  <si>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</si>
  <si>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</si>
  <si>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</si>
  <si>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</si>
  <si>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</si>
  <si>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</si>
  <si>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</si>
  <si>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</si>
  <si>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</si>
  <si>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</si>
  <si>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</si>
  <si>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</si>
  <si>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</si>
  <si>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</si>
  <si>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</si>
  <si>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</si>
  <si>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</si>
  <si>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</si>
  <si>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</si>
  <si>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</si>
  <si>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</si>
  <si>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</si>
  <si>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</si>
  <si>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</si>
  <si>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</si>
  <si>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</si>
  <si>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</si>
  <si>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</si>
  <si>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</si>
  <si>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</si>
  <si>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</si>
  <si>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</si>
  <si>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</si>
  <si>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</si>
  <si>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</si>
  <si>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</si>
  <si>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</si>
  <si>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</si>
  <si>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</si>
  <si>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</si>
  <si>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</si>
  <si>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</si>
  <si>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</si>
  <si>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</si>
  <si>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</si>
  <si>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</si>
  <si>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</si>
  <si>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</si>
  <si>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</si>
  <si>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</si>
  <si>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</si>
  <si>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</si>
  <si>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</si>
  <si>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</si>
  <si>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</si>
  <si>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</si>
  <si>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</si>
  <si>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</si>
  <si>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</si>
  <si>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</si>
  <si>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</si>
  <si>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</si>
  <si>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</si>
  <si>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</si>
  <si>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</si>
  <si>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</si>
  <si>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</si>
  <si>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</si>
  <si>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</si>
  <si>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</si>
  <si>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</si>
  <si>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</si>
  <si>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</si>
  <si>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</si>
  <si>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</si>
  <si>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</si>
  <si>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</si>
  <si>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</si>
  <si>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</si>
  <si>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</si>
  <si>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</si>
  <si>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</si>
  <si>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</si>
  <si>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</si>
  <si>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</si>
  <si>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</si>
  <si>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</si>
  <si>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</si>
  <si>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</si>
  <si>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</si>
  <si>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</si>
  <si>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</si>
  <si>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</si>
  <si>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</si>
  <si>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</si>
  <si>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</si>
  <si>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</si>
  <si>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</si>
  <si>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</si>
  <si>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</si>
  <si>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</si>
  <si>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</si>
  <si>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</si>
  <si>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</si>
  <si>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</si>
  <si>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</si>
  <si>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</si>
  <si>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</si>
  <si>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</si>
  <si>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</si>
  <si>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</si>
  <si>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</si>
  <si>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</si>
  <si>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</si>
  <si>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</si>
  <si>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</si>
  <si>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</si>
  <si>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</si>
  <si>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</si>
  <si>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</si>
  <si>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</si>
  <si>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</si>
  <si>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</si>
  <si>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</si>
  <si>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</si>
  <si>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</si>
  <si>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</si>
  <si>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</si>
  <si>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</si>
  <si>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</si>
  <si>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</si>
  <si>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</si>
  <si>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</si>
  <si>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</si>
  <si>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</si>
  <si>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</si>
  <si>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</si>
  <si>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</si>
  <si>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</si>
  <si>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</si>
  <si>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</si>
  <si>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</si>
  <si>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</si>
  <si>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</si>
  <si>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</si>
  <si>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</si>
  <si>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</si>
  <si>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</si>
  <si>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</si>
  <si>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</si>
  <si>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</si>
  <si>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</si>
  <si>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</si>
  <si>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</si>
  <si>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</si>
  <si>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</si>
  <si>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</si>
  <si>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</si>
  <si>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</si>
  <si>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</si>
  <si>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</si>
  <si>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</si>
  <si>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</si>
  <si>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</si>
  <si>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</si>
  <si>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</si>
  <si>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</si>
  <si>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</si>
  <si>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</si>
  <si>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</si>
  <si>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</si>
  <si>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</si>
  <si>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</si>
  <si>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</si>
  <si>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</si>
  <si>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</si>
  <si>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</si>
  <si>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</si>
  <si>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</si>
  <si>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</si>
  <si>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</si>
  <si>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</si>
  <si>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</si>
  <si>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</si>
  <si>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</si>
  <si>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</si>
  <si>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</si>
  <si>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</si>
  <si>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</si>
  <si>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</si>
  <si>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</si>
  <si>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</si>
  <si>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</si>
  <si>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</si>
  <si>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</si>
  <si>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</si>
  <si>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</si>
  <si>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</si>
  <si>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</si>
  <si>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</si>
  <si>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</si>
  <si>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</si>
  <si>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</si>
  <si>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</si>
  <si>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</si>
  <si>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</si>
  <si>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</si>
  <si>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</si>
  <si>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</si>
  <si>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</si>
  <si>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</si>
  <si>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</si>
  <si>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</si>
  <si>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</si>
  <si>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</si>
  <si>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</si>
  <si>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</si>
  <si>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</si>
  <si>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</si>
  <si>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</si>
  <si>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</si>
  <si>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</si>
  <si>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</si>
  <si>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</si>
  <si>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</si>
  <si>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</si>
  <si>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</si>
  <si>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</si>
  <si>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</si>
  <si>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</si>
  <si>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</si>
  <si>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</si>
  <si>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</si>
  <si>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</si>
  <si>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</si>
  <si>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</si>
  <si>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</si>
  <si>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</si>
  <si>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</si>
  <si>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</si>
  <si>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</si>
  <si>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</si>
  <si>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</si>
  <si>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</si>
  <si>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</si>
  <si>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</si>
  <si>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</si>
  <si>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</si>
  <si>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</si>
  <si>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</si>
  <si>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</si>
  <si>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</si>
  <si>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</si>
  <si>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</si>
  <si>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</si>
  <si>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</si>
  <si>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</si>
  <si>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</si>
  <si>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</si>
  <si>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</si>
  <si>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</si>
  <si>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</si>
  <si>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</si>
  <si>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</si>
  <si>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</si>
  <si>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</si>
  <si>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</si>
  <si>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</si>
  <si>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</si>
  <si>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</si>
  <si>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</si>
  <si>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</si>
  <si>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</si>
  <si>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</si>
  <si>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</si>
  <si>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</si>
  <si>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</si>
  <si>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</si>
  <si>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</si>
  <si>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</si>
  <si>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</si>
  <si>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</si>
  <si>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</si>
  <si>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</si>
  <si>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</si>
  <si>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</si>
  <si>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</si>
  <si>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</si>
  <si>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</si>
  <si>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</si>
  <si>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</si>
  <si>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</si>
  <si>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</si>
  <si>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</si>
  <si>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</si>
  <si>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</si>
  <si>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</si>
  <si>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</si>
  <si>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</si>
  <si>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</si>
  <si>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</si>
  <si>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</si>
  <si>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</si>
  <si>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</si>
  <si>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</si>
  <si>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</si>
  <si>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</si>
  <si>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</si>
  <si>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</si>
  <si>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</si>
  <si>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</si>
  <si>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</si>
  <si>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</si>
  <si>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</si>
  <si>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</si>
  <si>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</si>
  <si>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</si>
  <si>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</si>
  <si>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</si>
  <si>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</si>
  <si>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</si>
  <si>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</si>
  <si>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</si>
  <si>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</si>
  <si>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</si>
  <si>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</si>
  <si>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</si>
  <si>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</si>
  <si>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</si>
  <si>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</si>
  <si>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</si>
  <si>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</si>
  <si>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</si>
  <si>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</si>
  <si>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</si>
  <si>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</si>
  <si>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</si>
  <si>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</si>
  <si>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</si>
  <si>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</si>
  <si>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</si>
  <si>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</si>
  <si>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</si>
  <si>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</si>
  <si>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</si>
  <si>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</si>
  <si>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</si>
  <si>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</si>
  <si>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</si>
  <si>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</si>
  <si>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</si>
  <si>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</si>
  <si>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</si>
  <si>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</si>
  <si>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</si>
  <si>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</si>
  <si>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</si>
  <si>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</si>
  <si>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</si>
  <si>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</si>
  <si>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</si>
  <si>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</si>
  <si>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</si>
  <si>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</si>
  <si>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</si>
  <si>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</si>
  <si>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</si>
  <si>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</si>
  <si>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</si>
  <si>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</si>
  <si>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</si>
  <si>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</si>
  <si>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</si>
  <si>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</si>
  <si>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</si>
  <si>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</si>
  <si>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</si>
  <si>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</si>
  <si>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</si>
  <si>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</si>
  <si>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</si>
  <si>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</si>
  <si>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</si>
  <si>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</si>
  <si>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</si>
  <si>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</si>
  <si>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</si>
  <si>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</si>
  <si>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</si>
  <si>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</si>
  <si>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</si>
  <si>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</si>
  <si>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</si>
  <si>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</si>
  <si>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</si>
  <si>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</si>
  <si>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</si>
  <si>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</si>
  <si>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</si>
  <si>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</si>
  <si>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</si>
  <si>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</si>
  <si>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</si>
  <si>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</si>
  <si>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</si>
  <si>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</si>
  <si>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</si>
  <si>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</si>
  <si>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</si>
  <si>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</si>
  <si>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</si>
  <si>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</si>
  <si>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</si>
  <si>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</si>
  <si>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</si>
  <si>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</si>
  <si>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</si>
  <si>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</si>
  <si>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</si>
  <si>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</si>
  <si>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</si>
  <si>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</si>
  <si>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</si>
  <si>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</si>
  <si>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</si>
  <si>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</si>
  <si>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</si>
  <si>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</si>
  <si>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</si>
  <si>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</si>
  <si>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</si>
  <si>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</si>
  <si>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</si>
  <si>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</si>
  <si>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</si>
  <si>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</si>
  <si>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</si>
  <si>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</si>
  <si>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</si>
  <si>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</si>
  <si>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</si>
  <si>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</si>
  <si>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</si>
  <si>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</si>
  <si>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</si>
  <si>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</si>
  <si>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</si>
  <si>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</si>
  <si>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</si>
  <si>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</si>
  <si>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</si>
  <si>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</si>
  <si>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</si>
  <si>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</si>
  <si>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</si>
  <si>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</si>
  <si>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</si>
  <si>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</si>
  <si>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</si>
  <si>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</si>
  <si>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</si>
  <si>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</si>
  <si>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</si>
  <si>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</si>
  <si>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</si>
  <si>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</si>
  <si>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</si>
  <si>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</si>
  <si>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</si>
  <si>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</si>
  <si>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</si>
  <si>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</si>
  <si>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</si>
  <si>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</si>
  <si>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</si>
  <si>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</si>
  <si>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</si>
  <si>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</si>
  <si>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</si>
  <si>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</si>
  <si>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</si>
  <si>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</si>
  <si>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</si>
  <si>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</si>
  <si>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</si>
  <si>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</si>
  <si>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</si>
  <si>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</si>
  <si>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</si>
  <si>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</si>
  <si>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</si>
  <si>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</si>
  <si>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</si>
  <si>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</si>
  <si>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</si>
  <si>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</si>
  <si>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</si>
  <si>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</si>
  <si>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</si>
  <si>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</si>
  <si>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</si>
  <si>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</si>
  <si>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</si>
  <si>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</si>
  <si>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</si>
  <si>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</si>
  <si>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</si>
  <si>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</si>
  <si>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</si>
  <si>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</si>
  <si>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</si>
  <si>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</si>
  <si>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</si>
  <si>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</si>
  <si>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</si>
  <si>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</si>
  <si>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</si>
  <si>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</si>
  <si>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</si>
  <si>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</si>
  <si>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</si>
  <si>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</si>
  <si>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</si>
  <si>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</si>
  <si>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</si>
  <si>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</si>
  <si>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</si>
  <si>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</si>
  <si>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</si>
  <si>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</si>
  <si>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</si>
  <si>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</si>
  <si>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</si>
  <si>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</si>
  <si>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</si>
  <si>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</si>
  <si>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</si>
  <si>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</si>
  <si>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</si>
  <si>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</si>
  <si>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</si>
  <si>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</si>
  <si>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</si>
  <si>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</si>
  <si>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</si>
  <si>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</si>
  <si>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</si>
  <si>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</si>
  <si>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</si>
  <si>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</si>
  <si>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</si>
  <si>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</si>
  <si>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</si>
  <si>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</si>
  <si>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</si>
  <si>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</si>
  <si>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</si>
  <si>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</si>
  <si>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</si>
  <si>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</si>
  <si>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</si>
  <si>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</si>
  <si>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</si>
  <si>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</si>
  <si>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</si>
  <si>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</si>
  <si>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</si>
  <si>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</si>
  <si>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</si>
  <si>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</si>
  <si>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</si>
  <si>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</si>
  <si>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</si>
  <si>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</si>
  <si>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</si>
  <si>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</si>
  <si>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</si>
  <si>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</si>
  <si>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</si>
  <si>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</si>
  <si>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</si>
  <si>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</si>
  <si>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</si>
  <si>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</si>
  <si>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</si>
  <si>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</si>
  <si>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</si>
  <si>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</si>
  <si>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</si>
  <si>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</si>
  <si>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</si>
  <si>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</si>
  <si>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</si>
  <si>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</si>
  <si>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</si>
  <si>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</si>
  <si>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</si>
  <si>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</si>
  <si>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</si>
  <si>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</si>
  <si>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</si>
  <si>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</si>
  <si>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</si>
  <si>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</si>
  <si>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</si>
  <si>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</si>
  <si>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</si>
  <si>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</si>
  <si>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</si>
  <si>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</si>
  <si>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</si>
  <si>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</si>
  <si>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</si>
  <si>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</si>
  <si>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</si>
  <si>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</si>
  <si>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</si>
  <si>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</si>
  <si>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</si>
  <si>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</si>
  <si>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</si>
  <si>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</si>
  <si>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</si>
  <si>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</si>
  <si>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</si>
  <si>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</si>
  <si>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</si>
  <si>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</si>
  <si>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</si>
  <si>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</si>
  <si>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</si>
  <si>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</si>
  <si>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</si>
  <si>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</si>
  <si>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</si>
  <si>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</si>
  <si>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</si>
  <si>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</si>
  <si>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</si>
  <si>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</si>
  <si>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</si>
  <si>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</si>
  <si>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</si>
  <si>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</si>
  <si>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</si>
  <si>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</si>
  <si>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</si>
  <si>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</si>
  <si>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</si>
  <si>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</si>
  <si>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</si>
  <si>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</si>
  <si>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</si>
  <si>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</si>
  <si>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</si>
  <si>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</si>
  <si>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</si>
  <si>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</si>
  <si>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</si>
  <si>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</si>
  <si>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</si>
  <si>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</si>
  <si>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</si>
  <si>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</si>
  <si>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</si>
  <si>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</si>
  <si>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</si>
  <si>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</si>
  <si>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</si>
  <si>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</si>
  <si>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</si>
  <si>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</si>
  <si>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</si>
  <si>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</si>
  <si>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</si>
  <si>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</si>
  <si>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</si>
  <si>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</si>
  <si>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</si>
  <si>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</si>
  <si>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</si>
  <si>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</si>
  <si>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</si>
  <si>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</si>
  <si>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</si>
  <si>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</si>
  <si>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</si>
  <si>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</si>
  <si>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</si>
  <si>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</si>
  <si>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</si>
  <si>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</si>
  <si>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</si>
  <si>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</si>
  <si>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</si>
  <si>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</si>
  <si>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</si>
  <si>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</si>
  <si>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</si>
  <si>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</si>
  <si>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</si>
  <si>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</si>
  <si>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</si>
  <si>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</si>
  <si>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</si>
  <si>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</si>
  <si>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</si>
  <si>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</si>
  <si>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</si>
  <si>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</si>
  <si>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</si>
  <si>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</si>
  <si>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</si>
  <si>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</si>
  <si>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</si>
  <si>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</si>
  <si>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</si>
  <si>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</si>
  <si>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</si>
  <si>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</si>
  <si>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</si>
  <si>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</si>
  <si>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</si>
  <si>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</si>
  <si>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</si>
  <si>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</si>
  <si>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</si>
  <si>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</si>
  <si>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</si>
  <si>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</si>
  <si>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</si>
  <si>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</si>
  <si>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</si>
  <si>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</si>
  <si>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</si>
  <si>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</si>
  <si>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</si>
  <si>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</si>
  <si>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</si>
  <si>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</si>
  <si>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</si>
  <si>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</si>
  <si>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</si>
  <si>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</si>
  <si>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</si>
  <si>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</si>
  <si>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</si>
  <si>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</si>
  <si>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</si>
  <si>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</si>
  <si>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</si>
  <si>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</si>
  <si>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</si>
  <si>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</si>
  <si>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</si>
  <si>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</si>
  <si>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</si>
  <si>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</si>
  <si>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</si>
  <si>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</si>
  <si>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</si>
  <si>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</si>
  <si>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</si>
  <si>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</si>
  <si>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</si>
  <si>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</si>
  <si>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</si>
  <si>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</si>
  <si>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</si>
  <si>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</si>
  <si>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</si>
  <si>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</si>
  <si>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</si>
  <si>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</si>
  <si>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</si>
  <si>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</si>
  <si>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</si>
  <si>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</si>
  <si>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</si>
  <si>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</si>
  <si>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</si>
  <si>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</si>
  <si>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</si>
  <si>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</si>
  <si>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</si>
  <si>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</si>
  <si>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</si>
  <si>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</si>
  <si>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</si>
  <si>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</si>
  <si>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</si>
  <si>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</si>
  <si>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</si>
  <si>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</si>
  <si>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</si>
  <si>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</si>
  <si>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</si>
  <si>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</si>
  <si>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</si>
  <si>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</si>
  <si>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</si>
  <si>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</si>
  <si>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</si>
  <si>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</si>
  <si>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</si>
  <si>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</si>
  <si>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</si>
  <si>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</si>
  <si>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</si>
  <si>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</si>
  <si>
    <t>㈱TED　販売報酬　THE EARNING(SHL) 8月</t>
    <phoneticPr fontId="3"/>
  </si>
  <si>
    <t>㈱TED　販売報酬　ﾐﾘｱｶｱﾁｰﾌﾞﾒﾝﾄｺｰｽ 8月</t>
    <phoneticPr fontId="3"/>
  </si>
  <si>
    <t>「マネバ」株式投資スクール(12分割)【P】　6回目/12分割</t>
  </si>
  <si>
    <t>「マネバ」株式投資スクール（新）　11回目/12分割</t>
  </si>
  <si>
    <t>「マネバ」株式投資スクール【K】(12分割)</t>
  </si>
  <si>
    <t>「マネバ」株式投資スクール　継続コース(半年一括) 定期課金用　11～4月分　※分割記載11月分</t>
    <phoneticPr fontId="3"/>
  </si>
  <si>
    <t>「マネバ」株式投資スクール　継続コース(半年一括) 定期課金用　11～4月分　※分割記載12月分</t>
  </si>
  <si>
    <t>「マネバ」株式投資スクール　継続コース(半年一括) 定期課金用　11～4月分　※分割記載1月分</t>
    <phoneticPr fontId="3"/>
  </si>
  <si>
    <t>「マネバ」株式投資スクール　継続コース(半年一括) 定期課金用　11～4月分　※分割記載2月分</t>
  </si>
  <si>
    <t>「マネバ」株式投資スクール　継続コース(半年一括) 定期課金用　11～4月分　※分割記載3月分</t>
  </si>
  <si>
    <t>「マネバ」株式投資スクール　継続コース(半年一括) 定期課金用　11～4月分　※分割記載4月分</t>
  </si>
  <si>
    <t>「マネバ」株式投資スクール　継続コース（定期課金用）11月分</t>
  </si>
  <si>
    <t>トレンドサイン継続利用プラン（継続課金用）11月分</t>
  </si>
  <si>
    <t>CLEAR TRADEブートキャンプVol.17　5回目/6分割</t>
  </si>
  <si>
    <t>CLEAR TRADEブートキャンプVol.17 プライム　5回目/6分割</t>
  </si>
  <si>
    <t>ブートキャンプvol.17プライム（MP）　6回目/6分割</t>
  </si>
  <si>
    <t>リブーストキャンプvol.17プライム　5回目/6分割</t>
  </si>
  <si>
    <t>CLEAR TRADEエッセンシャルマスタープログラム（決済エラー用）11月分</t>
  </si>
  <si>
    <t>CLEAR TRADEエッセンシャルマスタープログラム（定期課金用）11月分</t>
  </si>
  <si>
    <t>CLEAR TRADEエッセンシャルマスタープログラム11月分</t>
  </si>
  <si>
    <t>PEAK FINDER -ONE-11月分</t>
  </si>
  <si>
    <t>PEAKFINDER -ONE-（定期課金用）11月分</t>
  </si>
  <si>
    <t>Mr.K来日講演イベント（二次募集）</t>
  </si>
  <si>
    <t>THE 筋トレーダーズ！（スタンダード）　4回目/5分割</t>
  </si>
  <si>
    <t>CLEARTRADEコミュニティ（3ヶ月）クレジットカード用　11～1月分　※分割記載12月分</t>
  </si>
  <si>
    <t>CLEARTRADEコミュニティ（3ヶ月プラン）クレジットカード決済用　11～1月分　※分割記載12月分</t>
  </si>
  <si>
    <t>CLEARTRADEコミュニティ（6ヶ月）クレジットカード用　11～4月分　※分割記載12月分</t>
  </si>
  <si>
    <t>CLEARTRADEコミュニティ（6ヶ月）クレジットカード用　11～4月分　※分割記載2月分</t>
  </si>
  <si>
    <t>CLEARTRADEコミュニティ（6ヶ月）クレジットカード用　11～4月分　※分割記載3月分</t>
  </si>
  <si>
    <t>CLEARTRADEコミュニティ（6ヶ月）クレジットカード用　11～4月分　※分割記載4月分</t>
  </si>
  <si>
    <t>CLEARTRADEコミュニティ（6ヶ月プラン）決済エラー用　10～3月分　※分割記載10月分</t>
    <phoneticPr fontId="3"/>
  </si>
  <si>
    <t>CLEARTRADEコミュニティ（6ヶ月プラン）決済エラー用　10～3月分　※分割記載11月分</t>
  </si>
  <si>
    <t>CLEARTRADEコミュニティ（6ヶ月プラン）決済エラー用　10～3月分　※分割記載12月分</t>
  </si>
  <si>
    <t>CLEARTRADEコミュニティ（6ヶ月プラン）決済エラー用　10～3月分　※分割記載1月分</t>
    <phoneticPr fontId="3"/>
  </si>
  <si>
    <t>CLEARTRADEコミュニティ（6ヶ月プラン）決済エラー用　10～3月分　※分割記載2月分</t>
  </si>
  <si>
    <t>CLEARTRADEコミュニティ（6ヶ月プラン）決済エラー用　10～3月分　※分割記載3月分</t>
  </si>
  <si>
    <t>CLEARTRADEコミュニティ（6ヶ月プラン）決済エラー用　11～4月分　※分割記載12月分</t>
  </si>
  <si>
    <t>CLEARTRADEコミュニティ（6ヶ月プラン）決済エラー用　11～4月分　※分割記載2月分</t>
  </si>
  <si>
    <t>CLEARTRADEコミュニティ（6ヶ月プラン）決済エラー用　11～4月分　※分割記載3月分</t>
  </si>
  <si>
    <t>CLEARTRADEコミュニティ（6ヶ月プラン）決済エラー用　11～4月分　※分割記載4月分</t>
  </si>
  <si>
    <t>CLEAR TRADEコミュニティ Apexコース 月次プラン（定期課金用）11月分</t>
  </si>
  <si>
    <t>CLEAR TRADEコミュニティApexコース　月次プラン11月分</t>
  </si>
  <si>
    <t>CLEARTRADEコミュニテイ 【ライトコース】課金用11月分</t>
  </si>
  <si>
    <t>CLEARTRADEコミュニティ（決済エラー用）11月分</t>
  </si>
  <si>
    <t>CLEARTRADEコミュニティ11月分</t>
  </si>
  <si>
    <t>奥村尚の金融リテラシー向上委員会(モニター価格)（継続課金）11月分</t>
  </si>
  <si>
    <t>エアポケット配信　懇親会参加費</t>
  </si>
  <si>
    <t>「マネバ」株式投資スクール【K】</t>
  </si>
  <si>
    <t>「マネバ」株式投資スクール　継続コース(半年一括) 銀行振込用　11～4月分　※分割記載2月分</t>
  </si>
  <si>
    <t>「マネバ」株式投資スクール　継続コース(半年一括) 銀行振込用　11～4月分　※分割記載3月分</t>
  </si>
  <si>
    <t>「マネバ」株式投資スクール　継続コース(半年一括) 銀行振込用　11～4月分　※分割記載4月分</t>
  </si>
  <si>
    <t>CLEAR TRADEコミュニティApexコース　年次プラン　銀行振込用　2025年11月～2026年10月分　※分割記載11月分</t>
    <phoneticPr fontId="3"/>
  </si>
  <si>
    <t>CLEAR TRADEコミュニティApexコース　年次プラン　銀行振込用　2025年11月～2026年10月分　※分割記載12月分</t>
  </si>
  <si>
    <t>CLEAR TRADEコミュニティApexコース　年次プラン　銀行振込用　2025年11月～2026年10月分　※分割記載1月分</t>
    <phoneticPr fontId="3"/>
  </si>
  <si>
    <t>CLEAR TRADEコミュニティApexコース　年次プラン　銀行振込用　2025年11月～2026年10月分　※分割記載2月分</t>
  </si>
  <si>
    <t>CLEAR TRADEコミュニティApexコース　年次プラン　銀行振込用　2025年11月～2026年10月分　※分割記載3月分</t>
  </si>
  <si>
    <t>CLEAR TRADEコミュニティApexコース　年次プラン　銀行振込用　2025年11月～2026年10月分　※分割記載4月分</t>
  </si>
  <si>
    <t>CLEAR TRADEコミュニティApexコース　年次プラン　銀行振込用　2025年11月～2026年10月分　※分割記載5月分</t>
  </si>
  <si>
    <t>CLEAR TRADEコミュニティApexコース　年次プラン　銀行振込用　2025年11月～2026年10月分　※分割記載6月分</t>
  </si>
  <si>
    <t>CLEAR TRADEコミュニティApexコース　年次プラン　銀行振込用　2025年11月～2026年10月分　※分割記載7月分</t>
  </si>
  <si>
    <t>CLEAR TRADEコミュニティApexコース　年次プラン　銀行振込用　2025年11月～2026年10月分　※分割記載8月分</t>
  </si>
  <si>
    <t>CLEAR TRADEコミュニティApexコース　年次プラン　銀行振込用　2025年11月～2026年10月分　※分割記載9月分</t>
  </si>
  <si>
    <t>CLEAR TRADEコミュニティApexコース　年次プラン　銀行振込用　2025年11月～2026年10月分　※分割記載10月分</t>
  </si>
  <si>
    <t>CLEARTRADEコミュニティ（6ヶ月プラン）銀行振込用　11～4月分　※分割記載12月分</t>
  </si>
  <si>
    <t>CLEARTRADEコミュニティ（6ヶ月プラン）銀行振込用　11～4月分　※分割記載13月分</t>
  </si>
  <si>
    <t>CLEARTRADEコミュニティ（6ヶ月プラン）銀行振込用　11～4月分　※分割記載14月分</t>
  </si>
  <si>
    <t>CLEARTRADEコミュニティ（6ヶ月プラン）銀行振込用　11～4月分　※分割記載15月分</t>
  </si>
  <si>
    <t>CLEARTRADEコミュニティ（6ヶ月プラン）銀行振込用　11～4月分　※分割記載16月分</t>
  </si>
  <si>
    <t>秋田式日刊エントリーポイント解説初級コース（継続課金）11月分</t>
  </si>
  <si>
    <t>「Shinobi」コミュニティ継続コース（定期課金用）11月分</t>
  </si>
  <si>
    <t>カルロスのFX相場思考（継続課金）11月分</t>
  </si>
  <si>
    <t>トレンドサイン特別プラン　6ヶ月おまとめ　11月～4月　※分割記載11月分</t>
    <rPh sb="23" eb="24">
      <t>ガツ</t>
    </rPh>
    <rPh sb="26" eb="27">
      <t>ガツ</t>
    </rPh>
    <phoneticPr fontId="8"/>
  </si>
  <si>
    <t>トレンドサイン特別プラン　6ヶ月おまとめ　11月～4月　※分割記載12月分</t>
    <rPh sb="23" eb="24">
      <t>ガツ</t>
    </rPh>
    <rPh sb="26" eb="27">
      <t>ガツ</t>
    </rPh>
    <phoneticPr fontId="8"/>
  </si>
  <si>
    <t>トレンドサイン特別プラン　6ヶ月おまとめ　11月～4月　※分割記載1月分</t>
    <rPh sb="23" eb="24">
      <t>ガツ</t>
    </rPh>
    <rPh sb="26" eb="27">
      <t>ガツ</t>
    </rPh>
    <phoneticPr fontId="8"/>
  </si>
  <si>
    <t>トレンドサイン特別プラン　6ヶ月おまとめ　11月～4月　※分割記載2月分</t>
    <rPh sb="23" eb="24">
      <t>ガツ</t>
    </rPh>
    <rPh sb="26" eb="27">
      <t>ガツ</t>
    </rPh>
    <phoneticPr fontId="8"/>
  </si>
  <si>
    <t>トレンドサイン特別プラン　6ヶ月おまとめ　11月～4月　※分割記載3月分</t>
    <rPh sb="23" eb="24">
      <t>ガツ</t>
    </rPh>
    <rPh sb="26" eb="27">
      <t>ガツ</t>
    </rPh>
    <phoneticPr fontId="8"/>
  </si>
  <si>
    <t>トレンドサイン特別プラン　6ヶ月おまとめ　11月～4月　※分割記載4月分</t>
    <rPh sb="23" eb="24">
      <t>ガツ</t>
    </rPh>
    <rPh sb="26" eb="27">
      <t>ガツ</t>
    </rPh>
    <phoneticPr fontId="8"/>
  </si>
  <si>
    <t>秋田式FXオンラインプログラム Premium(251005)</t>
  </si>
  <si>
    <t>秋田式日刊エントリーポイント解説 3ヶ月おまとめコース（上級）銀行振込　4,5,6月分　バックナンバー購入</t>
    <rPh sb="51" eb="53">
      <t>コウニュウ</t>
    </rPh>
    <phoneticPr fontId="8"/>
  </si>
  <si>
    <t>秋田式日刊エントリーポイント解説 3ヶ月おまとめコース（上級）銀行振込　7,8,9月分　バックナンバー購入</t>
    <phoneticPr fontId="8"/>
  </si>
  <si>
    <t>“初めてのゴールド”特別コラボセミナー</t>
  </si>
  <si>
    <t>トレンドサイン特別プラン　6ヶ月おまとめ ※分割記載11月分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</si>
  <si>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※分割記載12月分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</si>
  <si>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※分割記載1月分</t>
    <rPh sb="22" eb="24">
      <t>ブンカツ</t>
    </rPh>
    <rPh sb="24" eb="26">
      <t>キサイ</t>
    </rPh>
    <rPh sb="27" eb="29">
      <t>ガツブン</t>
    </rPh>
    <phoneticPr fontId="5"/>
  </si>
  <si>
    <t>トレンドサイン特別プラン　6ヶ月おまとめ ※分割記載2月分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</si>
  <si>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※分割記載3月分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</si>
  <si>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※分割記載4月分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</si>
  <si>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トレンドサイン継続利用プラン11月分</t>
  </si>
  <si>
    <t>トレンドサイン特別プラン（継続課金用）11月分</t>
  </si>
  <si>
    <t>トレンドサインマスター講座【D】</t>
  </si>
  <si>
    <t>秋田式FX オンラインプログラム(251019)</t>
  </si>
  <si>
    <t>秋田式日刊エントリーポイント解説　初級コース11月分</t>
  </si>
  <si>
    <t>秋田式日刊エントリーポイント解説　上級コース（課金用）11月分</t>
  </si>
  <si>
    <t>KTDプログラム　月額コース（グループ）（定期課金用）11月分</t>
  </si>
  <si>
    <t>Rewrite FX ライトコース</t>
  </si>
  <si>
    <t>高子流デイトレーダー養成講座　継続コース【3】（継続課金用）11月分</t>
  </si>
  <si>
    <t>㈱TED　販売報酬　THE EARNING(SHL) 9月</t>
    <phoneticPr fontId="3"/>
  </si>
  <si>
    <t>㈱TED　販売報酬　ﾐﾘｱｶｱﾁｰﾌﾞﾒﾝﾄｺｰｽ 9月</t>
    <phoneticPr fontId="3"/>
  </si>
  <si>
    <t>㈱ﾒﾃﾞｨｱﾊﾟﾙ　書籍注文送品　89月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</si>
</sst>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46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8" borderId="0" xfId="1" applyFont="1" applyFill="1" applyBorder="1">
      <alignment vertical="center"/>
    </xf>
    <xf numFmtId="178" fontId="6" fillId="0" borderId="0" xfId="1" applyNumberFormat="1" applyFont="1" applyFill="1" applyAlignment="1" applyProtection="1">
      <protection locked="0"/>
    </xf>
    <xf numFmtId="178" fontId="6" fillId="0" borderId="0" xfId="1" quotePrefix="1" applyNumberFormat="1" applyFont="1" applyFill="1" applyAlignment="1" applyProtection="1">
      <protection locked="0"/>
    </xf>
    <xf numFmtId="38" fontId="0" fillId="6" borderId="0" xfId="1" applyFont="1" applyFill="1">
      <alignment vertical="center"/>
    </xf>
    <xf numFmtId="179" fontId="11" fillId="6" borderId="0" xfId="3" applyNumberFormat="1" applyFont="1" applyFill="1"/>
    <xf numFmtId="178" fontId="0" fillId="6" borderId="0" xfId="1" applyNumberFormat="1" applyFont="1" applyFill="1">
      <alignment vertical="center"/>
    </xf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4651" totalsRowShown="0" headerRowDxfId="12" tableBorderDxfId="11" headerRowCellStyle="桁区切り"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+テーブル1[[#This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4651"/>
  <sheetViews>
    <sheetView tabSelected="1" topLeftCell="A4359" zoomScale="70" zoomScaleNormal="70" workbookViewId="0">
      <selection activeCell="O4389" sqref="O4389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5" max="15" width="16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+テーブル1[[#This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+テーブル1[[#This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+テーブル1[[#This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+テーブル1[[#This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+テーブル1[[#This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+テーブル1[[#This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+テーブル1[[#This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+テーブル1[[#This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+テーブル1[[#This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+テーブル1[[#This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+テーブル1[[#This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+テーブル1[[#This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+テーブル1[[#This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+テーブル1[[#This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+テーブル1[[#This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+テーブル1[[#This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+テーブル1[[#This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+テーブル1[[#This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+テーブル1[[#This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+テーブル1[[#This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+テーブル1[[#This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+テーブル1[[#This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+テーブル1[[#This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+テーブル1[[#This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+テーブル1[[#This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+テーブル1[[#This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+テーブル1[[#This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+テーブル1[[#This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+テーブル1[[#This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+テーブル1[[#This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+テーブル1[[#This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+テーブル1[[#This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+テーブル1[[#This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+テーブル1[[#This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+テーブル1[[#This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+テーブル1[[#This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+テーブル1[[#This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+テーブル1[[#This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+テーブル1[[#This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+テーブル1[[#This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+テーブル1[[#This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+テーブル1[[#This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+テーブル1[[#This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+テーブル1[[#This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+テーブル1[[#This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+テーブル1[[#This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+テーブル1[[#This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+テーブル1[[#This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+テーブル1[[#This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+テーブル1[[#This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+テーブル1[[#This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+テーブル1[[#This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+テーブル1[[#This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+テーブル1[[#This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+テーブル1[[#This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+テーブル1[[#This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+テーブル1[[#This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+テーブル1[[#This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+テーブル1[[#This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+テーブル1[[#This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+テーブル1[[#This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+テーブル1[[#This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+テーブル1[[#This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+テーブル1[[#This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+テーブル1[[#This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+テーブル1[[#This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+テーブル1[[#This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+テーブル1[[#This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+テーブル1[[#This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+テーブル1[[#This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+テーブル1[[#This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+テーブル1[[#This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+テーブル1[[#This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+テーブル1[[#This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+テーブル1[[#This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+テーブル1[[#This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+テーブル1[[#This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+テーブル1[[#This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+テーブル1[[#This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+テーブル1[[#This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+テーブル1[[#This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+テーブル1[[#This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+テーブル1[[#This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+テーブル1[[#This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+テーブル1[[#This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+テーブル1[[#This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+テーブル1[[#This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+テーブル1[[#This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+テーブル1[[#This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+テーブル1[[#This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+テーブル1[[#This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+テーブル1[[#This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+テーブル1[[#This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+テーブル1[[#This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+テーブル1[[#This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+テーブル1[[#This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+テーブル1[[#This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+テーブル1[[#This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+テーブル1[[#This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+テーブル1[[#This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+テーブル1[[#This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+テーブル1[[#This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+テーブル1[[#This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+テーブル1[[#This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+テーブル1[[#This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+テーブル1[[#This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+テーブル1[[#This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+テーブル1[[#This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+テーブル1[[#This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+テーブル1[[#This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+テーブル1[[#This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+テーブル1[[#This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+テーブル1[[#This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+テーブル1[[#This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+テーブル1[[#This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+テーブル1[[#This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+テーブル1[[#This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+テーブル1[[#This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+テーブル1[[#This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+テーブル1[[#This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+テーブル1[[#This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+テーブル1[[#This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+テーブル1[[#This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+テーブル1[[#This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+テーブル1[[#This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+テーブル1[[#This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+テーブル1[[#This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+テーブル1[[#This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+テーブル1[[#This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+テーブル1[[#This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+テーブル1[[#This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+テーブル1[[#This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+テーブル1[[#This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+テーブル1[[#This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+テーブル1[[#This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+テーブル1[[#This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+テーブル1[[#This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+テーブル1[[#This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+テーブル1[[#This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+テーブル1[[#This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+テーブル1[[#This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+テーブル1[[#This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+テーブル1[[#This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+テーブル1[[#This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+テーブル1[[#This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+テーブル1[[#This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+テーブル1[[#This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+テーブル1[[#This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+テーブル1[[#This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+テーブル1[[#This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+テーブル1[[#This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+テーブル1[[#This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+テーブル1[[#This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+テーブル1[[#This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+テーブル1[[#This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+テーブル1[[#This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+テーブル1[[#This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+テーブル1[[#This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+テーブル1[[#This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+テーブル1[[#This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+テーブル1[[#This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+テーブル1[[#This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+テーブル1[[#This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+テーブル1[[#This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+テーブル1[[#This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+テーブル1[[#This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+テーブル1[[#This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+テーブル1[[#This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+テーブル1[[#This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+テーブル1[[#This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+テーブル1[[#This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+テーブル1[[#This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+テーブル1[[#This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+テーブル1[[#This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+テーブル1[[#This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+テーブル1[[#This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+テーブル1[[#This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+テーブル1[[#This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+テーブル1[[#This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+テーブル1[[#This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+テーブル1[[#This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+テーブル1[[#This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+テーブル1[[#This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+テーブル1[[#This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+テーブル1[[#This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+テーブル1[[#This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+テーブル1[[#This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+テーブル1[[#This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+テーブル1[[#This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+テーブル1[[#This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+テーブル1[[#This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+テーブル1[[#This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+テーブル1[[#This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+テーブル1[[#This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+テーブル1[[#This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+テーブル1[[#This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+テーブル1[[#This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+テーブル1[[#This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+テーブル1[[#This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+テーブル1[[#This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+テーブル1[[#This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+テーブル1[[#This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+テーブル1[[#This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+テーブル1[[#This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+テーブル1[[#This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+テーブル1[[#This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+テーブル1[[#This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+テーブル1[[#This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+テーブル1[[#This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+テーブル1[[#This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+テーブル1[[#This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+テーブル1[[#This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+テーブル1[[#This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+テーブル1[[#This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+テーブル1[[#This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+テーブル1[[#This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+テーブル1[[#This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+テーブル1[[#This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+テーブル1[[#This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+テーブル1[[#This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+テーブル1[[#This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+テーブル1[[#This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+テーブル1[[#This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+テーブル1[[#This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+テーブル1[[#This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+テーブル1[[#This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+テーブル1[[#This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+テーブル1[[#This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+テーブル1[[#This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+テーブル1[[#This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+テーブル1[[#This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+テーブル1[[#This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+テーブル1[[#This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+テーブル1[[#This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+テーブル1[[#This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+テーブル1[[#This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+テーブル1[[#This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+テーブル1[[#This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+テーブル1[[#This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+テーブル1[[#This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+テーブル1[[#This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+テーブル1[[#This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+テーブル1[[#This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+テーブル1[[#This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+テーブル1[[#This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+テーブル1[[#This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+テーブル1[[#This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+テーブル1[[#This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+テーブル1[[#This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+テーブル1[[#This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+テーブル1[[#This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+テーブル1[[#This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+テーブル1[[#This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+テーブル1[[#This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+テーブル1[[#This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+テーブル1[[#This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+テーブル1[[#This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+テーブル1[[#This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+テーブル1[[#This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+テーブル1[[#This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+テーブル1[[#This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+テーブル1[[#This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+テーブル1[[#This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+テーブル1[[#This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+テーブル1[[#This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+テーブル1[[#This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+テーブル1[[#This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+テーブル1[[#This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+テーブル1[[#This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+テーブル1[[#This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+テーブル1[[#This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+テーブル1[[#This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+テーブル1[[#This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+テーブル1[[#This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+テーブル1[[#This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+テーブル1[[#This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+テーブル1[[#This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+テーブル1[[#This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+テーブル1[[#This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+テーブル1[[#This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+テーブル1[[#This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+テーブル1[[#This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+テーブル1[[#This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+テーブル1[[#This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+テーブル1[[#This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+テーブル1[[#This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+テーブル1[[#This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+テーブル1[[#This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+テーブル1[[#This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+テーブル1[[#This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+テーブル1[[#This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+テーブル1[[#This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+テーブル1[[#This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+テーブル1[[#This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+テーブル1[[#This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+テーブル1[[#This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+テーブル1[[#This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+テーブル1[[#This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+テーブル1[[#This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+テーブル1[[#This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+テーブル1[[#This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+テーブル1[[#This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+テーブル1[[#This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+テーブル1[[#This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+テーブル1[[#This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+テーブル1[[#This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+テーブル1[[#This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+テーブル1[[#This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+テーブル1[[#This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+テーブル1[[#This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+テーブル1[[#This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+テーブル1[[#This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+テーブル1[[#This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+テーブル1[[#This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+テーブル1[[#This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+テーブル1[[#This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+テーブル1[[#This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+テーブル1[[#This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+テーブル1[[#This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+テーブル1[[#This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+テーブル1[[#This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+テーブル1[[#This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+テーブル1[[#This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+テーブル1[[#This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+テーブル1[[#This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+テーブル1[[#This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+テーブル1[[#This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+テーブル1[[#This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+テーブル1[[#This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+テーブル1[[#This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+テーブル1[[#This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+テーブル1[[#This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+テーブル1[[#This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+テーブル1[[#This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+テーブル1[[#This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+テーブル1[[#This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+テーブル1[[#This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+テーブル1[[#This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+テーブル1[[#This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+テーブル1[[#This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+テーブル1[[#This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+テーブル1[[#This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+テーブル1[[#This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+テーブル1[[#This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+テーブル1[[#This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+テーブル1[[#This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+テーブル1[[#This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+テーブル1[[#This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+テーブル1[[#This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+テーブル1[[#This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+テーブル1[[#This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+テーブル1[[#This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+テーブル1[[#This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+テーブル1[[#This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+テーブル1[[#This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+テーブル1[[#This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+テーブル1[[#This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+テーブル1[[#This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+テーブル1[[#This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+テーブル1[[#This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+テーブル1[[#This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+テーブル1[[#This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+テーブル1[[#This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+テーブル1[[#This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+テーブル1[[#This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+テーブル1[[#This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+テーブル1[[#This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+テーブル1[[#This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+テーブル1[[#This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+テーブル1[[#This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+テーブル1[[#This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+テーブル1[[#This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+テーブル1[[#This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+テーブル1[[#This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+テーブル1[[#This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+テーブル1[[#This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+テーブル1[[#This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+テーブル1[[#This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+テーブル1[[#This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+テーブル1[[#This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+テーブル1[[#This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+テーブル1[[#This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+テーブル1[[#This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+テーブル1[[#This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+テーブル1[[#This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+テーブル1[[#This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+テーブル1[[#This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+テーブル1[[#This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+テーブル1[[#This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+テーブル1[[#This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+テーブル1[[#This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+テーブル1[[#This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+テーブル1[[#This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+テーブル1[[#This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+テーブル1[[#This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+テーブル1[[#This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+テーブル1[[#This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+テーブル1[[#This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+テーブル1[[#This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+テーブル1[[#This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+テーブル1[[#This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+テーブル1[[#This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+テーブル1[[#This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+テーブル1[[#This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+テーブル1[[#This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+テーブル1[[#This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+テーブル1[[#This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+テーブル1[[#This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+テーブル1[[#This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+テーブル1[[#This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+テーブル1[[#This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+テーブル1[[#This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+テーブル1[[#This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+テーブル1[[#This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+テーブル1[[#This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+テーブル1[[#This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+テーブル1[[#This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+テーブル1[[#This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+テーブル1[[#This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+テーブル1[[#This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+テーブル1[[#This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+テーブル1[[#This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+テーブル1[[#This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+テーブル1[[#This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+テーブル1[[#This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+テーブル1[[#This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+テーブル1[[#This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+テーブル1[[#This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+テーブル1[[#This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+テーブル1[[#This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+テーブル1[[#This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+テーブル1[[#This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+テーブル1[[#This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+テーブル1[[#This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+テーブル1[[#This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+テーブル1[[#This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+テーブル1[[#This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+テーブル1[[#This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+テーブル1[[#This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+テーブル1[[#This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+テーブル1[[#This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+テーブル1[[#This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+テーブル1[[#This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+テーブル1[[#This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+テーブル1[[#This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+テーブル1[[#This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+テーブル1[[#This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+テーブル1[[#This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+テーブル1[[#This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+テーブル1[[#This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+テーブル1[[#This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+テーブル1[[#This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+テーブル1[[#This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+テーブル1[[#This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+テーブル1[[#This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+テーブル1[[#This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+テーブル1[[#This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+テーブル1[[#This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+テーブル1[[#This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+テーブル1[[#This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+テーブル1[[#This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+テーブル1[[#This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+テーブル1[[#This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+テーブル1[[#This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+テーブル1[[#This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+テーブル1[[#This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+テーブル1[[#This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+テーブル1[[#This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+テーブル1[[#This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+テーブル1[[#This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+テーブル1[[#This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+テーブル1[[#This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+テーブル1[[#This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+テーブル1[[#This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+テーブル1[[#This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+テーブル1[[#This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+テーブル1[[#This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+テーブル1[[#This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+テーブル1[[#This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+テーブル1[[#This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+テーブル1[[#This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+テーブル1[[#This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+テーブル1[[#This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+テーブル1[[#This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+テーブル1[[#This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+テーブル1[[#This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+テーブル1[[#This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+テーブル1[[#This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+テーブル1[[#This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+テーブル1[[#This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+テーブル1[[#This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+テーブル1[[#This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+テーブル1[[#This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+テーブル1[[#This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+テーブル1[[#This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+テーブル1[[#This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+テーブル1[[#This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+テーブル1[[#This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+テーブル1[[#This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+テーブル1[[#This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+テーブル1[[#This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+テーブル1[[#This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+テーブル1[[#This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+テーブル1[[#This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+テーブル1[[#This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+テーブル1[[#This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+テーブル1[[#This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+テーブル1[[#This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+テーブル1[[#This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+テーブル1[[#This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+テーブル1[[#This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+テーブル1[[#This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+テーブル1[[#This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+テーブル1[[#This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+テーブル1[[#This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+テーブル1[[#This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+テーブル1[[#This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+テーブル1[[#This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+テーブル1[[#This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+テーブル1[[#This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+テーブル1[[#This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+テーブル1[[#This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+テーブル1[[#This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+テーブル1[[#This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+テーブル1[[#This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+テーブル1[[#This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+テーブル1[[#This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+テーブル1[[#This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+テーブル1[[#This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+テーブル1[[#This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+テーブル1[[#This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+テーブル1[[#This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+テーブル1[[#This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+テーブル1[[#This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+テーブル1[[#This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+テーブル1[[#This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+テーブル1[[#This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+テーブル1[[#This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+テーブル1[[#This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+テーブル1[[#This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+テーブル1[[#This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+テーブル1[[#This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+テーブル1[[#This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+テーブル1[[#This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+テーブル1[[#This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+テーブル1[[#This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+テーブル1[[#This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+テーブル1[[#This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+テーブル1[[#This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+テーブル1[[#This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+テーブル1[[#This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+テーブル1[[#This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+テーブル1[[#This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+テーブル1[[#This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+テーブル1[[#This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+テーブル1[[#This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+テーブル1[[#This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+テーブル1[[#This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+テーブル1[[#This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+テーブル1[[#This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+テーブル1[[#This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+テーブル1[[#This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+テーブル1[[#This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+テーブル1[[#This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+テーブル1[[#This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+テーブル1[[#This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+テーブル1[[#This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+テーブル1[[#This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+テーブル1[[#This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+テーブル1[[#This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+テーブル1[[#This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+テーブル1[[#This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+テーブル1[[#This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+テーブル1[[#This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+テーブル1[[#This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+テーブル1[[#This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+テーブル1[[#This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+テーブル1[[#This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+テーブル1[[#This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+テーブル1[[#This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+テーブル1[[#This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+テーブル1[[#This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+テーブル1[[#This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+テーブル1[[#This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+テーブル1[[#This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+テーブル1[[#This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+テーブル1[[#This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+テーブル1[[#This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+テーブル1[[#This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+テーブル1[[#This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+テーブル1[[#This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+テーブル1[[#This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+テーブル1[[#This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+テーブル1[[#This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+テーブル1[[#This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+テーブル1[[#This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+テーブル1[[#This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+テーブル1[[#This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+テーブル1[[#This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+テーブル1[[#This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+テーブル1[[#This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+テーブル1[[#This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+テーブル1[[#This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+テーブル1[[#This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+テーブル1[[#This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+テーブル1[[#This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+テーブル1[[#This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+テーブル1[[#This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+テーブル1[[#This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+テーブル1[[#This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+テーブル1[[#This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+テーブル1[[#This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+テーブル1[[#This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+テーブル1[[#This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+テーブル1[[#This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+テーブル1[[#This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+テーブル1[[#This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+テーブル1[[#This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+テーブル1[[#This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+テーブル1[[#This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+テーブル1[[#This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+テーブル1[[#This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+テーブル1[[#This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+テーブル1[[#This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+テーブル1[[#This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+テーブル1[[#This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+テーブル1[[#This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+テーブル1[[#This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+テーブル1[[#This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+テーブル1[[#This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+テーブル1[[#This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+テーブル1[[#This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+テーブル1[[#This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+テーブル1[[#This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+テーブル1[[#This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+テーブル1[[#This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+テーブル1[[#This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+テーブル1[[#This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+テーブル1[[#This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+テーブル1[[#This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+テーブル1[[#This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+テーブル1[[#This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+テーブル1[[#This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+テーブル1[[#This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+テーブル1[[#This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+テーブル1[[#This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+テーブル1[[#This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+テーブル1[[#This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+テーブル1[[#This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+テーブル1[[#This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+テーブル1[[#This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+テーブル1[[#This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+テーブル1[[#This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+テーブル1[[#This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+テーブル1[[#This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+テーブル1[[#This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+テーブル1[[#This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+テーブル1[[#This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+テーブル1[[#This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+テーブル1[[#This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+テーブル1[[#This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+テーブル1[[#This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+テーブル1[[#This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+テーブル1[[#This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+テーブル1[[#This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+テーブル1[[#This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+テーブル1[[#This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+テーブル1[[#This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+テーブル1[[#This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+テーブル1[[#This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+テーブル1[[#This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+テーブル1[[#This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+テーブル1[[#This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+テーブル1[[#This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+テーブル1[[#This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+テーブル1[[#This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+テーブル1[[#This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+テーブル1[[#This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+テーブル1[[#This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+テーブル1[[#This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+テーブル1[[#This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+テーブル1[[#This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+テーブル1[[#This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+テーブル1[[#This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+テーブル1[[#This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+テーブル1[[#This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+テーブル1[[#This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+テーブル1[[#This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+テーブル1[[#This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+テーブル1[[#This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+テーブル1[[#This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+テーブル1[[#This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+テーブル1[[#This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+テーブル1[[#This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+テーブル1[[#This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+テーブル1[[#This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+テーブル1[[#This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+テーブル1[[#This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+テーブル1[[#This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+テーブル1[[#This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+テーブル1[[#This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+テーブル1[[#This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+テーブル1[[#This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+テーブル1[[#This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+テーブル1[[#This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+テーブル1[[#This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+テーブル1[[#This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+テーブル1[[#This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+テーブル1[[#This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+テーブル1[[#This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+テーブル1[[#This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+テーブル1[[#This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+テーブル1[[#This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+テーブル1[[#This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+テーブル1[[#This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+テーブル1[[#This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+テーブル1[[#This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+テーブル1[[#This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+テーブル1[[#This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+テーブル1[[#This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+テーブル1[[#This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+テーブル1[[#This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+テーブル1[[#This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+テーブル1[[#This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+テーブル1[[#This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+テーブル1[[#This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+テーブル1[[#This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+テーブル1[[#This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+テーブル1[[#This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+テーブル1[[#This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+テーブル1[[#This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+テーブル1[[#This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+テーブル1[[#This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+テーブル1[[#This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+テーブル1[[#This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+テーブル1[[#This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+テーブル1[[#This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+テーブル1[[#This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+テーブル1[[#This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+テーブル1[[#This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+テーブル1[[#This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+テーブル1[[#This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+テーブル1[[#This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+テーブル1[[#This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+テーブル1[[#This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+テーブル1[[#This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+テーブル1[[#This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+テーブル1[[#This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+テーブル1[[#This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+テーブル1[[#This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+テーブル1[[#This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+テーブル1[[#This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+テーブル1[[#This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+テーブル1[[#This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+テーブル1[[#This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+テーブル1[[#This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+テーブル1[[#This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+テーブル1[[#This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+テーブル1[[#This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+テーブル1[[#This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+テーブル1[[#This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+テーブル1[[#This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+テーブル1[[#This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+テーブル1[[#This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+テーブル1[[#This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+テーブル1[[#This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+テーブル1[[#This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+テーブル1[[#This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+テーブル1[[#This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+テーブル1[[#This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+テーブル1[[#This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+テーブル1[[#This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+テーブル1[[#This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+テーブル1[[#This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+テーブル1[[#This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+テーブル1[[#This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+テーブル1[[#This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+テーブル1[[#This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+テーブル1[[#This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+テーブル1[[#This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+テーブル1[[#This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+テーブル1[[#This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+テーブル1[[#This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+テーブル1[[#This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+テーブル1[[#This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+テーブル1[[#This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+テーブル1[[#This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+テーブル1[[#This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+テーブル1[[#This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+テーブル1[[#This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+テーブル1[[#This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+テーブル1[[#This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+テーブル1[[#This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+テーブル1[[#This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+テーブル1[[#This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+テーブル1[[#This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+テーブル1[[#This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+テーブル1[[#This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+テーブル1[[#This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+テーブル1[[#This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+テーブル1[[#This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+テーブル1[[#This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+テーブル1[[#This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+テーブル1[[#This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+テーブル1[[#This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+テーブル1[[#This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+テーブル1[[#This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+テーブル1[[#This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+テーブル1[[#This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+テーブル1[[#This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+テーブル1[[#This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+テーブル1[[#This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+テーブル1[[#This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+テーブル1[[#This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+テーブル1[[#This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+テーブル1[[#This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+テーブル1[[#This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+テーブル1[[#This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+テーブル1[[#This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+テーブル1[[#This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+テーブル1[[#This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+テーブル1[[#This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+テーブル1[[#This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+テーブル1[[#This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+テーブル1[[#This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+テーブル1[[#This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+テーブル1[[#This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+テーブル1[[#This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+テーブル1[[#This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+テーブル1[[#This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+テーブル1[[#This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+テーブル1[[#This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+テーブル1[[#This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+テーブル1[[#This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+テーブル1[[#This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+テーブル1[[#This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+テーブル1[[#This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+テーブル1[[#This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+テーブル1[[#This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+テーブル1[[#This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+テーブル1[[#This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+テーブル1[[#This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+テーブル1[[#This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+テーブル1[[#This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+テーブル1[[#This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+テーブル1[[#This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+テーブル1[[#This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+テーブル1[[#This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+テーブル1[[#This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+テーブル1[[#This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+テーブル1[[#This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+テーブル1[[#This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+テーブル1[[#This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+テーブル1[[#This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+テーブル1[[#This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+テーブル1[[#This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+テーブル1[[#This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+テーブル1[[#This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+テーブル1[[#This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+テーブル1[[#This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+テーブル1[[#This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+テーブル1[[#This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+テーブル1[[#This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+テーブル1[[#This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+テーブル1[[#This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+テーブル1[[#This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+テーブル1[[#This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+テーブル1[[#This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+テーブル1[[#This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+テーブル1[[#This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+テーブル1[[#This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+テーブル1[[#This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+テーブル1[[#This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+テーブル1[[#This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+テーブル1[[#This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+テーブル1[[#This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+テーブル1[[#This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+テーブル1[[#This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+テーブル1[[#This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+テーブル1[[#This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+テーブル1[[#This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+テーブル1[[#This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+テーブル1[[#This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+テーブル1[[#This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+テーブル1[[#This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+テーブル1[[#This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+テーブル1[[#This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+テーブル1[[#This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+テーブル1[[#This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+テーブル1[[#This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+テーブル1[[#This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+テーブル1[[#This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+テーブル1[[#This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+テーブル1[[#This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+テーブル1[[#This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+テーブル1[[#This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+テーブル1[[#This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+テーブル1[[#This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+テーブル1[[#This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+テーブル1[[#This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+テーブル1[[#This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+テーブル1[[#This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+テーブル1[[#This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+テーブル1[[#This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+テーブル1[[#This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+テーブル1[[#This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+テーブル1[[#This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+テーブル1[[#This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+テーブル1[[#This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+テーブル1[[#This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+テーブル1[[#This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+テーブル1[[#This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+テーブル1[[#This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+テーブル1[[#This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+テーブル1[[#This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+テーブル1[[#This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+テーブル1[[#This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+テーブル1[[#This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+テーブル1[[#This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+テーブル1[[#This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+テーブル1[[#This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+テーブル1[[#This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+テーブル1[[#This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+テーブル1[[#This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+テーブル1[[#This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+テーブル1[[#This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+テーブル1[[#This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+テーブル1[[#This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+テーブル1[[#This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+テーブル1[[#This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+テーブル1[[#This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+テーブル1[[#This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+テーブル1[[#This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+テーブル1[[#This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+テーブル1[[#This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+テーブル1[[#This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+テーブル1[[#This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+テーブル1[[#This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+テーブル1[[#This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+テーブル1[[#This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+テーブル1[[#This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+テーブル1[[#This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+テーブル1[[#This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+テーブル1[[#This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+テーブル1[[#This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+テーブル1[[#This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+テーブル1[[#This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+テーブル1[[#This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+テーブル1[[#This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+テーブル1[[#This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+テーブル1[[#This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+テーブル1[[#This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+テーブル1[[#This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+テーブル1[[#This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+テーブル1[[#This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+テーブル1[[#This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+テーブル1[[#This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+テーブル1[[#This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+テーブル1[[#This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+テーブル1[[#This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+テーブル1[[#This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+テーブル1[[#This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+テーブル1[[#This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+テーブル1[[#This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+テーブル1[[#This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+テーブル1[[#This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+テーブル1[[#This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+テーブル1[[#This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+テーブル1[[#This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+テーブル1[[#This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+テーブル1[[#This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+テーブル1[[#This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+テーブル1[[#This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+テーブル1[[#This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+テーブル1[[#This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+テーブル1[[#This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+テーブル1[[#This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+テーブル1[[#This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+テーブル1[[#This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+テーブル1[[#This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+テーブル1[[#This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+テーブル1[[#This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+テーブル1[[#This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+テーブル1[[#This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+テーブル1[[#This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+テーブル1[[#This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+テーブル1[[#This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+テーブル1[[#This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+テーブル1[[#This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+テーブル1[[#This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+テーブル1[[#This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+テーブル1[[#This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+テーブル1[[#This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+テーブル1[[#This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+テーブル1[[#This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+テーブル1[[#This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+テーブル1[[#This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+テーブル1[[#This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+テーブル1[[#This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+テーブル1[[#This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+テーブル1[[#This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+テーブル1[[#This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+テーブル1[[#This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+テーブル1[[#This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+テーブル1[[#This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+テーブル1[[#This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+テーブル1[[#This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+テーブル1[[#This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+テーブル1[[#This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+テーブル1[[#This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+テーブル1[[#This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+テーブル1[[#This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+テーブル1[[#This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+テーブル1[[#This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+テーブル1[[#This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+テーブル1[[#This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+テーブル1[[#This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+テーブル1[[#This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+テーブル1[[#This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+テーブル1[[#This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+テーブル1[[#This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+テーブル1[[#This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+テーブル1[[#This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+テーブル1[[#This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+テーブル1[[#This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+テーブル1[[#This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+テーブル1[[#This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+テーブル1[[#This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+テーブル1[[#This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+テーブル1[[#This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+テーブル1[[#This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+テーブル1[[#This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+テーブル1[[#This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+テーブル1[[#This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+テーブル1[[#This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+テーブル1[[#This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+テーブル1[[#This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+テーブル1[[#This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+テーブル1[[#This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+テーブル1[[#This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+テーブル1[[#This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+テーブル1[[#This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+テーブル1[[#This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+テーブル1[[#This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+テーブル1[[#This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+テーブル1[[#This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+テーブル1[[#This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+テーブル1[[#This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+テーブル1[[#This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+テーブル1[[#This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+テーブル1[[#This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+テーブル1[[#This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+テーブル1[[#This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+テーブル1[[#This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+テーブル1[[#This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+テーブル1[[#This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+テーブル1[[#This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+テーブル1[[#This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+テーブル1[[#This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+テーブル1[[#This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+テーブル1[[#This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+テーブル1[[#This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+テーブル1[[#This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+テーブル1[[#This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+テーブル1[[#This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+テーブル1[[#This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+テーブル1[[#This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+テーブル1[[#This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+テーブル1[[#This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+テーブル1[[#This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+テーブル1[[#This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+テーブル1[[#This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+テーブル1[[#This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+テーブル1[[#This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+テーブル1[[#This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+テーブル1[[#This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+テーブル1[[#This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+テーブル1[[#This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+テーブル1[[#This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+テーブル1[[#This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+テーブル1[[#This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+テーブル1[[#This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+テーブル1[[#This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+テーブル1[[#This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+テーブル1[[#This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+テーブル1[[#This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+テーブル1[[#This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+テーブル1[[#This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+テーブル1[[#This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+テーブル1[[#This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+テーブル1[[#This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+テーブル1[[#This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+テーブル1[[#This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+テーブル1[[#This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+テーブル1[[#This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+テーブル1[[#This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+テーブル1[[#This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+テーブル1[[#This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+テーブル1[[#This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+テーブル1[[#This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+テーブル1[[#This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+テーブル1[[#This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+テーブル1[[#This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+テーブル1[[#This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+テーブル1[[#This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+テーブル1[[#This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+テーブル1[[#This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+テーブル1[[#This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+テーブル1[[#This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+テーブル1[[#This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+テーブル1[[#This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+テーブル1[[#This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+テーブル1[[#This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+テーブル1[[#This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+テーブル1[[#This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+テーブル1[[#This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+テーブル1[[#This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+テーブル1[[#This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+テーブル1[[#This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+テーブル1[[#This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+テーブル1[[#This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+テーブル1[[#This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+テーブル1[[#This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+テーブル1[[#This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+テーブル1[[#This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+テーブル1[[#This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+テーブル1[[#This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+テーブル1[[#This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+テーブル1[[#This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+テーブル1[[#This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+テーブル1[[#This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+テーブル1[[#This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+テーブル1[[#This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+テーブル1[[#This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+テーブル1[[#This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+テーブル1[[#This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+テーブル1[[#This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+テーブル1[[#This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+テーブル1[[#This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+テーブル1[[#This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+テーブル1[[#This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+テーブル1[[#This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+テーブル1[[#This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+テーブル1[[#This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+テーブル1[[#This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+テーブル1[[#This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+テーブル1[[#This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+テーブル1[[#This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+テーブル1[[#This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+テーブル1[[#This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+テーブル1[[#This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+テーブル1[[#This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+テーブル1[[#This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+テーブル1[[#This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+テーブル1[[#This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+テーブル1[[#This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+テーブル1[[#This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+テーブル1[[#This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+テーブル1[[#This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+テーブル1[[#This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+テーブル1[[#This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+テーブル1[[#This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+テーブル1[[#This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+テーブル1[[#This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+テーブル1[[#This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+テーブル1[[#This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+テーブル1[[#This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+テーブル1[[#This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+テーブル1[[#This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+テーブル1[[#This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+テーブル1[[#This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+テーブル1[[#This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+テーブル1[[#This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+テーブル1[[#This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+テーブル1[[#This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+テーブル1[[#This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+テーブル1[[#This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+テーブル1[[#This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+テーブル1[[#This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+テーブル1[[#This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+テーブル1[[#This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+テーブル1[[#This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+テーブル1[[#This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+テーブル1[[#This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+テーブル1[[#This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+テーブル1[[#This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+テーブル1[[#This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+テーブル1[[#This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+テーブル1[[#This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+テーブル1[[#This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+テーブル1[[#This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+テーブル1[[#This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+テーブル1[[#This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+テーブル1[[#This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+テーブル1[[#This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+テーブル1[[#This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+テーブル1[[#This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+テーブル1[[#This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+テーブル1[[#This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+テーブル1[[#This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+テーブル1[[#This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+テーブル1[[#This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+テーブル1[[#This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+テーブル1[[#This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+テーブル1[[#This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+テーブル1[[#This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+テーブル1[[#This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+テーブル1[[#This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+テーブル1[[#This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+テーブル1[[#This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+テーブル1[[#This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+テーブル1[[#This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+テーブル1[[#This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+テーブル1[[#This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+テーブル1[[#This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+テーブル1[[#This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+テーブル1[[#This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+テーブル1[[#This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+テーブル1[[#This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+テーブル1[[#This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+テーブル1[[#This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+テーブル1[[#This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+テーブル1[[#This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+テーブル1[[#This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+テーブル1[[#This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+テーブル1[[#This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+テーブル1[[#This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+テーブル1[[#This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+テーブル1[[#This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+テーブル1[[#This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+テーブル1[[#This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+テーブル1[[#This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+テーブル1[[#This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+テーブル1[[#This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+テーブル1[[#This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+テーブル1[[#This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+テーブル1[[#This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+テーブル1[[#This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+テーブル1[[#This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+テーブル1[[#This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+テーブル1[[#This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+テーブル1[[#This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+テーブル1[[#This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+テーブル1[[#This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+テーブル1[[#This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+テーブル1[[#This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+テーブル1[[#This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+テーブル1[[#This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+テーブル1[[#This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+テーブル1[[#This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+テーブル1[[#This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+テーブル1[[#This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+テーブル1[[#This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+テーブル1[[#This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+テーブル1[[#This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+テーブル1[[#This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+テーブル1[[#This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+テーブル1[[#This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+テーブル1[[#This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+テーブル1[[#This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+テーブル1[[#This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+テーブル1[[#This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+テーブル1[[#This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+テーブル1[[#This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+テーブル1[[#This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+テーブル1[[#This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+テーブル1[[#This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+テーブル1[[#This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+テーブル1[[#This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+テーブル1[[#This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+テーブル1[[#This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+テーブル1[[#This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+テーブル1[[#This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+テーブル1[[#This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+テーブル1[[#This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+テーブル1[[#This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+テーブル1[[#This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+テーブル1[[#This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+テーブル1[[#This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+テーブル1[[#This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+テーブル1[[#This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+テーブル1[[#This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+テーブル1[[#This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+テーブル1[[#This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+テーブル1[[#This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+テーブル1[[#This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+テーブル1[[#This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+テーブル1[[#This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+テーブル1[[#This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+テーブル1[[#This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+テーブル1[[#This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+テーブル1[[#This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+テーブル1[[#This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+テーブル1[[#This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+テーブル1[[#This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+テーブル1[[#This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+テーブル1[[#This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+テーブル1[[#This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+テーブル1[[#This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+テーブル1[[#This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+テーブル1[[#This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+テーブル1[[#This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+テーブル1[[#This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+テーブル1[[#This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+テーブル1[[#This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+テーブル1[[#This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+テーブル1[[#This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+テーブル1[[#This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+テーブル1[[#This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+テーブル1[[#This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+テーブル1[[#This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+テーブル1[[#This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+テーブル1[[#This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+テーブル1[[#This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+テーブル1[[#This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+テーブル1[[#This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+テーブル1[[#This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+テーブル1[[#This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+テーブル1[[#This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+テーブル1[[#This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+テーブル1[[#This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+テーブル1[[#This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+テーブル1[[#This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+テーブル1[[#This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+テーブル1[[#This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+テーブル1[[#This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+テーブル1[[#This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+テーブル1[[#This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+テーブル1[[#This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+テーブル1[[#This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+テーブル1[[#This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+テーブル1[[#This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+テーブル1[[#This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+テーブル1[[#This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+テーブル1[[#This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+テーブル1[[#This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+テーブル1[[#This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+テーブル1[[#This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+テーブル1[[#This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+テーブル1[[#This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+テーブル1[[#This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+テーブル1[[#This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+テーブル1[[#This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+テーブル1[[#This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+テーブル1[[#This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+テーブル1[[#This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+テーブル1[[#This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+テーブル1[[#This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+テーブル1[[#This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+テーブル1[[#This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+テーブル1[[#This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+テーブル1[[#This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+テーブル1[[#This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+テーブル1[[#This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+テーブル1[[#This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+テーブル1[[#This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+テーブル1[[#This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+テーブル1[[#This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+テーブル1[[#This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+テーブル1[[#This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+テーブル1[[#This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+テーブル1[[#This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+テーブル1[[#This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+テーブル1[[#This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+テーブル1[[#This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+テーブル1[[#This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+テーブル1[[#This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+テーブル1[[#This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+テーブル1[[#This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+テーブル1[[#This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+テーブル1[[#This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+テーブル1[[#This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+テーブル1[[#This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+テーブル1[[#This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+テーブル1[[#This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+テーブル1[[#This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+テーブル1[[#This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+テーブル1[[#This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+テーブル1[[#This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+テーブル1[[#This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+テーブル1[[#This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+テーブル1[[#This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+テーブル1[[#This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+テーブル1[[#This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+テーブル1[[#This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+テーブル1[[#This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+テーブル1[[#This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+テーブル1[[#This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+テーブル1[[#This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+テーブル1[[#This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+テーブル1[[#This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+テーブル1[[#This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+テーブル1[[#This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+テーブル1[[#This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+テーブル1[[#This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+テーブル1[[#This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+テーブル1[[#This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+テーブル1[[#This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+テーブル1[[#This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+テーブル1[[#This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+テーブル1[[#This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+テーブル1[[#This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+テーブル1[[#This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+テーブル1[[#This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+テーブル1[[#This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+テーブル1[[#This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+テーブル1[[#This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+テーブル1[[#This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+テーブル1[[#This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+テーブル1[[#This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+テーブル1[[#This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+テーブル1[[#This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+テーブル1[[#This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+テーブル1[[#This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+テーブル1[[#This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+テーブル1[[#This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+テーブル1[[#This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+テーブル1[[#This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+テーブル1[[#This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+テーブル1[[#This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+テーブル1[[#This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+テーブル1[[#This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+テーブル1[[#This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+テーブル1[[#This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+テーブル1[[#This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+テーブル1[[#This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+テーブル1[[#This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+テーブル1[[#This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+テーブル1[[#This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+テーブル1[[#This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+テーブル1[[#This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+テーブル1[[#This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+テーブル1[[#This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+テーブル1[[#This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+テーブル1[[#This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+テーブル1[[#This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+テーブル1[[#This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+テーブル1[[#This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+テーブル1[[#This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+テーブル1[[#This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+テーブル1[[#This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+テーブル1[[#This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+テーブル1[[#This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+テーブル1[[#This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+テーブル1[[#This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+テーブル1[[#This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+テーブル1[[#This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+テーブル1[[#This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+テーブル1[[#This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+テーブル1[[#This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+テーブル1[[#This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+テーブル1[[#This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+テーブル1[[#This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+テーブル1[[#This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+テーブル1[[#This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+テーブル1[[#This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+テーブル1[[#This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+テーブル1[[#This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+テーブル1[[#This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+テーブル1[[#This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+テーブル1[[#This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+テーブル1[[#This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+テーブル1[[#This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+テーブル1[[#This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+テーブル1[[#This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+テーブル1[[#This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+テーブル1[[#This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+テーブル1[[#This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+テーブル1[[#This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+テーブル1[[#This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+テーブル1[[#This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+テーブル1[[#This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+テーブル1[[#This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+テーブル1[[#This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+テーブル1[[#This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+テーブル1[[#This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+テーブル1[[#This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+テーブル1[[#This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+テーブル1[[#This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+テーブル1[[#This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+テーブル1[[#This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+テーブル1[[#This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+テーブル1[[#This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+テーブル1[[#This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+テーブル1[[#This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+テーブル1[[#This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+テーブル1[[#This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+テーブル1[[#This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+テーブル1[[#This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+テーブル1[[#This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+テーブル1[[#This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+テーブル1[[#This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+テーブル1[[#This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+テーブル1[[#This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+テーブル1[[#This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+テーブル1[[#This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+テーブル1[[#This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+テーブル1[[#This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+テーブル1[[#This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+テーブル1[[#This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+テーブル1[[#This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+テーブル1[[#This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+テーブル1[[#This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+テーブル1[[#This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+テーブル1[[#This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+テーブル1[[#This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+テーブル1[[#This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+テーブル1[[#This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+テーブル1[[#This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+テーブル1[[#This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+テーブル1[[#This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+テーブル1[[#This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+テーブル1[[#This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+テーブル1[[#This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+テーブル1[[#This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+テーブル1[[#This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+テーブル1[[#This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+テーブル1[[#This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+テーブル1[[#This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+テーブル1[[#This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+テーブル1[[#This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+テーブル1[[#This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+テーブル1[[#This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+テーブル1[[#This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+テーブル1[[#This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+テーブル1[[#This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+テーブル1[[#This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+テーブル1[[#This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+テーブル1[[#This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+テーブル1[[#This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+テーブル1[[#This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+テーブル1[[#This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+テーブル1[[#This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+テーブル1[[#This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+テーブル1[[#This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+テーブル1[[#This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+テーブル1[[#This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+テーブル1[[#This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+テーブル1[[#This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+テーブル1[[#This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+テーブル1[[#This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+テーブル1[[#This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+テーブル1[[#This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+テーブル1[[#This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+テーブル1[[#This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+テーブル1[[#This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+テーブル1[[#This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+テーブル1[[#This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+テーブル1[[#This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+テーブル1[[#This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+テーブル1[[#This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+テーブル1[[#This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+テーブル1[[#This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+テーブル1[[#This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+テーブル1[[#This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+テーブル1[[#This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+テーブル1[[#This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+テーブル1[[#This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+テーブル1[[#This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+テーブル1[[#This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+テーブル1[[#This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+テーブル1[[#This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+テーブル1[[#This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+テーブル1[[#This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+テーブル1[[#This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+テーブル1[[#This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+テーブル1[[#This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+テーブル1[[#This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+テーブル1[[#This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+テーブル1[[#This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+テーブル1[[#This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+テーブル1[[#This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+テーブル1[[#This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+テーブル1[[#This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+テーブル1[[#This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+テーブル1[[#This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+テーブル1[[#This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+テーブル1[[#This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+テーブル1[[#This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+テーブル1[[#This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+テーブル1[[#This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+テーブル1[[#This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+テーブル1[[#This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+テーブル1[[#This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+テーブル1[[#This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+テーブル1[[#This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+テーブル1[[#This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+テーブル1[[#This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+テーブル1[[#This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+テーブル1[[#This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+テーブル1[[#This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+テーブル1[[#This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+テーブル1[[#This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+テーブル1[[#This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+テーブル1[[#This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+テーブル1[[#This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+テーブル1[[#This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+テーブル1[[#This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+テーブル1[[#This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+テーブル1[[#This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+テーブル1[[#This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+テーブル1[[#This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+テーブル1[[#This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+テーブル1[[#This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+テーブル1[[#This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+テーブル1[[#This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+テーブル1[[#This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+テーブル1[[#This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+テーブル1[[#This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+テーブル1[[#This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+テーブル1[[#This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+テーブル1[[#This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+テーブル1[[#This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+テーブル1[[#This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+テーブル1[[#This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+テーブル1[[#This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+テーブル1[[#This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+テーブル1[[#This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+テーブル1[[#This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+テーブル1[[#This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+テーブル1[[#This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+テーブル1[[#This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+テーブル1[[#This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+テーブル1[[#This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+テーブル1[[#This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+テーブル1[[#This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+テーブル1[[#This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+テーブル1[[#This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+テーブル1[[#This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+テーブル1[[#This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+テーブル1[[#This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+テーブル1[[#This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+テーブル1[[#This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+テーブル1[[#This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+テーブル1[[#This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+テーブル1[[#This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+テーブル1[[#This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+テーブル1[[#This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+テーブル1[[#This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+テーブル1[[#This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+テーブル1[[#This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+テーブル1[[#This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+テーブル1[[#This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+テーブル1[[#This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+テーブル1[[#This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+テーブル1[[#This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+テーブル1[[#This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+テーブル1[[#This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+テーブル1[[#This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+テーブル1[[#This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+テーブル1[[#This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+テーブル1[[#This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+テーブル1[[#This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+テーブル1[[#This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+テーブル1[[#This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+テーブル1[[#This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+テーブル1[[#This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+テーブル1[[#This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+テーブル1[[#This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+テーブル1[[#This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+テーブル1[[#This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+テーブル1[[#This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+テーブル1[[#This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+テーブル1[[#This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+テーブル1[[#This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+テーブル1[[#This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+テーブル1[[#This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+テーブル1[[#This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+テーブル1[[#This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+テーブル1[[#This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+テーブル1[[#This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+テーブル1[[#This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+テーブル1[[#This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+テーブル1[[#This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+テーブル1[[#This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+テーブル1[[#This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+テーブル1[[#This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+テーブル1[[#This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+テーブル1[[#This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+テーブル1[[#This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+テーブル1[[#This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+テーブル1[[#This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+テーブル1[[#This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+テーブル1[[#This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+テーブル1[[#This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+テーブル1[[#This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+テーブル1[[#This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+テーブル1[[#This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+テーブル1[[#This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+テーブル1[[#This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+テーブル1[[#This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+テーブル1[[#This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+テーブル1[[#This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+テーブル1[[#This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+テーブル1[[#This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+テーブル1[[#This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+テーブル1[[#This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+テーブル1[[#This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+テーブル1[[#This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+テーブル1[[#This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+テーブル1[[#This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+テーブル1[[#This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+テーブル1[[#This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+テーブル1[[#This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+テーブル1[[#This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+テーブル1[[#This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+テーブル1[[#This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+テーブル1[[#This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+テーブル1[[#This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+テーブル1[[#This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+テーブル1[[#This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+テーブル1[[#This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+テーブル1[[#This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+テーブル1[[#This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+テーブル1[[#This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+テーブル1[[#This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+テーブル1[[#This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+テーブル1[[#This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+テーブル1[[#This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+テーブル1[[#This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+テーブル1[[#This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+テーブル1[[#This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+テーブル1[[#This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+テーブル1[[#This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+テーブル1[[#This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+テーブル1[[#This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+テーブル1[[#This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+テーブル1[[#This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+テーブル1[[#This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+テーブル1[[#This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+テーブル1[[#This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+テーブル1[[#This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+テーブル1[[#This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+テーブル1[[#This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+テーブル1[[#This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+テーブル1[[#This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+テーブル1[[#This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+テーブル1[[#This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+テーブル1[[#This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+テーブル1[[#This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+テーブル1[[#This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+テーブル1[[#This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+テーブル1[[#This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+テーブル1[[#This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+テーブル1[[#This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+テーブル1[[#This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+テーブル1[[#This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+テーブル1[[#This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+テーブル1[[#This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+テーブル1[[#This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+テーブル1[[#This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+テーブル1[[#This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+テーブル1[[#This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+テーブル1[[#This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+テーブル1[[#This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+テーブル1[[#This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+テーブル1[[#This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+テーブル1[[#This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+テーブル1[[#This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+テーブル1[[#This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+テーブル1[[#This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+テーブル1[[#This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+テーブル1[[#This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+テーブル1[[#This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+テーブル1[[#This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+テーブル1[[#This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+テーブル1[[#This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+テーブル1[[#This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+テーブル1[[#This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+テーブル1[[#This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+テーブル1[[#This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+テーブル1[[#This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+テーブル1[[#This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+テーブル1[[#This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+テーブル1[[#This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+テーブル1[[#This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+テーブル1[[#This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+テーブル1[[#This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+テーブル1[[#This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+テーブル1[[#This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+テーブル1[[#This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+テーブル1[[#This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+テーブル1[[#This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+テーブル1[[#This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+テーブル1[[#This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+テーブル1[[#This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+テーブル1[[#This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+テーブル1[[#This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+テーブル1[[#This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+テーブル1[[#This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+テーブル1[[#This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+テーブル1[[#This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+テーブル1[[#This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+テーブル1[[#This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+テーブル1[[#This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+テーブル1[[#This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+テーブル1[[#This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+テーブル1[[#This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+テーブル1[[#This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+テーブル1[[#This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+テーブル1[[#This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+テーブル1[[#This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+テーブル1[[#This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+テーブル1[[#This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+テーブル1[[#This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+テーブル1[[#This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+テーブル1[[#This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+テーブル1[[#This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+テーブル1[[#This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+テーブル1[[#This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+テーブル1[[#This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+テーブル1[[#This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+テーブル1[[#This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+テーブル1[[#This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+テーブル1[[#This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+テーブル1[[#This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+テーブル1[[#This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+テーブル1[[#This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+テーブル1[[#This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+テーブル1[[#This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+テーブル1[[#This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+テーブル1[[#This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+テーブル1[[#This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+テーブル1[[#This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+テーブル1[[#This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+テーブル1[[#This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+テーブル1[[#This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+テーブル1[[#This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+テーブル1[[#This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+テーブル1[[#This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+テーブル1[[#This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+テーブル1[[#This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+テーブル1[[#This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+テーブル1[[#This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+テーブル1[[#This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+テーブル1[[#This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+テーブル1[[#This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+テーブル1[[#This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+テーブル1[[#This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+テーブル1[[#This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+テーブル1[[#This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+テーブル1[[#This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+テーブル1[[#This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+テーブル1[[#This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+テーブル1[[#This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+テーブル1[[#This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+テーブル1[[#This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+テーブル1[[#This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+テーブル1[[#This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+テーブル1[[#This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+テーブル1[[#This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+テーブル1[[#This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+テーブル1[[#This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+テーブル1[[#This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+テーブル1[[#This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+テーブル1[[#This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+テーブル1[[#This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+テーブル1[[#This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+テーブル1[[#This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+テーブル1[[#This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+テーブル1[[#This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+テーブル1[[#This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+テーブル1[[#This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+テーブル1[[#This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+テーブル1[[#This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+テーブル1[[#This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+テーブル1[[#This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+テーブル1[[#This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+テーブル1[[#This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+テーブル1[[#This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+テーブル1[[#This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+テーブル1[[#This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+テーブル1[[#This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+テーブル1[[#This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+テーブル1[[#This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+テーブル1[[#This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+テーブル1[[#This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+テーブル1[[#This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+テーブル1[[#This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+テーブル1[[#This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+テーブル1[[#This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+テーブル1[[#This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+テーブル1[[#This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+テーブル1[[#This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+テーブル1[[#This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+テーブル1[[#This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+テーブル1[[#This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+テーブル1[[#This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+テーブル1[[#This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+テーブル1[[#This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+テーブル1[[#This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+テーブル1[[#This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+テーブル1[[#This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+テーブル1[[#This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+テーブル1[[#This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+テーブル1[[#This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+テーブル1[[#This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+テーブル1[[#This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+テーブル1[[#This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+テーブル1[[#This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+テーブル1[[#This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+テーブル1[[#This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+テーブル1[[#This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+テーブル1[[#This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+テーブル1[[#This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+テーブル1[[#This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+テーブル1[[#This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+テーブル1[[#This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+テーブル1[[#This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+テーブル1[[#This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+テーブル1[[#This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+テーブル1[[#This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+テーブル1[[#This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+テーブル1[[#This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+テーブル1[[#This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+テーブル1[[#This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+テーブル1[[#This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+テーブル1[[#This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+テーブル1[[#This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+テーブル1[[#This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+テーブル1[[#This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+テーブル1[[#This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+テーブル1[[#This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+テーブル1[[#This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+テーブル1[[#This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+テーブル1[[#This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+テーブル1[[#This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+テーブル1[[#This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+テーブル1[[#This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+テーブル1[[#This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+テーブル1[[#This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+テーブル1[[#This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+テーブル1[[#This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+テーブル1[[#This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+テーブル1[[#This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+テーブル1[[#This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+テーブル1[[#This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+テーブル1[[#This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+テーブル1[[#This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+テーブル1[[#This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+テーブル1[[#This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+テーブル1[[#This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+テーブル1[[#This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+テーブル1[[#This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+テーブル1[[#This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+テーブル1[[#This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+テーブル1[[#This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+テーブル1[[#This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+テーブル1[[#This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+テーブル1[[#This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+テーブル1[[#This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+テーブル1[[#This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+テーブル1[[#This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+テーブル1[[#This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+テーブル1[[#This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+テーブル1[[#This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+テーブル1[[#This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+テーブル1[[#This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+テーブル1[[#This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+テーブル1[[#This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+テーブル1[[#This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+テーブル1[[#This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+テーブル1[[#This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+テーブル1[[#This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+テーブル1[[#This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+テーブル1[[#This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+テーブル1[[#This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+テーブル1[[#This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+テーブル1[[#This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+テーブル1[[#This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+テーブル1[[#This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+テーブル1[[#This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+テーブル1[[#This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+テーブル1[[#This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+テーブル1[[#This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+テーブル1[[#This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+テーブル1[[#This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+テーブル1[[#This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+テーブル1[[#This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+テーブル1[[#This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+テーブル1[[#This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+テーブル1[[#This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+テーブル1[[#This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+テーブル1[[#This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+テーブル1[[#This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+テーブル1[[#This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+テーブル1[[#This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+テーブル1[[#This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+テーブル1[[#This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+テーブル1[[#This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+テーブル1[[#This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+テーブル1[[#This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+テーブル1[[#This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+テーブル1[[#This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+テーブル1[[#This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+テーブル1[[#This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+テーブル1[[#This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+テーブル1[[#This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+テーブル1[[#This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+テーブル1[[#This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+テーブル1[[#This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+テーブル1[[#This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+テーブル1[[#This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+テーブル1[[#This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+テーブル1[[#This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+テーブル1[[#This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+テーブル1[[#This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+テーブル1[[#This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+テーブル1[[#This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+テーブル1[[#This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+テーブル1[[#This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+テーブル1[[#This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+テーブル1[[#This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+テーブル1[[#This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+テーブル1[[#This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+テーブル1[[#This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+テーブル1[[#This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+テーブル1[[#This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+テーブル1[[#This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+テーブル1[[#This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+テーブル1[[#This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+テーブル1[[#This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+テーブル1[[#This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+テーブル1[[#This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+テーブル1[[#This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+テーブル1[[#This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+テーブル1[[#This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+テーブル1[[#This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+テーブル1[[#This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+テーブル1[[#This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+テーブル1[[#This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+テーブル1[[#This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+テーブル1[[#This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+テーブル1[[#This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+テーブル1[[#This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+テーブル1[[#This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+テーブル1[[#This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+テーブル1[[#This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+テーブル1[[#This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+テーブル1[[#This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+テーブル1[[#This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+テーブル1[[#This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+テーブル1[[#This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+テーブル1[[#This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+テーブル1[[#This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+テーブル1[[#This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+テーブル1[[#This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+テーブル1[[#This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+テーブル1[[#This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+テーブル1[[#This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+テーブル1[[#This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+テーブル1[[#This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+テーブル1[[#This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+テーブル1[[#This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+テーブル1[[#This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+テーブル1[[#This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+テーブル1[[#This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+テーブル1[[#This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+テーブル1[[#This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+テーブル1[[#This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+テーブル1[[#This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+テーブル1[[#This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+テーブル1[[#This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+テーブル1[[#This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+テーブル1[[#This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+テーブル1[[#This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+テーブル1[[#This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+テーブル1[[#This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+テーブル1[[#This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+テーブル1[[#This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+テーブル1[[#This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+テーブル1[[#This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+テーブル1[[#This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+テーブル1[[#This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+テーブル1[[#This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+テーブル1[[#This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+テーブル1[[#This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+テーブル1[[#This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+テーブル1[[#This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+テーブル1[[#This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+テーブル1[[#This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+テーブル1[[#This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+テーブル1[[#This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+テーブル1[[#This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+テーブル1[[#This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+テーブル1[[#This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+テーブル1[[#This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+テーブル1[[#This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+テーブル1[[#This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+テーブル1[[#This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+テーブル1[[#This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+テーブル1[[#This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+テーブル1[[#This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+テーブル1[[#This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+テーブル1[[#This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+テーブル1[[#This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+テーブル1[[#This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+テーブル1[[#This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+テーブル1[[#This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+テーブル1[[#This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+テーブル1[[#This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+テーブル1[[#This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+テーブル1[[#This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+テーブル1[[#This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+テーブル1[[#This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+テーブル1[[#This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+テーブル1[[#This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+テーブル1[[#This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+テーブル1[[#This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+テーブル1[[#This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+テーブル1[[#This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+テーブル1[[#This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+テーブル1[[#This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+テーブル1[[#This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+テーブル1[[#This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+テーブル1[[#This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+テーブル1[[#This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+テーブル1[[#This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+テーブル1[[#This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+テーブル1[[#This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+テーブル1[[#This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+テーブル1[[#This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+テーブル1[[#This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+テーブル1[[#This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+テーブル1[[#This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+テーブル1[[#This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+テーブル1[[#This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+テーブル1[[#This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+テーブル1[[#This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+テーブル1[[#This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+テーブル1[[#This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+テーブル1[[#This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+テーブル1[[#This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+テーブル1[[#This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+テーブル1[[#This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+テーブル1[[#This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+テーブル1[[#This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+テーブル1[[#This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+テーブル1[[#This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+テーブル1[[#This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+テーブル1[[#This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+テーブル1[[#This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+テーブル1[[#This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+テーブル1[[#This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+テーブル1[[#This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+テーブル1[[#This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+テーブル1[[#This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+テーブル1[[#This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+テーブル1[[#This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+テーブル1[[#This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+テーブル1[[#This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+テーブル1[[#This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+テーブル1[[#This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+テーブル1[[#This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+テーブル1[[#This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+テーブル1[[#This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+テーブル1[[#This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+テーブル1[[#This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+テーブル1[[#This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+テーブル1[[#This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+テーブル1[[#This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+テーブル1[[#This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+テーブル1[[#This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+テーブル1[[#This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+テーブル1[[#This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+テーブル1[[#This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+テーブル1[[#This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+テーブル1[[#This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+テーブル1[[#This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+テーブル1[[#This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+テーブル1[[#This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+テーブル1[[#This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+テーブル1[[#This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+テーブル1[[#This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+テーブル1[[#This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+テーブル1[[#This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+テーブル1[[#This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+テーブル1[[#This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+テーブル1[[#This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+テーブル1[[#This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+テーブル1[[#This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+テーブル1[[#This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+テーブル1[[#This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+テーブル1[[#This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+テーブル1[[#This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+テーブル1[[#This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+テーブル1[[#This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+テーブル1[[#This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+テーブル1[[#This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+テーブル1[[#This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+テーブル1[[#This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+テーブル1[[#This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+テーブル1[[#This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+テーブル1[[#This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+テーブル1[[#This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+テーブル1[[#This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+テーブル1[[#This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+テーブル1[[#This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+テーブル1[[#This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+テーブル1[[#This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+テーブル1[[#This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+テーブル1[[#This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+テーブル1[[#This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+テーブル1[[#This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+テーブル1[[#This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+テーブル1[[#This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+テーブル1[[#This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+テーブル1[[#This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+テーブル1[[#This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+テーブル1[[#This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+テーブル1[[#This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+テーブル1[[#This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+テーブル1[[#This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+テーブル1[[#This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+テーブル1[[#This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+テーブル1[[#This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+テーブル1[[#This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+テーブル1[[#This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+テーブル1[[#This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+テーブル1[[#This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+テーブル1[[#This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+テーブル1[[#This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+テーブル1[[#This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+テーブル1[[#This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+テーブル1[[#This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+テーブル1[[#This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+テーブル1[[#This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+テーブル1[[#This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+テーブル1[[#This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+テーブル1[[#This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+テーブル1[[#This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+テーブル1[[#This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+テーブル1[[#This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+テーブル1[[#This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+テーブル1[[#This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+テーブル1[[#This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+テーブル1[[#This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+テーブル1[[#This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+テーブル1[[#This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+テーブル1[[#This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+テーブル1[[#This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+テーブル1[[#This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+テーブル1[[#This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+テーブル1[[#This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+テーブル1[[#This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+テーブル1[[#This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+テーブル1[[#This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+テーブル1[[#This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+テーブル1[[#This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+テーブル1[[#This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+テーブル1[[#This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+テーブル1[[#This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+テーブル1[[#This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+テーブル1[[#This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+テーブル1[[#This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+テーブル1[[#This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+テーブル1[[#This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+テーブル1[[#This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+テーブル1[[#This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+テーブル1[[#This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+テーブル1[[#This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+テーブル1[[#This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+テーブル1[[#This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+テーブル1[[#This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+テーブル1[[#This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+テーブル1[[#This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+テーブル1[[#This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+テーブル1[[#This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+テーブル1[[#This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+テーブル1[[#This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+テーブル1[[#This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+テーブル1[[#This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+テーブル1[[#This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+テーブル1[[#This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+テーブル1[[#This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+テーブル1[[#This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+テーブル1[[#This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+テーブル1[[#This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+テーブル1[[#This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+テーブル1[[#This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+テーブル1[[#This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+テーブル1[[#This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+テーブル1[[#This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+テーブル1[[#This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+テーブル1[[#This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+テーブル1[[#This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+テーブル1[[#This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+テーブル1[[#This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+テーブル1[[#This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+テーブル1[[#This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+テーブル1[[#This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+テーブル1[[#This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+テーブル1[[#This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+テーブル1[[#This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+テーブル1[[#This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+テーブル1[[#This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+テーブル1[[#This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+テーブル1[[#This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+テーブル1[[#This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+テーブル1[[#This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+テーブル1[[#This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+テーブル1[[#This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+テーブル1[[#This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+テーブル1[[#This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+テーブル1[[#This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+テーブル1[[#This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+テーブル1[[#This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+テーブル1[[#This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+テーブル1[[#This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+テーブル1[[#This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+テーブル1[[#This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+テーブル1[[#This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+テーブル1[[#This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+テーブル1[[#This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+テーブル1[[#This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+テーブル1[[#This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+テーブル1[[#This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+テーブル1[[#This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+テーブル1[[#This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+テーブル1[[#This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+テーブル1[[#This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+テーブル1[[#This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+テーブル1[[#This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+テーブル1[[#This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+テーブル1[[#This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+テーブル1[[#This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+テーブル1[[#This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+テーブル1[[#This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+テーブル1[[#This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+テーブル1[[#This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+テーブル1[[#This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+テーブル1[[#This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+テーブル1[[#This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+テーブル1[[#This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+テーブル1[[#This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+テーブル1[[#This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+テーブル1[[#This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+テーブル1[[#This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+テーブル1[[#This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+テーブル1[[#This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+テーブル1[[#This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+テーブル1[[#This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+テーブル1[[#This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+テーブル1[[#This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+テーブル1[[#This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+テーブル1[[#This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+テーブル1[[#This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+テーブル1[[#This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+テーブル1[[#This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+テーブル1[[#This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+テーブル1[[#This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+テーブル1[[#This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+テーブル1[[#This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+テーブル1[[#This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+テーブル1[[#This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+テーブル1[[#This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+テーブル1[[#This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+テーブル1[[#This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+テーブル1[[#This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+テーブル1[[#This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+テーブル1[[#This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+テーブル1[[#This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+テーブル1[[#This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+テーブル1[[#This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+テーブル1[[#This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+テーブル1[[#This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+テーブル1[[#This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+テーブル1[[#This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+テーブル1[[#This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+テーブル1[[#This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+テーブル1[[#This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+テーブル1[[#This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+テーブル1[[#This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+テーブル1[[#This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+テーブル1[[#This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+テーブル1[[#This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+テーブル1[[#This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+テーブル1[[#This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+テーブル1[[#This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+テーブル1[[#This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+テーブル1[[#This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+テーブル1[[#This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+テーブル1[[#This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+テーブル1[[#This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+テーブル1[[#This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+テーブル1[[#This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+テーブル1[[#This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+テーブル1[[#This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+テーブル1[[#This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+テーブル1[[#This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+テーブル1[[#This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+テーブル1[[#This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+テーブル1[[#This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+テーブル1[[#This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+テーブル1[[#This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+テーブル1[[#This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+テーブル1[[#This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+テーブル1[[#This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+テーブル1[[#This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+テーブル1[[#This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+テーブル1[[#This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+テーブル1[[#This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+テーブル1[[#This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+テーブル1[[#This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+テーブル1[[#This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+テーブル1[[#This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+テーブル1[[#This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+テーブル1[[#This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+テーブル1[[#This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+テーブル1[[#This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+テーブル1[[#This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+テーブル1[[#This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+テーブル1[[#This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+テーブル1[[#This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+テーブル1[[#This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+テーブル1[[#This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+テーブル1[[#This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+テーブル1[[#This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+テーブル1[[#This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+テーブル1[[#This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+テーブル1[[#This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+テーブル1[[#This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+テーブル1[[#This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+テーブル1[[#This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+テーブル1[[#This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+テーブル1[[#This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+テーブル1[[#This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+テーブル1[[#This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+テーブル1[[#This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+テーブル1[[#This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+テーブル1[[#This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+テーブル1[[#This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+テーブル1[[#This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+テーブル1[[#This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+テーブル1[[#This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+テーブル1[[#This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+テーブル1[[#This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+テーブル1[[#This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+テーブル1[[#This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+テーブル1[[#This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+テーブル1[[#This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+テーブル1[[#This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+テーブル1[[#This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+テーブル1[[#This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+テーブル1[[#This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+テーブル1[[#This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+テーブル1[[#This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+テーブル1[[#This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+テーブル1[[#This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+テーブル1[[#This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+テーブル1[[#This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+テーブル1[[#This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+テーブル1[[#This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+テーブル1[[#This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+テーブル1[[#This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+テーブル1[[#This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+テーブル1[[#This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+テーブル1[[#This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+テーブル1[[#This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+テーブル1[[#This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+テーブル1[[#This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+テーブル1[[#This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+テーブル1[[#This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+テーブル1[[#This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+テーブル1[[#This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+テーブル1[[#This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+テーブル1[[#This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+テーブル1[[#This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+テーブル1[[#This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+テーブル1[[#This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+テーブル1[[#This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+テーブル1[[#This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+テーブル1[[#This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+テーブル1[[#This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+テーブル1[[#This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+テーブル1[[#This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+テーブル1[[#This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+テーブル1[[#This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+テーブル1[[#This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+テーブル1[[#This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+テーブル1[[#This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+テーブル1[[#This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+テーブル1[[#This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+テーブル1[[#This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+テーブル1[[#This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+テーブル1[[#This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+テーブル1[[#This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+テーブル1[[#This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+テーブル1[[#This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+テーブル1[[#This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+テーブル1[[#This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+テーブル1[[#This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+テーブル1[[#This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+テーブル1[[#This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+テーブル1[[#This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+テーブル1[[#This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+テーブル1[[#This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+テーブル1[[#This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+テーブル1[[#This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+テーブル1[[#This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+テーブル1[[#This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+テーブル1[[#This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+テーブル1[[#This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+テーブル1[[#This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+テーブル1[[#This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+テーブル1[[#This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+テーブル1[[#This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+テーブル1[[#This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+テーブル1[[#This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+テーブル1[[#This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+テーブル1[[#This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+テーブル1[[#This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+テーブル1[[#This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+テーブル1[[#This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+テーブル1[[#This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+テーブル1[[#This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+テーブル1[[#This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+テーブル1[[#This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+テーブル1[[#This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+テーブル1[[#This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+テーブル1[[#This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+テーブル1[[#This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+テーブル1[[#This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+テーブル1[[#This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+テーブル1[[#This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+テーブル1[[#This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+テーブル1[[#This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+テーブル1[[#This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+テーブル1[[#This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+テーブル1[[#This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+テーブル1[[#This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+テーブル1[[#This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+テーブル1[[#This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+テーブル1[[#This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+テーブル1[[#This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+テーブル1[[#This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+テーブル1[[#This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+テーブル1[[#This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+テーブル1[[#This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+テーブル1[[#This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+テーブル1[[#This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+テーブル1[[#This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+テーブル1[[#This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+テーブル1[[#This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+テーブル1[[#This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+テーブル1[[#This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+テーブル1[[#This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+テーブル1[[#This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+テーブル1[[#This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+テーブル1[[#This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+テーブル1[[#This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+テーブル1[[#This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+テーブル1[[#This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+テーブル1[[#This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+テーブル1[[#This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+テーブル1[[#This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+テーブル1[[#This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+テーブル1[[#This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+テーブル1[[#This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+テーブル1[[#This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+テーブル1[[#This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+テーブル1[[#This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+テーブル1[[#This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+テーブル1[[#This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+テーブル1[[#This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+テーブル1[[#This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+テーブル1[[#This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+テーブル1[[#This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+テーブル1[[#This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+テーブル1[[#This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+テーブル1[[#This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+テーブル1[[#This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+テーブル1[[#This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+テーブル1[[#This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+テーブル1[[#This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+テーブル1[[#This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+テーブル1[[#This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+テーブル1[[#This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+テーブル1[[#This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+テーブル1[[#This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+テーブル1[[#This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+テーブル1[[#This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+テーブル1[[#This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+テーブル1[[#This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+テーブル1[[#This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+テーブル1[[#This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+テーブル1[[#This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+テーブル1[[#This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+テーブル1[[#This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+テーブル1[[#This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+テーブル1[[#This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+テーブル1[[#This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+テーブル1[[#This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+テーブル1[[#This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+テーブル1[[#This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+テーブル1[[#This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+テーブル1[[#This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+テーブル1[[#This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+テーブル1[[#This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+テーブル1[[#This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+テーブル1[[#This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+テーブル1[[#This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+テーブル1[[#This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+テーブル1[[#This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+テーブル1[[#This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+テーブル1[[#This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+テーブル1[[#This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+テーブル1[[#This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+テーブル1[[#This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+テーブル1[[#This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+テーブル1[[#This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+テーブル1[[#This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+テーブル1[[#This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+テーブル1[[#This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+テーブル1[[#This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+テーブル1[[#This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+テーブル1[[#This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+テーブル1[[#This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+テーブル1[[#This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+テーブル1[[#This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+テーブル1[[#This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+テーブル1[[#This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+テーブル1[[#This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+テーブル1[[#This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+テーブル1[[#This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+テーブル1[[#This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+テーブル1[[#This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+テーブル1[[#This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+テーブル1[[#This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+テーブル1[[#This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+テーブル1[[#This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+テーブル1[[#This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+テーブル1[[#This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+テーブル1[[#This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+テーブル1[[#This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+テーブル1[[#This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+テーブル1[[#This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+テーブル1[[#This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+テーブル1[[#This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+テーブル1[[#This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+テーブル1[[#This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+テーブル1[[#This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+テーブル1[[#This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+テーブル1[[#This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+テーブル1[[#This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+テーブル1[[#This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+テーブル1[[#This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+テーブル1[[#This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+テーブル1[[#This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+テーブル1[[#This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+テーブル1[[#This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+テーブル1[[#This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+テーブル1[[#This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+テーブル1[[#This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+テーブル1[[#This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+テーブル1[[#This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+テーブル1[[#This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+テーブル1[[#This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+テーブル1[[#This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+テーブル1[[#This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+テーブル1[[#This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+テーブル1[[#This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+テーブル1[[#This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+テーブル1[[#This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+テーブル1[[#This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+テーブル1[[#This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+テーブル1[[#This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+テーブル1[[#This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+テーブル1[[#This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+テーブル1[[#This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+テーブル1[[#This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+テーブル1[[#This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+テーブル1[[#This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+テーブル1[[#This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+テーブル1[[#This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+テーブル1[[#This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+テーブル1[[#This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+テーブル1[[#This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+テーブル1[[#This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+テーブル1[[#This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+テーブル1[[#This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+テーブル1[[#This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+テーブル1[[#This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+テーブル1[[#This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+テーブル1[[#This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+テーブル1[[#This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+テーブル1[[#This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+テーブル1[[#This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+テーブル1[[#This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+テーブル1[[#This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+テーブル1[[#This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+テーブル1[[#This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+テーブル1[[#This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+テーブル1[[#This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+テーブル1[[#This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+テーブル1[[#This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+テーブル1[[#This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+テーブル1[[#This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+テーブル1[[#This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+テーブル1[[#This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+テーブル1[[#This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+テーブル1[[#This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+テーブル1[[#This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+テーブル1[[#This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+テーブル1[[#This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+テーブル1[[#This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+テーブル1[[#This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+テーブル1[[#This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+テーブル1[[#This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+テーブル1[[#This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+テーブル1[[#This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+テーブル1[[#This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+テーブル1[[#This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+テーブル1[[#This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+テーブル1[[#This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+テーブル1[[#This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+テーブル1[[#This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+テーブル1[[#This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+テーブル1[[#This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+テーブル1[[#This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+テーブル1[[#This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+テーブル1[[#This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+テーブル1[[#This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+テーブル1[[#This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+テーブル1[[#This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+テーブル1[[#This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+テーブル1[[#This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+テーブル1[[#This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+テーブル1[[#This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+テーブル1[[#This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+テーブル1[[#This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+テーブル1[[#This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+テーブル1[[#This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+テーブル1[[#This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+テーブル1[[#This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+テーブル1[[#This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+テーブル1[[#This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+テーブル1[[#This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+テーブル1[[#This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+テーブル1[[#This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+テーブル1[[#This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+テーブル1[[#This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+テーブル1[[#This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+テーブル1[[#This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+テーブル1[[#This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+テーブル1[[#This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+テーブル1[[#This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+テーブル1[[#This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+テーブル1[[#This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+テーブル1[[#This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+テーブル1[[#This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+テーブル1[[#This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+テーブル1[[#This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+テーブル1[[#This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+テーブル1[[#This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+テーブル1[[#This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+テーブル1[[#This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+テーブル1[[#This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+テーブル1[[#This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+テーブル1[[#This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+テーブル1[[#This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+テーブル1[[#This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+テーブル1[[#This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+テーブル1[[#This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+テーブル1[[#This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+テーブル1[[#This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+テーブル1[[#This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+テーブル1[[#This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+テーブル1[[#This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+テーブル1[[#This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+テーブル1[[#This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+テーブル1[[#This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+テーブル1[[#This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+テーブル1[[#This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+テーブル1[[#This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+テーブル1[[#This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+テーブル1[[#This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+テーブル1[[#This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+テーブル1[[#This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+テーブル1[[#This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+テーブル1[[#This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+テーブル1[[#This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+テーブル1[[#This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+テーブル1[[#This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+テーブル1[[#This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+テーブル1[[#This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+テーブル1[[#This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+テーブル1[[#This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+テーブル1[[#This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+テーブル1[[#This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+テーブル1[[#This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+テーブル1[[#This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+テーブル1[[#This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+テーブル1[[#This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+テーブル1[[#This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+テーブル1[[#This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+テーブル1[[#This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+テーブル1[[#This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+テーブル1[[#This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+テーブル1[[#This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+テーブル1[[#This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+テーブル1[[#This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+テーブル1[[#This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+テーブル1[[#This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+テーブル1[[#This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+テーブル1[[#This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+テーブル1[[#This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+テーブル1[[#This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+テーブル1[[#This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+テーブル1[[#This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+テーブル1[[#This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+テーブル1[[#This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+テーブル1[[#This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+テーブル1[[#This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+テーブル1[[#This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+テーブル1[[#This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+テーブル1[[#This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+テーブル1[[#This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+テーブル1[[#This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+テーブル1[[#This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+テーブル1[[#This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+テーブル1[[#This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+テーブル1[[#This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+テーブル1[[#This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+テーブル1[[#This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+テーブル1[[#This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+テーブル1[[#This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+テーブル1[[#This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+テーブル1[[#This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+テーブル1[[#This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+テーブル1[[#This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+テーブル1[[#This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+テーブル1[[#This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+テーブル1[[#This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+テーブル1[[#This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+テーブル1[[#This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+テーブル1[[#This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+テーブル1[[#This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+テーブル1[[#This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+テーブル1[[#This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+テーブル1[[#This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+テーブル1[[#This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+テーブル1[[#This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+テーブル1[[#This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+テーブル1[[#This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+テーブル1[[#This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+テーブル1[[#This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+テーブル1[[#This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+テーブル1[[#This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+テーブル1[[#This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+テーブル1[[#This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+テーブル1[[#This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+テーブル1[[#This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+テーブル1[[#This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+テーブル1[[#This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+テーブル1[[#This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+テーブル1[[#This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+テーブル1[[#This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+テーブル1[[#This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+テーブル1[[#This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+テーブル1[[#This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+テーブル1[[#This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+テーブル1[[#This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+テーブル1[[#This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+テーブル1[[#This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+テーブル1[[#This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+テーブル1[[#This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+テーブル1[[#This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+テーブル1[[#This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+テーブル1[[#This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+テーブル1[[#This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+テーブル1[[#This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+テーブル1[[#This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+テーブル1[[#This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+テーブル1[[#This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+テーブル1[[#This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+テーブル1[[#This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+テーブル1[[#This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+テーブル1[[#This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+テーブル1[[#This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+テーブル1[[#This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+テーブル1[[#This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+テーブル1[[#This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+テーブル1[[#This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+テーブル1[[#This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+テーブル1[[#This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+テーブル1[[#This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+テーブル1[[#This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+テーブル1[[#This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+テーブル1[[#This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+テーブル1[[#This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+テーブル1[[#This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+テーブル1[[#This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+テーブル1[[#This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+テーブル1[[#This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+テーブル1[[#This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+テーブル1[[#This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+テーブル1[[#This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+テーブル1[[#This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+テーブル1[[#This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+テーブル1[[#This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+テーブル1[[#This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+テーブル1[[#This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+テーブル1[[#This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+テーブル1[[#This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+テーブル1[[#This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+テーブル1[[#This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+テーブル1[[#This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+テーブル1[[#This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+テーブル1[[#This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+テーブル1[[#This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+テーブル1[[#This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+テーブル1[[#This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+テーブル1[[#This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+テーブル1[[#This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+テーブル1[[#This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+テーブル1[[#This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+テーブル1[[#This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+テーブル1[[#This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+テーブル1[[#This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+テーブル1[[#This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+テーブル1[[#This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+テーブル1[[#This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+テーブル1[[#This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+テーブル1[[#This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+テーブル1[[#This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+テーブル1[[#This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+テーブル1[[#This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+テーブル1[[#This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+テーブル1[[#This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+テーブル1[[#This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+テーブル1[[#This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+テーブル1[[#This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+テーブル1[[#This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+テーブル1[[#This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+テーブル1[[#This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+テーブル1[[#This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+テーブル1[[#This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+テーブル1[[#This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+テーブル1[[#This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+テーブル1[[#This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+テーブル1[[#This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+テーブル1[[#This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+テーブル1[[#This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+テーブル1[[#This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+テーブル1[[#This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+テーブル1[[#This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+テーブル1[[#This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+テーブル1[[#This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+テーブル1[[#This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+テーブル1[[#This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+テーブル1[[#This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+テーブル1[[#This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+テーブル1[[#This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+テーブル1[[#This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+テーブル1[[#This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+テーブル1[[#This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+テーブル1[[#This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+テーブル1[[#This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+テーブル1[[#This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+テーブル1[[#This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+テーブル1[[#This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+テーブル1[[#This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+テーブル1[[#This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+テーブル1[[#This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+テーブル1[[#This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+テーブル1[[#This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+テーブル1[[#This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+テーブル1[[#This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+テーブル1[[#This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+テーブル1[[#This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+テーブル1[[#This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+テーブル1[[#This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+テーブル1[[#This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+テーブル1[[#This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+テーブル1[[#This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+テーブル1[[#This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+テーブル1[[#This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+テーブル1[[#This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+テーブル1[[#This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+テーブル1[[#This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+テーブル1[[#This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+テーブル1[[#This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+テーブル1[[#This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+テーブル1[[#This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+テーブル1[[#This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+テーブル1[[#This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+テーブル1[[#This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+テーブル1[[#This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+テーブル1[[#This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+テーブル1[[#This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+テーブル1[[#This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+テーブル1[[#This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+テーブル1[[#This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+テーブル1[[#This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+テーブル1[[#This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+テーブル1[[#This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+テーブル1[[#This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+テーブル1[[#This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+テーブル1[[#This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+テーブル1[[#This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+テーブル1[[#This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+テーブル1[[#This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+テーブル1[[#This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+テーブル1[[#This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+テーブル1[[#This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+テーブル1[[#This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+テーブル1[[#This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+テーブル1[[#This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+テーブル1[[#This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+テーブル1[[#This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+テーブル1[[#This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+テーブル1[[#This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+テーブル1[[#This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+テーブル1[[#This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+テーブル1[[#This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+テーブル1[[#This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+テーブル1[[#This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+テーブル1[[#This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+テーブル1[[#This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+テーブル1[[#This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+テーブル1[[#This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+テーブル1[[#This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+テーブル1[[#This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+テーブル1[[#This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+テーブル1[[#This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+テーブル1[[#This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+テーブル1[[#This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+テーブル1[[#This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+テーブル1[[#This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+テーブル1[[#This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+テーブル1[[#This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+テーブル1[[#This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+テーブル1[[#This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+テーブル1[[#This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+テーブル1[[#This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+テーブル1[[#This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+テーブル1[[#This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+テーブル1[[#This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+テーブル1[[#This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+テーブル1[[#This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+テーブル1[[#This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+テーブル1[[#This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+テーブル1[[#This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+テーブル1[[#This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+テーブル1[[#This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+テーブル1[[#This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+テーブル1[[#This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+テーブル1[[#This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+テーブル1[[#This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+テーブル1[[#This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+テーブル1[[#This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+テーブル1[[#This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+テーブル1[[#This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+テーブル1[[#This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+テーブル1[[#This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+テーブル1[[#This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+テーブル1[[#This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+テーブル1[[#This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+テーブル1[[#This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+テーブル1[[#This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+テーブル1[[#This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+テーブル1[[#This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+テーブル1[[#This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+テーブル1[[#This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+テーブル1[[#This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+テーブル1[[#This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+テーブル1[[#This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+テーブル1[[#This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+テーブル1[[#This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+テーブル1[[#This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+テーブル1[[#This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+テーブル1[[#This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+テーブル1[[#This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+テーブル1[[#This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+テーブル1[[#This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+テーブル1[[#This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+テーブル1[[#This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+テーブル1[[#This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+テーブル1[[#This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+テーブル1[[#This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+テーブル1[[#This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+テーブル1[[#This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+テーブル1[[#This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+テーブル1[[#This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+テーブル1[[#This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+テーブル1[[#This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+テーブル1[[#This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+テーブル1[[#This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+テーブル1[[#This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+テーブル1[[#This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+テーブル1[[#This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+テーブル1[[#This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+テーブル1[[#This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+テーブル1[[#This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+テーブル1[[#This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+テーブル1[[#This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+テーブル1[[#This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+テーブル1[[#This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+テーブル1[[#This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+テーブル1[[#This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+テーブル1[[#This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+テーブル1[[#This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+テーブル1[[#This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+テーブル1[[#This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+テーブル1[[#This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+テーブル1[[#This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+テーブル1[[#This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+テーブル1[[#This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+テーブル1[[#This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+テーブル1[[#This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+テーブル1[[#This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+テーブル1[[#This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+テーブル1[[#This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+テーブル1[[#This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+テーブル1[[#This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+テーブル1[[#This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+テーブル1[[#This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+テーブル1[[#This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+テーブル1[[#This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+テーブル1[[#This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+テーブル1[[#This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+テーブル1[[#This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+テーブル1[[#This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+テーブル1[[#This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+テーブル1[[#This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+テーブル1[[#This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+テーブル1[[#This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+テーブル1[[#This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+テーブル1[[#This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+テーブル1[[#This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+テーブル1[[#This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+テーブル1[[#This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+テーブル1[[#This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+テーブル1[[#This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+テーブル1[[#This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+テーブル1[[#This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+テーブル1[[#This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+テーブル1[[#This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+テーブル1[[#This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+テーブル1[[#This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+テーブル1[[#This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+テーブル1[[#This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+テーブル1[[#This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+テーブル1[[#This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+テーブル1[[#This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+テーブル1[[#This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+テーブル1[[#This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+テーブル1[[#This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+テーブル1[[#This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+テーブル1[[#This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+テーブル1[[#This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+テーブル1[[#This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+テーブル1[[#This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+テーブル1[[#This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+テーブル1[[#This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+テーブル1[[#This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+テーブル1[[#This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+テーブル1[[#This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+テーブル1[[#This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+テーブル1[[#This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+テーブル1[[#This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+テーブル1[[#This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+テーブル1[[#This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+テーブル1[[#This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+テーブル1[[#This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+テーブル1[[#This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+テーブル1[[#This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+テーブル1[[#This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+テーブル1[[#This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+テーブル1[[#This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+テーブル1[[#This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+テーブル1[[#This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+テーブル1[[#This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+テーブル1[[#This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+テーブル1[[#This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+テーブル1[[#This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+テーブル1[[#This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+テーブル1[[#This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+テーブル1[[#This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+テーブル1[[#This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+テーブル1[[#This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+テーブル1[[#This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+テーブル1[[#This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+テーブル1[[#This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+テーブル1[[#This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+テーブル1[[#This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+テーブル1[[#This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+テーブル1[[#This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+テーブル1[[#This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+テーブル1[[#This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+テーブル1[[#This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+テーブル1[[#This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+テーブル1[[#This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+テーブル1[[#This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+テーブル1[[#This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+テーブル1[[#This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+テーブル1[[#This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+テーブル1[[#This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+テーブル1[[#This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+テーブル1[[#This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+テーブル1[[#This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+テーブル1[[#This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+テーブル1[[#This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+テーブル1[[#This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+テーブル1[[#This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+テーブル1[[#This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+テーブル1[[#This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+テーブル1[[#This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+テーブル1[[#This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+テーブル1[[#This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+テーブル1[[#This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+テーブル1[[#This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+テーブル1[[#This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+テーブル1[[#This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+テーブル1[[#This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+テーブル1[[#This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+テーブル1[[#This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+テーブル1[[#This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+テーブル1[[#This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+テーブル1[[#This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+テーブル1[[#This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+テーブル1[[#This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+テーブル1[[#This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+テーブル1[[#This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+テーブル1[[#This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+テーブル1[[#This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+テーブル1[[#This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+テーブル1[[#This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+テーブル1[[#This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+テーブル1[[#This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+テーブル1[[#This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+テーブル1[[#This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+テーブル1[[#This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+テーブル1[[#This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+テーブル1[[#This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+テーブル1[[#This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+テーブル1[[#This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+テーブル1[[#This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+テーブル1[[#This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+テーブル1[[#This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+テーブル1[[#This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+テーブル1[[#This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+テーブル1[[#This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+テーブル1[[#This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+テーブル1[[#This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+テーブル1[[#This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+テーブル1[[#This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+テーブル1[[#This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+テーブル1[[#This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+テーブル1[[#This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+テーブル1[[#This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+テーブル1[[#This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+テーブル1[[#This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+テーブル1[[#This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+テーブル1[[#This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+テーブル1[[#This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+テーブル1[[#This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+テーブル1[[#This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+テーブル1[[#This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+テーブル1[[#This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+テーブル1[[#This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+テーブル1[[#This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+テーブル1[[#This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+テーブル1[[#This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+テーブル1[[#This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+テーブル1[[#This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+テーブル1[[#This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+テーブル1[[#This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+テーブル1[[#This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+テーブル1[[#This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+テーブル1[[#This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+テーブル1[[#This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+テーブル1[[#This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+テーブル1[[#This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+テーブル1[[#This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+テーブル1[[#This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+テーブル1[[#This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+テーブル1[[#This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+テーブル1[[#This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+テーブル1[[#This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+テーブル1[[#This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+テーブル1[[#This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+テーブル1[[#This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+テーブル1[[#This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+テーブル1[[#This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+テーブル1[[#This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+テーブル1[[#This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+テーブル1[[#This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+テーブル1[[#This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+テーブル1[[#This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+テーブル1[[#This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+テーブル1[[#This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+テーブル1[[#This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+テーブル1[[#This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+テーブル1[[#This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+テーブル1[[#This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+テーブル1[[#This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+テーブル1[[#This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+テーブル1[[#This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+テーブル1[[#This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+テーブル1[[#This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+テーブル1[[#This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+テーブル1[[#This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+テーブル1[[#This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+テーブル1[[#This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+テーブル1[[#This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+テーブル1[[#This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+テーブル1[[#This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+テーブル1[[#This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+テーブル1[[#This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+テーブル1[[#This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+テーブル1[[#This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+テーブル1[[#This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+テーブル1[[#This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+テーブル1[[#This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+テーブル1[[#This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+テーブル1[[#This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+テーブル1[[#This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+テーブル1[[#This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+テーブル1[[#This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+テーブル1[[#This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+テーブル1[[#This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+テーブル1[[#This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+テーブル1[[#This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+テーブル1[[#This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+テーブル1[[#This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+テーブル1[[#This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+テーブル1[[#This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+テーブル1[[#This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+テーブル1[[#This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+テーブル1[[#This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+テーブル1[[#This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+テーブル1[[#This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+テーブル1[[#This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+テーブル1[[#This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+テーブル1[[#This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+テーブル1[[#This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+テーブル1[[#This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+テーブル1[[#This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+テーブル1[[#This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+テーブル1[[#This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+テーブル1[[#This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+テーブル1[[#This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+テーブル1[[#This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+テーブル1[[#This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+テーブル1[[#This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+テーブル1[[#This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+テーブル1[[#This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+テーブル1[[#This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+テーブル1[[#This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+テーブル1[[#This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+テーブル1[[#This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+テーブル1[[#This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+テーブル1[[#This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+テーブル1[[#This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+テーブル1[[#This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+テーブル1[[#This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+テーブル1[[#This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+テーブル1[[#This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+テーブル1[[#This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+テーブル1[[#This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+テーブル1[[#This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+テーブル1[[#This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+テーブル1[[#This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+テーブル1[[#This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+テーブル1[[#This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+テーブル1[[#This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+テーブル1[[#This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+テーブル1[[#This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+テーブル1[[#This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+テーブル1[[#This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+テーブル1[[#This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+テーブル1[[#This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+テーブル1[[#This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+テーブル1[[#This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+テーブル1[[#This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+テーブル1[[#This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+テーブル1[[#This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+テーブル1[[#This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+テーブル1[[#This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+テーブル1[[#This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+テーブル1[[#This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+テーブル1[[#This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+テーブル1[[#This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+テーブル1[[#This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+テーブル1[[#This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+テーブル1[[#This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+テーブル1[[#This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+テーブル1[[#This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+テーブル1[[#This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+テーブル1[[#This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+テーブル1[[#This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+テーブル1[[#This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+テーブル1[[#This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+テーブル1[[#This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+テーブル1[[#This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+テーブル1[[#This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+テーブル1[[#This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+テーブル1[[#This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+テーブル1[[#This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+テーブル1[[#This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+テーブル1[[#This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+テーブル1[[#This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+テーブル1[[#This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+テーブル1[[#This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+テーブル1[[#This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+テーブル1[[#This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+テーブル1[[#This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+テーブル1[[#This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+テーブル1[[#This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+テーブル1[[#This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+テーブル1[[#This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+テーブル1[[#This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+テーブル1[[#This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+テーブル1[[#This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+テーブル1[[#This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+テーブル1[[#This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+テーブル1[[#This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+テーブル1[[#This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+テーブル1[[#This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+テーブル1[[#This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+テーブル1[[#This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+テーブル1[[#This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+テーブル1[[#This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+テーブル1[[#This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+テーブル1[[#This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+テーブル1[[#This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+テーブル1[[#This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+テーブル1[[#This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+テーブル1[[#This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+テーブル1[[#This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+テーブル1[[#This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+テーブル1[[#This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+テーブル1[[#This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+テーブル1[[#This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+テーブル1[[#This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+テーブル1[[#This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+テーブル1[[#This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+テーブル1[[#This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+テーブル1[[#This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+テーブル1[[#This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+テーブル1[[#This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+テーブル1[[#This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+テーブル1[[#This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+テーブル1[[#This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+テーブル1[[#This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+テーブル1[[#This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+テーブル1[[#This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+テーブル1[[#This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+テーブル1[[#This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+テーブル1[[#This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+テーブル1[[#This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+テーブル1[[#This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+テーブル1[[#This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+テーブル1[[#This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+テーブル1[[#This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+テーブル1[[#This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+テーブル1[[#This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+テーブル1[[#This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+テーブル1[[#This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+テーブル1[[#This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+テーブル1[[#This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+テーブル1[[#This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+テーブル1[[#This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+テーブル1[[#This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+テーブル1[[#This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+テーブル1[[#This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+テーブル1[[#This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+テーブル1[[#This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+テーブル1[[#This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+テーブル1[[#This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+テーブル1[[#This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+テーブル1[[#This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+テーブル1[[#This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+テーブル1[[#This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+テーブル1[[#This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+テーブル1[[#This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+テーブル1[[#This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+テーブル1[[#This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+テーブル1[[#This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+テーブル1[[#This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+テーブル1[[#This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+テーブル1[[#This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+テーブル1[[#This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+テーブル1[[#This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+テーブル1[[#This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+テーブル1[[#This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+テーブル1[[#This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+テーブル1[[#This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+テーブル1[[#This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+テーブル1[[#This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+テーブル1[[#This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+テーブル1[[#This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+テーブル1[[#This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+テーブル1[[#This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+テーブル1[[#This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+テーブル1[[#This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+テーブル1[[#This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+テーブル1[[#This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+テーブル1[[#This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+テーブル1[[#This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+テーブル1[[#This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+テーブル1[[#This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+テーブル1[[#This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+テーブル1[[#This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+テーブル1[[#This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+テーブル1[[#This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+テーブル1[[#This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+テーブル1[[#This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+テーブル1[[#This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+テーブル1[[#This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+テーブル1[[#This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+テーブル1[[#This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+テーブル1[[#This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+テーブル1[[#This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+テーブル1[[#This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+テーブル1[[#This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+テーブル1[[#This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+テーブル1[[#This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+テーブル1[[#This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+テーブル1[[#This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+テーブル1[[#This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+テーブル1[[#This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+テーブル1[[#This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+テーブル1[[#This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+テーブル1[[#This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+テーブル1[[#This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+テーブル1[[#This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+テーブル1[[#This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+テーブル1[[#This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+テーブル1[[#This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+テーブル1[[#This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+テーブル1[[#This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+テーブル1[[#This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+テーブル1[[#This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+テーブル1[[#This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+テーブル1[[#This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+テーブル1[[#This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+テーブル1[[#This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+テーブル1[[#This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+テーブル1[[#This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+テーブル1[[#This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+テーブル1[[#This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+テーブル1[[#This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+テーブル1[[#This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+テーブル1[[#This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+テーブル1[[#This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+テーブル1[[#This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+テーブル1[[#This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+テーブル1[[#This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+テーブル1[[#This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+テーブル1[[#This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+テーブル1[[#This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+テーブル1[[#This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+テーブル1[[#This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+テーブル1[[#This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+テーブル1[[#This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+テーブル1[[#This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+テーブル1[[#This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+テーブル1[[#This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+テーブル1[[#This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+テーブル1[[#This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+テーブル1[[#This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+テーブル1[[#This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+テーブル1[[#This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+テーブル1[[#This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+テーブル1[[#This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+テーブル1[[#This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+テーブル1[[#This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+テーブル1[[#This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+テーブル1[[#This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+テーブル1[[#This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+テーブル1[[#This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+テーブル1[[#This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+テーブル1[[#This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+テーブル1[[#This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+テーブル1[[#This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+テーブル1[[#This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+テーブル1[[#This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+テーブル1[[#This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+テーブル1[[#This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+テーブル1[[#This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+テーブル1[[#This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+テーブル1[[#This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+テーブル1[[#This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+テーブル1[[#This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+テーブル1[[#This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+テーブル1[[#This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+テーブル1[[#This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+テーブル1[[#This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+テーブル1[[#This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+テーブル1[[#This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+テーブル1[[#This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+テーブル1[[#This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+テーブル1[[#This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+テーブル1[[#This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+テーブル1[[#This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+テーブル1[[#This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+テーブル1[[#This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+テーブル1[[#This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+テーブル1[[#This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+テーブル1[[#This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+テーブル1[[#This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+テーブル1[[#This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+テーブル1[[#This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+テーブル1[[#This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+テーブル1[[#This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+テーブル1[[#This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+テーブル1[[#This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+テーブル1[[#This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+テーブル1[[#This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+テーブル1[[#This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+テーブル1[[#This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+テーブル1[[#This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+テーブル1[[#This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+テーブル1[[#This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+テーブル1[[#This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+テーブル1[[#This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+テーブル1[[#This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+テーブル1[[#This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+テーブル1[[#This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+テーブル1[[#This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+テーブル1[[#This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+テーブル1[[#This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+テーブル1[[#This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+テーブル1[[#This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+テーブル1[[#This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+テーブル1[[#This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+テーブル1[[#This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+テーブル1[[#This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+テーブル1[[#This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+テーブル1[[#This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+テーブル1[[#This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+テーブル1[[#This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+テーブル1[[#This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+テーブル1[[#This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+テーブル1[[#This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+テーブル1[[#This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+テーブル1[[#This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+テーブル1[[#This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+テーブル1[[#This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+テーブル1[[#This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+テーブル1[[#This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+テーブル1[[#This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+テーブル1[[#This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+テーブル1[[#This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+テーブル1[[#This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+テーブル1[[#This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+テーブル1[[#This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+テーブル1[[#This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+テーブル1[[#This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+テーブル1[[#This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+テーブル1[[#This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+テーブル1[[#This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+テーブル1[[#This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+テーブル1[[#This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+テーブル1[[#This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+テーブル1[[#This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+テーブル1[[#This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+テーブル1[[#This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+テーブル1[[#This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+テーブル1[[#This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+テーブル1[[#This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+テーブル1[[#This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+テーブル1[[#This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+テーブル1[[#This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+テーブル1[[#This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+テーブル1[[#This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+テーブル1[[#This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+テーブル1[[#This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+テーブル1[[#This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+テーブル1[[#This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+テーブル1[[#This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+テーブル1[[#This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+テーブル1[[#This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+テーブル1[[#This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+テーブル1[[#This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+テーブル1[[#This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+テーブル1[[#This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+テーブル1[[#This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+テーブル1[[#This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+テーブル1[[#This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+テーブル1[[#This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+テーブル1[[#This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+テーブル1[[#This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+テーブル1[[#This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+テーブル1[[#This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+テーブル1[[#This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+テーブル1[[#This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+テーブル1[[#This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+テーブル1[[#This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+テーブル1[[#This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+テーブル1[[#This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+テーブル1[[#This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+テーブル1[[#This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+テーブル1[[#This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+テーブル1[[#This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+テーブル1[[#This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+テーブル1[[#This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+テーブル1[[#This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+テーブル1[[#This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+テーブル1[[#This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+テーブル1[[#This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+テーブル1[[#This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+テーブル1[[#This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+テーブル1[[#This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+テーブル1[[#This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+テーブル1[[#This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+テーブル1[[#This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+テーブル1[[#This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+テーブル1[[#This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+テーブル1[[#This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+テーブル1[[#This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+テーブル1[[#This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+テーブル1[[#This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+テーブル1[[#This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+テーブル1[[#This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+テーブル1[[#This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+テーブル1[[#This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+テーブル1[[#This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+テーブル1[[#This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+テーブル1[[#This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+テーブル1[[#This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+テーブル1[[#This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+テーブル1[[#This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+テーブル1[[#This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+テーブル1[[#This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+テーブル1[[#This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+テーブル1[[#This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+テーブル1[[#This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+テーブル1[[#This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+テーブル1[[#This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+テーブル1[[#This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+テーブル1[[#This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+テーブル1[[#This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+テーブル1[[#This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+テーブル1[[#This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+テーブル1[[#This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+テーブル1[[#This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+テーブル1[[#This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+テーブル1[[#This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+テーブル1[[#This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+テーブル1[[#This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+テーブル1[[#This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+テーブル1[[#This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+テーブル1[[#This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+テーブル1[[#This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+テーブル1[[#This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+テーブル1[[#This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+テーブル1[[#This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+テーブル1[[#This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+テーブル1[[#This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+テーブル1[[#This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+テーブル1[[#This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+テーブル1[[#This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+テーブル1[[#This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+テーブル1[[#This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+テーブル1[[#This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+テーブル1[[#This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+テーブル1[[#This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+テーブル1[[#This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+テーブル1[[#This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+テーブル1[[#This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+テーブル1[[#This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+テーブル1[[#This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+テーブル1[[#This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+テーブル1[[#This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+テーブル1[[#This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+テーブル1[[#This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+テーブル1[[#This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+テーブル1[[#This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+テーブル1[[#This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+テーブル1[[#This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+テーブル1[[#This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+テーブル1[[#This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+テーブル1[[#This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+テーブル1[[#This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+テーブル1[[#This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+テーブル1[[#This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+テーブル1[[#This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+テーブル1[[#This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+テーブル1[[#This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+テーブル1[[#This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+テーブル1[[#This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+テーブル1[[#This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+テーブル1[[#This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+テーブル1[[#This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+テーブル1[[#This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+テーブル1[[#This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+テーブル1[[#This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+テーブル1[[#This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+テーブル1[[#This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+テーブル1[[#This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+テーブル1[[#This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+テーブル1[[#This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+テーブル1[[#This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+テーブル1[[#This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+テーブル1[[#This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+テーブル1[[#This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+テーブル1[[#This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+テーブル1[[#This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+テーブル1[[#This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+テーブル1[[#This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+テーブル1[[#This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+テーブル1[[#This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+テーブル1[[#This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+テーブル1[[#This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+テーブル1[[#This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+テーブル1[[#This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+テーブル1[[#This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+テーブル1[[#This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+テーブル1[[#This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+テーブル1[[#This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+テーブル1[[#This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+テーブル1[[#This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+テーブル1[[#This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+テーブル1[[#This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+テーブル1[[#This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+テーブル1[[#This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+テーブル1[[#This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+テーブル1[[#This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+テーブル1[[#This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+テーブル1[[#This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+テーブル1[[#This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+テーブル1[[#This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+テーブル1[[#This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+テーブル1[[#This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+テーブル1[[#This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+テーブル1[[#This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+テーブル1[[#This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+テーブル1[[#This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+テーブル1[[#This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+テーブル1[[#This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+テーブル1[[#This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+テーブル1[[#This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+テーブル1[[#This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+テーブル1[[#This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+テーブル1[[#This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+テーブル1[[#This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+テーブル1[[#This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+テーブル1[[#This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+テーブル1[[#This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+テーブル1[[#This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+テーブル1[[#This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+テーブル1[[#This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+テーブル1[[#This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 s="128">
        <v>249</v>
      </c>
      <c r="L3849">
        <v>0</v>
      </c>
      <c r="N3849" s="128">
        <v>249</v>
      </c>
      <c r="O3849" s="143">
        <v>4743450</v>
      </c>
      <c r="P3849" s="62">
        <v>785</v>
      </c>
      <c r="Q3849" t="s">
        <v>119</v>
      </c>
      <c r="R3849" s="50">
        <f>+テーブル1[[#This Row],[合計金額]]*テーブル1[[#This Row],[自社報酬率％]]/100</f>
        <v>2134552.5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 s="128">
        <v>249</v>
      </c>
      <c r="L3850">
        <v>0</v>
      </c>
      <c r="N3850" s="128">
        <v>249</v>
      </c>
      <c r="O3850" s="143">
        <v>4743450</v>
      </c>
      <c r="P3850" s="62">
        <v>786</v>
      </c>
      <c r="Q3850" t="s">
        <v>119</v>
      </c>
      <c r="R3850" s="50">
        <f>+テーブル1[[#This Row],[合計金額]]*テーブル1[[#This Row],[自社報酬率％]]/100</f>
        <v>2134552.5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 s="128">
        <v>249</v>
      </c>
      <c r="L3851">
        <v>0</v>
      </c>
      <c r="N3851" s="128">
        <v>249</v>
      </c>
      <c r="O3851" s="143">
        <v>4743450</v>
      </c>
      <c r="P3851" s="62">
        <v>787</v>
      </c>
      <c r="Q3851" t="s">
        <v>119</v>
      </c>
      <c r="R3851" s="50">
        <f>+テーブル1[[#This Row],[合計金額]]*テーブル1[[#This Row],[自社報酬率％]]/100</f>
        <v>2134552.5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 s="128">
        <v>249</v>
      </c>
      <c r="L3852">
        <v>0</v>
      </c>
      <c r="N3852" s="128">
        <v>249</v>
      </c>
      <c r="O3852" s="143">
        <v>4743450</v>
      </c>
      <c r="P3852" s="62">
        <v>788</v>
      </c>
      <c r="Q3852" t="s">
        <v>119</v>
      </c>
      <c r="R3852" s="50">
        <f>+テーブル1[[#This Row],[合計金額]]*テーブル1[[#This Row],[自社報酬率％]]/100</f>
        <v>2134552.5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 s="128">
        <v>249</v>
      </c>
      <c r="L3853">
        <v>0</v>
      </c>
      <c r="N3853" s="145">
        <v>249</v>
      </c>
      <c r="O3853" s="143">
        <v>4743450</v>
      </c>
      <c r="P3853" s="62">
        <v>789</v>
      </c>
      <c r="Q3853" t="s">
        <v>119</v>
      </c>
      <c r="R3853" s="50">
        <f>+テーブル1[[#This Row],[合計金額]]*テーブル1[[#This Row],[自社報酬率％]]/100</f>
        <v>2134552.5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 s="128">
        <v>249</v>
      </c>
      <c r="L3854">
        <v>0</v>
      </c>
      <c r="N3854" s="128">
        <v>249</v>
      </c>
      <c r="O3854" s="143">
        <v>4743450</v>
      </c>
      <c r="P3854" s="62">
        <v>790</v>
      </c>
      <c r="Q3854" t="s">
        <v>1928</v>
      </c>
      <c r="R3854" s="50">
        <f>+テーブル1[[#This Row],[合計金額]]*テーブル1[[#This Row],[自社報酬率％]]/100</f>
        <v>2134552.5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+テーブル1[[#This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+テーブル1[[#This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+テーブル1[[#This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+テーブル1[[#This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+テーブル1[[#This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+テーブル1[[#This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+テーブル1[[#This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+テーブル1[[#This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+テーブル1[[#This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+テーブル1[[#This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+テーブル1[[#This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+テーブル1[[#This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+テーブル1[[#This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+テーブル1[[#This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+テーブル1[[#This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+テーブル1[[#This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+テーブル1[[#This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+テーブル1[[#This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+テーブル1[[#This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+テーブル1[[#This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+テーブル1[[#This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+テーブル1[[#This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+テーブル1[[#This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+テーブル1[[#This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+テーブル1[[#This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+テーブル1[[#This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+テーブル1[[#This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+テーブル1[[#This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+テーブル1[[#This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+テーブル1[[#This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+テーブル1[[#This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+テーブル1[[#This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+テーブル1[[#This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+テーブル1[[#This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+テーブル1[[#This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+テーブル1[[#This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+テーブル1[[#This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+テーブル1[[#This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+テーブル1[[#This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+テーブル1[[#This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+テーブル1[[#This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+テーブル1[[#This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+テーブル1[[#This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+テーブル1[[#This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+テーブル1[[#This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+テーブル1[[#This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+テーブル1[[#This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+テーブル1[[#This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+テーブル1[[#This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+テーブル1[[#This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+テーブル1[[#This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+テーブル1[[#This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+テーブル1[[#This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+テーブル1[[#This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+テーブル1[[#This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+テーブル1[[#This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+テーブル1[[#This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+テーブル1[[#This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+テーブル1[[#This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+テーブル1[[#This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+テーブル1[[#This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+テーブル1[[#This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+テーブル1[[#This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+テーブル1[[#This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+テーブル1[[#This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+テーブル1[[#This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+テーブル1[[#This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+テーブル1[[#This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+テーブル1[[#This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+テーブル1[[#This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+テーブル1[[#This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+テーブル1[[#This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+テーブル1[[#This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+テーブル1[[#This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+テーブル1[[#This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+テーブル1[[#This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+テーブル1[[#This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+テーブル1[[#This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+テーブル1[[#This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+テーブル1[[#This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+テーブル1[[#This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+テーブル1[[#This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+テーブル1[[#This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+テーブル1[[#This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+テーブル1[[#This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+テーブル1[[#This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+テーブル1[[#This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+テーブル1[[#This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+テーブル1[[#This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+テーブル1[[#This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+テーブル1[[#This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+テーブル1[[#This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+テーブル1[[#This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+テーブル1[[#This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+テーブル1[[#This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+テーブル1[[#This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+テーブル1[[#This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+テーブル1[[#This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+テーブル1[[#This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+テーブル1[[#This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+テーブル1[[#This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+テーブル1[[#This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+テーブル1[[#This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+テーブル1[[#This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+テーブル1[[#This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+テーブル1[[#This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+テーブル1[[#This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+テーブル1[[#This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+テーブル1[[#This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+テーブル1[[#This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+テーブル1[[#This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+テーブル1[[#This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+テーブル1[[#This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+テーブル1[[#This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+テーブル1[[#This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+テーブル1[[#This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+テーブル1[[#This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+テーブル1[[#This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+テーブル1[[#This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+テーブル1[[#This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+テーブル1[[#This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+テーブル1[[#This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+テーブル1[[#This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+テーブル1[[#This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+テーブル1[[#This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+テーブル1[[#This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+テーブル1[[#This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+テーブル1[[#This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+テーブル1[[#This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+テーブル1[[#This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+テーブル1[[#This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+テーブル1[[#This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+テーブル1[[#This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+テーブル1[[#This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+テーブル1[[#This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+テーブル1[[#This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+テーブル1[[#This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+テーブル1[[#This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+テーブル1[[#This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+テーブル1[[#This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+テーブル1[[#This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+テーブル1[[#This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+テーブル1[[#This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+テーブル1[[#This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+テーブル1[[#This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+テーブル1[[#This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+テーブル1[[#This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+テーブル1[[#This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+テーブル1[[#This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+テーブル1[[#This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+テーブル1[[#This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+テーブル1[[#This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+テーブル1[[#This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+テーブル1[[#This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+テーブル1[[#This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+テーブル1[[#This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+テーブル1[[#This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+テーブル1[[#This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+テーブル1[[#This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+テーブル1[[#This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+テーブル1[[#This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+テーブル1[[#This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+テーブル1[[#This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+テーブル1[[#This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+テーブル1[[#This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+テーブル1[[#This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+テーブル1[[#This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+テーブル1[[#This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+テーブル1[[#This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+テーブル1[[#This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+テーブル1[[#This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+テーブル1[[#This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+テーブル1[[#This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+テーブル1[[#This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+テーブル1[[#This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+テーブル1[[#This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+テーブル1[[#This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+テーブル1[[#This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+テーブル1[[#This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+テーブル1[[#This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+テーブル1[[#This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+テーブル1[[#This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+テーブル1[[#This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+テーブル1[[#This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+テーブル1[[#This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+テーブル1[[#This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+テーブル1[[#This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+テーブル1[[#This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+テーブル1[[#This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+テーブル1[[#This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+テーブル1[[#This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+テーブル1[[#This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+テーブル1[[#This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+テーブル1[[#This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+テーブル1[[#This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+テーブル1[[#This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+テーブル1[[#This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+テーブル1[[#This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+テーブル1[[#This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+テーブル1[[#This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+テーブル1[[#This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+テーブル1[[#This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+テーブル1[[#This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+テーブル1[[#This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+テーブル1[[#This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+テーブル1[[#This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+テーブル1[[#This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+テーブル1[[#This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+テーブル1[[#This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+テーブル1[[#This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+テーブル1[[#This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+テーブル1[[#This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+テーブル1[[#This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+テーブル1[[#This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+テーブル1[[#This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+テーブル1[[#This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+テーブル1[[#This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+テーブル1[[#This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+テーブル1[[#This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+テーブル1[[#This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+テーブル1[[#This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+テーブル1[[#This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+テーブル1[[#This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+テーブル1[[#This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+テーブル1[[#This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+テーブル1[[#This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+テーブル1[[#This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+テーブル1[[#This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+テーブル1[[#This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144"/>
      <c r="J4084" s="49">
        <v>1</v>
      </c>
      <c r="L4084">
        <v>0</v>
      </c>
      <c r="N4084" s="64">
        <v>1</v>
      </c>
      <c r="O4084" s="143"/>
      <c r="P4084" s="62">
        <v>88</v>
      </c>
      <c r="Q4084" s="62" t="s">
        <v>119</v>
      </c>
      <c r="R4084" s="25">
        <f>+テーブル1[[#This Row],[合計金額]]*テーブル1[[#This Row],[自社報酬率％]]/100</f>
        <v>0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144"/>
      <c r="J4085" s="49">
        <v>1</v>
      </c>
      <c r="L4085">
        <v>0</v>
      </c>
      <c r="N4085" s="64">
        <v>1</v>
      </c>
      <c r="O4085" s="143"/>
      <c r="P4085" s="62">
        <v>89</v>
      </c>
      <c r="Q4085" s="62" t="s">
        <v>119</v>
      </c>
      <c r="R4085" s="25">
        <f>+テーブル1[[#This Row],[合計金額]]*テーブル1[[#This Row],[自社報酬率％]]/100</f>
        <v>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+テーブル1[[#This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+テーブル1[[#This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+テーブル1[[#This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+テーブル1[[#This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+テーブル1[[#This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+テーブル1[[#This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+テーブル1[[#This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+テーブル1[[#This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+テーブル1[[#This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+テーブル1[[#This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+テーブル1[[#This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+テーブル1[[#This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+テーブル1[[#This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+テーブル1[[#This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+テーブル1[[#This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+テーブル1[[#This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+テーブル1[[#This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+テーブル1[[#This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+テーブル1[[#This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+テーブル1[[#This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+テーブル1[[#This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+テーブル1[[#This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+テーブル1[[#This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+テーブル1[[#This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+テーブル1[[#This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+テーブル1[[#This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+テーブル1[[#This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+テーブル1[[#This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+テーブル1[[#This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+テーブル1[[#This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+テーブル1[[#This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+テーブル1[[#This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+テーブル1[[#This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+テーブル1[[#This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+テーブル1[[#This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+テーブル1[[#This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+テーブル1[[#This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+テーブル1[[#This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+テーブル1[[#This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+テーブル1[[#This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+テーブル1[[#This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+テーブル1[[#This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+テーブル1[[#This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+テーブル1[[#This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+テーブル1[[#This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+テーブル1[[#This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+テーブル1[[#This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+テーブル1[[#This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+テーブル1[[#This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+テーブル1[[#This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+テーブル1[[#This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+テーブル1[[#This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+テーブル1[[#This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+テーブル1[[#This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+テーブル1[[#This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+テーブル1[[#This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+テーブル1[[#This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+テーブル1[[#This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+テーブル1[[#This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+テーブル1[[#This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+テーブル1[[#This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+テーブル1[[#This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+テーブル1[[#This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+テーブル1[[#This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+テーブル1[[#This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+テーブル1[[#This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+テーブル1[[#This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+テーブル1[[#This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+テーブル1[[#This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+テーブル1[[#This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+テーブル1[[#This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+テーブル1[[#This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+テーブル1[[#This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+テーブル1[[#This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+テーブル1[[#This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+テーブル1[[#This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+テーブル1[[#This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+テーブル1[[#This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+テーブル1[[#This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+テーブル1[[#This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+テーブル1[[#This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+テーブル1[[#This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+テーブル1[[#This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+テーブル1[[#This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+テーブル1[[#This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+テーブル1[[#This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+テーブル1[[#This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+テーブル1[[#This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+テーブル1[[#This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+テーブル1[[#This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+テーブル1[[#This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+テーブル1[[#This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+テーブル1[[#This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+テーブル1[[#This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+テーブル1[[#This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+テーブル1[[#This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+テーブル1[[#This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+テーブル1[[#This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+テーブル1[[#This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+テーブル1[[#This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+テーブル1[[#This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+テーブル1[[#This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+テーブル1[[#This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+テーブル1[[#This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+テーブル1[[#This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+テーブル1[[#This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+テーブル1[[#This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+テーブル1[[#This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+テーブル1[[#This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+テーブル1[[#This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+テーブル1[[#This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+テーブル1[[#This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+テーブル1[[#This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+テーブル1[[#This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+テーブル1[[#This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+テーブル1[[#This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+テーブル1[[#This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+テーブル1[[#This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+テーブル1[[#This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+テーブル1[[#This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+テーブル1[[#This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+テーブル1[[#This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+テーブル1[[#This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+テーブル1[[#This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+テーブル1[[#This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+テーブル1[[#This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+テーブル1[[#This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+テーブル1[[#This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+テーブル1[[#This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+テーブル1[[#This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+テーブル1[[#This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+テーブル1[[#This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+テーブル1[[#This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+テーブル1[[#This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+テーブル1[[#This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+テーブル1[[#This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+テーブル1[[#This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+テーブル1[[#This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+テーブル1[[#This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+テーブル1[[#This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29" si="160">+I4226*N4226</f>
        <v>28305</v>
      </c>
      <c r="P4226" s="10">
        <v>1041</v>
      </c>
      <c r="Q4226" s="10" t="s">
        <v>1928</v>
      </c>
      <c r="R4226" s="50">
        <f>+テーブル1[[#This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+テーブル1[[#This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+テーブル1[[#This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+テーブル1[[#This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+テーブル1[[#This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+テーブル1[[#This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+テーブル1[[#This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+テーブル1[[#This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+テーブル1[[#This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+テーブル1[[#This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+テーブル1[[#This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+テーブル1[[#This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+テーブル1[[#This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+テーブル1[[#This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+テーブル1[[#This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+テーブル1[[#This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+テーブル1[[#This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+テーブル1[[#This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+テーブル1[[#This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+テーブル1[[#This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+テーブル1[[#This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+テーブル1[[#This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+テーブル1[[#This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+テーブル1[[#This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+テーブル1[[#This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+テーブル1[[#This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+テーブル1[[#This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+テーブル1[[#This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+テーブル1[[#This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+テーブル1[[#This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+テーブル1[[#This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+テーブル1[[#This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+テーブル1[[#This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+テーブル1[[#This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+テーブル1[[#This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+テーブル1[[#This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+テーブル1[[#This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+テーブル1[[#This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+テーブル1[[#This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+テーブル1[[#This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+テーブル1[[#This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+テーブル1[[#This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+テーブル1[[#This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+テーブル1[[#This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+テーブル1[[#This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+テーブル1[[#This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+テーブル1[[#This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+テーブル1[[#This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+テーブル1[[#This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+テーブル1[[#This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+テーブル1[[#This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+テーブル1[[#This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+テーブル1[[#This Row],[合計金額]]*テーブル1[[#This Row],[自社報酬率％]]/100</f>
        <v>40986</v>
      </c>
    </row>
    <row r="4279" spans="1:18">
      <c r="A4279" s="7">
        <v>45870</v>
      </c>
      <c r="B4279" t="s">
        <v>2874</v>
      </c>
      <c r="C4279" s="18" t="s">
        <v>1918</v>
      </c>
      <c r="D4279" s="41">
        <v>40</v>
      </c>
      <c r="E4279" s="41">
        <v>60</v>
      </c>
      <c r="F4279" s="18"/>
      <c r="G4279" s="28">
        <v>45870</v>
      </c>
      <c r="H4279" s="26" t="s">
        <v>2875</v>
      </c>
      <c r="I4279" s="53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1">
        <f t="shared" si="165"/>
        <v>260000</v>
      </c>
      <c r="P4279" s="10">
        <v>20</v>
      </c>
      <c r="Q4279" s="10" t="s">
        <v>1935</v>
      </c>
      <c r="R4279" s="50">
        <f>+テーブル1[[#This Row],[合計金額]]*テーブル1[[#This Row],[自社報酬率％]]/100</f>
        <v>156000</v>
      </c>
    </row>
    <row r="4280" spans="1:18">
      <c r="A4280" s="7">
        <v>45901</v>
      </c>
      <c r="B4280" t="s">
        <v>43</v>
      </c>
      <c r="C4280" s="71" t="s">
        <v>24</v>
      </c>
      <c r="D4280" s="41">
        <v>100</v>
      </c>
      <c r="E4280" s="41">
        <v>100</v>
      </c>
      <c r="F4280" s="72" t="s">
        <v>17</v>
      </c>
      <c r="G4280" s="85">
        <v>45931</v>
      </c>
      <c r="H4280" s="26" t="s">
        <v>2876</v>
      </c>
      <c r="I4280" s="49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1">
        <f t="shared" si="165"/>
        <v>8074</v>
      </c>
      <c r="P4280" s="10">
        <v>1045</v>
      </c>
      <c r="Q4280" s="10" t="s">
        <v>1935</v>
      </c>
      <c r="R4280" s="50">
        <f>+テーブル1[[#This Row],[合計金額]]*テーブル1[[#This Row],[自社報酬率％]]/100</f>
        <v>8074</v>
      </c>
    </row>
    <row r="4281" spans="1:18">
      <c r="A4281" s="7">
        <v>45901</v>
      </c>
      <c r="B4281" t="s">
        <v>43</v>
      </c>
      <c r="C4281" s="71" t="s">
        <v>24</v>
      </c>
      <c r="D4281" s="41">
        <v>100</v>
      </c>
      <c r="E4281" s="41">
        <v>100</v>
      </c>
      <c r="F4281" s="101" t="s">
        <v>17</v>
      </c>
      <c r="G4281" s="102">
        <v>45962</v>
      </c>
      <c r="H4281" s="26" t="s">
        <v>2877</v>
      </c>
      <c r="I4281" s="49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1">
        <f t="shared" si="165"/>
        <v>8066</v>
      </c>
      <c r="P4281" s="10">
        <v>1046</v>
      </c>
      <c r="Q4281" s="10" t="s">
        <v>1935</v>
      </c>
      <c r="R4281" s="50">
        <f>+テーブル1[[#This Row],[合計金額]]*テーブル1[[#This Row],[自社報酬率％]]/100</f>
        <v>8066</v>
      </c>
    </row>
    <row r="4282" spans="1:18">
      <c r="A4282" s="7">
        <v>45901</v>
      </c>
      <c r="B4282" t="s">
        <v>43</v>
      </c>
      <c r="C4282" s="71" t="s">
        <v>24</v>
      </c>
      <c r="D4282" s="41">
        <v>100</v>
      </c>
      <c r="E4282" s="41">
        <v>100</v>
      </c>
      <c r="F4282" s="101" t="s">
        <v>17</v>
      </c>
      <c r="G4282" s="102">
        <v>45992</v>
      </c>
      <c r="H4282" s="26" t="s">
        <v>2878</v>
      </c>
      <c r="I4282" s="49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1">
        <f t="shared" si="165"/>
        <v>8066</v>
      </c>
      <c r="P4282" s="10">
        <v>1047</v>
      </c>
      <c r="Q4282" s="10" t="s">
        <v>1928</v>
      </c>
      <c r="R4282" s="50">
        <f>+テーブル1[[#This Row],[合計金額]]*テーブル1[[#This Row],[自社報酬率％]]/100</f>
        <v>8066</v>
      </c>
    </row>
    <row r="4283" spans="1:18">
      <c r="A4283" s="7">
        <v>45901</v>
      </c>
      <c r="B4283" t="s">
        <v>43</v>
      </c>
      <c r="C4283" s="71" t="s">
        <v>24</v>
      </c>
      <c r="D4283" s="41">
        <v>100</v>
      </c>
      <c r="E4283" s="41">
        <v>100</v>
      </c>
      <c r="F4283" s="101" t="s">
        <v>17</v>
      </c>
      <c r="G4283" s="102">
        <v>46023</v>
      </c>
      <c r="H4283" s="26" t="s">
        <v>2879</v>
      </c>
      <c r="I4283" s="49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1">
        <f t="shared" si="165"/>
        <v>8066</v>
      </c>
      <c r="P4283" s="10">
        <v>1048</v>
      </c>
      <c r="Q4283" s="10" t="s">
        <v>1928</v>
      </c>
      <c r="R4283" s="50">
        <f>+テーブル1[[#This Row],[合計金額]]*テーブル1[[#This Row],[自社報酬率％]]/100</f>
        <v>8066</v>
      </c>
    </row>
    <row r="4284" spans="1:18">
      <c r="A4284" s="7">
        <v>45901</v>
      </c>
      <c r="B4284" t="s">
        <v>43</v>
      </c>
      <c r="C4284" s="71" t="s">
        <v>24</v>
      </c>
      <c r="D4284" s="41">
        <v>100</v>
      </c>
      <c r="E4284" s="41">
        <v>100</v>
      </c>
      <c r="F4284" s="101" t="s">
        <v>17</v>
      </c>
      <c r="G4284" s="102">
        <v>46054</v>
      </c>
      <c r="H4284" s="26" t="s">
        <v>2880</v>
      </c>
      <c r="I4284" s="49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1">
        <f t="shared" si="165"/>
        <v>8066</v>
      </c>
      <c r="P4284" s="10">
        <v>1049</v>
      </c>
      <c r="Q4284" s="10" t="s">
        <v>1928</v>
      </c>
      <c r="R4284" s="50">
        <f>+テーブル1[[#This Row],[合計金額]]*テーブル1[[#This Row],[自社報酬率％]]/100</f>
        <v>8066</v>
      </c>
    </row>
    <row r="4285" spans="1:18">
      <c r="A4285" s="7">
        <v>45901</v>
      </c>
      <c r="B4285" t="s">
        <v>43</v>
      </c>
      <c r="C4285" s="71" t="s">
        <v>24</v>
      </c>
      <c r="D4285" s="41">
        <v>100</v>
      </c>
      <c r="E4285" s="41">
        <v>100</v>
      </c>
      <c r="F4285" s="101" t="s">
        <v>17</v>
      </c>
      <c r="G4285" s="102">
        <v>46082</v>
      </c>
      <c r="H4285" s="26" t="s">
        <v>2881</v>
      </c>
      <c r="I4285" s="49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1">
        <f t="shared" si="165"/>
        <v>8066</v>
      </c>
      <c r="P4285" s="10">
        <v>1050</v>
      </c>
      <c r="Q4285" s="10" t="s">
        <v>1928</v>
      </c>
      <c r="R4285" s="50">
        <f>+テーブル1[[#This Row],[合計金額]]*テーブル1[[#This Row],[自社報酬率％]]/100</f>
        <v>8066</v>
      </c>
    </row>
    <row r="4286" spans="1:18">
      <c r="A4286" s="7">
        <v>45901</v>
      </c>
      <c r="B4286" t="s">
        <v>43</v>
      </c>
      <c r="C4286" s="71" t="s">
        <v>24</v>
      </c>
      <c r="D4286" s="41">
        <v>100</v>
      </c>
      <c r="E4286" s="41">
        <v>100</v>
      </c>
      <c r="F4286" s="101" t="s">
        <v>17</v>
      </c>
      <c r="G4286" s="102">
        <v>46113</v>
      </c>
      <c r="H4286" s="26" t="s">
        <v>2882</v>
      </c>
      <c r="I4286" s="49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1">
        <f t="shared" si="165"/>
        <v>8066</v>
      </c>
      <c r="P4286" s="10">
        <v>1051</v>
      </c>
      <c r="Q4286" s="10" t="s">
        <v>1928</v>
      </c>
      <c r="R4286" s="50">
        <f>+テーブル1[[#This Row],[合計金額]]*テーブル1[[#This Row],[自社報酬率％]]/100</f>
        <v>8066</v>
      </c>
    </row>
    <row r="4287" spans="1:18">
      <c r="A4287" s="7">
        <v>45901</v>
      </c>
      <c r="B4287" t="s">
        <v>43</v>
      </c>
      <c r="C4287" s="71" t="s">
        <v>24</v>
      </c>
      <c r="D4287" s="41">
        <v>100</v>
      </c>
      <c r="E4287" s="41">
        <v>100</v>
      </c>
      <c r="F4287" s="101" t="s">
        <v>17</v>
      </c>
      <c r="G4287" s="102">
        <v>46143</v>
      </c>
      <c r="H4287" s="26" t="s">
        <v>2883</v>
      </c>
      <c r="I4287" s="49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1">
        <f t="shared" si="165"/>
        <v>8066</v>
      </c>
      <c r="P4287" s="10">
        <v>1052</v>
      </c>
      <c r="Q4287" s="10" t="s">
        <v>1928</v>
      </c>
      <c r="R4287" s="50">
        <f>+テーブル1[[#This Row],[合計金額]]*テーブル1[[#This Row],[自社報酬率％]]/100</f>
        <v>8066</v>
      </c>
    </row>
    <row r="4288" spans="1:18">
      <c r="A4288" s="7">
        <v>45901</v>
      </c>
      <c r="B4288" t="s">
        <v>43</v>
      </c>
      <c r="C4288" s="71" t="s">
        <v>24</v>
      </c>
      <c r="D4288" s="41">
        <v>100</v>
      </c>
      <c r="E4288" s="41">
        <v>100</v>
      </c>
      <c r="F4288" s="101" t="s">
        <v>17</v>
      </c>
      <c r="G4288" s="102">
        <v>46174</v>
      </c>
      <c r="H4288" s="26" t="s">
        <v>2884</v>
      </c>
      <c r="I4288" s="49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1">
        <f t="shared" si="165"/>
        <v>8066</v>
      </c>
      <c r="P4288" s="10">
        <v>1053</v>
      </c>
      <c r="Q4288" s="10" t="s">
        <v>1928</v>
      </c>
      <c r="R4288" s="50">
        <f>+テーブル1[[#This Row],[合計金額]]*テーブル1[[#This Row],[自社報酬率％]]/100</f>
        <v>8066</v>
      </c>
    </row>
    <row r="4289" spans="1:18">
      <c r="A4289" s="7">
        <v>45901</v>
      </c>
      <c r="B4289" t="s">
        <v>43</v>
      </c>
      <c r="C4289" s="71" t="s">
        <v>24</v>
      </c>
      <c r="D4289" s="41">
        <v>100</v>
      </c>
      <c r="E4289" s="41">
        <v>100</v>
      </c>
      <c r="F4289" s="101" t="s">
        <v>17</v>
      </c>
      <c r="G4289" s="102">
        <v>46204</v>
      </c>
      <c r="H4289" s="26" t="s">
        <v>2885</v>
      </c>
      <c r="I4289" s="49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1">
        <f t="shared" si="165"/>
        <v>8066</v>
      </c>
      <c r="P4289" s="10">
        <v>1054</v>
      </c>
      <c r="Q4289" s="10" t="s">
        <v>1928</v>
      </c>
      <c r="R4289" s="50">
        <f>+テーブル1[[#This Row],[合計金額]]*テーブル1[[#This Row],[自社報酬率％]]/100</f>
        <v>8066</v>
      </c>
    </row>
    <row r="4290" spans="1:18">
      <c r="A4290" s="7">
        <v>45901</v>
      </c>
      <c r="B4290" t="s">
        <v>43</v>
      </c>
      <c r="C4290" s="71" t="s">
        <v>24</v>
      </c>
      <c r="D4290" s="41">
        <v>100</v>
      </c>
      <c r="E4290" s="41">
        <v>100</v>
      </c>
      <c r="F4290" s="101" t="s">
        <v>17</v>
      </c>
      <c r="G4290" s="102">
        <v>46235</v>
      </c>
      <c r="H4290" s="26" t="s">
        <v>2886</v>
      </c>
      <c r="I4290" s="49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1">
        <f t="shared" si="165"/>
        <v>8066</v>
      </c>
      <c r="P4290" s="10">
        <v>1055</v>
      </c>
      <c r="Q4290" s="10" t="s">
        <v>1928</v>
      </c>
      <c r="R4290" s="50">
        <f>+テーブル1[[#This Row],[合計金額]]*テーブル1[[#This Row],[自社報酬率％]]/100</f>
        <v>8066</v>
      </c>
    </row>
    <row r="4291" spans="1:18">
      <c r="A4291" s="7">
        <v>45901</v>
      </c>
      <c r="B4291" t="s">
        <v>43</v>
      </c>
      <c r="C4291" s="71" t="s">
        <v>24</v>
      </c>
      <c r="D4291" s="41">
        <v>100</v>
      </c>
      <c r="E4291" s="41">
        <v>100</v>
      </c>
      <c r="F4291" s="76" t="s">
        <v>17</v>
      </c>
      <c r="G4291" s="86">
        <v>46266</v>
      </c>
      <c r="H4291" s="26" t="s">
        <v>2887</v>
      </c>
      <c r="I4291" s="49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1">
        <f t="shared" si="165"/>
        <v>8066</v>
      </c>
      <c r="P4291" s="10">
        <v>1056</v>
      </c>
      <c r="Q4291" s="10" t="s">
        <v>1928</v>
      </c>
      <c r="R4291" s="50">
        <f>+テーブル1[[#This Row],[合計金額]]*テーブル1[[#This Row],[自社報酬率％]]/100</f>
        <v>8066</v>
      </c>
    </row>
    <row r="4292" spans="1:18">
      <c r="A4292" s="7">
        <v>45901</v>
      </c>
      <c r="B4292" t="s">
        <v>43</v>
      </c>
      <c r="C4292" s="71" t="s">
        <v>24</v>
      </c>
      <c r="D4292" s="41">
        <v>100</v>
      </c>
      <c r="E4292" s="41">
        <v>100</v>
      </c>
      <c r="F4292" s="18" t="s">
        <v>17</v>
      </c>
      <c r="G4292" s="28">
        <v>45901</v>
      </c>
      <c r="H4292" s="26" t="s">
        <v>1946</v>
      </c>
      <c r="I4292" s="49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1">
        <f t="shared" si="165"/>
        <v>179850</v>
      </c>
      <c r="P4292" s="10">
        <v>1057</v>
      </c>
      <c r="Q4292" s="10" t="s">
        <v>1935</v>
      </c>
      <c r="R4292" s="50">
        <f>+テーブル1[[#This Row],[合計金額]]*テーブル1[[#This Row],[自社報酬率％]]/100</f>
        <v>179850</v>
      </c>
    </row>
    <row r="4293" spans="1:18">
      <c r="A4293" s="7">
        <v>45901</v>
      </c>
      <c r="B4293" t="s">
        <v>43</v>
      </c>
      <c r="C4293" s="71" t="s">
        <v>24</v>
      </c>
      <c r="D4293" s="41">
        <v>100</v>
      </c>
      <c r="E4293" s="41">
        <v>100</v>
      </c>
      <c r="F4293" s="18" t="s">
        <v>17</v>
      </c>
      <c r="G4293" s="28">
        <v>45901</v>
      </c>
      <c r="H4293" s="26" t="s">
        <v>2888</v>
      </c>
      <c r="I4293" s="49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1">
        <f t="shared" si="165"/>
        <v>29975</v>
      </c>
      <c r="P4293" s="10">
        <v>1058</v>
      </c>
      <c r="Q4293" s="10" t="s">
        <v>1935</v>
      </c>
      <c r="R4293" s="50">
        <f>+テーブル1[[#This Row],[合計金額]]*テーブル1[[#This Row],[自社報酬率％]]/100</f>
        <v>29975</v>
      </c>
    </row>
    <row r="4294" spans="1:18">
      <c r="A4294" s="7">
        <v>45901</v>
      </c>
      <c r="B4294" t="s">
        <v>43</v>
      </c>
      <c r="C4294" s="71" t="s">
        <v>24</v>
      </c>
      <c r="D4294" s="41">
        <v>100</v>
      </c>
      <c r="E4294" s="41">
        <v>100</v>
      </c>
      <c r="F4294" s="18" t="s">
        <v>17</v>
      </c>
      <c r="G4294" s="28">
        <v>45901</v>
      </c>
      <c r="H4294" s="26" t="s">
        <v>2889</v>
      </c>
      <c r="I4294" s="49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1">
        <f t="shared" si="165"/>
        <v>59950</v>
      </c>
      <c r="P4294" s="10">
        <v>1059</v>
      </c>
      <c r="Q4294" s="10" t="s">
        <v>1935</v>
      </c>
      <c r="R4294" s="50">
        <f>+テーブル1[[#This Row],[合計金額]]*テーブル1[[#This Row],[自社報酬率％]]/100</f>
        <v>59950</v>
      </c>
    </row>
    <row r="4295" spans="1:18">
      <c r="A4295" s="7">
        <v>45901</v>
      </c>
      <c r="B4295" t="s">
        <v>43</v>
      </c>
      <c r="C4295" s="71" t="s">
        <v>24</v>
      </c>
      <c r="D4295" s="41">
        <v>100</v>
      </c>
      <c r="E4295" s="41">
        <v>100</v>
      </c>
      <c r="F4295" s="18" t="s">
        <v>17</v>
      </c>
      <c r="G4295" s="28">
        <v>45901</v>
      </c>
      <c r="H4295" s="26" t="s">
        <v>2890</v>
      </c>
      <c r="I4295" s="49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1">
        <f t="shared" si="165"/>
        <v>27500</v>
      </c>
      <c r="P4295" s="10">
        <v>1060</v>
      </c>
      <c r="Q4295" s="10" t="s">
        <v>1935</v>
      </c>
      <c r="R4295" s="50">
        <f>+テーブル1[[#This Row],[合計金額]]*テーブル1[[#This Row],[自社報酬率％]]/100</f>
        <v>27500</v>
      </c>
    </row>
    <row r="4296" spans="1:18">
      <c r="A4296" s="7">
        <v>45901</v>
      </c>
      <c r="B4296" t="s">
        <v>43</v>
      </c>
      <c r="C4296" s="71" t="s">
        <v>24</v>
      </c>
      <c r="D4296" s="41">
        <v>100</v>
      </c>
      <c r="E4296" s="41">
        <v>100</v>
      </c>
      <c r="F4296" s="18" t="s">
        <v>17</v>
      </c>
      <c r="G4296" s="28">
        <v>45901</v>
      </c>
      <c r="H4296" s="26" t="s">
        <v>2142</v>
      </c>
      <c r="I4296" s="49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1">
        <f t="shared" si="165"/>
        <v>27500</v>
      </c>
      <c r="P4296" s="10">
        <v>1061</v>
      </c>
      <c r="Q4296" s="10" t="s">
        <v>1935</v>
      </c>
      <c r="R4296" s="50">
        <f>+テーブル1[[#This Row],[合計金額]]*テーブル1[[#This Row],[自社報酬率％]]/100</f>
        <v>27500</v>
      </c>
    </row>
    <row r="4297" spans="1:18">
      <c r="A4297" s="7">
        <v>45901</v>
      </c>
      <c r="B4297" t="s">
        <v>43</v>
      </c>
      <c r="C4297" s="71" t="s">
        <v>24</v>
      </c>
      <c r="D4297" s="41">
        <v>100</v>
      </c>
      <c r="E4297" s="41">
        <v>100</v>
      </c>
      <c r="F4297" s="18" t="s">
        <v>17</v>
      </c>
      <c r="G4297" s="28">
        <v>45901</v>
      </c>
      <c r="H4297" s="26" t="s">
        <v>2142</v>
      </c>
      <c r="I4297" s="49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1">
        <f t="shared" si="165"/>
        <v>119900</v>
      </c>
      <c r="P4297" s="10">
        <v>1062</v>
      </c>
      <c r="Q4297" s="10" t="s">
        <v>1935</v>
      </c>
      <c r="R4297" s="50">
        <f>+テーブル1[[#This Row],[合計金額]]*テーブル1[[#This Row],[自社報酬率％]]/100</f>
        <v>119900</v>
      </c>
    </row>
    <row r="4298" spans="1:18">
      <c r="A4298" s="7">
        <v>45901</v>
      </c>
      <c r="B4298" t="s">
        <v>43</v>
      </c>
      <c r="C4298" s="71" t="s">
        <v>24</v>
      </c>
      <c r="D4298" s="41">
        <v>100</v>
      </c>
      <c r="E4298" s="41">
        <v>100</v>
      </c>
      <c r="F4298" s="18" t="s">
        <v>17</v>
      </c>
      <c r="G4298" s="28">
        <v>45901</v>
      </c>
      <c r="H4298" s="26" t="s">
        <v>1947</v>
      </c>
      <c r="I4298" s="49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1">
        <f t="shared" si="165"/>
        <v>27500</v>
      </c>
      <c r="P4298" s="10">
        <v>1063</v>
      </c>
      <c r="Q4298" s="10" t="s">
        <v>1935</v>
      </c>
      <c r="R4298" s="50">
        <f>+テーブル1[[#This Row],[合計金額]]*テーブル1[[#This Row],[自社報酬率％]]/100</f>
        <v>27500</v>
      </c>
    </row>
    <row r="4299" spans="1:18">
      <c r="A4299" s="7">
        <v>45901</v>
      </c>
      <c r="B4299" t="s">
        <v>43</v>
      </c>
      <c r="C4299" s="71" t="s">
        <v>24</v>
      </c>
      <c r="D4299" s="41">
        <v>100</v>
      </c>
      <c r="E4299" s="41">
        <v>100</v>
      </c>
      <c r="F4299" s="18" t="s">
        <v>17</v>
      </c>
      <c r="G4299" s="28">
        <v>45901</v>
      </c>
      <c r="H4299" s="26" t="s">
        <v>2143</v>
      </c>
      <c r="I4299" s="49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1">
        <f t="shared" si="165"/>
        <v>149875</v>
      </c>
      <c r="P4299" s="10">
        <v>1064</v>
      </c>
      <c r="Q4299" s="10" t="s">
        <v>1935</v>
      </c>
      <c r="R4299" s="50">
        <f>+テーブル1[[#This Row],[合計金額]]*テーブル1[[#This Row],[自社報酬率％]]/100</f>
        <v>149875</v>
      </c>
    </row>
    <row r="4300" spans="1:18">
      <c r="A4300" s="7">
        <v>45901</v>
      </c>
      <c r="B4300" t="s">
        <v>43</v>
      </c>
      <c r="C4300" s="71" t="s">
        <v>24</v>
      </c>
      <c r="D4300" s="41">
        <v>100</v>
      </c>
      <c r="E4300" s="41">
        <v>100</v>
      </c>
      <c r="F4300" s="18" t="s">
        <v>17</v>
      </c>
      <c r="G4300" s="28">
        <v>45901</v>
      </c>
      <c r="H4300" s="26" t="s">
        <v>2296</v>
      </c>
      <c r="I4300" s="49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1">
        <f t="shared" si="165"/>
        <v>89925</v>
      </c>
      <c r="P4300" s="10">
        <v>1065</v>
      </c>
      <c r="Q4300" s="10" t="s">
        <v>1935</v>
      </c>
      <c r="R4300" s="50">
        <f>+テーブル1[[#This Row],[合計金額]]*テーブル1[[#This Row],[自社報酬率％]]/100</f>
        <v>89925</v>
      </c>
    </row>
    <row r="4301" spans="1:18">
      <c r="A4301" s="7">
        <v>45901</v>
      </c>
      <c r="B4301" t="s">
        <v>43</v>
      </c>
      <c r="C4301" s="71" t="s">
        <v>24</v>
      </c>
      <c r="D4301" s="41">
        <v>100</v>
      </c>
      <c r="E4301" s="41">
        <v>100</v>
      </c>
      <c r="F4301" s="18" t="s">
        <v>17</v>
      </c>
      <c r="G4301" s="28">
        <v>45901</v>
      </c>
      <c r="H4301" s="26" t="s">
        <v>2425</v>
      </c>
      <c r="I4301" s="49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1">
        <f t="shared" si="165"/>
        <v>27500</v>
      </c>
      <c r="P4301" s="10">
        <v>1066</v>
      </c>
      <c r="Q4301" s="10" t="s">
        <v>1935</v>
      </c>
      <c r="R4301" s="50">
        <f>+テーブル1[[#This Row],[合計金額]]*テーブル1[[#This Row],[自社報酬率％]]/100</f>
        <v>27500</v>
      </c>
    </row>
    <row r="4302" spans="1:18">
      <c r="A4302" s="7">
        <v>45901</v>
      </c>
      <c r="B4302" t="s">
        <v>43</v>
      </c>
      <c r="C4302" s="71" t="s">
        <v>24</v>
      </c>
      <c r="D4302" s="41">
        <v>100</v>
      </c>
      <c r="E4302" s="41">
        <v>100</v>
      </c>
      <c r="F4302" s="18" t="s">
        <v>17</v>
      </c>
      <c r="G4302" s="28">
        <v>45901</v>
      </c>
      <c r="H4302" s="26" t="s">
        <v>2425</v>
      </c>
      <c r="I4302" s="49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1">
        <f t="shared" si="165"/>
        <v>179850</v>
      </c>
      <c r="P4302" s="10">
        <v>1067</v>
      </c>
      <c r="Q4302" s="10" t="s">
        <v>1935</v>
      </c>
      <c r="R4302" s="50">
        <f>+テーブル1[[#This Row],[合計金額]]*テーブル1[[#This Row],[自社報酬率％]]/100</f>
        <v>179850</v>
      </c>
    </row>
    <row r="4303" spans="1:18">
      <c r="A4303" s="7">
        <v>45901</v>
      </c>
      <c r="B4303" t="s">
        <v>43</v>
      </c>
      <c r="C4303" s="71" t="s">
        <v>24</v>
      </c>
      <c r="D4303" s="41">
        <v>100</v>
      </c>
      <c r="E4303" s="41">
        <v>100</v>
      </c>
      <c r="F4303" s="18" t="s">
        <v>17</v>
      </c>
      <c r="G4303" s="28">
        <v>45901</v>
      </c>
      <c r="H4303" s="26" t="s">
        <v>2522</v>
      </c>
      <c r="I4303" s="49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1">
        <f t="shared" si="165"/>
        <v>29975</v>
      </c>
      <c r="P4303" s="10">
        <v>1068</v>
      </c>
      <c r="Q4303" s="10" t="s">
        <v>1935</v>
      </c>
      <c r="R4303" s="50">
        <f>+テーブル1[[#This Row],[合計金額]]*テーブル1[[#This Row],[自社報酬率％]]/100</f>
        <v>29975</v>
      </c>
    </row>
    <row r="4304" spans="1:18">
      <c r="A4304" s="7">
        <v>45901</v>
      </c>
      <c r="B4304" t="s">
        <v>43</v>
      </c>
      <c r="C4304" s="71" t="s">
        <v>24</v>
      </c>
      <c r="D4304" s="41">
        <v>100</v>
      </c>
      <c r="E4304" s="41">
        <v>100</v>
      </c>
      <c r="F4304" s="18" t="s">
        <v>17</v>
      </c>
      <c r="G4304" s="28">
        <v>45901</v>
      </c>
      <c r="H4304" s="26" t="s">
        <v>2676</v>
      </c>
      <c r="I4304" s="49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1">
        <f t="shared" si="165"/>
        <v>179850</v>
      </c>
      <c r="P4304" s="10">
        <v>1069</v>
      </c>
      <c r="Q4304" s="10" t="s">
        <v>1935</v>
      </c>
      <c r="R4304" s="50">
        <f>+テーブル1[[#This Row],[合計金額]]*テーブル1[[#This Row],[自社報酬率％]]/100</f>
        <v>179850</v>
      </c>
    </row>
    <row r="4305" spans="1:18">
      <c r="A4305" s="7">
        <v>45901</v>
      </c>
      <c r="B4305" t="s">
        <v>43</v>
      </c>
      <c r="C4305" s="71" t="s">
        <v>24</v>
      </c>
      <c r="D4305" s="41">
        <v>100</v>
      </c>
      <c r="E4305" s="41">
        <v>100</v>
      </c>
      <c r="F4305" s="72" t="s">
        <v>17</v>
      </c>
      <c r="G4305" s="85">
        <v>45931</v>
      </c>
      <c r="H4305" s="26" t="s">
        <v>2891</v>
      </c>
      <c r="I4305" s="49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1">
        <f t="shared" si="165"/>
        <v>8074</v>
      </c>
      <c r="P4305" s="10">
        <v>1070</v>
      </c>
      <c r="Q4305" s="10" t="s">
        <v>1935</v>
      </c>
      <c r="R4305" s="50">
        <f>+テーブル1[[#This Row],[合計金額]]*テーブル1[[#This Row],[自社報酬率％]]/100</f>
        <v>8074</v>
      </c>
    </row>
    <row r="4306" spans="1:18">
      <c r="A4306" s="7">
        <v>45901</v>
      </c>
      <c r="B4306" t="s">
        <v>43</v>
      </c>
      <c r="C4306" s="71" t="s">
        <v>24</v>
      </c>
      <c r="D4306" s="41">
        <v>100</v>
      </c>
      <c r="E4306" s="41">
        <v>100</v>
      </c>
      <c r="F4306" s="101" t="s">
        <v>17</v>
      </c>
      <c r="G4306" s="102">
        <v>45962</v>
      </c>
      <c r="H4306" s="26" t="s">
        <v>2892</v>
      </c>
      <c r="I4306" s="49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1">
        <f t="shared" si="165"/>
        <v>8066</v>
      </c>
      <c r="P4306" s="10">
        <v>1071</v>
      </c>
      <c r="Q4306" s="10" t="s">
        <v>1935</v>
      </c>
      <c r="R4306" s="50">
        <f>+テーブル1[[#This Row],[合計金額]]*テーブル1[[#This Row],[自社報酬率％]]/100</f>
        <v>8066</v>
      </c>
    </row>
    <row r="4307" spans="1:18">
      <c r="A4307" s="7">
        <v>45901</v>
      </c>
      <c r="B4307" t="s">
        <v>43</v>
      </c>
      <c r="C4307" s="71" t="s">
        <v>24</v>
      </c>
      <c r="D4307" s="41">
        <v>100</v>
      </c>
      <c r="E4307" s="41">
        <v>100</v>
      </c>
      <c r="F4307" s="101" t="s">
        <v>17</v>
      </c>
      <c r="G4307" s="102">
        <v>45992</v>
      </c>
      <c r="H4307" s="26" t="s">
        <v>2893</v>
      </c>
      <c r="I4307" s="49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1">
        <f t="shared" si="165"/>
        <v>8066</v>
      </c>
      <c r="P4307" s="10">
        <v>1072</v>
      </c>
      <c r="Q4307" s="10" t="s">
        <v>1928</v>
      </c>
      <c r="R4307" s="50">
        <f>+テーブル1[[#This Row],[合計金額]]*テーブル1[[#This Row],[自社報酬率％]]/100</f>
        <v>8066</v>
      </c>
    </row>
    <row r="4308" spans="1:18">
      <c r="A4308" s="7">
        <v>45901</v>
      </c>
      <c r="B4308" t="s">
        <v>43</v>
      </c>
      <c r="C4308" s="71" t="s">
        <v>24</v>
      </c>
      <c r="D4308" s="41">
        <v>100</v>
      </c>
      <c r="E4308" s="41">
        <v>100</v>
      </c>
      <c r="F4308" s="101" t="s">
        <v>17</v>
      </c>
      <c r="G4308" s="102">
        <v>46023</v>
      </c>
      <c r="H4308" s="26" t="s">
        <v>2894</v>
      </c>
      <c r="I4308" s="49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1">
        <f t="shared" ref="O4308:O4371" si="169">+I4308*N4308</f>
        <v>8066</v>
      </c>
      <c r="P4308" s="10">
        <v>1073</v>
      </c>
      <c r="Q4308" s="10" t="s">
        <v>1928</v>
      </c>
      <c r="R4308" s="50">
        <f>+テーブル1[[#This Row],[合計金額]]*テーブル1[[#This Row],[自社報酬率％]]/100</f>
        <v>8066</v>
      </c>
    </row>
    <row r="4309" spans="1:18">
      <c r="A4309" s="7">
        <v>45901</v>
      </c>
      <c r="B4309" t="s">
        <v>43</v>
      </c>
      <c r="C4309" s="71" t="s">
        <v>24</v>
      </c>
      <c r="D4309" s="41">
        <v>100</v>
      </c>
      <c r="E4309" s="41">
        <v>100</v>
      </c>
      <c r="F4309" s="101" t="s">
        <v>17</v>
      </c>
      <c r="G4309" s="102">
        <v>46054</v>
      </c>
      <c r="H4309" s="26" t="s">
        <v>2895</v>
      </c>
      <c r="I4309" s="49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1">
        <f t="shared" si="169"/>
        <v>8066</v>
      </c>
      <c r="P4309" s="10">
        <v>1074</v>
      </c>
      <c r="Q4309" s="10" t="s">
        <v>1928</v>
      </c>
      <c r="R4309" s="50">
        <f>+テーブル1[[#This Row],[合計金額]]*テーブル1[[#This Row],[自社報酬率％]]/100</f>
        <v>8066</v>
      </c>
    </row>
    <row r="4310" spans="1:18">
      <c r="A4310" s="7">
        <v>45901</v>
      </c>
      <c r="B4310" t="s">
        <v>43</v>
      </c>
      <c r="C4310" s="71" t="s">
        <v>24</v>
      </c>
      <c r="D4310" s="41">
        <v>100</v>
      </c>
      <c r="E4310" s="41">
        <v>100</v>
      </c>
      <c r="F4310" s="101" t="s">
        <v>17</v>
      </c>
      <c r="G4310" s="102">
        <v>46082</v>
      </c>
      <c r="H4310" s="26" t="s">
        <v>2896</v>
      </c>
      <c r="I4310" s="49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1">
        <f t="shared" si="169"/>
        <v>8066</v>
      </c>
      <c r="P4310" s="10">
        <v>1075</v>
      </c>
      <c r="Q4310" s="10" t="s">
        <v>1928</v>
      </c>
      <c r="R4310" s="50">
        <f>+テーブル1[[#This Row],[合計金額]]*テーブル1[[#This Row],[自社報酬率％]]/100</f>
        <v>8066</v>
      </c>
    </row>
    <row r="4311" spans="1:18">
      <c r="A4311" s="7">
        <v>45901</v>
      </c>
      <c r="B4311" t="s">
        <v>43</v>
      </c>
      <c r="C4311" s="71" t="s">
        <v>24</v>
      </c>
      <c r="D4311" s="41">
        <v>100</v>
      </c>
      <c r="E4311" s="41">
        <v>100</v>
      </c>
      <c r="F4311" s="101" t="s">
        <v>17</v>
      </c>
      <c r="G4311" s="102">
        <v>46113</v>
      </c>
      <c r="H4311" s="26" t="s">
        <v>2897</v>
      </c>
      <c r="I4311" s="49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1">
        <f t="shared" si="169"/>
        <v>8066</v>
      </c>
      <c r="P4311" s="10">
        <v>1076</v>
      </c>
      <c r="Q4311" s="10" t="s">
        <v>1928</v>
      </c>
      <c r="R4311" s="50">
        <f>+テーブル1[[#This Row],[合計金額]]*テーブル1[[#This Row],[自社報酬率％]]/100</f>
        <v>8066</v>
      </c>
    </row>
    <row r="4312" spans="1:18">
      <c r="A4312" s="7">
        <v>45901</v>
      </c>
      <c r="B4312" t="s">
        <v>43</v>
      </c>
      <c r="C4312" s="71" t="s">
        <v>24</v>
      </c>
      <c r="D4312" s="41">
        <v>100</v>
      </c>
      <c r="E4312" s="41">
        <v>100</v>
      </c>
      <c r="F4312" s="101" t="s">
        <v>17</v>
      </c>
      <c r="G4312" s="102">
        <v>46143</v>
      </c>
      <c r="H4312" s="26" t="s">
        <v>2898</v>
      </c>
      <c r="I4312" s="49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1">
        <f t="shared" si="169"/>
        <v>8066</v>
      </c>
      <c r="P4312" s="10">
        <v>1077</v>
      </c>
      <c r="Q4312" s="10" t="s">
        <v>1928</v>
      </c>
      <c r="R4312" s="50">
        <f>+テーブル1[[#This Row],[合計金額]]*テーブル1[[#This Row],[自社報酬率％]]/100</f>
        <v>8066</v>
      </c>
    </row>
    <row r="4313" spans="1:18">
      <c r="A4313" s="7">
        <v>45901</v>
      </c>
      <c r="B4313" t="s">
        <v>43</v>
      </c>
      <c r="C4313" s="71" t="s">
        <v>24</v>
      </c>
      <c r="D4313" s="41">
        <v>100</v>
      </c>
      <c r="E4313" s="41">
        <v>100</v>
      </c>
      <c r="F4313" s="101" t="s">
        <v>17</v>
      </c>
      <c r="G4313" s="102">
        <v>46174</v>
      </c>
      <c r="H4313" s="26" t="s">
        <v>2899</v>
      </c>
      <c r="I4313" s="49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1">
        <f t="shared" si="169"/>
        <v>8066</v>
      </c>
      <c r="P4313" s="10">
        <v>1078</v>
      </c>
      <c r="Q4313" s="10" t="s">
        <v>1928</v>
      </c>
      <c r="R4313" s="50">
        <f>+テーブル1[[#This Row],[合計金額]]*テーブル1[[#This Row],[自社報酬率％]]/100</f>
        <v>8066</v>
      </c>
    </row>
    <row r="4314" spans="1:18">
      <c r="A4314" s="7">
        <v>45901</v>
      </c>
      <c r="B4314" t="s">
        <v>43</v>
      </c>
      <c r="C4314" s="71" t="s">
        <v>24</v>
      </c>
      <c r="D4314" s="41">
        <v>100</v>
      </c>
      <c r="E4314" s="41">
        <v>100</v>
      </c>
      <c r="F4314" s="101" t="s">
        <v>17</v>
      </c>
      <c r="G4314" s="102">
        <v>46204</v>
      </c>
      <c r="H4314" s="26" t="s">
        <v>2900</v>
      </c>
      <c r="I4314" s="49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1">
        <f t="shared" si="169"/>
        <v>8066</v>
      </c>
      <c r="P4314" s="10">
        <v>1079</v>
      </c>
      <c r="Q4314" s="10" t="s">
        <v>1928</v>
      </c>
      <c r="R4314" s="50">
        <f>+テーブル1[[#This Row],[合計金額]]*テーブル1[[#This Row],[自社報酬率％]]/100</f>
        <v>8066</v>
      </c>
    </row>
    <row r="4315" spans="1:18">
      <c r="A4315" s="7">
        <v>45901</v>
      </c>
      <c r="B4315" t="s">
        <v>43</v>
      </c>
      <c r="C4315" s="71" t="s">
        <v>24</v>
      </c>
      <c r="D4315" s="41">
        <v>100</v>
      </c>
      <c r="E4315" s="41">
        <v>100</v>
      </c>
      <c r="F4315" s="101" t="s">
        <v>17</v>
      </c>
      <c r="G4315" s="102">
        <v>46235</v>
      </c>
      <c r="H4315" s="26" t="s">
        <v>2901</v>
      </c>
      <c r="I4315" s="49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1">
        <f t="shared" si="169"/>
        <v>8066</v>
      </c>
      <c r="P4315" s="10">
        <v>1080</v>
      </c>
      <c r="Q4315" s="10" t="s">
        <v>1928</v>
      </c>
      <c r="R4315" s="50">
        <f>+テーブル1[[#This Row],[合計金額]]*テーブル1[[#This Row],[自社報酬率％]]/100</f>
        <v>8066</v>
      </c>
    </row>
    <row r="4316" spans="1:18">
      <c r="A4316" s="7">
        <v>45901</v>
      </c>
      <c r="B4316" t="s">
        <v>43</v>
      </c>
      <c r="C4316" s="71" t="s">
        <v>24</v>
      </c>
      <c r="D4316" s="41">
        <v>100</v>
      </c>
      <c r="E4316" s="41">
        <v>100</v>
      </c>
      <c r="F4316" s="76" t="s">
        <v>17</v>
      </c>
      <c r="G4316" s="86">
        <v>46266</v>
      </c>
      <c r="H4316" s="26" t="s">
        <v>2902</v>
      </c>
      <c r="I4316" s="49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1">
        <f t="shared" si="169"/>
        <v>8066</v>
      </c>
      <c r="P4316" s="10">
        <v>1081</v>
      </c>
      <c r="Q4316" s="10" t="s">
        <v>1928</v>
      </c>
      <c r="R4316" s="50">
        <f>+テーブル1[[#This Row],[合計金額]]*テーブル1[[#This Row],[自社報酬率％]]/100</f>
        <v>8066</v>
      </c>
    </row>
    <row r="4317" spans="1:18">
      <c r="A4317" s="7">
        <v>45901</v>
      </c>
      <c r="B4317" t="s">
        <v>43</v>
      </c>
      <c r="C4317" s="71" t="s">
        <v>24</v>
      </c>
      <c r="D4317" s="41">
        <v>100</v>
      </c>
      <c r="E4317" s="41">
        <v>100</v>
      </c>
      <c r="F4317" s="72" t="s">
        <v>19</v>
      </c>
      <c r="G4317" s="85">
        <v>45931</v>
      </c>
      <c r="H4317" s="26" t="s">
        <v>219</v>
      </c>
      <c r="I4317" s="49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1">
        <f t="shared" si="169"/>
        <v>8900</v>
      </c>
      <c r="P4317" s="10">
        <v>1082</v>
      </c>
      <c r="Q4317" s="10" t="s">
        <v>1935</v>
      </c>
      <c r="R4317" s="50">
        <f>+テーブル1[[#This Row],[合計金額]]*テーブル1[[#This Row],[自社報酬率％]]/100</f>
        <v>8900</v>
      </c>
    </row>
    <row r="4318" spans="1:18">
      <c r="A4318" s="7">
        <v>45901</v>
      </c>
      <c r="B4318" t="s">
        <v>43</v>
      </c>
      <c r="C4318" s="71" t="s">
        <v>24</v>
      </c>
      <c r="D4318" s="41">
        <v>100</v>
      </c>
      <c r="E4318" s="41">
        <v>100</v>
      </c>
      <c r="F4318" s="101" t="s">
        <v>19</v>
      </c>
      <c r="G4318" s="102">
        <v>45962</v>
      </c>
      <c r="H4318" s="26" t="s">
        <v>2903</v>
      </c>
      <c r="I4318" s="49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1">
        <f t="shared" si="169"/>
        <v>8900</v>
      </c>
      <c r="P4318" s="10">
        <v>1083</v>
      </c>
      <c r="Q4318" s="10" t="s">
        <v>1935</v>
      </c>
      <c r="R4318" s="50">
        <f>+テーブル1[[#This Row],[合計金額]]*テーブル1[[#This Row],[自社報酬率％]]/100</f>
        <v>8900</v>
      </c>
    </row>
    <row r="4319" spans="1:18">
      <c r="A4319" s="7">
        <v>45901</v>
      </c>
      <c r="B4319" t="s">
        <v>43</v>
      </c>
      <c r="C4319" s="71" t="s">
        <v>24</v>
      </c>
      <c r="D4319" s="41">
        <v>100</v>
      </c>
      <c r="E4319" s="41">
        <v>100</v>
      </c>
      <c r="F4319" s="101" t="s">
        <v>19</v>
      </c>
      <c r="G4319" s="102">
        <v>45992</v>
      </c>
      <c r="H4319" s="26" t="s">
        <v>2904</v>
      </c>
      <c r="I4319" s="49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1">
        <f t="shared" si="169"/>
        <v>8900</v>
      </c>
      <c r="P4319" s="10">
        <v>1084</v>
      </c>
      <c r="Q4319" s="10" t="s">
        <v>1928</v>
      </c>
      <c r="R4319" s="50">
        <f>+テーブル1[[#This Row],[合計金額]]*テーブル1[[#This Row],[自社報酬率％]]/100</f>
        <v>8900</v>
      </c>
    </row>
    <row r="4320" spans="1:18">
      <c r="A4320" s="7">
        <v>45901</v>
      </c>
      <c r="B4320" t="s">
        <v>43</v>
      </c>
      <c r="C4320" s="71" t="s">
        <v>24</v>
      </c>
      <c r="D4320" s="41">
        <v>100</v>
      </c>
      <c r="E4320" s="41">
        <v>100</v>
      </c>
      <c r="F4320" s="101" t="s">
        <v>19</v>
      </c>
      <c r="G4320" s="102">
        <v>46023</v>
      </c>
      <c r="H4320" s="26" t="s">
        <v>2905</v>
      </c>
      <c r="I4320" s="49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1">
        <f t="shared" si="169"/>
        <v>8900</v>
      </c>
      <c r="P4320" s="10">
        <v>1085</v>
      </c>
      <c r="Q4320" s="10" t="s">
        <v>1928</v>
      </c>
      <c r="R4320" s="50">
        <f>+テーブル1[[#This Row],[合計金額]]*テーブル1[[#This Row],[自社報酬率％]]/100</f>
        <v>8900</v>
      </c>
    </row>
    <row r="4321" spans="1:18">
      <c r="A4321" s="7">
        <v>45901</v>
      </c>
      <c r="B4321" t="s">
        <v>43</v>
      </c>
      <c r="C4321" s="71" t="s">
        <v>24</v>
      </c>
      <c r="D4321" s="41">
        <v>100</v>
      </c>
      <c r="E4321" s="41">
        <v>100</v>
      </c>
      <c r="F4321" s="101" t="s">
        <v>19</v>
      </c>
      <c r="G4321" s="102">
        <v>46054</v>
      </c>
      <c r="H4321" s="26" t="s">
        <v>2906</v>
      </c>
      <c r="I4321" s="49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1">
        <f t="shared" si="169"/>
        <v>8900</v>
      </c>
      <c r="P4321" s="10">
        <v>1086</v>
      </c>
      <c r="Q4321" s="10" t="s">
        <v>1928</v>
      </c>
      <c r="R4321" s="50">
        <f>+テーブル1[[#This Row],[合計金額]]*テーブル1[[#This Row],[自社報酬率％]]/100</f>
        <v>8900</v>
      </c>
    </row>
    <row r="4322" spans="1:18">
      <c r="A4322" s="7">
        <v>45901</v>
      </c>
      <c r="B4322" t="s">
        <v>43</v>
      </c>
      <c r="C4322" s="71" t="s">
        <v>24</v>
      </c>
      <c r="D4322" s="41">
        <v>100</v>
      </c>
      <c r="E4322" s="41">
        <v>100</v>
      </c>
      <c r="F4322" s="76" t="s">
        <v>19</v>
      </c>
      <c r="G4322" s="86">
        <v>46082</v>
      </c>
      <c r="H4322" s="26" t="s">
        <v>2907</v>
      </c>
      <c r="I4322" s="49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1">
        <f t="shared" si="169"/>
        <v>8900</v>
      </c>
      <c r="P4322" s="10">
        <v>1087</v>
      </c>
      <c r="Q4322" s="10" t="s">
        <v>1928</v>
      </c>
      <c r="R4322" s="50">
        <f>+テーブル1[[#This Row],[合計金額]]*テーブル1[[#This Row],[自社報酬率％]]/100</f>
        <v>8900</v>
      </c>
    </row>
    <row r="4323" spans="1:18">
      <c r="A4323" s="7">
        <v>45901</v>
      </c>
      <c r="B4323" t="s">
        <v>43</v>
      </c>
      <c r="C4323" s="71" t="s">
        <v>24</v>
      </c>
      <c r="D4323" s="41">
        <v>100</v>
      </c>
      <c r="E4323" s="41">
        <v>100</v>
      </c>
      <c r="F4323" s="101" t="s">
        <v>16</v>
      </c>
      <c r="G4323" s="102">
        <v>45931</v>
      </c>
      <c r="H4323" s="26" t="s">
        <v>2908</v>
      </c>
      <c r="I4323" s="49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1">
        <f t="shared" si="169"/>
        <v>11000</v>
      </c>
      <c r="P4323" s="10">
        <v>1088</v>
      </c>
      <c r="Q4323" s="10" t="s">
        <v>1935</v>
      </c>
      <c r="R4323" s="50">
        <f>+テーブル1[[#This Row],[合計金額]]*テーブル1[[#This Row],[自社報酬率％]]/100</f>
        <v>11000</v>
      </c>
    </row>
    <row r="4324" spans="1:18">
      <c r="A4324" s="7">
        <v>45901</v>
      </c>
      <c r="B4324" t="s">
        <v>43</v>
      </c>
      <c r="C4324" s="71" t="s">
        <v>24</v>
      </c>
      <c r="D4324" s="41">
        <v>100</v>
      </c>
      <c r="E4324" s="41">
        <v>100</v>
      </c>
      <c r="F4324" s="101" t="s">
        <v>16</v>
      </c>
      <c r="G4324" s="102">
        <v>45931</v>
      </c>
      <c r="H4324" s="26" t="s">
        <v>2909</v>
      </c>
      <c r="I4324" s="49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1">
        <f t="shared" si="169"/>
        <v>33000</v>
      </c>
      <c r="P4324" s="10">
        <v>1089</v>
      </c>
      <c r="Q4324" s="10" t="s">
        <v>1935</v>
      </c>
      <c r="R4324" s="50">
        <f>+テーブル1[[#This Row],[合計金額]]*テーブル1[[#This Row],[自社報酬率％]]/100</f>
        <v>33000</v>
      </c>
    </row>
    <row r="4325" spans="1:18">
      <c r="A4325" s="7">
        <v>45901</v>
      </c>
      <c r="B4325" t="s">
        <v>43</v>
      </c>
      <c r="C4325" s="71" t="s">
        <v>24</v>
      </c>
      <c r="D4325" s="41">
        <v>100</v>
      </c>
      <c r="E4325" s="41">
        <v>100</v>
      </c>
      <c r="F4325" s="82" t="s">
        <v>20</v>
      </c>
      <c r="G4325" s="87">
        <v>45901</v>
      </c>
      <c r="H4325" s="26" t="s">
        <v>2782</v>
      </c>
      <c r="I4325" s="49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1">
        <f t="shared" si="169"/>
        <v>0</v>
      </c>
      <c r="P4325" s="10">
        <v>1090</v>
      </c>
      <c r="Q4325" s="10" t="s">
        <v>1935</v>
      </c>
      <c r="R4325" s="50">
        <f>+テーブル1[[#This Row],[合計金額]]*テーブル1[[#This Row],[自社報酬率％]]/100</f>
        <v>0</v>
      </c>
    </row>
    <row r="4326" spans="1:18">
      <c r="A4326" s="7">
        <v>45901</v>
      </c>
      <c r="B4326" t="s">
        <v>43</v>
      </c>
      <c r="C4326" s="18" t="s">
        <v>1962</v>
      </c>
      <c r="D4326" s="41">
        <v>50</v>
      </c>
      <c r="E4326" s="41">
        <v>50</v>
      </c>
      <c r="F4326" s="18" t="s">
        <v>19</v>
      </c>
      <c r="G4326" s="28">
        <v>45901</v>
      </c>
      <c r="H4326" s="26" t="s">
        <v>2910</v>
      </c>
      <c r="I4326" s="49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1">
        <f t="shared" si="169"/>
        <v>3890700</v>
      </c>
      <c r="P4326" s="10">
        <v>1091</v>
      </c>
      <c r="Q4326" s="10" t="s">
        <v>1935</v>
      </c>
      <c r="R4326" s="50">
        <f>+テーブル1[[#This Row],[合計金額]]*テーブル1[[#This Row],[自社報酬率％]]/100</f>
        <v>1945350</v>
      </c>
    </row>
    <row r="4327" spans="1:18">
      <c r="A4327" s="7">
        <v>45901</v>
      </c>
      <c r="B4327" t="s">
        <v>43</v>
      </c>
      <c r="C4327" s="18" t="s">
        <v>1962</v>
      </c>
      <c r="D4327" s="41">
        <v>50</v>
      </c>
      <c r="E4327" s="41">
        <v>50</v>
      </c>
      <c r="F4327" s="18" t="s">
        <v>19</v>
      </c>
      <c r="G4327" s="28">
        <v>45901</v>
      </c>
      <c r="H4327" s="26" t="s">
        <v>2911</v>
      </c>
      <c r="I4327" s="49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1">
        <f t="shared" si="169"/>
        <v>366800</v>
      </c>
      <c r="P4327" s="10">
        <v>1092</v>
      </c>
      <c r="Q4327" s="10" t="s">
        <v>1935</v>
      </c>
      <c r="R4327" s="50">
        <f>+テーブル1[[#This Row],[合計金額]]*テーブル1[[#This Row],[自社報酬率％]]/100</f>
        <v>183400</v>
      </c>
    </row>
    <row r="4328" spans="1:18">
      <c r="A4328" s="7">
        <v>45901</v>
      </c>
      <c r="B4328" t="s">
        <v>43</v>
      </c>
      <c r="C4328" s="18" t="s">
        <v>1962</v>
      </c>
      <c r="D4328" s="41">
        <v>50</v>
      </c>
      <c r="E4328" s="41">
        <v>50</v>
      </c>
      <c r="F4328" s="18" t="s">
        <v>19</v>
      </c>
      <c r="G4328" s="28">
        <v>45901</v>
      </c>
      <c r="H4328" s="26" t="s">
        <v>2158</v>
      </c>
      <c r="I4328" s="49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1">
        <f t="shared" si="169"/>
        <v>648450</v>
      </c>
      <c r="P4328" s="10">
        <v>1093</v>
      </c>
      <c r="Q4328" s="10" t="s">
        <v>1935</v>
      </c>
      <c r="R4328" s="50">
        <f>+テーブル1[[#This Row],[合計金額]]*テーブル1[[#This Row],[自社報酬率％]]/100</f>
        <v>324225</v>
      </c>
    </row>
    <row r="4329" spans="1:18">
      <c r="A4329" s="7">
        <v>45901</v>
      </c>
      <c r="B4329" t="s">
        <v>43</v>
      </c>
      <c r="C4329" s="18" t="s">
        <v>1962</v>
      </c>
      <c r="D4329" s="41">
        <v>50</v>
      </c>
      <c r="E4329" s="41">
        <v>50</v>
      </c>
      <c r="F4329" s="18" t="s">
        <v>19</v>
      </c>
      <c r="G4329" s="28">
        <v>45901</v>
      </c>
      <c r="H4329" s="26" t="s">
        <v>2159</v>
      </c>
      <c r="I4329" s="49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1">
        <f t="shared" si="169"/>
        <v>144100</v>
      </c>
      <c r="P4329" s="10">
        <v>1094</v>
      </c>
      <c r="Q4329" s="10" t="s">
        <v>1935</v>
      </c>
      <c r="R4329" s="50">
        <f>+テーブル1[[#This Row],[合計金額]]*テーブル1[[#This Row],[自社報酬率％]]/100</f>
        <v>72050</v>
      </c>
    </row>
    <row r="4330" spans="1:18">
      <c r="A4330" s="7">
        <v>45901</v>
      </c>
      <c r="B4330" t="s">
        <v>43</v>
      </c>
      <c r="C4330" s="18" t="s">
        <v>1962</v>
      </c>
      <c r="D4330" s="41">
        <v>50</v>
      </c>
      <c r="E4330" s="41">
        <v>50</v>
      </c>
      <c r="F4330" s="18" t="s">
        <v>19</v>
      </c>
      <c r="G4330" s="28">
        <v>45901</v>
      </c>
      <c r="H4330" s="26" t="s">
        <v>2160</v>
      </c>
      <c r="I4330" s="49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1">
        <f t="shared" si="169"/>
        <v>1513050</v>
      </c>
      <c r="P4330" s="10">
        <v>1095</v>
      </c>
      <c r="Q4330" s="10" t="s">
        <v>1935</v>
      </c>
      <c r="R4330" s="50">
        <f>+テーブル1[[#This Row],[合計金額]]*テーブル1[[#This Row],[自社報酬率％]]/100</f>
        <v>756525</v>
      </c>
    </row>
    <row r="4331" spans="1:18">
      <c r="A4331" s="7">
        <v>45901</v>
      </c>
      <c r="B4331" t="s">
        <v>43</v>
      </c>
      <c r="C4331" s="18" t="s">
        <v>1962</v>
      </c>
      <c r="D4331" s="41">
        <v>50</v>
      </c>
      <c r="E4331" s="41">
        <v>50</v>
      </c>
      <c r="F4331" s="18" t="s">
        <v>19</v>
      </c>
      <c r="G4331" s="28">
        <v>45901</v>
      </c>
      <c r="H4331" s="26" t="s">
        <v>2434</v>
      </c>
      <c r="I4331" s="49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1">
        <f t="shared" si="169"/>
        <v>432300</v>
      </c>
      <c r="P4331" s="10">
        <v>1096</v>
      </c>
      <c r="Q4331" s="10" t="s">
        <v>1935</v>
      </c>
      <c r="R4331" s="50">
        <f>+テーブル1[[#This Row],[合計金額]]*テーブル1[[#This Row],[自社報酬率％]]/100</f>
        <v>216150</v>
      </c>
    </row>
    <row r="4332" spans="1:18">
      <c r="A4332" s="7">
        <v>45901</v>
      </c>
      <c r="B4332" t="s">
        <v>43</v>
      </c>
      <c r="C4332" s="18" t="s">
        <v>1962</v>
      </c>
      <c r="D4332" s="41">
        <v>50</v>
      </c>
      <c r="E4332" s="41">
        <v>50</v>
      </c>
      <c r="F4332" s="18" t="s">
        <v>19</v>
      </c>
      <c r="G4332" s="28">
        <v>45901</v>
      </c>
      <c r="H4332" s="26" t="s">
        <v>2318</v>
      </c>
      <c r="I4332" s="49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1">
        <f t="shared" si="169"/>
        <v>275000</v>
      </c>
      <c r="P4332" s="10">
        <v>1097</v>
      </c>
      <c r="Q4332" s="10" t="s">
        <v>1935</v>
      </c>
      <c r="R4332" s="50">
        <f>+テーブル1[[#This Row],[合計金額]]*テーブル1[[#This Row],[自社報酬率％]]/100</f>
        <v>137500</v>
      </c>
    </row>
    <row r="4333" spans="1:18">
      <c r="A4333" s="7">
        <v>45901</v>
      </c>
      <c r="B4333" t="s">
        <v>43</v>
      </c>
      <c r="C4333" s="18" t="s">
        <v>1962</v>
      </c>
      <c r="D4333" s="41">
        <v>50</v>
      </c>
      <c r="E4333" s="41">
        <v>50</v>
      </c>
      <c r="F4333" s="18" t="s">
        <v>19</v>
      </c>
      <c r="G4333" s="28">
        <v>45901</v>
      </c>
      <c r="H4333" s="26" t="s">
        <v>2912</v>
      </c>
      <c r="I4333" s="49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1">
        <f t="shared" si="169"/>
        <v>19620</v>
      </c>
      <c r="P4333" s="10">
        <v>1098</v>
      </c>
      <c r="Q4333" s="10" t="s">
        <v>1935</v>
      </c>
      <c r="R4333" s="50">
        <f>+テーブル1[[#This Row],[合計金額]]*テーブル1[[#This Row],[自社報酬率％]]/100</f>
        <v>9810</v>
      </c>
    </row>
    <row r="4334" spans="1:18">
      <c r="A4334" s="7">
        <v>45901</v>
      </c>
      <c r="B4334" t="s">
        <v>43</v>
      </c>
      <c r="C4334" s="18" t="s">
        <v>1962</v>
      </c>
      <c r="D4334" s="41">
        <v>50</v>
      </c>
      <c r="E4334" s="41">
        <v>50</v>
      </c>
      <c r="F4334" s="18" t="s">
        <v>19</v>
      </c>
      <c r="G4334" s="28">
        <v>45901</v>
      </c>
      <c r="H4334" s="26" t="s">
        <v>2913</v>
      </c>
      <c r="I4334" s="49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1">
        <f t="shared" si="169"/>
        <v>211400</v>
      </c>
      <c r="P4334" s="10">
        <v>1099</v>
      </c>
      <c r="Q4334" s="10" t="s">
        <v>1935</v>
      </c>
      <c r="R4334" s="50">
        <f>+テーブル1[[#This Row],[合計金額]]*テーブル1[[#This Row],[自社報酬率％]]/100</f>
        <v>105700</v>
      </c>
    </row>
    <row r="4335" spans="1:18">
      <c r="A4335" s="7">
        <v>45901</v>
      </c>
      <c r="B4335" t="s">
        <v>43</v>
      </c>
      <c r="C4335" s="101" t="s">
        <v>1962</v>
      </c>
      <c r="D4335" s="41">
        <v>50</v>
      </c>
      <c r="E4335" s="41">
        <v>50</v>
      </c>
      <c r="F4335" s="101" t="s">
        <v>16</v>
      </c>
      <c r="G4335" s="102">
        <v>45931</v>
      </c>
      <c r="H4335" s="26" t="s">
        <v>2914</v>
      </c>
      <c r="I4335" s="49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1">
        <f t="shared" si="169"/>
        <v>79200</v>
      </c>
      <c r="P4335" s="10">
        <v>1100</v>
      </c>
      <c r="Q4335" s="10" t="s">
        <v>1935</v>
      </c>
      <c r="R4335" s="50">
        <f>+テーブル1[[#This Row],[合計金額]]*テーブル1[[#This Row],[自社報酬率％]]/100</f>
        <v>39600</v>
      </c>
    </row>
    <row r="4336" spans="1:18">
      <c r="A4336" s="7">
        <v>45901</v>
      </c>
      <c r="B4336" t="s">
        <v>43</v>
      </c>
      <c r="C4336" s="101" t="s">
        <v>1962</v>
      </c>
      <c r="D4336" s="41">
        <v>50</v>
      </c>
      <c r="E4336" s="41">
        <v>50</v>
      </c>
      <c r="F4336" s="101" t="s">
        <v>16</v>
      </c>
      <c r="G4336" s="102">
        <v>45931</v>
      </c>
      <c r="H4336" s="26" t="s">
        <v>2914</v>
      </c>
      <c r="I4336" s="49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1">
        <f t="shared" si="169"/>
        <v>391500</v>
      </c>
      <c r="P4336" s="10">
        <v>1101</v>
      </c>
      <c r="Q4336" s="10" t="s">
        <v>1935</v>
      </c>
      <c r="R4336" s="50">
        <f>+テーブル1[[#This Row],[合計金額]]*テーブル1[[#This Row],[自社報酬率％]]/100</f>
        <v>195750</v>
      </c>
    </row>
    <row r="4337" spans="1:18">
      <c r="A4337" s="7">
        <v>45901</v>
      </c>
      <c r="B4337" t="s">
        <v>43</v>
      </c>
      <c r="C4337" s="101" t="s">
        <v>1962</v>
      </c>
      <c r="D4337" s="41">
        <v>50</v>
      </c>
      <c r="E4337" s="41">
        <v>50</v>
      </c>
      <c r="F4337" s="101" t="s">
        <v>16</v>
      </c>
      <c r="G4337" s="102">
        <v>45931</v>
      </c>
      <c r="H4337" s="26" t="s">
        <v>2915</v>
      </c>
      <c r="I4337" s="49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1">
        <f t="shared" si="169"/>
        <v>9660</v>
      </c>
      <c r="P4337" s="10">
        <v>1102</v>
      </c>
      <c r="Q4337" s="10" t="s">
        <v>1935</v>
      </c>
      <c r="R4337" s="50">
        <f>+テーブル1[[#This Row],[合計金額]]*テーブル1[[#This Row],[自社報酬率％]]/100</f>
        <v>4830</v>
      </c>
    </row>
    <row r="4338" spans="1:18">
      <c r="A4338" s="7">
        <v>45901</v>
      </c>
      <c r="B4338" t="s">
        <v>43</v>
      </c>
      <c r="C4338" s="101" t="s">
        <v>1962</v>
      </c>
      <c r="D4338" s="41">
        <v>50</v>
      </c>
      <c r="E4338" s="41">
        <v>50</v>
      </c>
      <c r="F4338" s="101" t="s">
        <v>20</v>
      </c>
      <c r="G4338" s="102">
        <v>45931</v>
      </c>
      <c r="H4338" s="26" t="s">
        <v>2916</v>
      </c>
      <c r="I4338" s="49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1">
        <f t="shared" si="169"/>
        <v>1220100</v>
      </c>
      <c r="P4338" s="10">
        <v>1103</v>
      </c>
      <c r="Q4338" s="10" t="s">
        <v>1935</v>
      </c>
      <c r="R4338" s="50">
        <f>+テーブル1[[#This Row],[合計金額]]*テーブル1[[#This Row],[自社報酬率％]]/100</f>
        <v>610050</v>
      </c>
    </row>
    <row r="4339" spans="1:18">
      <c r="A4339" s="7">
        <v>45901</v>
      </c>
      <c r="B4339" t="s">
        <v>43</v>
      </c>
      <c r="C4339" s="101" t="s">
        <v>1962</v>
      </c>
      <c r="D4339" s="41">
        <v>50</v>
      </c>
      <c r="E4339" s="41">
        <v>50</v>
      </c>
      <c r="F4339" s="101" t="s">
        <v>20</v>
      </c>
      <c r="G4339" s="102">
        <v>45931</v>
      </c>
      <c r="H4339" s="26" t="s">
        <v>2917</v>
      </c>
      <c r="I4339" s="49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1">
        <f t="shared" si="169"/>
        <v>4900</v>
      </c>
      <c r="P4339" s="10">
        <v>1104</v>
      </c>
      <c r="Q4339" s="10" t="s">
        <v>1935</v>
      </c>
      <c r="R4339" s="50">
        <f>+テーブル1[[#This Row],[合計金額]]*テーブル1[[#This Row],[自社報酬率％]]/100</f>
        <v>2450</v>
      </c>
    </row>
    <row r="4340" spans="1:18">
      <c r="A4340" s="7">
        <v>45901</v>
      </c>
      <c r="B4340" t="s">
        <v>43</v>
      </c>
      <c r="C4340" s="18" t="s">
        <v>1962</v>
      </c>
      <c r="D4340" s="41">
        <v>50</v>
      </c>
      <c r="E4340" s="41">
        <v>50</v>
      </c>
      <c r="F4340" s="18" t="s">
        <v>20</v>
      </c>
      <c r="G4340" s="28">
        <v>45901</v>
      </c>
      <c r="H4340" s="26" t="s">
        <v>2792</v>
      </c>
      <c r="I4340" s="49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1">
        <f t="shared" si="169"/>
        <v>4800</v>
      </c>
      <c r="P4340" s="10">
        <v>1105</v>
      </c>
      <c r="Q4340" s="10" t="s">
        <v>1935</v>
      </c>
      <c r="R4340" s="50">
        <f>+テーブル1[[#This Row],[合計金額]]*テーブル1[[#This Row],[自社報酬率％]]/100</f>
        <v>2400</v>
      </c>
    </row>
    <row r="4341" spans="1:18">
      <c r="A4341" s="7">
        <v>45901</v>
      </c>
      <c r="B4341" t="s">
        <v>43</v>
      </c>
      <c r="C4341" s="18" t="s">
        <v>1962</v>
      </c>
      <c r="D4341" s="41">
        <v>50</v>
      </c>
      <c r="E4341" s="41">
        <v>50</v>
      </c>
      <c r="F4341" s="18" t="s">
        <v>20</v>
      </c>
      <c r="G4341" s="28">
        <v>45901</v>
      </c>
      <c r="H4341" s="26" t="s">
        <v>2918</v>
      </c>
      <c r="I4341" s="49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1">
        <f t="shared" si="169"/>
        <v>2400</v>
      </c>
      <c r="P4341" s="10">
        <v>1106</v>
      </c>
      <c r="Q4341" s="10" t="s">
        <v>1935</v>
      </c>
      <c r="R4341" s="50">
        <f>+テーブル1[[#This Row],[合計金額]]*テーブル1[[#This Row],[自社報酬率％]]/100</f>
        <v>1200</v>
      </c>
    </row>
    <row r="4342" spans="1:18">
      <c r="A4342" s="7">
        <v>45901</v>
      </c>
      <c r="B4342" t="s">
        <v>43</v>
      </c>
      <c r="C4342" s="18" t="s">
        <v>1962</v>
      </c>
      <c r="D4342" s="41">
        <v>50</v>
      </c>
      <c r="E4342" s="41">
        <v>50</v>
      </c>
      <c r="F4342" s="18" t="s">
        <v>20</v>
      </c>
      <c r="G4342" s="28">
        <v>45901</v>
      </c>
      <c r="H4342" s="26" t="s">
        <v>2326</v>
      </c>
      <c r="I4342" s="49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1">
        <f t="shared" si="169"/>
        <v>39120</v>
      </c>
      <c r="P4342" s="10">
        <v>1107</v>
      </c>
      <c r="Q4342" s="10" t="s">
        <v>1935</v>
      </c>
      <c r="R4342" s="50">
        <f>+テーブル1[[#This Row],[合計金額]]*テーブル1[[#This Row],[自社報酬率％]]/100</f>
        <v>19560</v>
      </c>
    </row>
    <row r="4343" spans="1:18">
      <c r="A4343" s="7">
        <v>45901</v>
      </c>
      <c r="B4343" t="s">
        <v>43</v>
      </c>
      <c r="C4343" s="18" t="s">
        <v>1962</v>
      </c>
      <c r="D4343" s="41">
        <v>50</v>
      </c>
      <c r="E4343" s="41">
        <v>50</v>
      </c>
      <c r="F4343" s="18" t="s">
        <v>20</v>
      </c>
      <c r="G4343" s="28">
        <v>45901</v>
      </c>
      <c r="H4343" s="26" t="s">
        <v>2542</v>
      </c>
      <c r="I4343" s="49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1">
        <f t="shared" si="169"/>
        <v>33176</v>
      </c>
      <c r="P4343" s="10">
        <v>1108</v>
      </c>
      <c r="Q4343" s="10" t="s">
        <v>1935</v>
      </c>
      <c r="R4343" s="50">
        <f>+テーブル1[[#This Row],[合計金額]]*テーブル1[[#This Row],[自社報酬率％]]/100</f>
        <v>16588</v>
      </c>
    </row>
    <row r="4344" spans="1:18">
      <c r="A4344" s="7">
        <v>45901</v>
      </c>
      <c r="B4344" t="s">
        <v>43</v>
      </c>
      <c r="C4344" s="79" t="s">
        <v>1962</v>
      </c>
      <c r="D4344" s="41">
        <v>55</v>
      </c>
      <c r="E4344" s="41">
        <v>45</v>
      </c>
      <c r="F4344" s="72" t="s">
        <v>17</v>
      </c>
      <c r="G4344" s="85">
        <v>45931</v>
      </c>
      <c r="H4344" s="26" t="s">
        <v>2919</v>
      </c>
      <c r="I4344" s="49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1">
        <f t="shared" si="169"/>
        <v>198135</v>
      </c>
      <c r="P4344" s="10">
        <v>1109</v>
      </c>
      <c r="Q4344" s="10" t="s">
        <v>1935</v>
      </c>
      <c r="R4344" s="50">
        <f>+テーブル1[[#This Row],[合計金額]]*テーブル1[[#This Row],[自社報酬率％]]/100</f>
        <v>89160.75</v>
      </c>
    </row>
    <row r="4345" spans="1:18">
      <c r="A4345" s="7">
        <v>45901</v>
      </c>
      <c r="B4345" t="s">
        <v>43</v>
      </c>
      <c r="C4345" s="80" t="s">
        <v>1962</v>
      </c>
      <c r="D4345" s="41">
        <v>55</v>
      </c>
      <c r="E4345" s="41">
        <v>45</v>
      </c>
      <c r="F4345" s="101" t="s">
        <v>17</v>
      </c>
      <c r="G4345" s="102">
        <v>45962</v>
      </c>
      <c r="H4345" s="26" t="s">
        <v>2920</v>
      </c>
      <c r="I4345" s="49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1">
        <f t="shared" si="169"/>
        <v>198135</v>
      </c>
      <c r="P4345" s="10">
        <v>1110</v>
      </c>
      <c r="Q4345" s="10" t="s">
        <v>1935</v>
      </c>
      <c r="R4345" s="50">
        <f>+テーブル1[[#This Row],[合計金額]]*テーブル1[[#This Row],[自社報酬率％]]/100</f>
        <v>89160.75</v>
      </c>
    </row>
    <row r="4346" spans="1:18">
      <c r="A4346" s="7">
        <v>45901</v>
      </c>
      <c r="B4346" t="s">
        <v>43</v>
      </c>
      <c r="C4346" s="80" t="s">
        <v>1962</v>
      </c>
      <c r="D4346" s="41">
        <v>55</v>
      </c>
      <c r="E4346" s="41">
        <v>45</v>
      </c>
      <c r="F4346" s="101" t="s">
        <v>17</v>
      </c>
      <c r="G4346" s="102">
        <v>45992</v>
      </c>
      <c r="H4346" s="26" t="s">
        <v>2921</v>
      </c>
      <c r="I4346" s="49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1">
        <f t="shared" si="169"/>
        <v>198135</v>
      </c>
      <c r="P4346" s="10">
        <v>1111</v>
      </c>
      <c r="Q4346" s="10" t="s">
        <v>1928</v>
      </c>
      <c r="R4346" s="50">
        <f>+テーブル1[[#This Row],[合計金額]]*テーブル1[[#This Row],[自社報酬率％]]/100</f>
        <v>89160.75</v>
      </c>
    </row>
    <row r="4347" spans="1:18">
      <c r="A4347" s="7">
        <v>45901</v>
      </c>
      <c r="B4347" t="s">
        <v>43</v>
      </c>
      <c r="C4347" s="80" t="s">
        <v>1962</v>
      </c>
      <c r="D4347" s="41">
        <v>55</v>
      </c>
      <c r="E4347" s="41">
        <v>45</v>
      </c>
      <c r="F4347" s="101" t="s">
        <v>17</v>
      </c>
      <c r="G4347" s="102">
        <v>46023</v>
      </c>
      <c r="H4347" s="26" t="s">
        <v>2922</v>
      </c>
      <c r="I4347" s="49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1">
        <f t="shared" si="169"/>
        <v>198135</v>
      </c>
      <c r="P4347" s="10">
        <v>1112</v>
      </c>
      <c r="Q4347" s="10" t="s">
        <v>1928</v>
      </c>
      <c r="R4347" s="50">
        <f>+テーブル1[[#This Row],[合計金額]]*テーブル1[[#This Row],[自社報酬率％]]/100</f>
        <v>89160.75</v>
      </c>
    </row>
    <row r="4348" spans="1:18">
      <c r="A4348" s="7">
        <v>45901</v>
      </c>
      <c r="B4348" t="s">
        <v>43</v>
      </c>
      <c r="C4348" s="80" t="s">
        <v>1962</v>
      </c>
      <c r="D4348" s="41">
        <v>55</v>
      </c>
      <c r="E4348" s="41">
        <v>45</v>
      </c>
      <c r="F4348" s="101" t="s">
        <v>17</v>
      </c>
      <c r="G4348" s="102">
        <v>46054</v>
      </c>
      <c r="H4348" s="26" t="s">
        <v>2923</v>
      </c>
      <c r="I4348" s="49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1">
        <f t="shared" si="169"/>
        <v>198135</v>
      </c>
      <c r="P4348" s="10">
        <v>1113</v>
      </c>
      <c r="Q4348" s="10" t="s">
        <v>1928</v>
      </c>
      <c r="R4348" s="50">
        <f>+テーブル1[[#This Row],[合計金額]]*テーブル1[[#This Row],[自社報酬率％]]/100</f>
        <v>89160.75</v>
      </c>
    </row>
    <row r="4349" spans="1:18">
      <c r="A4349" s="7">
        <v>45901</v>
      </c>
      <c r="B4349" t="s">
        <v>43</v>
      </c>
      <c r="C4349" s="80" t="s">
        <v>1962</v>
      </c>
      <c r="D4349" s="41">
        <v>55</v>
      </c>
      <c r="E4349" s="41">
        <v>45</v>
      </c>
      <c r="F4349" s="101" t="s">
        <v>17</v>
      </c>
      <c r="G4349" s="102">
        <v>46082</v>
      </c>
      <c r="H4349" s="26" t="s">
        <v>2924</v>
      </c>
      <c r="I4349" s="49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1">
        <f t="shared" si="169"/>
        <v>198135</v>
      </c>
      <c r="P4349" s="10">
        <v>1114</v>
      </c>
      <c r="Q4349" s="10" t="s">
        <v>1928</v>
      </c>
      <c r="R4349" s="50">
        <f>+テーブル1[[#This Row],[合計金額]]*テーブル1[[#This Row],[自社報酬率％]]/100</f>
        <v>89160.75</v>
      </c>
    </row>
    <row r="4350" spans="1:18">
      <c r="A4350" s="7">
        <v>45901</v>
      </c>
      <c r="B4350" t="s">
        <v>43</v>
      </c>
      <c r="C4350" s="80" t="s">
        <v>1962</v>
      </c>
      <c r="D4350" s="41">
        <v>55</v>
      </c>
      <c r="E4350" s="41">
        <v>45</v>
      </c>
      <c r="F4350" s="101" t="s">
        <v>17</v>
      </c>
      <c r="G4350" s="102">
        <v>46113</v>
      </c>
      <c r="H4350" s="26" t="s">
        <v>2925</v>
      </c>
      <c r="I4350" s="49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1">
        <f t="shared" si="169"/>
        <v>198135</v>
      </c>
      <c r="P4350" s="10">
        <v>1115</v>
      </c>
      <c r="Q4350" s="10" t="s">
        <v>1928</v>
      </c>
      <c r="R4350" s="50">
        <f>+テーブル1[[#This Row],[合計金額]]*テーブル1[[#This Row],[自社報酬率％]]/100</f>
        <v>89160.75</v>
      </c>
    </row>
    <row r="4351" spans="1:18">
      <c r="A4351" s="7">
        <v>45901</v>
      </c>
      <c r="B4351" t="s">
        <v>43</v>
      </c>
      <c r="C4351" s="80" t="s">
        <v>1962</v>
      </c>
      <c r="D4351" s="41">
        <v>55</v>
      </c>
      <c r="E4351" s="41">
        <v>45</v>
      </c>
      <c r="F4351" s="101" t="s">
        <v>17</v>
      </c>
      <c r="G4351" s="102">
        <v>46143</v>
      </c>
      <c r="H4351" s="26" t="s">
        <v>2926</v>
      </c>
      <c r="I4351" s="49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1">
        <f t="shared" si="169"/>
        <v>198135</v>
      </c>
      <c r="P4351" s="10">
        <v>1116</v>
      </c>
      <c r="Q4351" s="10" t="s">
        <v>1928</v>
      </c>
      <c r="R4351" s="50">
        <f>+テーブル1[[#This Row],[合計金額]]*テーブル1[[#This Row],[自社報酬率％]]/100</f>
        <v>89160.75</v>
      </c>
    </row>
    <row r="4352" spans="1:18">
      <c r="A4352" s="7">
        <v>45901</v>
      </c>
      <c r="B4352" t="s">
        <v>43</v>
      </c>
      <c r="C4352" s="80" t="s">
        <v>1962</v>
      </c>
      <c r="D4352" s="41">
        <v>55</v>
      </c>
      <c r="E4352" s="41">
        <v>45</v>
      </c>
      <c r="F4352" s="101" t="s">
        <v>17</v>
      </c>
      <c r="G4352" s="102">
        <v>46174</v>
      </c>
      <c r="H4352" s="26" t="s">
        <v>2927</v>
      </c>
      <c r="I4352" s="49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1">
        <f t="shared" si="169"/>
        <v>198135</v>
      </c>
      <c r="P4352" s="10">
        <v>1117</v>
      </c>
      <c r="Q4352" s="10" t="s">
        <v>1928</v>
      </c>
      <c r="R4352" s="50">
        <f>+テーブル1[[#This Row],[合計金額]]*テーブル1[[#This Row],[自社報酬率％]]/100</f>
        <v>89160.75</v>
      </c>
    </row>
    <row r="4353" spans="1:18">
      <c r="A4353" s="7">
        <v>45901</v>
      </c>
      <c r="B4353" t="s">
        <v>43</v>
      </c>
      <c r="C4353" s="80" t="s">
        <v>1962</v>
      </c>
      <c r="D4353" s="41">
        <v>55</v>
      </c>
      <c r="E4353" s="41">
        <v>45</v>
      </c>
      <c r="F4353" s="101" t="s">
        <v>17</v>
      </c>
      <c r="G4353" s="102">
        <v>46204</v>
      </c>
      <c r="H4353" s="26" t="s">
        <v>2928</v>
      </c>
      <c r="I4353" s="49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1">
        <f t="shared" si="169"/>
        <v>198135</v>
      </c>
      <c r="P4353" s="10">
        <v>1118</v>
      </c>
      <c r="Q4353" s="10" t="s">
        <v>1928</v>
      </c>
      <c r="R4353" s="50">
        <f>+テーブル1[[#This Row],[合計金額]]*テーブル1[[#This Row],[自社報酬率％]]/100</f>
        <v>89160.75</v>
      </c>
    </row>
    <row r="4354" spans="1:18">
      <c r="A4354" s="7">
        <v>45901</v>
      </c>
      <c r="B4354" t="s">
        <v>43</v>
      </c>
      <c r="C4354" s="80" t="s">
        <v>1962</v>
      </c>
      <c r="D4354" s="41">
        <v>55</v>
      </c>
      <c r="E4354" s="41">
        <v>45</v>
      </c>
      <c r="F4354" s="101" t="s">
        <v>17</v>
      </c>
      <c r="G4354" s="102">
        <v>46235</v>
      </c>
      <c r="H4354" s="26" t="s">
        <v>2929</v>
      </c>
      <c r="I4354" s="49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1">
        <f t="shared" si="169"/>
        <v>198135</v>
      </c>
      <c r="P4354" s="10">
        <v>1119</v>
      </c>
      <c r="Q4354" s="10" t="s">
        <v>1928</v>
      </c>
      <c r="R4354" s="50">
        <f>+テーブル1[[#This Row],[合計金額]]*テーブル1[[#This Row],[自社報酬率％]]/100</f>
        <v>89160.75</v>
      </c>
    </row>
    <row r="4355" spans="1:18">
      <c r="A4355" s="7">
        <v>45901</v>
      </c>
      <c r="B4355" t="s">
        <v>43</v>
      </c>
      <c r="C4355" s="81" t="s">
        <v>1962</v>
      </c>
      <c r="D4355" s="41">
        <v>55</v>
      </c>
      <c r="E4355" s="41">
        <v>45</v>
      </c>
      <c r="F4355" s="76" t="s">
        <v>17</v>
      </c>
      <c r="G4355" s="86">
        <v>46266</v>
      </c>
      <c r="H4355" s="26" t="s">
        <v>2930</v>
      </c>
      <c r="I4355" s="49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1">
        <f t="shared" si="169"/>
        <v>198135</v>
      </c>
      <c r="P4355" s="10">
        <v>1120</v>
      </c>
      <c r="Q4355" s="10" t="s">
        <v>1928</v>
      </c>
      <c r="R4355" s="50">
        <f>+テーブル1[[#This Row],[合計金額]]*テーブル1[[#This Row],[自社報酬率％]]/100</f>
        <v>89160.75</v>
      </c>
    </row>
    <row r="4356" spans="1:18">
      <c r="A4356" s="7">
        <v>45901</v>
      </c>
      <c r="B4356" t="s">
        <v>43</v>
      </c>
      <c r="C4356" s="79" t="s">
        <v>1962</v>
      </c>
      <c r="D4356" s="41">
        <v>55</v>
      </c>
      <c r="E4356" s="41">
        <v>45</v>
      </c>
      <c r="F4356" s="72" t="s">
        <v>18</v>
      </c>
      <c r="G4356" s="85">
        <v>45931</v>
      </c>
      <c r="H4356" s="26" t="s">
        <v>221</v>
      </c>
      <c r="I4356" s="49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1">
        <f t="shared" si="169"/>
        <v>910800</v>
      </c>
      <c r="P4356" s="10">
        <v>1121</v>
      </c>
      <c r="Q4356" s="10" t="s">
        <v>1935</v>
      </c>
      <c r="R4356" s="50">
        <f>+テーブル1[[#This Row],[合計金額]]*テーブル1[[#This Row],[自社報酬率％]]/100</f>
        <v>409860</v>
      </c>
    </row>
    <row r="4357" spans="1:18">
      <c r="A4357" s="7">
        <v>45901</v>
      </c>
      <c r="B4357" t="s">
        <v>43</v>
      </c>
      <c r="C4357" s="80" t="s">
        <v>1962</v>
      </c>
      <c r="D4357" s="41">
        <v>55</v>
      </c>
      <c r="E4357" s="41">
        <v>45</v>
      </c>
      <c r="F4357" s="101" t="s">
        <v>18</v>
      </c>
      <c r="G4357" s="102">
        <v>45962</v>
      </c>
      <c r="H4357" s="26" t="s">
        <v>2931</v>
      </c>
      <c r="I4357" s="49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1">
        <f t="shared" si="169"/>
        <v>910800</v>
      </c>
      <c r="P4357" s="10">
        <v>1122</v>
      </c>
      <c r="Q4357" s="10" t="s">
        <v>1935</v>
      </c>
      <c r="R4357" s="50">
        <f>+テーブル1[[#This Row],[合計金額]]*テーブル1[[#This Row],[自社報酬率％]]/100</f>
        <v>409860</v>
      </c>
    </row>
    <row r="4358" spans="1:18">
      <c r="A4358" s="7">
        <v>45901</v>
      </c>
      <c r="B4358" t="s">
        <v>43</v>
      </c>
      <c r="C4358" s="81" t="s">
        <v>1962</v>
      </c>
      <c r="D4358" s="41">
        <v>55</v>
      </c>
      <c r="E4358" s="41">
        <v>45</v>
      </c>
      <c r="F4358" s="76" t="s">
        <v>18</v>
      </c>
      <c r="G4358" s="86">
        <v>45992</v>
      </c>
      <c r="H4358" s="26" t="s">
        <v>2932</v>
      </c>
      <c r="I4358" s="49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1">
        <f t="shared" si="169"/>
        <v>910800</v>
      </c>
      <c r="P4358" s="10">
        <v>1123</v>
      </c>
      <c r="Q4358" s="10" t="s">
        <v>1928</v>
      </c>
      <c r="R4358" s="50">
        <f>+テーブル1[[#This Row],[合計金額]]*テーブル1[[#This Row],[自社報酬率％]]/100</f>
        <v>409860</v>
      </c>
    </row>
    <row r="4359" spans="1:18">
      <c r="A4359" s="7">
        <v>45901</v>
      </c>
      <c r="B4359" t="s">
        <v>43</v>
      </c>
      <c r="C4359" s="79" t="s">
        <v>1962</v>
      </c>
      <c r="D4359" s="41">
        <v>55</v>
      </c>
      <c r="E4359" s="41">
        <v>45</v>
      </c>
      <c r="F4359" s="72" t="s">
        <v>18</v>
      </c>
      <c r="G4359" s="85">
        <v>45931</v>
      </c>
      <c r="H4359" s="26" t="s">
        <v>2933</v>
      </c>
      <c r="I4359" s="49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1">
        <f t="shared" si="169"/>
        <v>59400</v>
      </c>
      <c r="P4359" s="10">
        <v>1124</v>
      </c>
      <c r="Q4359" s="10" t="s">
        <v>1935</v>
      </c>
      <c r="R4359" s="50">
        <f>+テーブル1[[#This Row],[合計金額]]*テーブル1[[#This Row],[自社報酬率％]]/100</f>
        <v>26730</v>
      </c>
    </row>
    <row r="4360" spans="1:18">
      <c r="A4360" s="7">
        <v>45901</v>
      </c>
      <c r="B4360" t="s">
        <v>43</v>
      </c>
      <c r="C4360" s="80" t="s">
        <v>1962</v>
      </c>
      <c r="D4360" s="41">
        <v>55</v>
      </c>
      <c r="E4360" s="41">
        <v>45</v>
      </c>
      <c r="F4360" s="101" t="s">
        <v>18</v>
      </c>
      <c r="G4360" s="102">
        <v>45962</v>
      </c>
      <c r="H4360" s="26" t="s">
        <v>2934</v>
      </c>
      <c r="I4360" s="49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1">
        <f t="shared" si="169"/>
        <v>59400</v>
      </c>
      <c r="P4360" s="10">
        <v>1125</v>
      </c>
      <c r="Q4360" s="10" t="s">
        <v>1935</v>
      </c>
      <c r="R4360" s="50">
        <f>+テーブル1[[#This Row],[合計金額]]*テーブル1[[#This Row],[自社報酬率％]]/100</f>
        <v>26730</v>
      </c>
    </row>
    <row r="4361" spans="1:18">
      <c r="A4361" s="7">
        <v>45901</v>
      </c>
      <c r="B4361" t="s">
        <v>43</v>
      </c>
      <c r="C4361" s="81" t="s">
        <v>1962</v>
      </c>
      <c r="D4361" s="41">
        <v>55</v>
      </c>
      <c r="E4361" s="41">
        <v>45</v>
      </c>
      <c r="F4361" s="76" t="s">
        <v>18</v>
      </c>
      <c r="G4361" s="86">
        <v>45992</v>
      </c>
      <c r="H4361" s="26" t="s">
        <v>2935</v>
      </c>
      <c r="I4361" s="49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1">
        <f t="shared" si="169"/>
        <v>59400</v>
      </c>
      <c r="P4361" s="10">
        <v>1126</v>
      </c>
      <c r="Q4361" s="10" t="s">
        <v>1928</v>
      </c>
      <c r="R4361" s="50">
        <f>+テーブル1[[#This Row],[合計金額]]*テーブル1[[#This Row],[自社報酬率％]]/100</f>
        <v>26730</v>
      </c>
    </row>
    <row r="4362" spans="1:18">
      <c r="A4362" s="7">
        <v>45901</v>
      </c>
      <c r="B4362" t="s">
        <v>43</v>
      </c>
      <c r="C4362" s="79" t="s">
        <v>1962</v>
      </c>
      <c r="D4362" s="41">
        <v>55</v>
      </c>
      <c r="E4362" s="41">
        <v>45</v>
      </c>
      <c r="F4362" s="72" t="s">
        <v>19</v>
      </c>
      <c r="G4362" s="85">
        <v>45931</v>
      </c>
      <c r="H4362" s="26" t="s">
        <v>222</v>
      </c>
      <c r="I4362" s="49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1">
        <f t="shared" si="169"/>
        <v>133350</v>
      </c>
      <c r="P4362" s="10">
        <v>1127</v>
      </c>
      <c r="Q4362" s="10" t="s">
        <v>1935</v>
      </c>
      <c r="R4362" s="50">
        <f>+テーブル1[[#This Row],[合計金額]]*テーブル1[[#This Row],[自社報酬率％]]/100</f>
        <v>60007.5</v>
      </c>
    </row>
    <row r="4363" spans="1:18">
      <c r="A4363" s="7">
        <v>45901</v>
      </c>
      <c r="B4363" t="s">
        <v>43</v>
      </c>
      <c r="C4363" s="80" t="s">
        <v>1962</v>
      </c>
      <c r="D4363" s="41">
        <v>55</v>
      </c>
      <c r="E4363" s="41">
        <v>45</v>
      </c>
      <c r="F4363" s="101" t="s">
        <v>19</v>
      </c>
      <c r="G4363" s="102">
        <v>45962</v>
      </c>
      <c r="H4363" s="26" t="s">
        <v>2936</v>
      </c>
      <c r="I4363" s="49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1">
        <f t="shared" si="169"/>
        <v>133350</v>
      </c>
      <c r="P4363" s="10">
        <v>1128</v>
      </c>
      <c r="Q4363" s="10" t="s">
        <v>1935</v>
      </c>
      <c r="R4363" s="50">
        <f>+テーブル1[[#This Row],[合計金額]]*テーブル1[[#This Row],[自社報酬率％]]/100</f>
        <v>60007.5</v>
      </c>
    </row>
    <row r="4364" spans="1:18">
      <c r="A4364" s="7">
        <v>45901</v>
      </c>
      <c r="B4364" t="s">
        <v>43</v>
      </c>
      <c r="C4364" s="80" t="s">
        <v>1962</v>
      </c>
      <c r="D4364" s="41">
        <v>55</v>
      </c>
      <c r="E4364" s="41">
        <v>45</v>
      </c>
      <c r="F4364" s="101" t="s">
        <v>19</v>
      </c>
      <c r="G4364" s="102">
        <v>45992</v>
      </c>
      <c r="H4364" s="26" t="s">
        <v>2937</v>
      </c>
      <c r="I4364" s="49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1">
        <f t="shared" si="169"/>
        <v>133350</v>
      </c>
      <c r="P4364" s="10">
        <v>1129</v>
      </c>
      <c r="Q4364" s="10" t="s">
        <v>1928</v>
      </c>
      <c r="R4364" s="50">
        <f>+テーブル1[[#This Row],[合計金額]]*テーブル1[[#This Row],[自社報酬率％]]/100</f>
        <v>60007.5</v>
      </c>
    </row>
    <row r="4365" spans="1:18">
      <c r="A4365" s="7">
        <v>45901</v>
      </c>
      <c r="B4365" t="s">
        <v>43</v>
      </c>
      <c r="C4365" s="80" t="s">
        <v>1962</v>
      </c>
      <c r="D4365" s="41">
        <v>55</v>
      </c>
      <c r="E4365" s="41">
        <v>45</v>
      </c>
      <c r="F4365" s="101" t="s">
        <v>19</v>
      </c>
      <c r="G4365" s="102">
        <v>46023</v>
      </c>
      <c r="H4365" s="26" t="s">
        <v>2938</v>
      </c>
      <c r="I4365" s="49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1">
        <f t="shared" si="169"/>
        <v>133350</v>
      </c>
      <c r="P4365" s="10">
        <v>1130</v>
      </c>
      <c r="Q4365" s="10" t="s">
        <v>1928</v>
      </c>
      <c r="R4365" s="50">
        <f>+テーブル1[[#This Row],[合計金額]]*テーブル1[[#This Row],[自社報酬率％]]/100</f>
        <v>60007.5</v>
      </c>
    </row>
    <row r="4366" spans="1:18">
      <c r="A4366" s="7">
        <v>45901</v>
      </c>
      <c r="B4366" t="s">
        <v>43</v>
      </c>
      <c r="C4366" s="80" t="s">
        <v>1962</v>
      </c>
      <c r="D4366" s="41">
        <v>55</v>
      </c>
      <c r="E4366" s="41">
        <v>45</v>
      </c>
      <c r="F4366" s="101" t="s">
        <v>19</v>
      </c>
      <c r="G4366" s="102">
        <v>46054</v>
      </c>
      <c r="H4366" s="26" t="s">
        <v>2939</v>
      </c>
      <c r="I4366" s="49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1">
        <f t="shared" si="169"/>
        <v>133350</v>
      </c>
      <c r="P4366" s="10">
        <v>1131</v>
      </c>
      <c r="Q4366" s="10" t="s">
        <v>1928</v>
      </c>
      <c r="R4366" s="50">
        <f>+テーブル1[[#This Row],[合計金額]]*テーブル1[[#This Row],[自社報酬率％]]/100</f>
        <v>60007.5</v>
      </c>
    </row>
    <row r="4367" spans="1:18">
      <c r="A4367" s="7">
        <v>45901</v>
      </c>
      <c r="B4367" t="s">
        <v>43</v>
      </c>
      <c r="C4367" s="81" t="s">
        <v>1962</v>
      </c>
      <c r="D4367" s="41">
        <v>55</v>
      </c>
      <c r="E4367" s="41">
        <v>45</v>
      </c>
      <c r="F4367" s="76" t="s">
        <v>19</v>
      </c>
      <c r="G4367" s="86">
        <v>46082</v>
      </c>
      <c r="H4367" s="26" t="s">
        <v>2940</v>
      </c>
      <c r="I4367" s="49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1">
        <f t="shared" si="169"/>
        <v>133350</v>
      </c>
      <c r="P4367" s="10">
        <v>1132</v>
      </c>
      <c r="Q4367" s="10" t="s">
        <v>1928</v>
      </c>
      <c r="R4367" s="50">
        <f>+テーブル1[[#This Row],[合計金額]]*テーブル1[[#This Row],[自社報酬率％]]/100</f>
        <v>60007.5</v>
      </c>
    </row>
    <row r="4368" spans="1:18">
      <c r="A4368" s="7">
        <v>45901</v>
      </c>
      <c r="B4368" t="s">
        <v>43</v>
      </c>
      <c r="C4368" s="79" t="s">
        <v>1962</v>
      </c>
      <c r="D4368" s="41">
        <v>55</v>
      </c>
      <c r="E4368" s="41">
        <v>45</v>
      </c>
      <c r="F4368" s="72" t="s">
        <v>19</v>
      </c>
      <c r="G4368" s="85">
        <v>45931</v>
      </c>
      <c r="H4368" s="26" t="s">
        <v>2941</v>
      </c>
      <c r="I4368" s="49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1">
        <f t="shared" si="169"/>
        <v>57150</v>
      </c>
      <c r="P4368" s="10">
        <v>1133</v>
      </c>
      <c r="Q4368" s="10" t="s">
        <v>1935</v>
      </c>
      <c r="R4368" s="50">
        <f>+テーブル1[[#This Row],[合計金額]]*テーブル1[[#This Row],[自社報酬率％]]/100</f>
        <v>25717.5</v>
      </c>
    </row>
    <row r="4369" spans="1:18">
      <c r="A4369" s="7">
        <v>45901</v>
      </c>
      <c r="B4369" t="s">
        <v>43</v>
      </c>
      <c r="C4369" s="80" t="s">
        <v>1962</v>
      </c>
      <c r="D4369" s="41">
        <v>55</v>
      </c>
      <c r="E4369" s="41">
        <v>45</v>
      </c>
      <c r="F4369" s="101" t="s">
        <v>19</v>
      </c>
      <c r="G4369" s="102">
        <v>45962</v>
      </c>
      <c r="H4369" s="26" t="s">
        <v>2942</v>
      </c>
      <c r="I4369" s="49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1">
        <f t="shared" si="169"/>
        <v>57150</v>
      </c>
      <c r="P4369" s="10">
        <v>1134</v>
      </c>
      <c r="Q4369" s="10" t="s">
        <v>1935</v>
      </c>
      <c r="R4369" s="50">
        <f>+テーブル1[[#This Row],[合計金額]]*テーブル1[[#This Row],[自社報酬率％]]/100</f>
        <v>25717.5</v>
      </c>
    </row>
    <row r="4370" spans="1:18">
      <c r="A4370" s="7">
        <v>45901</v>
      </c>
      <c r="B4370" t="s">
        <v>43</v>
      </c>
      <c r="C4370" s="80" t="s">
        <v>1962</v>
      </c>
      <c r="D4370" s="41">
        <v>55</v>
      </c>
      <c r="E4370" s="41">
        <v>45</v>
      </c>
      <c r="F4370" s="101" t="s">
        <v>19</v>
      </c>
      <c r="G4370" s="102">
        <v>45992</v>
      </c>
      <c r="H4370" s="26" t="s">
        <v>2943</v>
      </c>
      <c r="I4370" s="49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1">
        <f t="shared" si="169"/>
        <v>57150</v>
      </c>
      <c r="P4370" s="10">
        <v>1135</v>
      </c>
      <c r="Q4370" s="10" t="s">
        <v>1928</v>
      </c>
      <c r="R4370" s="50">
        <f>+テーブル1[[#This Row],[合計金額]]*テーブル1[[#This Row],[自社報酬率％]]/100</f>
        <v>25717.5</v>
      </c>
    </row>
    <row r="4371" spans="1:18">
      <c r="A4371" s="7">
        <v>45901</v>
      </c>
      <c r="B4371" t="s">
        <v>43</v>
      </c>
      <c r="C4371" s="80" t="s">
        <v>1962</v>
      </c>
      <c r="D4371" s="41">
        <v>55</v>
      </c>
      <c r="E4371" s="41">
        <v>45</v>
      </c>
      <c r="F4371" s="101" t="s">
        <v>19</v>
      </c>
      <c r="G4371" s="102">
        <v>46023</v>
      </c>
      <c r="H4371" s="26" t="s">
        <v>2944</v>
      </c>
      <c r="I4371" s="49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1">
        <f t="shared" si="169"/>
        <v>57150</v>
      </c>
      <c r="P4371" s="10">
        <v>1136</v>
      </c>
      <c r="Q4371" s="10" t="s">
        <v>1928</v>
      </c>
      <c r="R4371" s="50">
        <f>+テーブル1[[#This Row],[合計金額]]*テーブル1[[#This Row],[自社報酬率％]]/100</f>
        <v>25717.5</v>
      </c>
    </row>
    <row r="4372" spans="1:18">
      <c r="A4372" s="7">
        <v>45901</v>
      </c>
      <c r="B4372" t="s">
        <v>43</v>
      </c>
      <c r="C4372" s="80" t="s">
        <v>1962</v>
      </c>
      <c r="D4372" s="41">
        <v>55</v>
      </c>
      <c r="E4372" s="41">
        <v>45</v>
      </c>
      <c r="F4372" s="101" t="s">
        <v>19</v>
      </c>
      <c r="G4372" s="102">
        <v>46054</v>
      </c>
      <c r="H4372" s="26" t="s">
        <v>2945</v>
      </c>
      <c r="I4372" s="49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1">
        <f t="shared" ref="O4372:O4387" si="171">+I4372*N4372</f>
        <v>57150</v>
      </c>
      <c r="P4372" s="10">
        <v>1137</v>
      </c>
      <c r="Q4372" s="10" t="s">
        <v>1928</v>
      </c>
      <c r="R4372" s="50">
        <f>+テーブル1[[#This Row],[合計金額]]*テーブル1[[#This Row],[自社報酬率％]]/100</f>
        <v>25717.5</v>
      </c>
    </row>
    <row r="4373" spans="1:18">
      <c r="A4373" s="7">
        <v>45901</v>
      </c>
      <c r="B4373" t="s">
        <v>43</v>
      </c>
      <c r="C4373" s="81" t="s">
        <v>1962</v>
      </c>
      <c r="D4373" s="41">
        <v>55</v>
      </c>
      <c r="E4373" s="41">
        <v>45</v>
      </c>
      <c r="F4373" s="76" t="s">
        <v>19</v>
      </c>
      <c r="G4373" s="86">
        <v>46082</v>
      </c>
      <c r="H4373" s="26" t="s">
        <v>2946</v>
      </c>
      <c r="I4373" s="49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1">
        <f t="shared" si="171"/>
        <v>57150</v>
      </c>
      <c r="P4373" s="10">
        <v>1138</v>
      </c>
      <c r="Q4373" s="10" t="s">
        <v>1928</v>
      </c>
      <c r="R4373" s="50">
        <f>+テーブル1[[#This Row],[合計金額]]*テーブル1[[#This Row],[自社報酬率％]]/100</f>
        <v>25717.5</v>
      </c>
    </row>
    <row r="4374" spans="1:18">
      <c r="A4374" s="7">
        <v>45901</v>
      </c>
      <c r="B4374" t="s">
        <v>43</v>
      </c>
      <c r="C4374" s="101" t="s">
        <v>1962</v>
      </c>
      <c r="D4374" s="41">
        <v>55</v>
      </c>
      <c r="E4374" s="41">
        <v>45</v>
      </c>
      <c r="F4374" s="101" t="s">
        <v>16</v>
      </c>
      <c r="G4374" s="102">
        <v>45931</v>
      </c>
      <c r="H4374" s="26" t="s">
        <v>2947</v>
      </c>
      <c r="I4374" s="49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1">
        <f t="shared" si="171"/>
        <v>440370</v>
      </c>
      <c r="P4374" s="10">
        <v>1139</v>
      </c>
      <c r="Q4374" s="10" t="s">
        <v>1935</v>
      </c>
      <c r="R4374" s="50">
        <f>+テーブル1[[#This Row],[合計金額]]*テーブル1[[#This Row],[自社報酬率％]]/100</f>
        <v>198166.5</v>
      </c>
    </row>
    <row r="4375" spans="1:18">
      <c r="A4375" s="7">
        <v>45901</v>
      </c>
      <c r="B4375" t="s">
        <v>43</v>
      </c>
      <c r="C4375" s="101" t="s">
        <v>1962</v>
      </c>
      <c r="D4375" s="41">
        <v>55</v>
      </c>
      <c r="E4375" s="41">
        <v>45</v>
      </c>
      <c r="F4375" s="101" t="s">
        <v>16</v>
      </c>
      <c r="G4375" s="102">
        <v>45931</v>
      </c>
      <c r="H4375" s="26" t="s">
        <v>2948</v>
      </c>
      <c r="I4375" s="49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1">
        <f t="shared" si="171"/>
        <v>115335</v>
      </c>
      <c r="P4375" s="10">
        <v>1140</v>
      </c>
      <c r="Q4375" s="10" t="s">
        <v>1935</v>
      </c>
      <c r="R4375" s="50">
        <f>+テーブル1[[#This Row],[合計金額]]*テーブル1[[#This Row],[自社報酬率％]]/100</f>
        <v>51900.75</v>
      </c>
    </row>
    <row r="4376" spans="1:18">
      <c r="A4376" s="7">
        <v>45901</v>
      </c>
      <c r="B4376" t="s">
        <v>43</v>
      </c>
      <c r="C4376" s="101" t="s">
        <v>1962</v>
      </c>
      <c r="D4376" s="41">
        <v>55</v>
      </c>
      <c r="E4376" s="41">
        <v>45</v>
      </c>
      <c r="F4376" s="101" t="s">
        <v>16</v>
      </c>
      <c r="G4376" s="102">
        <v>45931</v>
      </c>
      <c r="H4376" s="26" t="s">
        <v>2949</v>
      </c>
      <c r="I4376" s="49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1">
        <f t="shared" si="171"/>
        <v>1237230</v>
      </c>
      <c r="P4376" s="10">
        <v>1141</v>
      </c>
      <c r="Q4376" s="10" t="s">
        <v>1935</v>
      </c>
      <c r="R4376" s="50">
        <f>+テーブル1[[#This Row],[合計金額]]*テーブル1[[#This Row],[自社報酬率％]]/100</f>
        <v>556753.5</v>
      </c>
    </row>
    <row r="4377" spans="1:18">
      <c r="A4377" s="7">
        <v>45901</v>
      </c>
      <c r="B4377" t="s">
        <v>43</v>
      </c>
      <c r="C4377" s="101" t="s">
        <v>1962</v>
      </c>
      <c r="D4377" s="41">
        <v>55</v>
      </c>
      <c r="E4377" s="41">
        <v>45</v>
      </c>
      <c r="F4377" s="101" t="s">
        <v>16</v>
      </c>
      <c r="G4377" s="102">
        <v>45931</v>
      </c>
      <c r="H4377" s="26" t="s">
        <v>2950</v>
      </c>
      <c r="I4377" s="49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1">
        <f t="shared" si="171"/>
        <v>20970</v>
      </c>
      <c r="P4377" s="10">
        <v>1142</v>
      </c>
      <c r="Q4377" s="10" t="s">
        <v>1935</v>
      </c>
      <c r="R4377" s="50">
        <f>+テーブル1[[#This Row],[合計金額]]*テーブル1[[#This Row],[自社報酬率％]]/100</f>
        <v>9436.5</v>
      </c>
    </row>
    <row r="4378" spans="1:18">
      <c r="A4378" s="7">
        <v>45901</v>
      </c>
      <c r="B4378" t="s">
        <v>43</v>
      </c>
      <c r="C4378" s="101" t="s">
        <v>1962</v>
      </c>
      <c r="D4378" s="41">
        <v>55</v>
      </c>
      <c r="E4378" s="41">
        <v>45</v>
      </c>
      <c r="F4378" s="101" t="s">
        <v>16</v>
      </c>
      <c r="G4378" s="102">
        <v>45931</v>
      </c>
      <c r="H4378" s="26" t="s">
        <v>2951</v>
      </c>
      <c r="I4378" s="49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1">
        <f t="shared" si="171"/>
        <v>41940</v>
      </c>
      <c r="P4378" s="10">
        <v>1143</v>
      </c>
      <c r="Q4378" s="10" t="s">
        <v>1935</v>
      </c>
      <c r="R4378" s="50">
        <f>+テーブル1[[#This Row],[合計金額]]*テーブル1[[#This Row],[自社報酬率％]]/100</f>
        <v>18873</v>
      </c>
    </row>
    <row r="4379" spans="1:18">
      <c r="A4379" s="7">
        <v>45901</v>
      </c>
      <c r="B4379" t="s">
        <v>43</v>
      </c>
      <c r="C4379" s="101" t="s">
        <v>2023</v>
      </c>
      <c r="D4379" s="41">
        <v>50</v>
      </c>
      <c r="E4379" s="41">
        <v>50</v>
      </c>
      <c r="F4379" s="101" t="s">
        <v>16</v>
      </c>
      <c r="G4379" s="102">
        <v>45931</v>
      </c>
      <c r="H4379" s="26" t="s">
        <v>2952</v>
      </c>
      <c r="I4379" s="49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1">
        <f t="shared" si="171"/>
        <v>63000</v>
      </c>
      <c r="P4379" s="10">
        <v>1144</v>
      </c>
      <c r="Q4379" s="10" t="s">
        <v>1935</v>
      </c>
      <c r="R4379" s="50">
        <f>+テーブル1[[#This Row],[合計金額]]*テーブル1[[#This Row],[自社報酬率％]]/100</f>
        <v>31500</v>
      </c>
    </row>
    <row r="4380" spans="1:18">
      <c r="A4380" s="7">
        <v>45901</v>
      </c>
      <c r="B4380" t="s">
        <v>43</v>
      </c>
      <c r="C4380" s="18" t="s">
        <v>2212</v>
      </c>
      <c r="D4380" s="41">
        <v>10</v>
      </c>
      <c r="E4380" s="41">
        <v>90</v>
      </c>
      <c r="F4380" s="18" t="s">
        <v>29</v>
      </c>
      <c r="G4380" s="28">
        <v>45901</v>
      </c>
      <c r="H4380" s="26" t="s">
        <v>2953</v>
      </c>
      <c r="I4380" s="49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1">
        <f t="shared" si="171"/>
        <v>186200</v>
      </c>
      <c r="P4380" s="10">
        <v>1145</v>
      </c>
      <c r="Q4380" s="10" t="s">
        <v>1935</v>
      </c>
      <c r="R4380" s="50">
        <f>+テーブル1[[#This Row],[合計金額]]*テーブル1[[#This Row],[自社報酬率％]]/100</f>
        <v>167580</v>
      </c>
    </row>
    <row r="4381" spans="1:18">
      <c r="A4381" s="7">
        <v>45901</v>
      </c>
      <c r="B4381" t="s">
        <v>43</v>
      </c>
      <c r="C4381" s="82" t="s">
        <v>2212</v>
      </c>
      <c r="D4381" s="41">
        <v>10</v>
      </c>
      <c r="E4381" s="41">
        <v>90</v>
      </c>
      <c r="F4381" s="82" t="s">
        <v>20</v>
      </c>
      <c r="G4381" s="87">
        <v>45901</v>
      </c>
      <c r="H4381" s="26" t="s">
        <v>2954</v>
      </c>
      <c r="I4381" s="49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1">
        <f t="shared" si="171"/>
        <v>504900</v>
      </c>
      <c r="P4381" s="10">
        <v>1146</v>
      </c>
      <c r="Q4381" s="10" t="s">
        <v>1935</v>
      </c>
      <c r="R4381" s="50">
        <f>+テーブル1[[#This Row],[合計金額]]*テーブル1[[#This Row],[自社報酬率％]]/100</f>
        <v>454410</v>
      </c>
    </row>
    <row r="4382" spans="1:18">
      <c r="A4382" s="7">
        <v>45901</v>
      </c>
      <c r="B4382" t="s">
        <v>46</v>
      </c>
      <c r="C4382" s="71" t="s">
        <v>24</v>
      </c>
      <c r="D4382" s="41">
        <v>100</v>
      </c>
      <c r="E4382" s="41">
        <v>100</v>
      </c>
      <c r="F4382" s="18" t="s">
        <v>17</v>
      </c>
      <c r="G4382" s="28">
        <v>45901</v>
      </c>
      <c r="H4382" s="26" t="s">
        <v>1930</v>
      </c>
      <c r="I4382" s="49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1">
        <f t="shared" si="171"/>
        <v>359700</v>
      </c>
      <c r="P4382" s="10">
        <v>1147</v>
      </c>
      <c r="Q4382" s="10" t="s">
        <v>1935</v>
      </c>
      <c r="R4382" s="50">
        <f>+テーブル1[[#This Row],[合計金額]]*テーブル1[[#This Row],[自社報酬率％]]/100</f>
        <v>359700</v>
      </c>
    </row>
    <row r="4383" spans="1:18">
      <c r="A4383" s="7">
        <v>45901</v>
      </c>
      <c r="B4383" t="s">
        <v>46</v>
      </c>
      <c r="C4383" s="71" t="s">
        <v>24</v>
      </c>
      <c r="D4383" s="41">
        <v>100</v>
      </c>
      <c r="E4383" s="41">
        <v>100</v>
      </c>
      <c r="F4383" s="82" t="s">
        <v>20</v>
      </c>
      <c r="G4383" s="87">
        <v>45901</v>
      </c>
      <c r="H4383" s="26" t="s">
        <v>2782</v>
      </c>
      <c r="I4383" s="49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1">
        <f t="shared" si="171"/>
        <v>0</v>
      </c>
      <c r="P4383" s="10">
        <v>1148</v>
      </c>
      <c r="Q4383" s="10" t="s">
        <v>1935</v>
      </c>
      <c r="R4383" s="50">
        <f>+テーブル1[[#This Row],[合計金額]]*テーブル1[[#This Row],[自社報酬率％]]/100</f>
        <v>0</v>
      </c>
    </row>
    <row r="4384" spans="1:18">
      <c r="A4384" s="7">
        <v>45901</v>
      </c>
      <c r="B4384" t="s">
        <v>46</v>
      </c>
      <c r="C4384" s="79" t="s">
        <v>1962</v>
      </c>
      <c r="D4384" s="41">
        <v>50</v>
      </c>
      <c r="E4384" s="41">
        <v>50</v>
      </c>
      <c r="F4384" s="72" t="s">
        <v>18</v>
      </c>
      <c r="G4384" s="85">
        <v>45931</v>
      </c>
      <c r="H4384" s="26" t="s">
        <v>2955</v>
      </c>
      <c r="I4384" s="49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1">
        <f t="shared" si="171"/>
        <v>14500</v>
      </c>
      <c r="P4384" s="10">
        <v>1149</v>
      </c>
      <c r="Q4384" s="10" t="s">
        <v>1935</v>
      </c>
      <c r="R4384" s="50">
        <f>+テーブル1[[#This Row],[合計金額]]*テーブル1[[#This Row],[自社報酬率％]]/100</f>
        <v>7250</v>
      </c>
    </row>
    <row r="4385" spans="1:18">
      <c r="A4385" s="7">
        <v>45901</v>
      </c>
      <c r="B4385" t="s">
        <v>46</v>
      </c>
      <c r="C4385" s="80" t="s">
        <v>1962</v>
      </c>
      <c r="D4385" s="41">
        <v>50</v>
      </c>
      <c r="E4385" s="41">
        <v>50</v>
      </c>
      <c r="F4385" s="101" t="s">
        <v>18</v>
      </c>
      <c r="G4385" s="102">
        <v>45962</v>
      </c>
      <c r="H4385" s="26" t="s">
        <v>2956</v>
      </c>
      <c r="I4385" s="49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1">
        <f t="shared" si="171"/>
        <v>14500</v>
      </c>
      <c r="P4385" s="10">
        <v>1150</v>
      </c>
      <c r="Q4385" s="10" t="s">
        <v>1935</v>
      </c>
      <c r="R4385" s="50">
        <f>+テーブル1[[#This Row],[合計金額]]*テーブル1[[#This Row],[自社報酬率％]]/100</f>
        <v>7250</v>
      </c>
    </row>
    <row r="4386" spans="1:18">
      <c r="A4386" s="7">
        <v>45901</v>
      </c>
      <c r="B4386" t="s">
        <v>46</v>
      </c>
      <c r="C4386" s="81" t="s">
        <v>1962</v>
      </c>
      <c r="D4386" s="41">
        <v>50</v>
      </c>
      <c r="E4386" s="41">
        <v>50</v>
      </c>
      <c r="F4386" s="76" t="s">
        <v>18</v>
      </c>
      <c r="G4386" s="86">
        <v>45992</v>
      </c>
      <c r="H4386" s="26" t="s">
        <v>2957</v>
      </c>
      <c r="I4386" s="49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1">
        <f t="shared" si="171"/>
        <v>14500</v>
      </c>
      <c r="P4386" s="10">
        <v>1151</v>
      </c>
      <c r="Q4386" s="10" t="s">
        <v>1928</v>
      </c>
      <c r="R4386" s="50">
        <f>+テーブル1[[#This Row],[合計金額]]*テーブル1[[#This Row],[自社報酬率％]]/100</f>
        <v>7250</v>
      </c>
    </row>
    <row r="4387" spans="1:18">
      <c r="A4387" s="7">
        <v>45901</v>
      </c>
      <c r="B4387" t="s">
        <v>46</v>
      </c>
      <c r="C4387" s="18" t="s">
        <v>1962</v>
      </c>
      <c r="D4387" s="41">
        <v>50</v>
      </c>
      <c r="E4387" s="41">
        <v>50</v>
      </c>
      <c r="F4387" s="18" t="s">
        <v>19</v>
      </c>
      <c r="G4387" s="28">
        <v>45901</v>
      </c>
      <c r="H4387" s="26" t="s">
        <v>1975</v>
      </c>
      <c r="I4387" s="49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1">
        <f t="shared" si="171"/>
        <v>864600</v>
      </c>
      <c r="P4387" s="10">
        <v>1152</v>
      </c>
      <c r="Q4387" s="10" t="s">
        <v>1935</v>
      </c>
      <c r="R4387" s="50">
        <f>+テーブル1[[#This Row],[合計金額]]*テーブル1[[#This Row],[自社報酬率％]]/100</f>
        <v>432300</v>
      </c>
    </row>
    <row r="4388" spans="1:18">
      <c r="A4388" s="7">
        <v>45901</v>
      </c>
      <c r="B4388" t="s">
        <v>46</v>
      </c>
      <c r="C4388" s="101" t="s">
        <v>1962</v>
      </c>
      <c r="D4388" s="41">
        <v>50</v>
      </c>
      <c r="E4388" s="41">
        <v>50</v>
      </c>
      <c r="F4388" s="101" t="s">
        <v>20</v>
      </c>
      <c r="G4388" s="102">
        <v>45931</v>
      </c>
      <c r="H4388" s="26" t="s">
        <v>2916</v>
      </c>
      <c r="I4388" s="49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0">
        <f>+I4388*N4388</f>
        <v>235200</v>
      </c>
      <c r="P4388" s="10">
        <v>1153</v>
      </c>
      <c r="Q4388" s="10" t="s">
        <v>1935</v>
      </c>
      <c r="R4388" s="50">
        <f>+テーブル1[[#This Row],[合計金額]]*テーブル1[[#This Row],[自社報酬率％]]/100</f>
        <v>117600</v>
      </c>
    </row>
    <row r="4389" spans="1:18">
      <c r="A4389" s="7">
        <v>45901</v>
      </c>
      <c r="B4389" t="s">
        <v>46</v>
      </c>
      <c r="C4389" s="18" t="s">
        <v>1962</v>
      </c>
      <c r="D4389" s="41">
        <v>50</v>
      </c>
      <c r="E4389" s="41">
        <v>50</v>
      </c>
      <c r="F4389" s="18" t="s">
        <v>20</v>
      </c>
      <c r="G4389" s="28">
        <v>45901</v>
      </c>
      <c r="H4389" s="26" t="s">
        <v>2541</v>
      </c>
      <c r="I4389" s="49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1">
        <f t="shared" ref="O4389:O4410" si="172">+I4389*N4389</f>
        <v>97800</v>
      </c>
      <c r="P4389" s="10">
        <v>1154</v>
      </c>
      <c r="Q4389" s="10" t="s">
        <v>1935</v>
      </c>
      <c r="R4389" s="50">
        <f>+テーブル1[[#This Row],[合計金額]]*テーブル1[[#This Row],[自社報酬率％]]/100</f>
        <v>48900</v>
      </c>
    </row>
    <row r="4390" spans="1:18">
      <c r="A4390" s="7">
        <v>45901</v>
      </c>
      <c r="B4390" t="s">
        <v>46</v>
      </c>
      <c r="C4390" s="79" t="s">
        <v>1962</v>
      </c>
      <c r="D4390" s="41">
        <v>55</v>
      </c>
      <c r="E4390" s="41">
        <v>45</v>
      </c>
      <c r="F4390" s="72" t="s">
        <v>18</v>
      </c>
      <c r="G4390" s="85">
        <v>45931</v>
      </c>
      <c r="H4390" s="26" t="s">
        <v>2958</v>
      </c>
      <c r="I4390" s="49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1">
        <f t="shared" si="172"/>
        <v>39600</v>
      </c>
      <c r="P4390" s="10">
        <v>1155</v>
      </c>
      <c r="Q4390" s="10" t="s">
        <v>1935</v>
      </c>
      <c r="R4390" s="50">
        <f>+テーブル1[[#This Row],[合計金額]]*テーブル1[[#This Row],[自社報酬率％]]/100</f>
        <v>17820</v>
      </c>
    </row>
    <row r="4391" spans="1:18">
      <c r="A4391" s="7">
        <v>45901</v>
      </c>
      <c r="B4391" t="s">
        <v>46</v>
      </c>
      <c r="C4391" s="80" t="s">
        <v>1962</v>
      </c>
      <c r="D4391" s="41">
        <v>55</v>
      </c>
      <c r="E4391" s="41">
        <v>45</v>
      </c>
      <c r="F4391" s="101" t="s">
        <v>18</v>
      </c>
      <c r="G4391" s="102">
        <v>45962</v>
      </c>
      <c r="H4391" s="26" t="s">
        <v>2959</v>
      </c>
      <c r="I4391" s="49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1">
        <f t="shared" si="172"/>
        <v>39600</v>
      </c>
      <c r="P4391" s="10">
        <v>1156</v>
      </c>
      <c r="Q4391" s="10" t="s">
        <v>1935</v>
      </c>
      <c r="R4391" s="50">
        <f>+テーブル1[[#This Row],[合計金額]]*テーブル1[[#This Row],[自社報酬率％]]/100</f>
        <v>17820</v>
      </c>
    </row>
    <row r="4392" spans="1:18">
      <c r="A4392" s="7">
        <v>45901</v>
      </c>
      <c r="B4392" t="s">
        <v>46</v>
      </c>
      <c r="C4392" s="81" t="s">
        <v>1962</v>
      </c>
      <c r="D4392" s="41">
        <v>55</v>
      </c>
      <c r="E4392" s="41">
        <v>45</v>
      </c>
      <c r="F4392" s="76" t="s">
        <v>18</v>
      </c>
      <c r="G4392" s="86">
        <v>45992</v>
      </c>
      <c r="H4392" s="26" t="s">
        <v>2960</v>
      </c>
      <c r="I4392" s="49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1">
        <f t="shared" si="172"/>
        <v>39600</v>
      </c>
      <c r="P4392" s="10">
        <v>1157</v>
      </c>
      <c r="Q4392" s="10" t="s">
        <v>1928</v>
      </c>
      <c r="R4392" s="50">
        <f>+テーブル1[[#This Row],[合計金額]]*テーブル1[[#This Row],[自社報酬率％]]/100</f>
        <v>17820</v>
      </c>
    </row>
    <row r="4393" spans="1:18">
      <c r="A4393" s="7">
        <v>45901</v>
      </c>
      <c r="B4393" t="s">
        <v>46</v>
      </c>
      <c r="C4393" s="79" t="s">
        <v>1962</v>
      </c>
      <c r="D4393" s="41">
        <v>55</v>
      </c>
      <c r="E4393" s="41">
        <v>45</v>
      </c>
      <c r="F4393" s="72" t="s">
        <v>19</v>
      </c>
      <c r="G4393" s="85">
        <v>45931</v>
      </c>
      <c r="H4393" s="26" t="s">
        <v>2961</v>
      </c>
      <c r="I4393" s="49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1">
        <f t="shared" si="172"/>
        <v>19050</v>
      </c>
      <c r="P4393" s="10">
        <v>1158</v>
      </c>
      <c r="Q4393" s="10" t="s">
        <v>1935</v>
      </c>
      <c r="R4393" s="50">
        <f>+テーブル1[[#This Row],[合計金額]]*テーブル1[[#This Row],[自社報酬率％]]/100</f>
        <v>8572.5</v>
      </c>
    </row>
    <row r="4394" spans="1:18">
      <c r="A4394" s="7">
        <v>45901</v>
      </c>
      <c r="B4394" t="s">
        <v>46</v>
      </c>
      <c r="C4394" s="80" t="s">
        <v>1962</v>
      </c>
      <c r="D4394" s="41">
        <v>55</v>
      </c>
      <c r="E4394" s="41">
        <v>45</v>
      </c>
      <c r="F4394" s="101" t="s">
        <v>19</v>
      </c>
      <c r="G4394" s="102">
        <v>45962</v>
      </c>
      <c r="H4394" s="26" t="s">
        <v>2962</v>
      </c>
      <c r="I4394" s="49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1">
        <f t="shared" si="172"/>
        <v>19050</v>
      </c>
      <c r="P4394" s="10">
        <v>1159</v>
      </c>
      <c r="Q4394" s="10" t="s">
        <v>1935</v>
      </c>
      <c r="R4394" s="50">
        <f>+テーブル1[[#This Row],[合計金額]]*テーブル1[[#This Row],[自社報酬率％]]/100</f>
        <v>8572.5</v>
      </c>
    </row>
    <row r="4395" spans="1:18">
      <c r="A4395" s="7">
        <v>45901</v>
      </c>
      <c r="B4395" t="s">
        <v>46</v>
      </c>
      <c r="C4395" s="80" t="s">
        <v>1962</v>
      </c>
      <c r="D4395" s="41">
        <v>55</v>
      </c>
      <c r="E4395" s="41">
        <v>45</v>
      </c>
      <c r="F4395" s="101" t="s">
        <v>19</v>
      </c>
      <c r="G4395" s="102">
        <v>45992</v>
      </c>
      <c r="H4395" s="26" t="s">
        <v>2963</v>
      </c>
      <c r="I4395" s="49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1">
        <f t="shared" si="172"/>
        <v>19050</v>
      </c>
      <c r="P4395" s="10">
        <v>1160</v>
      </c>
      <c r="Q4395" s="10" t="s">
        <v>1928</v>
      </c>
      <c r="R4395" s="50">
        <f>+テーブル1[[#This Row],[合計金額]]*テーブル1[[#This Row],[自社報酬率％]]/100</f>
        <v>8572.5</v>
      </c>
    </row>
    <row r="4396" spans="1:18">
      <c r="A4396" s="7">
        <v>45901</v>
      </c>
      <c r="B4396" t="s">
        <v>46</v>
      </c>
      <c r="C4396" s="80" t="s">
        <v>1962</v>
      </c>
      <c r="D4396" s="41">
        <v>55</v>
      </c>
      <c r="E4396" s="41">
        <v>45</v>
      </c>
      <c r="F4396" s="101" t="s">
        <v>19</v>
      </c>
      <c r="G4396" s="102">
        <v>46023</v>
      </c>
      <c r="H4396" s="26" t="s">
        <v>2964</v>
      </c>
      <c r="I4396" s="49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1">
        <f t="shared" si="172"/>
        <v>19050</v>
      </c>
      <c r="P4396" s="10">
        <v>1161</v>
      </c>
      <c r="Q4396" s="10" t="s">
        <v>1928</v>
      </c>
      <c r="R4396" s="50">
        <f>+テーブル1[[#This Row],[合計金額]]*テーブル1[[#This Row],[自社報酬率％]]/100</f>
        <v>8572.5</v>
      </c>
    </row>
    <row r="4397" spans="1:18">
      <c r="A4397" s="7">
        <v>45901</v>
      </c>
      <c r="B4397" t="s">
        <v>46</v>
      </c>
      <c r="C4397" s="80" t="s">
        <v>1962</v>
      </c>
      <c r="D4397" s="41">
        <v>55</v>
      </c>
      <c r="E4397" s="41">
        <v>45</v>
      </c>
      <c r="F4397" s="101" t="s">
        <v>19</v>
      </c>
      <c r="G4397" s="102">
        <v>46054</v>
      </c>
      <c r="H4397" s="26" t="s">
        <v>2965</v>
      </c>
      <c r="I4397" s="49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1">
        <f t="shared" si="172"/>
        <v>19050</v>
      </c>
      <c r="P4397" s="10">
        <v>1162</v>
      </c>
      <c r="Q4397" s="10" t="s">
        <v>1928</v>
      </c>
      <c r="R4397" s="50">
        <f>+テーブル1[[#This Row],[合計金額]]*テーブル1[[#This Row],[自社報酬率％]]/100</f>
        <v>8572.5</v>
      </c>
    </row>
    <row r="4398" spans="1:18">
      <c r="A4398" s="7">
        <v>45901</v>
      </c>
      <c r="B4398" t="s">
        <v>46</v>
      </c>
      <c r="C4398" s="81" t="s">
        <v>1962</v>
      </c>
      <c r="D4398" s="41">
        <v>55</v>
      </c>
      <c r="E4398" s="41">
        <v>45</v>
      </c>
      <c r="F4398" s="76" t="s">
        <v>19</v>
      </c>
      <c r="G4398" s="86">
        <v>46082</v>
      </c>
      <c r="H4398" s="26" t="s">
        <v>2966</v>
      </c>
      <c r="I4398" s="49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1">
        <f t="shared" si="172"/>
        <v>19050</v>
      </c>
      <c r="P4398" s="10">
        <v>1163</v>
      </c>
      <c r="Q4398" s="10" t="s">
        <v>1928</v>
      </c>
      <c r="R4398" s="50">
        <f>+テーブル1[[#This Row],[合計金額]]*テーブル1[[#This Row],[自社報酬率％]]/100</f>
        <v>8572.5</v>
      </c>
    </row>
    <row r="4399" spans="1:18">
      <c r="A4399" s="7">
        <v>45901</v>
      </c>
      <c r="B4399" t="s">
        <v>46</v>
      </c>
      <c r="C4399" s="18" t="s">
        <v>2212</v>
      </c>
      <c r="D4399" s="41">
        <v>10</v>
      </c>
      <c r="E4399" s="41">
        <v>90</v>
      </c>
      <c r="F4399" s="18" t="s">
        <v>29</v>
      </c>
      <c r="G4399" s="28">
        <v>45901</v>
      </c>
      <c r="H4399" s="26" t="s">
        <v>2953</v>
      </c>
      <c r="I4399" s="49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1">
        <f t="shared" si="172"/>
        <v>58800</v>
      </c>
      <c r="P4399" s="10">
        <v>1164</v>
      </c>
      <c r="Q4399" s="10" t="s">
        <v>1935</v>
      </c>
      <c r="R4399" s="50">
        <f>+テーブル1[[#This Row],[合計金額]]*テーブル1[[#This Row],[自社報酬率％]]/100</f>
        <v>52920</v>
      </c>
    </row>
    <row r="4400" spans="1:18">
      <c r="A4400" s="7">
        <v>45901</v>
      </c>
      <c r="B4400" t="s">
        <v>46</v>
      </c>
      <c r="C4400" s="82" t="s">
        <v>2212</v>
      </c>
      <c r="D4400" s="41">
        <v>10</v>
      </c>
      <c r="E4400" s="41">
        <v>90</v>
      </c>
      <c r="F4400" s="82" t="s">
        <v>20</v>
      </c>
      <c r="G4400" s="87">
        <v>45901</v>
      </c>
      <c r="H4400" s="26" t="s">
        <v>2954</v>
      </c>
      <c r="I4400" s="49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1">
        <f t="shared" si="172"/>
        <v>118800</v>
      </c>
      <c r="P4400" s="10">
        <v>1165</v>
      </c>
      <c r="Q4400" s="10" t="s">
        <v>1935</v>
      </c>
      <c r="R4400" s="50">
        <f>+テーブル1[[#This Row],[合計金額]]*テーブル1[[#This Row],[自社報酬率％]]/100</f>
        <v>106920</v>
      </c>
    </row>
    <row r="4401" spans="1:18">
      <c r="A4401" s="7">
        <v>45901</v>
      </c>
      <c r="B4401" t="s">
        <v>43</v>
      </c>
      <c r="C4401" s="101" t="s">
        <v>2043</v>
      </c>
      <c r="D4401" s="41">
        <v>60</v>
      </c>
      <c r="E4401" s="41">
        <v>40</v>
      </c>
      <c r="F4401" s="101" t="s">
        <v>16</v>
      </c>
      <c r="G4401" s="102">
        <v>45931</v>
      </c>
      <c r="H4401" s="26" t="s">
        <v>2967</v>
      </c>
      <c r="I4401" s="49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1">
        <f t="shared" si="172"/>
        <v>43120</v>
      </c>
      <c r="P4401" s="10">
        <v>1166</v>
      </c>
      <c r="Q4401" s="10" t="s">
        <v>1935</v>
      </c>
      <c r="R4401" s="50">
        <f>+テーブル1[[#This Row],[合計金額]]*テーブル1[[#This Row],[自社報酬率％]]/100</f>
        <v>17248</v>
      </c>
    </row>
    <row r="4402" spans="1:18">
      <c r="A4402" s="7">
        <v>45901</v>
      </c>
      <c r="B4402" t="s">
        <v>43</v>
      </c>
      <c r="C4402" s="101" t="s">
        <v>2045</v>
      </c>
      <c r="D4402" s="41">
        <v>40</v>
      </c>
      <c r="E4402" s="41">
        <v>60</v>
      </c>
      <c r="F4402" s="101" t="s">
        <v>16</v>
      </c>
      <c r="G4402" s="102">
        <v>45931</v>
      </c>
      <c r="H4402" s="26" t="s">
        <v>2968</v>
      </c>
      <c r="I4402" s="49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1">
        <f t="shared" si="172"/>
        <v>49500</v>
      </c>
      <c r="P4402" s="10">
        <v>1167</v>
      </c>
      <c r="Q4402" s="10" t="s">
        <v>1935</v>
      </c>
      <c r="R4402" s="50">
        <f>+テーブル1[[#This Row],[合計金額]]*テーブル1[[#This Row],[自社報酬率％]]/100</f>
        <v>29700</v>
      </c>
    </row>
    <row r="4403" spans="1:18">
      <c r="A4403" s="7">
        <v>45901</v>
      </c>
      <c r="B4403" t="s">
        <v>14</v>
      </c>
      <c r="C4403" s="101" t="s">
        <v>2043</v>
      </c>
      <c r="D4403" s="41">
        <v>60</v>
      </c>
      <c r="E4403" s="41">
        <v>40</v>
      </c>
      <c r="F4403" s="101" t="s">
        <v>16</v>
      </c>
      <c r="G4403" s="102">
        <v>45931</v>
      </c>
      <c r="H4403" s="26" t="s">
        <v>2969</v>
      </c>
      <c r="I4403" s="49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1">
        <f t="shared" si="172"/>
        <v>10780</v>
      </c>
      <c r="P4403" s="10">
        <v>76</v>
      </c>
      <c r="Q4403" s="10" t="s">
        <v>1935</v>
      </c>
      <c r="R4403" s="50">
        <f>+テーブル1[[#This Row],[合計金額]]*テーブル1[[#This Row],[自社報酬率％]]/100</f>
        <v>4312</v>
      </c>
    </row>
    <row r="4404" spans="1:18">
      <c r="A4404" s="7">
        <v>45901</v>
      </c>
      <c r="B4404" t="s">
        <v>14</v>
      </c>
      <c r="C4404" s="101" t="s">
        <v>1962</v>
      </c>
      <c r="D4404" s="41">
        <v>50</v>
      </c>
      <c r="E4404" s="41">
        <v>50</v>
      </c>
      <c r="F4404" s="101" t="s">
        <v>16</v>
      </c>
      <c r="G4404" s="102">
        <v>45931</v>
      </c>
      <c r="H4404" s="26" t="s">
        <v>2914</v>
      </c>
      <c r="I4404" s="49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1">
        <f t="shared" si="172"/>
        <v>118800</v>
      </c>
      <c r="P4404" s="10">
        <v>77</v>
      </c>
      <c r="Q4404" s="10" t="s">
        <v>1935</v>
      </c>
      <c r="R4404" s="50">
        <f>+テーブル1[[#This Row],[合計金額]]*テーブル1[[#This Row],[自社報酬率％]]/100</f>
        <v>59400</v>
      </c>
    </row>
    <row r="4405" spans="1:18">
      <c r="A4405" s="7">
        <v>45901</v>
      </c>
      <c r="B4405" t="s">
        <v>14</v>
      </c>
      <c r="C4405" s="101" t="s">
        <v>1962</v>
      </c>
      <c r="D4405" s="41">
        <v>50</v>
      </c>
      <c r="E4405" s="41">
        <v>50</v>
      </c>
      <c r="F4405" s="101" t="s">
        <v>16</v>
      </c>
      <c r="G4405" s="102">
        <v>45931</v>
      </c>
      <c r="H4405" s="26" t="s">
        <v>2914</v>
      </c>
      <c r="I4405" s="49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1">
        <f t="shared" si="172"/>
        <v>145000</v>
      </c>
      <c r="P4405" s="10">
        <v>78</v>
      </c>
      <c r="Q4405" s="10" t="s">
        <v>1935</v>
      </c>
      <c r="R4405" s="50">
        <f>+テーブル1[[#This Row],[合計金額]]*テーブル1[[#This Row],[自社報酬率％]]/100</f>
        <v>72500</v>
      </c>
    </row>
    <row r="4406" spans="1:18">
      <c r="A4406" s="7">
        <v>45901</v>
      </c>
      <c r="B4406" t="s">
        <v>14</v>
      </c>
      <c r="C4406" s="101" t="s">
        <v>1962</v>
      </c>
      <c r="D4406" s="41">
        <v>55</v>
      </c>
      <c r="E4406" s="41">
        <v>45</v>
      </c>
      <c r="F4406" s="101" t="s">
        <v>16</v>
      </c>
      <c r="G4406" s="102">
        <v>45931</v>
      </c>
      <c r="H4406" s="26" t="s">
        <v>2949</v>
      </c>
      <c r="I4406" s="49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1">
        <f t="shared" si="172"/>
        <v>20970</v>
      </c>
      <c r="P4406" s="10">
        <v>79</v>
      </c>
      <c r="Q4406" s="10" t="s">
        <v>1935</v>
      </c>
      <c r="R4406" s="50">
        <f>+テーブル1[[#This Row],[合計金額]]*テーブル1[[#This Row],[自社報酬率％]]/100</f>
        <v>9436.5</v>
      </c>
    </row>
    <row r="4407" spans="1:18">
      <c r="A4407" s="7">
        <v>45901</v>
      </c>
      <c r="B4407" t="s">
        <v>14</v>
      </c>
      <c r="C4407" s="101" t="s">
        <v>2023</v>
      </c>
      <c r="D4407" s="41">
        <v>50</v>
      </c>
      <c r="E4407" s="41">
        <v>50</v>
      </c>
      <c r="F4407" s="101" t="s">
        <v>16</v>
      </c>
      <c r="G4407" s="102">
        <v>45931</v>
      </c>
      <c r="H4407" s="26" t="s">
        <v>2952</v>
      </c>
      <c r="I4407" s="49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1">
        <f t="shared" si="172"/>
        <v>59850</v>
      </c>
      <c r="P4407" s="10">
        <v>80</v>
      </c>
      <c r="Q4407" s="10" t="s">
        <v>1935</v>
      </c>
      <c r="R4407" s="50">
        <f>+テーブル1[[#This Row],[合計金額]]*テーブル1[[#This Row],[自社報酬率％]]/100</f>
        <v>29925</v>
      </c>
    </row>
    <row r="4408" spans="1:18">
      <c r="A4408" s="7">
        <v>45901</v>
      </c>
      <c r="B4408" t="s">
        <v>14</v>
      </c>
      <c r="C4408" s="101" t="s">
        <v>2023</v>
      </c>
      <c r="D4408" s="41">
        <v>50</v>
      </c>
      <c r="E4408" s="41">
        <v>50</v>
      </c>
      <c r="F4408" s="101" t="s">
        <v>16</v>
      </c>
      <c r="G4408" s="102">
        <v>45931</v>
      </c>
      <c r="H4408" s="26" t="s">
        <v>2952</v>
      </c>
      <c r="I4408" s="49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1">
        <f t="shared" si="172"/>
        <v>14940</v>
      </c>
      <c r="P4408" s="10">
        <v>81</v>
      </c>
      <c r="Q4408" s="10" t="s">
        <v>1935</v>
      </c>
      <c r="R4408" s="50">
        <f>+テーブル1[[#This Row],[合計金額]]*テーブル1[[#This Row],[自社報酬率％]]/100</f>
        <v>7470</v>
      </c>
    </row>
    <row r="4409" spans="1:18">
      <c r="A4409" s="7">
        <v>45901</v>
      </c>
      <c r="B4409" t="s">
        <v>14</v>
      </c>
      <c r="C4409" s="101" t="s">
        <v>2045</v>
      </c>
      <c r="D4409" s="41">
        <v>40</v>
      </c>
      <c r="E4409" s="41">
        <v>60</v>
      </c>
      <c r="F4409" s="101" t="s">
        <v>16</v>
      </c>
      <c r="G4409" s="102">
        <v>45931</v>
      </c>
      <c r="H4409" s="26" t="s">
        <v>2968</v>
      </c>
      <c r="I4409" s="49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1">
        <f t="shared" si="172"/>
        <v>33000</v>
      </c>
      <c r="P4409" s="10">
        <v>82</v>
      </c>
      <c r="Q4409" s="10" t="s">
        <v>1935</v>
      </c>
      <c r="R4409" s="50">
        <f>+テーブル1[[#This Row],[合計金額]]*テーブル1[[#This Row],[自社報酬率％]]/100</f>
        <v>19800</v>
      </c>
    </row>
    <row r="4410" spans="1:18">
      <c r="A4410" s="7">
        <v>45901</v>
      </c>
      <c r="B4410" t="s">
        <v>14</v>
      </c>
      <c r="C4410" s="101" t="s">
        <v>2050</v>
      </c>
      <c r="D4410" s="41">
        <v>50</v>
      </c>
      <c r="E4410" s="41">
        <v>50</v>
      </c>
      <c r="F4410" s="101" t="s">
        <v>16</v>
      </c>
      <c r="G4410" s="102">
        <v>45931</v>
      </c>
      <c r="H4410" s="26" t="s">
        <v>2970</v>
      </c>
      <c r="I4410" s="49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1">
        <f t="shared" si="172"/>
        <v>19600</v>
      </c>
      <c r="P4410" s="10">
        <v>83</v>
      </c>
      <c r="Q4410" s="10" t="s">
        <v>1935</v>
      </c>
      <c r="R4410" s="50">
        <f>+テーブル1[[#This Row],[合計金額]]*テーブル1[[#This Row],[自社報酬率％]]/100</f>
        <v>9800</v>
      </c>
    </row>
    <row r="4411" spans="1:18">
      <c r="A4411" s="7">
        <v>45901</v>
      </c>
      <c r="B4411" t="s">
        <v>21</v>
      </c>
      <c r="C4411" s="71" t="s">
        <v>24</v>
      </c>
      <c r="D4411" s="41">
        <v>100</v>
      </c>
      <c r="E4411" s="41">
        <v>100</v>
      </c>
      <c r="F4411" s="18"/>
      <c r="G4411" s="28">
        <v>45901</v>
      </c>
      <c r="H4411" s="26" t="s">
        <v>2400</v>
      </c>
      <c r="I4411" s="49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1">
        <f>+I4411*J4411</f>
        <v>217800</v>
      </c>
      <c r="P4411" s="10">
        <v>98</v>
      </c>
      <c r="Q4411" s="10" t="s">
        <v>1935</v>
      </c>
      <c r="R4411" s="50">
        <f>+テーブル1[[#This Row],[合計金額]]*テーブル1[[#This Row],[自社報酬率％]]/100</f>
        <v>217800</v>
      </c>
    </row>
    <row r="4412" spans="1:18">
      <c r="A4412" s="7">
        <v>45901</v>
      </c>
      <c r="B4412" t="s">
        <v>21</v>
      </c>
      <c r="C4412" s="112" t="s">
        <v>2043</v>
      </c>
      <c r="D4412" s="41">
        <v>60</v>
      </c>
      <c r="E4412" s="41">
        <v>40</v>
      </c>
      <c r="F4412" s="18"/>
      <c r="G4412" s="28">
        <v>45901</v>
      </c>
      <c r="H4412" s="26" t="s">
        <v>2743</v>
      </c>
      <c r="I4412" s="49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1">
        <f>+I4412*J4412</f>
        <v>349200</v>
      </c>
      <c r="P4412" s="10">
        <v>99</v>
      </c>
      <c r="Q4412" s="10" t="s">
        <v>1935</v>
      </c>
      <c r="R4412" s="50">
        <f>+テーブル1[[#This Row],[合計金額]]*テーブル1[[#This Row],[自社報酬率％]]/100</f>
        <v>139680</v>
      </c>
    </row>
    <row r="4413" spans="1:18">
      <c r="A4413" s="7">
        <v>45901</v>
      </c>
      <c r="B4413" t="s">
        <v>21</v>
      </c>
      <c r="C4413" s="18" t="s">
        <v>2043</v>
      </c>
      <c r="D4413" s="41">
        <v>60</v>
      </c>
      <c r="E4413" s="41">
        <v>40</v>
      </c>
      <c r="F4413" s="18"/>
      <c r="G4413" s="28">
        <v>45901</v>
      </c>
      <c r="H4413" s="26" t="s">
        <v>2971</v>
      </c>
      <c r="I4413" s="49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1">
        <f>+I4413*J4413</f>
        <v>29700</v>
      </c>
      <c r="P4413" s="10">
        <v>100</v>
      </c>
      <c r="Q4413" s="10" t="s">
        <v>1935</v>
      </c>
      <c r="R4413" s="50">
        <f>+テーブル1[[#This Row],[合計金額]]*テーブル1[[#This Row],[自社報酬率％]]/100</f>
        <v>11880</v>
      </c>
    </row>
    <row r="4414" spans="1:18">
      <c r="A4414" s="7">
        <v>45901</v>
      </c>
      <c r="B4414" t="s">
        <v>21</v>
      </c>
      <c r="C4414" s="18" t="s">
        <v>2043</v>
      </c>
      <c r="D4414" s="41">
        <v>60</v>
      </c>
      <c r="E4414" s="41">
        <v>40</v>
      </c>
      <c r="F4414" s="18"/>
      <c r="G4414" s="28">
        <v>45901</v>
      </c>
      <c r="H4414" s="26" t="s">
        <v>2972</v>
      </c>
      <c r="I4414" s="49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1">
        <f>+I4414*J4414</f>
        <v>249000</v>
      </c>
      <c r="P4414" s="10">
        <v>101</v>
      </c>
      <c r="Q4414" s="10" t="s">
        <v>1935</v>
      </c>
      <c r="R4414" s="50">
        <f>+テーブル1[[#This Row],[合計金額]]*テーブル1[[#This Row],[自社報酬率％]]/100</f>
        <v>99600</v>
      </c>
    </row>
    <row r="4415" spans="1:18">
      <c r="A4415" s="7">
        <v>45901</v>
      </c>
      <c r="B4415" t="s">
        <v>21</v>
      </c>
      <c r="C4415" s="18" t="s">
        <v>2050</v>
      </c>
      <c r="D4415" s="41">
        <v>50</v>
      </c>
      <c r="E4415" s="41">
        <v>50</v>
      </c>
      <c r="F4415" s="18"/>
      <c r="G4415" s="28">
        <v>45901</v>
      </c>
      <c r="H4415" s="26" t="s">
        <v>2422</v>
      </c>
      <c r="I4415" s="49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1">
        <f>+I4415*J4415</f>
        <v>1192000</v>
      </c>
      <c r="P4415" s="10">
        <v>102</v>
      </c>
      <c r="Q4415" s="10" t="s">
        <v>1935</v>
      </c>
      <c r="R4415" s="50">
        <f>+テーブル1[[#This Row],[合計金額]]*テーブル1[[#This Row],[自社報酬率％]]/100</f>
        <v>596000</v>
      </c>
    </row>
    <row r="4416" spans="1:18">
      <c r="A4416" s="7">
        <v>45901</v>
      </c>
      <c r="B4416" t="s">
        <v>21</v>
      </c>
      <c r="C4416" s="18" t="s">
        <v>1962</v>
      </c>
      <c r="D4416" s="41">
        <v>50</v>
      </c>
      <c r="E4416" s="41">
        <v>50</v>
      </c>
      <c r="F4416" s="18"/>
      <c r="G4416" s="28">
        <v>45901</v>
      </c>
      <c r="H4416" s="26" t="s">
        <v>2916</v>
      </c>
      <c r="I4416" s="49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1">
        <v>-4515</v>
      </c>
      <c r="P4416" s="10">
        <v>102</v>
      </c>
      <c r="Q4416" s="10" t="s">
        <v>1935</v>
      </c>
      <c r="R4416" s="50">
        <f>+テーブル1[[#This Row],[合計金額]]*テーブル1[[#This Row],[自社報酬率％]]/100</f>
        <v>-2257.5</v>
      </c>
    </row>
    <row r="4417" spans="1:18">
      <c r="A4417" s="7">
        <v>45901</v>
      </c>
      <c r="B4417" t="s">
        <v>21</v>
      </c>
      <c r="C4417" s="18" t="s">
        <v>22</v>
      </c>
      <c r="D4417" s="41">
        <v>0</v>
      </c>
      <c r="E4417" s="41">
        <v>100</v>
      </c>
      <c r="F4417" s="18"/>
      <c r="G4417" s="28">
        <v>45901</v>
      </c>
      <c r="H4417" s="26"/>
      <c r="I4417" s="49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1">
        <v>-385</v>
      </c>
      <c r="P4417" s="10">
        <v>103</v>
      </c>
      <c r="Q4417" s="10" t="s">
        <v>1935</v>
      </c>
      <c r="R4417" s="50">
        <f>+テーブル1[[#This Row],[合計金額]]*テーブル1[[#This Row],[自社報酬率％]]/100</f>
        <v>-385</v>
      </c>
    </row>
    <row r="4418" spans="1:18">
      <c r="A4418" s="7">
        <v>45901</v>
      </c>
      <c r="B4418" t="s">
        <v>21</v>
      </c>
      <c r="C4418" s="18" t="s">
        <v>1962</v>
      </c>
      <c r="D4418" s="41">
        <v>50</v>
      </c>
      <c r="E4418" s="41">
        <v>50</v>
      </c>
      <c r="F4418" s="18"/>
      <c r="G4418" s="28">
        <v>45901</v>
      </c>
      <c r="H4418" s="26" t="s">
        <v>2916</v>
      </c>
      <c r="I4418" s="49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1">
        <v>-4515</v>
      </c>
      <c r="P4418" s="10">
        <v>104</v>
      </c>
      <c r="Q4418" s="10" t="s">
        <v>1935</v>
      </c>
      <c r="R4418" s="50">
        <f>+テーブル1[[#This Row],[合計金額]]*テーブル1[[#This Row],[自社報酬率％]]/100</f>
        <v>-2257.5</v>
      </c>
    </row>
    <row r="4419" spans="1:18">
      <c r="A4419" s="7">
        <v>45901</v>
      </c>
      <c r="B4419" t="s">
        <v>21</v>
      </c>
      <c r="C4419" s="18" t="s">
        <v>22</v>
      </c>
      <c r="D4419" s="41">
        <v>0</v>
      </c>
      <c r="E4419" s="41">
        <v>100</v>
      </c>
      <c r="F4419" s="18"/>
      <c r="G4419" s="28">
        <v>45901</v>
      </c>
      <c r="H4419" s="26"/>
      <c r="I4419" s="49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1">
        <v>-385</v>
      </c>
      <c r="P4419" s="10">
        <v>105</v>
      </c>
      <c r="Q4419" s="10" t="s">
        <v>1935</v>
      </c>
      <c r="R4419" s="50">
        <f>+テーブル1[[#This Row],[合計金額]]*テーブル1[[#This Row],[自社報酬率％]]/100</f>
        <v>-385</v>
      </c>
    </row>
    <row r="4420" spans="1:18">
      <c r="A4420" s="7">
        <v>45901</v>
      </c>
      <c r="B4420" t="s">
        <v>21</v>
      </c>
      <c r="C4420" s="18" t="s">
        <v>1962</v>
      </c>
      <c r="D4420" s="41">
        <v>50</v>
      </c>
      <c r="E4420" s="41">
        <v>50</v>
      </c>
      <c r="F4420" s="18"/>
      <c r="G4420" s="28">
        <v>45901</v>
      </c>
      <c r="H4420" s="26" t="s">
        <v>2916</v>
      </c>
      <c r="I4420" s="49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1">
        <v>-4515</v>
      </c>
      <c r="P4420" s="10">
        <v>106</v>
      </c>
      <c r="Q4420" s="10" t="s">
        <v>1935</v>
      </c>
      <c r="R4420" s="50">
        <f>+テーブル1[[#This Row],[合計金額]]*テーブル1[[#This Row],[自社報酬率％]]/100</f>
        <v>-2257.5</v>
      </c>
    </row>
    <row r="4421" spans="1:18">
      <c r="A4421" s="7">
        <v>45901</v>
      </c>
      <c r="B4421" t="s">
        <v>21</v>
      </c>
      <c r="C4421" s="18" t="s">
        <v>22</v>
      </c>
      <c r="D4421" s="41">
        <v>0</v>
      </c>
      <c r="E4421" s="41">
        <v>100</v>
      </c>
      <c r="F4421" s="18"/>
      <c r="G4421" s="28">
        <v>45901</v>
      </c>
      <c r="H4421" s="26"/>
      <c r="I4421" s="49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1">
        <v>-385</v>
      </c>
      <c r="P4421" s="10">
        <v>107</v>
      </c>
      <c r="Q4421" s="10" t="s">
        <v>1935</v>
      </c>
      <c r="R4421" s="50">
        <f>+テーブル1[[#This Row],[合計金額]]*テーブル1[[#This Row],[自社報酬率％]]/100</f>
        <v>-385</v>
      </c>
    </row>
    <row r="4422" spans="1:18">
      <c r="A4422" s="7">
        <v>45901</v>
      </c>
      <c r="B4422" t="s">
        <v>21</v>
      </c>
      <c r="C4422" s="18" t="s">
        <v>1962</v>
      </c>
      <c r="D4422" s="41">
        <v>50</v>
      </c>
      <c r="E4422" s="41">
        <v>50</v>
      </c>
      <c r="F4422" s="18"/>
      <c r="G4422" s="28">
        <v>45901</v>
      </c>
      <c r="H4422" s="26" t="s">
        <v>2916</v>
      </c>
      <c r="I4422" s="49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1">
        <v>-4515</v>
      </c>
      <c r="P4422" s="10">
        <v>108</v>
      </c>
      <c r="Q4422" s="10" t="s">
        <v>1935</v>
      </c>
      <c r="R4422" s="50">
        <f>+テーブル1[[#This Row],[合計金額]]*テーブル1[[#This Row],[自社報酬率％]]/100</f>
        <v>-2257.5</v>
      </c>
    </row>
    <row r="4423" spans="1:18">
      <c r="A4423" s="7">
        <v>45901</v>
      </c>
      <c r="B4423" t="s">
        <v>21</v>
      </c>
      <c r="C4423" s="18" t="s">
        <v>22</v>
      </c>
      <c r="D4423" s="41">
        <v>0</v>
      </c>
      <c r="E4423" s="41">
        <v>100</v>
      </c>
      <c r="F4423" s="18"/>
      <c r="G4423" s="28">
        <v>45901</v>
      </c>
      <c r="H4423" s="26"/>
      <c r="I4423" s="49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1">
        <v>-385</v>
      </c>
      <c r="P4423" s="10">
        <v>109</v>
      </c>
      <c r="Q4423" s="10" t="s">
        <v>1935</v>
      </c>
      <c r="R4423" s="50">
        <f>+テーブル1[[#This Row],[合計金額]]*テーブル1[[#This Row],[自社報酬率％]]/100</f>
        <v>-385</v>
      </c>
    </row>
    <row r="4424" spans="1:18">
      <c r="A4424" s="7">
        <v>45901</v>
      </c>
      <c r="B4424" t="s">
        <v>21</v>
      </c>
      <c r="C4424" s="18" t="s">
        <v>2212</v>
      </c>
      <c r="D4424" s="41">
        <v>10</v>
      </c>
      <c r="E4424" s="41">
        <v>90</v>
      </c>
      <c r="F4424" s="18"/>
      <c r="G4424" s="28">
        <v>45901</v>
      </c>
      <c r="H4424" s="26" t="s">
        <v>2953</v>
      </c>
      <c r="I4424" s="49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1">
        <v>-9415</v>
      </c>
      <c r="P4424" s="10">
        <v>110</v>
      </c>
      <c r="Q4424" s="10" t="s">
        <v>1935</v>
      </c>
      <c r="R4424" s="50">
        <f>+テーブル1[[#This Row],[合計金額]]*テーブル1[[#This Row],[自社報酬率％]]/100</f>
        <v>-8473.5</v>
      </c>
    </row>
    <row r="4425" spans="1:18">
      <c r="A4425" s="7">
        <v>45901</v>
      </c>
      <c r="B4425" t="s">
        <v>21</v>
      </c>
      <c r="C4425" s="18" t="s">
        <v>22</v>
      </c>
      <c r="D4425" s="41">
        <v>0</v>
      </c>
      <c r="E4425" s="41">
        <v>100</v>
      </c>
      <c r="F4425" s="18"/>
      <c r="G4425" s="28">
        <v>45901</v>
      </c>
      <c r="H4425" s="26"/>
      <c r="I4425" s="49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1">
        <v>-385</v>
      </c>
      <c r="P4425" s="10">
        <v>111</v>
      </c>
      <c r="Q4425" s="10" t="s">
        <v>1935</v>
      </c>
      <c r="R4425" s="50">
        <f>+テーブル1[[#This Row],[合計金額]]*テーブル1[[#This Row],[自社報酬率％]]/100</f>
        <v>-385</v>
      </c>
    </row>
    <row r="4426" spans="1:18">
      <c r="A4426" s="7">
        <v>45901</v>
      </c>
      <c r="B4426" t="s">
        <v>21</v>
      </c>
      <c r="C4426" s="18" t="s">
        <v>1962</v>
      </c>
      <c r="D4426" s="41">
        <v>50</v>
      </c>
      <c r="E4426" s="41">
        <v>50</v>
      </c>
      <c r="F4426" s="18"/>
      <c r="G4426" s="28">
        <v>45901</v>
      </c>
      <c r="H4426" s="26" t="s">
        <v>2916</v>
      </c>
      <c r="I4426" s="49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1">
        <v>-4515</v>
      </c>
      <c r="P4426" s="10">
        <v>112</v>
      </c>
      <c r="Q4426" s="10" t="s">
        <v>1935</v>
      </c>
      <c r="R4426" s="50">
        <f>+テーブル1[[#This Row],[合計金額]]*テーブル1[[#This Row],[自社報酬率％]]/100</f>
        <v>-2257.5</v>
      </c>
    </row>
    <row r="4427" spans="1:18">
      <c r="A4427" s="7">
        <v>45901</v>
      </c>
      <c r="B4427" t="s">
        <v>21</v>
      </c>
      <c r="C4427" s="18" t="s">
        <v>22</v>
      </c>
      <c r="D4427" s="41">
        <v>0</v>
      </c>
      <c r="E4427" s="41">
        <v>100</v>
      </c>
      <c r="F4427" s="18"/>
      <c r="G4427" s="28">
        <v>45901</v>
      </c>
      <c r="H4427" s="26"/>
      <c r="I4427" s="49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1">
        <v>-385</v>
      </c>
      <c r="P4427" s="10">
        <v>113</v>
      </c>
      <c r="Q4427" s="10" t="s">
        <v>1935</v>
      </c>
      <c r="R4427" s="50">
        <f>+テーブル1[[#This Row],[合計金額]]*テーブル1[[#This Row],[自社報酬率％]]/100</f>
        <v>-385</v>
      </c>
    </row>
    <row r="4428" spans="1:18">
      <c r="A4428" s="7">
        <v>45901</v>
      </c>
      <c r="B4428" t="s">
        <v>21</v>
      </c>
      <c r="C4428" s="18" t="s">
        <v>1962</v>
      </c>
      <c r="D4428" s="41">
        <v>50</v>
      </c>
      <c r="E4428" s="41">
        <v>50</v>
      </c>
      <c r="F4428" s="18"/>
      <c r="G4428" s="28">
        <v>45901</v>
      </c>
      <c r="H4428" s="26" t="s">
        <v>2541</v>
      </c>
      <c r="I4428" s="49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1">
        <v>-48350</v>
      </c>
      <c r="P4428" s="10">
        <v>114</v>
      </c>
      <c r="Q4428" s="10" t="s">
        <v>1935</v>
      </c>
      <c r="R4428" s="50">
        <f>+テーブル1[[#This Row],[合計金額]]*テーブル1[[#This Row],[自社報酬率％]]/100</f>
        <v>-24175</v>
      </c>
    </row>
    <row r="4429" spans="1:18">
      <c r="A4429" s="7">
        <v>45901</v>
      </c>
      <c r="B4429" t="s">
        <v>21</v>
      </c>
      <c r="C4429" s="18" t="s">
        <v>1962</v>
      </c>
      <c r="D4429" s="41">
        <v>50</v>
      </c>
      <c r="E4429" s="41">
        <v>50</v>
      </c>
      <c r="F4429" s="18"/>
      <c r="G4429" s="28">
        <v>45901</v>
      </c>
      <c r="H4429" s="26" t="s">
        <v>2916</v>
      </c>
      <c r="I4429" s="49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1">
        <v>-4900</v>
      </c>
      <c r="P4429" s="10">
        <v>115</v>
      </c>
      <c r="Q4429" s="10" t="s">
        <v>1935</v>
      </c>
      <c r="R4429" s="50">
        <f>+テーブル1[[#This Row],[合計金額]]*テーブル1[[#This Row],[自社報酬率％]]/100</f>
        <v>-2450</v>
      </c>
    </row>
    <row r="4430" spans="1:18">
      <c r="A4430" s="7">
        <v>45901</v>
      </c>
      <c r="B4430" t="s">
        <v>21</v>
      </c>
      <c r="C4430" s="18" t="s">
        <v>22</v>
      </c>
      <c r="D4430" s="41">
        <v>0</v>
      </c>
      <c r="E4430" s="41">
        <v>100</v>
      </c>
      <c r="F4430" s="18"/>
      <c r="G4430" s="28">
        <v>45901</v>
      </c>
      <c r="H4430" s="26"/>
      <c r="I4430" s="49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1">
        <v>-550</v>
      </c>
      <c r="P4430" s="10">
        <v>116</v>
      </c>
      <c r="Q4430" s="10" t="s">
        <v>1935</v>
      </c>
      <c r="R4430" s="50">
        <f>+テーブル1[[#This Row],[合計金額]]*テーブル1[[#This Row],[自社報酬率％]]/100</f>
        <v>-550</v>
      </c>
    </row>
    <row r="4431" spans="1:18">
      <c r="A4431" s="7">
        <v>45901</v>
      </c>
      <c r="B4431" t="s">
        <v>21</v>
      </c>
      <c r="C4431" s="18" t="s">
        <v>2212</v>
      </c>
      <c r="D4431" s="41">
        <v>10</v>
      </c>
      <c r="E4431" s="41">
        <v>90</v>
      </c>
      <c r="F4431" s="18"/>
      <c r="G4431" s="28">
        <v>45901</v>
      </c>
      <c r="H4431" s="26" t="s">
        <v>2953</v>
      </c>
      <c r="I4431" s="49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1">
        <v>-9415</v>
      </c>
      <c r="P4431" s="10">
        <v>117</v>
      </c>
      <c r="Q4431" s="10" t="s">
        <v>1935</v>
      </c>
      <c r="R4431" s="50">
        <f>+テーブル1[[#This Row],[合計金額]]*テーブル1[[#This Row],[自社報酬率％]]/100</f>
        <v>-8473.5</v>
      </c>
    </row>
    <row r="4432" spans="1:18">
      <c r="A4432" s="7">
        <v>45901</v>
      </c>
      <c r="B4432" t="s">
        <v>21</v>
      </c>
      <c r="C4432" s="18" t="s">
        <v>22</v>
      </c>
      <c r="D4432" s="41">
        <v>0</v>
      </c>
      <c r="E4432" s="41">
        <v>100</v>
      </c>
      <c r="F4432" s="18"/>
      <c r="G4432" s="28">
        <v>45901</v>
      </c>
      <c r="H4432" s="26"/>
      <c r="I4432" s="49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1">
        <v>-385</v>
      </c>
      <c r="P4432" s="10">
        <v>118</v>
      </c>
      <c r="Q4432" s="10" t="s">
        <v>1935</v>
      </c>
      <c r="R4432" s="50">
        <f>+テーブル1[[#This Row],[合計金額]]*テーブル1[[#This Row],[自社報酬率％]]/100</f>
        <v>-385</v>
      </c>
    </row>
    <row r="4433" spans="1:18">
      <c r="A4433" s="7">
        <v>45901</v>
      </c>
      <c r="B4433" t="s">
        <v>21</v>
      </c>
      <c r="C4433" s="18" t="s">
        <v>1962</v>
      </c>
      <c r="D4433" s="41">
        <v>50</v>
      </c>
      <c r="E4433" s="41">
        <v>50</v>
      </c>
      <c r="F4433" s="18"/>
      <c r="G4433" s="28">
        <v>45901</v>
      </c>
      <c r="H4433" s="26" t="s">
        <v>2916</v>
      </c>
      <c r="I4433" s="49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1">
        <v>-4515</v>
      </c>
      <c r="P4433" s="10">
        <v>119</v>
      </c>
      <c r="Q4433" s="10" t="s">
        <v>1935</v>
      </c>
      <c r="R4433" s="50">
        <f>+テーブル1[[#This Row],[合計金額]]*テーブル1[[#This Row],[自社報酬率％]]/100</f>
        <v>-2257.5</v>
      </c>
    </row>
    <row r="4434" spans="1:18">
      <c r="A4434" s="7">
        <v>45901</v>
      </c>
      <c r="B4434" t="s">
        <v>21</v>
      </c>
      <c r="C4434" s="18" t="s">
        <v>22</v>
      </c>
      <c r="D4434" s="41">
        <v>0</v>
      </c>
      <c r="E4434" s="41">
        <v>100</v>
      </c>
      <c r="F4434" s="18"/>
      <c r="G4434" s="28">
        <v>45901</v>
      </c>
      <c r="H4434" s="26"/>
      <c r="I4434" s="49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1">
        <v>-385</v>
      </c>
      <c r="P4434" s="10">
        <v>120</v>
      </c>
      <c r="Q4434" s="10" t="s">
        <v>1935</v>
      </c>
      <c r="R4434" s="50">
        <f>+テーブル1[[#This Row],[合計金額]]*テーブル1[[#This Row],[自社報酬率％]]/100</f>
        <v>-385</v>
      </c>
    </row>
    <row r="4435" spans="1:18">
      <c r="A4435" s="7">
        <v>45901</v>
      </c>
      <c r="B4435" t="s">
        <v>21</v>
      </c>
      <c r="C4435" s="18" t="s">
        <v>1962</v>
      </c>
      <c r="D4435" s="41">
        <v>50</v>
      </c>
      <c r="E4435" s="41">
        <v>50</v>
      </c>
      <c r="F4435" s="18"/>
      <c r="G4435" s="28">
        <v>45901</v>
      </c>
      <c r="H4435" s="26" t="s">
        <v>2916</v>
      </c>
      <c r="I4435" s="49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1">
        <v>-4515</v>
      </c>
      <c r="P4435" s="10">
        <v>121</v>
      </c>
      <c r="Q4435" s="10" t="s">
        <v>1935</v>
      </c>
      <c r="R4435" s="50">
        <f>+テーブル1[[#This Row],[合計金額]]*テーブル1[[#This Row],[自社報酬率％]]/100</f>
        <v>-2257.5</v>
      </c>
    </row>
    <row r="4436" spans="1:18">
      <c r="A4436" s="7">
        <v>45901</v>
      </c>
      <c r="B4436" t="s">
        <v>21</v>
      </c>
      <c r="C4436" s="18" t="s">
        <v>22</v>
      </c>
      <c r="D4436" s="41">
        <v>0</v>
      </c>
      <c r="E4436" s="41">
        <v>100</v>
      </c>
      <c r="F4436" s="18"/>
      <c r="G4436" s="28">
        <v>45901</v>
      </c>
      <c r="H4436" s="26"/>
      <c r="I4436" s="49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1">
        <v>-385</v>
      </c>
      <c r="P4436" s="10">
        <v>122</v>
      </c>
      <c r="Q4436" s="10" t="s">
        <v>1935</v>
      </c>
      <c r="R4436" s="50">
        <f>+テーブル1[[#This Row],[合計金額]]*テーブル1[[#This Row],[自社報酬率％]]/100</f>
        <v>-385</v>
      </c>
    </row>
    <row r="4437" spans="1:18">
      <c r="A4437" s="7">
        <v>45901</v>
      </c>
      <c r="B4437" t="s">
        <v>21</v>
      </c>
      <c r="C4437" s="18" t="s">
        <v>1962</v>
      </c>
      <c r="D4437" s="41">
        <v>50</v>
      </c>
      <c r="E4437" s="41">
        <v>50</v>
      </c>
      <c r="F4437" s="18"/>
      <c r="G4437" s="28">
        <v>45901</v>
      </c>
      <c r="H4437" s="26" t="s">
        <v>2916</v>
      </c>
      <c r="I4437" s="49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1">
        <v>-4515</v>
      </c>
      <c r="P4437" s="10">
        <v>123</v>
      </c>
      <c r="Q4437" s="10" t="s">
        <v>1935</v>
      </c>
      <c r="R4437" s="50">
        <f>+テーブル1[[#This Row],[合計金額]]*テーブル1[[#This Row],[自社報酬率％]]/100</f>
        <v>-2257.5</v>
      </c>
    </row>
    <row r="4438" spans="1:18">
      <c r="A4438" s="7">
        <v>45901</v>
      </c>
      <c r="B4438" t="s">
        <v>21</v>
      </c>
      <c r="C4438" s="18" t="s">
        <v>22</v>
      </c>
      <c r="D4438" s="41">
        <v>0</v>
      </c>
      <c r="E4438" s="41">
        <v>100</v>
      </c>
      <c r="F4438" s="18"/>
      <c r="G4438" s="28">
        <v>45901</v>
      </c>
      <c r="H4438" s="26"/>
      <c r="I4438" s="49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1">
        <v>-385</v>
      </c>
      <c r="P4438" s="10">
        <v>124</v>
      </c>
      <c r="Q4438" s="10" t="s">
        <v>1935</v>
      </c>
      <c r="R4438" s="50">
        <f>+テーブル1[[#This Row],[合計金額]]*テーブル1[[#This Row],[自社報酬率％]]/100</f>
        <v>-385</v>
      </c>
    </row>
    <row r="4439" spans="1:18">
      <c r="A4439" s="7">
        <v>45901</v>
      </c>
      <c r="B4439" t="s">
        <v>21</v>
      </c>
      <c r="C4439" s="18" t="s">
        <v>2212</v>
      </c>
      <c r="D4439" s="41">
        <v>10</v>
      </c>
      <c r="E4439" s="41">
        <v>90</v>
      </c>
      <c r="F4439" s="18"/>
      <c r="G4439" s="28">
        <v>45901</v>
      </c>
      <c r="H4439" s="26" t="s">
        <v>2953</v>
      </c>
      <c r="I4439" s="49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1">
        <v>-9415</v>
      </c>
      <c r="P4439" s="10">
        <v>125</v>
      </c>
      <c r="Q4439" s="10" t="s">
        <v>1935</v>
      </c>
      <c r="R4439" s="50">
        <f>+テーブル1[[#This Row],[合計金額]]*テーブル1[[#This Row],[自社報酬率％]]/100</f>
        <v>-8473.5</v>
      </c>
    </row>
    <row r="4440" spans="1:18">
      <c r="A4440" s="7">
        <v>45901</v>
      </c>
      <c r="B4440" t="s">
        <v>21</v>
      </c>
      <c r="C4440" s="18" t="s">
        <v>22</v>
      </c>
      <c r="D4440" s="41">
        <v>0</v>
      </c>
      <c r="E4440" s="41">
        <v>100</v>
      </c>
      <c r="F4440" s="18"/>
      <c r="G4440" s="28">
        <v>45901</v>
      </c>
      <c r="H4440" s="26"/>
      <c r="I4440" s="49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1">
        <v>-385</v>
      </c>
      <c r="P4440" s="10">
        <v>126</v>
      </c>
      <c r="Q4440" s="10" t="s">
        <v>1935</v>
      </c>
      <c r="R4440" s="50">
        <f>+テーブル1[[#This Row],[合計金額]]*テーブル1[[#This Row],[自社報酬率％]]/100</f>
        <v>-385</v>
      </c>
    </row>
    <row r="4441" spans="1:18">
      <c r="A4441" s="7">
        <v>45901</v>
      </c>
      <c r="B4441" t="s">
        <v>21</v>
      </c>
      <c r="C4441" s="18" t="s">
        <v>2212</v>
      </c>
      <c r="D4441" s="41">
        <v>10</v>
      </c>
      <c r="E4441" s="41">
        <v>90</v>
      </c>
      <c r="F4441" s="18"/>
      <c r="G4441" s="28">
        <v>45901</v>
      </c>
      <c r="H4441" s="26" t="s">
        <v>2953</v>
      </c>
      <c r="I4441" s="49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1">
        <v>-9415</v>
      </c>
      <c r="P4441" s="10">
        <v>127</v>
      </c>
      <c r="Q4441" s="10" t="s">
        <v>1935</v>
      </c>
      <c r="R4441" s="50">
        <f>+テーブル1[[#This Row],[合計金額]]*テーブル1[[#This Row],[自社報酬率％]]/100</f>
        <v>-8473.5</v>
      </c>
    </row>
    <row r="4442" spans="1:18">
      <c r="A4442" s="7">
        <v>45901</v>
      </c>
      <c r="B4442" t="s">
        <v>21</v>
      </c>
      <c r="C4442" s="18" t="s">
        <v>22</v>
      </c>
      <c r="D4442" s="41">
        <v>0</v>
      </c>
      <c r="E4442" s="41">
        <v>100</v>
      </c>
      <c r="F4442" s="18"/>
      <c r="G4442" s="28">
        <v>45901</v>
      </c>
      <c r="H4442" s="26"/>
      <c r="I4442" s="49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1">
        <v>-385</v>
      </c>
      <c r="P4442" s="10">
        <v>128</v>
      </c>
      <c r="Q4442" s="10" t="s">
        <v>1935</v>
      </c>
      <c r="R4442" s="50">
        <f>+テーブル1[[#This Row],[合計金額]]*テーブル1[[#This Row],[自社報酬率％]]/100</f>
        <v>-385</v>
      </c>
    </row>
    <row r="4443" spans="1:18">
      <c r="A4443" s="7">
        <v>45901</v>
      </c>
      <c r="B4443" t="s">
        <v>21</v>
      </c>
      <c r="C4443" s="18" t="s">
        <v>1962</v>
      </c>
      <c r="D4443" s="41">
        <v>50</v>
      </c>
      <c r="E4443" s="41">
        <v>50</v>
      </c>
      <c r="F4443" s="18"/>
      <c r="G4443" s="28">
        <v>45901</v>
      </c>
      <c r="H4443" s="26" t="s">
        <v>2916</v>
      </c>
      <c r="I4443" s="49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1">
        <v>-4515</v>
      </c>
      <c r="P4443" s="10">
        <v>129</v>
      </c>
      <c r="Q4443" s="10" t="s">
        <v>1935</v>
      </c>
      <c r="R4443" s="50">
        <f>+テーブル1[[#This Row],[合計金額]]*テーブル1[[#This Row],[自社報酬率％]]/100</f>
        <v>-2257.5</v>
      </c>
    </row>
    <row r="4444" spans="1:18">
      <c r="A4444" s="7">
        <v>45901</v>
      </c>
      <c r="B4444" t="s">
        <v>21</v>
      </c>
      <c r="C4444" s="18" t="s">
        <v>22</v>
      </c>
      <c r="D4444" s="41">
        <v>0</v>
      </c>
      <c r="E4444" s="41">
        <v>100</v>
      </c>
      <c r="F4444" s="18"/>
      <c r="G4444" s="28">
        <v>45901</v>
      </c>
      <c r="H4444" s="26"/>
      <c r="I4444" s="49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1">
        <v>-385</v>
      </c>
      <c r="P4444" s="10">
        <v>130</v>
      </c>
      <c r="Q4444" s="10" t="s">
        <v>1935</v>
      </c>
      <c r="R4444" s="50">
        <f>+テーブル1[[#This Row],[合計金額]]*テーブル1[[#This Row],[自社報酬率％]]/100</f>
        <v>-385</v>
      </c>
    </row>
    <row r="4445" spans="1:18">
      <c r="A4445" s="7">
        <v>45901</v>
      </c>
      <c r="B4445" t="s">
        <v>21</v>
      </c>
      <c r="C4445" s="18" t="s">
        <v>1962</v>
      </c>
      <c r="D4445" s="41">
        <v>50</v>
      </c>
      <c r="E4445" s="41">
        <v>50</v>
      </c>
      <c r="F4445" s="18"/>
      <c r="G4445" s="28">
        <v>45901</v>
      </c>
      <c r="H4445" s="26" t="s">
        <v>2916</v>
      </c>
      <c r="I4445" s="49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1">
        <v>-4515</v>
      </c>
      <c r="P4445" s="10">
        <v>131</v>
      </c>
      <c r="Q4445" s="10" t="s">
        <v>1935</v>
      </c>
      <c r="R4445" s="50">
        <f>+テーブル1[[#This Row],[合計金額]]*テーブル1[[#This Row],[自社報酬率％]]/100</f>
        <v>-2257.5</v>
      </c>
    </row>
    <row r="4446" spans="1:18">
      <c r="A4446" s="7">
        <v>45901</v>
      </c>
      <c r="B4446" t="s">
        <v>21</v>
      </c>
      <c r="C4446" s="18" t="s">
        <v>22</v>
      </c>
      <c r="D4446" s="41">
        <v>0</v>
      </c>
      <c r="E4446" s="41">
        <v>100</v>
      </c>
      <c r="F4446" s="18"/>
      <c r="G4446" s="28">
        <v>45901</v>
      </c>
      <c r="H4446" s="26"/>
      <c r="I4446" s="49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1">
        <v>-385</v>
      </c>
      <c r="P4446" s="10">
        <v>132</v>
      </c>
      <c r="Q4446" s="10" t="s">
        <v>1935</v>
      </c>
      <c r="R4446" s="50">
        <f>+テーブル1[[#This Row],[合計金額]]*テーブル1[[#This Row],[自社報酬率％]]/100</f>
        <v>-385</v>
      </c>
    </row>
    <row r="4447" spans="1:18">
      <c r="A4447" s="7">
        <v>45901</v>
      </c>
      <c r="B4447" t="s">
        <v>21</v>
      </c>
      <c r="C4447" s="18" t="s">
        <v>1962</v>
      </c>
      <c r="D4447" s="41">
        <v>50</v>
      </c>
      <c r="E4447" s="41">
        <v>50</v>
      </c>
      <c r="F4447" s="18"/>
      <c r="G4447" s="28">
        <v>45901</v>
      </c>
      <c r="H4447" s="26" t="s">
        <v>2916</v>
      </c>
      <c r="I4447" s="49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1">
        <v>-4515</v>
      </c>
      <c r="P4447" s="10">
        <v>133</v>
      </c>
      <c r="Q4447" s="10" t="s">
        <v>1935</v>
      </c>
      <c r="R4447" s="50">
        <f>+テーブル1[[#This Row],[合計金額]]*テーブル1[[#This Row],[自社報酬率％]]/100</f>
        <v>-2257.5</v>
      </c>
    </row>
    <row r="4448" spans="1:18">
      <c r="A4448" s="7">
        <v>45901</v>
      </c>
      <c r="B4448" t="s">
        <v>21</v>
      </c>
      <c r="C4448" s="18" t="s">
        <v>22</v>
      </c>
      <c r="D4448" s="41">
        <v>0</v>
      </c>
      <c r="E4448" s="41">
        <v>100</v>
      </c>
      <c r="F4448" s="18"/>
      <c r="G4448" s="28">
        <v>45901</v>
      </c>
      <c r="H4448" s="26"/>
      <c r="I4448" s="49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1">
        <v>-385</v>
      </c>
      <c r="P4448" s="10">
        <v>134</v>
      </c>
      <c r="Q4448" s="10" t="s">
        <v>1935</v>
      </c>
      <c r="R4448" s="50">
        <f>+テーブル1[[#This Row],[合計金額]]*テーブル1[[#This Row],[自社報酬率％]]/100</f>
        <v>-385</v>
      </c>
    </row>
    <row r="4449" spans="1:18">
      <c r="A4449" s="7">
        <v>45901</v>
      </c>
      <c r="B4449" t="s">
        <v>112</v>
      </c>
      <c r="C4449" s="71" t="s">
        <v>24</v>
      </c>
      <c r="D4449" s="41">
        <v>100</v>
      </c>
      <c r="E4449" s="41">
        <v>100</v>
      </c>
      <c r="F4449" s="104" t="s">
        <v>16</v>
      </c>
      <c r="G4449" s="102">
        <v>45931</v>
      </c>
      <c r="H4449" s="26" t="s">
        <v>2909</v>
      </c>
      <c r="I4449" s="49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1">
        <f t="shared" ref="O4449:O4512" si="174">+I4449*N4449</f>
        <v>18000</v>
      </c>
      <c r="P4449" s="10">
        <v>266</v>
      </c>
      <c r="Q4449" s="10" t="s">
        <v>1935</v>
      </c>
      <c r="R4449" s="50">
        <f>+テーブル1[[#This Row],[合計金額]]*テーブル1[[#This Row],[自社報酬率％]]/100</f>
        <v>18000</v>
      </c>
    </row>
    <row r="4450" spans="1:18">
      <c r="A4450" s="7">
        <v>45901</v>
      </c>
      <c r="B4450" t="s">
        <v>112</v>
      </c>
      <c r="C4450" s="71" t="s">
        <v>24</v>
      </c>
      <c r="D4450" s="41">
        <v>100</v>
      </c>
      <c r="E4450" s="41">
        <v>100</v>
      </c>
      <c r="F4450" s="104" t="s">
        <v>16</v>
      </c>
      <c r="G4450" s="102">
        <v>45931</v>
      </c>
      <c r="H4450" s="26" t="s">
        <v>2973</v>
      </c>
      <c r="I4450" s="49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1">
        <f t="shared" si="174"/>
        <v>3000</v>
      </c>
      <c r="P4450" s="10">
        <v>267</v>
      </c>
      <c r="Q4450" s="10" t="s">
        <v>1935</v>
      </c>
      <c r="R4450" s="50">
        <f>+テーブル1[[#This Row],[合計金額]]*テーブル1[[#This Row],[自社報酬率％]]/100</f>
        <v>3000</v>
      </c>
    </row>
    <row r="4451" spans="1:18">
      <c r="A4451" s="7">
        <v>45901</v>
      </c>
      <c r="B4451" t="s">
        <v>112</v>
      </c>
      <c r="C4451" s="71" t="s">
        <v>24</v>
      </c>
      <c r="D4451" s="41">
        <v>100</v>
      </c>
      <c r="E4451" s="41">
        <v>100</v>
      </c>
      <c r="F4451" s="104" t="s">
        <v>16</v>
      </c>
      <c r="G4451" s="102">
        <v>45931</v>
      </c>
      <c r="H4451" s="26" t="s">
        <v>2974</v>
      </c>
      <c r="I4451" s="49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1">
        <f t="shared" si="174"/>
        <v>12600</v>
      </c>
      <c r="P4451" s="10">
        <v>268</v>
      </c>
      <c r="Q4451" s="10" t="s">
        <v>1935</v>
      </c>
      <c r="R4451" s="50">
        <f>+テーブル1[[#This Row],[合計金額]]*テーブル1[[#This Row],[自社報酬率％]]/100</f>
        <v>12600</v>
      </c>
    </row>
    <row r="4452" spans="1:18">
      <c r="A4452" s="7">
        <v>45901</v>
      </c>
      <c r="B4452" t="s">
        <v>112</v>
      </c>
      <c r="C4452" s="71" t="s">
        <v>24</v>
      </c>
      <c r="D4452" s="41">
        <v>100</v>
      </c>
      <c r="E4452" s="41">
        <v>100</v>
      </c>
      <c r="F4452" s="105" t="s">
        <v>20</v>
      </c>
      <c r="G4452" s="28">
        <v>45901</v>
      </c>
      <c r="H4452" s="26" t="s">
        <v>2400</v>
      </c>
      <c r="I4452" s="49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1">
        <f t="shared" si="174"/>
        <v>188000</v>
      </c>
      <c r="P4452" s="10">
        <v>269</v>
      </c>
      <c r="Q4452" s="10" t="s">
        <v>1935</v>
      </c>
      <c r="R4452" s="50">
        <f>+テーブル1[[#This Row],[合計金額]]*テーブル1[[#This Row],[自社報酬率％]]/100</f>
        <v>188000</v>
      </c>
    </row>
    <row r="4453" spans="1:18">
      <c r="A4453" s="7">
        <v>45901</v>
      </c>
      <c r="B4453" t="s">
        <v>112</v>
      </c>
      <c r="C4453" s="71" t="s">
        <v>24</v>
      </c>
      <c r="D4453" s="41">
        <v>100</v>
      </c>
      <c r="E4453" s="41">
        <v>100</v>
      </c>
      <c r="F4453" s="105" t="s">
        <v>20</v>
      </c>
      <c r="G4453" s="28">
        <v>45901</v>
      </c>
      <c r="H4453" s="26" t="s">
        <v>2078</v>
      </c>
      <c r="I4453" s="49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1">
        <f t="shared" si="174"/>
        <v>1089000</v>
      </c>
      <c r="P4453" s="10">
        <v>270</v>
      </c>
      <c r="Q4453" s="10" t="s">
        <v>1935</v>
      </c>
      <c r="R4453" s="50">
        <f>+テーブル1[[#This Row],[合計金額]]*テーブル1[[#This Row],[自社報酬率％]]/100</f>
        <v>1089000</v>
      </c>
    </row>
    <row r="4454" spans="1:18">
      <c r="A4454" s="7">
        <v>45901</v>
      </c>
      <c r="B4454" t="s">
        <v>112</v>
      </c>
      <c r="C4454" s="18" t="s">
        <v>2043</v>
      </c>
      <c r="D4454" s="41">
        <v>60</v>
      </c>
      <c r="E4454" s="41">
        <v>40</v>
      </c>
      <c r="F4454" s="18" t="s">
        <v>17</v>
      </c>
      <c r="G4454" s="28">
        <v>45901</v>
      </c>
      <c r="H4454" s="26" t="s">
        <v>2975</v>
      </c>
      <c r="I4454" s="49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1">
        <f t="shared" si="174"/>
        <v>698400</v>
      </c>
      <c r="P4454" s="10">
        <v>271</v>
      </c>
      <c r="Q4454" s="10" t="s">
        <v>1935</v>
      </c>
      <c r="R4454" s="50">
        <f>+テーブル1[[#This Row],[合計金額]]*テーブル1[[#This Row],[自社報酬率％]]/100</f>
        <v>279360</v>
      </c>
    </row>
    <row r="4455" spans="1:18">
      <c r="A4455" s="7">
        <v>45901</v>
      </c>
      <c r="B4455" t="s">
        <v>112</v>
      </c>
      <c r="C4455" s="18" t="s">
        <v>2043</v>
      </c>
      <c r="D4455" s="41">
        <v>60</v>
      </c>
      <c r="E4455" s="41">
        <v>40</v>
      </c>
      <c r="F4455" s="18" t="s">
        <v>17</v>
      </c>
      <c r="G4455" s="28">
        <v>45901</v>
      </c>
      <c r="H4455" s="26" t="s">
        <v>2976</v>
      </c>
      <c r="I4455" s="49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1">
        <f t="shared" si="174"/>
        <v>29100</v>
      </c>
      <c r="P4455" s="10">
        <v>272</v>
      </c>
      <c r="Q4455" s="10" t="s">
        <v>1935</v>
      </c>
      <c r="R4455" s="50">
        <f>+テーブル1[[#This Row],[合計金額]]*テーブル1[[#This Row],[自社報酬率％]]/100</f>
        <v>11640</v>
      </c>
    </row>
    <row r="4456" spans="1:18">
      <c r="A4456" s="7">
        <v>45901</v>
      </c>
      <c r="B4456" t="s">
        <v>112</v>
      </c>
      <c r="C4456" s="18" t="s">
        <v>2043</v>
      </c>
      <c r="D4456" s="41">
        <v>60</v>
      </c>
      <c r="E4456" s="41">
        <v>40</v>
      </c>
      <c r="F4456" s="18" t="s">
        <v>17</v>
      </c>
      <c r="G4456" s="28">
        <v>45901</v>
      </c>
      <c r="H4456" s="26" t="s">
        <v>2977</v>
      </c>
      <c r="I4456" s="49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1">
        <f t="shared" si="174"/>
        <v>349200</v>
      </c>
      <c r="P4456" s="10">
        <v>273</v>
      </c>
      <c r="Q4456" s="10" t="s">
        <v>1935</v>
      </c>
      <c r="R4456" s="50">
        <f>+テーブル1[[#This Row],[合計金額]]*テーブル1[[#This Row],[自社報酬率％]]/100</f>
        <v>139680</v>
      </c>
    </row>
    <row r="4457" spans="1:18">
      <c r="A4457" s="7">
        <v>45901</v>
      </c>
      <c r="B4457" t="s">
        <v>112</v>
      </c>
      <c r="C4457" s="18" t="s">
        <v>2043</v>
      </c>
      <c r="D4457" s="41">
        <v>60</v>
      </c>
      <c r="E4457" s="41">
        <v>40</v>
      </c>
      <c r="F4457" s="18" t="s">
        <v>17</v>
      </c>
      <c r="G4457" s="28">
        <v>45901</v>
      </c>
      <c r="H4457" s="26" t="s">
        <v>2978</v>
      </c>
      <c r="I4457" s="49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1">
        <f t="shared" si="174"/>
        <v>698400</v>
      </c>
      <c r="P4457" s="10">
        <v>274</v>
      </c>
      <c r="Q4457" s="10" t="s">
        <v>1935</v>
      </c>
      <c r="R4457" s="50">
        <f>+テーブル1[[#This Row],[合計金額]]*テーブル1[[#This Row],[自社報酬率％]]/100</f>
        <v>279360</v>
      </c>
    </row>
    <row r="4458" spans="1:18">
      <c r="A4458" s="7">
        <v>45901</v>
      </c>
      <c r="B4458" t="s">
        <v>112</v>
      </c>
      <c r="C4458" s="18" t="s">
        <v>2043</v>
      </c>
      <c r="D4458" s="41">
        <v>60</v>
      </c>
      <c r="E4458" s="41">
        <v>40</v>
      </c>
      <c r="F4458" s="18" t="s">
        <v>113</v>
      </c>
      <c r="G4458" s="28">
        <v>45901</v>
      </c>
      <c r="H4458" s="26" t="s">
        <v>2086</v>
      </c>
      <c r="I4458" s="49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1">
        <f t="shared" si="174"/>
        <v>49800</v>
      </c>
      <c r="P4458" s="10">
        <v>275</v>
      </c>
      <c r="Q4458" s="10" t="s">
        <v>1935</v>
      </c>
      <c r="R4458" s="50">
        <f>+テーブル1[[#This Row],[合計金額]]*テーブル1[[#This Row],[自社報酬率％]]/100</f>
        <v>19920</v>
      </c>
    </row>
    <row r="4459" spans="1:18">
      <c r="A4459" s="7">
        <v>45901</v>
      </c>
      <c r="B4459" t="s">
        <v>112</v>
      </c>
      <c r="C4459" s="18" t="s">
        <v>2043</v>
      </c>
      <c r="D4459" s="41">
        <v>60</v>
      </c>
      <c r="E4459" s="41">
        <v>40</v>
      </c>
      <c r="F4459" s="18" t="s">
        <v>19</v>
      </c>
      <c r="G4459" s="28">
        <v>45901</v>
      </c>
      <c r="H4459" s="26" t="s">
        <v>2979</v>
      </c>
      <c r="I4459" s="49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1">
        <f t="shared" si="174"/>
        <v>198000</v>
      </c>
      <c r="P4459" s="10">
        <v>276</v>
      </c>
      <c r="Q4459" s="10" t="s">
        <v>1935</v>
      </c>
      <c r="R4459" s="50">
        <f>+テーブル1[[#This Row],[合計金額]]*テーブル1[[#This Row],[自社報酬率％]]/100</f>
        <v>79200</v>
      </c>
    </row>
    <row r="4460" spans="1:18">
      <c r="A4460" s="7">
        <v>45901</v>
      </c>
      <c r="B4460" t="s">
        <v>112</v>
      </c>
      <c r="C4460" s="101" t="s">
        <v>2043</v>
      </c>
      <c r="D4460" s="41">
        <v>60</v>
      </c>
      <c r="E4460" s="41">
        <v>40</v>
      </c>
      <c r="F4460" s="101" t="s">
        <v>16</v>
      </c>
      <c r="G4460" s="102">
        <v>45931</v>
      </c>
      <c r="H4460" s="26" t="s">
        <v>2967</v>
      </c>
      <c r="I4460" s="49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1">
        <f t="shared" si="174"/>
        <v>64680</v>
      </c>
      <c r="P4460" s="10">
        <v>277</v>
      </c>
      <c r="Q4460" s="10" t="s">
        <v>1935</v>
      </c>
      <c r="R4460" s="50">
        <f>+テーブル1[[#This Row],[合計金額]]*テーブル1[[#This Row],[自社報酬率％]]/100</f>
        <v>25872</v>
      </c>
    </row>
    <row r="4461" spans="1:18">
      <c r="A4461" s="7">
        <v>45901</v>
      </c>
      <c r="B4461" t="s">
        <v>112</v>
      </c>
      <c r="C4461" s="101" t="s">
        <v>2043</v>
      </c>
      <c r="D4461" s="41">
        <v>60</v>
      </c>
      <c r="E4461" s="41">
        <v>40</v>
      </c>
      <c r="F4461" s="101" t="s">
        <v>16</v>
      </c>
      <c r="G4461" s="102">
        <v>45931</v>
      </c>
      <c r="H4461" s="26" t="s">
        <v>2980</v>
      </c>
      <c r="I4461" s="49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1">
        <f t="shared" si="174"/>
        <v>21560</v>
      </c>
      <c r="P4461" s="10">
        <v>278</v>
      </c>
      <c r="Q4461" s="10" t="s">
        <v>1935</v>
      </c>
      <c r="R4461" s="50">
        <f>+テーブル1[[#This Row],[合計金額]]*テーブル1[[#This Row],[自社報酬率％]]/100</f>
        <v>8624</v>
      </c>
    </row>
    <row r="4462" spans="1:18">
      <c r="A4462" s="7">
        <v>45901</v>
      </c>
      <c r="B4462" t="s">
        <v>112</v>
      </c>
      <c r="C4462" s="101" t="s">
        <v>2043</v>
      </c>
      <c r="D4462" s="41">
        <v>60</v>
      </c>
      <c r="E4462" s="41">
        <v>40</v>
      </c>
      <c r="F4462" s="101" t="s">
        <v>16</v>
      </c>
      <c r="G4462" s="102">
        <v>45931</v>
      </c>
      <c r="H4462" s="26" t="s">
        <v>2969</v>
      </c>
      <c r="I4462" s="49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1">
        <f t="shared" si="174"/>
        <v>64680</v>
      </c>
      <c r="P4462" s="10">
        <v>279</v>
      </c>
      <c r="Q4462" s="10" t="s">
        <v>1935</v>
      </c>
      <c r="R4462" s="50">
        <f>+テーブル1[[#This Row],[合計金額]]*テーブル1[[#This Row],[自社報酬率％]]/100</f>
        <v>25872</v>
      </c>
    </row>
    <row r="4463" spans="1:18">
      <c r="A4463" s="7">
        <v>45901</v>
      </c>
      <c r="B4463" t="s">
        <v>112</v>
      </c>
      <c r="C4463" s="101" t="s">
        <v>2048</v>
      </c>
      <c r="D4463" s="41">
        <v>50</v>
      </c>
      <c r="E4463" s="41">
        <v>50</v>
      </c>
      <c r="F4463" s="101" t="s">
        <v>16</v>
      </c>
      <c r="G4463" s="102">
        <v>45931</v>
      </c>
      <c r="H4463" s="26" t="s">
        <v>2981</v>
      </c>
      <c r="I4463" s="49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1">
        <f t="shared" si="174"/>
        <v>27000</v>
      </c>
      <c r="P4463" s="10">
        <v>280</v>
      </c>
      <c r="Q4463" s="10" t="s">
        <v>1935</v>
      </c>
      <c r="R4463" s="50">
        <f>+テーブル1[[#This Row],[合計金額]]*テーブル1[[#This Row],[自社報酬率％]]/100</f>
        <v>13500</v>
      </c>
    </row>
    <row r="4464" spans="1:18">
      <c r="A4464" s="7">
        <v>45901</v>
      </c>
      <c r="B4464" t="s">
        <v>112</v>
      </c>
      <c r="C4464" s="18" t="s">
        <v>2045</v>
      </c>
      <c r="D4464" s="41">
        <v>40</v>
      </c>
      <c r="E4464" s="41">
        <v>60</v>
      </c>
      <c r="F4464" s="18" t="s">
        <v>27</v>
      </c>
      <c r="G4464" s="28">
        <v>45901</v>
      </c>
      <c r="H4464" s="26" t="s">
        <v>2282</v>
      </c>
      <c r="I4464" s="49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1">
        <f t="shared" si="174"/>
        <v>1112000</v>
      </c>
      <c r="P4464" s="10">
        <v>281</v>
      </c>
      <c r="Q4464" s="10" t="s">
        <v>1935</v>
      </c>
      <c r="R4464" s="50">
        <f>+テーブル1[[#This Row],[合計金額]]*テーブル1[[#This Row],[自社報酬率％]]/100</f>
        <v>667200</v>
      </c>
    </row>
    <row r="4465" spans="1:18">
      <c r="A4465" s="7">
        <v>45901</v>
      </c>
      <c r="B4465" t="s">
        <v>112</v>
      </c>
      <c r="C4465" s="101" t="s">
        <v>2045</v>
      </c>
      <c r="D4465" s="41">
        <v>40</v>
      </c>
      <c r="E4465" s="41">
        <v>60</v>
      </c>
      <c r="F4465" s="101" t="s">
        <v>16</v>
      </c>
      <c r="G4465" s="102">
        <v>45931</v>
      </c>
      <c r="H4465" s="26" t="s">
        <v>2968</v>
      </c>
      <c r="I4465" s="49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1">
        <f t="shared" si="174"/>
        <v>33000</v>
      </c>
      <c r="P4465" s="10">
        <v>282</v>
      </c>
      <c r="Q4465" s="10" t="s">
        <v>1935</v>
      </c>
      <c r="R4465" s="50">
        <f>+テーブル1[[#This Row],[合計金額]]*テーブル1[[#This Row],[自社報酬率％]]/100</f>
        <v>19800</v>
      </c>
    </row>
    <row r="4466" spans="1:18">
      <c r="A4466" s="7">
        <v>45901</v>
      </c>
      <c r="B4466" t="s">
        <v>112</v>
      </c>
      <c r="C4466" s="18" t="s">
        <v>2094</v>
      </c>
      <c r="D4466" s="41">
        <v>40</v>
      </c>
      <c r="E4466" s="41">
        <v>60</v>
      </c>
      <c r="F4466" s="18" t="s">
        <v>27</v>
      </c>
      <c r="G4466" s="28">
        <v>45901</v>
      </c>
      <c r="H4466" s="26" t="s">
        <v>2418</v>
      </c>
      <c r="I4466" s="49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1">
        <f t="shared" si="174"/>
        <v>99600</v>
      </c>
      <c r="P4466" s="10">
        <v>283</v>
      </c>
      <c r="Q4466" s="10" t="s">
        <v>1935</v>
      </c>
      <c r="R4466" s="50">
        <f>+テーブル1[[#This Row],[合計金額]]*テーブル1[[#This Row],[自社報酬率％]]/100</f>
        <v>59760</v>
      </c>
    </row>
    <row r="4467" spans="1:18">
      <c r="A4467" s="7">
        <v>45901</v>
      </c>
      <c r="B4467" t="s">
        <v>112</v>
      </c>
      <c r="C4467" s="101" t="s">
        <v>2050</v>
      </c>
      <c r="D4467" s="41">
        <v>50</v>
      </c>
      <c r="E4467" s="41">
        <v>50</v>
      </c>
      <c r="F4467" s="101" t="s">
        <v>16</v>
      </c>
      <c r="G4467" s="102">
        <v>45931</v>
      </c>
      <c r="H4467" s="26" t="s">
        <v>2970</v>
      </c>
      <c r="I4467" s="49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1">
        <f t="shared" si="174"/>
        <v>19600</v>
      </c>
      <c r="P4467" s="10">
        <v>284</v>
      </c>
      <c r="Q4467" s="10" t="s">
        <v>1935</v>
      </c>
      <c r="R4467" s="50">
        <f>+テーブル1[[#This Row],[合計金額]]*テーブル1[[#This Row],[自社報酬率％]]/100</f>
        <v>9800</v>
      </c>
    </row>
    <row r="4468" spans="1:18">
      <c r="A4468" s="7">
        <v>45901</v>
      </c>
      <c r="B4468" t="s">
        <v>112</v>
      </c>
      <c r="C4468" s="101" t="s">
        <v>2038</v>
      </c>
      <c r="D4468" s="41">
        <v>50</v>
      </c>
      <c r="E4468" s="41">
        <v>50</v>
      </c>
      <c r="F4468" s="101" t="s">
        <v>16</v>
      </c>
      <c r="G4468" s="102">
        <v>45931</v>
      </c>
      <c r="H4468" s="26" t="s">
        <v>2982</v>
      </c>
      <c r="I4468" s="49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1">
        <f t="shared" si="174"/>
        <v>20000</v>
      </c>
      <c r="P4468" s="10">
        <v>285</v>
      </c>
      <c r="Q4468" s="10" t="s">
        <v>1935</v>
      </c>
      <c r="R4468" s="50">
        <f>+テーブル1[[#This Row],[合計金額]]*テーブル1[[#This Row],[自社報酬率％]]/100</f>
        <v>10000</v>
      </c>
    </row>
    <row r="4469" spans="1:18">
      <c r="A4469" s="7">
        <v>45901</v>
      </c>
      <c r="B4469" t="s">
        <v>112</v>
      </c>
      <c r="C4469" s="101" t="s">
        <v>2038</v>
      </c>
      <c r="D4469" s="41">
        <v>50</v>
      </c>
      <c r="E4469" s="41">
        <v>50</v>
      </c>
      <c r="F4469" s="101" t="s">
        <v>16</v>
      </c>
      <c r="G4469" s="102">
        <v>45931</v>
      </c>
      <c r="H4469" s="26" t="s">
        <v>2983</v>
      </c>
      <c r="I4469" s="49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1">
        <f t="shared" si="174"/>
        <v>30000</v>
      </c>
      <c r="P4469" s="10">
        <v>286</v>
      </c>
      <c r="Q4469" s="10" t="s">
        <v>1935</v>
      </c>
      <c r="R4469" s="50">
        <f>+テーブル1[[#This Row],[合計金額]]*テーブル1[[#This Row],[自社報酬率％]]/100</f>
        <v>15000</v>
      </c>
    </row>
    <row r="4470" spans="1:18">
      <c r="A4470" s="7">
        <v>45901</v>
      </c>
      <c r="B4470" t="s">
        <v>118</v>
      </c>
      <c r="C4470" s="18" t="s">
        <v>2050</v>
      </c>
      <c r="D4470" s="41">
        <v>50</v>
      </c>
      <c r="E4470" s="41">
        <v>50</v>
      </c>
      <c r="F4470" s="18" t="s">
        <v>20</v>
      </c>
      <c r="G4470" s="28">
        <v>45901</v>
      </c>
      <c r="H4470" s="26" t="s">
        <v>2422</v>
      </c>
      <c r="I4470" s="49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1">
        <f t="shared" si="174"/>
        <v>596000</v>
      </c>
      <c r="P4470" s="10">
        <v>12</v>
      </c>
      <c r="Q4470" s="10" t="s">
        <v>1935</v>
      </c>
      <c r="R4470" s="50">
        <f>+テーブル1[[#This Row],[合計金額]]*テーブル1[[#This Row],[自社報酬率％]]/100</f>
        <v>298000</v>
      </c>
    </row>
    <row r="4471" spans="1:18">
      <c r="A4471" s="7">
        <v>45901</v>
      </c>
      <c r="B4471" t="s">
        <v>1929</v>
      </c>
      <c r="C4471" s="71" t="s">
        <v>24</v>
      </c>
      <c r="D4471" s="41">
        <v>100</v>
      </c>
      <c r="E4471" s="41">
        <v>100</v>
      </c>
      <c r="F4471" s="105" t="s">
        <v>17</v>
      </c>
      <c r="G4471" s="28">
        <v>45901</v>
      </c>
      <c r="H4471" s="26" t="s">
        <v>1930</v>
      </c>
      <c r="I4471" s="49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1">
        <f t="shared" si="174"/>
        <v>1438800</v>
      </c>
      <c r="P4471" s="10">
        <v>19</v>
      </c>
      <c r="Q4471" s="10" t="s">
        <v>1935</v>
      </c>
      <c r="R4471" s="50">
        <f>+テーブル1[[#This Row],[合計金額]]*テーブル1[[#This Row],[自社報酬率％]]/100</f>
        <v>1438800</v>
      </c>
    </row>
    <row r="4472" spans="1:18">
      <c r="A4472" s="7">
        <v>45870</v>
      </c>
      <c r="B4472" t="s">
        <v>2770</v>
      </c>
      <c r="C4472" s="18" t="s">
        <v>24</v>
      </c>
      <c r="D4472" s="41">
        <v>100</v>
      </c>
      <c r="E4472" s="41">
        <v>100</v>
      </c>
      <c r="F4472" s="18"/>
      <c r="G4472" s="28">
        <v>45870</v>
      </c>
      <c r="H4472" s="26" t="s">
        <v>2984</v>
      </c>
      <c r="I4472" s="53">
        <v>47817</v>
      </c>
      <c r="J4472" s="24">
        <v>1</v>
      </c>
      <c r="K4472" s="24"/>
      <c r="L4472" s="91"/>
      <c r="M4472" s="24"/>
      <c r="N4472" s="12">
        <f t="shared" ref="N4472:N4474" si="176">J4472-K4472-L4472-M4472</f>
        <v>1</v>
      </c>
      <c r="O4472" s="11">
        <f t="shared" si="174"/>
        <v>47817</v>
      </c>
      <c r="P4472" s="10">
        <v>21</v>
      </c>
      <c r="Q4472" s="10" t="s">
        <v>1935</v>
      </c>
      <c r="R4472" s="50">
        <f>+テーブル1[[#This Row],[合計金額]]*テーブル1[[#This Row],[自社報酬率％]]/100</f>
        <v>47817</v>
      </c>
    </row>
    <row r="4473" spans="1:18">
      <c r="A4473" s="7">
        <v>45870</v>
      </c>
      <c r="B4473" t="s">
        <v>41</v>
      </c>
      <c r="C4473" s="18" t="s">
        <v>42</v>
      </c>
      <c r="D4473" s="138">
        <v>0</v>
      </c>
      <c r="E4473">
        <v>100</v>
      </c>
      <c r="F4473" s="18"/>
      <c r="G4473" s="19">
        <v>45870</v>
      </c>
      <c r="H4473" s="134" t="s">
        <v>2985</v>
      </c>
      <c r="I4473" s="141">
        <v>-924</v>
      </c>
      <c r="J4473" s="61">
        <v>1</v>
      </c>
      <c r="K4473" s="61"/>
      <c r="L4473" s="61"/>
      <c r="M4473" s="61"/>
      <c r="N4473" s="61">
        <f t="shared" si="176"/>
        <v>1</v>
      </c>
      <c r="O4473" s="136">
        <f t="shared" si="174"/>
        <v>-924</v>
      </c>
      <c r="P4473" s="10">
        <v>17</v>
      </c>
      <c r="Q4473" s="62" t="s">
        <v>1935</v>
      </c>
      <c r="R4473" s="25">
        <f>+テーブル1[[#This Row],[合計金額]]*テーブル1[[#This Row],[自社報酬率％]]/100</f>
        <v>-924</v>
      </c>
    </row>
    <row r="4474" spans="1:18">
      <c r="A4474" s="7">
        <v>45870</v>
      </c>
      <c r="B4474" t="s">
        <v>41</v>
      </c>
      <c r="C4474" s="18" t="s">
        <v>42</v>
      </c>
      <c r="D4474" s="138">
        <v>0</v>
      </c>
      <c r="E4474">
        <v>100</v>
      </c>
      <c r="F4474" s="18"/>
      <c r="G4474" s="19">
        <v>45870</v>
      </c>
      <c r="H4474" s="134" t="s">
        <v>2986</v>
      </c>
      <c r="I4474" s="142">
        <v>367381</v>
      </c>
      <c r="J4474" s="61">
        <v>1</v>
      </c>
      <c r="K4474" s="61"/>
      <c r="L4474" s="61"/>
      <c r="M4474" s="61"/>
      <c r="N4474" s="61">
        <f t="shared" si="176"/>
        <v>1</v>
      </c>
      <c r="O4474" s="136">
        <f t="shared" si="174"/>
        <v>367381</v>
      </c>
      <c r="P4474" s="10">
        <v>18</v>
      </c>
      <c r="Q4474" s="62" t="s">
        <v>1935</v>
      </c>
      <c r="R4474" s="25">
        <f>+テーブル1[[#This Row],[合計金額]]*テーブル1[[#This Row],[自社報酬率％]]/100</f>
        <v>367381</v>
      </c>
    </row>
    <row r="4475" spans="1:18">
      <c r="A4475" s="7">
        <v>45931</v>
      </c>
      <c r="B4475" t="s">
        <v>43</v>
      </c>
      <c r="C4475" s="18" t="s">
        <v>24</v>
      </c>
      <c r="D4475" s="41">
        <v>100</v>
      </c>
      <c r="E4475" s="41">
        <v>100</v>
      </c>
      <c r="F4475" s="18" t="s">
        <v>17</v>
      </c>
      <c r="G4475" s="28">
        <v>45931</v>
      </c>
      <c r="H4475" s="26" t="s">
        <v>1946</v>
      </c>
      <c r="I4475" s="49">
        <v>29975</v>
      </c>
      <c r="J4475" s="24">
        <v>1</v>
      </c>
      <c r="K4475" s="24"/>
      <c r="L4475" s="91">
        <v>0</v>
      </c>
      <c r="M4475" s="24"/>
      <c r="N4475" s="12">
        <f t="shared" ref="N4475:N4538" si="177">J4475-L4475</f>
        <v>1</v>
      </c>
      <c r="O4475" s="11">
        <f t="shared" si="174"/>
        <v>29975</v>
      </c>
      <c r="P4475" s="10">
        <v>1168</v>
      </c>
      <c r="Q4475" s="10" t="s">
        <v>1935</v>
      </c>
      <c r="R4475" s="50">
        <f>+テーブル1[[#This Row],[合計金額]]*テーブル1[[#This Row],[自社報酬率％]]/100</f>
        <v>29975</v>
      </c>
    </row>
    <row r="4476" spans="1:18">
      <c r="A4476" s="7">
        <v>45931</v>
      </c>
      <c r="B4476" t="s">
        <v>43</v>
      </c>
      <c r="C4476" s="18" t="s">
        <v>24</v>
      </c>
      <c r="D4476" s="41">
        <v>100</v>
      </c>
      <c r="E4476" s="41">
        <v>100</v>
      </c>
      <c r="F4476" s="18" t="s">
        <v>17</v>
      </c>
      <c r="G4476" s="28">
        <v>45931</v>
      </c>
      <c r="H4476" s="26" t="s">
        <v>2987</v>
      </c>
      <c r="I4476" s="49">
        <v>29975</v>
      </c>
      <c r="J4476" s="24">
        <v>1</v>
      </c>
      <c r="K4476" s="24"/>
      <c r="L4476" s="91">
        <v>0</v>
      </c>
      <c r="M4476" s="24"/>
      <c r="N4476" s="12">
        <f t="shared" si="177"/>
        <v>1</v>
      </c>
      <c r="O4476" s="11">
        <f t="shared" si="174"/>
        <v>29975</v>
      </c>
      <c r="P4476" s="10">
        <v>1169</v>
      </c>
      <c r="Q4476" s="10" t="s">
        <v>1935</v>
      </c>
      <c r="R4476" s="50">
        <f>+テーブル1[[#This Row],[合計金額]]*テーブル1[[#This Row],[自社報酬率％]]/100</f>
        <v>29975</v>
      </c>
    </row>
    <row r="4477" spans="1:18">
      <c r="A4477" s="7">
        <v>45931</v>
      </c>
      <c r="B4477" t="s">
        <v>43</v>
      </c>
      <c r="C4477" s="18" t="s">
        <v>24</v>
      </c>
      <c r="D4477" s="41">
        <v>100</v>
      </c>
      <c r="E4477" s="41">
        <v>100</v>
      </c>
      <c r="F4477" s="18" t="s">
        <v>17</v>
      </c>
      <c r="G4477" s="28">
        <v>45931</v>
      </c>
      <c r="H4477" s="26" t="s">
        <v>2988</v>
      </c>
      <c r="I4477" s="49">
        <v>27500</v>
      </c>
      <c r="J4477" s="24">
        <v>1</v>
      </c>
      <c r="K4477" s="24"/>
      <c r="L4477" s="91">
        <v>0</v>
      </c>
      <c r="M4477" s="24"/>
      <c r="N4477" s="12">
        <f t="shared" si="177"/>
        <v>1</v>
      </c>
      <c r="O4477" s="11">
        <f t="shared" si="174"/>
        <v>27500</v>
      </c>
      <c r="P4477" s="10">
        <v>1170</v>
      </c>
      <c r="Q4477" s="10" t="s">
        <v>1935</v>
      </c>
      <c r="R4477" s="50">
        <f>+テーブル1[[#This Row],[合計金額]]*テーブル1[[#This Row],[自社報酬率％]]/100</f>
        <v>27500</v>
      </c>
    </row>
    <row r="4478" spans="1:18">
      <c r="A4478" s="7">
        <v>45931</v>
      </c>
      <c r="B4478" t="s">
        <v>43</v>
      </c>
      <c r="C4478" s="18" t="s">
        <v>24</v>
      </c>
      <c r="D4478" s="41">
        <v>100</v>
      </c>
      <c r="E4478" s="41">
        <v>100</v>
      </c>
      <c r="F4478" s="18" t="s">
        <v>17</v>
      </c>
      <c r="G4478" s="28">
        <v>45931</v>
      </c>
      <c r="H4478" s="26" t="s">
        <v>2142</v>
      </c>
      <c r="I4478" s="49">
        <v>29975</v>
      </c>
      <c r="J4478" s="24">
        <v>6</v>
      </c>
      <c r="K4478" s="24"/>
      <c r="L4478" s="91">
        <v>0</v>
      </c>
      <c r="M4478" s="24"/>
      <c r="N4478" s="12">
        <f t="shared" si="177"/>
        <v>6</v>
      </c>
      <c r="O4478" s="11">
        <f t="shared" si="174"/>
        <v>179850</v>
      </c>
      <c r="P4478" s="10">
        <v>1171</v>
      </c>
      <c r="Q4478" s="10" t="s">
        <v>1935</v>
      </c>
      <c r="R4478" s="50">
        <f>+テーブル1[[#This Row],[合計金額]]*テーブル1[[#This Row],[自社報酬率％]]/100</f>
        <v>179850</v>
      </c>
    </row>
    <row r="4479" spans="1:18">
      <c r="A4479" s="7">
        <v>45931</v>
      </c>
      <c r="B4479" t="s">
        <v>43</v>
      </c>
      <c r="C4479" s="18" t="s">
        <v>24</v>
      </c>
      <c r="D4479" s="41">
        <v>100</v>
      </c>
      <c r="E4479" s="41">
        <v>100</v>
      </c>
      <c r="F4479" s="18" t="s">
        <v>17</v>
      </c>
      <c r="G4479" s="28">
        <v>45931</v>
      </c>
      <c r="H4479" s="26" t="s">
        <v>1947</v>
      </c>
      <c r="I4479" s="49">
        <v>29975</v>
      </c>
      <c r="J4479" s="24">
        <v>5</v>
      </c>
      <c r="K4479" s="24"/>
      <c r="L4479" s="91">
        <v>0</v>
      </c>
      <c r="M4479" s="24"/>
      <c r="N4479" s="12">
        <f t="shared" si="177"/>
        <v>5</v>
      </c>
      <c r="O4479" s="11">
        <f t="shared" si="174"/>
        <v>149875</v>
      </c>
      <c r="P4479" s="10">
        <v>1172</v>
      </c>
      <c r="Q4479" s="10" t="s">
        <v>1935</v>
      </c>
      <c r="R4479" s="50">
        <f>+テーブル1[[#This Row],[合計金額]]*テーブル1[[#This Row],[自社報酬率％]]/100</f>
        <v>149875</v>
      </c>
    </row>
    <row r="4480" spans="1:18">
      <c r="A4480" s="7">
        <v>45931</v>
      </c>
      <c r="B4480" t="s">
        <v>43</v>
      </c>
      <c r="C4480" s="18" t="s">
        <v>24</v>
      </c>
      <c r="D4480" s="41">
        <v>100</v>
      </c>
      <c r="E4480" s="41">
        <v>100</v>
      </c>
      <c r="F4480" s="18" t="s">
        <v>17</v>
      </c>
      <c r="G4480" s="28">
        <v>45931</v>
      </c>
      <c r="H4480" s="26" t="s">
        <v>2143</v>
      </c>
      <c r="I4480" s="49">
        <v>27500</v>
      </c>
      <c r="J4480" s="24">
        <v>1</v>
      </c>
      <c r="K4480" s="24"/>
      <c r="L4480" s="91">
        <v>0</v>
      </c>
      <c r="M4480" s="24"/>
      <c r="N4480" s="12">
        <f t="shared" si="177"/>
        <v>1</v>
      </c>
      <c r="O4480" s="11">
        <f t="shared" si="174"/>
        <v>27500</v>
      </c>
      <c r="P4480" s="10">
        <v>1173</v>
      </c>
      <c r="Q4480" s="10" t="s">
        <v>1935</v>
      </c>
      <c r="R4480" s="50">
        <f>+テーブル1[[#This Row],[合計金額]]*テーブル1[[#This Row],[自社報酬率％]]/100</f>
        <v>27500</v>
      </c>
    </row>
    <row r="4481" spans="1:18">
      <c r="A4481" s="7">
        <v>45931</v>
      </c>
      <c r="B4481" t="s">
        <v>43</v>
      </c>
      <c r="C4481" s="18" t="s">
        <v>24</v>
      </c>
      <c r="D4481" s="41">
        <v>100</v>
      </c>
      <c r="E4481" s="41">
        <v>100</v>
      </c>
      <c r="F4481" s="18" t="s">
        <v>17</v>
      </c>
      <c r="G4481" s="28">
        <v>45931</v>
      </c>
      <c r="H4481" s="26" t="s">
        <v>2296</v>
      </c>
      <c r="I4481" s="49">
        <v>29975</v>
      </c>
      <c r="J4481" s="24">
        <v>5</v>
      </c>
      <c r="K4481" s="24"/>
      <c r="L4481" s="91">
        <v>0</v>
      </c>
      <c r="M4481" s="24"/>
      <c r="N4481" s="12">
        <f t="shared" si="177"/>
        <v>5</v>
      </c>
      <c r="O4481" s="11">
        <f t="shared" si="174"/>
        <v>149875</v>
      </c>
      <c r="P4481" s="10">
        <v>1174</v>
      </c>
      <c r="Q4481" s="10" t="s">
        <v>1935</v>
      </c>
      <c r="R4481" s="50">
        <f>+テーブル1[[#This Row],[合計金額]]*テーブル1[[#This Row],[自社報酬率％]]/100</f>
        <v>149875</v>
      </c>
    </row>
    <row r="4482" spans="1:18">
      <c r="A4482" s="7">
        <v>45931</v>
      </c>
      <c r="B4482" t="s">
        <v>43</v>
      </c>
      <c r="C4482" s="18" t="s">
        <v>24</v>
      </c>
      <c r="D4482" s="41">
        <v>100</v>
      </c>
      <c r="E4482" s="41">
        <v>100</v>
      </c>
      <c r="F4482" s="18" t="s">
        <v>17</v>
      </c>
      <c r="G4482" s="28">
        <v>45931</v>
      </c>
      <c r="H4482" s="26" t="s">
        <v>2425</v>
      </c>
      <c r="I4482" s="49">
        <v>29975</v>
      </c>
      <c r="J4482" s="24">
        <v>3</v>
      </c>
      <c r="K4482" s="24"/>
      <c r="L4482" s="91">
        <v>0</v>
      </c>
      <c r="M4482" s="24"/>
      <c r="N4482" s="12">
        <f t="shared" si="177"/>
        <v>3</v>
      </c>
      <c r="O4482" s="11">
        <f t="shared" si="174"/>
        <v>89925</v>
      </c>
      <c r="P4482" s="10">
        <v>1175</v>
      </c>
      <c r="Q4482" s="10" t="s">
        <v>1935</v>
      </c>
      <c r="R4482" s="50">
        <f>+テーブル1[[#This Row],[合計金額]]*テーブル1[[#This Row],[自社報酬率％]]/100</f>
        <v>89925</v>
      </c>
    </row>
    <row r="4483" spans="1:18">
      <c r="A4483" s="7">
        <v>45931</v>
      </c>
      <c r="B4483" t="s">
        <v>43</v>
      </c>
      <c r="C4483" s="18" t="s">
        <v>24</v>
      </c>
      <c r="D4483" s="41">
        <v>100</v>
      </c>
      <c r="E4483" s="41">
        <v>100</v>
      </c>
      <c r="F4483" s="18" t="s">
        <v>17</v>
      </c>
      <c r="G4483" s="28">
        <v>45931</v>
      </c>
      <c r="H4483" s="26" t="s">
        <v>2522</v>
      </c>
      <c r="I4483" s="49">
        <v>27500</v>
      </c>
      <c r="J4483" s="24">
        <v>1</v>
      </c>
      <c r="K4483" s="24"/>
      <c r="L4483" s="91">
        <v>0</v>
      </c>
      <c r="M4483" s="24"/>
      <c r="N4483" s="12">
        <f t="shared" si="177"/>
        <v>1</v>
      </c>
      <c r="O4483" s="11">
        <f t="shared" si="174"/>
        <v>27500</v>
      </c>
      <c r="P4483" s="10">
        <v>1176</v>
      </c>
      <c r="Q4483" s="10" t="s">
        <v>1935</v>
      </c>
      <c r="R4483" s="50">
        <f>+テーブル1[[#This Row],[合計金額]]*テーブル1[[#This Row],[自社報酬率％]]/100</f>
        <v>27500</v>
      </c>
    </row>
    <row r="4484" spans="1:18">
      <c r="A4484" s="7">
        <v>45931</v>
      </c>
      <c r="B4484" t="s">
        <v>43</v>
      </c>
      <c r="C4484" s="18" t="s">
        <v>24</v>
      </c>
      <c r="D4484" s="41">
        <v>100</v>
      </c>
      <c r="E4484" s="41">
        <v>100</v>
      </c>
      <c r="F4484" s="18" t="s">
        <v>17</v>
      </c>
      <c r="G4484" s="28">
        <v>45931</v>
      </c>
      <c r="H4484" s="26" t="s">
        <v>2522</v>
      </c>
      <c r="I4484" s="49">
        <v>29975</v>
      </c>
      <c r="J4484" s="24">
        <v>6</v>
      </c>
      <c r="K4484" s="24"/>
      <c r="L4484" s="91">
        <v>0</v>
      </c>
      <c r="M4484" s="24"/>
      <c r="N4484" s="12">
        <f t="shared" si="177"/>
        <v>6</v>
      </c>
      <c r="O4484" s="11">
        <f t="shared" si="174"/>
        <v>179850</v>
      </c>
      <c r="P4484" s="10">
        <v>1177</v>
      </c>
      <c r="Q4484" s="10" t="s">
        <v>1935</v>
      </c>
      <c r="R4484" s="50">
        <f>+テーブル1[[#This Row],[合計金額]]*テーブル1[[#This Row],[自社報酬率％]]/100</f>
        <v>179850</v>
      </c>
    </row>
    <row r="4485" spans="1:18">
      <c r="A4485" s="7">
        <v>45931</v>
      </c>
      <c r="B4485" t="s">
        <v>43</v>
      </c>
      <c r="C4485" s="18" t="s">
        <v>24</v>
      </c>
      <c r="D4485" s="41">
        <v>100</v>
      </c>
      <c r="E4485" s="41">
        <v>100</v>
      </c>
      <c r="F4485" s="18" t="s">
        <v>17</v>
      </c>
      <c r="G4485" s="28">
        <v>45931</v>
      </c>
      <c r="H4485" s="26" t="s">
        <v>2676</v>
      </c>
      <c r="I4485" s="49">
        <v>29975</v>
      </c>
      <c r="J4485" s="24">
        <v>1</v>
      </c>
      <c r="K4485" s="24"/>
      <c r="L4485" s="91">
        <v>0</v>
      </c>
      <c r="M4485" s="24"/>
      <c r="N4485" s="12">
        <f t="shared" si="177"/>
        <v>1</v>
      </c>
      <c r="O4485" s="11">
        <f t="shared" si="174"/>
        <v>29975</v>
      </c>
      <c r="P4485" s="10">
        <v>1178</v>
      </c>
      <c r="Q4485" s="10" t="s">
        <v>1935</v>
      </c>
      <c r="R4485" s="50">
        <f>+テーブル1[[#This Row],[合計金額]]*テーブル1[[#This Row],[自社報酬率％]]/100</f>
        <v>29975</v>
      </c>
    </row>
    <row r="4486" spans="1:18">
      <c r="A4486" s="7">
        <v>45931</v>
      </c>
      <c r="B4486" t="s">
        <v>43</v>
      </c>
      <c r="C4486" s="18" t="s">
        <v>24</v>
      </c>
      <c r="D4486" s="41">
        <v>100</v>
      </c>
      <c r="E4486" s="41">
        <v>100</v>
      </c>
      <c r="F4486" s="18" t="s">
        <v>17</v>
      </c>
      <c r="G4486" s="28">
        <v>45931</v>
      </c>
      <c r="H4486" s="26" t="s">
        <v>2775</v>
      </c>
      <c r="I4486" s="49">
        <v>29975</v>
      </c>
      <c r="J4486" s="24">
        <v>6</v>
      </c>
      <c r="K4486" s="24"/>
      <c r="L4486" s="91">
        <v>0</v>
      </c>
      <c r="M4486" s="24"/>
      <c r="N4486" s="12">
        <f t="shared" si="177"/>
        <v>6</v>
      </c>
      <c r="O4486" s="11">
        <f t="shared" si="174"/>
        <v>179850</v>
      </c>
      <c r="P4486" s="10">
        <v>1179</v>
      </c>
      <c r="Q4486" s="10" t="s">
        <v>1935</v>
      </c>
      <c r="R4486" s="50">
        <f>+テーブル1[[#This Row],[合計金額]]*テーブル1[[#This Row],[自社報酬率％]]/100</f>
        <v>179850</v>
      </c>
    </row>
    <row r="4487" spans="1:18">
      <c r="A4487" s="7">
        <v>45931</v>
      </c>
      <c r="B4487" t="s">
        <v>43</v>
      </c>
      <c r="C4487" s="18" t="s">
        <v>24</v>
      </c>
      <c r="D4487" s="41">
        <v>100</v>
      </c>
      <c r="E4487" s="41">
        <v>100</v>
      </c>
      <c r="F4487" s="18" t="s">
        <v>17</v>
      </c>
      <c r="G4487" s="28">
        <v>45931</v>
      </c>
      <c r="H4487" s="26" t="s">
        <v>2989</v>
      </c>
      <c r="I4487" s="49">
        <v>29800</v>
      </c>
      <c r="J4487" s="24">
        <v>1</v>
      </c>
      <c r="K4487" s="24"/>
      <c r="L4487" s="91">
        <v>0</v>
      </c>
      <c r="M4487" s="24"/>
      <c r="N4487" s="12">
        <f t="shared" si="177"/>
        <v>1</v>
      </c>
      <c r="O4487" s="11">
        <f t="shared" si="174"/>
        <v>29800</v>
      </c>
      <c r="P4487" s="10">
        <v>1180</v>
      </c>
      <c r="Q4487" s="10" t="s">
        <v>1935</v>
      </c>
      <c r="R4487" s="50">
        <f>+テーブル1[[#This Row],[合計金額]]*テーブル1[[#This Row],[自社報酬率％]]/100</f>
        <v>29800</v>
      </c>
    </row>
    <row r="4488" spans="1:18">
      <c r="A4488" s="7">
        <v>45931</v>
      </c>
      <c r="B4488" t="s">
        <v>43</v>
      </c>
      <c r="C4488" s="18" t="s">
        <v>24</v>
      </c>
      <c r="D4488" s="41">
        <v>100</v>
      </c>
      <c r="E4488" s="41">
        <v>100</v>
      </c>
      <c r="F4488" s="72" t="s">
        <v>19</v>
      </c>
      <c r="G4488" s="85">
        <v>45962</v>
      </c>
      <c r="H4488" s="26" t="s">
        <v>2990</v>
      </c>
      <c r="I4488" s="49">
        <v>8900</v>
      </c>
      <c r="J4488" s="73">
        <v>2</v>
      </c>
      <c r="K4488" s="24"/>
      <c r="L4488" s="90">
        <v>0</v>
      </c>
      <c r="M4488" s="24"/>
      <c r="N4488" s="93">
        <f t="shared" si="177"/>
        <v>2</v>
      </c>
      <c r="O4488" s="11">
        <f t="shared" si="174"/>
        <v>17800</v>
      </c>
      <c r="P4488" s="10">
        <v>1181</v>
      </c>
      <c r="Q4488" s="10" t="s">
        <v>1935</v>
      </c>
      <c r="R4488" s="50">
        <f>+テーブル1[[#This Row],[合計金額]]*テーブル1[[#This Row],[自社報酬率％]]/100</f>
        <v>17800</v>
      </c>
    </row>
    <row r="4489" spans="1:18">
      <c r="A4489" s="7">
        <v>45931</v>
      </c>
      <c r="B4489" t="s">
        <v>43</v>
      </c>
      <c r="C4489" s="18" t="s">
        <v>24</v>
      </c>
      <c r="D4489" s="41">
        <v>100</v>
      </c>
      <c r="E4489" s="41">
        <v>100</v>
      </c>
      <c r="F4489" s="101" t="s">
        <v>19</v>
      </c>
      <c r="G4489" s="102">
        <v>45992</v>
      </c>
      <c r="H4489" s="26" t="s">
        <v>2991</v>
      </c>
      <c r="I4489" s="49">
        <v>8900</v>
      </c>
      <c r="J4489" s="24">
        <v>2</v>
      </c>
      <c r="K4489" s="24"/>
      <c r="L4489" s="91">
        <v>0</v>
      </c>
      <c r="M4489" s="24"/>
      <c r="N4489" s="94">
        <f t="shared" si="177"/>
        <v>2</v>
      </c>
      <c r="O4489" s="11">
        <f t="shared" si="174"/>
        <v>17800</v>
      </c>
      <c r="P4489" s="10">
        <v>1182</v>
      </c>
      <c r="Q4489" s="10" t="s">
        <v>1928</v>
      </c>
      <c r="R4489" s="50">
        <f>+テーブル1[[#This Row],[合計金額]]*テーブル1[[#This Row],[自社報酬率％]]/100</f>
        <v>17800</v>
      </c>
    </row>
    <row r="4490" spans="1:18">
      <c r="A4490" s="7">
        <v>45931</v>
      </c>
      <c r="B4490" t="s">
        <v>43</v>
      </c>
      <c r="C4490" s="18" t="s">
        <v>24</v>
      </c>
      <c r="D4490" s="41">
        <v>100</v>
      </c>
      <c r="E4490" s="41">
        <v>100</v>
      </c>
      <c r="F4490" s="101" t="s">
        <v>19</v>
      </c>
      <c r="G4490" s="102">
        <v>46023</v>
      </c>
      <c r="H4490" s="26" t="s">
        <v>2992</v>
      </c>
      <c r="I4490" s="49">
        <v>8900</v>
      </c>
      <c r="J4490" s="24">
        <v>2</v>
      </c>
      <c r="K4490" s="24"/>
      <c r="L4490" s="91">
        <v>0</v>
      </c>
      <c r="M4490" s="24"/>
      <c r="N4490" s="94">
        <f t="shared" si="177"/>
        <v>2</v>
      </c>
      <c r="O4490" s="11">
        <f t="shared" si="174"/>
        <v>17800</v>
      </c>
      <c r="P4490" s="10">
        <v>1183</v>
      </c>
      <c r="Q4490" s="10" t="s">
        <v>1928</v>
      </c>
      <c r="R4490" s="50">
        <f>+テーブル1[[#This Row],[合計金額]]*テーブル1[[#This Row],[自社報酬率％]]/100</f>
        <v>17800</v>
      </c>
    </row>
    <row r="4491" spans="1:18">
      <c r="A4491" s="7">
        <v>45931</v>
      </c>
      <c r="B4491" t="s">
        <v>43</v>
      </c>
      <c r="C4491" s="18" t="s">
        <v>24</v>
      </c>
      <c r="D4491" s="41">
        <v>100</v>
      </c>
      <c r="E4491" s="41">
        <v>100</v>
      </c>
      <c r="F4491" s="101" t="s">
        <v>19</v>
      </c>
      <c r="G4491" s="102">
        <v>46054</v>
      </c>
      <c r="H4491" s="26" t="s">
        <v>2993</v>
      </c>
      <c r="I4491" s="49">
        <v>8900</v>
      </c>
      <c r="J4491" s="24">
        <v>2</v>
      </c>
      <c r="K4491" s="24"/>
      <c r="L4491" s="91">
        <v>0</v>
      </c>
      <c r="M4491" s="24"/>
      <c r="N4491" s="94">
        <f t="shared" si="177"/>
        <v>2</v>
      </c>
      <c r="O4491" s="11">
        <f t="shared" si="174"/>
        <v>17800</v>
      </c>
      <c r="P4491" s="10">
        <v>1184</v>
      </c>
      <c r="Q4491" s="10" t="s">
        <v>1928</v>
      </c>
      <c r="R4491" s="50">
        <f>+テーブル1[[#This Row],[合計金額]]*テーブル1[[#This Row],[自社報酬率％]]/100</f>
        <v>17800</v>
      </c>
    </row>
    <row r="4492" spans="1:18">
      <c r="A4492" s="7">
        <v>45931</v>
      </c>
      <c r="B4492" t="s">
        <v>43</v>
      </c>
      <c r="C4492" s="18" t="s">
        <v>24</v>
      </c>
      <c r="D4492" s="41">
        <v>100</v>
      </c>
      <c r="E4492" s="41">
        <v>100</v>
      </c>
      <c r="F4492" s="101" t="s">
        <v>19</v>
      </c>
      <c r="G4492" s="102">
        <v>46082</v>
      </c>
      <c r="H4492" s="26" t="s">
        <v>2994</v>
      </c>
      <c r="I4492" s="49">
        <v>8900</v>
      </c>
      <c r="J4492" s="24">
        <v>2</v>
      </c>
      <c r="K4492" s="24"/>
      <c r="L4492" s="91">
        <v>0</v>
      </c>
      <c r="M4492" s="24"/>
      <c r="N4492" s="94">
        <f t="shared" si="177"/>
        <v>2</v>
      </c>
      <c r="O4492" s="11">
        <f t="shared" si="174"/>
        <v>17800</v>
      </c>
      <c r="P4492" s="10">
        <v>1185</v>
      </c>
      <c r="Q4492" s="10" t="s">
        <v>1928</v>
      </c>
      <c r="R4492" s="50">
        <f>+テーブル1[[#This Row],[合計金額]]*テーブル1[[#This Row],[自社報酬率％]]/100</f>
        <v>17800</v>
      </c>
    </row>
    <row r="4493" spans="1:18">
      <c r="A4493" s="7">
        <v>45931</v>
      </c>
      <c r="B4493" t="s">
        <v>43</v>
      </c>
      <c r="C4493" s="18" t="s">
        <v>24</v>
      </c>
      <c r="D4493" s="41">
        <v>100</v>
      </c>
      <c r="E4493" s="41">
        <v>100</v>
      </c>
      <c r="F4493" s="76" t="s">
        <v>19</v>
      </c>
      <c r="G4493" s="86">
        <v>46113</v>
      </c>
      <c r="H4493" s="26" t="s">
        <v>2995</v>
      </c>
      <c r="I4493" s="49">
        <v>8900</v>
      </c>
      <c r="J4493" s="77">
        <v>2</v>
      </c>
      <c r="K4493" s="24"/>
      <c r="L4493" s="92">
        <v>0</v>
      </c>
      <c r="M4493" s="24"/>
      <c r="N4493" s="95">
        <f t="shared" si="177"/>
        <v>2</v>
      </c>
      <c r="O4493" s="11">
        <f t="shared" si="174"/>
        <v>17800</v>
      </c>
      <c r="P4493" s="10">
        <v>1186</v>
      </c>
      <c r="Q4493" s="10" t="s">
        <v>1928</v>
      </c>
      <c r="R4493" s="50">
        <f>+テーブル1[[#This Row],[合計金額]]*テーブル1[[#This Row],[自社報酬率％]]/100</f>
        <v>17800</v>
      </c>
    </row>
    <row r="4494" spans="1:18">
      <c r="A4494" s="7">
        <v>45931</v>
      </c>
      <c r="B4494" t="s">
        <v>43</v>
      </c>
      <c r="C4494" s="18" t="s">
        <v>24</v>
      </c>
      <c r="D4494" s="41">
        <v>100</v>
      </c>
      <c r="E4494" s="41">
        <v>100</v>
      </c>
      <c r="F4494" s="101" t="s">
        <v>16</v>
      </c>
      <c r="G4494" s="102">
        <v>45962</v>
      </c>
      <c r="H4494" s="26" t="s">
        <v>2996</v>
      </c>
      <c r="I4494" s="49">
        <v>11000</v>
      </c>
      <c r="J4494" s="24">
        <v>1</v>
      </c>
      <c r="K4494" s="24"/>
      <c r="L4494" s="91">
        <v>0</v>
      </c>
      <c r="M4494" s="24"/>
      <c r="N4494" s="12">
        <f t="shared" si="177"/>
        <v>1</v>
      </c>
      <c r="O4494" s="11">
        <f t="shared" si="174"/>
        <v>11000</v>
      </c>
      <c r="P4494" s="10">
        <v>1187</v>
      </c>
      <c r="Q4494" s="10" t="s">
        <v>1935</v>
      </c>
      <c r="R4494" s="50">
        <f>+テーブル1[[#This Row],[合計金額]]*テーブル1[[#This Row],[自社報酬率％]]/100</f>
        <v>11000</v>
      </c>
    </row>
    <row r="4495" spans="1:18">
      <c r="A4495" s="7">
        <v>45931</v>
      </c>
      <c r="B4495" t="s">
        <v>43</v>
      </c>
      <c r="C4495" s="18" t="s">
        <v>24</v>
      </c>
      <c r="D4495" s="41">
        <v>100</v>
      </c>
      <c r="E4495" s="41">
        <v>100</v>
      </c>
      <c r="F4495" s="101" t="s">
        <v>16</v>
      </c>
      <c r="G4495" s="102">
        <v>45962</v>
      </c>
      <c r="H4495" s="26" t="s">
        <v>2997</v>
      </c>
      <c r="I4495" s="49">
        <v>3000</v>
      </c>
      <c r="J4495" s="24">
        <v>11</v>
      </c>
      <c r="K4495" s="24"/>
      <c r="L4495" s="91">
        <v>0</v>
      </c>
      <c r="M4495" s="24"/>
      <c r="N4495" s="12">
        <f t="shared" si="177"/>
        <v>11</v>
      </c>
      <c r="O4495" s="11">
        <f t="shared" si="174"/>
        <v>33000</v>
      </c>
      <c r="P4495" s="10">
        <v>1188</v>
      </c>
      <c r="Q4495" s="10" t="s">
        <v>1935</v>
      </c>
      <c r="R4495" s="50">
        <f>+テーブル1[[#This Row],[合計金額]]*テーブル1[[#This Row],[自社報酬率％]]/100</f>
        <v>33000</v>
      </c>
    </row>
    <row r="4496" spans="1:18">
      <c r="A4496" s="7">
        <v>45931</v>
      </c>
      <c r="B4496" t="s">
        <v>43</v>
      </c>
      <c r="C4496" s="18" t="s">
        <v>24</v>
      </c>
      <c r="D4496" s="41">
        <v>100</v>
      </c>
      <c r="E4496" s="41">
        <v>100</v>
      </c>
      <c r="F4496" s="82" t="s">
        <v>20</v>
      </c>
      <c r="G4496" s="87">
        <v>45931</v>
      </c>
      <c r="H4496" s="26" t="s">
        <v>2782</v>
      </c>
      <c r="I4496" s="49">
        <v>3000</v>
      </c>
      <c r="J4496" s="77">
        <v>0</v>
      </c>
      <c r="K4496" s="24"/>
      <c r="L4496" s="92">
        <v>0</v>
      </c>
      <c r="M4496" s="24"/>
      <c r="N4496" s="96">
        <f t="shared" si="177"/>
        <v>0</v>
      </c>
      <c r="O4496" s="11">
        <f t="shared" si="174"/>
        <v>0</v>
      </c>
      <c r="P4496" s="10">
        <v>1189</v>
      </c>
      <c r="Q4496" s="10" t="s">
        <v>1935</v>
      </c>
      <c r="R4496" s="50">
        <f>+テーブル1[[#This Row],[合計金額]]*テーブル1[[#This Row],[自社報酬率％]]/100</f>
        <v>0</v>
      </c>
    </row>
    <row r="4497" spans="1:18">
      <c r="A4497" s="7">
        <v>45931</v>
      </c>
      <c r="B4497" t="s">
        <v>43</v>
      </c>
      <c r="C4497" s="18" t="s">
        <v>1962</v>
      </c>
      <c r="D4497" s="41">
        <v>50</v>
      </c>
      <c r="E4497" s="41">
        <v>50</v>
      </c>
      <c r="F4497" s="18" t="s">
        <v>19</v>
      </c>
      <c r="G4497" s="28">
        <v>45931</v>
      </c>
      <c r="H4497" s="26" t="s">
        <v>2998</v>
      </c>
      <c r="I4497" s="49">
        <v>72050</v>
      </c>
      <c r="J4497" s="24">
        <v>53</v>
      </c>
      <c r="K4497" s="24"/>
      <c r="L4497" s="91">
        <v>0</v>
      </c>
      <c r="M4497" s="24"/>
      <c r="N4497" s="12">
        <f t="shared" si="177"/>
        <v>53</v>
      </c>
      <c r="O4497" s="11">
        <f t="shared" si="174"/>
        <v>3818650</v>
      </c>
      <c r="P4497" s="10">
        <v>1190</v>
      </c>
      <c r="Q4497" s="10" t="s">
        <v>1935</v>
      </c>
      <c r="R4497" s="50">
        <f>+テーブル1[[#This Row],[合計金額]]*テーブル1[[#This Row],[自社報酬率％]]/100</f>
        <v>1909325</v>
      </c>
    </row>
    <row r="4498" spans="1:18">
      <c r="A4498" s="7">
        <v>45931</v>
      </c>
      <c r="B4498" t="s">
        <v>43</v>
      </c>
      <c r="C4498" s="18" t="s">
        <v>1962</v>
      </c>
      <c r="D4498" s="41">
        <v>50</v>
      </c>
      <c r="E4498" s="41">
        <v>50</v>
      </c>
      <c r="F4498" s="18" t="s">
        <v>19</v>
      </c>
      <c r="G4498" s="28">
        <v>45931</v>
      </c>
      <c r="H4498" s="26" t="s">
        <v>2999</v>
      </c>
      <c r="I4498" s="49">
        <v>91700</v>
      </c>
      <c r="J4498" s="24">
        <v>4</v>
      </c>
      <c r="K4498" s="24"/>
      <c r="L4498" s="91">
        <v>0</v>
      </c>
      <c r="M4498" s="24"/>
      <c r="N4498" s="12">
        <f t="shared" si="177"/>
        <v>4</v>
      </c>
      <c r="O4498" s="11">
        <f t="shared" si="174"/>
        <v>366800</v>
      </c>
      <c r="P4498" s="10">
        <v>1191</v>
      </c>
      <c r="Q4498" s="10" t="s">
        <v>1935</v>
      </c>
      <c r="R4498" s="50">
        <f>+テーブル1[[#This Row],[合計金額]]*テーブル1[[#This Row],[自社報酬率％]]/100</f>
        <v>183400</v>
      </c>
    </row>
    <row r="4499" spans="1:18">
      <c r="A4499" s="7">
        <v>45931</v>
      </c>
      <c r="B4499" t="s">
        <v>43</v>
      </c>
      <c r="C4499" s="18" t="s">
        <v>1962</v>
      </c>
      <c r="D4499" s="41">
        <v>50</v>
      </c>
      <c r="E4499" s="41">
        <v>50</v>
      </c>
      <c r="F4499" s="18" t="s">
        <v>19</v>
      </c>
      <c r="G4499" s="28">
        <v>45931</v>
      </c>
      <c r="H4499" s="26" t="s">
        <v>1975</v>
      </c>
      <c r="I4499" s="49">
        <v>432300</v>
      </c>
      <c r="J4499" s="24">
        <v>92</v>
      </c>
      <c r="K4499" s="24"/>
      <c r="L4499" s="91">
        <v>0</v>
      </c>
      <c r="M4499" s="24"/>
      <c r="N4499" s="12">
        <f t="shared" si="177"/>
        <v>92</v>
      </c>
      <c r="O4499" s="11">
        <f t="shared" si="174"/>
        <v>39771600</v>
      </c>
      <c r="P4499" s="10">
        <v>1192</v>
      </c>
      <c r="Q4499" s="10" t="s">
        <v>1935</v>
      </c>
      <c r="R4499" s="50">
        <f>+テーブル1[[#This Row],[合計金額]]*テーブル1[[#This Row],[自社報酬率％]]/100</f>
        <v>19885800</v>
      </c>
    </row>
    <row r="4500" spans="1:18">
      <c r="A4500" s="7">
        <v>45931</v>
      </c>
      <c r="B4500" t="s">
        <v>43</v>
      </c>
      <c r="C4500" s="18" t="s">
        <v>1962</v>
      </c>
      <c r="D4500" s="41">
        <v>50</v>
      </c>
      <c r="E4500" s="41">
        <v>50</v>
      </c>
      <c r="F4500" s="18" t="s">
        <v>19</v>
      </c>
      <c r="G4500" s="28">
        <v>45931</v>
      </c>
      <c r="H4500" s="26" t="s">
        <v>2160</v>
      </c>
      <c r="I4500" s="49">
        <v>72050</v>
      </c>
      <c r="J4500" s="24">
        <v>1</v>
      </c>
      <c r="K4500" s="24"/>
      <c r="L4500" s="91">
        <v>0</v>
      </c>
      <c r="M4500" s="24"/>
      <c r="N4500" s="12">
        <f t="shared" si="177"/>
        <v>1</v>
      </c>
      <c r="O4500" s="11">
        <f t="shared" si="174"/>
        <v>72050</v>
      </c>
      <c r="P4500" s="10">
        <v>1193</v>
      </c>
      <c r="Q4500" s="10" t="s">
        <v>1935</v>
      </c>
      <c r="R4500" s="50">
        <f>+テーブル1[[#This Row],[合計金額]]*テーブル1[[#This Row],[自社報酬率％]]/100</f>
        <v>36025</v>
      </c>
    </row>
    <row r="4501" spans="1:18">
      <c r="A4501" s="7">
        <v>45931</v>
      </c>
      <c r="B4501" t="s">
        <v>43</v>
      </c>
      <c r="C4501" s="18" t="s">
        <v>1962</v>
      </c>
      <c r="D4501" s="41">
        <v>50</v>
      </c>
      <c r="E4501" s="41">
        <v>50</v>
      </c>
      <c r="F4501" s="18" t="s">
        <v>19</v>
      </c>
      <c r="G4501" s="28">
        <v>45931</v>
      </c>
      <c r="H4501" s="26" t="s">
        <v>2316</v>
      </c>
      <c r="I4501" s="49">
        <v>144100</v>
      </c>
      <c r="J4501" s="24">
        <v>1</v>
      </c>
      <c r="K4501" s="24"/>
      <c r="L4501" s="91">
        <v>0</v>
      </c>
      <c r="M4501" s="24"/>
      <c r="N4501" s="12">
        <f t="shared" si="177"/>
        <v>1</v>
      </c>
      <c r="O4501" s="11">
        <f t="shared" si="174"/>
        <v>144100</v>
      </c>
      <c r="P4501" s="10">
        <v>1194</v>
      </c>
      <c r="Q4501" s="10" t="s">
        <v>1935</v>
      </c>
      <c r="R4501" s="50">
        <f>+テーブル1[[#This Row],[合計金額]]*テーブル1[[#This Row],[自社報酬率％]]/100</f>
        <v>72050</v>
      </c>
    </row>
    <row r="4502" spans="1:18">
      <c r="A4502" s="7">
        <v>45931</v>
      </c>
      <c r="B4502" t="s">
        <v>43</v>
      </c>
      <c r="C4502" s="18" t="s">
        <v>1962</v>
      </c>
      <c r="D4502" s="41">
        <v>50</v>
      </c>
      <c r="E4502" s="41">
        <v>50</v>
      </c>
      <c r="F4502" s="18" t="s">
        <v>19</v>
      </c>
      <c r="G4502" s="28">
        <v>45931</v>
      </c>
      <c r="H4502" s="26" t="s">
        <v>2317</v>
      </c>
      <c r="I4502" s="49">
        <v>72050</v>
      </c>
      <c r="J4502" s="24">
        <v>21</v>
      </c>
      <c r="K4502" s="24"/>
      <c r="L4502" s="91">
        <v>0</v>
      </c>
      <c r="M4502" s="24"/>
      <c r="N4502" s="12">
        <f t="shared" si="177"/>
        <v>21</v>
      </c>
      <c r="O4502" s="11">
        <f t="shared" si="174"/>
        <v>1513050</v>
      </c>
      <c r="P4502" s="10">
        <v>1195</v>
      </c>
      <c r="Q4502" s="10" t="s">
        <v>1935</v>
      </c>
      <c r="R4502" s="50">
        <f>+テーブル1[[#This Row],[合計金額]]*テーブル1[[#This Row],[自社報酬率％]]/100</f>
        <v>756525</v>
      </c>
    </row>
    <row r="4503" spans="1:18">
      <c r="A4503" s="7">
        <v>45931</v>
      </c>
      <c r="B4503" t="s">
        <v>43</v>
      </c>
      <c r="C4503" s="18" t="s">
        <v>1962</v>
      </c>
      <c r="D4503" s="41">
        <v>50</v>
      </c>
      <c r="E4503" s="41">
        <v>50</v>
      </c>
      <c r="F4503" s="18" t="s">
        <v>19</v>
      </c>
      <c r="G4503" s="28">
        <v>45931</v>
      </c>
      <c r="H4503" s="26" t="s">
        <v>1976</v>
      </c>
      <c r="I4503" s="49">
        <v>72050</v>
      </c>
      <c r="J4503" s="24">
        <v>6</v>
      </c>
      <c r="K4503" s="24"/>
      <c r="L4503" s="91">
        <v>0</v>
      </c>
      <c r="M4503" s="24"/>
      <c r="N4503" s="12">
        <f t="shared" si="177"/>
        <v>6</v>
      </c>
      <c r="O4503" s="11">
        <f t="shared" si="174"/>
        <v>432300</v>
      </c>
      <c r="P4503" s="10">
        <v>1196</v>
      </c>
      <c r="Q4503" s="10" t="s">
        <v>1935</v>
      </c>
      <c r="R4503" s="50">
        <f>+テーブル1[[#This Row],[合計金額]]*テーブル1[[#This Row],[自社報酬率％]]/100</f>
        <v>216150</v>
      </c>
    </row>
    <row r="4504" spans="1:18">
      <c r="A4504" s="7">
        <v>45931</v>
      </c>
      <c r="B4504" t="s">
        <v>43</v>
      </c>
      <c r="C4504" s="18" t="s">
        <v>1962</v>
      </c>
      <c r="D4504" s="41">
        <v>50</v>
      </c>
      <c r="E4504" s="41">
        <v>50</v>
      </c>
      <c r="F4504" s="18" t="s">
        <v>19</v>
      </c>
      <c r="G4504" s="28">
        <v>45931</v>
      </c>
      <c r="H4504" s="26" t="s">
        <v>1977</v>
      </c>
      <c r="I4504" s="49">
        <v>216150</v>
      </c>
      <c r="J4504" s="24">
        <v>20</v>
      </c>
      <c r="K4504" s="24"/>
      <c r="L4504" s="91">
        <v>0</v>
      </c>
      <c r="M4504" s="24"/>
      <c r="N4504" s="12">
        <f t="shared" si="177"/>
        <v>20</v>
      </c>
      <c r="O4504" s="11">
        <f t="shared" si="174"/>
        <v>4323000</v>
      </c>
      <c r="P4504" s="10">
        <v>1197</v>
      </c>
      <c r="Q4504" s="10" t="s">
        <v>1935</v>
      </c>
      <c r="R4504" s="50">
        <f>+テーブル1[[#This Row],[合計金額]]*テーブル1[[#This Row],[自社報酬率％]]/100</f>
        <v>2161500</v>
      </c>
    </row>
    <row r="4505" spans="1:18">
      <c r="A4505" s="7">
        <v>45931</v>
      </c>
      <c r="B4505" t="s">
        <v>43</v>
      </c>
      <c r="C4505" s="18" t="s">
        <v>1962</v>
      </c>
      <c r="D4505" s="41">
        <v>50</v>
      </c>
      <c r="E4505" s="41">
        <v>50</v>
      </c>
      <c r="F4505" s="18" t="s">
        <v>19</v>
      </c>
      <c r="G4505" s="28">
        <v>45931</v>
      </c>
      <c r="H4505" s="26" t="s">
        <v>1978</v>
      </c>
      <c r="I4505" s="49">
        <v>144100</v>
      </c>
      <c r="J4505" s="24">
        <v>12</v>
      </c>
      <c r="K4505" s="24"/>
      <c r="L4505" s="91">
        <v>0</v>
      </c>
      <c r="M4505" s="24"/>
      <c r="N4505" s="12">
        <f t="shared" si="177"/>
        <v>12</v>
      </c>
      <c r="O4505" s="11">
        <f t="shared" si="174"/>
        <v>1729200</v>
      </c>
      <c r="P4505" s="10">
        <v>1198</v>
      </c>
      <c r="Q4505" s="10" t="s">
        <v>1935</v>
      </c>
      <c r="R4505" s="50">
        <f>+テーブル1[[#This Row],[合計金額]]*テーブル1[[#This Row],[自社報酬率％]]/100</f>
        <v>864600</v>
      </c>
    </row>
    <row r="4506" spans="1:18">
      <c r="A4506" s="7">
        <v>45931</v>
      </c>
      <c r="B4506" t="s">
        <v>43</v>
      </c>
      <c r="C4506" s="18" t="s">
        <v>1962</v>
      </c>
      <c r="D4506" s="41">
        <v>50</v>
      </c>
      <c r="E4506" s="41">
        <v>50</v>
      </c>
      <c r="F4506" s="18" t="s">
        <v>19</v>
      </c>
      <c r="G4506" s="28">
        <v>45931</v>
      </c>
      <c r="H4506" s="26" t="s">
        <v>1979</v>
      </c>
      <c r="I4506" s="49">
        <v>72050</v>
      </c>
      <c r="J4506" s="24">
        <v>56</v>
      </c>
      <c r="K4506" s="24"/>
      <c r="L4506" s="91">
        <v>0</v>
      </c>
      <c r="M4506" s="24"/>
      <c r="N4506" s="12">
        <f t="shared" si="177"/>
        <v>56</v>
      </c>
      <c r="O4506" s="11">
        <f t="shared" si="174"/>
        <v>4034800</v>
      </c>
      <c r="P4506" s="10">
        <v>1199</v>
      </c>
      <c r="Q4506" s="10" t="s">
        <v>1935</v>
      </c>
      <c r="R4506" s="50">
        <f>+テーブル1[[#This Row],[合計金額]]*テーブル1[[#This Row],[自社報酬率％]]/100</f>
        <v>2017400</v>
      </c>
    </row>
    <row r="4507" spans="1:18">
      <c r="A4507" s="7">
        <v>45931</v>
      </c>
      <c r="B4507" t="s">
        <v>43</v>
      </c>
      <c r="C4507" s="18" t="s">
        <v>1962</v>
      </c>
      <c r="D4507" s="41">
        <v>50</v>
      </c>
      <c r="E4507" s="41">
        <v>50</v>
      </c>
      <c r="F4507" s="18" t="s">
        <v>19</v>
      </c>
      <c r="G4507" s="28">
        <v>45931</v>
      </c>
      <c r="H4507" s="26" t="s">
        <v>1980</v>
      </c>
      <c r="I4507" s="49">
        <v>550000</v>
      </c>
      <c r="J4507" s="24">
        <v>5</v>
      </c>
      <c r="K4507" s="24"/>
      <c r="L4507" s="91">
        <v>0</v>
      </c>
      <c r="M4507" s="24"/>
      <c r="N4507" s="12">
        <f t="shared" si="177"/>
        <v>5</v>
      </c>
      <c r="O4507" s="11">
        <f t="shared" si="174"/>
        <v>2750000</v>
      </c>
      <c r="P4507" s="10">
        <v>1200</v>
      </c>
      <c r="Q4507" s="10" t="s">
        <v>1935</v>
      </c>
      <c r="R4507" s="50">
        <f>+テーブル1[[#This Row],[合計金額]]*テーブル1[[#This Row],[自社報酬率％]]/100</f>
        <v>1375000</v>
      </c>
    </row>
    <row r="4508" spans="1:18">
      <c r="A4508" s="7">
        <v>45931</v>
      </c>
      <c r="B4508" t="s">
        <v>43</v>
      </c>
      <c r="C4508" s="18" t="s">
        <v>1962</v>
      </c>
      <c r="D4508" s="41">
        <v>50</v>
      </c>
      <c r="E4508" s="41">
        <v>50</v>
      </c>
      <c r="F4508" s="18" t="s">
        <v>19</v>
      </c>
      <c r="G4508" s="28">
        <v>45931</v>
      </c>
      <c r="H4508" s="26" t="s">
        <v>2164</v>
      </c>
      <c r="I4508" s="49">
        <v>275000</v>
      </c>
      <c r="J4508" s="24">
        <v>1</v>
      </c>
      <c r="K4508" s="24"/>
      <c r="L4508" s="91">
        <v>0</v>
      </c>
      <c r="M4508" s="24"/>
      <c r="N4508" s="12">
        <f t="shared" si="177"/>
        <v>1</v>
      </c>
      <c r="O4508" s="11">
        <f t="shared" si="174"/>
        <v>275000</v>
      </c>
      <c r="P4508" s="10">
        <v>1201</v>
      </c>
      <c r="Q4508" s="10" t="s">
        <v>1935</v>
      </c>
      <c r="R4508" s="50">
        <f>+テーブル1[[#This Row],[合計金額]]*テーブル1[[#This Row],[自社報酬率％]]/100</f>
        <v>137500</v>
      </c>
    </row>
    <row r="4509" spans="1:18">
      <c r="A4509" s="7">
        <v>45931</v>
      </c>
      <c r="B4509" t="s">
        <v>43</v>
      </c>
      <c r="C4509" s="18" t="s">
        <v>1962</v>
      </c>
      <c r="D4509" s="41">
        <v>50</v>
      </c>
      <c r="E4509" s="41">
        <v>50</v>
      </c>
      <c r="F4509" s="18" t="s">
        <v>19</v>
      </c>
      <c r="G4509" s="28">
        <v>45931</v>
      </c>
      <c r="H4509" s="26" t="s">
        <v>1983</v>
      </c>
      <c r="I4509" s="49">
        <v>91700</v>
      </c>
      <c r="J4509" s="24">
        <v>3</v>
      </c>
      <c r="K4509" s="24"/>
      <c r="L4509" s="91">
        <v>0</v>
      </c>
      <c r="M4509" s="24"/>
      <c r="N4509" s="12">
        <f t="shared" si="177"/>
        <v>3</v>
      </c>
      <c r="O4509" s="11">
        <f t="shared" si="174"/>
        <v>275100</v>
      </c>
      <c r="P4509" s="10">
        <v>1202</v>
      </c>
      <c r="Q4509" s="10" t="s">
        <v>1935</v>
      </c>
      <c r="R4509" s="50">
        <f>+テーブル1[[#This Row],[合計金額]]*テーブル1[[#This Row],[自社報酬率％]]/100</f>
        <v>137550</v>
      </c>
    </row>
    <row r="4510" spans="1:18">
      <c r="A4510" s="7">
        <v>45931</v>
      </c>
      <c r="B4510" t="s">
        <v>43</v>
      </c>
      <c r="C4510" s="18" t="s">
        <v>1962</v>
      </c>
      <c r="D4510" s="41">
        <v>50</v>
      </c>
      <c r="E4510" s="41">
        <v>50</v>
      </c>
      <c r="F4510" s="18" t="s">
        <v>19</v>
      </c>
      <c r="G4510" s="28">
        <v>45931</v>
      </c>
      <c r="H4510" s="26" t="s">
        <v>3000</v>
      </c>
      <c r="I4510" s="49">
        <v>19620</v>
      </c>
      <c r="J4510" s="24">
        <v>1</v>
      </c>
      <c r="K4510" s="24"/>
      <c r="L4510" s="91">
        <v>0</v>
      </c>
      <c r="M4510" s="24"/>
      <c r="N4510" s="12">
        <f t="shared" si="177"/>
        <v>1</v>
      </c>
      <c r="O4510" s="11">
        <f t="shared" si="174"/>
        <v>19620</v>
      </c>
      <c r="P4510" s="10">
        <v>1203</v>
      </c>
      <c r="Q4510" s="10" t="s">
        <v>1935</v>
      </c>
      <c r="R4510" s="50">
        <f>+テーブル1[[#This Row],[合計金額]]*テーブル1[[#This Row],[自社報酬率％]]/100</f>
        <v>9810</v>
      </c>
    </row>
    <row r="4511" spans="1:18">
      <c r="A4511" s="7">
        <v>45931</v>
      </c>
      <c r="B4511" t="s">
        <v>43</v>
      </c>
      <c r="C4511" s="18" t="s">
        <v>1962</v>
      </c>
      <c r="D4511" s="41">
        <v>50</v>
      </c>
      <c r="E4511" s="41">
        <v>50</v>
      </c>
      <c r="F4511" s="18" t="s">
        <v>19</v>
      </c>
      <c r="G4511" s="28">
        <v>45931</v>
      </c>
      <c r="H4511" s="26" t="s">
        <v>3001</v>
      </c>
      <c r="I4511" s="49">
        <v>21140</v>
      </c>
      <c r="J4511" s="24">
        <v>10</v>
      </c>
      <c r="K4511" s="24"/>
      <c r="L4511" s="91">
        <v>0</v>
      </c>
      <c r="M4511" s="24"/>
      <c r="N4511" s="12">
        <f t="shared" si="177"/>
        <v>10</v>
      </c>
      <c r="O4511" s="11">
        <f t="shared" si="174"/>
        <v>211400</v>
      </c>
      <c r="P4511" s="10">
        <v>1204</v>
      </c>
      <c r="Q4511" s="10" t="s">
        <v>1935</v>
      </c>
      <c r="R4511" s="50">
        <f>+テーブル1[[#This Row],[合計金額]]*テーブル1[[#This Row],[自社報酬率％]]/100</f>
        <v>105700</v>
      </c>
    </row>
    <row r="4512" spans="1:18">
      <c r="A4512" s="7">
        <v>45931</v>
      </c>
      <c r="B4512" t="s">
        <v>43</v>
      </c>
      <c r="C4512" s="101" t="s">
        <v>1962</v>
      </c>
      <c r="D4512" s="41">
        <v>50</v>
      </c>
      <c r="E4512" s="41">
        <v>50</v>
      </c>
      <c r="F4512" s="101" t="s">
        <v>16</v>
      </c>
      <c r="G4512" s="102">
        <v>45962</v>
      </c>
      <c r="H4512" s="26" t="s">
        <v>3002</v>
      </c>
      <c r="I4512" s="49">
        <v>14500</v>
      </c>
      <c r="J4512" s="24">
        <v>1</v>
      </c>
      <c r="K4512" s="24"/>
      <c r="L4512" s="91">
        <v>0</v>
      </c>
      <c r="M4512" s="24"/>
      <c r="N4512" s="12">
        <f t="shared" si="177"/>
        <v>1</v>
      </c>
      <c r="O4512" s="11">
        <f t="shared" si="174"/>
        <v>14500</v>
      </c>
      <c r="P4512" s="10">
        <v>1205</v>
      </c>
      <c r="Q4512" s="10" t="s">
        <v>1935</v>
      </c>
      <c r="R4512" s="50">
        <f>+テーブル1[[#This Row],[合計金額]]*テーブル1[[#This Row],[自社報酬率％]]/100</f>
        <v>7250</v>
      </c>
    </row>
    <row r="4513" spans="1:18">
      <c r="A4513" s="7">
        <v>45931</v>
      </c>
      <c r="B4513" t="s">
        <v>43</v>
      </c>
      <c r="C4513" s="101" t="s">
        <v>1962</v>
      </c>
      <c r="D4513" s="41">
        <v>50</v>
      </c>
      <c r="E4513" s="41">
        <v>50</v>
      </c>
      <c r="F4513" s="101" t="s">
        <v>16</v>
      </c>
      <c r="G4513" s="102">
        <v>45962</v>
      </c>
      <c r="H4513" s="26" t="s">
        <v>3003</v>
      </c>
      <c r="I4513" s="49">
        <v>13200</v>
      </c>
      <c r="J4513" s="24">
        <v>6</v>
      </c>
      <c r="K4513" s="24"/>
      <c r="L4513" s="91">
        <v>0</v>
      </c>
      <c r="M4513" s="24"/>
      <c r="N4513" s="12">
        <f t="shared" si="177"/>
        <v>6</v>
      </c>
      <c r="O4513" s="11">
        <f t="shared" ref="O4513:O4576" si="178">+I4513*N4513</f>
        <v>79200</v>
      </c>
      <c r="P4513" s="10">
        <v>1206</v>
      </c>
      <c r="Q4513" s="10" t="s">
        <v>1935</v>
      </c>
      <c r="R4513" s="50">
        <f>+テーブル1[[#This Row],[合計金額]]*テーブル1[[#This Row],[自社報酬率％]]/100</f>
        <v>39600</v>
      </c>
    </row>
    <row r="4514" spans="1:18">
      <c r="A4514" s="7">
        <v>45931</v>
      </c>
      <c r="B4514" t="s">
        <v>43</v>
      </c>
      <c r="C4514" s="101" t="s">
        <v>1962</v>
      </c>
      <c r="D4514" s="41">
        <v>50</v>
      </c>
      <c r="E4514" s="41">
        <v>50</v>
      </c>
      <c r="F4514" s="101" t="s">
        <v>16</v>
      </c>
      <c r="G4514" s="102">
        <v>45962</v>
      </c>
      <c r="H4514" s="26" t="s">
        <v>3003</v>
      </c>
      <c r="I4514" s="49">
        <v>14500</v>
      </c>
      <c r="J4514" s="24">
        <v>26</v>
      </c>
      <c r="K4514" s="24"/>
      <c r="L4514" s="91">
        <v>0</v>
      </c>
      <c r="M4514" s="24"/>
      <c r="N4514" s="12">
        <f t="shared" si="177"/>
        <v>26</v>
      </c>
      <c r="O4514" s="11">
        <f t="shared" si="178"/>
        <v>377000</v>
      </c>
      <c r="P4514" s="10">
        <v>1207</v>
      </c>
      <c r="Q4514" s="10" t="s">
        <v>1935</v>
      </c>
      <c r="R4514" s="50">
        <f>+テーブル1[[#This Row],[合計金額]]*テーブル1[[#This Row],[自社報酬率％]]/100</f>
        <v>188500</v>
      </c>
    </row>
    <row r="4515" spans="1:18">
      <c r="A4515" s="7">
        <v>45931</v>
      </c>
      <c r="B4515" t="s">
        <v>43</v>
      </c>
      <c r="C4515" s="101" t="s">
        <v>1962</v>
      </c>
      <c r="D4515" s="41">
        <v>50</v>
      </c>
      <c r="E4515" s="41">
        <v>50</v>
      </c>
      <c r="F4515" s="101" t="s">
        <v>16</v>
      </c>
      <c r="G4515" s="102">
        <v>45962</v>
      </c>
      <c r="H4515" s="26" t="s">
        <v>3004</v>
      </c>
      <c r="I4515" s="49">
        <v>13200</v>
      </c>
      <c r="J4515" s="24">
        <v>1</v>
      </c>
      <c r="K4515" s="24"/>
      <c r="L4515" s="91">
        <v>0</v>
      </c>
      <c r="M4515" s="24"/>
      <c r="N4515" s="12">
        <f t="shared" si="177"/>
        <v>1</v>
      </c>
      <c r="O4515" s="11">
        <f t="shared" si="178"/>
        <v>13200</v>
      </c>
      <c r="P4515" s="10">
        <v>1208</v>
      </c>
      <c r="Q4515" s="10" t="s">
        <v>1935</v>
      </c>
      <c r="R4515" s="50">
        <f>+テーブル1[[#This Row],[合計金額]]*テーブル1[[#This Row],[自社報酬率％]]/100</f>
        <v>6600</v>
      </c>
    </row>
    <row r="4516" spans="1:18">
      <c r="A4516" s="7">
        <v>45931</v>
      </c>
      <c r="B4516" t="s">
        <v>43</v>
      </c>
      <c r="C4516" s="101" t="s">
        <v>1962</v>
      </c>
      <c r="D4516" s="41">
        <v>50</v>
      </c>
      <c r="E4516" s="41">
        <v>50</v>
      </c>
      <c r="F4516" s="101" t="s">
        <v>16</v>
      </c>
      <c r="G4516" s="102">
        <v>45962</v>
      </c>
      <c r="H4516" s="26" t="s">
        <v>3005</v>
      </c>
      <c r="I4516" s="49">
        <v>4830</v>
      </c>
      <c r="J4516" s="24">
        <v>2</v>
      </c>
      <c r="K4516" s="24"/>
      <c r="L4516" s="91">
        <v>0</v>
      </c>
      <c r="M4516" s="24"/>
      <c r="N4516" s="12">
        <f t="shared" si="177"/>
        <v>2</v>
      </c>
      <c r="O4516" s="11">
        <f t="shared" si="178"/>
        <v>9660</v>
      </c>
      <c r="P4516" s="10">
        <v>1209</v>
      </c>
      <c r="Q4516" s="10" t="s">
        <v>1935</v>
      </c>
      <c r="R4516" s="50">
        <f>+テーブル1[[#This Row],[合計金額]]*テーブル1[[#This Row],[自社報酬率％]]/100</f>
        <v>4830</v>
      </c>
    </row>
    <row r="4517" spans="1:18">
      <c r="A4517" s="7">
        <v>45931</v>
      </c>
      <c r="B4517" t="s">
        <v>43</v>
      </c>
      <c r="C4517" s="101" t="s">
        <v>1962</v>
      </c>
      <c r="D4517" s="41">
        <v>50</v>
      </c>
      <c r="E4517" s="41">
        <v>50</v>
      </c>
      <c r="F4517" s="101" t="s">
        <v>16</v>
      </c>
      <c r="G4517" s="102">
        <v>45962</v>
      </c>
      <c r="H4517" s="26" t="s">
        <v>3006</v>
      </c>
      <c r="I4517" s="49">
        <v>4830</v>
      </c>
      <c r="J4517" s="24">
        <v>2</v>
      </c>
      <c r="K4517" s="24"/>
      <c r="L4517" s="91">
        <v>0</v>
      </c>
      <c r="M4517" s="24"/>
      <c r="N4517" s="12">
        <f t="shared" si="177"/>
        <v>2</v>
      </c>
      <c r="O4517" s="11">
        <f t="shared" si="178"/>
        <v>9660</v>
      </c>
      <c r="P4517" s="10">
        <v>1210</v>
      </c>
      <c r="Q4517" s="10" t="s">
        <v>1935</v>
      </c>
      <c r="R4517" s="50">
        <f>+テーブル1[[#This Row],[合計金額]]*テーブル1[[#This Row],[自社報酬率％]]/100</f>
        <v>4830</v>
      </c>
    </row>
    <row r="4518" spans="1:18">
      <c r="A4518" s="7">
        <v>45931</v>
      </c>
      <c r="B4518" t="s">
        <v>43</v>
      </c>
      <c r="C4518" s="18" t="s">
        <v>1962</v>
      </c>
      <c r="D4518" s="41">
        <v>50</v>
      </c>
      <c r="E4518" s="41">
        <v>50</v>
      </c>
      <c r="F4518" s="18" t="s">
        <v>20</v>
      </c>
      <c r="G4518" s="28">
        <v>45931</v>
      </c>
      <c r="H4518" s="26" t="s">
        <v>2916</v>
      </c>
      <c r="I4518" s="49">
        <v>4900</v>
      </c>
      <c r="J4518" s="24">
        <v>28</v>
      </c>
      <c r="K4518" s="24"/>
      <c r="L4518" s="91">
        <v>0</v>
      </c>
      <c r="M4518" s="24"/>
      <c r="N4518" s="12">
        <f t="shared" si="177"/>
        <v>28</v>
      </c>
      <c r="O4518" s="11">
        <f t="shared" si="178"/>
        <v>137200</v>
      </c>
      <c r="P4518" s="10">
        <v>1211</v>
      </c>
      <c r="Q4518" s="10" t="s">
        <v>1935</v>
      </c>
      <c r="R4518" s="50">
        <f>+テーブル1[[#This Row],[合計金額]]*テーブル1[[#This Row],[自社報酬率％]]/100</f>
        <v>68600</v>
      </c>
    </row>
    <row r="4519" spans="1:18">
      <c r="A4519" s="7">
        <v>45931</v>
      </c>
      <c r="B4519" t="s">
        <v>43</v>
      </c>
      <c r="C4519" s="18" t="s">
        <v>1962</v>
      </c>
      <c r="D4519" s="41">
        <v>50</v>
      </c>
      <c r="E4519" s="41">
        <v>50</v>
      </c>
      <c r="F4519" s="18" t="s">
        <v>20</v>
      </c>
      <c r="G4519" s="28">
        <v>45931</v>
      </c>
      <c r="H4519" s="26" t="s">
        <v>3007</v>
      </c>
      <c r="I4519" s="49">
        <v>5700</v>
      </c>
      <c r="J4519" s="24">
        <v>1</v>
      </c>
      <c r="K4519" s="24"/>
      <c r="L4519" s="91">
        <v>0</v>
      </c>
      <c r="M4519" s="24"/>
      <c r="N4519" s="12">
        <f t="shared" si="177"/>
        <v>1</v>
      </c>
      <c r="O4519" s="11">
        <f t="shared" si="178"/>
        <v>5700</v>
      </c>
      <c r="P4519" s="10">
        <v>1212</v>
      </c>
      <c r="Q4519" s="10" t="s">
        <v>1935</v>
      </c>
      <c r="R4519" s="50">
        <f>+テーブル1[[#This Row],[合計金額]]*テーブル1[[#This Row],[自社報酬率％]]/100</f>
        <v>2850</v>
      </c>
    </row>
    <row r="4520" spans="1:18">
      <c r="A4520" s="7">
        <v>45931</v>
      </c>
      <c r="B4520" t="s">
        <v>43</v>
      </c>
      <c r="C4520" s="18" t="s">
        <v>1962</v>
      </c>
      <c r="D4520" s="41">
        <v>50</v>
      </c>
      <c r="E4520" s="41">
        <v>50</v>
      </c>
      <c r="F4520" s="18" t="s">
        <v>20</v>
      </c>
      <c r="G4520" s="28">
        <v>45931</v>
      </c>
      <c r="H4520" s="26" t="s">
        <v>2918</v>
      </c>
      <c r="I4520" s="49">
        <v>2400</v>
      </c>
      <c r="J4520" s="24">
        <v>2</v>
      </c>
      <c r="K4520" s="24"/>
      <c r="L4520" s="91">
        <v>0</v>
      </c>
      <c r="M4520" s="24"/>
      <c r="N4520" s="12">
        <f t="shared" si="177"/>
        <v>2</v>
      </c>
      <c r="O4520" s="11">
        <f t="shared" si="178"/>
        <v>4800</v>
      </c>
      <c r="P4520" s="10">
        <v>1213</v>
      </c>
      <c r="Q4520" s="10" t="s">
        <v>1935</v>
      </c>
      <c r="R4520" s="50">
        <f>+テーブル1[[#This Row],[合計金額]]*テーブル1[[#This Row],[自社報酬率％]]/100</f>
        <v>2400</v>
      </c>
    </row>
    <row r="4521" spans="1:18">
      <c r="A4521" s="7">
        <v>45931</v>
      </c>
      <c r="B4521" t="s">
        <v>43</v>
      </c>
      <c r="C4521" s="18" t="s">
        <v>1962</v>
      </c>
      <c r="D4521" s="41">
        <v>50</v>
      </c>
      <c r="E4521" s="41">
        <v>50</v>
      </c>
      <c r="F4521" s="18" t="s">
        <v>20</v>
      </c>
      <c r="G4521" s="28">
        <v>45931</v>
      </c>
      <c r="H4521" s="26" t="s">
        <v>3008</v>
      </c>
      <c r="I4521" s="49">
        <v>2400</v>
      </c>
      <c r="J4521" s="24">
        <v>1</v>
      </c>
      <c r="K4521" s="24"/>
      <c r="L4521" s="91">
        <v>0</v>
      </c>
      <c r="M4521" s="24"/>
      <c r="N4521" s="12">
        <f t="shared" si="177"/>
        <v>1</v>
      </c>
      <c r="O4521" s="11">
        <f t="shared" si="178"/>
        <v>2400</v>
      </c>
      <c r="P4521" s="10">
        <v>1214</v>
      </c>
      <c r="Q4521" s="10" t="s">
        <v>1935</v>
      </c>
      <c r="R4521" s="50">
        <f>+テーブル1[[#This Row],[合計金額]]*テーブル1[[#This Row],[自社報酬率％]]/100</f>
        <v>1200</v>
      </c>
    </row>
    <row r="4522" spans="1:18">
      <c r="A4522" s="7">
        <v>45931</v>
      </c>
      <c r="B4522" t="s">
        <v>43</v>
      </c>
      <c r="C4522" s="18" t="s">
        <v>1962</v>
      </c>
      <c r="D4522" s="41">
        <v>50</v>
      </c>
      <c r="E4522" s="41">
        <v>50</v>
      </c>
      <c r="F4522" s="18" t="s">
        <v>20</v>
      </c>
      <c r="G4522" s="28">
        <v>45931</v>
      </c>
      <c r="H4522" s="26" t="s">
        <v>2541</v>
      </c>
      <c r="I4522" s="49">
        <v>48900</v>
      </c>
      <c r="J4522" s="24">
        <v>27</v>
      </c>
      <c r="K4522" s="24"/>
      <c r="L4522" s="91">
        <v>0</v>
      </c>
      <c r="M4522" s="24"/>
      <c r="N4522" s="12">
        <f t="shared" si="177"/>
        <v>27</v>
      </c>
      <c r="O4522" s="11">
        <f t="shared" si="178"/>
        <v>1320300</v>
      </c>
      <c r="P4522" s="10">
        <v>1215</v>
      </c>
      <c r="Q4522" s="10" t="s">
        <v>1935</v>
      </c>
      <c r="R4522" s="50">
        <f>+テーブル1[[#This Row],[合計金額]]*テーブル1[[#This Row],[自社報酬率％]]/100</f>
        <v>660150</v>
      </c>
    </row>
    <row r="4523" spans="1:18">
      <c r="A4523" s="7">
        <v>45931</v>
      </c>
      <c r="B4523" t="s">
        <v>43</v>
      </c>
      <c r="C4523" s="18" t="s">
        <v>1962</v>
      </c>
      <c r="D4523" s="41">
        <v>50</v>
      </c>
      <c r="E4523" s="41">
        <v>50</v>
      </c>
      <c r="F4523" s="18" t="s">
        <v>20</v>
      </c>
      <c r="G4523" s="28">
        <v>45931</v>
      </c>
      <c r="H4523" s="26" t="s">
        <v>2326</v>
      </c>
      <c r="I4523" s="49">
        <v>9780</v>
      </c>
      <c r="J4523" s="24">
        <v>1</v>
      </c>
      <c r="K4523" s="24"/>
      <c r="L4523" s="91">
        <v>0</v>
      </c>
      <c r="M4523" s="24"/>
      <c r="N4523" s="12">
        <f t="shared" si="177"/>
        <v>1</v>
      </c>
      <c r="O4523" s="11">
        <f t="shared" si="178"/>
        <v>9780</v>
      </c>
      <c r="P4523" s="10">
        <v>1216</v>
      </c>
      <c r="Q4523" s="10" t="s">
        <v>1935</v>
      </c>
      <c r="R4523" s="50">
        <f>+テーブル1[[#This Row],[合計金額]]*テーブル1[[#This Row],[自社報酬率％]]/100</f>
        <v>4890</v>
      </c>
    </row>
    <row r="4524" spans="1:18">
      <c r="A4524" s="7">
        <v>45931</v>
      </c>
      <c r="B4524" t="s">
        <v>43</v>
      </c>
      <c r="C4524" s="18" t="s">
        <v>1962</v>
      </c>
      <c r="D4524" s="41">
        <v>50</v>
      </c>
      <c r="E4524" s="41">
        <v>50</v>
      </c>
      <c r="F4524" s="18" t="s">
        <v>20</v>
      </c>
      <c r="G4524" s="28">
        <v>45931</v>
      </c>
      <c r="H4524" s="26" t="s">
        <v>2440</v>
      </c>
      <c r="I4524" s="49">
        <v>9780</v>
      </c>
      <c r="J4524" s="24">
        <v>5</v>
      </c>
      <c r="K4524" s="24"/>
      <c r="L4524" s="91">
        <v>0</v>
      </c>
      <c r="M4524" s="24"/>
      <c r="N4524" s="12">
        <f t="shared" si="177"/>
        <v>5</v>
      </c>
      <c r="O4524" s="11">
        <f t="shared" si="178"/>
        <v>48900</v>
      </c>
      <c r="P4524" s="10">
        <v>1217</v>
      </c>
      <c r="Q4524" s="10" t="s">
        <v>1935</v>
      </c>
      <c r="R4524" s="50">
        <f>+テーブル1[[#This Row],[合計金額]]*テーブル1[[#This Row],[自社報酬率％]]/100</f>
        <v>24450</v>
      </c>
    </row>
    <row r="4525" spans="1:18">
      <c r="A4525" s="7">
        <v>45931</v>
      </c>
      <c r="B4525" t="s">
        <v>43</v>
      </c>
      <c r="C4525" s="18" t="s">
        <v>1962</v>
      </c>
      <c r="D4525" s="41">
        <v>50</v>
      </c>
      <c r="E4525" s="41">
        <v>50</v>
      </c>
      <c r="F4525" s="18" t="s">
        <v>20</v>
      </c>
      <c r="G4525" s="28">
        <v>45931</v>
      </c>
      <c r="H4525" s="26" t="s">
        <v>2171</v>
      </c>
      <c r="I4525" s="49">
        <v>8294</v>
      </c>
      <c r="J4525" s="24">
        <v>4</v>
      </c>
      <c r="K4525" s="24"/>
      <c r="L4525" s="91">
        <v>0</v>
      </c>
      <c r="M4525" s="24"/>
      <c r="N4525" s="12">
        <f t="shared" si="177"/>
        <v>4</v>
      </c>
      <c r="O4525" s="11">
        <f t="shared" si="178"/>
        <v>33176</v>
      </c>
      <c r="P4525" s="10">
        <v>1218</v>
      </c>
      <c r="Q4525" s="10" t="s">
        <v>1935</v>
      </c>
      <c r="R4525" s="50">
        <f>+テーブル1[[#This Row],[合計金額]]*テーブル1[[#This Row],[自社報酬率％]]/100</f>
        <v>16588</v>
      </c>
    </row>
    <row r="4526" spans="1:18">
      <c r="A4526" s="7">
        <v>45931</v>
      </c>
      <c r="B4526" t="s">
        <v>43</v>
      </c>
      <c r="C4526" s="18" t="s">
        <v>1962</v>
      </c>
      <c r="D4526" s="41">
        <v>50</v>
      </c>
      <c r="E4526" s="41">
        <v>50</v>
      </c>
      <c r="F4526" s="18" t="s">
        <v>20</v>
      </c>
      <c r="G4526" s="28">
        <v>45931</v>
      </c>
      <c r="H4526" s="26" t="s">
        <v>2543</v>
      </c>
      <c r="I4526" s="49">
        <v>9800</v>
      </c>
      <c r="J4526" s="24">
        <v>1</v>
      </c>
      <c r="K4526" s="24"/>
      <c r="L4526" s="91">
        <v>0</v>
      </c>
      <c r="M4526" s="24"/>
      <c r="N4526" s="12">
        <f t="shared" si="177"/>
        <v>1</v>
      </c>
      <c r="O4526" s="11">
        <f t="shared" si="178"/>
        <v>9800</v>
      </c>
      <c r="P4526" s="10">
        <v>1219</v>
      </c>
      <c r="Q4526" s="10" t="s">
        <v>1935</v>
      </c>
      <c r="R4526" s="50">
        <f>+テーブル1[[#This Row],[合計金額]]*テーブル1[[#This Row],[自社報酬率％]]/100</f>
        <v>4900</v>
      </c>
    </row>
    <row r="4527" spans="1:18">
      <c r="A4527" s="7">
        <v>45931</v>
      </c>
      <c r="B4527" t="s">
        <v>43</v>
      </c>
      <c r="C4527" s="18" t="s">
        <v>1962</v>
      </c>
      <c r="D4527" s="41">
        <v>50</v>
      </c>
      <c r="E4527" s="41">
        <v>50</v>
      </c>
      <c r="F4527" s="18" t="s">
        <v>20</v>
      </c>
      <c r="G4527" s="28">
        <v>45931</v>
      </c>
      <c r="H4527" s="26" t="s">
        <v>2544</v>
      </c>
      <c r="I4527" s="49">
        <v>9780</v>
      </c>
      <c r="J4527" s="24">
        <v>15</v>
      </c>
      <c r="K4527" s="24"/>
      <c r="L4527" s="91">
        <v>0</v>
      </c>
      <c r="M4527" s="24"/>
      <c r="N4527" s="12">
        <f t="shared" si="177"/>
        <v>15</v>
      </c>
      <c r="O4527" s="11">
        <f t="shared" si="178"/>
        <v>146700</v>
      </c>
      <c r="P4527" s="10">
        <v>1220</v>
      </c>
      <c r="Q4527" s="10" t="s">
        <v>1935</v>
      </c>
      <c r="R4527" s="50">
        <f>+テーブル1[[#This Row],[合計金額]]*テーブル1[[#This Row],[自社報酬率％]]/100</f>
        <v>73350</v>
      </c>
    </row>
    <row r="4528" spans="1:18">
      <c r="A4528" s="7">
        <v>45931</v>
      </c>
      <c r="B4528" t="s">
        <v>43</v>
      </c>
      <c r="C4528" s="79" t="s">
        <v>1962</v>
      </c>
      <c r="D4528" s="41">
        <v>55</v>
      </c>
      <c r="E4528" s="41">
        <v>45</v>
      </c>
      <c r="F4528" s="72" t="s">
        <v>18</v>
      </c>
      <c r="G4528" s="85">
        <v>45962</v>
      </c>
      <c r="H4528" s="26" t="s">
        <v>228</v>
      </c>
      <c r="I4528" s="49">
        <v>19800</v>
      </c>
      <c r="J4528" s="73">
        <v>15</v>
      </c>
      <c r="K4528" s="24"/>
      <c r="L4528" s="90">
        <v>0</v>
      </c>
      <c r="M4528" s="24"/>
      <c r="N4528" s="93">
        <f t="shared" si="177"/>
        <v>15</v>
      </c>
      <c r="O4528" s="11">
        <f t="shared" si="178"/>
        <v>297000</v>
      </c>
      <c r="P4528" s="10">
        <v>1221</v>
      </c>
      <c r="Q4528" s="10" t="s">
        <v>1935</v>
      </c>
      <c r="R4528" s="50">
        <f>+テーブル1[[#This Row],[合計金額]]*テーブル1[[#This Row],[自社報酬率％]]/100</f>
        <v>133650</v>
      </c>
    </row>
    <row r="4529" spans="1:18">
      <c r="A4529" s="7">
        <v>45931</v>
      </c>
      <c r="B4529" t="s">
        <v>43</v>
      </c>
      <c r="C4529" s="80" t="s">
        <v>1962</v>
      </c>
      <c r="D4529" s="41">
        <v>55</v>
      </c>
      <c r="E4529" s="41">
        <v>45</v>
      </c>
      <c r="F4529" s="101" t="s">
        <v>18</v>
      </c>
      <c r="G4529" s="102">
        <v>45992</v>
      </c>
      <c r="H4529" s="26" t="s">
        <v>3009</v>
      </c>
      <c r="I4529" s="49">
        <v>19800</v>
      </c>
      <c r="J4529" s="24">
        <v>15</v>
      </c>
      <c r="K4529" s="24"/>
      <c r="L4529" s="91">
        <v>0</v>
      </c>
      <c r="M4529" s="24"/>
      <c r="N4529" s="94">
        <f t="shared" si="177"/>
        <v>15</v>
      </c>
      <c r="O4529" s="11">
        <f t="shared" si="178"/>
        <v>297000</v>
      </c>
      <c r="P4529" s="10">
        <v>1222</v>
      </c>
      <c r="Q4529" s="10" t="s">
        <v>1928</v>
      </c>
      <c r="R4529" s="50">
        <f>+テーブル1[[#This Row],[合計金額]]*テーブル1[[#This Row],[自社報酬率％]]/100</f>
        <v>133650</v>
      </c>
    </row>
    <row r="4530" spans="1:18">
      <c r="A4530" s="7">
        <v>45931</v>
      </c>
      <c r="B4530" t="s">
        <v>43</v>
      </c>
      <c r="C4530" s="81" t="s">
        <v>1962</v>
      </c>
      <c r="D4530" s="41">
        <v>55</v>
      </c>
      <c r="E4530" s="41">
        <v>45</v>
      </c>
      <c r="F4530" s="76" t="s">
        <v>18</v>
      </c>
      <c r="G4530" s="86">
        <v>46023</v>
      </c>
      <c r="H4530" s="26" t="s">
        <v>258</v>
      </c>
      <c r="I4530" s="49">
        <v>19800</v>
      </c>
      <c r="J4530" s="77">
        <v>15</v>
      </c>
      <c r="K4530" s="24"/>
      <c r="L4530" s="92">
        <v>0</v>
      </c>
      <c r="M4530" s="24"/>
      <c r="N4530" s="95">
        <f t="shared" si="177"/>
        <v>15</v>
      </c>
      <c r="O4530" s="11">
        <f t="shared" si="178"/>
        <v>297000</v>
      </c>
      <c r="P4530" s="10">
        <v>1223</v>
      </c>
      <c r="Q4530" s="10" t="s">
        <v>1928</v>
      </c>
      <c r="R4530" s="50">
        <f>+テーブル1[[#This Row],[合計金額]]*テーブル1[[#This Row],[自社報酬率％]]/100</f>
        <v>133650</v>
      </c>
    </row>
    <row r="4531" spans="1:18">
      <c r="A4531" s="7">
        <v>45931</v>
      </c>
      <c r="B4531" t="s">
        <v>43</v>
      </c>
      <c r="C4531" s="79" t="s">
        <v>1962</v>
      </c>
      <c r="D4531" s="41">
        <v>55</v>
      </c>
      <c r="E4531" s="41">
        <v>45</v>
      </c>
      <c r="F4531" s="72" t="s">
        <v>18</v>
      </c>
      <c r="G4531" s="85">
        <v>45962</v>
      </c>
      <c r="H4531" s="26" t="s">
        <v>229</v>
      </c>
      <c r="I4531" s="49">
        <v>19800</v>
      </c>
      <c r="J4531" s="73">
        <v>2</v>
      </c>
      <c r="K4531" s="24"/>
      <c r="L4531" s="90">
        <v>0</v>
      </c>
      <c r="M4531" s="24"/>
      <c r="N4531" s="93">
        <f t="shared" si="177"/>
        <v>2</v>
      </c>
      <c r="O4531" s="11">
        <f t="shared" si="178"/>
        <v>39600</v>
      </c>
      <c r="P4531" s="10">
        <v>1224</v>
      </c>
      <c r="Q4531" s="10" t="s">
        <v>1935</v>
      </c>
      <c r="R4531" s="50">
        <f>+テーブル1[[#This Row],[合計金額]]*テーブル1[[#This Row],[自社報酬率％]]/100</f>
        <v>17820</v>
      </c>
    </row>
    <row r="4532" spans="1:18">
      <c r="A4532" s="7">
        <v>45931</v>
      </c>
      <c r="B4532" t="s">
        <v>43</v>
      </c>
      <c r="C4532" s="80" t="s">
        <v>1962</v>
      </c>
      <c r="D4532" s="41">
        <v>55</v>
      </c>
      <c r="E4532" s="41">
        <v>45</v>
      </c>
      <c r="F4532" s="101" t="s">
        <v>18</v>
      </c>
      <c r="G4532" s="102">
        <v>45992</v>
      </c>
      <c r="H4532" s="26" t="s">
        <v>3010</v>
      </c>
      <c r="I4532" s="49">
        <v>19800</v>
      </c>
      <c r="J4532" s="24">
        <v>2</v>
      </c>
      <c r="K4532" s="24"/>
      <c r="L4532" s="91">
        <v>0</v>
      </c>
      <c r="M4532" s="24"/>
      <c r="N4532" s="94">
        <f t="shared" si="177"/>
        <v>2</v>
      </c>
      <c r="O4532" s="11">
        <f t="shared" si="178"/>
        <v>39600</v>
      </c>
      <c r="P4532" s="10">
        <v>1225</v>
      </c>
      <c r="Q4532" s="10" t="s">
        <v>1928</v>
      </c>
      <c r="R4532" s="50">
        <f>+テーブル1[[#This Row],[合計金額]]*テーブル1[[#This Row],[自社報酬率％]]/100</f>
        <v>17820</v>
      </c>
    </row>
    <row r="4533" spans="1:18">
      <c r="A4533" s="7">
        <v>45931</v>
      </c>
      <c r="B4533" t="s">
        <v>43</v>
      </c>
      <c r="C4533" s="81" t="s">
        <v>1962</v>
      </c>
      <c r="D4533" s="41">
        <v>55</v>
      </c>
      <c r="E4533" s="41">
        <v>45</v>
      </c>
      <c r="F4533" s="76" t="s">
        <v>18</v>
      </c>
      <c r="G4533" s="86">
        <v>46023</v>
      </c>
      <c r="H4533" s="26" t="s">
        <v>245</v>
      </c>
      <c r="I4533" s="49">
        <v>19800</v>
      </c>
      <c r="J4533" s="77">
        <v>2</v>
      </c>
      <c r="K4533" s="24"/>
      <c r="L4533" s="92">
        <v>0</v>
      </c>
      <c r="M4533" s="24"/>
      <c r="N4533" s="95">
        <f t="shared" si="177"/>
        <v>2</v>
      </c>
      <c r="O4533" s="11">
        <f t="shared" si="178"/>
        <v>39600</v>
      </c>
      <c r="P4533" s="10">
        <v>1226</v>
      </c>
      <c r="Q4533" s="10" t="s">
        <v>1928</v>
      </c>
      <c r="R4533" s="50">
        <f>+テーブル1[[#This Row],[合計金額]]*テーブル1[[#This Row],[自社報酬率％]]/100</f>
        <v>17820</v>
      </c>
    </row>
    <row r="4534" spans="1:18">
      <c r="A4534" s="7">
        <v>45931</v>
      </c>
      <c r="B4534" t="s">
        <v>43</v>
      </c>
      <c r="C4534" s="79" t="s">
        <v>1962</v>
      </c>
      <c r="D4534" s="41">
        <v>55</v>
      </c>
      <c r="E4534" s="41">
        <v>45</v>
      </c>
      <c r="F4534" s="72" t="s">
        <v>19</v>
      </c>
      <c r="G4534" s="85">
        <v>45962</v>
      </c>
      <c r="H4534" s="26" t="s">
        <v>231</v>
      </c>
      <c r="I4534" s="49">
        <v>19050</v>
      </c>
      <c r="J4534" s="73">
        <v>91</v>
      </c>
      <c r="K4534" s="24"/>
      <c r="L4534" s="90">
        <v>0</v>
      </c>
      <c r="M4534" s="24"/>
      <c r="N4534" s="93">
        <f t="shared" si="177"/>
        <v>91</v>
      </c>
      <c r="O4534" s="11">
        <f t="shared" si="178"/>
        <v>1733550</v>
      </c>
      <c r="P4534" s="10">
        <v>1227</v>
      </c>
      <c r="Q4534" s="10" t="s">
        <v>1935</v>
      </c>
      <c r="R4534" s="50">
        <f>+テーブル1[[#This Row],[合計金額]]*テーブル1[[#This Row],[自社報酬率％]]/100</f>
        <v>780097.5</v>
      </c>
    </row>
    <row r="4535" spans="1:18">
      <c r="A4535" s="7">
        <v>45931</v>
      </c>
      <c r="B4535" t="s">
        <v>43</v>
      </c>
      <c r="C4535" s="80" t="s">
        <v>1962</v>
      </c>
      <c r="D4535" s="41">
        <v>55</v>
      </c>
      <c r="E4535" s="41">
        <v>45</v>
      </c>
      <c r="F4535" s="101" t="s">
        <v>19</v>
      </c>
      <c r="G4535" s="102">
        <v>45992</v>
      </c>
      <c r="H4535" s="26" t="s">
        <v>3011</v>
      </c>
      <c r="I4535" s="49">
        <v>19050</v>
      </c>
      <c r="J4535" s="24">
        <v>91</v>
      </c>
      <c r="K4535" s="24"/>
      <c r="L4535" s="91">
        <v>0</v>
      </c>
      <c r="M4535" s="24"/>
      <c r="N4535" s="94">
        <f t="shared" si="177"/>
        <v>91</v>
      </c>
      <c r="O4535" s="11">
        <f t="shared" si="178"/>
        <v>1733550</v>
      </c>
      <c r="P4535" s="10">
        <v>1228</v>
      </c>
      <c r="Q4535" s="10" t="s">
        <v>1928</v>
      </c>
      <c r="R4535" s="50">
        <f>+テーブル1[[#This Row],[合計金額]]*テーブル1[[#This Row],[自社報酬率％]]/100</f>
        <v>780097.5</v>
      </c>
    </row>
    <row r="4536" spans="1:18">
      <c r="A4536" s="7">
        <v>45931</v>
      </c>
      <c r="B4536" t="s">
        <v>43</v>
      </c>
      <c r="C4536" s="80" t="s">
        <v>1962</v>
      </c>
      <c r="D4536" s="41">
        <v>55</v>
      </c>
      <c r="E4536" s="41">
        <v>45</v>
      </c>
      <c r="F4536" s="101" t="s">
        <v>19</v>
      </c>
      <c r="G4536" s="102">
        <v>46023</v>
      </c>
      <c r="H4536" s="26" t="s">
        <v>240</v>
      </c>
      <c r="I4536" s="49">
        <v>19050</v>
      </c>
      <c r="J4536" s="24">
        <v>91</v>
      </c>
      <c r="K4536" s="24"/>
      <c r="L4536" s="91">
        <v>0</v>
      </c>
      <c r="M4536" s="24"/>
      <c r="N4536" s="94">
        <f t="shared" si="177"/>
        <v>91</v>
      </c>
      <c r="O4536" s="11">
        <f t="shared" si="178"/>
        <v>1733550</v>
      </c>
      <c r="P4536" s="10">
        <v>1229</v>
      </c>
      <c r="Q4536" s="10" t="s">
        <v>1928</v>
      </c>
      <c r="R4536" s="50">
        <f>+テーブル1[[#This Row],[合計金額]]*テーブル1[[#This Row],[自社報酬率％]]/100</f>
        <v>780097.5</v>
      </c>
    </row>
    <row r="4537" spans="1:18">
      <c r="A4537" s="7">
        <v>45931</v>
      </c>
      <c r="B4537" t="s">
        <v>43</v>
      </c>
      <c r="C4537" s="80" t="s">
        <v>1962</v>
      </c>
      <c r="D4537" s="41">
        <v>55</v>
      </c>
      <c r="E4537" s="41">
        <v>45</v>
      </c>
      <c r="F4537" s="101" t="s">
        <v>19</v>
      </c>
      <c r="G4537" s="102">
        <v>46054</v>
      </c>
      <c r="H4537" s="26" t="s">
        <v>3012</v>
      </c>
      <c r="I4537" s="49">
        <v>19050</v>
      </c>
      <c r="J4537" s="24">
        <v>91</v>
      </c>
      <c r="K4537" s="24"/>
      <c r="L4537" s="91">
        <v>0</v>
      </c>
      <c r="M4537" s="24"/>
      <c r="N4537" s="94">
        <f t="shared" si="177"/>
        <v>91</v>
      </c>
      <c r="O4537" s="11">
        <f t="shared" si="178"/>
        <v>1733550</v>
      </c>
      <c r="P4537" s="10">
        <v>1230</v>
      </c>
      <c r="Q4537" s="10" t="s">
        <v>1928</v>
      </c>
      <c r="R4537" s="50">
        <f>+テーブル1[[#This Row],[合計金額]]*テーブル1[[#This Row],[自社報酬率％]]/100</f>
        <v>780097.5</v>
      </c>
    </row>
    <row r="4538" spans="1:18">
      <c r="A4538" s="7">
        <v>45931</v>
      </c>
      <c r="B4538" t="s">
        <v>43</v>
      </c>
      <c r="C4538" s="80" t="s">
        <v>1962</v>
      </c>
      <c r="D4538" s="41">
        <v>55</v>
      </c>
      <c r="E4538" s="41">
        <v>45</v>
      </c>
      <c r="F4538" s="101" t="s">
        <v>19</v>
      </c>
      <c r="G4538" s="102">
        <v>46082</v>
      </c>
      <c r="H4538" s="26" t="s">
        <v>3013</v>
      </c>
      <c r="I4538" s="49">
        <v>19050</v>
      </c>
      <c r="J4538" s="24">
        <v>91</v>
      </c>
      <c r="K4538" s="24"/>
      <c r="L4538" s="91">
        <v>0</v>
      </c>
      <c r="M4538" s="24"/>
      <c r="N4538" s="94">
        <f t="shared" si="177"/>
        <v>91</v>
      </c>
      <c r="O4538" s="11">
        <f t="shared" si="178"/>
        <v>1733550</v>
      </c>
      <c r="P4538" s="10">
        <v>1231</v>
      </c>
      <c r="Q4538" s="10" t="s">
        <v>1928</v>
      </c>
      <c r="R4538" s="50">
        <f>+テーブル1[[#This Row],[合計金額]]*テーブル1[[#This Row],[自社報酬率％]]/100</f>
        <v>780097.5</v>
      </c>
    </row>
    <row r="4539" spans="1:18">
      <c r="A4539" s="7">
        <v>45931</v>
      </c>
      <c r="B4539" t="s">
        <v>43</v>
      </c>
      <c r="C4539" s="81" t="s">
        <v>1962</v>
      </c>
      <c r="D4539" s="41">
        <v>55</v>
      </c>
      <c r="E4539" s="41">
        <v>45</v>
      </c>
      <c r="F4539" s="76" t="s">
        <v>19</v>
      </c>
      <c r="G4539" s="86">
        <v>46113</v>
      </c>
      <c r="H4539" s="26" t="s">
        <v>3014</v>
      </c>
      <c r="I4539" s="49">
        <v>19050</v>
      </c>
      <c r="J4539" s="77">
        <v>91</v>
      </c>
      <c r="K4539" s="24"/>
      <c r="L4539" s="92">
        <v>0</v>
      </c>
      <c r="M4539" s="24"/>
      <c r="N4539" s="95">
        <f t="shared" ref="N4539:N4588" si="179">J4539-L4539</f>
        <v>91</v>
      </c>
      <c r="O4539" s="11">
        <f t="shared" si="178"/>
        <v>1733550</v>
      </c>
      <c r="P4539" s="10">
        <v>1232</v>
      </c>
      <c r="Q4539" s="10" t="s">
        <v>1928</v>
      </c>
      <c r="R4539" s="50">
        <f>+テーブル1[[#This Row],[合計金額]]*テーブル1[[#This Row],[自社報酬率％]]/100</f>
        <v>780097.5</v>
      </c>
    </row>
    <row r="4540" spans="1:18">
      <c r="A4540" s="7">
        <v>45931</v>
      </c>
      <c r="B4540" t="s">
        <v>43</v>
      </c>
      <c r="C4540" s="71" t="s">
        <v>1962</v>
      </c>
      <c r="D4540" s="41">
        <v>55</v>
      </c>
      <c r="E4540" s="41">
        <v>45</v>
      </c>
      <c r="F4540" s="112" t="s">
        <v>19</v>
      </c>
      <c r="G4540" s="124">
        <v>45931</v>
      </c>
      <c r="H4540" s="26" t="s">
        <v>3015</v>
      </c>
      <c r="I4540" s="49">
        <v>19050</v>
      </c>
      <c r="J4540" s="73">
        <v>1</v>
      </c>
      <c r="K4540" s="24"/>
      <c r="L4540" s="90">
        <v>0</v>
      </c>
      <c r="M4540" s="24"/>
      <c r="N4540" s="93">
        <f t="shared" si="179"/>
        <v>1</v>
      </c>
      <c r="O4540" s="11">
        <f t="shared" si="178"/>
        <v>19050</v>
      </c>
      <c r="P4540" s="10">
        <v>1233</v>
      </c>
      <c r="Q4540" s="10" t="s">
        <v>1935</v>
      </c>
      <c r="R4540" s="50">
        <f>+テーブル1[[#This Row],[合計金額]]*テーブル1[[#This Row],[自社報酬率％]]/100</f>
        <v>8572.5</v>
      </c>
    </row>
    <row r="4541" spans="1:18">
      <c r="A4541" s="7">
        <v>45931</v>
      </c>
      <c r="B4541" t="s">
        <v>43</v>
      </c>
      <c r="C4541" s="80" t="s">
        <v>1962</v>
      </c>
      <c r="D4541" s="41">
        <v>55</v>
      </c>
      <c r="E4541" s="41">
        <v>45</v>
      </c>
      <c r="F4541" s="101" t="s">
        <v>19</v>
      </c>
      <c r="G4541" s="102">
        <v>45962</v>
      </c>
      <c r="H4541" s="26" t="s">
        <v>3016</v>
      </c>
      <c r="I4541" s="49">
        <v>19050</v>
      </c>
      <c r="J4541" s="24">
        <v>1</v>
      </c>
      <c r="K4541" s="24"/>
      <c r="L4541" s="91">
        <v>0</v>
      </c>
      <c r="M4541" s="24"/>
      <c r="N4541" s="94">
        <f t="shared" si="179"/>
        <v>1</v>
      </c>
      <c r="O4541" s="11">
        <f t="shared" si="178"/>
        <v>19050</v>
      </c>
      <c r="P4541" s="10">
        <v>1234</v>
      </c>
      <c r="Q4541" s="10" t="s">
        <v>1935</v>
      </c>
      <c r="R4541" s="50">
        <f>+テーブル1[[#This Row],[合計金額]]*テーブル1[[#This Row],[自社報酬率％]]/100</f>
        <v>8572.5</v>
      </c>
    </row>
    <row r="4542" spans="1:18">
      <c r="A4542" s="7">
        <v>45931</v>
      </c>
      <c r="B4542" t="s">
        <v>43</v>
      </c>
      <c r="C4542" s="80" t="s">
        <v>1962</v>
      </c>
      <c r="D4542" s="41">
        <v>55</v>
      </c>
      <c r="E4542" s="41">
        <v>45</v>
      </c>
      <c r="F4542" s="101" t="s">
        <v>19</v>
      </c>
      <c r="G4542" s="102">
        <v>45992</v>
      </c>
      <c r="H4542" s="26" t="s">
        <v>3017</v>
      </c>
      <c r="I4542" s="49">
        <v>19050</v>
      </c>
      <c r="J4542" s="24">
        <v>1</v>
      </c>
      <c r="K4542" s="24"/>
      <c r="L4542" s="91">
        <v>0</v>
      </c>
      <c r="M4542" s="24"/>
      <c r="N4542" s="94">
        <f t="shared" si="179"/>
        <v>1</v>
      </c>
      <c r="O4542" s="11">
        <f t="shared" si="178"/>
        <v>19050</v>
      </c>
      <c r="P4542" s="10">
        <v>1235</v>
      </c>
      <c r="Q4542" s="10" t="s">
        <v>1928</v>
      </c>
      <c r="R4542" s="50">
        <f>+テーブル1[[#This Row],[合計金額]]*テーブル1[[#This Row],[自社報酬率％]]/100</f>
        <v>8572.5</v>
      </c>
    </row>
    <row r="4543" spans="1:18">
      <c r="A4543" s="7">
        <v>45931</v>
      </c>
      <c r="B4543" t="s">
        <v>43</v>
      </c>
      <c r="C4543" s="80" t="s">
        <v>1962</v>
      </c>
      <c r="D4543" s="41">
        <v>55</v>
      </c>
      <c r="E4543" s="41">
        <v>45</v>
      </c>
      <c r="F4543" s="101" t="s">
        <v>19</v>
      </c>
      <c r="G4543" s="102">
        <v>46023</v>
      </c>
      <c r="H4543" s="26" t="s">
        <v>3018</v>
      </c>
      <c r="I4543" s="49">
        <v>19050</v>
      </c>
      <c r="J4543" s="24">
        <v>1</v>
      </c>
      <c r="K4543" s="24"/>
      <c r="L4543" s="91">
        <v>0</v>
      </c>
      <c r="M4543" s="24"/>
      <c r="N4543" s="94">
        <f t="shared" si="179"/>
        <v>1</v>
      </c>
      <c r="O4543" s="11">
        <f t="shared" si="178"/>
        <v>19050</v>
      </c>
      <c r="P4543" s="10">
        <v>1236</v>
      </c>
      <c r="Q4543" s="10" t="s">
        <v>1928</v>
      </c>
      <c r="R4543" s="50">
        <f>+テーブル1[[#This Row],[合計金額]]*テーブル1[[#This Row],[自社報酬率％]]/100</f>
        <v>8572.5</v>
      </c>
    </row>
    <row r="4544" spans="1:18">
      <c r="A4544" s="7">
        <v>45931</v>
      </c>
      <c r="B4544" t="s">
        <v>43</v>
      </c>
      <c r="C4544" s="80" t="s">
        <v>1962</v>
      </c>
      <c r="D4544" s="41">
        <v>55</v>
      </c>
      <c r="E4544" s="41">
        <v>45</v>
      </c>
      <c r="F4544" s="101" t="s">
        <v>19</v>
      </c>
      <c r="G4544" s="102">
        <v>46054</v>
      </c>
      <c r="H4544" s="26" t="s">
        <v>3019</v>
      </c>
      <c r="I4544" s="49">
        <v>19050</v>
      </c>
      <c r="J4544" s="24">
        <v>1</v>
      </c>
      <c r="K4544" s="24"/>
      <c r="L4544" s="91">
        <v>0</v>
      </c>
      <c r="M4544" s="24"/>
      <c r="N4544" s="94">
        <f t="shared" si="179"/>
        <v>1</v>
      </c>
      <c r="O4544" s="11">
        <f t="shared" si="178"/>
        <v>19050</v>
      </c>
      <c r="P4544" s="10">
        <v>1237</v>
      </c>
      <c r="Q4544" s="10" t="s">
        <v>1928</v>
      </c>
      <c r="R4544" s="50">
        <f>+テーブル1[[#This Row],[合計金額]]*テーブル1[[#This Row],[自社報酬率％]]/100</f>
        <v>8572.5</v>
      </c>
    </row>
    <row r="4545" spans="1:18">
      <c r="A4545" s="7">
        <v>45931</v>
      </c>
      <c r="B4545" t="s">
        <v>43</v>
      </c>
      <c r="C4545" s="81" t="s">
        <v>1962</v>
      </c>
      <c r="D4545" s="41">
        <v>55</v>
      </c>
      <c r="E4545" s="41">
        <v>45</v>
      </c>
      <c r="F4545" s="76" t="s">
        <v>19</v>
      </c>
      <c r="G4545" s="86">
        <v>46082</v>
      </c>
      <c r="H4545" s="26" t="s">
        <v>3020</v>
      </c>
      <c r="I4545" s="49">
        <v>19050</v>
      </c>
      <c r="J4545" s="77">
        <v>1</v>
      </c>
      <c r="K4545" s="24"/>
      <c r="L4545" s="92">
        <v>0</v>
      </c>
      <c r="M4545" s="24"/>
      <c r="N4545" s="95">
        <f t="shared" si="179"/>
        <v>1</v>
      </c>
      <c r="O4545" s="11">
        <f t="shared" si="178"/>
        <v>19050</v>
      </c>
      <c r="P4545" s="10">
        <v>1238</v>
      </c>
      <c r="Q4545" s="10" t="s">
        <v>1928</v>
      </c>
      <c r="R4545" s="50">
        <f>+テーブル1[[#This Row],[合計金額]]*テーブル1[[#This Row],[自社報酬率％]]/100</f>
        <v>8572.5</v>
      </c>
    </row>
    <row r="4546" spans="1:18">
      <c r="A4546" s="7">
        <v>45931</v>
      </c>
      <c r="B4546" t="s">
        <v>43</v>
      </c>
      <c r="C4546" s="79" t="s">
        <v>1962</v>
      </c>
      <c r="D4546" s="41">
        <v>55</v>
      </c>
      <c r="E4546" s="41">
        <v>45</v>
      </c>
      <c r="F4546" s="72" t="s">
        <v>19</v>
      </c>
      <c r="G4546" s="85">
        <v>45962</v>
      </c>
      <c r="H4546" s="26" t="s">
        <v>235</v>
      </c>
      <c r="I4546" s="49">
        <v>19050</v>
      </c>
      <c r="J4546" s="73">
        <v>5</v>
      </c>
      <c r="K4546" s="24"/>
      <c r="L4546" s="90">
        <v>0</v>
      </c>
      <c r="M4546" s="24"/>
      <c r="N4546" s="93">
        <f t="shared" si="179"/>
        <v>5</v>
      </c>
      <c r="O4546" s="11">
        <f t="shared" si="178"/>
        <v>95250</v>
      </c>
      <c r="P4546" s="10">
        <v>1239</v>
      </c>
      <c r="Q4546" s="10" t="s">
        <v>1935</v>
      </c>
      <c r="R4546" s="50">
        <f>+テーブル1[[#This Row],[合計金額]]*テーブル1[[#This Row],[自社報酬率％]]/100</f>
        <v>42862.5</v>
      </c>
    </row>
    <row r="4547" spans="1:18">
      <c r="A4547" s="7">
        <v>45931</v>
      </c>
      <c r="B4547" t="s">
        <v>43</v>
      </c>
      <c r="C4547" s="80" t="s">
        <v>1962</v>
      </c>
      <c r="D4547" s="41">
        <v>55</v>
      </c>
      <c r="E4547" s="41">
        <v>45</v>
      </c>
      <c r="F4547" s="101" t="s">
        <v>19</v>
      </c>
      <c r="G4547" s="102">
        <v>45992</v>
      </c>
      <c r="H4547" s="26" t="s">
        <v>3021</v>
      </c>
      <c r="I4547" s="49">
        <v>19050</v>
      </c>
      <c r="J4547" s="24">
        <v>5</v>
      </c>
      <c r="K4547" s="24"/>
      <c r="L4547" s="91">
        <v>0</v>
      </c>
      <c r="M4547" s="24"/>
      <c r="N4547" s="94">
        <f t="shared" si="179"/>
        <v>5</v>
      </c>
      <c r="O4547" s="11">
        <f t="shared" si="178"/>
        <v>95250</v>
      </c>
      <c r="P4547" s="10">
        <v>1240</v>
      </c>
      <c r="Q4547" s="10" t="s">
        <v>1928</v>
      </c>
      <c r="R4547" s="50">
        <f>+テーブル1[[#This Row],[合計金額]]*テーブル1[[#This Row],[自社報酬率％]]/100</f>
        <v>42862.5</v>
      </c>
    </row>
    <row r="4548" spans="1:18">
      <c r="A4548" s="7">
        <v>45931</v>
      </c>
      <c r="B4548" t="s">
        <v>43</v>
      </c>
      <c r="C4548" s="80" t="s">
        <v>1962</v>
      </c>
      <c r="D4548" s="41">
        <v>55</v>
      </c>
      <c r="E4548" s="41">
        <v>45</v>
      </c>
      <c r="F4548" s="101" t="s">
        <v>19</v>
      </c>
      <c r="G4548" s="102">
        <v>46023</v>
      </c>
      <c r="H4548" s="26" t="s">
        <v>236</v>
      </c>
      <c r="I4548" s="49">
        <v>19050</v>
      </c>
      <c r="J4548" s="24">
        <v>5</v>
      </c>
      <c r="K4548" s="24"/>
      <c r="L4548" s="91">
        <v>0</v>
      </c>
      <c r="M4548" s="24"/>
      <c r="N4548" s="94">
        <f t="shared" si="179"/>
        <v>5</v>
      </c>
      <c r="O4548" s="11">
        <f t="shared" si="178"/>
        <v>95250</v>
      </c>
      <c r="P4548" s="10">
        <v>1241</v>
      </c>
      <c r="Q4548" s="10" t="s">
        <v>1928</v>
      </c>
      <c r="R4548" s="50">
        <f>+テーブル1[[#This Row],[合計金額]]*テーブル1[[#This Row],[自社報酬率％]]/100</f>
        <v>42862.5</v>
      </c>
    </row>
    <row r="4549" spans="1:18">
      <c r="A4549" s="7">
        <v>45931</v>
      </c>
      <c r="B4549" t="s">
        <v>43</v>
      </c>
      <c r="C4549" s="80" t="s">
        <v>1962</v>
      </c>
      <c r="D4549" s="41">
        <v>55</v>
      </c>
      <c r="E4549" s="41">
        <v>45</v>
      </c>
      <c r="F4549" s="101" t="s">
        <v>19</v>
      </c>
      <c r="G4549" s="102">
        <v>46054</v>
      </c>
      <c r="H4549" s="26" t="s">
        <v>3022</v>
      </c>
      <c r="I4549" s="49">
        <v>19050</v>
      </c>
      <c r="J4549" s="24">
        <v>5</v>
      </c>
      <c r="K4549" s="24"/>
      <c r="L4549" s="91">
        <v>0</v>
      </c>
      <c r="M4549" s="24"/>
      <c r="N4549" s="94">
        <f t="shared" si="179"/>
        <v>5</v>
      </c>
      <c r="O4549" s="11">
        <f t="shared" si="178"/>
        <v>95250</v>
      </c>
      <c r="P4549" s="10">
        <v>1242</v>
      </c>
      <c r="Q4549" s="10" t="s">
        <v>1928</v>
      </c>
      <c r="R4549" s="50">
        <f>+テーブル1[[#This Row],[合計金額]]*テーブル1[[#This Row],[自社報酬率％]]/100</f>
        <v>42862.5</v>
      </c>
    </row>
    <row r="4550" spans="1:18">
      <c r="A4550" s="7">
        <v>45931</v>
      </c>
      <c r="B4550" t="s">
        <v>43</v>
      </c>
      <c r="C4550" s="80" t="s">
        <v>1962</v>
      </c>
      <c r="D4550" s="41">
        <v>55</v>
      </c>
      <c r="E4550" s="41">
        <v>45</v>
      </c>
      <c r="F4550" s="101" t="s">
        <v>19</v>
      </c>
      <c r="G4550" s="102">
        <v>46082</v>
      </c>
      <c r="H4550" s="26" t="s">
        <v>3023</v>
      </c>
      <c r="I4550" s="49">
        <v>19050</v>
      </c>
      <c r="J4550" s="24">
        <v>5</v>
      </c>
      <c r="K4550" s="24"/>
      <c r="L4550" s="91">
        <v>0</v>
      </c>
      <c r="M4550" s="24"/>
      <c r="N4550" s="94">
        <f t="shared" si="179"/>
        <v>5</v>
      </c>
      <c r="O4550" s="11">
        <f t="shared" si="178"/>
        <v>95250</v>
      </c>
      <c r="P4550" s="10">
        <v>1243</v>
      </c>
      <c r="Q4550" s="10" t="s">
        <v>1928</v>
      </c>
      <c r="R4550" s="50">
        <f>+テーブル1[[#This Row],[合計金額]]*テーブル1[[#This Row],[自社報酬率％]]/100</f>
        <v>42862.5</v>
      </c>
    </row>
    <row r="4551" spans="1:18">
      <c r="A4551" s="7">
        <v>45931</v>
      </c>
      <c r="B4551" t="s">
        <v>43</v>
      </c>
      <c r="C4551" s="81" t="s">
        <v>1962</v>
      </c>
      <c r="D4551" s="41">
        <v>55</v>
      </c>
      <c r="E4551" s="41">
        <v>45</v>
      </c>
      <c r="F4551" s="76" t="s">
        <v>19</v>
      </c>
      <c r="G4551" s="86">
        <v>46113</v>
      </c>
      <c r="H4551" s="26" t="s">
        <v>3024</v>
      </c>
      <c r="I4551" s="49">
        <v>19050</v>
      </c>
      <c r="J4551" s="77">
        <v>5</v>
      </c>
      <c r="K4551" s="24"/>
      <c r="L4551" s="92">
        <v>0</v>
      </c>
      <c r="M4551" s="24"/>
      <c r="N4551" s="95">
        <f t="shared" si="179"/>
        <v>5</v>
      </c>
      <c r="O4551" s="11">
        <f t="shared" si="178"/>
        <v>95250</v>
      </c>
      <c r="P4551" s="10">
        <v>1244</v>
      </c>
      <c r="Q4551" s="10" t="s">
        <v>1928</v>
      </c>
      <c r="R4551" s="50">
        <f>+テーブル1[[#This Row],[合計金額]]*テーブル1[[#This Row],[自社報酬率％]]/100</f>
        <v>42862.5</v>
      </c>
    </row>
    <row r="4552" spans="1:18">
      <c r="A4552" s="7">
        <v>45931</v>
      </c>
      <c r="B4552" t="s">
        <v>43</v>
      </c>
      <c r="C4552" s="101" t="s">
        <v>1962</v>
      </c>
      <c r="D4552" s="41">
        <v>55</v>
      </c>
      <c r="E4552" s="41">
        <v>45</v>
      </c>
      <c r="F4552" s="101" t="s">
        <v>16</v>
      </c>
      <c r="G4552" s="102">
        <v>45962</v>
      </c>
      <c r="H4552" s="26" t="s">
        <v>3025</v>
      </c>
      <c r="I4552" s="49">
        <v>10485</v>
      </c>
      <c r="J4552" s="24">
        <v>52</v>
      </c>
      <c r="K4552" s="24"/>
      <c r="L4552" s="91">
        <v>0</v>
      </c>
      <c r="M4552" s="24"/>
      <c r="N4552" s="12">
        <f t="shared" si="179"/>
        <v>52</v>
      </c>
      <c r="O4552" s="11">
        <f t="shared" si="178"/>
        <v>545220</v>
      </c>
      <c r="P4552" s="10">
        <v>1245</v>
      </c>
      <c r="Q4552" s="10" t="s">
        <v>1935</v>
      </c>
      <c r="R4552" s="50">
        <f>+テーブル1[[#This Row],[合計金額]]*テーブル1[[#This Row],[自社報酬率％]]/100</f>
        <v>245349</v>
      </c>
    </row>
    <row r="4553" spans="1:18">
      <c r="A4553" s="7">
        <v>45931</v>
      </c>
      <c r="B4553" t="s">
        <v>43</v>
      </c>
      <c r="C4553" s="101" t="s">
        <v>1962</v>
      </c>
      <c r="D4553" s="41">
        <v>55</v>
      </c>
      <c r="E4553" s="41">
        <v>45</v>
      </c>
      <c r="F4553" s="101" t="s">
        <v>16</v>
      </c>
      <c r="G4553" s="102">
        <v>45962</v>
      </c>
      <c r="H4553" s="26" t="s">
        <v>3026</v>
      </c>
      <c r="I4553" s="49">
        <v>10485</v>
      </c>
      <c r="J4553" s="24">
        <v>1</v>
      </c>
      <c r="K4553" s="24"/>
      <c r="L4553" s="91">
        <v>0</v>
      </c>
      <c r="M4553" s="24"/>
      <c r="N4553" s="12">
        <f t="shared" si="179"/>
        <v>1</v>
      </c>
      <c r="O4553" s="11">
        <f t="shared" si="178"/>
        <v>10485</v>
      </c>
      <c r="P4553" s="10">
        <v>1246</v>
      </c>
      <c r="Q4553" s="10" t="s">
        <v>1935</v>
      </c>
      <c r="R4553" s="50">
        <f>+テーブル1[[#This Row],[合計金額]]*テーブル1[[#This Row],[自社報酬率％]]/100</f>
        <v>4718.25</v>
      </c>
    </row>
    <row r="4554" spans="1:18">
      <c r="A4554" s="7">
        <v>45931</v>
      </c>
      <c r="B4554" t="s">
        <v>43</v>
      </c>
      <c r="C4554" s="101" t="s">
        <v>1962</v>
      </c>
      <c r="D4554" s="41">
        <v>55</v>
      </c>
      <c r="E4554" s="41">
        <v>45</v>
      </c>
      <c r="F4554" s="101" t="s">
        <v>16</v>
      </c>
      <c r="G4554" s="102">
        <v>45962</v>
      </c>
      <c r="H4554" s="26" t="s">
        <v>3027</v>
      </c>
      <c r="I4554" s="49">
        <v>20970</v>
      </c>
      <c r="J4554" s="24">
        <v>58</v>
      </c>
      <c r="K4554" s="24"/>
      <c r="L4554" s="91">
        <v>0</v>
      </c>
      <c r="M4554" s="24"/>
      <c r="N4554" s="12">
        <f t="shared" si="179"/>
        <v>58</v>
      </c>
      <c r="O4554" s="11">
        <f t="shared" si="178"/>
        <v>1216260</v>
      </c>
      <c r="P4554" s="10">
        <v>1247</v>
      </c>
      <c r="Q4554" s="10" t="s">
        <v>1935</v>
      </c>
      <c r="R4554" s="50">
        <f>+テーブル1[[#This Row],[合計金額]]*テーブル1[[#This Row],[自社報酬率％]]/100</f>
        <v>547317</v>
      </c>
    </row>
    <row r="4555" spans="1:18">
      <c r="A4555" s="7">
        <v>45931</v>
      </c>
      <c r="B4555" t="s">
        <v>43</v>
      </c>
      <c r="C4555" s="101" t="s">
        <v>1962</v>
      </c>
      <c r="D4555" s="41">
        <v>55</v>
      </c>
      <c r="E4555" s="41">
        <v>45</v>
      </c>
      <c r="F4555" s="101" t="s">
        <v>16</v>
      </c>
      <c r="G4555" s="102">
        <v>45962</v>
      </c>
      <c r="H4555" s="26" t="s">
        <v>3028</v>
      </c>
      <c r="I4555" s="49">
        <v>20970</v>
      </c>
      <c r="J4555" s="24">
        <v>1</v>
      </c>
      <c r="K4555" s="24"/>
      <c r="L4555" s="91">
        <v>0</v>
      </c>
      <c r="M4555" s="24"/>
      <c r="N4555" s="12">
        <f t="shared" si="179"/>
        <v>1</v>
      </c>
      <c r="O4555" s="11">
        <f t="shared" si="178"/>
        <v>20970</v>
      </c>
      <c r="P4555" s="10">
        <v>1248</v>
      </c>
      <c r="Q4555" s="10" t="s">
        <v>1935</v>
      </c>
      <c r="R4555" s="50">
        <f>+テーブル1[[#This Row],[合計金額]]*テーブル1[[#This Row],[自社報酬率％]]/100</f>
        <v>9436.5</v>
      </c>
    </row>
    <row r="4556" spans="1:18">
      <c r="A4556" s="7">
        <v>45931</v>
      </c>
      <c r="B4556" t="s">
        <v>43</v>
      </c>
      <c r="C4556" s="101" t="s">
        <v>1962</v>
      </c>
      <c r="D4556" s="41">
        <v>55</v>
      </c>
      <c r="E4556" s="41">
        <v>45</v>
      </c>
      <c r="F4556" s="101" t="s">
        <v>16</v>
      </c>
      <c r="G4556" s="102">
        <v>45962</v>
      </c>
      <c r="H4556" s="26" t="s">
        <v>3029</v>
      </c>
      <c r="I4556" s="49">
        <v>20970</v>
      </c>
      <c r="J4556" s="24">
        <v>2</v>
      </c>
      <c r="K4556" s="24"/>
      <c r="L4556" s="91">
        <v>0</v>
      </c>
      <c r="M4556" s="24"/>
      <c r="N4556" s="12">
        <f t="shared" si="179"/>
        <v>2</v>
      </c>
      <c r="O4556" s="11">
        <f t="shared" si="178"/>
        <v>41940</v>
      </c>
      <c r="P4556" s="10">
        <v>1249</v>
      </c>
      <c r="Q4556" s="10" t="s">
        <v>1935</v>
      </c>
      <c r="R4556" s="50">
        <f>+テーブル1[[#This Row],[合計金額]]*テーブル1[[#This Row],[自社報酬率％]]/100</f>
        <v>18873</v>
      </c>
    </row>
    <row r="4557" spans="1:18">
      <c r="A4557" s="7">
        <v>45931</v>
      </c>
      <c r="B4557" t="s">
        <v>43</v>
      </c>
      <c r="C4557" s="18" t="s">
        <v>1962</v>
      </c>
      <c r="D4557" s="41">
        <v>80</v>
      </c>
      <c r="E4557" s="41">
        <v>20</v>
      </c>
      <c r="F4557" s="18" t="s">
        <v>19</v>
      </c>
      <c r="G4557" s="28">
        <v>45931</v>
      </c>
      <c r="H4557" s="26" t="s">
        <v>1975</v>
      </c>
      <c r="I4557" s="49">
        <v>432300</v>
      </c>
      <c r="J4557" s="24">
        <v>1</v>
      </c>
      <c r="K4557" s="24"/>
      <c r="L4557" s="91">
        <v>0</v>
      </c>
      <c r="M4557" s="24"/>
      <c r="N4557" s="12">
        <f t="shared" si="179"/>
        <v>1</v>
      </c>
      <c r="O4557" s="11">
        <f t="shared" si="178"/>
        <v>432300</v>
      </c>
      <c r="P4557" s="10">
        <v>1250</v>
      </c>
      <c r="Q4557" s="10" t="s">
        <v>1935</v>
      </c>
      <c r="R4557" s="50">
        <f>+テーブル1[[#This Row],[合計金額]]*テーブル1[[#This Row],[自社報酬率％]]/100</f>
        <v>86460</v>
      </c>
    </row>
    <row r="4558" spans="1:18">
      <c r="A4558" s="7">
        <v>45931</v>
      </c>
      <c r="B4558" t="s">
        <v>43</v>
      </c>
      <c r="C4558" s="101" t="s">
        <v>2023</v>
      </c>
      <c r="D4558" s="41">
        <v>50</v>
      </c>
      <c r="E4558" s="41">
        <v>50</v>
      </c>
      <c r="F4558" s="101" t="s">
        <v>16</v>
      </c>
      <c r="G4558" s="102">
        <v>45962</v>
      </c>
      <c r="H4558" s="26" t="s">
        <v>3030</v>
      </c>
      <c r="I4558" s="49">
        <v>3150</v>
      </c>
      <c r="J4558" s="24">
        <v>17</v>
      </c>
      <c r="K4558" s="24"/>
      <c r="L4558" s="91">
        <v>0</v>
      </c>
      <c r="M4558" s="24"/>
      <c r="N4558" s="12">
        <f t="shared" si="179"/>
        <v>17</v>
      </c>
      <c r="O4558" s="11">
        <f t="shared" si="178"/>
        <v>53550</v>
      </c>
      <c r="P4558" s="10">
        <v>1251</v>
      </c>
      <c r="Q4558" s="10" t="s">
        <v>1935</v>
      </c>
      <c r="R4558" s="50">
        <f>+テーブル1[[#This Row],[合計金額]]*テーブル1[[#This Row],[自社報酬率％]]/100</f>
        <v>26775</v>
      </c>
    </row>
    <row r="4559" spans="1:18">
      <c r="A4559" s="7">
        <v>45931</v>
      </c>
      <c r="B4559" t="s">
        <v>43</v>
      </c>
      <c r="C4559" s="82" t="s">
        <v>2375</v>
      </c>
      <c r="D4559" s="41">
        <v>50</v>
      </c>
      <c r="E4559" s="41">
        <v>50</v>
      </c>
      <c r="F4559" s="82" t="s">
        <v>20</v>
      </c>
      <c r="G4559" s="87">
        <v>45931</v>
      </c>
      <c r="H4559" s="26" t="s">
        <v>3031</v>
      </c>
      <c r="I4559" s="49">
        <v>5000</v>
      </c>
      <c r="J4559" s="77">
        <v>0</v>
      </c>
      <c r="K4559" s="24"/>
      <c r="L4559" s="92">
        <v>0</v>
      </c>
      <c r="M4559" s="24"/>
      <c r="N4559" s="96">
        <f t="shared" si="179"/>
        <v>0</v>
      </c>
      <c r="O4559" s="11">
        <f t="shared" si="178"/>
        <v>0</v>
      </c>
      <c r="P4559" s="10">
        <v>1252</v>
      </c>
      <c r="Q4559" s="10" t="s">
        <v>1935</v>
      </c>
      <c r="R4559" s="50">
        <f>+テーブル1[[#This Row],[合計金額]]*テーブル1[[#This Row],[自社報酬率％]]/100</f>
        <v>0</v>
      </c>
    </row>
    <row r="4560" spans="1:18">
      <c r="A4560" s="7">
        <v>45931</v>
      </c>
      <c r="B4560" t="s">
        <v>46</v>
      </c>
      <c r="C4560" s="18" t="s">
        <v>24</v>
      </c>
      <c r="D4560" s="41">
        <v>100</v>
      </c>
      <c r="E4560" s="41">
        <v>100</v>
      </c>
      <c r="F4560" s="18" t="s">
        <v>17</v>
      </c>
      <c r="G4560" s="28">
        <v>45931</v>
      </c>
      <c r="H4560" s="26" t="s">
        <v>3032</v>
      </c>
      <c r="I4560" s="49">
        <v>286000</v>
      </c>
      <c r="J4560" s="24">
        <v>4</v>
      </c>
      <c r="K4560" s="24"/>
      <c r="L4560" s="91">
        <v>0</v>
      </c>
      <c r="M4560" s="24"/>
      <c r="N4560" s="12">
        <f t="shared" si="179"/>
        <v>4</v>
      </c>
      <c r="O4560" s="11">
        <f t="shared" si="178"/>
        <v>1144000</v>
      </c>
      <c r="P4560" s="10">
        <v>1253</v>
      </c>
      <c r="Q4560" s="10" t="s">
        <v>1935</v>
      </c>
      <c r="R4560" s="50">
        <f>+テーブル1[[#This Row],[合計金額]]*テーブル1[[#This Row],[自社報酬率％]]/100</f>
        <v>1144000</v>
      </c>
    </row>
    <row r="4561" spans="1:18">
      <c r="A4561" s="7">
        <v>45931</v>
      </c>
      <c r="B4561" t="s">
        <v>46</v>
      </c>
      <c r="C4561" s="18" t="s">
        <v>24</v>
      </c>
      <c r="D4561" s="41">
        <v>100</v>
      </c>
      <c r="E4561" s="41">
        <v>100</v>
      </c>
      <c r="F4561" s="72" t="s">
        <v>19</v>
      </c>
      <c r="G4561" s="85">
        <v>45962</v>
      </c>
      <c r="H4561" s="26" t="s">
        <v>241</v>
      </c>
      <c r="I4561" s="49">
        <v>8900</v>
      </c>
      <c r="J4561" s="73">
        <v>2</v>
      </c>
      <c r="K4561" s="24"/>
      <c r="L4561" s="90">
        <v>0</v>
      </c>
      <c r="M4561" s="24"/>
      <c r="N4561" s="93">
        <f t="shared" si="179"/>
        <v>2</v>
      </c>
      <c r="O4561" s="11">
        <f t="shared" si="178"/>
        <v>17800</v>
      </c>
      <c r="P4561" s="10">
        <v>1254</v>
      </c>
      <c r="Q4561" s="10" t="s">
        <v>1935</v>
      </c>
      <c r="R4561" s="50">
        <f>+テーブル1[[#This Row],[合計金額]]*テーブル1[[#This Row],[自社報酬率％]]/100</f>
        <v>17800</v>
      </c>
    </row>
    <row r="4562" spans="1:18">
      <c r="A4562" s="7">
        <v>45931</v>
      </c>
      <c r="B4562" t="s">
        <v>46</v>
      </c>
      <c r="C4562" s="18" t="s">
        <v>24</v>
      </c>
      <c r="D4562" s="41">
        <v>100</v>
      </c>
      <c r="E4562" s="41">
        <v>100</v>
      </c>
      <c r="F4562" s="101" t="s">
        <v>19</v>
      </c>
      <c r="G4562" s="102">
        <v>45992</v>
      </c>
      <c r="H4562" s="26" t="s">
        <v>1289</v>
      </c>
      <c r="I4562" s="49">
        <v>8900</v>
      </c>
      <c r="J4562" s="24">
        <v>2</v>
      </c>
      <c r="K4562" s="24"/>
      <c r="L4562" s="91">
        <v>0</v>
      </c>
      <c r="M4562" s="24"/>
      <c r="N4562" s="94">
        <f t="shared" si="179"/>
        <v>2</v>
      </c>
      <c r="O4562" s="11">
        <f t="shared" si="178"/>
        <v>17800</v>
      </c>
      <c r="P4562" s="10">
        <v>1255</v>
      </c>
      <c r="Q4562" s="10" t="s">
        <v>1928</v>
      </c>
      <c r="R4562" s="50">
        <f>+テーブル1[[#This Row],[合計金額]]*テーブル1[[#This Row],[自社報酬率％]]/100</f>
        <v>17800</v>
      </c>
    </row>
    <row r="4563" spans="1:18">
      <c r="A4563" s="7">
        <v>45931</v>
      </c>
      <c r="B4563" t="s">
        <v>46</v>
      </c>
      <c r="C4563" s="18" t="s">
        <v>24</v>
      </c>
      <c r="D4563" s="41">
        <v>100</v>
      </c>
      <c r="E4563" s="41">
        <v>100</v>
      </c>
      <c r="F4563" s="101" t="s">
        <v>19</v>
      </c>
      <c r="G4563" s="102">
        <v>46023</v>
      </c>
      <c r="H4563" s="26" t="s">
        <v>254</v>
      </c>
      <c r="I4563" s="49">
        <v>8900</v>
      </c>
      <c r="J4563" s="24">
        <v>2</v>
      </c>
      <c r="K4563" s="24"/>
      <c r="L4563" s="91">
        <v>0</v>
      </c>
      <c r="M4563" s="24"/>
      <c r="N4563" s="94">
        <f t="shared" si="179"/>
        <v>2</v>
      </c>
      <c r="O4563" s="11">
        <f t="shared" si="178"/>
        <v>17800</v>
      </c>
      <c r="P4563" s="10">
        <v>1256</v>
      </c>
      <c r="Q4563" s="10" t="s">
        <v>1928</v>
      </c>
      <c r="R4563" s="50">
        <f>+テーブル1[[#This Row],[合計金額]]*テーブル1[[#This Row],[自社報酬率％]]/100</f>
        <v>17800</v>
      </c>
    </row>
    <row r="4564" spans="1:18">
      <c r="A4564" s="7">
        <v>45931</v>
      </c>
      <c r="B4564" t="s">
        <v>46</v>
      </c>
      <c r="C4564" s="18" t="s">
        <v>24</v>
      </c>
      <c r="D4564" s="41">
        <v>100</v>
      </c>
      <c r="E4564" s="41">
        <v>100</v>
      </c>
      <c r="F4564" s="101" t="s">
        <v>19</v>
      </c>
      <c r="G4564" s="102">
        <v>46054</v>
      </c>
      <c r="H4564" s="26" t="s">
        <v>3033</v>
      </c>
      <c r="I4564" s="49">
        <v>8900</v>
      </c>
      <c r="J4564" s="24">
        <v>2</v>
      </c>
      <c r="K4564" s="24"/>
      <c r="L4564" s="91">
        <v>0</v>
      </c>
      <c r="M4564" s="24"/>
      <c r="N4564" s="94">
        <f t="shared" si="179"/>
        <v>2</v>
      </c>
      <c r="O4564" s="11">
        <f t="shared" si="178"/>
        <v>17800</v>
      </c>
      <c r="P4564" s="10">
        <v>1257</v>
      </c>
      <c r="Q4564" s="10" t="s">
        <v>1928</v>
      </c>
      <c r="R4564" s="50">
        <f>+テーブル1[[#This Row],[合計金額]]*テーブル1[[#This Row],[自社報酬率％]]/100</f>
        <v>17800</v>
      </c>
    </row>
    <row r="4565" spans="1:18">
      <c r="A4565" s="7">
        <v>45931</v>
      </c>
      <c r="B4565" t="s">
        <v>46</v>
      </c>
      <c r="C4565" s="18" t="s">
        <v>24</v>
      </c>
      <c r="D4565" s="41">
        <v>100</v>
      </c>
      <c r="E4565" s="41">
        <v>100</v>
      </c>
      <c r="F4565" s="101" t="s">
        <v>19</v>
      </c>
      <c r="G4565" s="102">
        <v>46082</v>
      </c>
      <c r="H4565" s="26" t="s">
        <v>3034</v>
      </c>
      <c r="I4565" s="49">
        <v>8900</v>
      </c>
      <c r="J4565" s="24">
        <v>2</v>
      </c>
      <c r="K4565" s="24"/>
      <c r="L4565" s="91">
        <v>0</v>
      </c>
      <c r="M4565" s="24"/>
      <c r="N4565" s="94">
        <f t="shared" si="179"/>
        <v>2</v>
      </c>
      <c r="O4565" s="11">
        <f t="shared" si="178"/>
        <v>17800</v>
      </c>
      <c r="P4565" s="10">
        <v>1258</v>
      </c>
      <c r="Q4565" s="10" t="s">
        <v>1928</v>
      </c>
      <c r="R4565" s="50">
        <f>+テーブル1[[#This Row],[合計金額]]*テーブル1[[#This Row],[自社報酬率％]]/100</f>
        <v>17800</v>
      </c>
    </row>
    <row r="4566" spans="1:18">
      <c r="A4566" s="7">
        <v>45931</v>
      </c>
      <c r="B4566" t="s">
        <v>46</v>
      </c>
      <c r="C4566" s="18" t="s">
        <v>24</v>
      </c>
      <c r="D4566" s="41">
        <v>100</v>
      </c>
      <c r="E4566" s="41">
        <v>100</v>
      </c>
      <c r="F4566" s="76" t="s">
        <v>19</v>
      </c>
      <c r="G4566" s="86">
        <v>46113</v>
      </c>
      <c r="H4566" s="26" t="s">
        <v>3035</v>
      </c>
      <c r="I4566" s="49">
        <v>8900</v>
      </c>
      <c r="J4566" s="77">
        <v>2</v>
      </c>
      <c r="K4566" s="24"/>
      <c r="L4566" s="92">
        <v>0</v>
      </c>
      <c r="M4566" s="24"/>
      <c r="N4566" s="95">
        <f t="shared" si="179"/>
        <v>2</v>
      </c>
      <c r="O4566" s="11">
        <f t="shared" si="178"/>
        <v>17800</v>
      </c>
      <c r="P4566" s="10">
        <v>1259</v>
      </c>
      <c r="Q4566" s="10" t="s">
        <v>1928</v>
      </c>
      <c r="R4566" s="50">
        <f>+テーブル1[[#This Row],[合計金額]]*テーブル1[[#This Row],[自社報酬率％]]/100</f>
        <v>17800</v>
      </c>
    </row>
    <row r="4567" spans="1:18">
      <c r="A4567" s="7">
        <v>45931</v>
      </c>
      <c r="B4567" t="s">
        <v>46</v>
      </c>
      <c r="C4567" s="18" t="s">
        <v>1962</v>
      </c>
      <c r="D4567" s="41">
        <v>50</v>
      </c>
      <c r="E4567" s="41">
        <v>50</v>
      </c>
      <c r="F4567" s="18" t="s">
        <v>19</v>
      </c>
      <c r="G4567" s="28">
        <v>45931</v>
      </c>
      <c r="H4567" s="26" t="s">
        <v>1975</v>
      </c>
      <c r="I4567" s="49">
        <v>432300</v>
      </c>
      <c r="J4567" s="24">
        <v>26</v>
      </c>
      <c r="K4567" s="24"/>
      <c r="L4567" s="91">
        <v>0</v>
      </c>
      <c r="M4567" s="24"/>
      <c r="N4567" s="12">
        <f t="shared" si="179"/>
        <v>26</v>
      </c>
      <c r="O4567" s="11">
        <f t="shared" si="178"/>
        <v>11239800</v>
      </c>
      <c r="P4567" s="10">
        <v>1260</v>
      </c>
      <c r="Q4567" s="10" t="s">
        <v>1935</v>
      </c>
      <c r="R4567" s="50">
        <f>+テーブル1[[#This Row],[合計金額]]*テーブル1[[#This Row],[自社報酬率％]]/100</f>
        <v>5619900</v>
      </c>
    </row>
    <row r="4568" spans="1:18">
      <c r="A4568" s="7">
        <v>45931</v>
      </c>
      <c r="B4568" t="s">
        <v>46</v>
      </c>
      <c r="C4568" s="18" t="s">
        <v>1962</v>
      </c>
      <c r="D4568" s="41">
        <v>50</v>
      </c>
      <c r="E4568" s="41">
        <v>50</v>
      </c>
      <c r="F4568" s="18" t="s">
        <v>20</v>
      </c>
      <c r="G4568" s="28">
        <v>45931</v>
      </c>
      <c r="H4568" s="26" t="s">
        <v>2916</v>
      </c>
      <c r="I4568" s="49">
        <v>4900</v>
      </c>
      <c r="J4568" s="24">
        <v>13</v>
      </c>
      <c r="K4568" s="24"/>
      <c r="L4568" s="91">
        <v>0</v>
      </c>
      <c r="M4568" s="24"/>
      <c r="N4568" s="12">
        <f t="shared" si="179"/>
        <v>13</v>
      </c>
      <c r="O4568" s="11">
        <f t="shared" si="178"/>
        <v>63700</v>
      </c>
      <c r="P4568" s="10">
        <v>1261</v>
      </c>
      <c r="Q4568" s="10" t="s">
        <v>1935</v>
      </c>
      <c r="R4568" s="50">
        <f>+テーブル1[[#This Row],[合計金額]]*テーブル1[[#This Row],[自社報酬率％]]/100</f>
        <v>31850</v>
      </c>
    </row>
    <row r="4569" spans="1:18">
      <c r="A4569" s="7">
        <v>45931</v>
      </c>
      <c r="B4569" t="s">
        <v>46</v>
      </c>
      <c r="C4569" s="18" t="s">
        <v>1962</v>
      </c>
      <c r="D4569" s="41">
        <v>50</v>
      </c>
      <c r="E4569" s="41">
        <v>50</v>
      </c>
      <c r="F4569" s="18" t="s">
        <v>20</v>
      </c>
      <c r="G4569" s="28">
        <v>45931</v>
      </c>
      <c r="H4569" s="26" t="s">
        <v>2541</v>
      </c>
      <c r="I4569" s="49">
        <v>48900</v>
      </c>
      <c r="J4569" s="24">
        <v>8</v>
      </c>
      <c r="K4569" s="24"/>
      <c r="L4569" s="91">
        <v>0</v>
      </c>
      <c r="M4569" s="24"/>
      <c r="N4569" s="12">
        <f t="shared" si="179"/>
        <v>8</v>
      </c>
      <c r="O4569" s="11">
        <f t="shared" si="178"/>
        <v>391200</v>
      </c>
      <c r="P4569" s="10">
        <v>1262</v>
      </c>
      <c r="Q4569" s="10" t="s">
        <v>1935</v>
      </c>
      <c r="R4569" s="50">
        <f>+テーブル1[[#This Row],[合計金額]]*テーブル1[[#This Row],[自社報酬率％]]/100</f>
        <v>195600</v>
      </c>
    </row>
    <row r="4570" spans="1:18">
      <c r="A4570" s="7">
        <v>45931</v>
      </c>
      <c r="B4570" t="s">
        <v>46</v>
      </c>
      <c r="C4570" s="79" t="s">
        <v>1962</v>
      </c>
      <c r="D4570" s="41">
        <v>55</v>
      </c>
      <c r="E4570" s="41">
        <v>45</v>
      </c>
      <c r="F4570" s="72" t="s">
        <v>17</v>
      </c>
      <c r="G4570" s="85">
        <v>45962</v>
      </c>
      <c r="H4570" s="26" t="s">
        <v>3036</v>
      </c>
      <c r="I4570" s="49">
        <v>9435</v>
      </c>
      <c r="J4570" s="73">
        <v>1</v>
      </c>
      <c r="K4570" s="24"/>
      <c r="L4570" s="90">
        <v>0</v>
      </c>
      <c r="M4570" s="24"/>
      <c r="N4570" s="93">
        <f t="shared" si="179"/>
        <v>1</v>
      </c>
      <c r="O4570" s="11">
        <f t="shared" si="178"/>
        <v>9435</v>
      </c>
      <c r="P4570" s="10">
        <v>1263</v>
      </c>
      <c r="Q4570" s="10" t="s">
        <v>1935</v>
      </c>
      <c r="R4570" s="50">
        <f>+テーブル1[[#This Row],[合計金額]]*テーブル1[[#This Row],[自社報酬率％]]/100</f>
        <v>4245.75</v>
      </c>
    </row>
    <row r="4571" spans="1:18">
      <c r="A4571" s="7">
        <v>45931</v>
      </c>
      <c r="B4571" t="s">
        <v>46</v>
      </c>
      <c r="C4571" s="80" t="s">
        <v>1962</v>
      </c>
      <c r="D4571" s="41">
        <v>55</v>
      </c>
      <c r="E4571" s="41">
        <v>45</v>
      </c>
      <c r="F4571" s="101" t="s">
        <v>17</v>
      </c>
      <c r="G4571" s="102">
        <v>45992</v>
      </c>
      <c r="H4571" s="26" t="s">
        <v>3037</v>
      </c>
      <c r="I4571" s="49">
        <v>9435</v>
      </c>
      <c r="J4571" s="24">
        <v>1</v>
      </c>
      <c r="K4571" s="24"/>
      <c r="L4571" s="91">
        <v>0</v>
      </c>
      <c r="M4571" s="24"/>
      <c r="N4571" s="94">
        <f t="shared" si="179"/>
        <v>1</v>
      </c>
      <c r="O4571" s="11">
        <f t="shared" si="178"/>
        <v>9435</v>
      </c>
      <c r="P4571" s="10">
        <v>1264</v>
      </c>
      <c r="Q4571" s="10" t="s">
        <v>1928</v>
      </c>
      <c r="R4571" s="50">
        <f>+テーブル1[[#This Row],[合計金額]]*テーブル1[[#This Row],[自社報酬率％]]/100</f>
        <v>4245.75</v>
      </c>
    </row>
    <row r="4572" spans="1:18">
      <c r="A4572" s="7">
        <v>45931</v>
      </c>
      <c r="B4572" t="s">
        <v>46</v>
      </c>
      <c r="C4572" s="80" t="s">
        <v>1962</v>
      </c>
      <c r="D4572" s="41">
        <v>55</v>
      </c>
      <c r="E4572" s="41">
        <v>45</v>
      </c>
      <c r="F4572" s="101" t="s">
        <v>17</v>
      </c>
      <c r="G4572" s="102">
        <v>46023</v>
      </c>
      <c r="H4572" s="26" t="s">
        <v>3038</v>
      </c>
      <c r="I4572" s="49">
        <v>9435</v>
      </c>
      <c r="J4572" s="24">
        <v>1</v>
      </c>
      <c r="K4572" s="24"/>
      <c r="L4572" s="91">
        <v>0</v>
      </c>
      <c r="M4572" s="24"/>
      <c r="N4572" s="94">
        <f t="shared" si="179"/>
        <v>1</v>
      </c>
      <c r="O4572" s="11">
        <f t="shared" si="178"/>
        <v>9435</v>
      </c>
      <c r="P4572" s="10">
        <v>1265</v>
      </c>
      <c r="Q4572" s="10" t="s">
        <v>1928</v>
      </c>
      <c r="R4572" s="50">
        <f>+テーブル1[[#This Row],[合計金額]]*テーブル1[[#This Row],[自社報酬率％]]/100</f>
        <v>4245.75</v>
      </c>
    </row>
    <row r="4573" spans="1:18">
      <c r="A4573" s="7">
        <v>45931</v>
      </c>
      <c r="B4573" t="s">
        <v>46</v>
      </c>
      <c r="C4573" s="80" t="s">
        <v>1962</v>
      </c>
      <c r="D4573" s="41">
        <v>55</v>
      </c>
      <c r="E4573" s="41">
        <v>45</v>
      </c>
      <c r="F4573" s="101" t="s">
        <v>17</v>
      </c>
      <c r="G4573" s="102">
        <v>46054</v>
      </c>
      <c r="H4573" s="26" t="s">
        <v>3039</v>
      </c>
      <c r="I4573" s="49">
        <v>9435</v>
      </c>
      <c r="J4573" s="24">
        <v>1</v>
      </c>
      <c r="K4573" s="24"/>
      <c r="L4573" s="91">
        <v>0</v>
      </c>
      <c r="M4573" s="24"/>
      <c r="N4573" s="94">
        <f t="shared" si="179"/>
        <v>1</v>
      </c>
      <c r="O4573" s="11">
        <f t="shared" si="178"/>
        <v>9435</v>
      </c>
      <c r="P4573" s="10">
        <v>1266</v>
      </c>
      <c r="Q4573" s="10" t="s">
        <v>1928</v>
      </c>
      <c r="R4573" s="50">
        <f>+テーブル1[[#This Row],[合計金額]]*テーブル1[[#This Row],[自社報酬率％]]/100</f>
        <v>4245.75</v>
      </c>
    </row>
    <row r="4574" spans="1:18">
      <c r="A4574" s="7">
        <v>45931</v>
      </c>
      <c r="B4574" t="s">
        <v>46</v>
      </c>
      <c r="C4574" s="80" t="s">
        <v>1962</v>
      </c>
      <c r="D4574" s="41">
        <v>55</v>
      </c>
      <c r="E4574" s="41">
        <v>45</v>
      </c>
      <c r="F4574" s="101" t="s">
        <v>17</v>
      </c>
      <c r="G4574" s="102">
        <v>46082</v>
      </c>
      <c r="H4574" s="26" t="s">
        <v>3040</v>
      </c>
      <c r="I4574" s="49">
        <v>9435</v>
      </c>
      <c r="J4574" s="24">
        <v>1</v>
      </c>
      <c r="K4574" s="24"/>
      <c r="L4574" s="91">
        <v>0</v>
      </c>
      <c r="M4574" s="24"/>
      <c r="N4574" s="94">
        <f t="shared" si="179"/>
        <v>1</v>
      </c>
      <c r="O4574" s="11">
        <f t="shared" si="178"/>
        <v>9435</v>
      </c>
      <c r="P4574" s="10">
        <v>1267</v>
      </c>
      <c r="Q4574" s="10" t="s">
        <v>1928</v>
      </c>
      <c r="R4574" s="50">
        <f>+テーブル1[[#This Row],[合計金額]]*テーブル1[[#This Row],[自社報酬率％]]/100</f>
        <v>4245.75</v>
      </c>
    </row>
    <row r="4575" spans="1:18">
      <c r="A4575" s="7">
        <v>45931</v>
      </c>
      <c r="B4575" t="s">
        <v>46</v>
      </c>
      <c r="C4575" s="80" t="s">
        <v>1962</v>
      </c>
      <c r="D4575" s="41">
        <v>55</v>
      </c>
      <c r="E4575" s="41">
        <v>45</v>
      </c>
      <c r="F4575" s="101" t="s">
        <v>17</v>
      </c>
      <c r="G4575" s="102">
        <v>46113</v>
      </c>
      <c r="H4575" s="26" t="s">
        <v>3041</v>
      </c>
      <c r="I4575" s="49">
        <v>9435</v>
      </c>
      <c r="J4575" s="24">
        <v>1</v>
      </c>
      <c r="K4575" s="24"/>
      <c r="L4575" s="91">
        <v>0</v>
      </c>
      <c r="M4575" s="24"/>
      <c r="N4575" s="94">
        <f t="shared" si="179"/>
        <v>1</v>
      </c>
      <c r="O4575" s="11">
        <f t="shared" si="178"/>
        <v>9435</v>
      </c>
      <c r="P4575" s="10">
        <v>1268</v>
      </c>
      <c r="Q4575" s="10" t="s">
        <v>1928</v>
      </c>
      <c r="R4575" s="50">
        <f>+テーブル1[[#This Row],[合計金額]]*テーブル1[[#This Row],[自社報酬率％]]/100</f>
        <v>4245.75</v>
      </c>
    </row>
    <row r="4576" spans="1:18">
      <c r="A4576" s="7">
        <v>45931</v>
      </c>
      <c r="B4576" t="s">
        <v>46</v>
      </c>
      <c r="C4576" s="80" t="s">
        <v>1962</v>
      </c>
      <c r="D4576" s="41">
        <v>55</v>
      </c>
      <c r="E4576" s="41">
        <v>45</v>
      </c>
      <c r="F4576" s="101" t="s">
        <v>17</v>
      </c>
      <c r="G4576" s="102">
        <v>46143</v>
      </c>
      <c r="H4576" s="26" t="s">
        <v>3042</v>
      </c>
      <c r="I4576" s="49">
        <v>9435</v>
      </c>
      <c r="J4576" s="24">
        <v>1</v>
      </c>
      <c r="K4576" s="24"/>
      <c r="L4576" s="91">
        <v>0</v>
      </c>
      <c r="M4576" s="24"/>
      <c r="N4576" s="94">
        <f t="shared" si="179"/>
        <v>1</v>
      </c>
      <c r="O4576" s="11">
        <f t="shared" si="178"/>
        <v>9435</v>
      </c>
      <c r="P4576" s="10">
        <v>1269</v>
      </c>
      <c r="Q4576" s="10" t="s">
        <v>1928</v>
      </c>
      <c r="R4576" s="50">
        <f>+テーブル1[[#This Row],[合計金額]]*テーブル1[[#This Row],[自社報酬率％]]/100</f>
        <v>4245.75</v>
      </c>
    </row>
    <row r="4577" spans="1:18">
      <c r="A4577" s="7">
        <v>45931</v>
      </c>
      <c r="B4577" t="s">
        <v>46</v>
      </c>
      <c r="C4577" s="80" t="s">
        <v>1962</v>
      </c>
      <c r="D4577" s="41">
        <v>55</v>
      </c>
      <c r="E4577" s="41">
        <v>45</v>
      </c>
      <c r="F4577" s="101" t="s">
        <v>17</v>
      </c>
      <c r="G4577" s="102">
        <v>46174</v>
      </c>
      <c r="H4577" s="26" t="s">
        <v>3043</v>
      </c>
      <c r="I4577" s="49">
        <v>9435</v>
      </c>
      <c r="J4577" s="24">
        <v>1</v>
      </c>
      <c r="K4577" s="24"/>
      <c r="L4577" s="91">
        <v>0</v>
      </c>
      <c r="M4577" s="24"/>
      <c r="N4577" s="94">
        <f t="shared" si="179"/>
        <v>1</v>
      </c>
      <c r="O4577" s="11">
        <f t="shared" ref="O4577:O4596" si="180">+I4577*N4577</f>
        <v>9435</v>
      </c>
      <c r="P4577" s="10">
        <v>1270</v>
      </c>
      <c r="Q4577" s="10" t="s">
        <v>1928</v>
      </c>
      <c r="R4577" s="50">
        <f>+テーブル1[[#This Row],[合計金額]]*テーブル1[[#This Row],[自社報酬率％]]/100</f>
        <v>4245.75</v>
      </c>
    </row>
    <row r="4578" spans="1:18">
      <c r="A4578" s="7">
        <v>45931</v>
      </c>
      <c r="B4578" t="s">
        <v>46</v>
      </c>
      <c r="C4578" s="80" t="s">
        <v>1962</v>
      </c>
      <c r="D4578" s="41">
        <v>55</v>
      </c>
      <c r="E4578" s="41">
        <v>45</v>
      </c>
      <c r="F4578" s="101" t="s">
        <v>17</v>
      </c>
      <c r="G4578" s="102">
        <v>46204</v>
      </c>
      <c r="H4578" s="26" t="s">
        <v>3044</v>
      </c>
      <c r="I4578" s="49">
        <v>9435</v>
      </c>
      <c r="J4578" s="24">
        <v>1</v>
      </c>
      <c r="K4578" s="24"/>
      <c r="L4578" s="91">
        <v>0</v>
      </c>
      <c r="M4578" s="24"/>
      <c r="N4578" s="94">
        <f t="shared" si="179"/>
        <v>1</v>
      </c>
      <c r="O4578" s="11">
        <f t="shared" si="180"/>
        <v>9435</v>
      </c>
      <c r="P4578" s="10">
        <v>1271</v>
      </c>
      <c r="Q4578" s="10" t="s">
        <v>1928</v>
      </c>
      <c r="R4578" s="50">
        <f>+テーブル1[[#This Row],[合計金額]]*テーブル1[[#This Row],[自社報酬率％]]/100</f>
        <v>4245.75</v>
      </c>
    </row>
    <row r="4579" spans="1:18">
      <c r="A4579" s="7">
        <v>45931</v>
      </c>
      <c r="B4579" t="s">
        <v>46</v>
      </c>
      <c r="C4579" s="80" t="s">
        <v>1962</v>
      </c>
      <c r="D4579" s="41">
        <v>55</v>
      </c>
      <c r="E4579" s="41">
        <v>45</v>
      </c>
      <c r="F4579" s="101" t="s">
        <v>17</v>
      </c>
      <c r="G4579" s="102">
        <v>46235</v>
      </c>
      <c r="H4579" s="26" t="s">
        <v>3045</v>
      </c>
      <c r="I4579" s="49">
        <v>9435</v>
      </c>
      <c r="J4579" s="24">
        <v>1</v>
      </c>
      <c r="K4579" s="24"/>
      <c r="L4579" s="91">
        <v>0</v>
      </c>
      <c r="M4579" s="24"/>
      <c r="N4579" s="94">
        <f t="shared" si="179"/>
        <v>1</v>
      </c>
      <c r="O4579" s="11">
        <f t="shared" si="180"/>
        <v>9435</v>
      </c>
      <c r="P4579" s="10">
        <v>1272</v>
      </c>
      <c r="Q4579" s="10" t="s">
        <v>1928</v>
      </c>
      <c r="R4579" s="50">
        <f>+テーブル1[[#This Row],[合計金額]]*テーブル1[[#This Row],[自社報酬率％]]/100</f>
        <v>4245.75</v>
      </c>
    </row>
    <row r="4580" spans="1:18">
      <c r="A4580" s="7">
        <v>45931</v>
      </c>
      <c r="B4580" t="s">
        <v>46</v>
      </c>
      <c r="C4580" s="80" t="s">
        <v>1962</v>
      </c>
      <c r="D4580" s="41">
        <v>55</v>
      </c>
      <c r="E4580" s="41">
        <v>45</v>
      </c>
      <c r="F4580" s="101" t="s">
        <v>17</v>
      </c>
      <c r="G4580" s="102">
        <v>46266</v>
      </c>
      <c r="H4580" s="26" t="s">
        <v>3046</v>
      </c>
      <c r="I4580" s="49">
        <v>9435</v>
      </c>
      <c r="J4580" s="24">
        <v>1</v>
      </c>
      <c r="K4580" s="24"/>
      <c r="L4580" s="91">
        <v>0</v>
      </c>
      <c r="M4580" s="24"/>
      <c r="N4580" s="94">
        <f t="shared" si="179"/>
        <v>1</v>
      </c>
      <c r="O4580" s="11">
        <f t="shared" si="180"/>
        <v>9435</v>
      </c>
      <c r="P4580" s="10">
        <v>1273</v>
      </c>
      <c r="Q4580" s="10" t="s">
        <v>1928</v>
      </c>
      <c r="R4580" s="50">
        <f>+テーブル1[[#This Row],[合計金額]]*テーブル1[[#This Row],[自社報酬率％]]/100</f>
        <v>4245.75</v>
      </c>
    </row>
    <row r="4581" spans="1:18">
      <c r="A4581" s="7">
        <v>45931</v>
      </c>
      <c r="B4581" t="s">
        <v>46</v>
      </c>
      <c r="C4581" s="81" t="s">
        <v>1962</v>
      </c>
      <c r="D4581" s="41">
        <v>55</v>
      </c>
      <c r="E4581" s="41">
        <v>45</v>
      </c>
      <c r="F4581" s="76" t="s">
        <v>17</v>
      </c>
      <c r="G4581" s="86">
        <v>46296</v>
      </c>
      <c r="H4581" s="26" t="s">
        <v>3047</v>
      </c>
      <c r="I4581" s="49">
        <v>9435</v>
      </c>
      <c r="J4581" s="77">
        <v>1</v>
      </c>
      <c r="K4581" s="24"/>
      <c r="L4581" s="92">
        <v>0</v>
      </c>
      <c r="M4581" s="24"/>
      <c r="N4581" s="95">
        <f t="shared" si="179"/>
        <v>1</v>
      </c>
      <c r="O4581" s="11">
        <f t="shared" si="180"/>
        <v>9435</v>
      </c>
      <c r="P4581" s="10">
        <v>1274</v>
      </c>
      <c r="Q4581" s="10" t="s">
        <v>1928</v>
      </c>
      <c r="R4581" s="50">
        <f>+テーブル1[[#This Row],[合計金額]]*テーブル1[[#This Row],[自社報酬率％]]/100</f>
        <v>4245.75</v>
      </c>
    </row>
    <row r="4582" spans="1:18">
      <c r="A4582" s="7">
        <v>45931</v>
      </c>
      <c r="B4582" t="s">
        <v>46</v>
      </c>
      <c r="C4582" s="79" t="s">
        <v>1962</v>
      </c>
      <c r="D4582" s="41">
        <v>55</v>
      </c>
      <c r="E4582" s="41">
        <v>45</v>
      </c>
      <c r="F4582" s="72" t="s">
        <v>19</v>
      </c>
      <c r="G4582" s="85">
        <v>45962</v>
      </c>
      <c r="H4582" s="26" t="s">
        <v>246</v>
      </c>
      <c r="I4582" s="49">
        <v>19050</v>
      </c>
      <c r="J4582" s="73">
        <v>5</v>
      </c>
      <c r="K4582" s="24"/>
      <c r="L4582" s="90">
        <v>0</v>
      </c>
      <c r="M4582" s="24"/>
      <c r="N4582" s="93">
        <f t="shared" si="179"/>
        <v>5</v>
      </c>
      <c r="O4582" s="11">
        <f t="shared" si="180"/>
        <v>95250</v>
      </c>
      <c r="P4582" s="10">
        <v>1275</v>
      </c>
      <c r="Q4582" s="10" t="s">
        <v>1935</v>
      </c>
      <c r="R4582" s="50">
        <f>+テーブル1[[#This Row],[合計金額]]*テーブル1[[#This Row],[自社報酬率％]]/100</f>
        <v>42862.5</v>
      </c>
    </row>
    <row r="4583" spans="1:18">
      <c r="A4583" s="7">
        <v>45931</v>
      </c>
      <c r="B4583" t="s">
        <v>46</v>
      </c>
      <c r="C4583" s="80" t="s">
        <v>1962</v>
      </c>
      <c r="D4583" s="41">
        <v>55</v>
      </c>
      <c r="E4583" s="41">
        <v>45</v>
      </c>
      <c r="F4583" s="101" t="s">
        <v>19</v>
      </c>
      <c r="G4583" s="102">
        <v>45992</v>
      </c>
      <c r="H4583" s="26" t="s">
        <v>3048</v>
      </c>
      <c r="I4583" s="49">
        <v>19050</v>
      </c>
      <c r="J4583" s="24">
        <v>5</v>
      </c>
      <c r="K4583" s="24"/>
      <c r="L4583" s="91">
        <v>0</v>
      </c>
      <c r="M4583" s="24"/>
      <c r="N4583" s="94">
        <f t="shared" si="179"/>
        <v>5</v>
      </c>
      <c r="O4583" s="11">
        <f t="shared" si="180"/>
        <v>95250</v>
      </c>
      <c r="P4583" s="10">
        <v>1276</v>
      </c>
      <c r="Q4583" s="10" t="s">
        <v>1928</v>
      </c>
      <c r="R4583" s="50">
        <f>+テーブル1[[#This Row],[合計金額]]*テーブル1[[#This Row],[自社報酬率％]]/100</f>
        <v>42862.5</v>
      </c>
    </row>
    <row r="4584" spans="1:18">
      <c r="A4584" s="7">
        <v>45931</v>
      </c>
      <c r="B4584" t="s">
        <v>46</v>
      </c>
      <c r="C4584" s="80" t="s">
        <v>1962</v>
      </c>
      <c r="D4584" s="41">
        <v>55</v>
      </c>
      <c r="E4584" s="41">
        <v>45</v>
      </c>
      <c r="F4584" s="101" t="s">
        <v>19</v>
      </c>
      <c r="G4584" s="102">
        <v>46023</v>
      </c>
      <c r="H4584" s="26" t="s">
        <v>3049</v>
      </c>
      <c r="I4584" s="49">
        <v>19050</v>
      </c>
      <c r="J4584" s="24">
        <v>5</v>
      </c>
      <c r="K4584" s="24"/>
      <c r="L4584" s="91">
        <v>0</v>
      </c>
      <c r="M4584" s="24"/>
      <c r="N4584" s="94">
        <f t="shared" si="179"/>
        <v>5</v>
      </c>
      <c r="O4584" s="11">
        <f t="shared" si="180"/>
        <v>95250</v>
      </c>
      <c r="P4584" s="10">
        <v>1277</v>
      </c>
      <c r="Q4584" s="10" t="s">
        <v>1928</v>
      </c>
      <c r="R4584" s="50">
        <f>+テーブル1[[#This Row],[合計金額]]*テーブル1[[#This Row],[自社報酬率％]]/100</f>
        <v>42862.5</v>
      </c>
    </row>
    <row r="4585" spans="1:18">
      <c r="A4585" s="7">
        <v>45931</v>
      </c>
      <c r="B4585" t="s">
        <v>46</v>
      </c>
      <c r="C4585" s="80" t="s">
        <v>1962</v>
      </c>
      <c r="D4585" s="41">
        <v>55</v>
      </c>
      <c r="E4585" s="41">
        <v>45</v>
      </c>
      <c r="F4585" s="101" t="s">
        <v>19</v>
      </c>
      <c r="G4585" s="102">
        <v>46054</v>
      </c>
      <c r="H4585" s="26" t="s">
        <v>3050</v>
      </c>
      <c r="I4585" s="49">
        <v>19050</v>
      </c>
      <c r="J4585" s="24">
        <v>5</v>
      </c>
      <c r="K4585" s="24"/>
      <c r="L4585" s="91">
        <v>0</v>
      </c>
      <c r="M4585" s="24"/>
      <c r="N4585" s="94">
        <f t="shared" si="179"/>
        <v>5</v>
      </c>
      <c r="O4585" s="11">
        <f t="shared" si="180"/>
        <v>95250</v>
      </c>
      <c r="P4585" s="10">
        <v>1278</v>
      </c>
      <c r="Q4585" s="10" t="s">
        <v>1928</v>
      </c>
      <c r="R4585" s="50">
        <f>+テーブル1[[#This Row],[合計金額]]*テーブル1[[#This Row],[自社報酬率％]]/100</f>
        <v>42862.5</v>
      </c>
    </row>
    <row r="4586" spans="1:18">
      <c r="A4586" s="7">
        <v>45931</v>
      </c>
      <c r="B4586" t="s">
        <v>46</v>
      </c>
      <c r="C4586" s="80" t="s">
        <v>1962</v>
      </c>
      <c r="D4586" s="41">
        <v>55</v>
      </c>
      <c r="E4586" s="41">
        <v>45</v>
      </c>
      <c r="F4586" s="101" t="s">
        <v>19</v>
      </c>
      <c r="G4586" s="102">
        <v>46082</v>
      </c>
      <c r="H4586" s="26" t="s">
        <v>3051</v>
      </c>
      <c r="I4586" s="49">
        <v>19050</v>
      </c>
      <c r="J4586" s="24">
        <v>5</v>
      </c>
      <c r="K4586" s="24"/>
      <c r="L4586" s="91">
        <v>0</v>
      </c>
      <c r="M4586" s="24"/>
      <c r="N4586" s="94">
        <f t="shared" si="179"/>
        <v>5</v>
      </c>
      <c r="O4586" s="11">
        <f t="shared" si="180"/>
        <v>95250</v>
      </c>
      <c r="P4586" s="10">
        <v>1279</v>
      </c>
      <c r="Q4586" s="10" t="s">
        <v>1928</v>
      </c>
      <c r="R4586" s="50">
        <f>+テーブル1[[#This Row],[合計金額]]*テーブル1[[#This Row],[自社報酬率％]]/100</f>
        <v>42862.5</v>
      </c>
    </row>
    <row r="4587" spans="1:18">
      <c r="A4587" s="7">
        <v>45931</v>
      </c>
      <c r="B4587" t="s">
        <v>46</v>
      </c>
      <c r="C4587" s="81" t="s">
        <v>1962</v>
      </c>
      <c r="D4587" s="41">
        <v>55</v>
      </c>
      <c r="E4587" s="41">
        <v>45</v>
      </c>
      <c r="F4587" s="76" t="s">
        <v>19</v>
      </c>
      <c r="G4587" s="86">
        <v>46113</v>
      </c>
      <c r="H4587" s="26" t="s">
        <v>3052</v>
      </c>
      <c r="I4587" s="49">
        <v>19050</v>
      </c>
      <c r="J4587" s="77">
        <v>5</v>
      </c>
      <c r="K4587" s="24"/>
      <c r="L4587" s="92">
        <v>0</v>
      </c>
      <c r="M4587" s="24"/>
      <c r="N4587" s="95">
        <f t="shared" si="179"/>
        <v>5</v>
      </c>
      <c r="O4587" s="11">
        <f t="shared" si="180"/>
        <v>95250</v>
      </c>
      <c r="P4587" s="10">
        <v>1280</v>
      </c>
      <c r="Q4587" s="10" t="s">
        <v>1928</v>
      </c>
      <c r="R4587" s="50">
        <f>+テーブル1[[#This Row],[合計金額]]*テーブル1[[#This Row],[自社報酬率％]]/100</f>
        <v>42862.5</v>
      </c>
    </row>
    <row r="4588" spans="1:18">
      <c r="A4588" s="7">
        <v>45931</v>
      </c>
      <c r="B4588" t="s">
        <v>46</v>
      </c>
      <c r="C4588" s="82" t="s">
        <v>23</v>
      </c>
      <c r="D4588" s="41">
        <v>50</v>
      </c>
      <c r="E4588" s="41">
        <v>50</v>
      </c>
      <c r="F4588" s="82" t="s">
        <v>20</v>
      </c>
      <c r="G4588" s="87">
        <v>45931</v>
      </c>
      <c r="H4588" s="26" t="s">
        <v>3031</v>
      </c>
      <c r="I4588" s="49">
        <v>5000</v>
      </c>
      <c r="J4588" s="77">
        <v>0</v>
      </c>
      <c r="K4588" s="24"/>
      <c r="L4588" s="92">
        <v>0</v>
      </c>
      <c r="M4588" s="24"/>
      <c r="N4588" s="96">
        <f t="shared" si="179"/>
        <v>0</v>
      </c>
      <c r="O4588" s="11">
        <f t="shared" si="180"/>
        <v>0</v>
      </c>
      <c r="P4588" s="10">
        <v>1281</v>
      </c>
      <c r="Q4588" s="10" t="s">
        <v>1935</v>
      </c>
      <c r="R4588" s="50">
        <f>+テーブル1[[#This Row],[合計金額]]*テーブル1[[#This Row],[自社報酬率％]]/100</f>
        <v>0</v>
      </c>
    </row>
    <row r="4589" spans="1:18">
      <c r="A4589" s="7">
        <v>45931</v>
      </c>
      <c r="B4589" t="s">
        <v>14</v>
      </c>
      <c r="C4589" s="101" t="s">
        <v>2043</v>
      </c>
      <c r="D4589" s="41">
        <v>60</v>
      </c>
      <c r="E4589" s="41">
        <v>40</v>
      </c>
      <c r="F4589" s="101" t="s">
        <v>16</v>
      </c>
      <c r="G4589" s="102">
        <v>45962</v>
      </c>
      <c r="H4589" s="26" t="s">
        <v>3053</v>
      </c>
      <c r="I4589" s="49">
        <v>10780</v>
      </c>
      <c r="J4589" s="24">
        <v>1</v>
      </c>
      <c r="K4589" s="24">
        <v>0</v>
      </c>
      <c r="L4589" s="91">
        <v>0</v>
      </c>
      <c r="M4589" s="24">
        <v>0</v>
      </c>
      <c r="N4589" s="12">
        <f t="shared" ref="N4589:N4629" si="181">J4589-K4589-L4589-M4589</f>
        <v>1</v>
      </c>
      <c r="O4589" s="11">
        <f t="shared" si="180"/>
        <v>10780</v>
      </c>
      <c r="P4589" s="10">
        <v>84</v>
      </c>
      <c r="Q4589" s="10" t="s">
        <v>1935</v>
      </c>
      <c r="R4589" s="50">
        <f>+テーブル1[[#This Row],[合計金額]]*テーブル1[[#This Row],[自社報酬率％]]/100</f>
        <v>4312</v>
      </c>
    </row>
    <row r="4590" spans="1:18">
      <c r="A4590" s="7">
        <v>45931</v>
      </c>
      <c r="B4590" t="s">
        <v>14</v>
      </c>
      <c r="C4590" s="101" t="s">
        <v>1962</v>
      </c>
      <c r="D4590" s="41">
        <v>50</v>
      </c>
      <c r="E4590" s="41">
        <v>50</v>
      </c>
      <c r="F4590" s="101" t="s">
        <v>16</v>
      </c>
      <c r="G4590" s="102">
        <v>45962</v>
      </c>
      <c r="H4590" s="26" t="s">
        <v>3003</v>
      </c>
      <c r="I4590" s="49">
        <v>13200</v>
      </c>
      <c r="J4590" s="24">
        <v>9</v>
      </c>
      <c r="K4590" s="24">
        <v>0</v>
      </c>
      <c r="L4590" s="91">
        <v>0</v>
      </c>
      <c r="M4590" s="24">
        <v>0</v>
      </c>
      <c r="N4590" s="12">
        <f t="shared" si="181"/>
        <v>9</v>
      </c>
      <c r="O4590" s="11">
        <f t="shared" si="180"/>
        <v>118800</v>
      </c>
      <c r="P4590" s="10">
        <v>85</v>
      </c>
      <c r="Q4590" s="10" t="s">
        <v>1935</v>
      </c>
      <c r="R4590" s="50">
        <f>+テーブル1[[#This Row],[合計金額]]*テーブル1[[#This Row],[自社報酬率％]]/100</f>
        <v>59400</v>
      </c>
    </row>
    <row r="4591" spans="1:18">
      <c r="A4591" s="7">
        <v>45931</v>
      </c>
      <c r="B4591" t="s">
        <v>14</v>
      </c>
      <c r="C4591" s="101" t="s">
        <v>1962</v>
      </c>
      <c r="D4591" s="41">
        <v>50</v>
      </c>
      <c r="E4591" s="41">
        <v>50</v>
      </c>
      <c r="F4591" s="101" t="s">
        <v>16</v>
      </c>
      <c r="G4591" s="102">
        <v>45962</v>
      </c>
      <c r="H4591" s="26" t="s">
        <v>3003</v>
      </c>
      <c r="I4591" s="49">
        <v>14500</v>
      </c>
      <c r="J4591" s="24">
        <v>10</v>
      </c>
      <c r="K4591" s="24">
        <v>0</v>
      </c>
      <c r="L4591" s="91">
        <v>0</v>
      </c>
      <c r="M4591" s="24">
        <v>0</v>
      </c>
      <c r="N4591" s="12">
        <f t="shared" si="181"/>
        <v>10</v>
      </c>
      <c r="O4591" s="11">
        <f t="shared" si="180"/>
        <v>145000</v>
      </c>
      <c r="P4591" s="10">
        <v>86</v>
      </c>
      <c r="Q4591" s="10" t="s">
        <v>1935</v>
      </c>
      <c r="R4591" s="50">
        <f>+テーブル1[[#This Row],[合計金額]]*テーブル1[[#This Row],[自社報酬率％]]/100</f>
        <v>72500</v>
      </c>
    </row>
    <row r="4592" spans="1:18">
      <c r="A4592" s="7">
        <v>45931</v>
      </c>
      <c r="B4592" t="s">
        <v>14</v>
      </c>
      <c r="C4592" s="18" t="s">
        <v>2023</v>
      </c>
      <c r="D4592" s="41">
        <v>50</v>
      </c>
      <c r="E4592" s="41">
        <v>50</v>
      </c>
      <c r="F4592" s="18" t="s">
        <v>16</v>
      </c>
      <c r="G4592" s="28">
        <v>45931</v>
      </c>
      <c r="H4592" s="26" t="s">
        <v>2952</v>
      </c>
      <c r="I4592" s="49">
        <v>3150</v>
      </c>
      <c r="J4592" s="24">
        <v>1</v>
      </c>
      <c r="K4592" s="24">
        <v>0</v>
      </c>
      <c r="L4592" s="91">
        <v>0</v>
      </c>
      <c r="M4592" s="24">
        <v>0</v>
      </c>
      <c r="N4592" s="12">
        <f t="shared" si="181"/>
        <v>1</v>
      </c>
      <c r="O4592" s="11">
        <f t="shared" si="180"/>
        <v>3150</v>
      </c>
      <c r="P4592" s="10">
        <v>87</v>
      </c>
      <c r="Q4592" s="10" t="s">
        <v>1935</v>
      </c>
      <c r="R4592" s="50">
        <f>+テーブル1[[#This Row],[合計金額]]*テーブル1[[#This Row],[自社報酬率％]]/100</f>
        <v>1575</v>
      </c>
    </row>
    <row r="4593" spans="1:18">
      <c r="A4593" s="7">
        <v>45931</v>
      </c>
      <c r="B4593" t="s">
        <v>14</v>
      </c>
      <c r="C4593" s="101" t="s">
        <v>2023</v>
      </c>
      <c r="D4593" s="41">
        <v>50</v>
      </c>
      <c r="E4593" s="41">
        <v>50</v>
      </c>
      <c r="F4593" s="101" t="s">
        <v>16</v>
      </c>
      <c r="G4593" s="102">
        <v>45962</v>
      </c>
      <c r="H4593" s="26" t="s">
        <v>3030</v>
      </c>
      <c r="I4593" s="49">
        <v>3150</v>
      </c>
      <c r="J4593" s="24">
        <v>19</v>
      </c>
      <c r="K4593" s="24">
        <v>0</v>
      </c>
      <c r="L4593" s="91">
        <v>0</v>
      </c>
      <c r="M4593" s="24">
        <v>0</v>
      </c>
      <c r="N4593" s="12">
        <f t="shared" si="181"/>
        <v>19</v>
      </c>
      <c r="O4593" s="11">
        <f t="shared" si="180"/>
        <v>59850</v>
      </c>
      <c r="P4593" s="10">
        <v>88</v>
      </c>
      <c r="Q4593" s="10" t="s">
        <v>1935</v>
      </c>
      <c r="R4593" s="50">
        <f>+テーブル1[[#This Row],[合計金額]]*テーブル1[[#This Row],[自社報酬率％]]/100</f>
        <v>29925</v>
      </c>
    </row>
    <row r="4594" spans="1:18">
      <c r="A4594" s="7">
        <v>45931</v>
      </c>
      <c r="B4594" t="s">
        <v>14</v>
      </c>
      <c r="C4594" s="101" t="s">
        <v>2023</v>
      </c>
      <c r="D4594" s="41">
        <v>50</v>
      </c>
      <c r="E4594" s="41">
        <v>50</v>
      </c>
      <c r="F4594" s="101" t="s">
        <v>16</v>
      </c>
      <c r="G4594" s="102">
        <v>45962</v>
      </c>
      <c r="H4594" s="26" t="s">
        <v>3030</v>
      </c>
      <c r="I4594" s="49">
        <v>4980</v>
      </c>
      <c r="J4594" s="24">
        <v>3</v>
      </c>
      <c r="K4594" s="24">
        <v>0</v>
      </c>
      <c r="L4594" s="91">
        <v>0</v>
      </c>
      <c r="M4594" s="24">
        <v>0</v>
      </c>
      <c r="N4594" s="12">
        <f t="shared" si="181"/>
        <v>3</v>
      </c>
      <c r="O4594" s="11">
        <f t="shared" si="180"/>
        <v>14940</v>
      </c>
      <c r="P4594" s="10">
        <v>89</v>
      </c>
      <c r="Q4594" s="10" t="s">
        <v>1935</v>
      </c>
      <c r="R4594" s="50">
        <f>+テーブル1[[#This Row],[合計金額]]*テーブル1[[#This Row],[自社報酬率％]]/100</f>
        <v>7470</v>
      </c>
    </row>
    <row r="4595" spans="1:18">
      <c r="A4595" s="7">
        <v>45931</v>
      </c>
      <c r="B4595" t="s">
        <v>14</v>
      </c>
      <c r="C4595" s="101" t="s">
        <v>2045</v>
      </c>
      <c r="D4595" s="41">
        <v>40</v>
      </c>
      <c r="E4595" s="41">
        <v>60</v>
      </c>
      <c r="F4595" s="101" t="s">
        <v>16</v>
      </c>
      <c r="G4595" s="102">
        <v>45962</v>
      </c>
      <c r="H4595" s="26" t="s">
        <v>3054</v>
      </c>
      <c r="I4595" s="49">
        <v>16500</v>
      </c>
      <c r="J4595" s="24">
        <v>2</v>
      </c>
      <c r="K4595" s="24">
        <v>0</v>
      </c>
      <c r="L4595" s="91">
        <v>0</v>
      </c>
      <c r="M4595" s="24">
        <v>0</v>
      </c>
      <c r="N4595" s="12">
        <f t="shared" si="181"/>
        <v>2</v>
      </c>
      <c r="O4595" s="11">
        <f t="shared" si="180"/>
        <v>33000</v>
      </c>
      <c r="P4595" s="10">
        <v>90</v>
      </c>
      <c r="Q4595" s="10" t="s">
        <v>1935</v>
      </c>
      <c r="R4595" s="50">
        <f>+テーブル1[[#This Row],[合計金額]]*テーブル1[[#This Row],[自社報酬率％]]/100</f>
        <v>19800</v>
      </c>
    </row>
    <row r="4596" spans="1:18">
      <c r="A4596" s="7">
        <v>45931</v>
      </c>
      <c r="B4596" t="s">
        <v>14</v>
      </c>
      <c r="C4596" s="101" t="s">
        <v>2050</v>
      </c>
      <c r="D4596" s="41">
        <v>50</v>
      </c>
      <c r="E4596" s="41">
        <v>50</v>
      </c>
      <c r="F4596" s="101" t="s">
        <v>16</v>
      </c>
      <c r="G4596" s="102">
        <v>45962</v>
      </c>
      <c r="H4596" s="26" t="s">
        <v>3055</v>
      </c>
      <c r="I4596" s="49">
        <v>9800</v>
      </c>
      <c r="J4596" s="24">
        <v>2</v>
      </c>
      <c r="K4596" s="24">
        <v>0</v>
      </c>
      <c r="L4596" s="91">
        <v>0</v>
      </c>
      <c r="M4596" s="24">
        <v>0</v>
      </c>
      <c r="N4596" s="12">
        <f t="shared" si="181"/>
        <v>2</v>
      </c>
      <c r="O4596" s="11">
        <f t="shared" si="180"/>
        <v>19600</v>
      </c>
      <c r="P4596" s="10">
        <v>91</v>
      </c>
      <c r="Q4596" s="10" t="s">
        <v>1935</v>
      </c>
      <c r="R4596" s="50">
        <f>+テーブル1[[#This Row],[合計金額]]*テーブル1[[#This Row],[自社報酬率％]]/100</f>
        <v>9800</v>
      </c>
    </row>
    <row r="4597" spans="1:18">
      <c r="A4597" s="7">
        <v>45931</v>
      </c>
      <c r="B4597" t="s">
        <v>21</v>
      </c>
      <c r="C4597" s="18" t="s">
        <v>24</v>
      </c>
      <c r="D4597" s="41">
        <v>100</v>
      </c>
      <c r="E4597" s="41">
        <v>100</v>
      </c>
      <c r="F4597" s="18"/>
      <c r="G4597" s="85">
        <v>45962</v>
      </c>
      <c r="H4597" s="26" t="s">
        <v>3056</v>
      </c>
      <c r="I4597" s="49">
        <v>4970</v>
      </c>
      <c r="J4597" s="74">
        <v>4</v>
      </c>
      <c r="K4597" s="24"/>
      <c r="L4597" s="91"/>
      <c r="M4597" s="24"/>
      <c r="N4597" s="12">
        <f t="shared" si="181"/>
        <v>4</v>
      </c>
      <c r="O4597" s="11">
        <f t="shared" ref="O4597:O4607" si="182">+I4597*J4597</f>
        <v>19880</v>
      </c>
      <c r="P4597" s="10">
        <v>103</v>
      </c>
      <c r="Q4597" s="10" t="s">
        <v>1935</v>
      </c>
      <c r="R4597" s="50">
        <f>+テーブル1[[#This Row],[合計金額]]*テーブル1[[#This Row],[自社報酬率％]]/100</f>
        <v>19880</v>
      </c>
    </row>
    <row r="4598" spans="1:18">
      <c r="A4598" s="7">
        <v>45931</v>
      </c>
      <c r="B4598" t="s">
        <v>21</v>
      </c>
      <c r="C4598" s="18" t="s">
        <v>24</v>
      </c>
      <c r="D4598" s="41">
        <v>100</v>
      </c>
      <c r="E4598" s="41">
        <v>100</v>
      </c>
      <c r="F4598" s="18"/>
      <c r="G4598" s="102">
        <v>45992</v>
      </c>
      <c r="H4598" s="26" t="s">
        <v>3057</v>
      </c>
      <c r="I4598" s="49">
        <v>4966</v>
      </c>
      <c r="J4598" s="75">
        <v>4</v>
      </c>
      <c r="K4598" s="24"/>
      <c r="L4598" s="91"/>
      <c r="M4598" s="24"/>
      <c r="N4598" s="12">
        <f t="shared" si="181"/>
        <v>4</v>
      </c>
      <c r="O4598" s="11">
        <f t="shared" si="182"/>
        <v>19864</v>
      </c>
      <c r="P4598" s="10">
        <v>104</v>
      </c>
      <c r="Q4598" s="10" t="s">
        <v>1928</v>
      </c>
      <c r="R4598" s="50">
        <f>+テーブル1[[#This Row],[合計金額]]*テーブル1[[#This Row],[自社報酬率％]]/100</f>
        <v>19864</v>
      </c>
    </row>
    <row r="4599" spans="1:18">
      <c r="A4599" s="7">
        <v>45931</v>
      </c>
      <c r="B4599" t="s">
        <v>21</v>
      </c>
      <c r="C4599" s="18" t="s">
        <v>24</v>
      </c>
      <c r="D4599" s="41">
        <v>100</v>
      </c>
      <c r="E4599" s="41">
        <v>100</v>
      </c>
      <c r="F4599" s="18"/>
      <c r="G4599" s="102">
        <v>46023</v>
      </c>
      <c r="H4599" s="26" t="s">
        <v>3058</v>
      </c>
      <c r="I4599" s="49">
        <v>4966</v>
      </c>
      <c r="J4599" s="75">
        <v>4</v>
      </c>
      <c r="K4599" s="24"/>
      <c r="L4599" s="91"/>
      <c r="M4599" s="24"/>
      <c r="N4599" s="12">
        <f t="shared" si="181"/>
        <v>4</v>
      </c>
      <c r="O4599" s="11">
        <f t="shared" si="182"/>
        <v>19864</v>
      </c>
      <c r="P4599" s="10">
        <v>105</v>
      </c>
      <c r="Q4599" s="10" t="s">
        <v>1928</v>
      </c>
      <c r="R4599" s="50">
        <f>+テーブル1[[#This Row],[合計金額]]*テーブル1[[#This Row],[自社報酬率％]]/100</f>
        <v>19864</v>
      </c>
    </row>
    <row r="4600" spans="1:18">
      <c r="A4600" s="7">
        <v>45931</v>
      </c>
      <c r="B4600" t="s">
        <v>21</v>
      </c>
      <c r="C4600" s="18" t="s">
        <v>24</v>
      </c>
      <c r="D4600" s="41">
        <v>100</v>
      </c>
      <c r="E4600" s="41">
        <v>100</v>
      </c>
      <c r="F4600" s="18"/>
      <c r="G4600" s="102">
        <v>46054</v>
      </c>
      <c r="H4600" s="26" t="s">
        <v>3059</v>
      </c>
      <c r="I4600" s="49">
        <v>4966</v>
      </c>
      <c r="J4600" s="75">
        <v>4</v>
      </c>
      <c r="K4600" s="24"/>
      <c r="L4600" s="91"/>
      <c r="M4600" s="24"/>
      <c r="N4600" s="12">
        <f t="shared" si="181"/>
        <v>4</v>
      </c>
      <c r="O4600" s="11">
        <f t="shared" si="182"/>
        <v>19864</v>
      </c>
      <c r="P4600" s="10">
        <v>106</v>
      </c>
      <c r="Q4600" s="10" t="s">
        <v>1928</v>
      </c>
      <c r="R4600" s="50">
        <f>+テーブル1[[#This Row],[合計金額]]*テーブル1[[#This Row],[自社報酬率％]]/100</f>
        <v>19864</v>
      </c>
    </row>
    <row r="4601" spans="1:18">
      <c r="A4601" s="7">
        <v>45931</v>
      </c>
      <c r="B4601" t="s">
        <v>21</v>
      </c>
      <c r="C4601" s="18" t="s">
        <v>24</v>
      </c>
      <c r="D4601" s="41">
        <v>100</v>
      </c>
      <c r="E4601" s="41">
        <v>100</v>
      </c>
      <c r="F4601" s="18"/>
      <c r="G4601" s="102">
        <v>46082</v>
      </c>
      <c r="H4601" s="26" t="s">
        <v>3060</v>
      </c>
      <c r="I4601" s="49">
        <v>4966</v>
      </c>
      <c r="J4601" s="75">
        <v>4</v>
      </c>
      <c r="K4601" s="24"/>
      <c r="L4601" s="91"/>
      <c r="M4601" s="24"/>
      <c r="N4601" s="12">
        <f t="shared" si="181"/>
        <v>4</v>
      </c>
      <c r="O4601" s="11">
        <f t="shared" si="182"/>
        <v>19864</v>
      </c>
      <c r="P4601" s="10">
        <v>107</v>
      </c>
      <c r="Q4601" s="10" t="s">
        <v>1928</v>
      </c>
      <c r="R4601" s="50">
        <f>+テーブル1[[#This Row],[合計金額]]*テーブル1[[#This Row],[自社報酬率％]]/100</f>
        <v>19864</v>
      </c>
    </row>
    <row r="4602" spans="1:18">
      <c r="A4602" s="7">
        <v>45931</v>
      </c>
      <c r="B4602" t="s">
        <v>21</v>
      </c>
      <c r="C4602" s="18" t="s">
        <v>24</v>
      </c>
      <c r="D4602" s="41">
        <v>100</v>
      </c>
      <c r="E4602" s="41">
        <v>100</v>
      </c>
      <c r="F4602" s="18"/>
      <c r="G4602" s="86">
        <v>46113</v>
      </c>
      <c r="H4602" s="26" t="s">
        <v>3061</v>
      </c>
      <c r="I4602" s="49">
        <v>4966</v>
      </c>
      <c r="J4602" s="78">
        <v>4</v>
      </c>
      <c r="K4602" s="24"/>
      <c r="L4602" s="91"/>
      <c r="M4602" s="24"/>
      <c r="N4602" s="12">
        <f t="shared" si="181"/>
        <v>4</v>
      </c>
      <c r="O4602" s="11">
        <f t="shared" si="182"/>
        <v>19864</v>
      </c>
      <c r="P4602" s="10">
        <v>108</v>
      </c>
      <c r="Q4602" s="10" t="s">
        <v>1928</v>
      </c>
      <c r="R4602" s="50">
        <f>+テーブル1[[#This Row],[合計金額]]*テーブル1[[#This Row],[自社報酬率％]]/100</f>
        <v>19864</v>
      </c>
    </row>
    <row r="4603" spans="1:18">
      <c r="A4603" s="7">
        <v>45931</v>
      </c>
      <c r="B4603" t="s">
        <v>21</v>
      </c>
      <c r="C4603" s="112" t="s">
        <v>2043</v>
      </c>
      <c r="D4603" s="41">
        <v>60</v>
      </c>
      <c r="E4603" s="41">
        <v>40</v>
      </c>
      <c r="F4603" s="18"/>
      <c r="G4603" s="28">
        <v>45931</v>
      </c>
      <c r="H4603" s="26" t="s">
        <v>3062</v>
      </c>
      <c r="I4603" s="49">
        <v>349200</v>
      </c>
      <c r="J4603" s="73">
        <v>1</v>
      </c>
      <c r="K4603" s="24"/>
      <c r="L4603" s="91"/>
      <c r="M4603" s="24"/>
      <c r="N4603" s="12">
        <f t="shared" si="181"/>
        <v>1</v>
      </c>
      <c r="O4603" s="11">
        <f t="shared" si="182"/>
        <v>349200</v>
      </c>
      <c r="P4603" s="10">
        <v>109</v>
      </c>
      <c r="Q4603" s="10" t="s">
        <v>1935</v>
      </c>
      <c r="R4603" s="50">
        <f>+テーブル1[[#This Row],[合計金額]]*テーブル1[[#This Row],[自社報酬率％]]/100</f>
        <v>139680</v>
      </c>
    </row>
    <row r="4604" spans="1:18">
      <c r="A4604" s="7">
        <v>45931</v>
      </c>
      <c r="B4604" t="s">
        <v>21</v>
      </c>
      <c r="C4604" s="18" t="s">
        <v>2043</v>
      </c>
      <c r="D4604" s="41">
        <v>60</v>
      </c>
      <c r="E4604" s="41">
        <v>40</v>
      </c>
      <c r="F4604" s="18"/>
      <c r="G4604" s="28">
        <v>45931</v>
      </c>
      <c r="H4604" s="26" t="s">
        <v>2129</v>
      </c>
      <c r="I4604" s="49">
        <v>24800</v>
      </c>
      <c r="J4604" s="24">
        <v>3</v>
      </c>
      <c r="K4604" s="24"/>
      <c r="L4604" s="91"/>
      <c r="M4604" s="24"/>
      <c r="N4604" s="12">
        <f t="shared" si="181"/>
        <v>3</v>
      </c>
      <c r="O4604" s="11">
        <f t="shared" si="182"/>
        <v>74400</v>
      </c>
      <c r="P4604" s="10">
        <v>110</v>
      </c>
      <c r="Q4604" s="10" t="s">
        <v>1935</v>
      </c>
      <c r="R4604" s="50">
        <f>+テーブル1[[#This Row],[合計金額]]*テーブル1[[#This Row],[自社報酬率％]]/100</f>
        <v>29760</v>
      </c>
    </row>
    <row r="4605" spans="1:18">
      <c r="A4605" s="7">
        <v>45931</v>
      </c>
      <c r="B4605" t="s">
        <v>21</v>
      </c>
      <c r="C4605" s="18" t="s">
        <v>2043</v>
      </c>
      <c r="D4605" s="41">
        <v>60</v>
      </c>
      <c r="E4605" s="41">
        <v>40</v>
      </c>
      <c r="F4605" s="18"/>
      <c r="G4605" s="28">
        <v>45931</v>
      </c>
      <c r="H4605" s="26" t="s">
        <v>3063</v>
      </c>
      <c r="I4605" s="49">
        <v>29700</v>
      </c>
      <c r="J4605" s="24">
        <v>1</v>
      </c>
      <c r="K4605" s="24"/>
      <c r="L4605" s="91"/>
      <c r="M4605" s="24"/>
      <c r="N4605" s="12">
        <f t="shared" si="181"/>
        <v>1</v>
      </c>
      <c r="O4605" s="11">
        <f t="shared" si="182"/>
        <v>29700</v>
      </c>
      <c r="P4605" s="10">
        <v>111</v>
      </c>
      <c r="Q4605" s="10" t="s">
        <v>1935</v>
      </c>
      <c r="R4605" s="50">
        <f>+テーブル1[[#This Row],[合計金額]]*テーブル1[[#This Row],[自社報酬率％]]/100</f>
        <v>11880</v>
      </c>
    </row>
    <row r="4606" spans="1:18">
      <c r="A4606" s="7">
        <v>45931</v>
      </c>
      <c r="B4606" t="s">
        <v>21</v>
      </c>
      <c r="C4606" s="18" t="s">
        <v>2043</v>
      </c>
      <c r="D4606" s="41">
        <v>60</v>
      </c>
      <c r="E4606" s="41">
        <v>40</v>
      </c>
      <c r="F4606" s="18"/>
      <c r="G4606" s="28">
        <v>45931</v>
      </c>
      <c r="H4606" s="26" t="s">
        <v>3064</v>
      </c>
      <c r="I4606" s="49">
        <v>29700</v>
      </c>
      <c r="J4606" s="24">
        <v>1</v>
      </c>
      <c r="K4606" s="24"/>
      <c r="L4606" s="91"/>
      <c r="M4606" s="24"/>
      <c r="N4606" s="12">
        <f t="shared" si="181"/>
        <v>1</v>
      </c>
      <c r="O4606" s="11">
        <f t="shared" si="182"/>
        <v>29700</v>
      </c>
      <c r="P4606" s="10">
        <v>112</v>
      </c>
      <c r="Q4606" s="10" t="s">
        <v>1935</v>
      </c>
      <c r="R4606" s="50">
        <f>+テーブル1[[#This Row],[合計金額]]*テーブル1[[#This Row],[自社報酬率％]]/100</f>
        <v>11880</v>
      </c>
    </row>
    <row r="4607" spans="1:18">
      <c r="A4607" s="7">
        <v>45931</v>
      </c>
      <c r="B4607" t="s">
        <v>21</v>
      </c>
      <c r="C4607" s="18" t="s">
        <v>2045</v>
      </c>
      <c r="D4607" s="41">
        <v>40</v>
      </c>
      <c r="E4607" s="41">
        <v>60</v>
      </c>
      <c r="F4607" s="18"/>
      <c r="G4607" s="28">
        <v>45931</v>
      </c>
      <c r="H4607" s="26" t="s">
        <v>3065</v>
      </c>
      <c r="I4607" s="49">
        <v>3000</v>
      </c>
      <c r="J4607" s="24">
        <v>1</v>
      </c>
      <c r="K4607" s="24"/>
      <c r="L4607" s="91"/>
      <c r="M4607" s="24"/>
      <c r="N4607" s="12">
        <f t="shared" si="181"/>
        <v>1</v>
      </c>
      <c r="O4607" s="11">
        <f t="shared" si="182"/>
        <v>3000</v>
      </c>
      <c r="P4607" s="10">
        <v>113</v>
      </c>
      <c r="Q4607" s="10" t="s">
        <v>1935</v>
      </c>
      <c r="R4607" s="50">
        <f>+テーブル1[[#This Row],[合計金額]]*テーブル1[[#This Row],[自社報酬率％]]/100</f>
        <v>1800</v>
      </c>
    </row>
    <row r="4608" spans="1:18">
      <c r="A4608" s="7">
        <v>45931</v>
      </c>
      <c r="B4608" t="s">
        <v>21</v>
      </c>
      <c r="C4608" s="18" t="s">
        <v>1962</v>
      </c>
      <c r="D4608" s="41">
        <v>50</v>
      </c>
      <c r="E4608" s="41">
        <v>50</v>
      </c>
      <c r="F4608" s="18"/>
      <c r="G4608" s="28">
        <v>45931</v>
      </c>
      <c r="H4608" s="26" t="s">
        <v>2916</v>
      </c>
      <c r="I4608" s="49">
        <v>-4515</v>
      </c>
      <c r="J4608" s="24">
        <v>1</v>
      </c>
      <c r="K4608" s="24"/>
      <c r="L4608" s="91"/>
      <c r="M4608" s="24"/>
      <c r="N4608" s="12">
        <f t="shared" si="181"/>
        <v>1</v>
      </c>
      <c r="O4608" s="11">
        <v>-4515</v>
      </c>
      <c r="P4608" s="10">
        <v>135</v>
      </c>
      <c r="Q4608" s="10" t="s">
        <v>1935</v>
      </c>
      <c r="R4608" s="50">
        <f>+テーブル1[[#This Row],[合計金額]]*テーブル1[[#This Row],[自社報酬率％]]/100</f>
        <v>-2257.5</v>
      </c>
    </row>
    <row r="4609" spans="1:18">
      <c r="A4609" s="7">
        <v>45931</v>
      </c>
      <c r="B4609" t="s">
        <v>21</v>
      </c>
      <c r="C4609" s="18" t="s">
        <v>22</v>
      </c>
      <c r="D4609" s="41">
        <v>0</v>
      </c>
      <c r="E4609" s="41">
        <v>100</v>
      </c>
      <c r="F4609" s="18"/>
      <c r="G4609" s="28">
        <v>45931</v>
      </c>
      <c r="H4609" s="26"/>
      <c r="I4609" s="49">
        <v>-385</v>
      </c>
      <c r="J4609" s="24">
        <v>1</v>
      </c>
      <c r="K4609" s="24"/>
      <c r="L4609" s="91"/>
      <c r="M4609" s="24"/>
      <c r="N4609" s="12">
        <f t="shared" si="181"/>
        <v>1</v>
      </c>
      <c r="O4609" s="11">
        <v>-385</v>
      </c>
      <c r="P4609" s="10">
        <v>136</v>
      </c>
      <c r="Q4609" s="10" t="s">
        <v>1935</v>
      </c>
      <c r="R4609" s="50">
        <f>+テーブル1[[#This Row],[合計金額]]*テーブル1[[#This Row],[自社報酬率％]]/100</f>
        <v>-385</v>
      </c>
    </row>
    <row r="4610" spans="1:18">
      <c r="A4610" s="7">
        <v>45931</v>
      </c>
      <c r="B4610" t="s">
        <v>21</v>
      </c>
      <c r="C4610" s="18" t="s">
        <v>1962</v>
      </c>
      <c r="D4610" s="41">
        <v>50</v>
      </c>
      <c r="E4610" s="41">
        <v>50</v>
      </c>
      <c r="F4610" s="18"/>
      <c r="G4610" s="28">
        <v>45931</v>
      </c>
      <c r="H4610" s="26" t="s">
        <v>2916</v>
      </c>
      <c r="I4610" s="49">
        <v>-4515</v>
      </c>
      <c r="J4610" s="24">
        <v>1</v>
      </c>
      <c r="K4610" s="24"/>
      <c r="L4610" s="91"/>
      <c r="M4610" s="24"/>
      <c r="N4610" s="12">
        <f t="shared" si="181"/>
        <v>1</v>
      </c>
      <c r="O4610" s="11">
        <v>-4515</v>
      </c>
      <c r="P4610" s="10">
        <v>137</v>
      </c>
      <c r="Q4610" s="10" t="s">
        <v>1935</v>
      </c>
      <c r="R4610" s="50">
        <f>+テーブル1[[#This Row],[合計金額]]*テーブル1[[#This Row],[自社報酬率％]]/100</f>
        <v>-2257.5</v>
      </c>
    </row>
    <row r="4611" spans="1:18">
      <c r="A4611" s="7">
        <v>45931</v>
      </c>
      <c r="B4611" t="s">
        <v>21</v>
      </c>
      <c r="C4611" s="18" t="s">
        <v>22</v>
      </c>
      <c r="D4611" s="41">
        <v>0</v>
      </c>
      <c r="E4611" s="41">
        <v>100</v>
      </c>
      <c r="F4611" s="18"/>
      <c r="G4611" s="28">
        <v>45931</v>
      </c>
      <c r="H4611" s="26"/>
      <c r="I4611" s="49">
        <v>-385</v>
      </c>
      <c r="J4611" s="24">
        <v>1</v>
      </c>
      <c r="K4611" s="24"/>
      <c r="L4611" s="91"/>
      <c r="M4611" s="24"/>
      <c r="N4611" s="12">
        <f t="shared" si="181"/>
        <v>1</v>
      </c>
      <c r="O4611" s="11">
        <v>-385</v>
      </c>
      <c r="P4611" s="10">
        <v>138</v>
      </c>
      <c r="Q4611" s="10" t="s">
        <v>1935</v>
      </c>
      <c r="R4611" s="50">
        <f>+テーブル1[[#This Row],[合計金額]]*テーブル1[[#This Row],[自社報酬率％]]/100</f>
        <v>-385</v>
      </c>
    </row>
    <row r="4612" spans="1:18">
      <c r="A4612" s="7">
        <v>45931</v>
      </c>
      <c r="B4612" t="s">
        <v>21</v>
      </c>
      <c r="C4612" s="18" t="s">
        <v>1962</v>
      </c>
      <c r="D4612" s="41">
        <v>50</v>
      </c>
      <c r="E4612" s="41">
        <v>50</v>
      </c>
      <c r="F4612" s="18"/>
      <c r="G4612" s="28">
        <v>45931</v>
      </c>
      <c r="H4612" s="26" t="s">
        <v>2916</v>
      </c>
      <c r="I4612" s="49">
        <v>-4515</v>
      </c>
      <c r="J4612" s="24">
        <v>1</v>
      </c>
      <c r="K4612" s="24"/>
      <c r="L4612" s="91"/>
      <c r="M4612" s="24"/>
      <c r="N4612" s="12">
        <f t="shared" si="181"/>
        <v>1</v>
      </c>
      <c r="O4612" s="11">
        <v>-4515</v>
      </c>
      <c r="P4612" s="10">
        <v>139</v>
      </c>
      <c r="Q4612" s="10" t="s">
        <v>1935</v>
      </c>
      <c r="R4612" s="50">
        <f>+テーブル1[[#This Row],[合計金額]]*テーブル1[[#This Row],[自社報酬率％]]/100</f>
        <v>-2257.5</v>
      </c>
    </row>
    <row r="4613" spans="1:18">
      <c r="A4613" s="7">
        <v>45931</v>
      </c>
      <c r="B4613" t="s">
        <v>21</v>
      </c>
      <c r="C4613" s="18" t="s">
        <v>22</v>
      </c>
      <c r="D4613" s="41">
        <v>0</v>
      </c>
      <c r="E4613" s="41">
        <v>100</v>
      </c>
      <c r="F4613" s="18"/>
      <c r="G4613" s="28">
        <v>45931</v>
      </c>
      <c r="H4613" s="26"/>
      <c r="I4613" s="49">
        <v>-385</v>
      </c>
      <c r="J4613" s="24">
        <v>1</v>
      </c>
      <c r="K4613" s="24"/>
      <c r="L4613" s="91"/>
      <c r="M4613" s="24"/>
      <c r="N4613" s="12">
        <f t="shared" si="181"/>
        <v>1</v>
      </c>
      <c r="O4613" s="11">
        <v>-385</v>
      </c>
      <c r="P4613" s="10">
        <v>140</v>
      </c>
      <c r="Q4613" s="10" t="s">
        <v>1935</v>
      </c>
      <c r="R4613" s="50">
        <f>+テーブル1[[#This Row],[合計金額]]*テーブル1[[#This Row],[自社報酬率％]]/100</f>
        <v>-385</v>
      </c>
    </row>
    <row r="4614" spans="1:18">
      <c r="A4614" s="7">
        <v>45931</v>
      </c>
      <c r="B4614" t="s">
        <v>21</v>
      </c>
      <c r="C4614" s="18" t="s">
        <v>1962</v>
      </c>
      <c r="D4614" s="41">
        <v>50</v>
      </c>
      <c r="E4614" s="41">
        <v>50</v>
      </c>
      <c r="F4614" s="18"/>
      <c r="G4614" s="28">
        <v>45931</v>
      </c>
      <c r="H4614" s="26" t="s">
        <v>2916</v>
      </c>
      <c r="I4614" s="49">
        <v>-4515</v>
      </c>
      <c r="J4614" s="24">
        <v>1</v>
      </c>
      <c r="K4614" s="24"/>
      <c r="L4614" s="91"/>
      <c r="M4614" s="24"/>
      <c r="N4614" s="12">
        <f t="shared" si="181"/>
        <v>1</v>
      </c>
      <c r="O4614" s="11">
        <v>-4515</v>
      </c>
      <c r="P4614" s="10">
        <v>141</v>
      </c>
      <c r="Q4614" s="10" t="s">
        <v>1935</v>
      </c>
      <c r="R4614" s="50">
        <f>+テーブル1[[#This Row],[合計金額]]*テーブル1[[#This Row],[自社報酬率％]]/100</f>
        <v>-2257.5</v>
      </c>
    </row>
    <row r="4615" spans="1:18">
      <c r="A4615" s="7">
        <v>45931</v>
      </c>
      <c r="B4615" t="s">
        <v>21</v>
      </c>
      <c r="C4615" s="18" t="s">
        <v>22</v>
      </c>
      <c r="D4615" s="41">
        <v>0</v>
      </c>
      <c r="E4615" s="41">
        <v>100</v>
      </c>
      <c r="F4615" s="18"/>
      <c r="G4615" s="28">
        <v>45931</v>
      </c>
      <c r="H4615" s="26"/>
      <c r="I4615" s="49">
        <v>-385</v>
      </c>
      <c r="J4615" s="24">
        <v>1</v>
      </c>
      <c r="K4615" s="24"/>
      <c r="L4615" s="91"/>
      <c r="M4615" s="24"/>
      <c r="N4615" s="12">
        <f t="shared" si="181"/>
        <v>1</v>
      </c>
      <c r="O4615" s="11">
        <v>-385</v>
      </c>
      <c r="P4615" s="10">
        <v>142</v>
      </c>
      <c r="Q4615" s="10" t="s">
        <v>1935</v>
      </c>
      <c r="R4615" s="50">
        <f>+テーブル1[[#This Row],[合計金額]]*テーブル1[[#This Row],[自社報酬率％]]/100</f>
        <v>-385</v>
      </c>
    </row>
    <row r="4616" spans="1:18">
      <c r="A4616" s="7">
        <v>45931</v>
      </c>
      <c r="B4616" t="s">
        <v>21</v>
      </c>
      <c r="C4616" s="18" t="s">
        <v>1962</v>
      </c>
      <c r="D4616" s="41">
        <v>50</v>
      </c>
      <c r="E4616" s="41">
        <v>50</v>
      </c>
      <c r="F4616" s="18"/>
      <c r="G4616" s="28">
        <v>45931</v>
      </c>
      <c r="H4616" s="26" t="s">
        <v>1979</v>
      </c>
      <c r="I4616" s="49">
        <v>-72050</v>
      </c>
      <c r="J4616" s="24">
        <v>1</v>
      </c>
      <c r="K4616" s="24"/>
      <c r="L4616" s="91"/>
      <c r="M4616" s="24"/>
      <c r="N4616" s="12">
        <f t="shared" si="181"/>
        <v>1</v>
      </c>
      <c r="O4616" s="11">
        <v>-72050</v>
      </c>
      <c r="P4616" s="10">
        <v>143</v>
      </c>
      <c r="Q4616" s="10" t="s">
        <v>1935</v>
      </c>
      <c r="R4616" s="50">
        <f>+テーブル1[[#This Row],[合計金額]]*テーブル1[[#This Row],[自社報酬率％]]/100</f>
        <v>-36025</v>
      </c>
    </row>
    <row r="4617" spans="1:18">
      <c r="A4617" s="7">
        <v>45931</v>
      </c>
      <c r="B4617" t="s">
        <v>21</v>
      </c>
      <c r="C4617" s="18" t="s">
        <v>22</v>
      </c>
      <c r="D4617" s="41">
        <v>0</v>
      </c>
      <c r="E4617" s="41">
        <v>100</v>
      </c>
      <c r="F4617" s="18"/>
      <c r="G4617" s="28">
        <v>45931</v>
      </c>
      <c r="H4617" s="26"/>
      <c r="I4617" s="49">
        <v>-550</v>
      </c>
      <c r="J4617" s="24">
        <v>1</v>
      </c>
      <c r="K4617" s="24"/>
      <c r="L4617" s="91"/>
      <c r="M4617" s="24"/>
      <c r="N4617" s="12">
        <f t="shared" si="181"/>
        <v>1</v>
      </c>
      <c r="O4617" s="11">
        <v>-550</v>
      </c>
      <c r="P4617" s="10">
        <v>144</v>
      </c>
      <c r="Q4617" s="10" t="s">
        <v>1935</v>
      </c>
      <c r="R4617" s="50">
        <f>+テーブル1[[#This Row],[合計金額]]*テーブル1[[#This Row],[自社報酬率％]]/100</f>
        <v>-550</v>
      </c>
    </row>
    <row r="4618" spans="1:18">
      <c r="A4618" s="7">
        <v>45931</v>
      </c>
      <c r="B4618" t="s">
        <v>112</v>
      </c>
      <c r="C4618" s="18" t="s">
        <v>24</v>
      </c>
      <c r="D4618" s="41">
        <v>100</v>
      </c>
      <c r="E4618" s="41">
        <v>100</v>
      </c>
      <c r="F4618" s="83" t="s">
        <v>19</v>
      </c>
      <c r="G4618" s="85">
        <v>45962</v>
      </c>
      <c r="H4618" s="26" t="s">
        <v>3066</v>
      </c>
      <c r="I4618" s="49">
        <v>4965</v>
      </c>
      <c r="J4618" s="73">
        <v>4</v>
      </c>
      <c r="K4618" s="73">
        <v>0</v>
      </c>
      <c r="L4618" s="90">
        <v>0</v>
      </c>
      <c r="M4618" s="73">
        <v>0</v>
      </c>
      <c r="N4618" s="97">
        <f t="shared" si="181"/>
        <v>4</v>
      </c>
      <c r="O4618" s="11">
        <f t="shared" ref="O4618:O4651" si="183">+I4618*N4618</f>
        <v>19860</v>
      </c>
      <c r="P4618" s="10">
        <v>287</v>
      </c>
      <c r="Q4618" s="10" t="s">
        <v>1935</v>
      </c>
      <c r="R4618" s="50">
        <f>+テーブル1[[#This Row],[合計金額]]*テーブル1[[#This Row],[自社報酬率％]]/100</f>
        <v>19860</v>
      </c>
    </row>
    <row r="4619" spans="1:18">
      <c r="A4619" s="7">
        <v>45931</v>
      </c>
      <c r="B4619" t="s">
        <v>112</v>
      </c>
      <c r="C4619" s="18" t="s">
        <v>24</v>
      </c>
      <c r="D4619" s="41">
        <v>100</v>
      </c>
      <c r="E4619" s="41">
        <v>100</v>
      </c>
      <c r="F4619" s="104" t="s">
        <v>19</v>
      </c>
      <c r="G4619" s="102">
        <v>45992</v>
      </c>
      <c r="H4619" s="26" t="s">
        <v>3067</v>
      </c>
      <c r="I4619" s="49">
        <v>4967</v>
      </c>
      <c r="J4619" s="24">
        <v>4</v>
      </c>
      <c r="K4619" s="24">
        <v>0</v>
      </c>
      <c r="L4619" s="91">
        <v>0</v>
      </c>
      <c r="M4619" s="24">
        <v>0</v>
      </c>
      <c r="N4619" s="98">
        <f t="shared" si="181"/>
        <v>4</v>
      </c>
      <c r="O4619" s="11">
        <f t="shared" si="183"/>
        <v>19868</v>
      </c>
      <c r="P4619" s="10">
        <v>288</v>
      </c>
      <c r="Q4619" s="10" t="s">
        <v>1928</v>
      </c>
      <c r="R4619" s="50">
        <f>+テーブル1[[#This Row],[合計金額]]*テーブル1[[#This Row],[自社報酬率％]]/100</f>
        <v>19868</v>
      </c>
    </row>
    <row r="4620" spans="1:18">
      <c r="A4620" s="7">
        <v>45931</v>
      </c>
      <c r="B4620" t="s">
        <v>112</v>
      </c>
      <c r="C4620" s="18" t="s">
        <v>24</v>
      </c>
      <c r="D4620" s="41">
        <v>100</v>
      </c>
      <c r="E4620" s="41">
        <v>100</v>
      </c>
      <c r="F4620" s="104" t="s">
        <v>19</v>
      </c>
      <c r="G4620" s="102">
        <v>46023</v>
      </c>
      <c r="H4620" s="26" t="s">
        <v>3068</v>
      </c>
      <c r="I4620" s="49">
        <v>4967</v>
      </c>
      <c r="J4620" s="24">
        <v>4</v>
      </c>
      <c r="K4620" s="24">
        <v>0</v>
      </c>
      <c r="L4620" s="91">
        <v>0</v>
      </c>
      <c r="M4620" s="24">
        <v>0</v>
      </c>
      <c r="N4620" s="98">
        <f t="shared" si="181"/>
        <v>4</v>
      </c>
      <c r="O4620" s="11">
        <f t="shared" si="183"/>
        <v>19868</v>
      </c>
      <c r="P4620" s="10">
        <v>289</v>
      </c>
      <c r="Q4620" s="10" t="s">
        <v>1928</v>
      </c>
      <c r="R4620" s="50">
        <f>+テーブル1[[#This Row],[合計金額]]*テーブル1[[#This Row],[自社報酬率％]]/100</f>
        <v>19868</v>
      </c>
    </row>
    <row r="4621" spans="1:18">
      <c r="A4621" s="7">
        <v>45931</v>
      </c>
      <c r="B4621" t="s">
        <v>112</v>
      </c>
      <c r="C4621" s="18" t="s">
        <v>24</v>
      </c>
      <c r="D4621" s="41">
        <v>100</v>
      </c>
      <c r="E4621" s="41">
        <v>100</v>
      </c>
      <c r="F4621" s="104" t="s">
        <v>19</v>
      </c>
      <c r="G4621" s="102">
        <v>46054</v>
      </c>
      <c r="H4621" s="26" t="s">
        <v>3069</v>
      </c>
      <c r="I4621" s="49">
        <v>4967</v>
      </c>
      <c r="J4621" s="24">
        <v>4</v>
      </c>
      <c r="K4621" s="24">
        <v>0</v>
      </c>
      <c r="L4621" s="91">
        <v>0</v>
      </c>
      <c r="M4621" s="24">
        <v>0</v>
      </c>
      <c r="N4621" s="98">
        <f t="shared" si="181"/>
        <v>4</v>
      </c>
      <c r="O4621" s="11">
        <f t="shared" si="183"/>
        <v>19868</v>
      </c>
      <c r="P4621" s="10">
        <v>290</v>
      </c>
      <c r="Q4621" s="10" t="s">
        <v>1928</v>
      </c>
      <c r="R4621" s="50">
        <f>+テーブル1[[#This Row],[合計金額]]*テーブル1[[#This Row],[自社報酬率％]]/100</f>
        <v>19868</v>
      </c>
    </row>
    <row r="4622" spans="1:18">
      <c r="A4622" s="7">
        <v>45931</v>
      </c>
      <c r="B4622" t="s">
        <v>112</v>
      </c>
      <c r="C4622" s="18" t="s">
        <v>24</v>
      </c>
      <c r="D4622" s="41">
        <v>100</v>
      </c>
      <c r="E4622" s="41">
        <v>100</v>
      </c>
      <c r="F4622" s="104" t="s">
        <v>19</v>
      </c>
      <c r="G4622" s="102">
        <v>46082</v>
      </c>
      <c r="H4622" s="26" t="s">
        <v>3070</v>
      </c>
      <c r="I4622" s="49">
        <v>4967</v>
      </c>
      <c r="J4622" s="24">
        <v>4</v>
      </c>
      <c r="K4622" s="24">
        <v>0</v>
      </c>
      <c r="L4622" s="91">
        <v>0</v>
      </c>
      <c r="M4622" s="24">
        <v>0</v>
      </c>
      <c r="N4622" s="98">
        <f t="shared" si="181"/>
        <v>4</v>
      </c>
      <c r="O4622" s="11">
        <f t="shared" si="183"/>
        <v>19868</v>
      </c>
      <c r="P4622" s="10">
        <v>291</v>
      </c>
      <c r="Q4622" s="10" t="s">
        <v>1928</v>
      </c>
      <c r="R4622" s="50">
        <f>+テーブル1[[#This Row],[合計金額]]*テーブル1[[#This Row],[自社報酬率％]]/100</f>
        <v>19868</v>
      </c>
    </row>
    <row r="4623" spans="1:18">
      <c r="A4623" s="7">
        <v>45931</v>
      </c>
      <c r="B4623" t="s">
        <v>112</v>
      </c>
      <c r="C4623" s="18" t="s">
        <v>24</v>
      </c>
      <c r="D4623" s="41">
        <v>100</v>
      </c>
      <c r="E4623" s="41">
        <v>100</v>
      </c>
      <c r="F4623" s="84" t="s">
        <v>19</v>
      </c>
      <c r="G4623" s="86">
        <v>46113</v>
      </c>
      <c r="H4623" s="26" t="s">
        <v>3071</v>
      </c>
      <c r="I4623" s="49">
        <v>4967</v>
      </c>
      <c r="J4623" s="77">
        <v>4</v>
      </c>
      <c r="K4623" s="77">
        <v>0</v>
      </c>
      <c r="L4623" s="92">
        <v>0</v>
      </c>
      <c r="M4623" s="77">
        <v>0</v>
      </c>
      <c r="N4623" s="99">
        <f t="shared" si="181"/>
        <v>4</v>
      </c>
      <c r="O4623" s="11">
        <f t="shared" si="183"/>
        <v>19868</v>
      </c>
      <c r="P4623" s="10">
        <v>292</v>
      </c>
      <c r="Q4623" s="10" t="s">
        <v>1928</v>
      </c>
      <c r="R4623" s="50">
        <f>+テーブル1[[#This Row],[合計金額]]*テーブル1[[#This Row],[自社報酬率％]]/100</f>
        <v>19868</v>
      </c>
    </row>
    <row r="4624" spans="1:18">
      <c r="A4624" s="7">
        <v>45931</v>
      </c>
      <c r="B4624" t="s">
        <v>112</v>
      </c>
      <c r="C4624" s="18" t="s">
        <v>24</v>
      </c>
      <c r="D4624" s="41">
        <v>100</v>
      </c>
      <c r="E4624" s="41">
        <v>100</v>
      </c>
      <c r="F4624" s="104" t="s">
        <v>16</v>
      </c>
      <c r="G4624" s="102">
        <v>45962</v>
      </c>
      <c r="H4624" s="26" t="s">
        <v>2997</v>
      </c>
      <c r="I4624" s="49">
        <v>3000</v>
      </c>
      <c r="J4624" s="24">
        <v>6</v>
      </c>
      <c r="K4624" s="24">
        <v>0</v>
      </c>
      <c r="L4624" s="91">
        <v>0</v>
      </c>
      <c r="M4624" s="24">
        <v>0</v>
      </c>
      <c r="N4624" s="100">
        <f t="shared" si="181"/>
        <v>6</v>
      </c>
      <c r="O4624" s="11">
        <f t="shared" si="183"/>
        <v>18000</v>
      </c>
      <c r="P4624" s="10">
        <v>293</v>
      </c>
      <c r="Q4624" s="10" t="s">
        <v>1935</v>
      </c>
      <c r="R4624" s="50">
        <f>+テーブル1[[#This Row],[合計金額]]*テーブル1[[#This Row],[自社報酬率％]]/100</f>
        <v>18000</v>
      </c>
    </row>
    <row r="4625" spans="1:18">
      <c r="A4625" s="7">
        <v>45931</v>
      </c>
      <c r="B4625" t="s">
        <v>112</v>
      </c>
      <c r="C4625" s="18" t="s">
        <v>24</v>
      </c>
      <c r="D4625" s="41">
        <v>100</v>
      </c>
      <c r="E4625" s="41">
        <v>100</v>
      </c>
      <c r="F4625" s="104" t="s">
        <v>16</v>
      </c>
      <c r="G4625" s="102">
        <v>45962</v>
      </c>
      <c r="H4625" s="26" t="s">
        <v>3072</v>
      </c>
      <c r="I4625" s="49">
        <v>3000</v>
      </c>
      <c r="J4625" s="24">
        <v>1</v>
      </c>
      <c r="K4625" s="24">
        <v>0</v>
      </c>
      <c r="L4625" s="91">
        <v>0</v>
      </c>
      <c r="M4625" s="24">
        <v>0</v>
      </c>
      <c r="N4625" s="100">
        <f t="shared" si="181"/>
        <v>1</v>
      </c>
      <c r="O4625" s="11">
        <f t="shared" si="183"/>
        <v>3000</v>
      </c>
      <c r="P4625" s="10">
        <v>294</v>
      </c>
      <c r="Q4625" s="10" t="s">
        <v>1935</v>
      </c>
      <c r="R4625" s="50">
        <f>+テーブル1[[#This Row],[合計金額]]*テーブル1[[#This Row],[自社報酬率％]]/100</f>
        <v>3000</v>
      </c>
    </row>
    <row r="4626" spans="1:18">
      <c r="A4626" s="7">
        <v>45931</v>
      </c>
      <c r="B4626" t="s">
        <v>112</v>
      </c>
      <c r="C4626" s="18" t="s">
        <v>24</v>
      </c>
      <c r="D4626" s="41">
        <v>100</v>
      </c>
      <c r="E4626" s="41">
        <v>100</v>
      </c>
      <c r="F4626" s="104" t="s">
        <v>16</v>
      </c>
      <c r="G4626" s="102">
        <v>45962</v>
      </c>
      <c r="H4626" s="26" t="s">
        <v>3073</v>
      </c>
      <c r="I4626" s="49">
        <v>6300</v>
      </c>
      <c r="J4626" s="24">
        <v>1</v>
      </c>
      <c r="K4626" s="24">
        <v>0</v>
      </c>
      <c r="L4626" s="91">
        <v>0</v>
      </c>
      <c r="M4626" s="24">
        <v>0</v>
      </c>
      <c r="N4626" s="100">
        <f t="shared" si="181"/>
        <v>1</v>
      </c>
      <c r="O4626" s="11">
        <f t="shared" si="183"/>
        <v>6300</v>
      </c>
      <c r="P4626" s="10">
        <v>295</v>
      </c>
      <c r="Q4626" s="10" t="s">
        <v>1935</v>
      </c>
      <c r="R4626" s="50">
        <f>+テーブル1[[#This Row],[合計金額]]*テーブル1[[#This Row],[自社報酬率％]]/100</f>
        <v>6300</v>
      </c>
    </row>
    <row r="4627" spans="1:18">
      <c r="A4627" s="7">
        <v>45931</v>
      </c>
      <c r="B4627" t="s">
        <v>112</v>
      </c>
      <c r="C4627" s="18" t="s">
        <v>24</v>
      </c>
      <c r="D4627" s="41">
        <v>100</v>
      </c>
      <c r="E4627" s="41">
        <v>100</v>
      </c>
      <c r="F4627" s="105" t="s">
        <v>20</v>
      </c>
      <c r="G4627" s="28">
        <v>45931</v>
      </c>
      <c r="H4627" s="26" t="s">
        <v>2400</v>
      </c>
      <c r="I4627" s="49">
        <v>99800</v>
      </c>
      <c r="J4627" s="24">
        <v>1</v>
      </c>
      <c r="K4627" s="24">
        <v>0</v>
      </c>
      <c r="L4627" s="91">
        <v>0</v>
      </c>
      <c r="M4627" s="24">
        <v>0</v>
      </c>
      <c r="N4627" s="100">
        <f t="shared" si="181"/>
        <v>1</v>
      </c>
      <c r="O4627" s="11">
        <f t="shared" si="183"/>
        <v>99800</v>
      </c>
      <c r="P4627" s="10">
        <v>296</v>
      </c>
      <c r="Q4627" s="10" t="s">
        <v>1935</v>
      </c>
      <c r="R4627" s="50">
        <f>+テーブル1[[#This Row],[合計金額]]*テーブル1[[#This Row],[自社報酬率％]]/100</f>
        <v>99800</v>
      </c>
    </row>
    <row r="4628" spans="1:18">
      <c r="A4628" s="7">
        <v>45931</v>
      </c>
      <c r="B4628" t="s">
        <v>112</v>
      </c>
      <c r="C4628" s="18" t="s">
        <v>24</v>
      </c>
      <c r="D4628" s="41">
        <v>100</v>
      </c>
      <c r="E4628" s="41">
        <v>100</v>
      </c>
      <c r="F4628" s="105" t="s">
        <v>20</v>
      </c>
      <c r="G4628" s="28">
        <v>45931</v>
      </c>
      <c r="H4628" s="26" t="s">
        <v>2500</v>
      </c>
      <c r="I4628" s="49">
        <v>188000</v>
      </c>
      <c r="J4628" s="24">
        <v>1</v>
      </c>
      <c r="K4628" s="24">
        <v>0</v>
      </c>
      <c r="L4628" s="91">
        <v>0</v>
      </c>
      <c r="M4628" s="24">
        <v>0</v>
      </c>
      <c r="N4628" s="100">
        <f t="shared" si="181"/>
        <v>1</v>
      </c>
      <c r="O4628" s="11">
        <f t="shared" si="183"/>
        <v>188000</v>
      </c>
      <c r="P4628" s="10">
        <v>297</v>
      </c>
      <c r="Q4628" s="10" t="s">
        <v>1935</v>
      </c>
      <c r="R4628" s="50">
        <f>+テーブル1[[#This Row],[合計金額]]*テーブル1[[#This Row],[自社報酬率％]]/100</f>
        <v>188000</v>
      </c>
    </row>
    <row r="4629" spans="1:18">
      <c r="A4629" s="7">
        <v>45931</v>
      </c>
      <c r="B4629" t="s">
        <v>112</v>
      </c>
      <c r="C4629" s="18" t="s">
        <v>24</v>
      </c>
      <c r="D4629" s="41">
        <v>100</v>
      </c>
      <c r="E4629" s="41">
        <v>100</v>
      </c>
      <c r="F4629" s="105" t="s">
        <v>20</v>
      </c>
      <c r="G4629" s="28">
        <v>45931</v>
      </c>
      <c r="H4629" s="26" t="s">
        <v>3074</v>
      </c>
      <c r="I4629" s="49">
        <v>217800</v>
      </c>
      <c r="J4629" s="24">
        <v>1</v>
      </c>
      <c r="K4629" s="24">
        <v>0</v>
      </c>
      <c r="L4629" s="91">
        <v>0</v>
      </c>
      <c r="M4629" s="24">
        <v>0</v>
      </c>
      <c r="N4629" s="100">
        <f t="shared" si="181"/>
        <v>1</v>
      </c>
      <c r="O4629" s="11">
        <f t="shared" si="183"/>
        <v>217800</v>
      </c>
      <c r="P4629" s="10">
        <v>298</v>
      </c>
      <c r="Q4629" s="10" t="s">
        <v>1935</v>
      </c>
      <c r="R4629" s="50">
        <f>+テーブル1[[#This Row],[合計金額]]*テーブル1[[#This Row],[自社報酬率％]]/100</f>
        <v>217800</v>
      </c>
    </row>
    <row r="4630" spans="1:18">
      <c r="A4630" s="7">
        <v>45931</v>
      </c>
      <c r="B4630" t="s">
        <v>112</v>
      </c>
      <c r="C4630" s="18" t="s">
        <v>2043</v>
      </c>
      <c r="D4630" s="41">
        <v>60</v>
      </c>
      <c r="E4630" s="41">
        <v>40</v>
      </c>
      <c r="F4630" s="18" t="s">
        <v>17</v>
      </c>
      <c r="G4630" s="28">
        <v>45931</v>
      </c>
      <c r="H4630" s="26" t="s">
        <v>3062</v>
      </c>
      <c r="I4630" s="49">
        <v>349200</v>
      </c>
      <c r="J4630" s="24">
        <v>1</v>
      </c>
      <c r="K4630" s="24">
        <v>0</v>
      </c>
      <c r="L4630" s="91">
        <v>0</v>
      </c>
      <c r="M4630" s="24">
        <v>0</v>
      </c>
      <c r="N4630" s="12">
        <f>J4630-K4630-L4630-M4630</f>
        <v>1</v>
      </c>
      <c r="O4630" s="11">
        <f t="shared" si="183"/>
        <v>349200</v>
      </c>
      <c r="P4630" s="10">
        <v>299</v>
      </c>
      <c r="Q4630" s="10" t="s">
        <v>1935</v>
      </c>
      <c r="R4630" s="50">
        <f>+テーブル1[[#This Row],[合計金額]]*テーブル1[[#This Row],[自社報酬率％]]/100</f>
        <v>139680</v>
      </c>
    </row>
    <row r="4631" spans="1:18">
      <c r="A4631" s="7">
        <v>45931</v>
      </c>
      <c r="B4631" t="s">
        <v>112</v>
      </c>
      <c r="C4631" s="18" t="s">
        <v>2043</v>
      </c>
      <c r="D4631" s="41">
        <v>60</v>
      </c>
      <c r="E4631" s="41">
        <v>40</v>
      </c>
      <c r="F4631" s="18" t="s">
        <v>29</v>
      </c>
      <c r="G4631" s="28">
        <v>45931</v>
      </c>
      <c r="H4631" s="26" t="s">
        <v>2129</v>
      </c>
      <c r="I4631" s="49">
        <v>24800</v>
      </c>
      <c r="J4631" s="24">
        <v>4</v>
      </c>
      <c r="K4631" s="24">
        <v>0</v>
      </c>
      <c r="L4631" s="91">
        <v>0</v>
      </c>
      <c r="M4631" s="24">
        <v>0</v>
      </c>
      <c r="N4631" s="12">
        <f t="shared" ref="N4631:N4643" si="184">J4631-K4631-L4631-M4631</f>
        <v>4</v>
      </c>
      <c r="O4631" s="11">
        <f t="shared" si="183"/>
        <v>99200</v>
      </c>
      <c r="P4631" s="10">
        <v>300</v>
      </c>
      <c r="Q4631" s="10" t="s">
        <v>1935</v>
      </c>
      <c r="R4631" s="50">
        <f>+テーブル1[[#This Row],[合計金額]]*テーブル1[[#This Row],[自社報酬率％]]/100</f>
        <v>39680</v>
      </c>
    </row>
    <row r="4632" spans="1:18">
      <c r="A4632" s="7">
        <v>45931</v>
      </c>
      <c r="B4632" t="s">
        <v>112</v>
      </c>
      <c r="C4632" s="18" t="s">
        <v>2043</v>
      </c>
      <c r="D4632" s="41">
        <v>60</v>
      </c>
      <c r="E4632" s="41">
        <v>40</v>
      </c>
      <c r="F4632" s="18" t="s">
        <v>113</v>
      </c>
      <c r="G4632" s="28">
        <v>45931</v>
      </c>
      <c r="H4632" s="26" t="s">
        <v>2086</v>
      </c>
      <c r="I4632" s="49">
        <v>49800</v>
      </c>
      <c r="J4632" s="24">
        <v>2</v>
      </c>
      <c r="K4632" s="24">
        <v>0</v>
      </c>
      <c r="L4632" s="91">
        <v>0</v>
      </c>
      <c r="M4632" s="24">
        <v>0</v>
      </c>
      <c r="N4632" s="12">
        <f t="shared" si="184"/>
        <v>2</v>
      </c>
      <c r="O4632" s="11">
        <f t="shared" si="183"/>
        <v>99600</v>
      </c>
      <c r="P4632" s="10">
        <v>301</v>
      </c>
      <c r="Q4632" s="10" t="s">
        <v>1935</v>
      </c>
      <c r="R4632" s="50">
        <f>+テーブル1[[#This Row],[合計金額]]*テーブル1[[#This Row],[自社報酬率％]]/100</f>
        <v>39840</v>
      </c>
    </row>
    <row r="4633" spans="1:18">
      <c r="A4633" s="7">
        <v>45931</v>
      </c>
      <c r="B4633" t="s">
        <v>112</v>
      </c>
      <c r="C4633" s="18" t="s">
        <v>2043</v>
      </c>
      <c r="D4633" s="41">
        <v>60</v>
      </c>
      <c r="E4633" s="41">
        <v>40</v>
      </c>
      <c r="F4633" s="18" t="s">
        <v>19</v>
      </c>
      <c r="G4633" s="28">
        <v>45931</v>
      </c>
      <c r="H4633" s="26" t="s">
        <v>3075</v>
      </c>
      <c r="I4633" s="49">
        <v>198000</v>
      </c>
      <c r="J4633" s="24">
        <v>1</v>
      </c>
      <c r="K4633" s="24">
        <v>0</v>
      </c>
      <c r="L4633" s="91">
        <v>0</v>
      </c>
      <c r="M4633" s="24">
        <v>0</v>
      </c>
      <c r="N4633" s="12">
        <f t="shared" si="184"/>
        <v>1</v>
      </c>
      <c r="O4633" s="11">
        <f t="shared" si="183"/>
        <v>198000</v>
      </c>
      <c r="P4633" s="10">
        <v>302</v>
      </c>
      <c r="Q4633" s="10" t="s">
        <v>1935</v>
      </c>
      <c r="R4633" s="50">
        <f>+テーブル1[[#This Row],[合計金額]]*テーブル1[[#This Row],[自社報酬率％]]/100</f>
        <v>79200</v>
      </c>
    </row>
    <row r="4634" spans="1:18">
      <c r="A4634" s="7">
        <v>45931</v>
      </c>
      <c r="B4634" t="s">
        <v>112</v>
      </c>
      <c r="C4634" s="101" t="s">
        <v>2043</v>
      </c>
      <c r="D4634" s="41">
        <v>60</v>
      </c>
      <c r="E4634" s="41">
        <v>40</v>
      </c>
      <c r="F4634" s="101" t="s">
        <v>16</v>
      </c>
      <c r="G4634" s="102">
        <v>45962</v>
      </c>
      <c r="H4634" s="26" t="s">
        <v>3076</v>
      </c>
      <c r="I4634" s="49">
        <v>10780</v>
      </c>
      <c r="J4634" s="24">
        <v>2</v>
      </c>
      <c r="K4634" s="24">
        <v>0</v>
      </c>
      <c r="L4634" s="91">
        <v>0</v>
      </c>
      <c r="M4634" s="24">
        <v>0</v>
      </c>
      <c r="N4634" s="12">
        <f t="shared" si="184"/>
        <v>2</v>
      </c>
      <c r="O4634" s="11">
        <f t="shared" si="183"/>
        <v>21560</v>
      </c>
      <c r="P4634" s="10">
        <v>303</v>
      </c>
      <c r="Q4634" s="10" t="s">
        <v>1935</v>
      </c>
      <c r="R4634" s="50">
        <f>+テーブル1[[#This Row],[合計金額]]*テーブル1[[#This Row],[自社報酬率％]]/100</f>
        <v>8624</v>
      </c>
    </row>
    <row r="4635" spans="1:18">
      <c r="A4635" s="7">
        <v>45931</v>
      </c>
      <c r="B4635" t="s">
        <v>112</v>
      </c>
      <c r="C4635" s="101" t="s">
        <v>2043</v>
      </c>
      <c r="D4635" s="41">
        <v>60</v>
      </c>
      <c r="E4635" s="41">
        <v>40</v>
      </c>
      <c r="F4635" s="101" t="s">
        <v>16</v>
      </c>
      <c r="G4635" s="102">
        <v>45962</v>
      </c>
      <c r="H4635" s="26" t="s">
        <v>3077</v>
      </c>
      <c r="I4635" s="49">
        <v>10780</v>
      </c>
      <c r="J4635" s="24">
        <v>4</v>
      </c>
      <c r="K4635" s="24">
        <v>0</v>
      </c>
      <c r="L4635" s="91">
        <v>0</v>
      </c>
      <c r="M4635" s="24">
        <v>0</v>
      </c>
      <c r="N4635" s="12">
        <f t="shared" si="184"/>
        <v>4</v>
      </c>
      <c r="O4635" s="11">
        <f t="shared" si="183"/>
        <v>43120</v>
      </c>
      <c r="P4635" s="10">
        <v>304</v>
      </c>
      <c r="Q4635" s="10" t="s">
        <v>1935</v>
      </c>
      <c r="R4635" s="50">
        <f>+テーブル1[[#This Row],[合計金額]]*テーブル1[[#This Row],[自社報酬率％]]/100</f>
        <v>17248</v>
      </c>
    </row>
    <row r="4636" spans="1:18">
      <c r="A4636" s="7">
        <v>45931</v>
      </c>
      <c r="B4636" t="s">
        <v>112</v>
      </c>
      <c r="C4636" s="101" t="s">
        <v>2043</v>
      </c>
      <c r="D4636" s="41">
        <v>60</v>
      </c>
      <c r="E4636" s="41">
        <v>40</v>
      </c>
      <c r="F4636" s="101" t="s">
        <v>16</v>
      </c>
      <c r="G4636" s="102">
        <v>45962</v>
      </c>
      <c r="H4636" s="26" t="s">
        <v>3053</v>
      </c>
      <c r="I4636" s="49">
        <v>10780</v>
      </c>
      <c r="J4636" s="24">
        <v>4</v>
      </c>
      <c r="K4636" s="24">
        <v>0</v>
      </c>
      <c r="L4636" s="91">
        <v>0</v>
      </c>
      <c r="M4636" s="24">
        <v>0</v>
      </c>
      <c r="N4636" s="12">
        <f t="shared" si="184"/>
        <v>4</v>
      </c>
      <c r="O4636" s="11">
        <f t="shared" si="183"/>
        <v>43120</v>
      </c>
      <c r="P4636" s="10">
        <v>305</v>
      </c>
      <c r="Q4636" s="10" t="s">
        <v>1935</v>
      </c>
      <c r="R4636" s="50">
        <f>+テーブル1[[#This Row],[合計金額]]*テーブル1[[#This Row],[自社報酬率％]]/100</f>
        <v>17248</v>
      </c>
    </row>
    <row r="4637" spans="1:18">
      <c r="A4637" s="7">
        <v>45931</v>
      </c>
      <c r="B4637" t="s">
        <v>112</v>
      </c>
      <c r="C4637" s="101" t="s">
        <v>2048</v>
      </c>
      <c r="D4637" s="41">
        <v>50</v>
      </c>
      <c r="E4637" s="41">
        <v>50</v>
      </c>
      <c r="F4637" s="101" t="s">
        <v>16</v>
      </c>
      <c r="G4637" s="102">
        <v>45962</v>
      </c>
      <c r="H4637" s="26" t="s">
        <v>3078</v>
      </c>
      <c r="I4637" s="49">
        <v>27000</v>
      </c>
      <c r="J4637" s="24">
        <v>1</v>
      </c>
      <c r="K4637" s="24">
        <v>0</v>
      </c>
      <c r="L4637" s="91">
        <v>0</v>
      </c>
      <c r="M4637" s="24">
        <v>0</v>
      </c>
      <c r="N4637" s="12">
        <f t="shared" si="184"/>
        <v>1</v>
      </c>
      <c r="O4637" s="11">
        <f t="shared" si="183"/>
        <v>27000</v>
      </c>
      <c r="P4637" s="10">
        <v>306</v>
      </c>
      <c r="Q4637" s="10" t="s">
        <v>1935</v>
      </c>
      <c r="R4637" s="50">
        <f>+テーブル1[[#This Row],[合計金額]]*テーブル1[[#This Row],[自社報酬率％]]/100</f>
        <v>13500</v>
      </c>
    </row>
    <row r="4638" spans="1:18">
      <c r="A4638" s="7">
        <v>45931</v>
      </c>
      <c r="B4638" t="s">
        <v>112</v>
      </c>
      <c r="C4638" s="18" t="s">
        <v>2045</v>
      </c>
      <c r="D4638" s="41">
        <v>40</v>
      </c>
      <c r="E4638" s="41">
        <v>60</v>
      </c>
      <c r="F4638" s="18" t="s">
        <v>113</v>
      </c>
      <c r="G4638" s="28">
        <v>45931</v>
      </c>
      <c r="H4638" s="26" t="s">
        <v>3079</v>
      </c>
      <c r="I4638" s="49">
        <v>130000</v>
      </c>
      <c r="J4638" s="24">
        <v>1</v>
      </c>
      <c r="K4638" s="24">
        <v>0</v>
      </c>
      <c r="L4638" s="91">
        <v>0</v>
      </c>
      <c r="M4638" s="24">
        <v>0</v>
      </c>
      <c r="N4638" s="12">
        <f t="shared" si="184"/>
        <v>1</v>
      </c>
      <c r="O4638" s="11">
        <f t="shared" si="183"/>
        <v>130000</v>
      </c>
      <c r="P4638" s="10">
        <v>307</v>
      </c>
      <c r="Q4638" s="10" t="s">
        <v>1935</v>
      </c>
      <c r="R4638" s="50">
        <f>+テーブル1[[#This Row],[合計金額]]*テーブル1[[#This Row],[自社報酬率％]]/100</f>
        <v>78000</v>
      </c>
    </row>
    <row r="4639" spans="1:18">
      <c r="A4639" s="7">
        <v>45931</v>
      </c>
      <c r="B4639" t="s">
        <v>112</v>
      </c>
      <c r="C4639" s="101" t="s">
        <v>2045</v>
      </c>
      <c r="D4639" s="41">
        <v>40</v>
      </c>
      <c r="E4639" s="41">
        <v>60</v>
      </c>
      <c r="F4639" s="101" t="s">
        <v>16</v>
      </c>
      <c r="G4639" s="102">
        <v>45962</v>
      </c>
      <c r="H4639" s="26" t="s">
        <v>3054</v>
      </c>
      <c r="I4639" s="49">
        <v>16500</v>
      </c>
      <c r="J4639" s="24">
        <v>2</v>
      </c>
      <c r="K4639" s="24">
        <v>0</v>
      </c>
      <c r="L4639" s="91">
        <v>0</v>
      </c>
      <c r="M4639" s="24">
        <v>0</v>
      </c>
      <c r="N4639" s="12">
        <f t="shared" si="184"/>
        <v>2</v>
      </c>
      <c r="O4639" s="11">
        <f t="shared" si="183"/>
        <v>33000</v>
      </c>
      <c r="P4639" s="10">
        <v>308</v>
      </c>
      <c r="Q4639" s="10" t="s">
        <v>1935</v>
      </c>
      <c r="R4639" s="50">
        <f>+テーブル1[[#This Row],[合計金額]]*テーブル1[[#This Row],[自社報酬率％]]/100</f>
        <v>19800</v>
      </c>
    </row>
    <row r="4640" spans="1:18">
      <c r="A4640" s="7">
        <v>45931</v>
      </c>
      <c r="B4640" t="s">
        <v>112</v>
      </c>
      <c r="C4640" s="18" t="s">
        <v>2045</v>
      </c>
      <c r="D4640" s="41">
        <v>40</v>
      </c>
      <c r="E4640" s="41">
        <v>60</v>
      </c>
      <c r="F4640" s="18" t="s">
        <v>20</v>
      </c>
      <c r="G4640" s="28">
        <v>45931</v>
      </c>
      <c r="H4640" s="26" t="s">
        <v>3065</v>
      </c>
      <c r="I4640" s="49">
        <v>3000</v>
      </c>
      <c r="J4640" s="24">
        <v>6</v>
      </c>
      <c r="K4640" s="24">
        <v>0</v>
      </c>
      <c r="L4640" s="91">
        <v>0</v>
      </c>
      <c r="M4640" s="24">
        <v>0</v>
      </c>
      <c r="N4640" s="12">
        <f t="shared" si="184"/>
        <v>6</v>
      </c>
      <c r="O4640" s="11">
        <f t="shared" si="183"/>
        <v>18000</v>
      </c>
      <c r="P4640" s="10">
        <v>309</v>
      </c>
      <c r="Q4640" s="10" t="s">
        <v>1935</v>
      </c>
      <c r="R4640" s="50">
        <f>+テーブル1[[#This Row],[合計金額]]*テーブル1[[#This Row],[自社報酬率％]]/100</f>
        <v>10800</v>
      </c>
    </row>
    <row r="4641" spans="1:18">
      <c r="A4641" s="7">
        <v>45931</v>
      </c>
      <c r="B4641" t="s">
        <v>112</v>
      </c>
      <c r="C4641" s="18" t="s">
        <v>2094</v>
      </c>
      <c r="D4641" s="41">
        <v>40</v>
      </c>
      <c r="E4641" s="41">
        <v>60</v>
      </c>
      <c r="F4641" s="18" t="s">
        <v>27</v>
      </c>
      <c r="G4641" s="28">
        <v>45931</v>
      </c>
      <c r="H4641" s="26" t="s">
        <v>2513</v>
      </c>
      <c r="I4641" s="49">
        <v>99600</v>
      </c>
      <c r="J4641" s="24">
        <v>1</v>
      </c>
      <c r="K4641" s="24">
        <v>0</v>
      </c>
      <c r="L4641" s="91">
        <v>0</v>
      </c>
      <c r="M4641" s="24">
        <v>0</v>
      </c>
      <c r="N4641" s="12">
        <f t="shared" si="184"/>
        <v>1</v>
      </c>
      <c r="O4641" s="11">
        <f t="shared" si="183"/>
        <v>99600</v>
      </c>
      <c r="P4641" s="10">
        <v>310</v>
      </c>
      <c r="Q4641" s="10" t="s">
        <v>1935</v>
      </c>
      <c r="R4641" s="50">
        <f>+テーブル1[[#This Row],[合計金額]]*テーブル1[[#This Row],[自社報酬率％]]/100</f>
        <v>59760</v>
      </c>
    </row>
    <row r="4642" spans="1:18">
      <c r="A4642" s="7">
        <v>45931</v>
      </c>
      <c r="B4642" t="s">
        <v>112</v>
      </c>
      <c r="C4642" s="101" t="s">
        <v>2050</v>
      </c>
      <c r="D4642" s="41">
        <v>50</v>
      </c>
      <c r="E4642" s="41">
        <v>50</v>
      </c>
      <c r="F4642" s="101" t="s">
        <v>16</v>
      </c>
      <c r="G4642" s="102">
        <v>45962</v>
      </c>
      <c r="H4642" s="26" t="s">
        <v>3055</v>
      </c>
      <c r="I4642" s="49">
        <v>9800</v>
      </c>
      <c r="J4642" s="24">
        <v>2</v>
      </c>
      <c r="K4642" s="24">
        <v>0</v>
      </c>
      <c r="L4642" s="91">
        <v>0</v>
      </c>
      <c r="M4642" s="24">
        <v>0</v>
      </c>
      <c r="N4642" s="12">
        <f t="shared" si="184"/>
        <v>2</v>
      </c>
      <c r="O4642" s="11">
        <f t="shared" si="183"/>
        <v>19600</v>
      </c>
      <c r="P4642" s="10">
        <v>311</v>
      </c>
      <c r="Q4642" s="10" t="s">
        <v>1935</v>
      </c>
      <c r="R4642" s="50">
        <f>+テーブル1[[#This Row],[合計金額]]*テーブル1[[#This Row],[自社報酬率％]]/100</f>
        <v>9800</v>
      </c>
    </row>
    <row r="4643" spans="1:18">
      <c r="A4643" s="7">
        <v>45931</v>
      </c>
      <c r="B4643" t="s">
        <v>112</v>
      </c>
      <c r="C4643" s="101" t="s">
        <v>2038</v>
      </c>
      <c r="D4643" s="41">
        <v>50</v>
      </c>
      <c r="E4643" s="41">
        <v>50</v>
      </c>
      <c r="F4643" s="101" t="s">
        <v>16</v>
      </c>
      <c r="G4643" s="102">
        <v>45962</v>
      </c>
      <c r="H4643" s="26" t="s">
        <v>3080</v>
      </c>
      <c r="I4643" s="49">
        <v>30000</v>
      </c>
      <c r="J4643" s="24">
        <v>1</v>
      </c>
      <c r="K4643" s="24">
        <v>0</v>
      </c>
      <c r="L4643" s="91">
        <v>0</v>
      </c>
      <c r="M4643" s="24">
        <v>0</v>
      </c>
      <c r="N4643" s="12">
        <f t="shared" si="184"/>
        <v>1</v>
      </c>
      <c r="O4643" s="11">
        <f t="shared" si="183"/>
        <v>30000</v>
      </c>
      <c r="P4643" s="10">
        <v>312</v>
      </c>
      <c r="Q4643" s="10" t="s">
        <v>1935</v>
      </c>
      <c r="R4643" s="50">
        <f>+テーブル1[[#This Row],[合計金額]]*テーブル1[[#This Row],[自社報酬率％]]/100</f>
        <v>15000</v>
      </c>
    </row>
    <row r="4644" spans="1:18">
      <c r="A4644" s="7">
        <v>45901</v>
      </c>
      <c r="B4644" t="s">
        <v>118</v>
      </c>
      <c r="C4644" s="18" t="s">
        <v>2050</v>
      </c>
      <c r="D4644" s="41">
        <v>50</v>
      </c>
      <c r="E4644" s="41">
        <v>50</v>
      </c>
      <c r="F4644" s="18" t="s">
        <v>20</v>
      </c>
      <c r="G4644" s="28">
        <v>45901</v>
      </c>
      <c r="H4644" s="26" t="s">
        <v>2422</v>
      </c>
      <c r="I4644" s="49">
        <v>398000</v>
      </c>
      <c r="J4644" s="24">
        <v>1</v>
      </c>
      <c r="K4644" s="24">
        <v>0</v>
      </c>
      <c r="L4644" s="91">
        <v>0</v>
      </c>
      <c r="M4644" s="24">
        <v>0</v>
      </c>
      <c r="N4644" s="12">
        <f>J4644-K4644-L4644-M4644</f>
        <v>1</v>
      </c>
      <c r="O4644" s="11">
        <f t="shared" si="183"/>
        <v>398000</v>
      </c>
      <c r="P4644" s="10">
        <v>13</v>
      </c>
      <c r="Q4644" s="10" t="s">
        <v>1935</v>
      </c>
      <c r="R4644" s="50">
        <f>+テーブル1[[#This Row],[合計金額]]*テーブル1[[#This Row],[自社報酬率％]]/100</f>
        <v>199000</v>
      </c>
    </row>
    <row r="4645" spans="1:18">
      <c r="A4645" s="7">
        <v>45901</v>
      </c>
      <c r="B4645" t="s">
        <v>118</v>
      </c>
      <c r="C4645" s="18" t="s">
        <v>2050</v>
      </c>
      <c r="D4645" s="41">
        <v>50</v>
      </c>
      <c r="E4645" s="41">
        <v>50</v>
      </c>
      <c r="F4645" s="18" t="s">
        <v>20</v>
      </c>
      <c r="G4645" s="28">
        <v>45901</v>
      </c>
      <c r="H4645" s="26" t="s">
        <v>2422</v>
      </c>
      <c r="I4645" s="49">
        <v>298000</v>
      </c>
      <c r="J4645" s="24">
        <v>1</v>
      </c>
      <c r="K4645" s="24">
        <v>0</v>
      </c>
      <c r="L4645" s="91">
        <v>0</v>
      </c>
      <c r="M4645" s="24">
        <v>0</v>
      </c>
      <c r="N4645" s="12">
        <f>J4645-K4645-L4645-M4645</f>
        <v>1</v>
      </c>
      <c r="O4645" s="11">
        <f t="shared" si="183"/>
        <v>298000</v>
      </c>
      <c r="P4645" s="10">
        <v>14</v>
      </c>
      <c r="Q4645" s="10" t="s">
        <v>1935</v>
      </c>
      <c r="R4645" s="50">
        <f>+テーブル1[[#This Row],[合計金額]]*テーブル1[[#This Row],[自社報酬率％]]/100</f>
        <v>149000</v>
      </c>
    </row>
    <row r="4646" spans="1:18">
      <c r="A4646" s="7">
        <v>45901</v>
      </c>
      <c r="B4646" t="s">
        <v>118</v>
      </c>
      <c r="C4646" s="18" t="s">
        <v>2050</v>
      </c>
      <c r="D4646" s="41">
        <v>50</v>
      </c>
      <c r="E4646" s="41">
        <v>50</v>
      </c>
      <c r="F4646" s="18" t="s">
        <v>20</v>
      </c>
      <c r="G4646" s="28">
        <v>45901</v>
      </c>
      <c r="H4646" s="26" t="s">
        <v>2422</v>
      </c>
      <c r="I4646" s="49">
        <v>298000</v>
      </c>
      <c r="J4646" s="24">
        <v>5</v>
      </c>
      <c r="K4646" s="24">
        <v>0</v>
      </c>
      <c r="L4646" s="91">
        <v>0</v>
      </c>
      <c r="M4646" s="24">
        <v>0</v>
      </c>
      <c r="N4646" s="12">
        <f>J4646-K4646-L4646-M4646</f>
        <v>5</v>
      </c>
      <c r="O4646" s="11">
        <f t="shared" si="183"/>
        <v>1490000</v>
      </c>
      <c r="P4646" s="10">
        <v>15</v>
      </c>
      <c r="Q4646" s="10" t="s">
        <v>1935</v>
      </c>
      <c r="R4646" s="50">
        <f>+テーブル1[[#This Row],[合計金額]]*テーブル1[[#This Row],[自社報酬率％]]/100</f>
        <v>745000</v>
      </c>
    </row>
    <row r="4647" spans="1:18">
      <c r="A4647" s="7">
        <v>45931</v>
      </c>
      <c r="B4647" t="s">
        <v>1929</v>
      </c>
      <c r="C4647" s="18" t="s">
        <v>24</v>
      </c>
      <c r="D4647" s="41">
        <v>100</v>
      </c>
      <c r="E4647" s="41">
        <v>100</v>
      </c>
      <c r="F4647" s="105" t="s">
        <v>17</v>
      </c>
      <c r="G4647" s="28">
        <v>45931</v>
      </c>
      <c r="H4647" s="26" t="s">
        <v>3032</v>
      </c>
      <c r="I4647" s="49">
        <v>286000</v>
      </c>
      <c r="J4647" s="24">
        <v>10</v>
      </c>
      <c r="K4647" s="24">
        <v>0</v>
      </c>
      <c r="L4647" s="91">
        <v>0</v>
      </c>
      <c r="M4647" s="24">
        <v>0</v>
      </c>
      <c r="N4647" s="100">
        <f>J4647-K4647-L4647-M4647</f>
        <v>10</v>
      </c>
      <c r="O4647" s="11">
        <f t="shared" si="183"/>
        <v>2860000</v>
      </c>
      <c r="P4647" s="10">
        <v>20</v>
      </c>
      <c r="Q4647" s="10" t="s">
        <v>1935</v>
      </c>
      <c r="R4647" s="50">
        <f>+テーブル1[[#This Row],[合計金額]]*テーブル1[[#This Row],[自社報酬率％]]/100</f>
        <v>2860000</v>
      </c>
    </row>
    <row r="4648" spans="1:18">
      <c r="A4648" s="7">
        <v>45901</v>
      </c>
      <c r="B4648" t="s">
        <v>41</v>
      </c>
      <c r="C4648" s="18" t="s">
        <v>42</v>
      </c>
      <c r="D4648" s="41">
        <v>0</v>
      </c>
      <c r="E4648" s="41">
        <v>100</v>
      </c>
      <c r="F4648" s="18"/>
      <c r="G4648" s="28">
        <v>45901</v>
      </c>
      <c r="H4648" s="26" t="s">
        <v>3081</v>
      </c>
      <c r="I4648" s="53">
        <v>-20724</v>
      </c>
      <c r="J4648" s="24">
        <v>1</v>
      </c>
      <c r="K4648" s="24"/>
      <c r="L4648" s="91"/>
      <c r="M4648" s="24"/>
      <c r="N4648" s="12">
        <f t="shared" ref="N4648:N4650" si="185">J4648-K4648-L4648-M4648</f>
        <v>1</v>
      </c>
      <c r="O4648" s="11">
        <f t="shared" si="183"/>
        <v>-20724</v>
      </c>
      <c r="P4648" s="10">
        <v>30</v>
      </c>
      <c r="Q4648" s="10" t="s">
        <v>1935</v>
      </c>
      <c r="R4648" s="50">
        <f>+テーブル1[[#This Row],[合計金額]]*テーブル1[[#This Row],[自社報酬率％]]/100</f>
        <v>-20724</v>
      </c>
    </row>
    <row r="4649" spans="1:18">
      <c r="A4649" s="7">
        <v>45901</v>
      </c>
      <c r="B4649" t="s">
        <v>41</v>
      </c>
      <c r="C4649" s="18" t="s">
        <v>42</v>
      </c>
      <c r="D4649" s="41">
        <v>0</v>
      </c>
      <c r="E4649" s="41">
        <v>100</v>
      </c>
      <c r="F4649" s="18"/>
      <c r="G4649" s="28">
        <v>45901</v>
      </c>
      <c r="H4649" s="26" t="s">
        <v>3082</v>
      </c>
      <c r="I4649" s="53">
        <v>233413</v>
      </c>
      <c r="J4649" s="24">
        <v>1</v>
      </c>
      <c r="K4649" s="24"/>
      <c r="L4649" s="91"/>
      <c r="M4649" s="24"/>
      <c r="N4649" s="12">
        <f t="shared" si="185"/>
        <v>1</v>
      </c>
      <c r="O4649" s="11">
        <f t="shared" si="183"/>
        <v>233413</v>
      </c>
      <c r="P4649" s="10">
        <v>31</v>
      </c>
      <c r="Q4649" s="10" t="s">
        <v>1935</v>
      </c>
      <c r="R4649" s="50">
        <f>+テーブル1[[#This Row],[合計金額]]*テーブル1[[#This Row],[自社報酬率％]]/100</f>
        <v>233413</v>
      </c>
    </row>
    <row r="4650" spans="1:18">
      <c r="A4650" s="7">
        <v>45901</v>
      </c>
      <c r="B4650" t="s">
        <v>2770</v>
      </c>
      <c r="C4650" s="18" t="s">
        <v>24</v>
      </c>
      <c r="D4650" s="41">
        <v>100</v>
      </c>
      <c r="E4650" s="41">
        <v>100</v>
      </c>
      <c r="F4650" s="18"/>
      <c r="G4650" s="28">
        <v>45901</v>
      </c>
      <c r="H4650" s="26" t="s">
        <v>3083</v>
      </c>
      <c r="I4650" s="53">
        <v>46678</v>
      </c>
      <c r="J4650" s="24">
        <v>1</v>
      </c>
      <c r="K4650" s="24"/>
      <c r="L4650" s="91"/>
      <c r="M4650" s="24"/>
      <c r="N4650" s="12">
        <f t="shared" si="185"/>
        <v>1</v>
      </c>
      <c r="O4650" s="11">
        <f t="shared" si="183"/>
        <v>46678</v>
      </c>
      <c r="P4650" s="10">
        <v>32</v>
      </c>
      <c r="Q4650" s="10" t="s">
        <v>1935</v>
      </c>
      <c r="R4650" s="50">
        <f>+テーブル1[[#This Row],[合計金額]]*テーブル1[[#This Row],[自社報酬率％]]/100</f>
        <v>46678</v>
      </c>
    </row>
    <row r="4651" spans="1:18">
      <c r="A4651" s="7">
        <v>45931</v>
      </c>
      <c r="B4651" t="s">
        <v>118</v>
      </c>
      <c r="C4651" s="18" t="s">
        <v>2050</v>
      </c>
      <c r="D4651" s="41">
        <v>50</v>
      </c>
      <c r="E4651" s="41">
        <v>50</v>
      </c>
      <c r="F4651" s="18" t="s">
        <v>20</v>
      </c>
      <c r="G4651" s="28">
        <v>45931</v>
      </c>
      <c r="H4651" s="26" t="s">
        <v>2422</v>
      </c>
      <c r="I4651" s="49">
        <v>298000</v>
      </c>
      <c r="J4651" s="24">
        <v>1</v>
      </c>
      <c r="K4651" s="24">
        <v>0</v>
      </c>
      <c r="L4651" s="91">
        <v>0</v>
      </c>
      <c r="M4651" s="24">
        <v>0</v>
      </c>
      <c r="N4651" s="12">
        <f>J4651-K4651-L4651-M4651</f>
        <v>1</v>
      </c>
      <c r="O4651" s="11">
        <f t="shared" si="183"/>
        <v>298000</v>
      </c>
      <c r="P4651" s="10">
        <v>16</v>
      </c>
      <c r="Q4651" s="10" t="s">
        <v>1935</v>
      </c>
      <c r="R4651" s="50">
        <f>+テーブル1[[#This Row],[合計金額]]*テーブル1[[#This Row],[自社報酬率％]]/100</f>
        <v>149000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2025-11-11T02:25:12Z</dcterms:modified>
</cp:coreProperties>
</file>