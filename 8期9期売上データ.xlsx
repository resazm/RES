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1EAE156B-6370-4E17-A006-8B0AB93B5D27}" xr6:coauthVersionLast="47" xr6:coauthVersionMax="47" xr10:uidLastSave="{00000000-0000-0000-0000-000000000000}"/>
  <bookViews>
    <workbookView xWindow="1695" yWindow="0" windowWidth="26010" windowHeight="15480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N5510" i="2"/>
  <c r="O5510" i="2" s="1"/>
  <c r="N5509" i="2"/>
  <c r="O5509" i="2" s="1"/>
  <c r="N5508" i="2"/>
  <c r="O5508" i="2" s="1"/>
  <c r="N5507" i="2"/>
  <c r="O5507" i="2" s="1"/>
  <c r="N5506" i="2"/>
  <c r="O5506" i="2" s="1"/>
  <c r="N5505" i="2"/>
  <c r="O5505" i="2" s="1"/>
  <c r="N5504" i="2"/>
  <c r="O5504" i="2" s="1"/>
  <c r="N5503" i="2"/>
  <c r="O5503" i="2" s="1"/>
  <c r="N5502" i="2"/>
  <c r="O5502" i="2" s="1"/>
  <c r="N5501" i="2"/>
  <c r="O5501" i="2" s="1"/>
  <c r="N5500" i="2"/>
  <c r="O5500" i="2" s="1"/>
  <c r="N5499" i="2"/>
  <c r="O5499" i="2" s="1"/>
  <c r="N5498" i="2"/>
  <c r="O5498" i="2" s="1"/>
  <c r="N5497" i="2"/>
  <c r="O5497" i="2" s="1"/>
  <c r="N5496" i="2"/>
  <c r="O5496" i="2" s="1"/>
  <c r="N5495" i="2"/>
  <c r="O5495" i="2" s="1"/>
  <c r="N5494" i="2"/>
  <c r="O5494" i="2" s="1"/>
  <c r="N5493" i="2"/>
  <c r="O5493" i="2" s="1"/>
  <c r="N5492" i="2"/>
  <c r="O5492" i="2" s="1"/>
  <c r="N5491" i="2"/>
  <c r="O5491" i="2" s="1"/>
  <c r="N5490" i="2"/>
  <c r="O5490" i="2" s="1"/>
  <c r="N5489" i="2"/>
  <c r="O5489" i="2" s="1"/>
  <c r="O5488" i="2"/>
  <c r="N5488" i="2"/>
  <c r="N5487" i="2"/>
  <c r="O5487" i="2" s="1"/>
  <c r="N5486" i="2"/>
  <c r="O5486" i="2" s="1"/>
  <c r="N5485" i="2"/>
  <c r="O5485" i="2" s="1"/>
  <c r="N5484" i="2"/>
  <c r="O5484" i="2" s="1"/>
  <c r="N5483" i="2"/>
  <c r="O5483" i="2" s="1"/>
  <c r="N5482" i="2"/>
  <c r="O5482" i="2" s="1"/>
  <c r="N5481" i="2"/>
  <c r="O5481" i="2" s="1"/>
  <c r="O5480" i="2"/>
  <c r="N5480" i="2"/>
  <c r="N5479" i="2"/>
  <c r="O5479" i="2" s="1"/>
  <c r="N5478" i="2"/>
  <c r="O5478" i="2" s="1"/>
  <c r="N5477" i="2"/>
  <c r="O5477" i="2" s="1"/>
  <c r="N5476" i="2"/>
  <c r="O5476" i="2" s="1"/>
  <c r="N5475" i="2"/>
  <c r="O5475" i="2" s="1"/>
  <c r="N5474" i="2"/>
  <c r="O5474" i="2" s="1"/>
  <c r="N5473" i="2"/>
  <c r="O5473" i="2" s="1"/>
  <c r="N5472" i="2"/>
  <c r="O5472" i="2" s="1"/>
  <c r="O5471" i="2"/>
  <c r="N5471" i="2"/>
  <c r="N5470" i="2"/>
  <c r="O5470" i="2" s="1"/>
  <c r="N5469" i="2"/>
  <c r="O5469" i="2" s="1"/>
  <c r="N5468" i="2"/>
  <c r="O5468" i="2" s="1"/>
  <c r="N5467" i="2"/>
  <c r="O5467" i="2" s="1"/>
  <c r="N5466" i="2"/>
  <c r="O5466" i="2" s="1"/>
  <c r="N5465" i="2"/>
  <c r="O5465" i="2" s="1"/>
  <c r="N5464" i="2"/>
  <c r="O5464" i="2" s="1"/>
  <c r="N5463" i="2"/>
  <c r="O5463" i="2" s="1"/>
  <c r="N5462" i="2"/>
  <c r="O5462" i="2" s="1"/>
  <c r="N5461" i="2"/>
  <c r="O5461" i="2" s="1"/>
  <c r="N5460" i="2"/>
  <c r="O5460" i="2" s="1"/>
  <c r="N5459" i="2"/>
  <c r="O5459" i="2" s="1"/>
  <c r="N5458" i="2"/>
  <c r="O5458" i="2" s="1"/>
  <c r="N5457" i="2"/>
  <c r="O5457" i="2" s="1"/>
  <c r="N5456" i="2"/>
  <c r="O5456" i="2" s="1"/>
  <c r="N5455" i="2"/>
  <c r="O5455" i="2" s="1"/>
  <c r="N5454" i="2"/>
  <c r="O5454" i="2" s="1"/>
  <c r="N5453" i="2"/>
  <c r="N5452" i="2"/>
  <c r="N5451" i="2"/>
  <c r="N5450" i="2"/>
  <c r="N5449" i="2"/>
  <c r="N5448" i="2"/>
  <c r="N5447" i="2"/>
  <c r="N5446" i="2"/>
  <c r="N5445" i="2"/>
  <c r="N5444" i="2"/>
  <c r="N5443" i="2"/>
  <c r="N5442" i="2"/>
  <c r="O5441" i="2"/>
  <c r="N5441" i="2"/>
  <c r="O5440" i="2"/>
  <c r="N5440" i="2"/>
  <c r="O5439" i="2"/>
  <c r="N5439" i="2"/>
  <c r="O5438" i="2"/>
  <c r="N5438" i="2"/>
  <c r="O5437" i="2"/>
  <c r="N5437" i="2"/>
  <c r="O5436" i="2"/>
  <c r="N5436" i="2"/>
  <c r="O5435" i="2"/>
  <c r="N5435" i="2"/>
  <c r="O5434" i="2"/>
  <c r="N5434" i="2"/>
  <c r="O5433" i="2"/>
  <c r="N5433" i="2"/>
  <c r="O5432" i="2"/>
  <c r="N5432" i="2"/>
  <c r="O5431" i="2"/>
  <c r="N5431" i="2"/>
  <c r="O5430" i="2"/>
  <c r="N5430" i="2"/>
  <c r="O5429" i="2"/>
  <c r="N5429" i="2"/>
  <c r="O5428" i="2"/>
  <c r="N5428" i="2"/>
  <c r="O5427" i="2"/>
  <c r="N5427" i="2"/>
  <c r="O5426" i="2"/>
  <c r="N5426" i="2"/>
  <c r="O5425" i="2"/>
  <c r="N5425" i="2"/>
  <c r="O5424" i="2"/>
  <c r="N5424" i="2"/>
  <c r="O5423" i="2"/>
  <c r="N5423" i="2"/>
  <c r="O5422" i="2"/>
  <c r="N5422" i="2"/>
  <c r="O5421" i="2"/>
  <c r="N5421" i="2"/>
  <c r="N5420" i="2"/>
  <c r="O5420" i="2" s="1"/>
  <c r="N5419" i="2"/>
  <c r="O5419" i="2" s="1"/>
  <c r="N5418" i="2"/>
  <c r="O5418" i="2" s="1"/>
  <c r="O5417" i="2"/>
  <c r="N5417" i="2"/>
  <c r="N5416" i="2"/>
  <c r="O5416" i="2" s="1"/>
  <c r="N5415" i="2"/>
  <c r="O5415" i="2" s="1"/>
  <c r="O5414" i="2"/>
  <c r="N5414" i="2"/>
  <c r="N5413" i="2"/>
  <c r="O5413" i="2" s="1"/>
  <c r="N5412" i="2"/>
  <c r="O5412" i="2" s="1"/>
  <c r="N5411" i="2"/>
  <c r="O5411" i="2" s="1"/>
  <c r="N5410" i="2"/>
  <c r="O5410" i="2" s="1"/>
  <c r="N5409" i="2"/>
  <c r="O5409" i="2" s="1"/>
  <c r="N5408" i="2"/>
  <c r="O5408" i="2" s="1"/>
  <c r="N5407" i="2"/>
  <c r="O5407" i="2" s="1"/>
  <c r="O5406" i="2"/>
  <c r="N5406" i="2"/>
  <c r="N5405" i="2"/>
  <c r="O5405" i="2" s="1"/>
  <c r="N5404" i="2"/>
  <c r="O5404" i="2" s="1"/>
  <c r="N5403" i="2"/>
  <c r="O5403" i="2" s="1"/>
  <c r="N5402" i="2"/>
  <c r="O5402" i="2" s="1"/>
  <c r="N5401" i="2"/>
  <c r="O5401" i="2" s="1"/>
  <c r="O5400" i="2"/>
  <c r="N5400" i="2"/>
  <c r="N5399" i="2"/>
  <c r="O5399" i="2" s="1"/>
  <c r="N5398" i="2"/>
  <c r="O5398" i="2" s="1"/>
  <c r="N5397" i="2"/>
  <c r="O5397" i="2" s="1"/>
  <c r="N5396" i="2"/>
  <c r="O5396" i="2" s="1"/>
  <c r="N5395" i="2"/>
  <c r="O5395" i="2" s="1"/>
  <c r="O5394" i="2"/>
  <c r="N5394" i="2"/>
  <c r="O5393" i="2"/>
  <c r="N5393" i="2"/>
  <c r="N5392" i="2"/>
  <c r="O5392" i="2" s="1"/>
  <c r="N5391" i="2"/>
  <c r="O5391" i="2" s="1"/>
  <c r="N5390" i="2"/>
  <c r="O5390" i="2" s="1"/>
  <c r="N5389" i="2"/>
  <c r="O5389" i="2" s="1"/>
  <c r="N5388" i="2"/>
  <c r="O5388" i="2" s="1"/>
  <c r="N5387" i="2"/>
  <c r="O5387" i="2" s="1"/>
  <c r="N5386" i="2"/>
  <c r="O5386" i="2" s="1"/>
  <c r="N5385" i="2"/>
  <c r="O5385" i="2" s="1"/>
  <c r="N5384" i="2"/>
  <c r="O5384" i="2" s="1"/>
  <c r="N5383" i="2"/>
  <c r="O5383" i="2" s="1"/>
  <c r="N5382" i="2"/>
  <c r="O5382" i="2" s="1"/>
  <c r="N5381" i="2"/>
  <c r="O5381" i="2" s="1"/>
  <c r="N5380" i="2"/>
  <c r="O5380" i="2" s="1"/>
  <c r="O5379" i="2"/>
  <c r="N5379" i="2"/>
  <c r="N5378" i="2"/>
  <c r="O5378" i="2" s="1"/>
  <c r="N5377" i="2"/>
  <c r="O5377" i="2" s="1"/>
  <c r="N5376" i="2"/>
  <c r="O5376" i="2" s="1"/>
  <c r="O5375" i="2"/>
  <c r="N5375" i="2"/>
  <c r="N5374" i="2"/>
  <c r="O5374" i="2" s="1"/>
  <c r="N5373" i="2"/>
  <c r="O5373" i="2" s="1"/>
  <c r="O5372" i="2"/>
  <c r="N5372" i="2"/>
  <c r="N5371" i="2"/>
  <c r="O5371" i="2" s="1"/>
  <c r="N5370" i="2"/>
  <c r="O5370" i="2" s="1"/>
  <c r="N5369" i="2"/>
  <c r="O5369" i="2" s="1"/>
  <c r="N5368" i="2"/>
  <c r="O5368" i="2" s="1"/>
  <c r="N5367" i="2"/>
  <c r="O5367" i="2" s="1"/>
  <c r="N5366" i="2"/>
  <c r="O5366" i="2" s="1"/>
  <c r="N5365" i="2"/>
  <c r="O5365" i="2" s="1"/>
  <c r="O5364" i="2"/>
  <c r="N5364" i="2"/>
  <c r="N5363" i="2"/>
  <c r="O5363" i="2" s="1"/>
  <c r="N5362" i="2"/>
  <c r="O5362" i="2" s="1"/>
  <c r="N5361" i="2"/>
  <c r="O5361" i="2" s="1"/>
  <c r="N5360" i="2"/>
  <c r="O5360" i="2" s="1"/>
  <c r="N5359" i="2"/>
  <c r="O5359" i="2" s="1"/>
  <c r="N5358" i="2"/>
  <c r="O5358" i="2" s="1"/>
  <c r="O5357" i="2"/>
  <c r="N5357" i="2"/>
  <c r="O5356" i="2"/>
  <c r="N5356" i="2"/>
  <c r="O5355" i="2"/>
  <c r="N5355" i="2"/>
  <c r="N5354" i="2"/>
  <c r="O5354" i="2" s="1"/>
  <c r="O5353" i="2"/>
  <c r="N5353" i="2"/>
  <c r="O5352" i="2"/>
  <c r="N5352" i="2"/>
  <c r="N5351" i="2"/>
  <c r="O5351" i="2" s="1"/>
  <c r="N5350" i="2"/>
  <c r="O5350" i="2" s="1"/>
  <c r="N5349" i="2"/>
  <c r="O5349" i="2" s="1"/>
  <c r="N5348" i="2"/>
  <c r="O5348" i="2" s="1"/>
  <c r="N5347" i="2"/>
  <c r="O5347" i="2" s="1"/>
  <c r="N5346" i="2"/>
  <c r="O5346" i="2" s="1"/>
  <c r="N5345" i="2"/>
  <c r="O5345" i="2" s="1"/>
  <c r="N5344" i="2"/>
  <c r="O5344" i="2" s="1"/>
  <c r="N5343" i="2"/>
  <c r="O5343" i="2" s="1"/>
  <c r="O5342" i="2"/>
  <c r="N5342" i="2"/>
  <c r="O5341" i="2"/>
  <c r="N5341" i="2"/>
  <c r="N5340" i="2"/>
  <c r="O5340" i="2" s="1"/>
  <c r="N5339" i="2"/>
  <c r="O5339" i="2" s="1"/>
  <c r="N5338" i="2"/>
  <c r="O5338" i="2" s="1"/>
  <c r="N5337" i="2"/>
  <c r="O5337" i="2" s="1"/>
  <c r="N5336" i="2"/>
  <c r="O5336" i="2" s="1"/>
  <c r="N5335" i="2"/>
  <c r="O5335" i="2" s="1"/>
  <c r="N5334" i="2"/>
  <c r="O5334" i="2" s="1"/>
  <c r="O5333" i="2"/>
  <c r="N5333" i="2"/>
  <c r="N5332" i="2"/>
  <c r="O5332" i="2" s="1"/>
  <c r="N5331" i="2"/>
  <c r="O5331" i="2" s="1"/>
  <c r="N5330" i="2"/>
  <c r="O5330" i="2" s="1"/>
  <c r="N5329" i="2"/>
  <c r="O5329" i="2" s="1"/>
  <c r="N5328" i="2"/>
  <c r="O5328" i="2" s="1"/>
  <c r="N5327" i="2"/>
  <c r="O5327" i="2" s="1"/>
  <c r="N5326" i="2"/>
  <c r="O5326" i="2" s="1"/>
  <c r="N5325" i="2"/>
  <c r="O5325" i="2" s="1"/>
  <c r="N5324" i="2"/>
  <c r="O5324" i="2" s="1"/>
  <c r="N5323" i="2"/>
  <c r="O5323" i="2" s="1"/>
  <c r="N5322" i="2"/>
  <c r="O5322" i="2" s="1"/>
  <c r="O5321" i="2"/>
  <c r="N5321" i="2"/>
  <c r="N5320" i="2"/>
  <c r="O5320" i="2" s="1"/>
  <c r="N5319" i="2"/>
  <c r="O5319" i="2" s="1"/>
  <c r="N5318" i="2"/>
  <c r="O5318" i="2" s="1"/>
  <c r="N5317" i="2"/>
  <c r="O5317" i="2" s="1"/>
  <c r="N5316" i="2"/>
  <c r="O5316" i="2" s="1"/>
  <c r="N5315" i="2"/>
  <c r="O5315" i="2" s="1"/>
  <c r="O5314" i="2"/>
  <c r="N5314" i="2"/>
  <c r="O5313" i="2"/>
  <c r="N5313" i="2"/>
  <c r="N5312" i="2"/>
  <c r="O5312" i="2" s="1"/>
  <c r="N5311" i="2"/>
  <c r="O5311" i="2" s="1"/>
  <c r="N5310" i="2"/>
  <c r="O5310" i="2" s="1"/>
  <c r="N5309" i="2"/>
  <c r="O5309" i="2" s="1"/>
  <c r="O5308" i="2"/>
  <c r="N5308" i="2"/>
  <c r="O5307" i="2"/>
  <c r="N5307" i="2"/>
  <c r="N5306" i="2"/>
  <c r="O5306" i="2" s="1"/>
  <c r="N5305" i="2"/>
  <c r="O5305" i="2" s="1"/>
  <c r="N5304" i="2"/>
  <c r="O5304" i="2" s="1"/>
  <c r="N5303" i="2"/>
  <c r="O5303" i="2" s="1"/>
  <c r="O5302" i="2"/>
  <c r="N5302" i="2"/>
  <c r="N5301" i="2"/>
  <c r="O5301" i="2" s="1"/>
  <c r="N5300" i="2"/>
  <c r="O5300" i="2" s="1"/>
  <c r="N5299" i="2"/>
  <c r="O5299" i="2" s="1"/>
  <c r="N5298" i="2"/>
  <c r="O5298" i="2" s="1"/>
  <c r="O5297" i="2"/>
  <c r="N5297" i="2"/>
  <c r="N5296" i="2"/>
  <c r="O5296" i="2" s="1"/>
  <c r="N5295" i="2"/>
  <c r="O5295" i="2" s="1"/>
  <c r="O5294" i="2"/>
  <c r="N5294" i="2"/>
  <c r="N5293" i="2"/>
  <c r="O5293" i="2" s="1"/>
  <c r="N5292" i="2"/>
  <c r="O5292" i="2" s="1"/>
  <c r="N5291" i="2"/>
  <c r="O5291" i="2" s="1"/>
  <c r="N5290" i="2"/>
  <c r="O5290" i="2" s="1"/>
  <c r="N5289" i="2"/>
  <c r="O5289" i="2" s="1"/>
  <c r="N5288" i="2"/>
  <c r="O5288" i="2" s="1"/>
  <c r="N5287" i="2"/>
  <c r="O5287" i="2" s="1"/>
  <c r="O5286" i="2"/>
  <c r="N5286" i="2"/>
  <c r="N5285" i="2"/>
  <c r="O5285" i="2" s="1"/>
  <c r="N5284" i="2"/>
  <c r="O5284" i="2" s="1"/>
  <c r="O5283" i="2"/>
  <c r="N5283" i="2"/>
  <c r="O5282" i="2"/>
  <c r="N5282" i="2"/>
  <c r="N5281" i="2"/>
  <c r="O5281" i="2" s="1"/>
  <c r="N5280" i="2"/>
  <c r="O5280" i="2" s="1"/>
  <c r="N5279" i="2"/>
  <c r="O5279" i="2" s="1"/>
  <c r="N5278" i="2"/>
  <c r="O5278" i="2" s="1"/>
  <c r="N5277" i="2"/>
  <c r="O5277" i="2" s="1"/>
  <c r="N5276" i="2"/>
  <c r="O5276" i="2" s="1"/>
  <c r="N5275" i="2"/>
  <c r="O5275" i="2" s="1"/>
  <c r="N5274" i="2"/>
  <c r="O5274" i="2" s="1"/>
  <c r="N5273" i="2"/>
  <c r="O5273" i="2" s="1"/>
  <c r="N5272" i="2"/>
  <c r="O5272" i="2" s="1"/>
  <c r="N5271" i="2"/>
  <c r="O5271" i="2" s="1"/>
  <c r="O5270" i="2"/>
  <c r="N5270" i="2"/>
  <c r="N5269" i="2"/>
  <c r="O5269" i="2" s="1"/>
  <c r="N5268" i="2"/>
  <c r="O5268" i="2" s="1"/>
  <c r="N5267" i="2"/>
  <c r="O5267" i="2" s="1"/>
  <c r="N5266" i="2"/>
  <c r="O5266" i="2" s="1"/>
  <c r="N5265" i="2"/>
  <c r="O5265" i="2" s="1"/>
  <c r="N5264" i="2"/>
  <c r="O5264" i="2" s="1"/>
  <c r="N5263" i="2"/>
  <c r="O5263" i="2" s="1"/>
  <c r="N5262" i="2"/>
  <c r="O5262" i="2" s="1"/>
  <c r="N5261" i="2"/>
  <c r="O5261" i="2" s="1"/>
  <c r="N5260" i="2"/>
  <c r="O5260" i="2" s="1"/>
  <c r="N5259" i="2"/>
  <c r="O5259" i="2" s="1"/>
  <c r="N5258" i="2"/>
  <c r="O5258" i="2" s="1"/>
  <c r="N5257" i="2"/>
  <c r="O5257" i="2" s="1"/>
  <c r="O5256" i="2"/>
  <c r="N5256" i="2"/>
  <c r="N5255" i="2"/>
  <c r="O5255" i="2" s="1"/>
  <c r="N5254" i="2"/>
  <c r="O5254" i="2" s="1"/>
  <c r="N5253" i="2"/>
  <c r="O5253" i="2" s="1"/>
  <c r="N5252" i="2"/>
  <c r="O5252" i="2" s="1"/>
  <c r="O5251" i="2"/>
  <c r="N5251" i="2"/>
  <c r="N5250" i="2"/>
  <c r="O5250" i="2" s="1"/>
  <c r="N5249" i="2"/>
  <c r="O5249" i="2" s="1"/>
  <c r="O5248" i="2"/>
  <c r="N5248" i="2"/>
  <c r="N5247" i="2"/>
  <c r="O5247" i="2" s="1"/>
  <c r="N5246" i="2"/>
  <c r="O5246" i="2" s="1"/>
  <c r="O5245" i="2"/>
  <c r="N5245" i="2"/>
  <c r="N5244" i="2"/>
  <c r="O5244" i="2" s="1"/>
  <c r="N5243" i="2"/>
  <c r="O5243" i="2" s="1"/>
  <c r="N5242" i="2"/>
  <c r="O5242" i="2" s="1"/>
  <c r="N5241" i="2"/>
  <c r="O5241" i="2" s="1"/>
  <c r="O5240" i="2"/>
  <c r="N5240" i="2"/>
  <c r="O5239" i="2"/>
  <c r="N5239" i="2"/>
  <c r="N5238" i="2"/>
  <c r="O5238" i="2" s="1"/>
  <c r="O5237" i="2"/>
  <c r="N5237" i="2"/>
  <c r="N5236" i="2"/>
  <c r="O5236" i="2" s="1"/>
  <c r="N5235" i="2"/>
  <c r="O5235" i="2" s="1"/>
  <c r="N5234" i="2"/>
  <c r="O5234" i="2" s="1"/>
  <c r="N5233" i="2"/>
  <c r="O5233" i="2" s="1"/>
  <c r="O5232" i="2"/>
  <c r="N5232" i="2"/>
  <c r="O5231" i="2"/>
  <c r="N5231" i="2"/>
  <c r="N5230" i="2"/>
  <c r="O5230" i="2" s="1"/>
  <c r="O5229" i="2"/>
  <c r="N5229" i="2"/>
  <c r="N5228" i="2"/>
  <c r="O5228" i="2" s="1"/>
  <c r="N5227" i="2"/>
  <c r="O5227" i="2" s="1"/>
  <c r="N5226" i="2"/>
  <c r="O5226" i="2" s="1"/>
  <c r="N5225" i="2"/>
  <c r="O5225" i="2" s="1"/>
  <c r="O5224" i="2"/>
  <c r="N5224" i="2"/>
  <c r="O5223" i="2"/>
  <c r="N5223" i="2"/>
  <c r="N5222" i="2"/>
  <c r="O5222" i="2" s="1"/>
  <c r="O5221" i="2"/>
  <c r="N5221" i="2"/>
  <c r="N5220" i="2"/>
  <c r="O5220" i="2" s="1"/>
  <c r="N5219" i="2"/>
  <c r="O5219" i="2" s="1"/>
  <c r="N5218" i="2"/>
  <c r="O5218" i="2" s="1"/>
  <c r="N5217" i="2"/>
  <c r="O5217" i="2" s="1"/>
  <c r="N5216" i="2"/>
  <c r="N5215" i="2"/>
  <c r="N5214" i="2"/>
  <c r="N5213" i="2"/>
  <c r="N5212" i="2"/>
  <c r="N5211" i="2"/>
  <c r="N5210" i="2"/>
  <c r="N5209" i="2"/>
  <c r="N5208" i="2"/>
  <c r="N5207" i="2"/>
  <c r="N5206" i="2"/>
  <c r="N5205" i="2"/>
  <c r="O5204" i="2"/>
  <c r="N5204" i="2"/>
  <c r="O5203" i="2"/>
  <c r="N5203" i="2"/>
  <c r="O5202" i="2"/>
  <c r="N5202" i="2"/>
  <c r="O5201" i="2"/>
  <c r="N5201" i="2"/>
  <c r="O5200" i="2"/>
  <c r="N5200" i="2"/>
  <c r="O5199" i="2"/>
  <c r="N5199" i="2"/>
  <c r="O5198" i="2"/>
  <c r="N5198" i="2"/>
  <c r="N5197" i="2"/>
  <c r="O5197" i="2" s="1"/>
  <c r="N5196" i="2"/>
  <c r="O5196" i="2" s="1"/>
  <c r="N5195" i="2"/>
  <c r="O5195" i="2" s="1"/>
  <c r="O5194" i="2"/>
  <c r="N5194" i="2"/>
  <c r="N5193" i="2"/>
  <c r="O5193" i="2" s="1"/>
  <c r="N5192" i="2"/>
  <c r="O5192" i="2" s="1"/>
  <c r="O5191" i="2"/>
  <c r="N5191" i="2"/>
  <c r="N5190" i="2"/>
  <c r="O5190" i="2" s="1"/>
  <c r="N5189" i="2"/>
  <c r="O5189" i="2" s="1"/>
  <c r="N5188" i="2"/>
  <c r="O5188" i="2" s="1"/>
  <c r="N5187" i="2"/>
  <c r="O5187" i="2" s="1"/>
  <c r="O5186" i="2"/>
  <c r="N5186" i="2"/>
  <c r="O5185" i="2"/>
  <c r="N5185" i="2"/>
  <c r="N5184" i="2"/>
  <c r="O5184" i="2" s="1"/>
  <c r="O5183" i="2"/>
  <c r="N5183" i="2"/>
  <c r="N5182" i="2"/>
  <c r="O5182" i="2" s="1"/>
  <c r="N5181" i="2"/>
  <c r="O5181" i="2" s="1"/>
  <c r="N5180" i="2"/>
  <c r="O5180" i="2" s="1"/>
  <c r="N5179" i="2"/>
  <c r="O5179" i="2" s="1"/>
  <c r="O5178" i="2"/>
  <c r="N5178" i="2"/>
  <c r="O5177" i="2"/>
  <c r="N5177" i="2"/>
  <c r="N5176" i="2"/>
  <c r="O5176" i="2" s="1"/>
  <c r="O5175" i="2"/>
  <c r="N5175" i="2"/>
  <c r="N5174" i="2"/>
  <c r="O5174" i="2" s="1"/>
  <c r="N5173" i="2"/>
  <c r="O5173" i="2" s="1"/>
  <c r="N5172" i="2"/>
  <c r="O5172" i="2" s="1"/>
  <c r="N5171" i="2"/>
  <c r="O5171" i="2" s="1"/>
  <c r="O5170" i="2"/>
  <c r="N5170" i="2"/>
  <c r="O5169" i="2"/>
  <c r="N5169" i="2"/>
  <c r="N5168" i="2"/>
  <c r="O5168" i="2" s="1"/>
  <c r="O5167" i="2"/>
  <c r="N5167" i="2"/>
  <c r="N5166" i="2"/>
  <c r="O5166" i="2" s="1"/>
  <c r="N5165" i="2"/>
  <c r="O5165" i="2" s="1"/>
  <c r="N5164" i="2"/>
  <c r="O5164" i="2" s="1"/>
  <c r="N5163" i="2"/>
  <c r="O5163" i="2" s="1"/>
  <c r="O5162" i="2"/>
  <c r="N5162" i="2"/>
  <c r="O5161" i="2"/>
  <c r="N5161" i="2"/>
  <c r="N5160" i="2"/>
  <c r="O5160" i="2" s="1"/>
  <c r="O5159" i="2"/>
  <c r="N5159" i="2"/>
  <c r="N5158" i="2"/>
  <c r="O5158" i="2" s="1"/>
  <c r="N5157" i="2"/>
  <c r="O5157" i="2" s="1"/>
  <c r="N5156" i="2"/>
  <c r="O5156" i="2" s="1"/>
  <c r="N5155" i="2"/>
  <c r="O5155" i="2" s="1"/>
  <c r="O5154" i="2"/>
  <c r="N5154" i="2"/>
  <c r="O5153" i="2"/>
  <c r="N5153" i="2"/>
  <c r="N5152" i="2"/>
  <c r="O5152" i="2" s="1"/>
  <c r="O5151" i="2"/>
  <c r="N5151" i="2"/>
  <c r="N5150" i="2"/>
  <c r="O5150" i="2" s="1"/>
  <c r="N5149" i="2"/>
  <c r="O5149" i="2" s="1"/>
  <c r="N5148" i="2"/>
  <c r="O5148" i="2" s="1"/>
  <c r="N5147" i="2"/>
  <c r="O5147" i="2" s="1"/>
  <c r="O5146" i="2"/>
  <c r="N5146" i="2"/>
  <c r="O5145" i="2"/>
  <c r="N5145" i="2"/>
  <c r="N5144" i="2"/>
  <c r="O5144" i="2" s="1"/>
  <c r="O5143" i="2"/>
  <c r="N5143" i="2"/>
  <c r="N5142" i="2"/>
  <c r="O5142" i="2" s="1"/>
  <c r="N5141" i="2"/>
  <c r="O5141" i="2" s="1"/>
  <c r="N5140" i="2"/>
  <c r="O5140" i="2" s="1"/>
  <c r="N5139" i="2"/>
  <c r="O5139" i="2" s="1"/>
  <c r="O5138" i="2"/>
  <c r="N5138" i="2"/>
  <c r="O5137" i="2"/>
  <c r="N5137" i="2"/>
  <c r="N5136" i="2"/>
  <c r="O5136" i="2" s="1"/>
  <c r="O5135" i="2"/>
  <c r="N5135" i="2"/>
  <c r="N5134" i="2"/>
  <c r="O5134" i="2" s="1"/>
  <c r="N5133" i="2"/>
  <c r="O5133" i="2" s="1"/>
  <c r="N5132" i="2"/>
  <c r="O5132" i="2" s="1"/>
  <c r="N5131" i="2"/>
  <c r="O5131" i="2" s="1"/>
  <c r="O5130" i="2"/>
  <c r="N5130" i="2"/>
  <c r="O5129" i="2"/>
  <c r="N5129" i="2"/>
  <c r="N5128" i="2"/>
  <c r="O5128" i="2" s="1"/>
  <c r="O5127" i="2"/>
  <c r="N5127" i="2"/>
  <c r="N5126" i="2"/>
  <c r="O5126" i="2" s="1"/>
  <c r="N5125" i="2"/>
  <c r="O5125" i="2" s="1"/>
  <c r="N5124" i="2"/>
  <c r="O5124" i="2" s="1"/>
  <c r="N5123" i="2"/>
  <c r="O5123" i="2" s="1"/>
  <c r="O5122" i="2"/>
  <c r="N5122" i="2"/>
  <c r="O5121" i="2"/>
  <c r="N5121" i="2"/>
  <c r="N5120" i="2"/>
  <c r="O5120" i="2" s="1"/>
  <c r="O5119" i="2"/>
  <c r="N5119" i="2"/>
  <c r="N5118" i="2"/>
  <c r="O5118" i="2" s="1"/>
  <c r="N5117" i="2"/>
  <c r="O5117" i="2" s="1"/>
  <c r="N5116" i="2"/>
  <c r="O5116" i="2" s="1"/>
  <c r="N5115" i="2"/>
  <c r="O5115" i="2" s="1"/>
  <c r="O5114" i="2"/>
  <c r="N5114" i="2"/>
  <c r="O5113" i="2"/>
  <c r="N5113" i="2"/>
  <c r="N5112" i="2"/>
  <c r="O5112" i="2" s="1"/>
  <c r="O5111" i="2"/>
  <c r="N5111" i="2"/>
  <c r="N5110" i="2"/>
  <c r="O5110" i="2" s="1"/>
  <c r="N5109" i="2"/>
  <c r="O5109" i="2" s="1"/>
  <c r="N5108" i="2"/>
  <c r="O5108" i="2" s="1"/>
  <c r="N5107" i="2"/>
  <c r="O5107" i="2" s="1"/>
  <c r="O5106" i="2"/>
  <c r="N5106" i="2"/>
  <c r="O5105" i="2"/>
  <c r="N5105" i="2"/>
  <c r="N5104" i="2"/>
  <c r="O5104" i="2" s="1"/>
  <c r="O5103" i="2"/>
  <c r="N5103" i="2"/>
  <c r="N5102" i="2"/>
  <c r="O5102" i="2" s="1"/>
  <c r="N5101" i="2"/>
  <c r="O5101" i="2" s="1"/>
  <c r="N5100" i="2"/>
  <c r="O5100" i="2" s="1"/>
  <c r="N5099" i="2"/>
  <c r="O5099" i="2" s="1"/>
  <c r="O5098" i="2"/>
  <c r="N5098" i="2"/>
  <c r="O5097" i="2"/>
  <c r="N5097" i="2"/>
  <c r="N5096" i="2"/>
  <c r="O5096" i="2" s="1"/>
  <c r="O5095" i="2"/>
  <c r="N5095" i="2"/>
  <c r="N5094" i="2"/>
  <c r="O5094" i="2" s="1"/>
  <c r="N5093" i="2"/>
  <c r="O5093" i="2" s="1"/>
  <c r="N5092" i="2"/>
  <c r="O5092" i="2" s="1"/>
  <c r="N5091" i="2"/>
  <c r="O5091" i="2" s="1"/>
  <c r="O5090" i="2"/>
  <c r="N5090" i="2"/>
  <c r="N5089" i="2"/>
  <c r="O5089" i="2" s="1"/>
  <c r="N5088" i="2"/>
  <c r="O5088" i="2" s="1"/>
  <c r="O5087" i="2"/>
  <c r="N5087" i="2"/>
  <c r="N5086" i="2"/>
  <c r="O5086" i="2" s="1"/>
  <c r="N5085" i="2"/>
  <c r="O5085" i="2" s="1"/>
  <c r="N5084" i="2"/>
  <c r="O5084" i="2" s="1"/>
  <c r="N5083" i="2"/>
  <c r="O5083" i="2" s="1"/>
  <c r="O5082" i="2"/>
  <c r="N5082" i="2"/>
  <c r="O5081" i="2"/>
  <c r="N5081" i="2"/>
  <c r="N5080" i="2"/>
  <c r="O5080" i="2" s="1"/>
  <c r="O5079" i="2"/>
  <c r="N5079" i="2"/>
  <c r="N5078" i="2"/>
  <c r="O5078" i="2" s="1"/>
  <c r="N5077" i="2"/>
  <c r="O5077" i="2" s="1"/>
  <c r="N5076" i="2"/>
  <c r="O5076" i="2" s="1"/>
  <c r="N5075" i="2"/>
  <c r="O5075" i="2" s="1"/>
  <c r="O5074" i="2"/>
  <c r="N5074" i="2"/>
  <c r="O5073" i="2"/>
  <c r="N5073" i="2"/>
  <c r="N5072" i="2"/>
  <c r="O5072" i="2" s="1"/>
  <c r="O5071" i="2"/>
  <c r="N5071" i="2"/>
  <c r="N5070" i="2"/>
  <c r="O5070" i="2" s="1"/>
  <c r="N5069" i="2"/>
  <c r="O5069" i="2" s="1"/>
  <c r="N5068" i="2"/>
  <c r="O5068" i="2" s="1"/>
  <c r="N5067" i="2"/>
  <c r="O5067" i="2" s="1"/>
  <c r="O5066" i="2"/>
  <c r="N5066" i="2"/>
  <c r="N5065" i="2"/>
  <c r="O5065" i="2" s="1"/>
  <c r="O5064" i="2"/>
  <c r="N5064" i="2"/>
  <c r="N5063" i="2"/>
  <c r="O5063" i="2" s="1"/>
  <c r="O5062" i="2"/>
  <c r="N5062" i="2"/>
  <c r="O5061" i="2"/>
  <c r="N5061" i="2"/>
  <c r="N5060" i="2"/>
  <c r="O5060" i="2" s="1"/>
  <c r="N5059" i="2"/>
  <c r="O5059" i="2" s="1"/>
  <c r="N5058" i="2"/>
  <c r="O5058" i="2" s="1"/>
  <c r="N5057" i="2"/>
  <c r="O5057" i="2" s="1"/>
  <c r="O5056" i="2"/>
  <c r="N5056" i="2"/>
  <c r="O5055" i="2"/>
  <c r="N5055" i="2"/>
  <c r="O5054" i="2"/>
  <c r="N5054" i="2"/>
  <c r="O5053" i="2"/>
  <c r="N5053" i="2"/>
  <c r="N5052" i="2"/>
  <c r="O5052" i="2" s="1"/>
  <c r="O5051" i="2"/>
  <c r="N5051" i="2"/>
  <c r="O5050" i="2"/>
  <c r="N5050" i="2"/>
  <c r="N5049" i="2"/>
  <c r="O5049" i="2" s="1"/>
  <c r="O5048" i="2"/>
  <c r="N5048" i="2"/>
  <c r="O5047" i="2"/>
  <c r="N5047" i="2"/>
  <c r="O5046" i="2"/>
  <c r="N5046" i="2"/>
  <c r="O5045" i="2"/>
  <c r="N5045" i="2"/>
  <c r="N5044" i="2"/>
  <c r="O5044" i="2" s="1"/>
  <c r="O5043" i="2"/>
  <c r="N5043" i="2"/>
  <c r="O5042" i="2"/>
  <c r="N5042" i="2"/>
  <c r="N5041" i="2"/>
  <c r="O5041" i="2" s="1"/>
  <c r="O5040" i="2"/>
  <c r="N5040" i="2"/>
  <c r="O5039" i="2"/>
  <c r="N5039" i="2"/>
  <c r="O5038" i="2"/>
  <c r="N5038" i="2"/>
  <c r="O5037" i="2"/>
  <c r="N5037" i="2"/>
  <c r="O5036" i="2"/>
  <c r="N5036" i="2"/>
  <c r="O5035" i="2"/>
  <c r="N5035" i="2"/>
  <c r="O5034" i="2"/>
  <c r="N5034" i="2"/>
  <c r="O5033" i="2"/>
  <c r="N5033" i="2"/>
  <c r="O5032" i="2"/>
  <c r="N5032" i="2"/>
  <c r="O5031" i="2"/>
  <c r="N5031" i="2"/>
  <c r="O5030" i="2"/>
  <c r="N5030" i="2"/>
  <c r="O5029" i="2"/>
  <c r="N5029" i="2"/>
  <c r="O5028" i="2"/>
  <c r="N5028" i="2"/>
  <c r="O5027" i="2"/>
  <c r="N5027" i="2"/>
  <c r="O5026" i="2"/>
  <c r="N5026" i="2"/>
  <c r="O5025" i="2"/>
  <c r="N5025" i="2"/>
  <c r="O5024" i="2"/>
  <c r="N5024" i="2"/>
  <c r="O5023" i="2"/>
  <c r="N5023" i="2"/>
  <c r="O5022" i="2"/>
  <c r="N5022" i="2"/>
  <c r="O5021" i="2"/>
  <c r="N5021" i="2"/>
  <c r="O5020" i="2"/>
  <c r="N5020" i="2"/>
  <c r="O5019" i="2"/>
  <c r="N5019" i="2"/>
  <c r="O5018" i="2"/>
  <c r="N5018" i="2"/>
  <c r="O5017" i="2"/>
  <c r="N5017" i="2"/>
  <c r="O5016" i="2"/>
  <c r="N5016" i="2"/>
  <c r="O5015" i="2"/>
  <c r="N5015" i="2"/>
  <c r="O5014" i="2"/>
  <c r="N5014" i="2"/>
  <c r="O5013" i="2"/>
  <c r="N5013" i="2"/>
  <c r="O5012" i="2"/>
  <c r="N5012" i="2"/>
  <c r="O5011" i="2"/>
  <c r="N5011" i="2"/>
  <c r="O5010" i="2"/>
  <c r="N5010" i="2"/>
  <c r="O5009" i="2"/>
  <c r="N5009" i="2"/>
  <c r="O5008" i="2"/>
  <c r="N5008" i="2"/>
  <c r="O5007" i="2"/>
  <c r="N5007" i="2"/>
  <c r="O5006" i="2"/>
  <c r="N5006" i="2"/>
  <c r="O5005" i="2"/>
  <c r="N5005" i="2"/>
  <c r="O5004" i="2"/>
  <c r="N5004" i="2"/>
  <c r="O5003" i="2"/>
  <c r="N5003" i="2"/>
  <c r="O5002" i="2"/>
  <c r="N5002" i="2"/>
  <c r="O5001" i="2"/>
  <c r="N5001" i="2"/>
  <c r="O5000" i="2"/>
  <c r="N5000" i="2"/>
  <c r="O4999" i="2"/>
  <c r="N4999" i="2"/>
  <c r="O4998" i="2"/>
  <c r="N4998" i="2"/>
  <c r="O4997" i="2"/>
  <c r="N4997" i="2"/>
  <c r="O4996" i="2"/>
  <c r="N4996" i="2"/>
  <c r="O4995" i="2"/>
  <c r="N4995" i="2"/>
  <c r="O4994" i="2"/>
  <c r="N4994" i="2"/>
  <c r="O4993" i="2"/>
  <c r="N4993" i="2"/>
  <c r="O4992" i="2"/>
  <c r="N4992" i="2"/>
  <c r="O4991" i="2"/>
  <c r="N4991" i="2"/>
  <c r="O4990" i="2"/>
  <c r="N4990" i="2"/>
  <c r="O4989" i="2"/>
  <c r="N4989" i="2"/>
  <c r="O4988" i="2"/>
  <c r="N4988" i="2"/>
  <c r="O4987" i="2"/>
  <c r="N4987" i="2"/>
  <c r="O4986" i="2"/>
  <c r="N4986" i="2"/>
  <c r="O4985" i="2"/>
  <c r="N4985" i="2"/>
  <c r="O4984" i="2"/>
  <c r="N4984" i="2"/>
  <c r="O4983" i="2"/>
  <c r="N4983" i="2"/>
  <c r="O4982" i="2"/>
  <c r="N4982" i="2"/>
  <c r="O4981" i="2"/>
  <c r="N4981" i="2"/>
  <c r="O4980" i="2"/>
  <c r="N4980" i="2"/>
  <c r="O4979" i="2"/>
  <c r="N4979" i="2"/>
  <c r="O4978" i="2"/>
  <c r="N4978" i="2"/>
  <c r="O4977" i="2"/>
  <c r="N4977" i="2"/>
  <c r="O4976" i="2"/>
  <c r="N4976" i="2"/>
  <c r="O4975" i="2"/>
  <c r="N4975" i="2"/>
  <c r="O4974" i="2"/>
  <c r="N4974" i="2"/>
  <c r="O4973" i="2"/>
  <c r="N4973" i="2"/>
  <c r="N4972" i="2"/>
  <c r="O4972" i="2" s="1"/>
  <c r="O4971" i="2"/>
  <c r="N4971" i="2"/>
  <c r="O4970" i="2"/>
  <c r="N4970" i="2"/>
  <c r="N4969" i="2"/>
  <c r="O4969" i="2" s="1"/>
  <c r="O4968" i="2"/>
  <c r="N4968" i="2"/>
  <c r="O4967" i="2"/>
  <c r="N4967" i="2"/>
  <c r="O4966" i="2"/>
  <c r="N4966" i="2"/>
  <c r="O4965" i="2"/>
  <c r="N4965" i="2"/>
  <c r="N4964" i="2"/>
  <c r="O4964" i="2" s="1"/>
  <c r="O4963" i="2"/>
  <c r="N4963" i="2"/>
  <c r="O4962" i="2"/>
  <c r="N4962" i="2"/>
  <c r="N4961" i="2"/>
  <c r="O4961" i="2" s="1"/>
  <c r="O4960" i="2"/>
  <c r="N4960" i="2"/>
  <c r="O4959" i="2"/>
  <c r="N4959" i="2"/>
  <c r="N4958" i="2"/>
  <c r="O4958" i="2" s="1"/>
  <c r="O4957" i="2"/>
  <c r="N4957" i="2"/>
  <c r="N4956" i="2"/>
  <c r="O4956" i="2" s="1"/>
  <c r="O4955" i="2"/>
  <c r="N4955" i="2"/>
  <c r="O4954" i="2"/>
  <c r="N4954" i="2"/>
  <c r="N4953" i="2"/>
  <c r="O4953" i="2" s="1"/>
  <c r="O4952" i="2"/>
  <c r="N4952" i="2"/>
  <c r="O4951" i="2"/>
  <c r="N4951" i="2"/>
  <c r="O4950" i="2"/>
  <c r="N4950" i="2"/>
  <c r="O4949" i="2"/>
  <c r="N4949" i="2"/>
  <c r="N4948" i="2"/>
  <c r="O4948" i="2" s="1"/>
  <c r="O4947" i="2"/>
  <c r="N4947" i="2"/>
  <c r="O4946" i="2"/>
  <c r="N4946" i="2"/>
  <c r="N4945" i="2"/>
  <c r="O4945" i="2" s="1"/>
  <c r="O4944" i="2"/>
  <c r="N4944" i="2"/>
  <c r="O4943" i="2"/>
  <c r="N4943" i="2"/>
  <c r="O4942" i="2"/>
  <c r="N4942" i="2"/>
  <c r="O4941" i="2"/>
  <c r="N4941" i="2"/>
  <c r="N4940" i="2"/>
  <c r="O4940" i="2" s="1"/>
  <c r="O4939" i="2"/>
  <c r="N4939" i="2"/>
  <c r="O4938" i="2"/>
  <c r="N4938" i="2"/>
  <c r="N4937" i="2"/>
  <c r="O4937" i="2" s="1"/>
  <c r="O4936" i="2"/>
  <c r="N4936" i="2"/>
  <c r="O4935" i="2"/>
  <c r="N4935" i="2"/>
  <c r="O4934" i="2"/>
  <c r="N4934" i="2"/>
  <c r="O4933" i="2"/>
  <c r="N4933" i="2"/>
  <c r="N4932" i="2"/>
  <c r="O4932" i="2" s="1"/>
  <c r="O4931" i="2"/>
  <c r="N4931" i="2"/>
  <c r="O4930" i="2"/>
  <c r="N4930" i="2"/>
  <c r="N4929" i="2"/>
  <c r="O4929" i="2" s="1"/>
  <c r="O4928" i="2"/>
  <c r="N4928" i="2"/>
  <c r="O4927" i="2"/>
  <c r="N4927" i="2"/>
  <c r="O4926" i="2"/>
  <c r="N4926" i="2"/>
  <c r="O4925" i="2"/>
  <c r="N4925" i="2"/>
  <c r="N4924" i="2"/>
  <c r="O4924" i="2" s="1"/>
  <c r="O4923" i="2"/>
  <c r="N4923" i="2"/>
  <c r="O4922" i="2"/>
  <c r="N4922" i="2"/>
  <c r="N4921" i="2"/>
  <c r="O4921" i="2" s="1"/>
  <c r="O4920" i="2"/>
  <c r="N4920" i="2"/>
  <c r="O4919" i="2"/>
  <c r="N4919" i="2"/>
  <c r="O4918" i="2"/>
  <c r="N4918" i="2"/>
  <c r="O4917" i="2"/>
  <c r="N4917" i="2"/>
  <c r="N4916" i="2"/>
  <c r="O4916" i="2" s="1"/>
  <c r="O4915" i="2"/>
  <c r="N4915" i="2"/>
  <c r="O4914" i="2"/>
  <c r="N4914" i="2"/>
  <c r="N4913" i="2"/>
  <c r="O4913" i="2" s="1"/>
  <c r="O4912" i="2"/>
  <c r="N4912" i="2"/>
  <c r="O4911" i="2"/>
  <c r="N4911" i="2"/>
  <c r="O4910" i="2"/>
  <c r="N4910" i="2"/>
  <c r="O4909" i="2"/>
  <c r="N4909" i="2"/>
  <c r="N4908" i="2"/>
  <c r="O4908" i="2" s="1"/>
  <c r="O4907" i="2"/>
  <c r="N4907" i="2"/>
  <c r="O4906" i="2"/>
  <c r="N4906" i="2"/>
  <c r="N4905" i="2"/>
  <c r="O4905" i="2" s="1"/>
  <c r="O4904" i="2"/>
  <c r="N4904" i="2"/>
  <c r="O4903" i="2"/>
  <c r="N4903" i="2"/>
  <c r="O4902" i="2"/>
  <c r="N4902" i="2"/>
  <c r="O4901" i="2"/>
  <c r="N4901" i="2"/>
  <c r="N4900" i="2"/>
  <c r="O4900" i="2" s="1"/>
  <c r="O4899" i="2"/>
  <c r="N4899" i="2"/>
  <c r="O4898" i="2"/>
  <c r="N4898" i="2"/>
  <c r="N4897" i="2"/>
  <c r="O4897" i="2" s="1"/>
  <c r="O4896" i="2"/>
  <c r="N4896" i="2"/>
  <c r="O4895" i="2"/>
  <c r="N4895" i="2"/>
  <c r="O4894" i="2"/>
  <c r="N4894" i="2"/>
  <c r="O4893" i="2"/>
  <c r="N4893" i="2"/>
  <c r="N4892" i="2"/>
  <c r="O4892" i="2" s="1"/>
  <c r="O4891" i="2"/>
  <c r="N4891" i="2"/>
  <c r="O4890" i="2"/>
  <c r="N4890" i="2"/>
  <c r="N4889" i="2"/>
  <c r="O4889" i="2" s="1"/>
  <c r="O4888" i="2"/>
  <c r="N4888" i="2"/>
  <c r="O4887" i="2"/>
  <c r="N4887" i="2"/>
  <c r="O4886" i="2"/>
  <c r="N4886" i="2"/>
  <c r="O4885" i="2"/>
  <c r="N4885" i="2"/>
  <c r="N4884" i="2"/>
  <c r="O4884" i="2" s="1"/>
  <c r="O4883" i="2"/>
  <c r="N4883" i="2"/>
  <c r="O4882" i="2"/>
  <c r="N4882" i="2"/>
  <c r="N4881" i="2"/>
  <c r="O4881" i="2" s="1"/>
  <c r="O4880" i="2"/>
  <c r="N4880" i="2"/>
  <c r="O4879" i="2"/>
  <c r="N4879" i="2"/>
  <c r="O4878" i="2"/>
  <c r="N4878" i="2"/>
  <c r="O4877" i="2"/>
  <c r="N4877" i="2"/>
  <c r="N4876" i="2"/>
  <c r="O4876" i="2" s="1"/>
  <c r="O4875" i="2"/>
  <c r="N4875" i="2"/>
  <c r="O4874" i="2"/>
  <c r="N4874" i="2"/>
  <c r="N4873" i="2"/>
  <c r="O4873" i="2" s="1"/>
  <c r="O4872" i="2"/>
  <c r="N4872" i="2"/>
  <c r="O4871" i="2"/>
  <c r="N4871" i="2"/>
  <c r="O4870" i="2"/>
  <c r="N4870" i="2"/>
  <c r="O4869" i="2"/>
  <c r="N4869" i="2"/>
  <c r="N4868" i="2"/>
  <c r="O4868" i="2" s="1"/>
  <c r="O4867" i="2"/>
  <c r="N4867" i="2"/>
  <c r="O4866" i="2"/>
  <c r="N4866" i="2"/>
  <c r="N4865" i="2"/>
  <c r="O4865" i="2" s="1"/>
  <c r="O4864" i="2"/>
  <c r="N4864" i="2"/>
  <c r="O4863" i="2"/>
  <c r="N4863" i="2"/>
  <c r="O4862" i="2"/>
  <c r="N4862" i="2"/>
  <c r="N4861" i="2"/>
  <c r="O4861" i="2" s="1"/>
  <c r="N4860" i="2"/>
  <c r="O4860" i="2" s="1"/>
  <c r="O4859" i="2"/>
  <c r="N4859" i="2"/>
  <c r="O4858" i="2"/>
  <c r="N4858" i="2"/>
  <c r="N4857" i="2"/>
  <c r="O4857" i="2" s="1"/>
  <c r="O4856" i="2"/>
  <c r="N4856" i="2"/>
  <c r="O4855" i="2"/>
  <c r="N4855" i="2"/>
  <c r="O4854" i="2"/>
  <c r="N4854" i="2"/>
  <c r="O4853" i="2"/>
  <c r="N4853" i="2"/>
  <c r="N4852" i="2"/>
  <c r="O4852" i="2" s="1"/>
  <c r="O4851" i="2"/>
  <c r="N4851" i="2"/>
  <c r="O4850" i="2"/>
  <c r="N4850" i="2"/>
  <c r="N4849" i="2"/>
  <c r="O4849" i="2" s="1"/>
  <c r="O4848" i="2"/>
  <c r="N4848" i="2"/>
  <c r="O4847" i="2"/>
  <c r="N4847" i="2"/>
  <c r="O4846" i="2"/>
  <c r="N4846" i="2"/>
  <c r="O4845" i="2"/>
  <c r="N4845" i="2"/>
  <c r="N4844" i="2"/>
  <c r="O4844" i="2" s="1"/>
  <c r="O4843" i="2"/>
  <c r="N4843" i="2"/>
  <c r="O4842" i="2"/>
  <c r="N4842" i="2"/>
  <c r="N4841" i="2"/>
  <c r="O4841" i="2" s="1"/>
  <c r="O4840" i="2"/>
  <c r="N4840" i="2"/>
  <c r="O4839" i="2"/>
  <c r="N4839" i="2"/>
  <c r="O4838" i="2"/>
  <c r="N4838" i="2"/>
  <c r="O4837" i="2"/>
  <c r="N4837" i="2"/>
  <c r="N4836" i="2"/>
  <c r="O4836" i="2" s="1"/>
  <c r="O4835" i="2"/>
  <c r="N4835" i="2"/>
  <c r="O4834" i="2"/>
  <c r="N4834" i="2"/>
  <c r="N4833" i="2"/>
  <c r="O4833" i="2" s="1"/>
  <c r="O4832" i="2"/>
  <c r="N4832" i="2"/>
  <c r="O4831" i="2"/>
  <c r="N4831" i="2"/>
  <c r="O4830" i="2"/>
  <c r="N4830" i="2"/>
  <c r="O4829" i="2"/>
  <c r="N4829" i="2"/>
  <c r="N4828" i="2"/>
  <c r="O4828" i="2" s="1"/>
  <c r="O4827" i="2"/>
  <c r="N4827" i="2"/>
  <c r="O4826" i="2"/>
  <c r="N4826" i="2"/>
  <c r="N4825" i="2"/>
  <c r="O4825" i="2" s="1"/>
  <c r="O4824" i="2"/>
  <c r="N4824" i="2"/>
  <c r="O4823" i="2"/>
  <c r="N4823" i="2"/>
  <c r="O4822" i="2"/>
  <c r="N4822" i="2"/>
  <c r="O4821" i="2"/>
  <c r="N4821" i="2"/>
  <c r="N4820" i="2"/>
  <c r="O4820" i="2" s="1"/>
  <c r="O4819" i="2"/>
  <c r="N4819" i="2"/>
  <c r="O4818" i="2"/>
  <c r="N4818" i="2"/>
  <c r="N4817" i="2"/>
  <c r="O4817" i="2" s="1"/>
  <c r="O4816" i="2"/>
  <c r="N4816" i="2"/>
  <c r="O4815" i="2"/>
  <c r="N4815" i="2"/>
  <c r="O4814" i="2"/>
  <c r="N4814" i="2"/>
  <c r="N4813" i="2"/>
  <c r="O4813" i="2" s="1"/>
  <c r="N4812" i="2"/>
  <c r="O4812" i="2" s="1"/>
  <c r="O4811" i="2"/>
  <c r="N4811" i="2"/>
  <c r="O4810" i="2"/>
  <c r="N4810" i="2"/>
  <c r="N4809" i="2"/>
  <c r="O4809" i="2" s="1"/>
  <c r="O4808" i="2"/>
  <c r="N4808" i="2"/>
  <c r="O4807" i="2"/>
  <c r="N4807" i="2"/>
  <c r="O4806" i="2"/>
  <c r="N4806" i="2"/>
  <c r="O4805" i="2"/>
  <c r="N4805" i="2"/>
  <c r="N4804" i="2"/>
  <c r="O4804" i="2" s="1"/>
  <c r="O4803" i="2"/>
  <c r="N4803" i="2"/>
  <c r="O4802" i="2"/>
  <c r="N4802" i="2"/>
  <c r="N4801" i="2"/>
  <c r="O4801" i="2" s="1"/>
  <c r="O4800" i="2"/>
  <c r="N4800" i="2"/>
  <c r="O4799" i="2"/>
  <c r="N4799" i="2"/>
  <c r="O4798" i="2"/>
  <c r="N4798" i="2"/>
  <c r="O4797" i="2"/>
  <c r="N4797" i="2"/>
  <c r="N4796" i="2"/>
  <c r="O4796" i="2" s="1"/>
  <c r="O4795" i="2"/>
  <c r="N4795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<sst xmlns="http://schemas.openxmlformats.org/spreadsheetml/2006/main" count="26477" uniqueCount="3607">
  <si>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</si>
  <si>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</si>
  <si>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</si>
  <si>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</si>
  <si>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</si>
  <si>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</si>
  <si>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</si>
  <si>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</si>
  <si>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</si>
  <si>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</si>
  <si>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</si>
  <si>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</si>
  <si>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</si>
  <si>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</si>
  <si>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</si>
  <si>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</si>
  <si>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</si>
  <si>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</si>
  <si>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</si>
  <si>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</si>
  <si>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</si>
  <si>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</si>
  <si>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</si>
  <si>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</si>
  <si>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</si>
  <si>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</si>
  <si>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</si>
  <si>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</si>
  <si>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</si>
  <si>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</si>
  <si>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</si>
  <si>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</si>
  <si>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</si>
  <si>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</si>
  <si>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</si>
  <si>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</si>
  <si>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</si>
  <si>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</si>
  <si>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</si>
  <si>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</si>
  <si>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</si>
  <si>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</si>
  <si>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</si>
  <si>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</si>
  <si>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</si>
  <si>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</si>
  <si>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</si>
  <si>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</si>
  <si>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</si>
  <si>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</si>
  <si>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</si>
  <si>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</si>
  <si>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</si>
  <si>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</si>
  <si>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</si>
  <si>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</si>
  <si>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</si>
  <si>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</si>
  <si>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</si>
  <si>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</si>
  <si>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</si>
  <si>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</si>
  <si>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</si>
  <si>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</si>
  <si>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</si>
  <si>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</si>
  <si>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</si>
  <si>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</si>
  <si>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</si>
  <si>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</si>
  <si>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</si>
  <si>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</si>
  <si>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</si>
  <si>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</si>
  <si>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</si>
  <si>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</si>
  <si>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</si>
  <si>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</si>
  <si>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</si>
  <si>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</si>
  <si>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</si>
  <si>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</si>
  <si>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</si>
  <si>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</si>
  <si>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</si>
  <si>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</si>
  <si>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</si>
  <si>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</si>
  <si>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</si>
  <si>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</si>
  <si>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</si>
  <si>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</si>
  <si>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</si>
  <si>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</si>
  <si>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</si>
  <si>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</si>
  <si>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</si>
  <si>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</si>
  <si>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</si>
  <si>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</si>
  <si>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</si>
  <si>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</si>
  <si>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</si>
  <si>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</si>
  <si>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</si>
  <si>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</si>
  <si>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</si>
  <si>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</si>
  <si>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</si>
  <si>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</si>
  <si>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</si>
  <si>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</si>
  <si>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</si>
  <si>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</si>
  <si>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</si>
  <si>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</si>
  <si>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</si>
  <si>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</si>
  <si>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</si>
  <si>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</si>
  <si>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</si>
  <si>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</si>
  <si>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</si>
  <si>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</si>
  <si>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</si>
  <si>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</si>
  <si>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</si>
  <si>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</si>
  <si>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</si>
  <si>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</si>
  <si>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</si>
  <si>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</si>
  <si>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</si>
  <si>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</si>
  <si>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</si>
  <si>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</si>
  <si>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</si>
  <si>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</si>
  <si>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</si>
  <si>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</si>
  <si>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</si>
  <si>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</si>
  <si>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</si>
  <si>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</si>
  <si>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</si>
  <si>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</si>
  <si>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</si>
  <si>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</si>
  <si>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</si>
  <si>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</si>
  <si>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</si>
  <si>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</si>
  <si>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</si>
  <si>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</si>
  <si>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</si>
  <si>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</si>
  <si>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</si>
  <si>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</si>
  <si>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</si>
  <si>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</si>
  <si>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</si>
  <si>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</si>
  <si>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</si>
  <si>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</si>
  <si>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</si>
  <si>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</si>
  <si>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</si>
  <si>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</si>
  <si>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</si>
  <si>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</si>
  <si>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</si>
  <si>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</si>
  <si>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</si>
  <si>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</si>
  <si>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</si>
  <si>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</si>
  <si>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</si>
  <si>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</si>
  <si>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</si>
  <si>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</si>
  <si>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</si>
  <si>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</si>
  <si>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</si>
  <si>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</si>
  <si>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</si>
  <si>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</si>
  <si>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</si>
  <si>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</si>
  <si>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</si>
  <si>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</si>
  <si>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</si>
  <si>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</si>
  <si>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</si>
  <si>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</si>
  <si>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</si>
  <si>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</si>
  <si>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</si>
  <si>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</si>
  <si>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</si>
  <si>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</si>
  <si>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</si>
  <si>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</si>
  <si>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</si>
  <si>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</si>
  <si>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</si>
  <si>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</si>
  <si>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</si>
  <si>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</si>
  <si>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</si>
  <si>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</si>
  <si>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</si>
  <si>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</si>
  <si>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</si>
  <si>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</si>
  <si>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</si>
  <si>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</si>
  <si>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</si>
  <si>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</si>
  <si>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</si>
  <si>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</si>
  <si>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</si>
  <si>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</si>
  <si>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</si>
  <si>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</si>
  <si>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</si>
  <si>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</si>
  <si>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</si>
  <si>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</si>
  <si>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</si>
  <si>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</si>
  <si>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</si>
  <si>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</si>
  <si>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</si>
  <si>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</si>
  <si>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</si>
  <si>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</si>
  <si>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</si>
  <si>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</si>
  <si>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</si>
  <si>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</si>
  <si>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</si>
  <si>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</si>
  <si>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</si>
  <si>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</si>
  <si>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</si>
  <si>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</si>
  <si>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</si>
  <si>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</si>
  <si>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</si>
  <si>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</si>
  <si>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</si>
  <si>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</si>
  <si>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</si>
  <si>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</si>
  <si>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</si>
  <si>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</si>
  <si>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</si>
  <si>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</si>
  <si>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</si>
  <si>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</si>
  <si>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</si>
  <si>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</si>
  <si>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</si>
  <si>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</si>
  <si>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</si>
  <si>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</si>
  <si>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</si>
  <si>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</si>
  <si>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</si>
  <si>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</si>
  <si>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</si>
  <si>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</si>
  <si>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</si>
  <si>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</si>
  <si>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</si>
  <si>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</si>
  <si>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</si>
  <si>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</si>
  <si>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</si>
  <si>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</si>
  <si>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</si>
  <si>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</si>
  <si>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</si>
  <si>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</si>
  <si>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</si>
  <si>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</si>
  <si>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</si>
  <si>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</si>
  <si>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</si>
  <si>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</si>
  <si>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</si>
  <si>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</si>
  <si>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</si>
  <si>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</si>
  <si>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</si>
  <si>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</si>
  <si>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</si>
  <si>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</si>
  <si>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</si>
  <si>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</si>
  <si>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</si>
  <si>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</si>
  <si>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</si>
  <si>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</si>
  <si>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</si>
  <si>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</si>
  <si>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</si>
  <si>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</si>
  <si>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</si>
  <si>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</si>
  <si>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</si>
  <si>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</si>
  <si>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</si>
  <si>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</si>
  <si>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</si>
  <si>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</si>
  <si>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</si>
  <si>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</si>
  <si>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</si>
  <si>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</si>
  <si>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</si>
  <si>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</si>
  <si>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</si>
  <si>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</si>
  <si>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</si>
  <si>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</si>
  <si>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</si>
  <si>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</si>
  <si>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</si>
  <si>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</si>
  <si>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</si>
  <si>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</si>
  <si>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</si>
  <si>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</si>
  <si>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</si>
  <si>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</si>
  <si>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</si>
  <si>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</si>
  <si>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</si>
  <si>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</si>
  <si>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</si>
  <si>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</si>
  <si>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</si>
  <si>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</si>
  <si>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</si>
  <si>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</si>
  <si>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</si>
  <si>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</si>
  <si>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</si>
  <si>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</si>
  <si>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</si>
  <si>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</si>
  <si>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</si>
  <si>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</si>
  <si>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</si>
  <si>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</si>
  <si>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</si>
  <si>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</si>
  <si>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</si>
  <si>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</si>
  <si>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</si>
  <si>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</si>
  <si>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</si>
  <si>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</si>
  <si>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</si>
  <si>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</si>
  <si>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</si>
  <si>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</si>
  <si>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</si>
  <si>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</si>
  <si>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</si>
  <si>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</si>
  <si>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</si>
  <si>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</si>
  <si>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</si>
  <si>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</si>
  <si>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</si>
  <si>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</si>
  <si>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</si>
  <si>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</si>
  <si>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</si>
  <si>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</si>
  <si>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</si>
  <si>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</si>
  <si>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</si>
  <si>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</si>
  <si>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</si>
  <si>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</si>
  <si>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</si>
  <si>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</si>
  <si>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</si>
  <si>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</si>
  <si>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</si>
  <si>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</si>
  <si>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</si>
  <si>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</si>
  <si>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</si>
  <si>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</si>
  <si>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</si>
  <si>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</si>
  <si>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</si>
  <si>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</si>
  <si>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</si>
  <si>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</si>
  <si>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</si>
  <si>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</si>
  <si>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</si>
  <si>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</si>
  <si>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</si>
  <si>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</si>
  <si>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</si>
  <si>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</si>
  <si>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</si>
  <si>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</si>
  <si>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</si>
  <si>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</si>
  <si>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</si>
  <si>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</si>
  <si>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</si>
  <si>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</si>
  <si>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</si>
  <si>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</si>
  <si>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</si>
  <si>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</si>
  <si>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</si>
  <si>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</si>
  <si>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</si>
  <si>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</si>
  <si>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</si>
  <si>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</si>
  <si>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</si>
  <si>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</si>
  <si>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</si>
  <si>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</si>
  <si>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</si>
  <si>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</si>
  <si>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</si>
  <si>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</si>
  <si>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</si>
  <si>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</si>
  <si>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</si>
  <si>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</si>
  <si>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</si>
  <si>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</si>
  <si>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</si>
  <si>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</si>
  <si>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</si>
  <si>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</si>
  <si>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</si>
  <si>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</si>
  <si>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</si>
  <si>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</si>
  <si>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</si>
  <si>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</si>
  <si>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</si>
  <si>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</si>
  <si>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</si>
  <si>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</si>
  <si>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</si>
  <si>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</si>
  <si>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</si>
  <si>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</si>
  <si>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</si>
  <si>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</si>
  <si>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</si>
  <si>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</si>
  <si>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</si>
  <si>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</si>
  <si>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</si>
  <si>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</si>
  <si>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</si>
  <si>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</si>
  <si>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</si>
  <si>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</si>
  <si>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</si>
  <si>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</si>
  <si>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</si>
  <si>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</si>
  <si>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</si>
  <si>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</si>
  <si>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</si>
  <si>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</si>
  <si>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</si>
  <si>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</si>
  <si>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</si>
  <si>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</si>
  <si>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</si>
  <si>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</si>
  <si>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</si>
  <si>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</si>
  <si>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</si>
  <si>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</si>
  <si>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</si>
  <si>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</si>
  <si>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</si>
  <si>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</si>
  <si>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</si>
  <si>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</si>
  <si>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</si>
  <si>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</si>
  <si>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</si>
  <si>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</si>
  <si>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</si>
  <si>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</si>
  <si>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</si>
  <si>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</si>
  <si>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</si>
  <si>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</si>
  <si>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</si>
  <si>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</si>
  <si>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</si>
  <si>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</si>
  <si>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</si>
  <si>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</si>
  <si>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</si>
  <si>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</si>
  <si>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</si>
  <si>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</si>
  <si>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</si>
  <si>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</si>
  <si>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</si>
  <si>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</si>
  <si>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</si>
  <si>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</si>
  <si>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</si>
  <si>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</si>
  <si>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</si>
  <si>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</si>
  <si>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</si>
  <si>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</si>
  <si>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</si>
  <si>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</si>
  <si>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</si>
  <si>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</si>
  <si>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</si>
  <si>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</si>
  <si>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</si>
  <si>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</si>
  <si>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</si>
  <si>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</si>
  <si>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</si>
  <si>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</si>
  <si>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</si>
  <si>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</si>
  <si>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</si>
  <si>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</si>
  <si>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</si>
  <si>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</si>
  <si>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</si>
  <si>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</si>
  <si>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</si>
  <si>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</si>
  <si>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</si>
  <si>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</si>
  <si>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</si>
  <si>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</si>
  <si>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</si>
  <si>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</si>
  <si>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</si>
  <si>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</si>
  <si>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</si>
  <si>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</si>
  <si>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</si>
  <si>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</si>
  <si>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</si>
  <si>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</si>
  <si>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</si>
  <si>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</si>
  <si>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</si>
  <si>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</si>
  <si>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</si>
  <si>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</si>
  <si>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</si>
  <si>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</si>
  <si>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</si>
  <si>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</si>
  <si>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</si>
  <si>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</si>
  <si>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</si>
  <si>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</si>
  <si>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</si>
  <si>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</si>
  <si>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</si>
  <si>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</si>
  <si>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</si>
  <si>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</si>
  <si>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</si>
  <si>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</si>
  <si>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</si>
  <si>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</si>
  <si>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</si>
  <si>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</si>
  <si>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</si>
  <si>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</si>
  <si>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</si>
  <si>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</si>
  <si>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</si>
  <si>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</si>
  <si>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</si>
  <si>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</si>
  <si>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</si>
  <si>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</si>
  <si>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</si>
  <si>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</si>
  <si>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</si>
  <si>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</si>
  <si>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</si>
  <si>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</si>
  <si>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</si>
  <si>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</si>
  <si>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</si>
  <si>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</si>
  <si>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</si>
  <si>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</si>
  <si>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</si>
  <si>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</si>
  <si>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</si>
  <si>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</si>
  <si>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</si>
  <si>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</si>
  <si>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</si>
  <si>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</si>
  <si>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</si>
  <si>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</si>
  <si>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</si>
  <si>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</si>
  <si>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</si>
  <si>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</si>
  <si>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</si>
  <si>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</si>
  <si>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</si>
  <si>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</si>
  <si>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</si>
  <si>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</si>
  <si>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</si>
  <si>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</si>
  <si>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</si>
  <si>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</si>
  <si>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</si>
  <si>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</si>
  <si>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</si>
  <si>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</si>
  <si>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</si>
  <si>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</si>
  <si>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</si>
  <si>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</si>
  <si>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</si>
  <si>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</si>
  <si>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</si>
  <si>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</si>
  <si>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</si>
  <si>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</si>
  <si>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</si>
  <si>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</si>
  <si>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</si>
  <si>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</si>
  <si>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</si>
  <si>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</si>
  <si>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</si>
  <si>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</si>
  <si>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</si>
  <si>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</si>
  <si>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</si>
  <si>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</si>
  <si>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</si>
  <si>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</si>
  <si>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</si>
  <si>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</si>
  <si>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</si>
  <si>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</si>
  <si>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</si>
  <si>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</si>
  <si>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</si>
  <si>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</si>
  <si>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</si>
  <si>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</si>
  <si>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</si>
  <si>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</si>
  <si>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</si>
  <si>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</si>
  <si>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</si>
  <si>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</si>
  <si>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</si>
  <si>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</si>
  <si>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</si>
  <si>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</si>
  <si>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</si>
  <si>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</si>
  <si>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</si>
  <si>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</si>
  <si>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</si>
  <si>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</si>
  <si>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</si>
  <si>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</si>
  <si>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</si>
  <si>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</si>
  <si>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</si>
  <si>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</si>
  <si>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</si>
  <si>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</si>
  <si>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</si>
  <si>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</si>
  <si>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</si>
  <si>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</si>
  <si>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</si>
  <si>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</si>
  <si>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</si>
  <si>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</si>
  <si>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</si>
  <si>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</si>
  <si>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</si>
  <si>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</si>
  <si>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</si>
  <si>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</si>
  <si>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</si>
  <si>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</si>
  <si>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</si>
  <si>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</si>
  <si>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</si>
  <si>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</si>
  <si>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</si>
  <si>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</si>
  <si>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</si>
  <si>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</si>
  <si>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</si>
  <si>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</si>
  <si>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</si>
  <si>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</si>
  <si>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</si>
  <si>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</si>
  <si>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</si>
  <si>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</si>
  <si>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</si>
  <si>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</si>
  <si>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</si>
  <si>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</si>
  <si>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</si>
  <si>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</si>
  <si>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</si>
  <si>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</si>
  <si>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</si>
  <si>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</si>
  <si>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</si>
  <si>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</si>
  <si>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</si>
  <si>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</si>
  <si>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</si>
  <si>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</si>
  <si>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</si>
  <si>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</si>
  <si>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</si>
  <si>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</si>
  <si>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</si>
  <si>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</si>
  <si>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</si>
  <si>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</si>
  <si>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</si>
  <si>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</si>
  <si>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</si>
  <si>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</si>
  <si>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</si>
  <si>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</si>
  <si>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</si>
  <si>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</si>
  <si>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</si>
  <si>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</si>
  <si>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</si>
  <si>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</si>
  <si>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</si>
  <si>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</si>
  <si>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</si>
  <si>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</si>
  <si>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</si>
  <si>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</si>
  <si>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</si>
  <si>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</si>
  <si>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</si>
  <si>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</si>
  <si>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</si>
  <si>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</si>
  <si>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</si>
  <si>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</si>
  <si>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</si>
  <si>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</si>
  <si>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</si>
  <si>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</si>
  <si>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</si>
  <si>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</si>
  <si>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</si>
  <si>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</si>
  <si>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</si>
  <si>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</si>
  <si>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</si>
  <si>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</si>
  <si>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</si>
  <si>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</si>
  <si>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</si>
  <si>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</si>
  <si>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</si>
  <si>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</si>
  <si>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</si>
  <si>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</si>
  <si>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</si>
  <si>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</si>
  <si>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</si>
  <si>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</si>
  <si>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</si>
  <si>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</si>
  <si>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</si>
  <si>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</si>
  <si>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</si>
  <si>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</si>
  <si>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</si>
  <si>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</si>
  <si>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</si>
  <si>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</si>
  <si>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</si>
  <si>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</si>
  <si>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</si>
  <si>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</si>
  <si>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</si>
  <si>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</si>
  <si>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</si>
  <si>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</si>
  <si>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</si>
  <si>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</si>
  <si>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</si>
  <si>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</si>
  <si>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</si>
  <si>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</si>
  <si>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</si>
  <si>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</si>
  <si>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</si>
  <si>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</si>
  <si>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</si>
  <si>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</si>
  <si>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</si>
  <si>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</si>
  <si>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</si>
  <si>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</si>
  <si>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</si>
  <si>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</si>
  <si>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</si>
  <si>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</si>
  <si>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</si>
  <si>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</si>
  <si>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</si>
  <si>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</si>
  <si>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</si>
  <si>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</si>
  <si>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</si>
  <si>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</si>
  <si>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</si>
  <si>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</si>
  <si>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</si>
  <si>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</si>
  <si>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</si>
  <si>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</si>
  <si>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</si>
  <si>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</si>
  <si>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</si>
  <si>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</si>
  <si>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</si>
  <si>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</si>
  <si>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</si>
  <si>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</si>
  <si>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</si>
  <si>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</si>
  <si>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</si>
  <si>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</si>
  <si>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</si>
  <si>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</si>
  <si>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</si>
  <si>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</si>
  <si>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</si>
  <si>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</si>
  <si>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</si>
  <si>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</si>
  <si>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</si>
  <si>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</si>
  <si>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</si>
  <si>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</si>
  <si>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</si>
  <si>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</si>
  <si>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</si>
  <si>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</si>
  <si>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</si>
  <si>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</si>
  <si>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</si>
  <si>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</si>
  <si>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</si>
  <si>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</si>
  <si>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</si>
  <si>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</si>
  <si>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</si>
  <si>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</si>
  <si>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</si>
  <si>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</si>
  <si>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</si>
  <si>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</si>
  <si>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</si>
  <si>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</si>
  <si>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</si>
  <si>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</si>
  <si>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</si>
  <si>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</si>
  <si>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</si>
  <si>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</si>
  <si>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</si>
  <si>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</si>
  <si>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</si>
  <si>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</si>
  <si>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</si>
  <si>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</si>
  <si>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</si>
  <si>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</si>
  <si>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</si>
  <si>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</si>
  <si>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</si>
  <si>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</si>
  <si>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</si>
  <si>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</si>
  <si>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</si>
  <si>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</si>
  <si>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</si>
  <si>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</si>
  <si>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</si>
  <si>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</si>
  <si>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</si>
  <si>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</si>
  <si>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</si>
  <si>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</si>
  <si>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</si>
  <si>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</si>
  <si>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</si>
  <si>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</si>
  <si>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</si>
  <si>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</si>
  <si>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</si>
  <si>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</si>
  <si>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</si>
  <si>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</si>
  <si>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</si>
  <si>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</si>
  <si>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</si>
  <si>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</si>
  <si>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</si>
  <si>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</si>
  <si>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</si>
  <si>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</si>
  <si>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</si>
  <si>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</si>
  <si>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</si>
  <si>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</si>
  <si>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</si>
  <si>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</si>
  <si>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</si>
  <si>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</si>
  <si>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</si>
  <si>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</si>
  <si>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</si>
  <si>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</si>
  <si>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</si>
  <si>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</si>
  <si>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</si>
  <si>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</si>
  <si>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</si>
  <si>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</si>
  <si>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</si>
  <si>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</si>
  <si>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</si>
  <si>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</si>
  <si>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</si>
  <si>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</si>
  <si>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</si>
  <si>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</si>
  <si>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</si>
  <si>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</si>
  <si>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</si>
  <si>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</si>
  <si>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</si>
  <si>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</si>
  <si>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</si>
  <si>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</si>
  <si>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</si>
  <si>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</si>
  <si>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</si>
  <si>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</si>
  <si>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</si>
  <si>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</si>
  <si>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</si>
  <si>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</si>
  <si>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</si>
  <si>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</si>
  <si>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</si>
  <si>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</si>
  <si>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</si>
  <si>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</si>
  <si>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</si>
  <si>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</si>
  <si>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</si>
  <si>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</si>
  <si>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</si>
  <si>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</si>
  <si>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</si>
  <si>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</si>
  <si>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</si>
  <si>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</si>
  <si>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</si>
  <si>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</si>
  <si>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</si>
  <si>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</si>
  <si>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</si>
  <si>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</si>
  <si>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</si>
  <si>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</si>
  <si>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</si>
  <si>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</si>
  <si>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</si>
  <si>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</si>
  <si>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</si>
  <si>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</si>
  <si>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</si>
  <si>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</si>
  <si>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</si>
  <si>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</si>
  <si>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</si>
  <si>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</si>
  <si>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</si>
  <si>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</si>
  <si>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</si>
  <si>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</si>
  <si>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</si>
  <si>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</si>
  <si>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</si>
  <si>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</si>
  <si>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</si>
  <si>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</si>
  <si>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</si>
  <si>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</si>
  <si>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</si>
  <si>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</si>
  <si>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</si>
  <si>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</si>
  <si>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</si>
  <si>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</si>
  <si>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</si>
  <si>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</si>
  <si>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</si>
  <si>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</si>
  <si>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</si>
  <si>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</si>
  <si>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</si>
  <si>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</si>
  <si>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</si>
  <si>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</si>
  <si>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</si>
  <si>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</si>
  <si>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</si>
  <si>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</si>
  <si>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</si>
  <si>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</si>
  <si>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</si>
  <si>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</si>
  <si>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</si>
  <si>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</si>
  <si>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</si>
  <si>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</si>
  <si>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</si>
  <si>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</si>
  <si>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</si>
  <si>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</si>
  <si>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</si>
  <si>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</si>
  <si>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</si>
  <si>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</si>
  <si>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</si>
  <si>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</si>
  <si>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</si>
  <si>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</si>
  <si>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</si>
  <si>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</si>
  <si>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</si>
  <si>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</si>
  <si>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</si>
  <si>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</si>
  <si>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</si>
  <si>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</si>
  <si>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</si>
  <si>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</si>
  <si>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</si>
  <si>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</si>
  <si>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</si>
  <si>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</si>
  <si>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</si>
  <si>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</si>
  <si>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</si>
  <si>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</si>
  <si>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</si>
  <si>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</si>
  <si>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</si>
  <si>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</si>
  <si>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</si>
  <si>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</si>
  <si>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</si>
  <si>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</si>
  <si>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</si>
  <si>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</si>
  <si>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</si>
  <si>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</si>
  <si>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</si>
  <si>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</si>
  <si>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</si>
  <si>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</si>
  <si>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</si>
  <si>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</si>
  <si>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</si>
  <si>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</si>
  <si>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</si>
  <si>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</si>
  <si>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</si>
  <si>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</si>
  <si>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</si>
  <si>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</si>
  <si>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</si>
  <si>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</si>
  <si>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</si>
  <si>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</si>
  <si>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</si>
  <si>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</si>
  <si>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</si>
  <si>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</si>
  <si>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</si>
  <si>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</si>
  <si>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</si>
  <si>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</si>
  <si>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</si>
  <si>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</si>
  <si>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</si>
  <si>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</si>
  <si>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</si>
  <si>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</si>
  <si>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</si>
  <si>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</si>
  <si>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</si>
  <si>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</si>
  <si>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</si>
  <si>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</si>
  <si>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</si>
  <si>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</si>
  <si>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</si>
  <si>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</si>
  <si>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</si>
  <si>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</si>
  <si>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</si>
  <si>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</si>
  <si>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</si>
  <si>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</si>
  <si>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</si>
  <si>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</si>
  <si>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</si>
  <si>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</si>
  <si>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</si>
  <si>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</si>
  <si>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</si>
  <si>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</si>
  <si>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</si>
  <si>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</si>
  <si>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</si>
  <si>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</si>
  <si>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</si>
  <si>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</si>
  <si>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</si>
  <si>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</si>
  <si>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</si>
  <si>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</si>
  <si>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</si>
  <si>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</si>
  <si>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</si>
  <si>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</si>
  <si>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</si>
  <si>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</si>
  <si>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</si>
  <si>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</si>
  <si>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</si>
  <si>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</si>
  <si>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</si>
  <si>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</si>
  <si>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</si>
  <si>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</si>
  <si>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</si>
  <si>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</si>
  <si>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</si>
  <si>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</si>
  <si>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</si>
  <si>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</si>
  <si>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</si>
  <si>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</si>
  <si>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</si>
  <si>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</si>
  <si>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</si>
  <si>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</si>
  <si>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</si>
  <si>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</si>
  <si>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</si>
  <si>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</si>
  <si>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</si>
  <si>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</si>
  <si>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</si>
  <si>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</si>
  <si>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</si>
  <si>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</si>
  <si>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</si>
  <si>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</si>
  <si>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</si>
  <si>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</si>
  <si>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</si>
  <si>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</si>
  <si>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</si>
  <si>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</si>
  <si>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</si>
  <si>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</si>
  <si>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</si>
  <si>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</si>
  <si>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</si>
  <si>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</si>
  <si>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</si>
  <si>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</si>
  <si>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</si>
  <si>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</si>
  <si>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</si>
  <si>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</si>
  <si>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</si>
  <si>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</si>
  <si>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</si>
  <si>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</si>
  <si>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</si>
  <si>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</si>
  <si>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</si>
  <si>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</si>
  <si>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</si>
  <si>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</si>
  <si>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</si>
  <si>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</si>
  <si>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</si>
  <si>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</si>
  <si>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</si>
  <si>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</si>
  <si>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</si>
  <si>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</si>
  <si>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</si>
  <si>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</si>
  <si>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</si>
  <si>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</si>
  <si>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</si>
  <si>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</si>
  <si>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</si>
  <si>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</si>
  <si>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</si>
  <si>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</si>
  <si>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</si>
  <si>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</si>
  <si>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</si>
  <si>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</si>
  <si>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</si>
  <si>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</si>
  <si>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</si>
  <si>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</si>
  <si>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</si>
  <si>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</si>
  <si>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</si>
  <si>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</si>
  <si>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</si>
  <si>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</si>
  <si>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</si>
  <si>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</si>
  <si>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</si>
  <si>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</si>
  <si>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</si>
  <si>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</si>
  <si>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</si>
  <si>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</si>
  <si>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</si>
  <si>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</si>
  <si>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</si>
  <si>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</si>
  <si>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</si>
  <si>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</si>
  <si>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</si>
  <si>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</si>
  <si>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</si>
  <si>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</si>
  <si>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</si>
  <si>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</si>
  <si>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</si>
  <si>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</si>
  <si>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</si>
  <si>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</si>
  <si>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</si>
  <si>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</si>
  <si>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</si>
  <si>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</si>
  <si>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</si>
  <si>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</si>
  <si>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</si>
  <si>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</si>
  <si>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</si>
  <si>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</si>
  <si>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</si>
  <si>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</si>
  <si>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</si>
  <si>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</si>
  <si>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</si>
  <si>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</si>
  <si>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</si>
  <si>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</si>
  <si>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</si>
  <si>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</si>
  <si>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</si>
  <si>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</si>
  <si>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</si>
  <si>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</si>
  <si>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</si>
  <si>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</si>
  <si>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</si>
  <si>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</si>
  <si>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</si>
  <si>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</si>
  <si>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</si>
  <si>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</si>
  <si>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</si>
  <si>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</si>
  <si>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</si>
  <si>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</si>
  <si>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</si>
  <si>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</si>
  <si>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</si>
  <si>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</si>
  <si>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</si>
  <si>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</si>
  <si>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</si>
  <si>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</si>
  <si>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</si>
  <si>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</si>
  <si>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</si>
  <si>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</si>
  <si>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</si>
  <si>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</si>
  <si>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</si>
  <si>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</si>
  <si>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</si>
  <si>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</si>
  <si>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</si>
  <si>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</si>
  <si>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</si>
  <si>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</si>
  <si>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</si>
  <si>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</si>
  <si>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</si>
  <si>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</si>
  <si>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</si>
  <si>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</si>
  <si>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</si>
  <si>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</si>
  <si>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</si>
  <si>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</si>
  <si>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</si>
  <si>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</si>
  <si>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</si>
  <si>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</si>
  <si>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</si>
  <si>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</si>
  <si>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</si>
  <si>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</si>
  <si>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</si>
  <si>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</si>
  <si>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</si>
  <si>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</si>
  <si>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</si>
  <si>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</si>
  <si>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</si>
  <si>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</si>
  <si>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</si>
  <si>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</si>
  <si>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</si>
  <si>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</si>
  <si>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</si>
  <si>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</si>
  <si>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</si>
  <si>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</si>
  <si>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</si>
  <si>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</si>
  <si>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</si>
  <si>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</si>
  <si>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</si>
  <si>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</si>
  <si>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</si>
  <si>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</si>
  <si>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</si>
  <si>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</si>
  <si>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</si>
  <si>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</si>
  <si>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</si>
  <si>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</si>
  <si>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</si>
  <si>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</si>
  <si>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</si>
  <si>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</si>
  <si>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</si>
  <si>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</si>
  <si>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</si>
  <si>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</si>
  <si>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</si>
  <si>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</si>
  <si>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</si>
  <si>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</si>
  <si>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</si>
  <si>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</si>
  <si>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</si>
  <si>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</si>
  <si>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</si>
  <si>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</si>
  <si>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</si>
  <si>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</si>
  <si>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</si>
  <si>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</si>
  <si>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</si>
  <si>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</si>
  <si>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</si>
  <si>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</si>
  <si>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</si>
  <si>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</si>
  <si>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</si>
  <si>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</si>
  <si>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</si>
  <si>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</si>
  <si>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</si>
  <si>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</si>
  <si>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</si>
  <si>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</si>
  <si>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</si>
  <si>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</si>
  <si>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</si>
  <si>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</si>
  <si>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</si>
  <si>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</si>
  <si>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</si>
  <si>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</si>
  <si>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</si>
  <si>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</si>
  <si>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</si>
  <si>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</si>
  <si>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</si>
  <si>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</si>
  <si>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</si>
  <si>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</si>
  <si>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</si>
  <si>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</si>
  <si>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</si>
  <si>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</si>
  <si>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</si>
  <si>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</si>
  <si>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</si>
  <si>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</si>
  <si>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</si>
  <si>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</si>
  <si>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</si>
  <si>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</si>
  <si>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</si>
  <si>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</si>
  <si>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</si>
  <si>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</si>
  <si>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</si>
  <si>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</si>
  <si>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</si>
  <si>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</si>
  <si>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</si>
  <si>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</si>
  <si>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</si>
  <si>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</si>
  <si>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</si>
  <si>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</si>
  <si>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</si>
  <si>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</si>
  <si>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</si>
  <si>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</si>
  <si>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</si>
  <si>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</si>
  <si>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</si>
  <si>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</si>
  <si>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</si>
  <si>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</si>
  <si>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</si>
  <si>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</si>
  <si>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</si>
  <si>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</si>
  <si>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</si>
  <si>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</si>
  <si>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</si>
  <si>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</si>
  <si>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</si>
  <si>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</si>
  <si>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</si>
  <si>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</si>
  <si>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</si>
  <si>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</si>
  <si>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</si>
  <si>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</si>
  <si>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</si>
  <si>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</si>
  <si>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</si>
  <si>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</si>
  <si>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</si>
  <si>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</si>
  <si>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</si>
  <si>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</si>
  <si>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</si>
  <si>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</si>
  <si>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</si>
  <si>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</si>
  <si>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</si>
  <si>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</si>
  <si>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</si>
  <si>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</si>
  <si>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</si>
  <si>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</si>
  <si>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</si>
  <si>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</si>
  <si>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</si>
  <si>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</si>
  <si>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</si>
  <si>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</si>
  <si>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</si>
  <si>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</si>
  <si>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</si>
  <si>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</si>
  <si>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</si>
  <si>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</si>
  <si>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</si>
  <si>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</si>
  <si>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</si>
  <si>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</si>
  <si>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</si>
  <si>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</si>
  <si>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</si>
  <si>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</si>
  <si>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</si>
  <si>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</si>
  <si>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</si>
  <si>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</si>
  <si>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</si>
  <si>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</si>
  <si>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</si>
  <si>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</si>
  <si>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</si>
  <si>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</si>
  <si>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</si>
  <si>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</si>
  <si>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</si>
  <si>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</si>
  <si>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</si>
  <si>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</si>
  <si>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</si>
  <si>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</si>
  <si>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</si>
  <si>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</si>
  <si>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</si>
  <si>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</si>
  <si>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</si>
  <si>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</si>
  <si>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</si>
  <si>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</si>
  <si>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</si>
  <si>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</si>
  <si>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</si>
  <si>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</si>
  <si>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</si>
  <si>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</si>
  <si>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</si>
  <si>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</si>
  <si>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</si>
  <si>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</si>
  <si>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</si>
  <si>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</si>
  <si>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</si>
  <si>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</si>
  <si>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</si>
  <si>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</si>
  <si>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</si>
  <si>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</si>
  <si>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</si>
  <si>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</si>
  <si>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</si>
  <si>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</si>
  <si>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</si>
  <si>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</si>
  <si>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</si>
  <si>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</si>
  <si>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</si>
  <si>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</si>
  <si>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</si>
  <si>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</si>
  <si>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</si>
  <si>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</si>
  <si>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</si>
  <si>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</si>
  <si>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</si>
  <si>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</si>
  <si>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</si>
  <si>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</si>
  <si>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</si>
  <si>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</si>
  <si>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</si>
  <si>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</si>
  <si>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</si>
  <si>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</si>
  <si>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</si>
  <si>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</si>
  <si>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</si>
  <si>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</si>
  <si>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</si>
  <si>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</si>
  <si>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</si>
  <si>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</si>
  <si>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</si>
  <si>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</si>
  <si>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</si>
  <si>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</si>
  <si>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</si>
  <si>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</si>
  <si>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</si>
  <si>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</si>
  <si>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</si>
  <si>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</si>
  <si>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</si>
  <si>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</si>
  <si>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</si>
  <si>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</si>
  <si>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</si>
  <si>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</si>
  <si>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</si>
  <si>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</si>
  <si>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</si>
  <si>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</si>
  <si>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</si>
  <si>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</si>
  <si>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</si>
  <si>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</si>
  <si>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</si>
  <si>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</si>
  <si>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</si>
  <si>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</si>
  <si>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</si>
  <si>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</si>
  <si>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</si>
  <si>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</si>
  <si>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</si>
  <si>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</si>
  <si>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</si>
  <si>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</si>
  <si>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</si>
  <si>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</si>
  <si>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</si>
  <si>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</si>
  <si>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</si>
  <si>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</si>
  <si>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</si>
  <si>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</si>
  <si>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</si>
  <si>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</si>
  <si>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</si>
  <si>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</si>
  <si>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</si>
  <si>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</si>
  <si>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</si>
  <si>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</si>
  <si>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</si>
  <si>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</si>
  <si>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</si>
  <si>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</si>
  <si>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</si>
  <si>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</si>
  <si>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</si>
  <si>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</si>
  <si>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</si>
  <si>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</si>
  <si>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</si>
  <si>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</si>
  <si>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</si>
  <si>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</si>
  <si>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</si>
  <si>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</si>
  <si>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</si>
  <si>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</si>
  <si>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</si>
  <si>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</si>
  <si>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</si>
  <si>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</si>
  <si>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</si>
  <si>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</si>
  <si>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</si>
  <si>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</si>
  <si>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</si>
  <si>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</si>
  <si>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</si>
  <si>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</si>
  <si>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</si>
  <si>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</si>
  <si>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</si>
  <si>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</si>
  <si>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</si>
  <si>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</si>
  <si>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</si>
  <si>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</si>
  <si>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</si>
  <si>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</si>
  <si>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</si>
  <si>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</si>
  <si>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</si>
  <si>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</si>
  <si>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</si>
  <si>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</si>
  <si>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</si>
  <si>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</si>
  <si>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</si>
  <si>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</si>
  <si>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</si>
  <si>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</si>
  <si>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</si>
  <si>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</si>
  <si>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</si>
  <si>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</si>
  <si>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</si>
  <si>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</si>
  <si>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</si>
  <si>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</si>
  <si>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</si>
  <si>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</si>
  <si>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</si>
  <si>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</si>
  <si>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</si>
  <si>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</si>
  <si>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</si>
  <si>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</si>
  <si>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</si>
  <si>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</si>
  <si>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</si>
  <si>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</si>
  <si>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</si>
  <si>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</si>
  <si>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</si>
  <si>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</si>
  <si>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</si>
  <si>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</si>
  <si>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</si>
  <si>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</si>
  <si>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</si>
  <si>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</si>
  <si>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</si>
  <si>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</si>
  <si>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</si>
  <si>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</si>
  <si>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</si>
  <si>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</si>
  <si>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</si>
  <si>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</si>
  <si>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</si>
  <si>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</si>
  <si>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</si>
  <si>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</si>
  <si>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</si>
  <si>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</si>
  <si>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</si>
  <si>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</si>
  <si>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</si>
  <si>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</si>
  <si>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</si>
  <si>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</si>
  <si>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</si>
  <si>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</si>
  <si>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</si>
  <si>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</si>
  <si>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</si>
  <si>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</si>
  <si>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</si>
  <si>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</si>
  <si>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</si>
  <si>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</si>
  <si>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</si>
  <si>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</si>
  <si>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</si>
  <si>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</si>
  <si>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</si>
  <si>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</si>
  <si>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</si>
  <si>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</si>
  <si>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</si>
  <si>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</si>
  <si>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</si>
  <si>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</si>
  <si>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</si>
  <si>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</si>
  <si>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</si>
  <si>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</si>
  <si>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</si>
  <si>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</si>
  <si>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</si>
  <si>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</si>
  <si>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</si>
  <si>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</si>
  <si>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</si>
  <si>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</si>
  <si>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</si>
  <si>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</si>
  <si>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</si>
  <si>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</si>
  <si>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</si>
  <si>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</si>
  <si>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</si>
  <si>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</si>
  <si>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</si>
  <si>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</si>
  <si>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</si>
  <si>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</si>
  <si>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</si>
  <si>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</si>
  <si>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</si>
  <si>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</si>
  <si>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</si>
  <si>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</si>
  <si>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</si>
  <si>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</si>
  <si>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</si>
  <si>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</si>
  <si>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</si>
  <si>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</si>
  <si>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</si>
  <si>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</si>
  <si>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</si>
  <si>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</si>
  <si>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</si>
  <si>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</si>
  <si>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</si>
  <si>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</si>
  <si>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</si>
  <si>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</si>
  <si>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</si>
  <si>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</si>
  <si>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</si>
  <si>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</si>
  <si>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</si>
  <si>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</si>
  <si>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</si>
  <si>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</si>
  <si>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</si>
  <si>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</si>
  <si>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</si>
  <si>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</si>
  <si>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</si>
  <si>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</si>
  <si>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</si>
  <si>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</si>
  <si>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</si>
  <si>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</si>
  <si>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</si>
  <si>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</si>
  <si>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</si>
  <si>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</si>
  <si>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</si>
  <si>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</si>
  <si>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</si>
  <si>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</si>
  <si>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</si>
  <si>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</si>
  <si>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</si>
  <si>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</si>
  <si>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</si>
  <si>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</si>
  <si>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</si>
  <si>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</si>
  <si>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</si>
  <si>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</si>
  <si>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</si>
  <si>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</si>
  <si>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</si>
  <si>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</si>
  <si>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</si>
  <si>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</si>
  <si>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</si>
  <si>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</si>
  <si>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</si>
  <si>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</si>
  <si>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</si>
  <si>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</si>
  <si>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</si>
  <si>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</si>
  <si>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</si>
  <si>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</si>
  <si>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</si>
  <si>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</si>
  <si>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</si>
  <si>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</si>
  <si>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</si>
  <si>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</si>
  <si>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</si>
  <si>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</si>
  <si>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</si>
  <si>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</si>
  <si>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</si>
  <si>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</si>
  <si>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</si>
  <si>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</si>
  <si>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</si>
  <si>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</si>
  <si>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</si>
  <si>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</si>
  <si>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</si>
  <si>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</si>
  <si>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</si>
  <si>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</si>
  <si>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</si>
  <si>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</si>
  <si>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</si>
  <si>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</si>
  <si>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</si>
  <si>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</si>
  <si>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</si>
  <si>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</si>
  <si>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</si>
  <si>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</si>
  <si>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</si>
  <si>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</si>
  <si>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</si>
  <si>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</si>
  <si>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</si>
  <si>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</si>
  <si>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</si>
  <si>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</si>
  <si>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</si>
  <si>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</si>
  <si>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</si>
  <si>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</si>
  <si>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</si>
  <si>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</si>
  <si>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</si>
  <si>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</si>
  <si>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</si>
  <si>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</si>
  <si>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</si>
  <si>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</si>
  <si>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</si>
  <si>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</si>
  <si>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</si>
  <si>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</si>
  <si>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</si>
  <si>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</si>
  <si>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</si>
  <si>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</si>
  <si>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</si>
  <si>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</si>
  <si>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</si>
  <si>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</si>
  <si>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</si>
  <si>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</si>
  <si>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</si>
  <si>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</si>
  <si>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</si>
  <si>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</si>
  <si>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</si>
  <si>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</si>
  <si>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</si>
  <si>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</si>
  <si>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</si>
  <si>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</si>
  <si>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</si>
  <si>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</si>
  <si>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</si>
  <si>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</si>
  <si>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</si>
  <si>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</si>
  <si>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</si>
  <si>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</si>
  <si>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</si>
  <si>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</si>
  <si>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</si>
  <si>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</si>
  <si>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</si>
  <si>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</si>
  <si>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</si>
  <si>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</si>
  <si>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</si>
  <si>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</si>
  <si>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</si>
  <si>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</si>
  <si>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</si>
  <si>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</si>
  <si>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</si>
  <si>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</si>
  <si>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</si>
  <si>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</si>
  <si>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</si>
  <si>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</si>
  <si>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</si>
  <si>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</si>
  <si>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</si>
  <si>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</si>
  <si>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</si>
  <si>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</si>
  <si>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</si>
  <si>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</si>
  <si>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</si>
  <si>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</si>
  <si>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</si>
  <si>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</si>
  <si>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</si>
  <si>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</si>
  <si>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</si>
  <si>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</si>
  <si>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</si>
  <si>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</si>
  <si>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</si>
  <si>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</si>
  <si>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</si>
  <si>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</si>
  <si>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</si>
  <si>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</si>
  <si>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</si>
  <si>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</si>
  <si>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</si>
  <si>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</si>
  <si>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</si>
  <si>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</si>
  <si>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</si>
  <si>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</si>
  <si>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</si>
  <si>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</si>
  <si>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</si>
  <si>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</si>
  <si>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</si>
  <si>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</si>
  <si>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</si>
  <si>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</si>
  <si>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</si>
  <si>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</si>
  <si>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</si>
  <si>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</si>
  <si>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</si>
  <si>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</si>
  <si>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</si>
  <si>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</si>
  <si>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</si>
  <si>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</si>
  <si>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</si>
  <si>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</si>
  <si>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</si>
  <si>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</si>
  <si>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</si>
  <si>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</si>
  <si>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</si>
  <si>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</si>
  <si>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</si>
  <si>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</si>
  <si>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</si>
  <si>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</si>
  <si>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</si>
  <si>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</si>
  <si>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</si>
  <si>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</si>
  <si>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</si>
  <si>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</si>
  <si>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</si>
  <si>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</si>
  <si>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</si>
  <si>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</si>
  <si>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</si>
  <si>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</si>
  <si>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</si>
  <si>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</si>
  <si>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</si>
  <si>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</si>
  <si>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</si>
  <si>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</si>
  <si>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</si>
  <si>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</si>
  <si>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</si>
  <si>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</si>
  <si>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</si>
  <si>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</si>
  <si>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</si>
  <si>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</si>
  <si>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</si>
  <si>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</si>
  <si>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</si>
  <si>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</si>
  <si>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</si>
  <si>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</si>
  <si>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</si>
  <si>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</si>
  <si>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</si>
  <si>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</si>
  <si>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</si>
  <si>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</si>
  <si>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</si>
  <si>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</si>
  <si>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</si>
  <si>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</si>
  <si>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</si>
  <si>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</si>
  <si>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</si>
  <si>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</si>
  <si>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</si>
  <si>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</si>
  <si>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</si>
  <si>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</si>
  <si>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</si>
  <si>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</si>
  <si>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</si>
  <si>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</si>
  <si>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</si>
  <si>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</si>
  <si>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</si>
  <si>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</si>
  <si>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</si>
  <si>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</si>
  <si>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</si>
  <si>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</si>
  <si>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</si>
  <si>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</si>
  <si>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</si>
  <si>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</si>
  <si>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</si>
  <si>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</si>
  <si>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</si>
  <si>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</si>
  <si>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</si>
  <si>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</si>
  <si>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</si>
  <si>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</si>
  <si>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</si>
  <si>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</si>
  <si>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</si>
  <si>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</si>
  <si>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</si>
  <si>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</si>
  <si>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</si>
  <si>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</si>
  <si>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</si>
  <si>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</si>
  <si>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</si>
  <si>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</si>
  <si>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</si>
  <si>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</si>
  <si>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</si>
  <si>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</si>
  <si>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</si>
  <si>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</si>
  <si>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</si>
  <si>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</si>
  <si>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</si>
  <si>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</si>
  <si>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</si>
  <si>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</si>
  <si>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</si>
  <si>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</si>
  <si>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</si>
  <si>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</si>
  <si>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</si>
  <si>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</si>
  <si>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</si>
  <si>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</si>
  <si>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</si>
  <si>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</si>
  <si>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</si>
  <si>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</si>
  <si>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</si>
  <si>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</si>
  <si>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</si>
  <si>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</si>
  <si>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</si>
  <si>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</si>
  <si>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</si>
  <si>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</si>
  <si>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</si>
  <si>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</si>
  <si>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</si>
  <si>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</si>
  <si>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</si>
  <si>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</si>
  <si>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</si>
  <si>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</si>
  <si>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</si>
  <si>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</si>
  <si>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</si>
  <si>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</si>
  <si>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</si>
  <si>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</si>
  <si>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</si>
  <si>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</si>
  <si>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</si>
  <si>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</si>
  <si>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</si>
  <si>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</si>
  <si>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</si>
  <si>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</si>
  <si>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</si>
  <si>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</si>
  <si>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</si>
  <si>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</si>
  <si>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</si>
  <si>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</si>
  <si>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</si>
  <si>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</si>
  <si>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</si>
  <si>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</si>
  <si>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</si>
  <si>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</si>
  <si>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</si>
  <si>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</si>
  <si>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</si>
  <si>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</si>
  <si>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</si>
  <si>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</si>
  <si>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</si>
  <si>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</si>
  <si>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</si>
  <si>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</si>
  <si>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</si>
  <si>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</si>
  <si>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</si>
  <si>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</si>
  <si>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</si>
  <si>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</si>
  <si>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</si>
  <si>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</si>
  <si>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</si>
  <si>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</si>
  <si>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</si>
  <si>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</si>
  <si>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</si>
  <si>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</si>
  <si>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</si>
  <si>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</si>
  <si>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</si>
  <si>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</si>
  <si>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</si>
  <si>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</si>
  <si>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</si>
  <si>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</si>
  <si>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</si>
  <si>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</si>
  <si>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</si>
  <si>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</si>
  <si>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</si>
  <si>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</si>
  <si>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</si>
  <si>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</si>
  <si>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</si>
  <si>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</si>
  <si>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</si>
  <si>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</si>
  <si>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</si>
  <si>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</si>
  <si>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</si>
  <si>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</si>
  <si>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</si>
  <si>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</si>
  <si>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</si>
  <si>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</si>
  <si>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</si>
  <si>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</si>
  <si>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</si>
  <si>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</si>
  <si>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</si>
  <si>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</si>
  <si>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</si>
  <si>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</si>
  <si>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</si>
  <si>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</si>
  <si>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</si>
  <si>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</si>
  <si>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</si>
  <si>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</si>
  <si>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</si>
  <si>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</si>
  <si>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</si>
  <si>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</si>
  <si>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</si>
  <si>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</si>
  <si>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</si>
  <si>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</si>
  <si>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</si>
  <si>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</si>
  <si>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</si>
  <si>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</si>
  <si>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</si>
  <si>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</si>
  <si>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</si>
  <si>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</si>
  <si>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</si>
  <si>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</si>
  <si>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</si>
  <si>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</si>
  <si>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</si>
  <si>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</si>
  <si>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</si>
  <si>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</si>
  <si>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</si>
  <si>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</si>
  <si>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</si>
  <si>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</si>
  <si>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</si>
  <si>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</si>
  <si>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</si>
  <si>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</si>
  <si>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</si>
  <si>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</si>
  <si>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</si>
  <si>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</si>
  <si>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</si>
  <si>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</si>
  <si>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</si>
  <si>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</si>
  <si>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</si>
  <si>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</si>
  <si>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</si>
  <si>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</si>
  <si>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</si>
  <si>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</si>
  <si>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</si>
  <si>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</si>
  <si>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</si>
  <si>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</si>
  <si>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</si>
  <si>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</si>
  <si>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</si>
  <si>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</si>
  <si>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</si>
  <si>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</si>
  <si>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</si>
  <si>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</si>
  <si>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</si>
  <si>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</si>
  <si>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</si>
  <si>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</si>
  <si>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</si>
  <si>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</si>
  <si>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</si>
  <si>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</si>
  <si>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</si>
  <si>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</si>
  <si>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</si>
  <si>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</si>
  <si>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</si>
  <si>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</si>
  <si>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</si>
  <si>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</si>
  <si>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</si>
  <si>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</si>
  <si>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</si>
  <si>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</si>
  <si>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</si>
  <si>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</si>
  <si>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</si>
  <si>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</si>
  <si>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</si>
  <si>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</si>
  <si>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</si>
  <si>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</si>
  <si>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</si>
  <si>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</si>
  <si>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</si>
  <si>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</si>
  <si>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</si>
  <si>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</si>
  <si>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</si>
  <si>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</si>
  <si>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</si>
  <si>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</si>
  <si>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</si>
  <si>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</si>
  <si>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</si>
  <si>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</si>
  <si>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</si>
  <si>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</si>
  <si>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</si>
  <si>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</si>
  <si>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</si>
  <si>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</si>
  <si>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</si>
  <si>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</si>
  <si>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</si>
  <si>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</si>
  <si>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</si>
  <si>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</si>
  <si>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</si>
  <si>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</si>
  <si>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</si>
  <si>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</si>
  <si>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</si>
  <si>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</si>
  <si>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</si>
  <si>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</si>
  <si>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</si>
  <si>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</si>
  <si>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</si>
  <si>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</si>
  <si>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</si>
  <si>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</si>
  <si>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</si>
  <si>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</si>
  <si>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</si>
  <si>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</si>
  <si>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</si>
  <si>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</si>
  <si>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</si>
  <si>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</si>
  <si>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</si>
  <si>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</si>
  <si>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</si>
  <si>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</si>
  <si>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</si>
  <si>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</si>
  <si>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</si>
  <si>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</si>
  <si>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</si>
  <si>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</si>
  <si>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</si>
  <si>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</si>
  <si>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</si>
  <si>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</si>
  <si>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</si>
  <si>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</si>
  <si>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</si>
  <si>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</si>
  <si>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</si>
  <si>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</si>
  <si>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</si>
  <si>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</si>
  <si>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</si>
  <si>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</si>
  <si>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</si>
  <si>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</si>
  <si>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</si>
  <si>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</si>
  <si>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</si>
  <si>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</si>
  <si>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</si>
  <si>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</si>
  <si>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</si>
  <si>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</si>
  <si>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</si>
  <si>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</si>
  <si>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</si>
  <si>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</si>
  <si>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</si>
  <si>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</si>
  <si>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</si>
  <si>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</si>
  <si>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</si>
  <si>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</si>
  <si>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</si>
  <si>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</si>
  <si>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</si>
  <si>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</si>
  <si>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</si>
  <si>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</si>
  <si>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</si>
  <si>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</si>
  <si>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</si>
  <si>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</si>
  <si>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</si>
  <si>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</si>
  <si>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</si>
  <si>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</si>
  <si>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</si>
  <si>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</si>
  <si>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</si>
  <si>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</si>
  <si>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</si>
  <si>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</si>
  <si>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</si>
  <si>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</si>
  <si>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</si>
  <si>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</si>
  <si>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</si>
  <si>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</si>
  <si>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</si>
  <si>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</si>
  <si>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</si>
  <si>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</si>
  <si>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</si>
  <si>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</si>
  <si>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</si>
  <si>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</si>
  <si>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</si>
  <si>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</si>
  <si>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</si>
  <si>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</si>
  <si>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</si>
  <si>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</si>
  <si>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</si>
  <si>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</si>
  <si>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</si>
  <si>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</si>
  <si>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</si>
  <si>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</si>
  <si>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</si>
  <si>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</si>
  <si>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</si>
  <si>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</si>
  <si>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</si>
  <si>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</si>
  <si>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</si>
  <si>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</si>
  <si>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</si>
  <si>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</si>
  <si>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</si>
  <si>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</si>
  <si>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</si>
  <si>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</si>
  <si>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</si>
  <si>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</si>
  <si>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</si>
  <si>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</si>
  <si>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</si>
  <si>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</si>
  <si>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</si>
  <si>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</si>
  <si>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</si>
  <si>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</si>
  <si>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</si>
  <si>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</si>
  <si>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</si>
  <si>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</si>
  <si>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</si>
  <si>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</si>
  <si>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</si>
  <si>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</si>
  <si>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</si>
  <si>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</si>
  <si>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</si>
  <si>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</si>
  <si>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</si>
  <si>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</si>
  <si>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</si>
  <si>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</si>
  <si>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</si>
  <si>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</si>
  <si>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</si>
  <si>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</si>
  <si>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</si>
  <si>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</si>
  <si>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</si>
  <si>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</si>
  <si>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</si>
  <si>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</si>
  <si>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</si>
  <si>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</si>
  <si>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</si>
  <si>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</si>
  <si>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</si>
  <si>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</si>
  <si>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</si>
  <si>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</si>
  <si>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</si>
  <si>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</si>
  <si>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</si>
  <si>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</si>
  <si>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</si>
  <si>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</si>
  <si>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</si>
  <si>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</si>
  <si>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</si>
  <si>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</si>
  <si>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</si>
  <si>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</si>
  <si>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</si>
  <si>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</si>
  <si>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</si>
  <si>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</si>
  <si>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</si>
  <si>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</si>
  <si>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</si>
  <si>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</si>
  <si>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</si>
  <si>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</si>
  <si>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</si>
  <si>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</si>
  <si>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</si>
  <si>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</si>
  <si>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</si>
  <si>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</si>
  <si>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</si>
  <si>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</si>
  <si>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</si>
  <si>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</si>
  <si>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</si>
  <si>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</si>
  <si>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</si>
  <si>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</si>
  <si>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</si>
  <si>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</si>
  <si>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</si>
  <si>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</si>
  <si>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</si>
  <si>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</si>
  <si>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</si>
  <si>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</si>
  <si>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</si>
  <si>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</si>
  <si>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</si>
  <si>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</si>
  <si>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</si>
  <si>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</si>
  <si>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</si>
  <si>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</si>
  <si>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</si>
  <si>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</si>
  <si>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</si>
  <si>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</si>
  <si>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</si>
  <si>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</si>
  <si>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</si>
  <si>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</si>
  <si>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</si>
  <si>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</si>
  <si>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</si>
  <si>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</si>
  <si>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</si>
  <si>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</si>
  <si>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</si>
  <si>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</si>
  <si>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</si>
  <si>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</si>
  <si>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</si>
  <si>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</si>
  <si>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</si>
  <si>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</si>
  <si>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</si>
  <si>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</si>
  <si>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</si>
  <si>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</si>
  <si>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</si>
  <si>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</si>
  <si>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</si>
  <si>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</si>
  <si>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</si>
  <si>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</si>
  <si>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</si>
  <si>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</si>
  <si>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</si>
  <si>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</si>
  <si>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</si>
  <si>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</si>
  <si>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</si>
  <si>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</si>
  <si>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</si>
  <si>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</si>
  <si>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</si>
  <si>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</si>
  <si>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</si>
  <si>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</si>
  <si>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</si>
  <si>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</si>
  <si>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</si>
  <si>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</si>
  <si>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</si>
  <si>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</si>
  <si>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</si>
  <si>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</si>
  <si>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</si>
  <si>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</si>
  <si>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</si>
  <si>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</si>
  <si>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</si>
  <si>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</si>
  <si>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</si>
  <si>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</si>
  <si>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</si>
  <si>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</si>
  <si>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</si>
  <si>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</si>
  <si>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</si>
  <si>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</si>
  <si>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</si>
  <si>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</si>
  <si>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</si>
  <si>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</si>
  <si>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</si>
  <si>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</si>
  <si>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</si>
  <si>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</si>
  <si>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</si>
  <si>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</si>
  <si>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</si>
  <si>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</si>
  <si>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</si>
  <si>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</si>
  <si>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</si>
  <si>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</si>
  <si>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</si>
  <si>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</si>
  <si>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</si>
  <si>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</si>
  <si>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</si>
  <si>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</si>
  <si>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</si>
  <si>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</si>
  <si>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</si>
  <si>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</si>
  <si>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</si>
  <si>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</si>
  <si>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</si>
  <si>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</si>
  <si>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</si>
  <si>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</si>
  <si>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</si>
  <si>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</si>
  <si>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</si>
  <si>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</si>
  <si>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</si>
  <si>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</si>
  <si>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</si>
  <si>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</si>
  <si>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</si>
  <si>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</si>
  <si>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</si>
  <si>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</si>
  <si>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</si>
  <si>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</si>
  <si>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</si>
  <si>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</si>
  <si>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</si>
  <si>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</si>
  <si>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</si>
  <si>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</si>
  <si>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</si>
  <si>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</si>
  <si>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</si>
  <si>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</si>
  <si>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</si>
  <si>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</si>
  <si>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</si>
  <si>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</si>
  <si>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</si>
  <si>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</si>
  <si>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</si>
  <si>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</si>
  <si>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</si>
  <si>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</si>
  <si>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</si>
  <si>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</si>
  <si>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</si>
  <si>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</si>
  <si>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</si>
  <si>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</si>
  <si>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</si>
  <si>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</si>
  <si>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</si>
  <si>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</si>
  <si>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</si>
  <si>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</si>
  <si>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</si>
  <si>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</si>
  <si>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</si>
  <si>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</si>
  <si>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</si>
  <si>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</si>
  <si>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</si>
  <si>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</si>
  <si>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</si>
  <si>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</si>
  <si>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</si>
  <si>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</si>
  <si>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</si>
  <si>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</si>
  <si>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</si>
  <si>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</si>
  <si>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</si>
  <si>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</si>
  <si>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</si>
  <si>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</si>
  <si>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</si>
  <si>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</si>
  <si>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</si>
  <si>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</si>
  <si>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</si>
  <si>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</si>
  <si>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</si>
  <si>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</si>
  <si>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</si>
  <si>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</si>
  <si>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</si>
  <si>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</si>
  <si>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</si>
  <si>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</si>
  <si>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</si>
  <si>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</si>
  <si>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</si>
  <si>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</si>
  <si>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</si>
  <si>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</si>
  <si>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</si>
  <si>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</si>
  <si>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</si>
  <si>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</si>
  <si>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</si>
  <si>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</si>
  <si>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</si>
  <si>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</si>
  <si>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</si>
  <si>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</si>
  <si>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</si>
  <si>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</si>
  <si>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</si>
  <si>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</si>
  <si>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</si>
  <si>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</si>
  <si>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</si>
  <si>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</si>
  <si>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</si>
  <si>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</si>
  <si>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</si>
  <si>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</si>
  <si>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</si>
  <si>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</si>
  <si>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</si>
  <si>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</si>
  <si>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</si>
  <si>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</si>
  <si>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</si>
  <si>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</si>
  <si>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</si>
  <si>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</si>
  <si>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</si>
  <si>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</si>
  <si>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</si>
  <si>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</si>
  <si>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</si>
  <si>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</si>
  <si>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</si>
  <si>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</si>
  <si>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</si>
  <si>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</si>
  <si>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</si>
  <si>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</si>
  <si>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</si>
  <si>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</si>
  <si>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</si>
  <si>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</si>
  <si>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</si>
  <si>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</si>
  <si>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</si>
  <si>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</si>
  <si>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</si>
  <si>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</si>
  <si>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</si>
  <si>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</si>
  <si>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</si>
  <si>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</si>
  <si>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</si>
  <si>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</si>
  <si>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</si>
  <si>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</si>
  <si>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</si>
  <si>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</si>
  <si>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</si>
  <si>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</si>
  <si>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</si>
  <si>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</si>
  <si>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</si>
  <si>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</si>
  <si>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</si>
  <si>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</si>
  <si>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</si>
  <si>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</si>
  <si>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</si>
  <si>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</si>
  <si>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</si>
  <si>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</si>
  <si>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</si>
  <si>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</si>
  <si>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</si>
  <si>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</si>
  <si>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</si>
  <si>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</si>
  <si>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</si>
  <si>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</si>
  <si>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</si>
  <si>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</si>
  <si>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</si>
  <si>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</si>
  <si>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</si>
  <si>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</si>
  <si>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</si>
  <si>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</si>
  <si>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</si>
  <si>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</si>
  <si>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</si>
  <si>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</si>
  <si>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</si>
  <si>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</si>
  <si>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</si>
  <si>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</si>
  <si>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</si>
  <si>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</si>
  <si>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</si>
  <si>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</si>
  <si>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</si>
  <si>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</si>
  <si>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</si>
  <si>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</si>
  <si>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</si>
  <si>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</si>
  <si>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</si>
  <si>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</si>
  <si>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</si>
  <si>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</si>
  <si>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</si>
  <si>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</si>
  <si>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</si>
  <si>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</si>
  <si>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</si>
  <si>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</si>
  <si>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</si>
  <si>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</si>
  <si>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</si>
  <si>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</si>
  <si>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</si>
  <si>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</si>
  <si>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</si>
  <si>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</si>
  <si>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</si>
  <si>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</si>
  <si>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</si>
  <si>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</si>
  <si>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</si>
  <si>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</si>
  <si>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</si>
  <si>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</si>
  <si>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</si>
  <si>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</si>
  <si>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</si>
  <si>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</si>
  <si>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</si>
  <si>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</si>
  <si>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</si>
  <si>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</si>
  <si>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</si>
  <si>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</si>
  <si>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</si>
  <si>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</si>
  <si>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</si>
  <si>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</si>
  <si>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</si>
  <si>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</si>
  <si>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</si>
  <si>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</si>
  <si>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</si>
  <si>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</si>
  <si>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</si>
  <si>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</si>
  <si>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</si>
  <si>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</si>
  <si>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</si>
  <si>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</si>
  <si>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</si>
  <si>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</si>
  <si>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</si>
  <si>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</si>
  <si>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</si>
  <si>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</si>
  <si>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</si>
  <si>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</si>
  <si>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</si>
  <si>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</si>
  <si>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</si>
  <si>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</si>
  <si>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</si>
  <si>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</si>
  <si>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</si>
  <si>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</si>
  <si>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</si>
  <si>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</si>
  <si>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</si>
  <si>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</si>
  <si>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</si>
  <si>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</si>
  <si>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</si>
  <si>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</si>
  <si>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</si>
  <si>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</si>
  <si>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</si>
  <si>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</si>
  <si>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</si>
  <si>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</si>
  <si>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</si>
  <si>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</si>
  <si>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</si>
  <si>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</si>
  <si>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</si>
  <si>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</si>
  <si>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</si>
  <si>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</si>
  <si>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</si>
  <si>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</si>
  <si>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</si>
  <si>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</si>
  <si>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</si>
  <si>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</si>
  <si>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</si>
  <si>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</si>
  <si>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</si>
  <si>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</si>
  <si>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</si>
  <si>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</si>
  <si>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</si>
  <si>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</si>
  <si>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</si>
  <si>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</si>
  <si>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</si>
  <si>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</si>
  <si>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</si>
  <si>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</si>
  <si>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</si>
  <si>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</si>
  <si>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</si>
  <si>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</si>
  <si>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</si>
  <si>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</si>
  <si>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</si>
  <si>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</si>
  <si>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</si>
  <si>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</si>
  <si>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</si>
  <si>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</si>
  <si>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</si>
  <si>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</si>
  <si>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</si>
  <si>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</si>
  <si>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</si>
  <si>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</si>
  <si>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</si>
  <si>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</si>
  <si>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</si>
  <si>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</si>
  <si>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</si>
  <si>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</si>
  <si>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</si>
  <si>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</si>
  <si>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</si>
  <si>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</si>
  <si>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</si>
  <si>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</si>
  <si>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</si>
  <si>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</si>
  <si>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</si>
  <si>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</si>
  <si>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</si>
  <si>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</si>
  <si>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</si>
  <si>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</si>
  <si>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</si>
  <si>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</si>
  <si>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</si>
  <si>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</si>
  <si>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</si>
  <si>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</si>
  <si>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</si>
  <si>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</si>
  <si>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</si>
  <si>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</si>
  <si>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</si>
  <si>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</si>
  <si>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</si>
  <si>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</si>
  <si>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</si>
  <si>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</si>
  <si>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</si>
  <si>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</si>
  <si>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</si>
  <si>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</si>
  <si>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</si>
  <si>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</si>
  <si>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</si>
  <si>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</si>
  <si>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</si>
  <si>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</si>
  <si>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</si>
  <si>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</si>
  <si>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</si>
  <si>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</si>
  <si>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</si>
  <si>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</si>
  <si>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</si>
  <si>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</si>
  <si>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</si>
  <si>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</si>
  <si>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</si>
  <si>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</si>
  <si>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</si>
  <si>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</si>
  <si>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</si>
  <si>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</si>
  <si>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</si>
  <si>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</si>
  <si>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</si>
  <si>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</si>
  <si>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</si>
  <si>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</si>
  <si>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</si>
  <si>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</si>
  <si>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</si>
  <si>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</si>
  <si>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</si>
  <si>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</si>
  <si>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</si>
  <si>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</si>
  <si>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</si>
  <si>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</si>
  <si>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</si>
  <si>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</si>
  <si>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</si>
  <si>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</si>
  <si>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</si>
  <si>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</si>
  <si>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</si>
  <si>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</si>
  <si>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</si>
  <si>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</si>
  <si>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</si>
  <si>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</si>
  <si>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</si>
  <si>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</si>
  <si>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</si>
  <si>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</si>
  <si>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</si>
  <si>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</si>
  <si>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</si>
  <si>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</si>
  <si>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</si>
  <si>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</si>
  <si>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</si>
  <si>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</si>
  <si>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</si>
  <si>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</si>
  <si>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</si>
  <si>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</si>
  <si>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</si>
  <si>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</si>
  <si>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</si>
  <si>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</si>
  <si>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</si>
  <si>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</si>
  <si>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</si>
  <si>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</si>
  <si>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</si>
  <si>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</si>
  <si>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</si>
  <si>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</si>
  <si>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</si>
  <si>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</si>
  <si>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</si>
  <si>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</si>
  <si>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</si>
  <si>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</si>
  <si>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</si>
  <si>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</si>
  <si>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</si>
  <si>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</si>
  <si>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</si>
  <si>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</si>
  <si>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</si>
  <si>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</si>
  <si>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</si>
  <si>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</si>
  <si>
    <t>「マネバ」株式投資スクール　継続コース(1年一括)  定期課金用　2026年1～12月分　※分割記載1月分</t>
    <phoneticPr fontId="3"/>
  </si>
  <si>
    <t>「マネバ」株式投資スクール　継続コース(1年一括)  定期課金用　2026年1～12月分　※分割記載2月分</t>
  </si>
  <si>
    <t>「マネバ」株式投資スクール　継続コース(1年一括)  定期課金用　2026年1～12月分　※分割記載3月分</t>
  </si>
  <si>
    <t>「マネバ」株式投資スクール　継続コース(1年一括)  定期課金用　2026年1～12月分　※分割記載4月分</t>
  </si>
  <si>
    <t>「マネバ」株式投資スクール　継続コース(1年一括)  定期課金用　2026年1～12月分　※分割記載5月分</t>
  </si>
  <si>
    <t>「マネバ」株式投資スクール　継続コース(1年一括)  定期課金用　2026年1～12月分　※分割記載6月分</t>
  </si>
  <si>
    <t>「マネバ」株式投資スクール　継続コース(1年一括)  定期課金用　2026年1～12月分　※分割記載7月分</t>
  </si>
  <si>
    <t>「マネバ」株式投資スクール　継続コース(1年一括)  定期課金用　2026年1～12月分　※分割記載8月分</t>
  </si>
  <si>
    <t>「マネバ」株式投資スクール　継続コース(1年一括)  定期課金用　2026年1～12月分　※分割記載9月分</t>
  </si>
  <si>
    <t>「マネバ」株式投資スクール　継続コース(1年一括)  定期課金用　2026年1～12月分　※分割記載10月分</t>
  </si>
  <si>
    <t>「マネバ」株式投資スクール　継続コース(1年一括)  定期課金用　2026年1～12月分　※分割記載11月分</t>
  </si>
  <si>
    <t>「マネバ」株式投資スクール　継続コース(1年一括)  定期課金用　2026年1～12月分　※分割記載12月分</t>
  </si>
  <si>
    <t>11期</t>
    <rPh sb="2" eb="3">
      <t>キ</t>
    </rPh>
    <phoneticPr fontId="3"/>
  </si>
  <si>
    <t>「マネバ」株式投資スクール　継続コース(1年一括) クレジットカード決済用　2026年1～12月分　※分割記載1月分</t>
    <phoneticPr fontId="3"/>
  </si>
  <si>
    <t>「マネバ」株式投資スクール　継続コース(1年一括) クレジットカード決済用　2026年1～12月分　※分割記載2月分</t>
  </si>
  <si>
    <t>「マネバ」株式投資スクール　継続コース(1年一括) クレジットカード決済用　2026年1～12月分　※分割記載3月分</t>
  </si>
  <si>
    <t>「マネバ」株式投資スクール　継続コース(1年一括) クレジットカード決済用　2026年1～12月分　※分割記載4月分</t>
  </si>
  <si>
    <t>「マネバ」株式投資スクール　継続コース(1年一括) クレジットカード決済用　2026年1～12月分　※分割記載5月分</t>
  </si>
  <si>
    <t>「マネバ」株式投資スクール　継続コース(1年一括) クレジットカード決済用　2026年1～12月分　※分割記載6月分</t>
  </si>
  <si>
    <t>「マネバ」株式投資スクール　継続コース(1年一括) クレジットカード決済用　2026年1～12月分　※分割記載7月分</t>
  </si>
  <si>
    <t>「マネバ」株式投資スクール　継続コース(1年一括) クレジットカード決済用　2026年1～12月分　※分割記載8月分</t>
  </si>
  <si>
    <t>「マネバ」株式投資スクール　継続コース(1年一括) クレジットカード決済用　2026年1～12月分　※分割記載9月分</t>
  </si>
  <si>
    <t>「マネバ」株式投資スクール　継続コース(1年一括) クレジットカード決済用　2026年1～12月分　※分割記載10月分</t>
  </si>
  <si>
    <t>「マネバ」株式投資スクール　継続コース(1年一括) クレジットカード決済用　2026年1～12月分　※分割記載11月分</t>
  </si>
  <si>
    <t>「マネバ」株式投資スクール　継続コース(1年一括) クレジットカード決済用　2026年1～12月分　※分割記載12月分</t>
  </si>
  <si>
    <t>「マネバ」株式投資スクール(12分割)【P】　8回目/12分割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</si>
  <si>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</si>
  <si>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</si>
  <si>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</si>
  <si>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</si>
  <si>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※分割記載6月分</t>
  </si>
  <si>
    <t>「マネバ」株式投資スクール　継続コース(半年一括) 定期課金用　1～6月分　※分割記載2月分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</si>
  <si>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</si>
  <si>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</si>
  <si>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</si>
  <si>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※分割記載6月分</t>
  </si>
  <si>
    <t>「マネバ」株式投資スクール　継続コース（定期課金用）1月分</t>
  </si>
  <si>
    <t>トレンドサイン継続利用プラン（継続課金用）1月分</t>
  </si>
  <si>
    <t>PEAK FINDER -ONE-　年次プラン　2026年1～12月分　※分割記載1月分</t>
    <phoneticPr fontId="3"/>
  </si>
  <si>
    <t>PEAK FINDER -ONE-　年次プラン　2026年1～12月分　※分割記載2月分</t>
  </si>
  <si>
    <t>PEAK FINDER -ONE-　年次プラン　2026年1～12月分　※分割記載3月分</t>
  </si>
  <si>
    <t>PEAK FINDER -ONE-　年次プラン　2026年1～12月分　※分割記載4月分</t>
  </si>
  <si>
    <t>PEAK FINDER -ONE-　年次プラン　2026年1～12月分　※分割記載5月分</t>
  </si>
  <si>
    <t>PEAK FINDER -ONE-　年次プラン　2026年1～12月分　※分割記載6月分</t>
  </si>
  <si>
    <t>PEAK FINDER -ONE-　年次プラン　2026年1～12月分　※分割記載7月分</t>
  </si>
  <si>
    <t>PEAK FINDER -ONE-　年次プラン　2026年1～12月分　※分割記載8月分</t>
  </si>
  <si>
    <t>PEAK FINDER -ONE-　年次プラン　2026年1～12月分　※分割記載9月分</t>
  </si>
  <si>
    <t>PEAK FINDER -ONE-　年次プラン　2026年1～12月分　※分割記載10月分</t>
  </si>
  <si>
    <t>PEAK FINDER -ONE-　年次プラン　2026年1～12月分　※分割記載11月分</t>
  </si>
  <si>
    <t>PEAK FINDER -ONE-　年次プラン　2026年1～12月分　※分割記載12月分</t>
  </si>
  <si>
    <t>CLEAR TRADEエッセンシャルマスタープログラム（定期課金用）1月分</t>
  </si>
  <si>
    <t>PEAKFINDER -ONE-（定期課金用）1月分</t>
  </si>
  <si>
    <t>CLEAR TRADEコミュニティ Apexコース 年次プラン（定期課金用）2026年1～12月分　※分割記載1月分</t>
    <phoneticPr fontId="3"/>
  </si>
  <si>
    <t>CLEAR TRADEコミュニティ Apexコース 年次プラン（定期課金用）2026年1～12月分　※分割記載2月分</t>
  </si>
  <si>
    <t>CLEAR TRADEコミュニティ Apexコース 年次プラン（定期課金用）2026年1～12月分　※分割記載3月分</t>
  </si>
  <si>
    <t>CLEAR TRADEコミュニティ Apexコース 年次プラン（定期課金用）2026年1～12月分　※分割記載4月分</t>
  </si>
  <si>
    <t>CLEAR TRADEコミュニティ Apexコース 年次プラン（定期課金用）2026年1～12月分　※分割記載5月分</t>
  </si>
  <si>
    <t>CLEAR TRADEコミュニティ Apexコース 年次プラン（定期課金用）2026年1～12月分　※分割記載6月分</t>
  </si>
  <si>
    <t>CLEAR TRADEコミュニティ Apexコース 年次プラン（定期課金用）2026年1～12月分　※分割記載7月分</t>
  </si>
  <si>
    <t>CLEAR TRADEコミュニティ Apexコース 年次プラン（定期課金用）2026年1～12月分　※分割記載8月分</t>
  </si>
  <si>
    <t>CLEAR TRADEコミュニティ Apexコース 年次プラン（定期課金用）2026年1～12月分　※分割記載9月分</t>
  </si>
  <si>
    <t>CLEAR TRADEコミュニティ Apexコース 年次プラン（定期課金用）2026年1～12月分　※分割記載10月分</t>
  </si>
  <si>
    <t>CLEAR TRADEコミュニティ Apexコース 年次プラン（定期課金用）2026年1～12月分　※分割記載11月分</t>
  </si>
  <si>
    <t>CLEAR TRADEコミュニティ Apexコース 年次プラン（定期課金用）2026年1～12月分　※分割記載12月分</t>
  </si>
  <si>
    <t>CLEARTRADEコミュニティ（3ヶ月）クレジットカード用　1～3月分　※分割記載1月分</t>
    <phoneticPr fontId="3"/>
  </si>
  <si>
    <t>CLEARTRADEコミュニティ（3ヶ月）クレジットカード用　1～3月分　※分割記載2月分</t>
  </si>
  <si>
    <t>CLEARTRADEコミュニティ（3ヶ月）クレジットカード用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</si>
  <si>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</si>
  <si>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※分割記載3月分</t>
  </si>
  <si>
    <t>CLEARTRADEコミュニティ（6ヶ月）クレジットカード用　1～6月分　※分割記載1月分</t>
    <phoneticPr fontId="3"/>
  </si>
  <si>
    <t>CLEARTRADEコミュニティ（6ヶ月）クレジットカード用　1～6月分　※分割記載2月分</t>
  </si>
  <si>
    <t>CLEARTRADEコミュニティ（6ヶ月）クレジットカード用　1～6月分　※分割記載3月分</t>
  </si>
  <si>
    <t>CLEARTRADEコミュニティ（6ヶ月）クレジットカード用　1～6月分　※分割記載4月分</t>
  </si>
  <si>
    <t>CLEARTRADEコミュニティ（6ヶ月）クレジットカード用　1～6月分　※分割記載5月分</t>
  </si>
  <si>
    <t>CLEARTRADEコミュニティ（6ヶ月）クレジットカード用　1～6月分　※分割記載6月分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</si>
  <si>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</si>
  <si>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</si>
  <si>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</si>
  <si>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※分割記載5月分</t>
  </si>
  <si>
    <t>CLEARTRADEコミュニティ（6ヶ月プラン）クレジットカード決済用　1～6月分　※分割記載6月分</t>
  </si>
  <si>
    <t>CLEARTRADEコミュニティ（6ヶ月プラン）クレジットカード決済用　2026年4～9月分　※分割記載4月分</t>
    <phoneticPr fontId="3"/>
  </si>
  <si>
    <t>CLEARTRADEコミュニティ（6ヶ月プラン）クレジットカード決済用　2026年4～9月分　※分割記載5月分</t>
  </si>
  <si>
    <t>CLEARTRADEコミュニティ（6ヶ月プラン）クレジットカード決済用　2026年4～9月分　※分割記載6月分</t>
  </si>
  <si>
    <t>CLEARTRADEコミュニティ（6ヶ月プラン）クレジットカード決済用　2026年4～9月分　※分割記載7月分</t>
  </si>
  <si>
    <t>CLEARTRADEコミュニティ（6ヶ月プラン）クレジットカード決済用　2026年4～9月分　※分割記載8月分</t>
  </si>
  <si>
    <t>CLEARTRADEコミュニティ（6ヶ月プラン）クレジットカード決済用　2026年4～9月分　※分割記載9月分</t>
  </si>
  <si>
    <t>CLEARTRADEコミュニティ（6ヶ月プラン）決済エラー用　1～6月分　※分割記載2月分</t>
  </si>
  <si>
    <t>CLEARTRADEコミュニティ（6ヶ月プラン）決済エラー用　1～6月分　※分割記載3月分</t>
  </si>
  <si>
    <t>CLEARTRADEコミュニティ（6ヶ月プラン）決済エラー用　1～6月分　※分割記載4月分</t>
  </si>
  <si>
    <t>CLEARTRADEコミュニティ（6ヶ月プラン）決済エラー用　1～6月分　※分割記載5月分</t>
  </si>
  <si>
    <t>CLEARTRADEコミュニティ（6ヶ月プラン）決済エラー用　1～6月分　※分割記載6月分</t>
  </si>
  <si>
    <t>CLEARTRADEコミュニティ（6ヶ月プラン）決済エラー用　プラン変更　12～5月分　※分割記載12月分</t>
    <phoneticPr fontId="3"/>
  </si>
  <si>
    <t>CLEARTRADEコミュニティ（6ヶ月プラン）決済エラー用　プラン変更　12～5月分　※分割記載1月分</t>
    <phoneticPr fontId="3"/>
  </si>
  <si>
    <t>CLEARTRADEコミュニティ（6ヶ月プラン）決済エラー用　プラン変更　12～5月分　※分割記載2月分</t>
  </si>
  <si>
    <t>CLEARTRADEコミュニティ（6ヶ月プラン）決済エラー用　プラン変更　12～5月分　※分割記載3月分</t>
  </si>
  <si>
    <t>CLEARTRADEコミュニティ（6ヶ月プラン）決済エラー用　プラン変更　12～5月分　※分割記載4月分</t>
  </si>
  <si>
    <t>CLEARTRADEコミュニティ（6ヶ月プラン）決済エラー用　プラン変更　12～5月分　※分割記載5月分</t>
  </si>
  <si>
    <t>CLEARTRADEコミュニティ（プラン変更）6ヶ月　クレジットカード決済用　1～6月分　※分割記載1月分</t>
    <phoneticPr fontId="3"/>
  </si>
  <si>
    <t>CLEARTRADEコミュニティ（プラン変更）6ヶ月　クレジットカード決済用　1～6月分　※分割記載2月分</t>
  </si>
  <si>
    <t>CLEARTRADEコミュニティ（プラン変更）6ヶ月　クレジットカード決済用　1～6月分　※分割記載3月分</t>
  </si>
  <si>
    <t>CLEARTRADEコミュニティ（プラン変更）6ヶ月　クレジットカード決済用　1～6月分　※分割記載4月分</t>
  </si>
  <si>
    <t>CLEARTRADEコミュニティ（プラン変更）6ヶ月　クレジットカード決済用　1～6月分　※分割記載5月分</t>
  </si>
  <si>
    <t>CLEARTRADEコミュニティ（プラン変更）6ヶ月　クレジットカード決済用　1～6月分　※分割記載6月分</t>
  </si>
  <si>
    <t>CLEAR TRADEコミュニティ Apexコース 月次プラン（定期課金用）1月分</t>
  </si>
  <si>
    <t>CLEARTRADEコミュニテイ 【ライトコース】課金用1月分</t>
  </si>
  <si>
    <t>CLEARTRADEコミュニティ（プラン変更）1月分</t>
  </si>
  <si>
    <t>CLEARTRADEコミュニティ1月分</t>
  </si>
  <si>
    <t>奥村尚の金融リテラシー向上委員会(モニター価格)（継続課金）1月分</t>
  </si>
  <si>
    <t>10ヶ月</t>
  </si>
  <si>
    <t>エアポケットシグナル配信（10ヶ月）</t>
  </si>
  <si>
    <t>「マネバ」株式投資スクール　継続コース(1年一括) 銀行振込用　2025年12月～2026年11月分　※分割記載12月分</t>
    <phoneticPr fontId="3"/>
  </si>
  <si>
    <t>「マネバ」株式投資スクール　継続コース(1年一括) 銀行振込用　2025年12月～2026年11月分　※分割記載1月分</t>
    <phoneticPr fontId="3"/>
  </si>
  <si>
    <t>「マネバ」株式投資スクール　継続コース(1年一括) 銀行振込用　2025年12月～2026年11月分　※分割記載2月分</t>
  </si>
  <si>
    <t>「マネバ」株式投資スクール　継続コース(1年一括) 銀行振込用　2025年12月～2026年11月分　※分割記載3月分</t>
  </si>
  <si>
    <t>「マネバ」株式投資スクール　継続コース(1年一括) 銀行振込用　2025年12月～2026年11月分　※分割記載4月分</t>
  </si>
  <si>
    <t>「マネバ」株式投資スクール　継続コース(1年一括) 銀行振込用　2025年12月～2026年11月分　※分割記載5月分</t>
  </si>
  <si>
    <t>「マネバ」株式投資スクール　継続コース(1年一括) 銀行振込用　2025年12月～2026年11月分　※分割記載6月分</t>
  </si>
  <si>
    <t>「マネバ」株式投資スクール　継続コース(1年一括) 銀行振込用　2025年12月～2026年11月分　※分割記載7月分</t>
  </si>
  <si>
    <t>「マネバ」株式投資スクール　継続コース(1年一括) 銀行振込用　2025年12月～2026年11月分　※分割記載8月分</t>
  </si>
  <si>
    <t>「マネバ」株式投資スクール　継続コース(1年一括) 銀行振込用　2025年12月～2026年11月分　※分割記載9月分</t>
  </si>
  <si>
    <t>「マネバ」株式投資スクール　継続コース(1年一括) 銀行振込用　2025年12月～2026年11月分　※分割記載10月分</t>
  </si>
  <si>
    <t>「マネバ」株式投資スクール　継続コース(1年一括) 銀行振込用　2025年12月～2026年11月分　※分割記載11月分</t>
  </si>
  <si>
    <t>「マネバ」株式投資スクール　継続コース(半年一括) 銀行振込用　12～5月分　※分割記載12月分</t>
    <phoneticPr fontId="3"/>
  </si>
  <si>
    <t>「マネバ」株式投資スクール　継続コース(半年一括) 銀行振込用　12～5月分　※分割記載1月分</t>
    <phoneticPr fontId="3"/>
  </si>
  <si>
    <t>「マネバ」株式投資スクール　継続コース(半年一括) 銀行振込用　12～5月分　※分割記載2月分</t>
  </si>
  <si>
    <t>「マネバ」株式投資スクール　継続コース(半年一括) 銀行振込用　12～5月分　※分割記載3月分</t>
  </si>
  <si>
    <t>「マネバ」株式投資スクール　継続コース(半年一括) 銀行振込用　12～5月分　※分割記載4月分</t>
  </si>
  <si>
    <t>「マネバ」株式投資スクール　継続コース(半年一括) 銀行振込用　12～5月分　※分割記載5月分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</si>
  <si>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</si>
  <si>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※分割記載3月分</t>
  </si>
  <si>
    <t>CLEARTRADEコミュニティ（3ヶ月プラン）銀行振込用　1～3月分　※分割記載2月分</t>
  </si>
  <si>
    <t>CLEARTRADEコミュニティ（3ヶ月プラン）銀行振込用　1～3月分　※分割記載3月分</t>
  </si>
  <si>
    <t>CLEARTRADEコミュニティ（6ヶ月プラン）銀行振込用　1～6月分　※分割記載2月分</t>
  </si>
  <si>
    <t>CLEARTRADEコミュニティ（6ヶ月プラン）銀行振込用　1～6月分　※分割記載3月分</t>
  </si>
  <si>
    <t>CLEARTRADEコミュニティ（6ヶ月プラン）銀行振込用　1～6月分　※分割記載4月分</t>
  </si>
  <si>
    <t>CLEARTRADEコミュニティ（6ヶ月プラン）銀行振込用　1～6月分　※分割記載5月分</t>
  </si>
  <si>
    <t>CLEARTRADEコミュニティ（6ヶ月プラン）銀行振込用　1～6月分　※分割記載6月分</t>
  </si>
  <si>
    <t>秋田式日刊エントリーポイント解説　上級コース（課金用）1月分</t>
  </si>
  <si>
    <t>「Shinobi」コミュニティ継続コース（定期課金用）1月分</t>
  </si>
  <si>
    <t>秋田式日刊エントリーポイント解説初級コース（継続課金）1月分</t>
  </si>
  <si>
    <t>カルロスのFX相場思考（継続課金）1月分</t>
  </si>
  <si>
    <t>トレンドサイン継続利用プラン　6ヶ月おまとめ　12月～5月分 　※分割記載12月分</t>
    <rPh sb="33" eb="37">
      <t>ブンカツキサイ</t>
    </rPh>
    <rPh sb="39" eb="41">
      <t>ガツブン</t>
    </rPh>
    <phoneticPr fontId="8"/>
  </si>
  <si>
    <t>トレンドサイン継続利用プラン　6ヶ月おまとめ　12月～5月分 　※分割記載1月分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</si>
  <si>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※分割記載2月分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</si>
  <si>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※分割記載3月分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</si>
  <si>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※分割記載4月分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</si>
  <si>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※分割記載5月分</t>
    <rPh sb="33" eb="37">
      <t>ブンカツキサイ</t>
    </rPh>
    <rPh sb="38" eb="40">
      <t>ガツブン</t>
    </rPh>
    <phoneticPr fontId="8"/>
  </si>
  <si>
    <t>秋田式FXオンラインプログラム Premium(251207)</t>
  </si>
  <si>
    <t>秋田式FXオンラインプログラム Premium(251221)</t>
  </si>
  <si>
    <t>Rewrite FX ライトコース（銀行振込）</t>
  </si>
  <si>
    <t>SHINOBI・忍・コミュニティ（銀行振込）</t>
  </si>
  <si>
    <t>株ハックプロ　トライアルプラン（B）</t>
  </si>
  <si>
    <t>トレンドサイン特別プラン（継続課金用）1月分</t>
  </si>
  <si>
    <t>秋田式FXオンラインプログラム Premium(251217)</t>
  </si>
  <si>
    <t>秋田式FX オンラインプログラム(251217)</t>
  </si>
  <si>
    <t>秋田式FX オンラインプログラム(251221)</t>
  </si>
  <si>
    <t>KTDプログラム　月額コース（グループ）（定期課金用）1月分</t>
  </si>
  <si>
    <t>高子流デイトレーダー養成講座　継続コース【3】（継続課金用）1月分</t>
  </si>
  <si>
    <t>株ハックプロ　フルアクセスプラン（B）</t>
  </si>
  <si>
    <t>㈱TED　販売報酬　THE EARNING(SHL) 11月</t>
    <phoneticPr fontId="3"/>
  </si>
  <si>
    <t>㈱TED　販売報酬　ﾐﾘｱｶｱﾁｰﾌﾞﾒﾝﾄｺｰｽ 11月</t>
    <phoneticPr fontId="3"/>
  </si>
  <si>
    <t>㈱ﾒﾃﾞｨｱﾊﾟﾙ　書籍注文送品　11月</t>
    <phoneticPr fontId="3"/>
  </si>
  <si>
    <t>「マネバ」株式投資スクール　継続コース(1年一括)  定期課金用　2026年2月～2027年1月分　※分割記載2月分</t>
    <phoneticPr fontId="3"/>
  </si>
  <si>
    <t>「マネバ」株式投資スクール　継続コース(1年一括)  定期課金用　2026年2月～2027年1月分　※分割記載3月分</t>
  </si>
  <si>
    <t>「マネバ」株式投資スクール　継続コース(1年一括)  定期課金用　2026年2月～2027年1月分　※分割記載4月分</t>
  </si>
  <si>
    <t>「マネバ」株式投資スクール　継続コース(1年一括)  定期課金用　2026年2月～2027年1月分　※分割記載5月分</t>
  </si>
  <si>
    <t>「マネバ」株式投資スクール　継続コース(1年一括)  定期課金用　2026年2月～2027年1月分　※分割記載6月分</t>
  </si>
  <si>
    <t>「マネバ」株式投資スクール　継続コース(1年一括)  定期課金用　2026年2月～2027年1月分　※分割記載7月分</t>
  </si>
  <si>
    <t>「マネバ」株式投資スクール　継続コース(1年一括)  定期課金用　2026年2月～2027年1月分　※分割記載8月分</t>
  </si>
  <si>
    <t>「マネバ」株式投資スクール　継続コース(1年一括)  定期課金用　2026年2月～2027年1月分　※分割記載9月分</t>
  </si>
  <si>
    <t>「マネバ」株式投資スクール　継続コース(1年一括)  定期課金用　2026年2月～2027年1月分　※分割記載10月分</t>
  </si>
  <si>
    <t>「マネバ」株式投資スクール　継続コース(1年一括)  定期課金用　2026年2月～2027年1月分　※分割記載11月分</t>
  </si>
  <si>
    <t>「マネバ」株式投資スクール　継続コース(1年一括)  定期課金用　2026年2月～2027年1月分　※分割記載12月分</t>
  </si>
  <si>
    <t>「マネバ」株式投資スクール　継続コース(1年一括)  定期課金用　2026年2月～2027年1月分　※分割記載1月分</t>
    <phoneticPr fontId="3"/>
  </si>
  <si>
    <t>「マネバ」株式投資スクール(12分割)【P】　9回目/12分割</t>
  </si>
  <si>
    <t>「マネバ」株式投資スクール　継続コース(半年一括) 定期課金用　2～7月分　※分割記載3月分</t>
  </si>
  <si>
    <t>「マネバ」株式投資スクール　継続コース(半年一括) 定期課金用　2～7月分　※分割記載4月分</t>
  </si>
  <si>
    <t>「マネバ」株式投資スクール　継続コース(半年一括) 定期課金用　2～7月分　※分割記載5月分</t>
  </si>
  <si>
    <t>「マネバ」株式投資スクール　継続コース(半年一括) 定期課金用　2～7月分　※分割記載6月分</t>
  </si>
  <si>
    <t>「マネバ」株式投資スクール　継続コース(半年一括) 定期課金用　2～7月分　※分割記載7月分</t>
  </si>
  <si>
    <t>「マネバ」株式投資スクール　継続コース（定期課金用）2月分</t>
  </si>
  <si>
    <t>トレンドサイン継続利用プラン（継続課金用）2月分</t>
  </si>
  <si>
    <t>PEAK FINDER -ONE-　年次プラン　2026年2月～2027年1月分　※分割記載2月分</t>
    <phoneticPr fontId="3"/>
  </si>
  <si>
    <t>PEAK FINDER -ONE-　年次プラン　2026年2月～2027年1月分　※分割記載3月分</t>
  </si>
  <si>
    <t>PEAK FINDER -ONE-　年次プラン　2026年2月～2027年1月分　※分割記載4月分</t>
  </si>
  <si>
    <t>PEAK FINDER -ONE-　年次プラン　2026年2月～2027年1月分　※分割記載5月分</t>
  </si>
  <si>
    <t>PEAK FINDER -ONE-　年次プラン　2026年2月～2027年1月分　※分割記載6月分</t>
  </si>
  <si>
    <t>PEAK FINDER -ONE-　年次プラン　2026年2月～2027年1月分　※分割記載7月分</t>
  </si>
  <si>
    <t>PEAK FINDER -ONE-　年次プラン　2026年2月～2027年1月分　※分割記載8月分</t>
  </si>
  <si>
    <t>PEAK FINDER -ONE-　年次プラン　2026年2月～2027年1月分　※分割記載9月分</t>
  </si>
  <si>
    <t>PEAK FINDER -ONE-　年次プラン　2026年2月～2027年1月分　※分割記載10月分</t>
  </si>
  <si>
    <t>PEAK FINDER -ONE-　年次プラン　2026年2月～2027年1月分　※分割記載11月分</t>
  </si>
  <si>
    <t>PEAK FINDER -ONE-　年次プラン　2026年2月～2027年1月分　※分割記載12月分</t>
  </si>
  <si>
    <t>PEAK FINDER -ONE-　年次プラン　2026年2月～2027年1月分　※分割記載1月分</t>
    <phoneticPr fontId="3"/>
  </si>
  <si>
    <t>PEAKFINDER -ONE-　年次プラン（定期課金用）2026年2月～2027年1月分　※分割記載2月分</t>
    <phoneticPr fontId="3"/>
  </si>
  <si>
    <t>PEAKFINDER -ONE-　年次プラン（定期課金用）2026年2月～2027年1月分　※分割記載3月分</t>
  </si>
  <si>
    <t>PEAKFINDER -ONE-　年次プラン（定期課金用）2026年2月～2027年1月分　※分割記載4月分</t>
  </si>
  <si>
    <t>PEAKFINDER -ONE-　年次プラン（定期課金用）2026年2月～2027年1月分　※分割記載5月分</t>
  </si>
  <si>
    <t>PEAKFINDER -ONE-　年次プラン（定期課金用）2026年2月～2027年1月分　※分割記載6月分</t>
  </si>
  <si>
    <t>PEAKFINDER -ONE-　年次プラン（定期課金用）2026年2月～2027年1月分　※分割記載7月分</t>
  </si>
  <si>
    <t>PEAKFINDER -ONE-　年次プラン（定期課金用）2026年2月～2027年1月分　※分割記載8月分</t>
  </si>
  <si>
    <t>PEAKFINDER -ONE-　年次プラン（定期課金用）2026年2月～2027年1月分　※分割記載9月分</t>
  </si>
  <si>
    <t>PEAKFINDER -ONE-　年次プラン（定期課金用）2026年2月～2027年1月分　※分割記載10月分</t>
  </si>
  <si>
    <t>PEAKFINDER -ONE-　年次プラン（定期課金用）2026年2月～2027年1月分　※分割記載11月分</t>
  </si>
  <si>
    <t>PEAKFINDER -ONE-　年次プラン（定期課金用）2026年2月～2027年1月分　※分割記載12月分</t>
  </si>
  <si>
    <t>PEAKFINDER -ONE-　年次プラン（定期課金用）2026年2月～2027年1月分　※分割記載1月分</t>
    <phoneticPr fontId="3"/>
  </si>
  <si>
    <t>CLEAR TRADEエッセンシャルマスタープログラム（決済変更）2月分</t>
  </si>
  <si>
    <t>CLEAR TRADEエッセンシャルマスタープログラム（定期課金用）2月分</t>
  </si>
  <si>
    <t>PEAKFINDER -ONE-（定期課金用）2月分</t>
  </si>
  <si>
    <t>CLEARTRADEコミュニティ（3ヶ月）クレジットカード用　2～4月分　※分割記載2月分</t>
    <phoneticPr fontId="3"/>
  </si>
  <si>
    <t>CLEARTRADEコミュニティ（3ヶ月）クレジットカード用　2～4月分　※分割記載3月分</t>
  </si>
  <si>
    <t>CLEARTRADEコミュニティ（3ヶ月）クレジットカード用　2～4月分　※分割記載4月分</t>
  </si>
  <si>
    <t>CLEARTRADEコミュニティ（3ヶ月プラン）クレジットカード決済用　2～4月分　※分割記載2月分</t>
    <phoneticPr fontId="3"/>
  </si>
  <si>
    <t>CLEARTRADEコミュニティ（3ヶ月プラン）クレジットカード決済用　2～4月分　※分割記載3月分</t>
  </si>
  <si>
    <t>CLEARTRADEコミュニティ（3ヶ月プラン）クレジットカード決済用　2～4月分　※分割記載4月分</t>
  </si>
  <si>
    <t>CLEARTRADEコミュニティ（3ヶ月プラン）決済エラー用　1～3月分　※分割記載1月分</t>
    <phoneticPr fontId="3"/>
  </si>
  <si>
    <t>CLEARTRADEコミュニティ（3ヶ月プラン）決済エラー用　1～3月分　※分割記載2月分</t>
  </si>
  <si>
    <t>CLEARTRADEコミュニティ（3ヶ月プラン）決済エラー用　1～3月分　※分割記載3月分</t>
  </si>
  <si>
    <t>CLEARTRADEコミュニティ（6ヶ月）クレジットカード用　2～7月分　※分割記載2月分</t>
    <phoneticPr fontId="3"/>
  </si>
  <si>
    <t>CLEARTRADEコミュニティ（6ヶ月）クレジットカード用　2～7月分　※分割記載3月分</t>
  </si>
  <si>
    <t>CLEARTRADEコミュニティ（6ヶ月）クレジットカード用　2～7月分　※分割記載4月分</t>
  </si>
  <si>
    <t>CLEARTRADEコミュニティ（6ヶ月）クレジットカード用　2～7月分　※分割記載5月分</t>
  </si>
  <si>
    <t>CLEARTRADEコミュニティ（6ヶ月）クレジットカード用　2～7月分　※分割記載6月分</t>
  </si>
  <si>
    <t>CLEARTRADEコミュニティ（6ヶ月）クレジットカード用　2～7月分　※分割記載7月分</t>
  </si>
  <si>
    <t>CLEARTRADEコミュニティ（6ヶ月プラン）クレジットカード決済用　2～7月分　※分割記載3月分</t>
  </si>
  <si>
    <t>CLEARTRADEコミュニティ（6ヶ月プラン）クレジットカード決済用　2～7月分　※分割記載4月分</t>
  </si>
  <si>
    <t>CLEARTRADEコミュニティ（6ヶ月プラン）クレジットカード決済用　2～7月分　※分割記載5月分</t>
  </si>
  <si>
    <t>CLEARTRADEコミュニティ（6ヶ月プラン）クレジットカード決済用　2～7月分　※分割記載6月分</t>
  </si>
  <si>
    <t>CLEARTRADEコミュニティ（6ヶ月プラン）クレジットカード決済用　2～7月分　※分割記載7月分</t>
  </si>
  <si>
    <t>CLEAR TRADEコミュニティ Apexコース 月次プラン（定期課金用）2月分</t>
  </si>
  <si>
    <t>CLEARTRADEコミュニテイ 【ライトコース】課金用2月分</t>
  </si>
  <si>
    <t>CLEARTRADEコミュニティ2月分</t>
  </si>
  <si>
    <t>奥村尚の金融リテラシー向上プログラム(年間契約)　2026年2月～2027年1月分　※分割記載2月分</t>
    <phoneticPr fontId="3"/>
  </si>
  <si>
    <t>奥村尚の金融リテラシー向上プログラム(年間契約)　2026年2月～2027年1月分　※分割記載3月分</t>
  </si>
  <si>
    <t>奥村尚の金融リテラシー向上プログラム(年間契約)　2026年2月～2027年1月分　※分割記載4月分</t>
  </si>
  <si>
    <t>奥村尚の金融リテラシー向上プログラム(年間契約)　2026年2月～2027年1月分　※分割記載5月分</t>
  </si>
  <si>
    <t>奥村尚の金融リテラシー向上プログラム(年間契約)　2026年2月～2027年1月分　※分割記載6月分</t>
  </si>
  <si>
    <t>奥村尚の金融リテラシー向上プログラム(年間契約)　2026年2月～2027年1月分　※分割記載7月分</t>
  </si>
  <si>
    <t>奥村尚の金融リテラシー向上プログラム(年間契約)　2026年2月～2027年1月分　※分割記載8月分</t>
  </si>
  <si>
    <t>奥村尚の金融リテラシー向上プログラム(年間契約)　2026年2月～2027年1月分　※分割記載9月分</t>
  </si>
  <si>
    <t>奥村尚の金融リテラシー向上プログラム(年間契約)　2026年2月～2027年1月分　※分割記載10月分</t>
  </si>
  <si>
    <t>奥村尚の金融リテラシー向上プログラム(年間契約)　2026年2月～2027年1月分　※分割記載11月分</t>
  </si>
  <si>
    <t>奥村尚の金融リテラシー向上プログラム(年間契約)　2026年2月～2027年1月分　※分割記載12月分</t>
  </si>
  <si>
    <t>奥村尚の金融リテラシー向上プログラム(年間契約)　2026年2月～2027年1月分　※分割記載1月分</t>
    <phoneticPr fontId="3"/>
  </si>
  <si>
    <t>奥村尚の金融リテラシー向上プログラム2月分</t>
  </si>
  <si>
    <t>奥村尚の金融リテラシー向上委員会(モニター価格)（継続課金）2月分</t>
  </si>
  <si>
    <t>エアポケットシグナル配信（3ヶ月）</t>
  </si>
  <si>
    <t>CLEAR TRADEマスタープログラム（スタンダード）決済エラー用　6回目/6分割</t>
    <phoneticPr fontId="3"/>
  </si>
  <si>
    <t>CLEARTRADEコミュニティ（6ヶ月プラン）銀行振込用　2～7月分　※分割記載2月分</t>
    <phoneticPr fontId="3"/>
  </si>
  <si>
    <t>CLEARTRADEコミュニティ（6ヶ月プラン）銀行振込用　2～7月分　※分割記載3月分</t>
  </si>
  <si>
    <t>CLEARTRADEコミュニティ（6ヶ月プラン）銀行振込用　2～7月分　※分割記載4月分</t>
  </si>
  <si>
    <t>CLEARTRADEコミュニティ（6ヶ月プラン）銀行振込用　2～7月分　※分割記載5月分</t>
  </si>
  <si>
    <t>CLEARTRADEコミュニティ（6ヶ月プラン）銀行振込用　2～7月分　※分割記載6月分</t>
  </si>
  <si>
    <t>CLEARTRADEコミュニティ（6ヶ月プラン）銀行振込用　2～7月分　※分割記載7月分</t>
  </si>
  <si>
    <t>秋田式日刊エントリーポイント解説　上級コース（課金用）2月分</t>
  </si>
  <si>
    <t>「Shinobi」コミュニティ継続コース（定期課金用）2月分</t>
  </si>
  <si>
    <t>秋田式日刊エントリーポイント解説初級コース（継続課金）2月分</t>
  </si>
  <si>
    <t>カルロスのFX相場思考（継続課金）2月分</t>
  </si>
  <si>
    <t>秋田式FXオンラインプログラム Premium(260111)</t>
  </si>
  <si>
    <t>秋田式FXオンラインプログラム Premium(260118)</t>
  </si>
  <si>
    <t>秋田式FXオンラインプログラム Premium(260125)</t>
  </si>
  <si>
    <t>時短トレードプログラム</t>
  </si>
  <si>
    <t>「Shinobi」コミュニティ（後日申込）</t>
  </si>
  <si>
    <t>株ハックプロ　フルアクセスプラン（A）</t>
  </si>
  <si>
    <t>トレンドサインマスター講座（後日申込）</t>
  </si>
  <si>
    <t>KTDプログラム　月額コース（グループ）（定期課金用）2月分</t>
  </si>
  <si>
    <t>高子流デイトレーダー養成講座　継続コース【3】（継続課金用）2月分</t>
  </si>
  <si>
    <t>トレンドサインマスター講座（差額決済）</t>
  </si>
  <si>
    <t>株ハックプロ　トライアルプラン（A）</t>
  </si>
  <si>
    <t>㈱ﾒﾃﾞｨｱﾊﾟﾙ　書籍注文送品　12月</t>
    <phoneticPr fontId="3"/>
  </si>
  <si>
    <t>ﾄﾘｵｱｾｯﾄﾏﾈｼﾞﾒﾝﾄ㈱　業務提携報酬　12月</t>
    <phoneticPr fontId="3"/>
  </si>
  <si>
    <t>その他</t>
    <rPh sb="2" eb="3">
      <t>タ</t>
    </rPh>
    <phoneticPr fontId="3"/>
  </si>
  <si>
    <t>㈱橋本-investment</t>
    <rPh sb="1" eb="3">
      <t>ハシモト</t>
    </rPh>
    <phoneticPr fontId="3"/>
  </si>
  <si>
    <t>8期11月売上の返金対応分</t>
    <rPh sb="8" eb="13">
      <t>ヘンキンタイオウブン</t>
    </rPh>
    <phoneticPr fontId="3"/>
  </si>
  <si>
    <t>「マネバ」株式投資スクール　継続コース(1年一括)  定期課金用　2026年3月～2027年2月分　※分割記載3月分</t>
    <phoneticPr fontId="3"/>
  </si>
  <si>
    <t>「マネバ」株式投資スクール　継続コース(1年一括)  定期課金用　2026年3月～2027年2月分　※分割記載4月分</t>
  </si>
  <si>
    <t>「マネバ」株式投資スクール　継続コース(1年一括)  定期課金用　2026年3月～2027年2月分　※分割記載5月分</t>
  </si>
  <si>
    <t>「マネバ」株式投資スクール　継続コース(1年一括)  定期課金用　2026年3月～2027年2月分　※分割記載6月分</t>
  </si>
  <si>
    <t>「マネバ」株式投資スクール　継続コース(1年一括)  定期課金用　2026年3月～2027年2月分　※分割記載7月分</t>
  </si>
  <si>
    <t>「マネバ」株式投資スクール　継続コース(1年一括)  定期課金用　2026年3月～2027年2月分　※分割記載8月分</t>
  </si>
  <si>
    <t>「マネバ」株式投資スクール　継続コース(1年一括)  定期課金用　2026年3月～2027年2月分　※分割記載9月分</t>
  </si>
  <si>
    <t>「マネバ」株式投資スクール　継続コース(1年一括)  定期課金用　2026年3月～2027年2月分　※分割記載10月分</t>
  </si>
  <si>
    <t>「マネバ」株式投資スクール　継続コース(1年一括)  定期課金用　2026年3月～2027年2月分　※分割記載11月分</t>
  </si>
  <si>
    <t>「マネバ」株式投資スクール　継続コース(1年一括)  定期課金用　2026年3月～2027年2月分　※分割記載12月分</t>
  </si>
  <si>
    <t>「マネバ」株式投資スクール　継続コース(1年一括)  定期課金用　2026年3月～2027年2月分　※分割記載1月分</t>
    <phoneticPr fontId="3"/>
  </si>
  <si>
    <t>「マネバ」株式投資スクール　継続コース(1年一括)  定期課金用　2026年3月～2027年2月分　※分割記載2月分</t>
  </si>
  <si>
    <t>「マネバ」株式投資スクール　継続コース(1年一括) クレジットカード決済用　2026年3月～2027年2月分　※分割記載3月分</t>
    <phoneticPr fontId="3"/>
  </si>
  <si>
    <t>「マネバ」株式投資スクール　継続コース(1年一括) クレジットカード決済用　2026年3月～2027年2月分　※分割記載4月分</t>
  </si>
  <si>
    <t>「マネバ」株式投資スクール　継続コース(1年一括) クレジットカード決済用　2026年3月～2027年2月分　※分割記載5月分</t>
  </si>
  <si>
    <t>「マネバ」株式投資スクール　継続コース(1年一括) クレジットカード決済用　2026年3月～2027年2月分　※分割記載6月分</t>
  </si>
  <si>
    <t>「マネバ」株式投資スクール　継続コース(1年一括) クレジットカード決済用　2026年3月～2027年2月分　※分割記載7月分</t>
  </si>
  <si>
    <t>「マネバ」株式投資スクール　継続コース(1年一括) クレジットカード決済用　2026年3月～2027年2月分　※分割記載8月分</t>
  </si>
  <si>
    <t>「マネバ」株式投資スクール　継続コース(1年一括) クレジットカード決済用　2026年3月～2027年2月分　※分割記載9月分</t>
  </si>
  <si>
    <t>「マネバ」株式投資スクール　継続コース(1年一括) クレジットカード決済用　2026年3月～2027年2月分　※分割記載10月分</t>
  </si>
  <si>
    <t>「マネバ」株式投資スクール　継続コース(1年一括) クレジットカード決済用　2026年3月～2027年2月分　※分割記載11月分</t>
  </si>
  <si>
    <t>「マネバ」株式投資スクール　継続コース(1年一括) クレジットカード決済用　2026年3月～2027年2月分　※分割記載12月分</t>
  </si>
  <si>
    <t>「マネバ」株式投資スクール　継続コース(1年一括) クレジットカード決済用　2026年3月～2027年2月分　※分割記載1月分</t>
    <phoneticPr fontId="3"/>
  </si>
  <si>
    <t>「マネバ」株式投資スクール　継続コース(1年一括) クレジットカード決済用　2026年3月～2027年2月分　※分割記載2月分</t>
  </si>
  <si>
    <t>「マネバ」株式投資スクール(12分割)【P】　10回目/12分割</t>
  </si>
  <si>
    <t>マネバ体験会</t>
  </si>
  <si>
    <t>PEAKFINDER -ONE-　年次プラン（定期課金用）2026年3月～2027年2月分　※分割記載3月分</t>
    <phoneticPr fontId="3"/>
  </si>
  <si>
    <t>PEAKFINDER -ONE-　年次プラン（定期課金用）2026年3月～2027年2月分　※分割記載4月分</t>
  </si>
  <si>
    <t>PEAKFINDER -ONE-　年次プラン（定期課金用）2026年3月～2027年2月分　※分割記載5月分</t>
  </si>
  <si>
    <t>PEAKFINDER -ONE-　年次プラン（定期課金用）2026年3月～2027年2月分　※分割記載6月分</t>
  </si>
  <si>
    <t>PEAKFINDER -ONE-　年次プラン（定期課金用）2026年3月～2027年2月分　※分割記載7月分</t>
  </si>
  <si>
    <t>PEAKFINDER -ONE-　年次プラン（定期課金用）2026年3月～2027年2月分　※分割記載8月分</t>
  </si>
  <si>
    <t>PEAKFINDER -ONE-　年次プラン（定期課金用）2026年3月～2027年2月分　※分割記載9月分</t>
  </si>
  <si>
    <t>PEAKFINDER -ONE-　年次プラン（定期課金用）2026年3月～2027年2月分　※分割記載10月分</t>
  </si>
  <si>
    <t>PEAKFINDER -ONE-　年次プラン（定期課金用）2026年3月～2027年2月分　※分割記載11月分</t>
  </si>
  <si>
    <t>PEAKFINDER -ONE-　年次プラン（定期課金用）2026年3月～2027年2月分　※分割記載12月分</t>
  </si>
  <si>
    <t>PEAKFINDER -ONE-　年次プラン（定期課金用）2026年3月～2027年2月分　※分割記載1月分</t>
    <phoneticPr fontId="3"/>
  </si>
  <si>
    <t>PEAKFINDER -ONE-　年次プラン（定期課金用）2026年3月～2027年2月分　※分割記載2月分</t>
  </si>
  <si>
    <t>ブートキャンプvol.18（2～6回目/6分割）差額決済</t>
  </si>
  <si>
    <t>ブートキャンプvol.18（超早割）</t>
  </si>
  <si>
    <t>ブートキャンプvol.18（超早割）2分割</t>
  </si>
  <si>
    <t>ブートキャンプvol.18（超早割）3分割</t>
  </si>
  <si>
    <t>ブートキャンプvol.18（超早割）6分割</t>
  </si>
  <si>
    <t>ブートキャンプvol.18プライム（MP）</t>
  </si>
  <si>
    <t>ブートキャンプvol.18プライム（MP）2分割</t>
  </si>
  <si>
    <t>ブートキャンプvol.18プライム（MP）6分割</t>
  </si>
  <si>
    <t>ブートキャンプvol.18プライム（超早割）</t>
  </si>
  <si>
    <t>ブートキャンプvol.18プライム（超早割）2分割</t>
  </si>
  <si>
    <t>ブートキャンプvol.18プライム（超早割）3分割</t>
  </si>
  <si>
    <t>ブートキャンプvol.18プライム（超早割）6分割</t>
  </si>
  <si>
    <t>リブーストキャンプVol.18プライム（CTC）</t>
  </si>
  <si>
    <t>リブーストキャンプvol.18プライム（RC）</t>
  </si>
  <si>
    <t>リブーストキャンプvol.18プライム（RC）2分割</t>
  </si>
  <si>
    <t>リブーストキャンプvol.18プライム（RC）3分割</t>
  </si>
  <si>
    <t>リブーストキャンプvol.18プライム（RC）6分割</t>
  </si>
  <si>
    <t>ブートキャンプvol.18プライム（差額決済）</t>
  </si>
  <si>
    <t>レジェンド・トレード大全2026</t>
  </si>
  <si>
    <t>レジェンド・トレード大全2026 再受講</t>
  </si>
  <si>
    <t>レジェンド・トレード大全2026(5分割)</t>
  </si>
  <si>
    <t>CLEAR TRADEコミュニティ Apexコース 年次プラン（定期課金用）　2026年3月～2027年2月分　※分割記載3月分</t>
    <phoneticPr fontId="3"/>
  </si>
  <si>
    <t>CLEAR TRADEコミュニティ Apexコース 年次プラン（定期課金用）　2026年3月～2027年2月分　※分割記載4月分</t>
  </si>
  <si>
    <t>CLEAR TRADEコミュニティ Apexコース 年次プラン（定期課金用）　2026年3月～2027年2月分　※分割記載5月分</t>
  </si>
  <si>
    <t>CLEAR TRADEコミュニティ Apexコース 年次プラン（定期課金用）　2026年3月～2027年2月分　※分割記載6月分</t>
  </si>
  <si>
    <t>CLEAR TRADEコミュニティ Apexコース 年次プラン（定期課金用）　2026年3月～2027年2月分　※分割記載7月分</t>
  </si>
  <si>
    <t>CLEAR TRADEコミュニティ Apexコース 年次プラン（定期課金用）　2026年3月～2027年2月分　※分割記載8月分</t>
  </si>
  <si>
    <t>CLEAR TRADEコミュニティ Apexコース 年次プラン（定期課金用）　2026年3月～2027年2月分　※分割記載9月分</t>
  </si>
  <si>
    <t>CLEAR TRADEコミュニティ Apexコース 年次プラン（定期課金用）　2026年3月～2027年2月分　※分割記載10月分</t>
  </si>
  <si>
    <t>CLEAR TRADEコミュニティ Apexコース 年次プラン（定期課金用）　2026年3月～2027年2月分　※分割記載11月分</t>
  </si>
  <si>
    <t>CLEAR TRADEコミュニティ Apexコース 年次プラン（定期課金用）　2026年3月～2027年2月分　※分割記載12月分</t>
  </si>
  <si>
    <t>CLEAR TRADEコミュニティ Apexコース 年次プラン（定期課金用）　2026年3月～2027年2月分　※分割記載1月分</t>
    <phoneticPr fontId="3"/>
  </si>
  <si>
    <t>CLEAR TRADEコミュニティ Apexコース 年次プラン（定期課金用）　2026年3月～2027年2月分　※分割記載2月分</t>
  </si>
  <si>
    <t>CLEARTRADEコミュニティ（3ヶ月）クレジットカード用　3～5月分　※分割記載3月分</t>
    <phoneticPr fontId="3"/>
  </si>
  <si>
    <t>CLEARTRADEコミュニティ（3ヶ月）クレジットカード用　3～5月分　※分割記載4月分</t>
  </si>
  <si>
    <t>CLEARTRADEコミュニティ（3ヶ月）クレジットカード用　3～5月分　※分割記載5月分</t>
  </si>
  <si>
    <t>CLEARTRADEコミュニティ（3ヶ月プラン）クレジットカード決済用　3～5月分　※分割記載3月分</t>
    <phoneticPr fontId="3"/>
  </si>
  <si>
    <t>CLEARTRADEコミュニティ（3ヶ月プラン）クレジットカード決済用　3～5月分　※分割記載4月分</t>
  </si>
  <si>
    <t>CLEARTRADEコミュニティ（3ヶ月プラン）クレジットカード決済用　3～5月分　※分割記載5月分</t>
  </si>
  <si>
    <t>CLEARTRADEコミュニティ（6ヶ月）クレジットカード用　3～8月分　※分割記載4月分</t>
  </si>
  <si>
    <t>CLEARTRADEコミュニティ（6ヶ月）クレジットカード用　3～8月分　※分割記載5月分</t>
  </si>
  <si>
    <t>CLEARTRADEコミュニティ（6ヶ月）クレジットカード用　3～8月分　※分割記載6月分</t>
  </si>
  <si>
    <t>CLEARTRADEコミュニティ（6ヶ月）クレジットカード用　3～8月分　※分割記載7月分</t>
  </si>
  <si>
    <t>CLEARTRADEコミュニティ（6ヶ月）クレジットカード用　3～8月分　※分割記載8月分</t>
  </si>
  <si>
    <t>CLEARTRADEコミュニティ　懇親会　260222名古屋</t>
  </si>
  <si>
    <t>CLEARTRADEコミュニティ　懇親会　260228東京</t>
  </si>
  <si>
    <t>奥村尚の金融リテラシー向上プログラム(年間契約)　2026年3月～2027年2月分　※分割記載3月分</t>
    <phoneticPr fontId="3"/>
  </si>
  <si>
    <t>奥村尚の金融リテラシー向上プログラム(年間契約)　2026年3月～2027年2月分　※分割記載4月分</t>
  </si>
  <si>
    <t>奥村尚の金融リテラシー向上プログラム(年間契約)　2026年3月～2027年2月分　※分割記載5月分</t>
  </si>
  <si>
    <t>奥村尚の金融リテラシー向上プログラム(年間契約)　2026年3月～2027年2月分　※分割記載6月分</t>
  </si>
  <si>
    <t>奥村尚の金融リテラシー向上プログラム(年間契約)　2026年3月～2027年2月分　※分割記載7月分</t>
  </si>
  <si>
    <t>奥村尚の金融リテラシー向上プログラム(年間契約)　2026年3月～2027年2月分　※分割記載8月分</t>
  </si>
  <si>
    <t>奥村尚の金融リテラシー向上プログラム(年間契約)　2026年3月～2027年2月分　※分割記載9月分</t>
  </si>
  <si>
    <t>奥村尚の金融リテラシー向上プログラム(年間契約)　2026年3月～2027年2月分　※分割記載10月分</t>
  </si>
  <si>
    <t>奥村尚の金融リテラシー向上プログラム(年間契約)　2026年3月～2027年2月分　※分割記載11月分</t>
  </si>
  <si>
    <t>奥村尚の金融リテラシー向上プログラム(年間契約)　2026年3月～2027年2月分　※分割記載12月分</t>
  </si>
  <si>
    <t>奥村尚の金融リテラシー向上プログラム(年間契約)　2026年3月～2027年2月分　※分割記載1月分</t>
    <phoneticPr fontId="3"/>
  </si>
  <si>
    <t>奥村尚の金融リテラシー向上プログラム(年間契約)　2026年3月～2027年2月分　※分割記載2月分</t>
  </si>
  <si>
    <t>エアポケット配信　継続コース</t>
  </si>
  <si>
    <t>CLEARTRADEコミュニティ（6ヶ月プラン）銀行振込用　3～8月分　※分割記載4月分</t>
  </si>
  <si>
    <t>CLEARTRADEコミュニティ（6ヶ月プラン）銀行振込用　3～8月分　※分割記載5月分</t>
  </si>
  <si>
    <t>CLEARTRADEコミュニティ（6ヶ月プラン）銀行振込用　3～8月分　※分割記載6月分</t>
  </si>
  <si>
    <t>CLEARTRADEコミュニティ（6ヶ月プラン）銀行振込用　3～8月分　※分割記載7月分</t>
  </si>
  <si>
    <t>CLEARTRADEコミュニティ（6ヶ月プラン）銀行振込用　3～8月分　※分割記載8月分</t>
  </si>
  <si>
    <t>ブートキャンプvol.18（紹介枠）</t>
  </si>
  <si>
    <t>トレンドサイン継続利用プラン　1年おまとめ　※分割記載2月分</t>
    <rPh sb="23" eb="27">
      <t>ブンカツキサイ</t>
    </rPh>
    <rPh sb="28" eb="30">
      <t>ガツブン</t>
    </rPh>
    <phoneticPr fontId="8"/>
  </si>
  <si>
    <t>トレンドサイン継続利用プラン　1年おまとめ　※分割記載3月分</t>
    <rPh sb="23" eb="27">
      <t>ブンカツキサイ</t>
    </rPh>
    <rPh sb="28" eb="30">
      <t>ガツブン</t>
    </rPh>
    <phoneticPr fontId="8"/>
  </si>
  <si>
    <t>トレンドサイン継続利用プラン　1年おまとめ　※分割記載4月分</t>
    <rPh sb="23" eb="27">
      <t>ブンカツキサイ</t>
    </rPh>
    <rPh sb="28" eb="30">
      <t>ガツブン</t>
    </rPh>
    <phoneticPr fontId="8"/>
  </si>
  <si>
    <t>トレンドサイン継続利用プラン　1年おまとめ　※分割記載5月分</t>
    <rPh sb="23" eb="27">
      <t>ブンカツキサイ</t>
    </rPh>
    <rPh sb="28" eb="30">
      <t>ガツブン</t>
    </rPh>
    <phoneticPr fontId="8"/>
  </si>
  <si>
    <t>トレンドサイン継続利用プラン　1年おまとめ　※分割記載6月分</t>
    <rPh sb="23" eb="27">
      <t>ブンカツキサイ</t>
    </rPh>
    <rPh sb="28" eb="30">
      <t>ガツブン</t>
    </rPh>
    <phoneticPr fontId="8"/>
  </si>
  <si>
    <t>トレンドサイン継続利用プラン　1年おまとめ　※分割記載7月分</t>
    <rPh sb="23" eb="27">
      <t>ブンカツキサイ</t>
    </rPh>
    <rPh sb="28" eb="30">
      <t>ガツブン</t>
    </rPh>
    <phoneticPr fontId="8"/>
  </si>
  <si>
    <t>トレンドサイン継続利用プラン　1年おまとめ　※分割記載8月分</t>
    <rPh sb="23" eb="27">
      <t>ブンカツキサイ</t>
    </rPh>
    <rPh sb="28" eb="30">
      <t>ガツブン</t>
    </rPh>
    <phoneticPr fontId="8"/>
  </si>
  <si>
    <t>トレンドサイン継続利用プラン　1年おまとめ　※分割記載9月分</t>
    <rPh sb="23" eb="27">
      <t>ブンカツキサイ</t>
    </rPh>
    <rPh sb="28" eb="30">
      <t>ガツブン</t>
    </rPh>
    <phoneticPr fontId="8"/>
  </si>
  <si>
    <t>トレンドサイン継続利用プラン　1年おまとめ　※分割記載10月分</t>
    <rPh sb="23" eb="27">
      <t>ブンカツキサイ</t>
    </rPh>
    <rPh sb="29" eb="31">
      <t>ガツブン</t>
    </rPh>
    <phoneticPr fontId="8"/>
  </si>
  <si>
    <t>トレンドサイン継続利用プラン　1年おまとめ　※分割記載11月分</t>
    <rPh sb="23" eb="27">
      <t>ブンカツキサイ</t>
    </rPh>
    <rPh sb="29" eb="31">
      <t>ガツブン</t>
    </rPh>
    <phoneticPr fontId="8"/>
  </si>
  <si>
    <t>トレンドサイン継続利用プラン　1年おまとめ　※分割記載12月分</t>
    <rPh sb="23" eb="27">
      <t>ブンカツキサイ</t>
    </rPh>
    <rPh sb="29" eb="31">
      <t>ガツブン</t>
    </rPh>
    <phoneticPr fontId="8"/>
  </si>
  <si>
    <t>トレンドサイン継続利用プラン　1年おまとめ　※分割記載1月分</t>
    <rPh sb="23" eb="27">
      <t>ブンカツキサイ</t>
    </rPh>
    <rPh sb="28" eb="30">
      <t>ガツブン</t>
    </rPh>
    <phoneticPr fontId="8"/>
  </si>
  <si>
    <t>秋田式FXオンラインプログラム Premium(260222)</t>
  </si>
  <si>
    <t>秋田式FX オンラインプログラム （後日申込）銀行振込用</t>
  </si>
  <si>
    <t>秋田式FX オンラインプログラム(260217)</t>
  </si>
  <si>
    <t>秋田式FX オンラインプログラム(260222)</t>
  </si>
  <si>
    <t>「Shinobi」コミュニティ ライトコース</t>
  </si>
  <si>
    <t>株ハックプロ　トライアルプラン（Y）</t>
  </si>
  <si>
    <t>株ハックプロ　フルアクセスプラン（Y）</t>
  </si>
  <si>
    <t>トレンドサイン継続利用プラン　6ヶ月おまとめ※分割記載3月分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</si>
  <si>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6ヶ月おまとめ※分割記載4月分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</si>
  <si>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5">
      <t>ブンカツ</t>
    </rPh>
    <rPh sb="25" eb="27">
      <t>キサイ</t>
    </rPh>
    <rPh sb="28" eb="30">
      <t>ガツブン</t>
    </rPh>
    <phoneticPr fontId="5"/>
  </si>
  <si>
    <t>トレンドサイン継続利用プラン　6ヶ月おまとめ※分割記載6月分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</si>
  <si>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6ヶ月おまとめ※分割記載7月分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</si>
  <si>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6ヶ月おまとめ※分割記載8月分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</si>
  <si>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6ヶ月おまとめ（継続課金用）※分割記載3月分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</si>
  <si>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6ヶ月おまとめ（継続課金用）※分割記載4月分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</si>
  <si>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6ヶ月おまとめ（継続課金用）※分割記載5月分</t>
    <rPh sb="30" eb="32">
      <t>ブンカツ</t>
    </rPh>
    <rPh sb="32" eb="34">
      <t>キサイ</t>
    </rPh>
    <rPh sb="35" eb="37">
      <t>ガツブン</t>
    </rPh>
    <phoneticPr fontId="5"/>
  </si>
  <si>
    <t>トレンドサイン継続利用プラン　6ヶ月おまとめ（継続課金用）※分割記載6月分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</si>
  <si>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6ヶ月おまとめ（継続課金用）※分割記載7月分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</si>
  <si>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6ヶ月おまとめ（継続課金用）※分割記載8月分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</si>
  <si>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トレンドサイン特別プラン　6ヶ月おまとめ　3～8月分※分割記載3月分</t>
    <rPh sb="27" eb="31">
      <t>ブンカツ</t>
    </rPh>
    <rPh sb="32" eb="33">
      <t>ガツ</t>
    </rPh>
    <rPh sb="33" eb="34">
      <t>ブン</t>
    </rPh>
    <phoneticPr fontId="5"/>
  </si>
  <si>
    <t>トレンドサイン特別プラン　6ヶ月おまとめ　3～8月分※分割記載4月分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</si>
  <si>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3～8月分※分割記載5月分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</si>
  <si>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3～8月分※分割記載6月分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</si>
  <si>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3～8月分※分割記載7月分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</si>
  <si>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3～8月分※分割記載8月分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</si>
  <si>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秋田式FXオンラインプログラム Premium(260208)</t>
  </si>
  <si>
    <t>秋田式FX オンラインプログラム(260125)</t>
  </si>
  <si>
    <t>Active Day Trading -Next-（スタンダード）1年（課金用）※分割記載3月分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</si>
  <si>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-Next-（スタンダード）1年（課金用）※分割記載4月分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</si>
  <si>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-Next-（スタンダード）1年（課金用）※分割記載5月分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</si>
  <si>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-Next-（スタンダード）1年（課金用）※分割記載6月分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</si>
  <si>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-Next-（スタンダード）1年（課金用）※分割記載7月分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</si>
  <si>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-Next-（スタンダード）1年（課金用）※分割記載8月分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</si>
  <si>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-Next-（スタンダード）1年（課金用）※分割記載9月分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</si>
  <si>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-Next-（スタンダード）1年（課金用）※分割記載10月分</t>
    <rPh sb="41" eb="43">
      <t>ブンカツ</t>
    </rPh>
    <rPh sb="43" eb="45">
      <t>キサイ</t>
    </rPh>
    <rPh sb="47" eb="49">
      <t>ガツブン</t>
    </rPh>
    <phoneticPr fontId="5"/>
  </si>
  <si>
    <t>Active Day Trading -Next-（スタンダード）1年（課金用）※分割記載11月分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</si>
  <si>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-Next-（スタンダード）1年（課金用）※分割記載12月分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</si>
  <si>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</si>
  <si>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-Next-（スタンダード）1年（課金用）※分割記載2月分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</si>
  <si>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高子流デイトレーダー養成講座　継続コース【3】（継続課金用）3月分</t>
  </si>
  <si>
    <t>㈱ﾒﾃﾞｨｱﾊﾟﾙ　書籍注文送品　1月</t>
    <phoneticPr fontId="3"/>
  </si>
  <si>
    <t>㈱rewrite　売上預け金　1月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</si>
</sst>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73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8" fontId="0" fillId="0" borderId="10" xfId="1" applyNumberFormat="1" applyFont="1" applyFill="1" applyBorder="1">
      <alignment vertical="center"/>
    </xf>
    <xf numFmtId="0" fontId="9" fillId="0" borderId="0" xfId="0" applyFont="1" applyAlignment="1">
      <alignment vertical="center" shrinkToFit="1"/>
    </xf>
    <xf numFmtId="0" fontId="9" fillId="0" borderId="15" xfId="0" applyFont="1" applyBorder="1">
      <alignment vertical="center"/>
    </xf>
    <xf numFmtId="0" fontId="6" fillId="5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 applyAlignment="1">
      <alignment horizontal="left" vertical="center" shrinkToFit="1"/>
    </xf>
    <xf numFmtId="0" fontId="6" fillId="5" borderId="10" xfId="0" applyFont="1" applyFill="1" applyBorder="1" applyAlignment="1">
      <alignment horizontal="left" vertical="center" shrinkToFit="1"/>
    </xf>
    <xf numFmtId="0" fontId="6" fillId="5" borderId="13" xfId="0" applyFont="1" applyFill="1" applyBorder="1" applyAlignment="1">
      <alignment horizontal="left" vertical="center" shrinkToFit="1"/>
    </xf>
    <xf numFmtId="0" fontId="0" fillId="5" borderId="10" xfId="0" applyFill="1" applyBorder="1">
      <alignment vertical="center"/>
    </xf>
    <xf numFmtId="0" fontId="0" fillId="5" borderId="13" xfId="0" applyFill="1" applyBorder="1">
      <alignment vertical="center"/>
    </xf>
    <xf numFmtId="38" fontId="0" fillId="0" borderId="0" xfId="1" applyNumberFormat="1" applyFont="1" applyFill="1" applyBorder="1">
      <alignment vertical="center"/>
    </xf>
    <xf numFmtId="38" fontId="0" fillId="0" borderId="0" xfId="1" applyNumberFormat="1" applyFont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9" fillId="0" borderId="0" xfId="0" applyFont="1" applyBorder="1" applyAlignment="1">
      <alignment vertical="center" shrinkToFit="1"/>
    </xf>
    <xf numFmtId="179" fontId="11" fillId="0" borderId="0" xfId="3" applyNumberFormat="1" applyFont="1" applyFill="1" applyBorder="1" applyAlignment="1">
      <alignment horizontal="right"/>
    </xf>
    <xf numFmtId="49" fontId="11" fillId="0" borderId="0" xfId="3" applyNumberFormat="1" applyFont="1" applyFill="1" applyBorder="1" applyProtection="1">
      <protection locked="0"/>
    </xf>
    <xf numFmtId="179" fontId="11" fillId="0" borderId="0" xfId="3" applyNumberFormat="1" applyFont="1" applyFill="1" applyBorder="1"/>
    <xf numFmtId="0" fontId="9" fillId="5" borderId="0" xfId="0" applyFont="1" applyFill="1" applyBorder="1">
      <alignment vertical="center"/>
    </xf>
    <xf numFmtId="176" fontId="9" fillId="5" borderId="0" xfId="0" applyNumberFormat="1" applyFont="1" applyFill="1" applyBorder="1" applyAlignment="1">
      <alignment horizontal="right" vertical="center"/>
    </xf>
    <xf numFmtId="0" fontId="9" fillId="0" borderId="0" xfId="0" applyFont="1" applyBorder="1">
      <alignment vertical="center"/>
    </xf>
    <xf numFmtId="176" fontId="9" fillId="0" borderId="0" xfId="0" applyNumberFormat="1" applyFont="1" applyBorder="1" applyAlignment="1">
      <alignment horizontal="right" vertical="center"/>
    </xf>
    <xf numFmtId="0" fontId="6" fillId="5" borderId="0" xfId="0" applyFont="1" applyFill="1" applyBorder="1">
      <alignment vertical="center"/>
    </xf>
    <xf numFmtId="0" fontId="0" fillId="5" borderId="0" xfId="0" applyFill="1" applyBorder="1">
      <alignment vertical="center"/>
    </xf>
    <xf numFmtId="0" fontId="6" fillId="5" borderId="0" xfId="0" applyFont="1" applyFill="1" applyBorder="1" applyAlignment="1">
      <alignment horizontal="left" vertical="center" shrinkToFit="1"/>
    </xf>
    <xf numFmtId="0" fontId="6" fillId="0" borderId="0" xfId="0" applyFont="1" applyBorder="1" applyAlignment="1">
      <alignment horizontal="left" vertical="center" shrinkToFit="1"/>
    </xf>
    <xf numFmtId="179" fontId="11" fillId="0" borderId="0" xfId="3" quotePrefix="1" applyNumberFormat="1" applyFont="1" applyFill="1" applyBorder="1"/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5510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5510"/>
  <sheetViews>
    <sheetView tabSelected="1" topLeftCell="A5474" zoomScale="70" zoomScaleNormal="70" workbookViewId="0">
      <selection activeCell="W5507" sqref="W5507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+テーブル1[[#This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+テーブル1[[#This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+テーブル1[[#This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+テーブル1[[#This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+テーブル1[[#This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+テーブル1[[#This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+テーブル1[[#This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+テーブル1[[#This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+テーブル1[[#This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+テーブル1[[#This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+テーブル1[[#This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+テーブル1[[#This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+テーブル1[[#This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+テーブル1[[#This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+テーブル1[[#This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+テーブル1[[#This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+テーブル1[[#This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+テーブル1[[#This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+テーブル1[[#This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+テーブル1[[#This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+テーブル1[[#This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+テーブル1[[#This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+テーブル1[[#This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+テーブル1[[#This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+テーブル1[[#This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+テーブル1[[#This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+テーブル1[[#This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+テーブル1[[#This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+テーブル1[[#This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+テーブル1[[#This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+テーブル1[[#This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+テーブル1[[#This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+テーブル1[[#This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+テーブル1[[#This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+テーブル1[[#This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+テーブル1[[#This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+テーブル1[[#This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+テーブル1[[#This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+テーブル1[[#This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+テーブル1[[#This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+テーブル1[[#This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+テーブル1[[#This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+テーブル1[[#This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+テーブル1[[#This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+テーブル1[[#This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+テーブル1[[#This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+テーブル1[[#This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+テーブル1[[#This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+テーブル1[[#This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+テーブル1[[#This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+テーブル1[[#This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+テーブル1[[#This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+テーブル1[[#This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+テーブル1[[#This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+テーブル1[[#This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+テーブル1[[#This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+テーブル1[[#This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+テーブル1[[#This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+テーブル1[[#This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+テーブル1[[#This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+テーブル1[[#This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+テーブル1[[#This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+テーブル1[[#This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+テーブル1[[#This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+テーブル1[[#This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+テーブル1[[#This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+テーブル1[[#This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+テーブル1[[#This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+テーブル1[[#This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+テーブル1[[#This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+テーブル1[[#This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+テーブル1[[#This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+テーブル1[[#This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+テーブル1[[#This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+テーブル1[[#This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+テーブル1[[#This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+テーブル1[[#This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+テーブル1[[#This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+テーブル1[[#This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+テーブル1[[#This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+テーブル1[[#This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+テーブル1[[#This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+テーブル1[[#This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+テーブル1[[#This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+テーブル1[[#This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+テーブル1[[#This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+テーブル1[[#This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+テーブル1[[#This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+テーブル1[[#This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+テーブル1[[#This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+テーブル1[[#This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+テーブル1[[#This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+テーブル1[[#This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+テーブル1[[#This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+テーブル1[[#This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+テーブル1[[#This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+テーブル1[[#This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+テーブル1[[#This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+テーブル1[[#This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+テーブル1[[#This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+テーブル1[[#This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+テーブル1[[#This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+テーブル1[[#This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+テーブル1[[#This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+テーブル1[[#This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+テーブル1[[#This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+テーブル1[[#This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+テーブル1[[#This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+テーブル1[[#This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+テーブル1[[#This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+テーブル1[[#This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+テーブル1[[#This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+テーブル1[[#This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+テーブル1[[#This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+テーブル1[[#This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+テーブル1[[#This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+テーブル1[[#This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+テーブル1[[#This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+テーブル1[[#This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+テーブル1[[#This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+テーブル1[[#This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+テーブル1[[#This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+テーブル1[[#This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+テーブル1[[#This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+テーブル1[[#This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+テーブル1[[#This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+テーブル1[[#This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+テーブル1[[#This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+テーブル1[[#This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+テーブル1[[#This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+テーブル1[[#This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+テーブル1[[#This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+テーブル1[[#This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+テーブル1[[#This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+テーブル1[[#This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+テーブル1[[#This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+テーブル1[[#This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+テーブル1[[#This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+テーブル1[[#This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+テーブル1[[#This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+テーブル1[[#This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+テーブル1[[#This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+テーブル1[[#This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+テーブル1[[#This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+テーブル1[[#This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+テーブル1[[#This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+テーブル1[[#This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+テーブル1[[#This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+テーブル1[[#This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+テーブル1[[#This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+テーブル1[[#This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+テーブル1[[#This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+テーブル1[[#This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+テーブル1[[#This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+テーブル1[[#This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+テーブル1[[#This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+テーブル1[[#This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+テーブル1[[#This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+テーブル1[[#This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+テーブル1[[#This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+テーブル1[[#This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+テーブル1[[#This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+テーブル1[[#This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+テーブル1[[#This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+テーブル1[[#This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+テーブル1[[#This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+テーブル1[[#This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+テーブル1[[#This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+テーブル1[[#This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+テーブル1[[#This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+テーブル1[[#This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+テーブル1[[#This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+テーブル1[[#This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+テーブル1[[#This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+テーブル1[[#This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+テーブル1[[#This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+テーブル1[[#This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41">
        <v>100</v>
      </c>
      <c r="E4652" s="41">
        <v>100</v>
      </c>
      <c r="F4652" t="s">
        <v>17</v>
      </c>
      <c r="G4652" s="28">
        <v>45992</v>
      </c>
      <c r="H4652" s="26" t="s">
        <v>3084</v>
      </c>
      <c r="I4652" s="49">
        <v>8074</v>
      </c>
      <c r="J4652" s="61">
        <v>1</v>
      </c>
      <c r="K4652" s="61"/>
      <c r="L4652" s="63">
        <v>0</v>
      </c>
      <c r="M4652" s="61"/>
      <c r="N4652" s="64">
        <v>1</v>
      </c>
      <c r="O4652" s="136">
        <v>8074</v>
      </c>
      <c r="P4652" s="62">
        <v>1282</v>
      </c>
      <c r="Q4652" s="62" t="s">
        <v>1928</v>
      </c>
      <c r="R4652" s="25">
        <f>+テーブル1[[#This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41">
        <v>100</v>
      </c>
      <c r="E4653" s="41">
        <v>100</v>
      </c>
      <c r="F4653" t="s">
        <v>17</v>
      </c>
      <c r="G4653" s="28">
        <v>46023</v>
      </c>
      <c r="H4653" s="26" t="s">
        <v>3085</v>
      </c>
      <c r="I4653" s="49">
        <v>8066</v>
      </c>
      <c r="J4653" s="61">
        <v>1</v>
      </c>
      <c r="K4653" s="61"/>
      <c r="L4653" s="63">
        <v>0</v>
      </c>
      <c r="M4653" s="61"/>
      <c r="N4653" s="64">
        <v>1</v>
      </c>
      <c r="O4653" s="136">
        <v>8066</v>
      </c>
      <c r="P4653" s="62">
        <v>1283</v>
      </c>
      <c r="Q4653" s="62" t="s">
        <v>1928</v>
      </c>
      <c r="R4653" s="25">
        <f>+テーブル1[[#This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41">
        <v>100</v>
      </c>
      <c r="E4654" s="41">
        <v>100</v>
      </c>
      <c r="F4654" t="s">
        <v>17</v>
      </c>
      <c r="G4654" s="28">
        <v>46054</v>
      </c>
      <c r="H4654" s="26" t="s">
        <v>3086</v>
      </c>
      <c r="I4654" s="49">
        <v>8066</v>
      </c>
      <c r="J4654" s="61">
        <v>1</v>
      </c>
      <c r="K4654" s="61"/>
      <c r="L4654" s="63">
        <v>0</v>
      </c>
      <c r="M4654" s="61"/>
      <c r="N4654" s="64">
        <v>1</v>
      </c>
      <c r="O4654" s="136">
        <v>8066</v>
      </c>
      <c r="P4654" s="62">
        <v>1284</v>
      </c>
      <c r="Q4654" s="62" t="s">
        <v>1928</v>
      </c>
      <c r="R4654" s="25">
        <f>+テーブル1[[#This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41">
        <v>100</v>
      </c>
      <c r="E4655" s="41">
        <v>100</v>
      </c>
      <c r="F4655" t="s">
        <v>17</v>
      </c>
      <c r="G4655" s="28">
        <v>46082</v>
      </c>
      <c r="H4655" s="26" t="s">
        <v>3087</v>
      </c>
      <c r="I4655" s="49">
        <v>8066</v>
      </c>
      <c r="J4655" s="61">
        <v>1</v>
      </c>
      <c r="K4655" s="61"/>
      <c r="L4655" s="63">
        <v>0</v>
      </c>
      <c r="M4655" s="61"/>
      <c r="N4655" s="64">
        <v>1</v>
      </c>
      <c r="O4655" s="136">
        <v>8066</v>
      </c>
      <c r="P4655" s="62">
        <v>1285</v>
      </c>
      <c r="Q4655" s="62" t="s">
        <v>1928</v>
      </c>
      <c r="R4655" s="25">
        <f>+テーブル1[[#This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41">
        <v>100</v>
      </c>
      <c r="E4656" s="41">
        <v>100</v>
      </c>
      <c r="F4656" t="s">
        <v>17</v>
      </c>
      <c r="G4656" s="28">
        <v>46113</v>
      </c>
      <c r="H4656" s="26" t="s">
        <v>3088</v>
      </c>
      <c r="I4656" s="49">
        <v>8066</v>
      </c>
      <c r="J4656" s="61">
        <v>1</v>
      </c>
      <c r="K4656" s="61"/>
      <c r="L4656" s="63">
        <v>0</v>
      </c>
      <c r="M4656" s="61"/>
      <c r="N4656" s="64">
        <v>1</v>
      </c>
      <c r="O4656" s="136">
        <v>8066</v>
      </c>
      <c r="P4656" s="62">
        <v>1286</v>
      </c>
      <c r="Q4656" s="62" t="s">
        <v>1928</v>
      </c>
      <c r="R4656" s="25">
        <f>+テーブル1[[#This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41">
        <v>100</v>
      </c>
      <c r="E4657" s="41">
        <v>100</v>
      </c>
      <c r="F4657" t="s">
        <v>17</v>
      </c>
      <c r="G4657" s="28">
        <v>46143</v>
      </c>
      <c r="H4657" s="26" t="s">
        <v>3089</v>
      </c>
      <c r="I4657" s="49">
        <v>8066</v>
      </c>
      <c r="J4657" s="61">
        <v>1</v>
      </c>
      <c r="K4657" s="61"/>
      <c r="L4657" s="63">
        <v>0</v>
      </c>
      <c r="M4657" s="61"/>
      <c r="N4657" s="64">
        <v>1</v>
      </c>
      <c r="O4657" s="136">
        <v>8066</v>
      </c>
      <c r="P4657" s="62">
        <v>1287</v>
      </c>
      <c r="Q4657" s="62" t="s">
        <v>1928</v>
      </c>
      <c r="R4657" s="25">
        <f>+テーブル1[[#This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41">
        <v>100</v>
      </c>
      <c r="E4658" s="41">
        <v>100</v>
      </c>
      <c r="F4658" t="s">
        <v>17</v>
      </c>
      <c r="G4658" s="28">
        <v>46174</v>
      </c>
      <c r="H4658" s="26" t="s">
        <v>3090</v>
      </c>
      <c r="I4658" s="49">
        <v>8066</v>
      </c>
      <c r="J4658" s="61">
        <v>1</v>
      </c>
      <c r="K4658" s="61"/>
      <c r="L4658" s="63">
        <v>0</v>
      </c>
      <c r="M4658" s="61"/>
      <c r="N4658" s="64">
        <v>1</v>
      </c>
      <c r="O4658" s="136">
        <v>8066</v>
      </c>
      <c r="P4658" s="62">
        <v>1288</v>
      </c>
      <c r="Q4658" s="62" t="s">
        <v>1928</v>
      </c>
      <c r="R4658" s="25">
        <f>+テーブル1[[#This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41">
        <v>100</v>
      </c>
      <c r="E4659" s="41">
        <v>100</v>
      </c>
      <c r="F4659" t="s">
        <v>17</v>
      </c>
      <c r="G4659" s="28">
        <v>46204</v>
      </c>
      <c r="H4659" s="26" t="s">
        <v>3091</v>
      </c>
      <c r="I4659" s="49">
        <v>8066</v>
      </c>
      <c r="J4659" s="61">
        <v>1</v>
      </c>
      <c r="K4659" s="61"/>
      <c r="L4659" s="63">
        <v>0</v>
      </c>
      <c r="M4659" s="61"/>
      <c r="N4659" s="64">
        <v>1</v>
      </c>
      <c r="O4659" s="136">
        <v>8066</v>
      </c>
      <c r="P4659" s="62">
        <v>1289</v>
      </c>
      <c r="Q4659" s="62" t="s">
        <v>1928</v>
      </c>
      <c r="R4659" s="25">
        <f>+テーブル1[[#This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41">
        <v>100</v>
      </c>
      <c r="E4660" s="41">
        <v>100</v>
      </c>
      <c r="F4660" t="s">
        <v>17</v>
      </c>
      <c r="G4660" s="28">
        <v>46235</v>
      </c>
      <c r="H4660" s="26" t="s">
        <v>3092</v>
      </c>
      <c r="I4660" s="49">
        <v>8066</v>
      </c>
      <c r="J4660" s="61">
        <v>1</v>
      </c>
      <c r="K4660" s="61"/>
      <c r="L4660" s="63">
        <v>0</v>
      </c>
      <c r="M4660" s="61"/>
      <c r="N4660" s="64">
        <v>1</v>
      </c>
      <c r="O4660" s="136">
        <v>8066</v>
      </c>
      <c r="P4660" s="62">
        <v>1290</v>
      </c>
      <c r="Q4660" s="62" t="s">
        <v>1928</v>
      </c>
      <c r="R4660" s="25">
        <f>+テーブル1[[#This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41">
        <v>100</v>
      </c>
      <c r="E4661" s="41">
        <v>100</v>
      </c>
      <c r="F4661" t="s">
        <v>17</v>
      </c>
      <c r="G4661" s="28">
        <v>46266</v>
      </c>
      <c r="H4661" s="26" t="s">
        <v>3093</v>
      </c>
      <c r="I4661" s="49">
        <v>8066</v>
      </c>
      <c r="J4661" s="61">
        <v>1</v>
      </c>
      <c r="K4661" s="61"/>
      <c r="L4661" s="63">
        <v>0</v>
      </c>
      <c r="M4661" s="61"/>
      <c r="N4661" s="64">
        <v>1</v>
      </c>
      <c r="O4661" s="136">
        <v>8066</v>
      </c>
      <c r="P4661" s="62">
        <v>1291</v>
      </c>
      <c r="Q4661" s="62" t="s">
        <v>1928</v>
      </c>
      <c r="R4661" s="25">
        <f>+テーブル1[[#This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41">
        <v>100</v>
      </c>
      <c r="E4662" s="41">
        <v>100</v>
      </c>
      <c r="F4662" t="s">
        <v>17</v>
      </c>
      <c r="G4662" s="28">
        <v>46296</v>
      </c>
      <c r="H4662" s="26" t="s">
        <v>3094</v>
      </c>
      <c r="I4662" s="49">
        <v>8066</v>
      </c>
      <c r="J4662" s="61">
        <v>1</v>
      </c>
      <c r="K4662" s="61"/>
      <c r="L4662" s="63">
        <v>0</v>
      </c>
      <c r="M4662" s="61"/>
      <c r="N4662" s="64">
        <v>1</v>
      </c>
      <c r="O4662" s="136">
        <v>8066</v>
      </c>
      <c r="P4662" s="62">
        <v>1292</v>
      </c>
      <c r="Q4662" s="62" t="s">
        <v>1928</v>
      </c>
      <c r="R4662" s="25">
        <f>+テーブル1[[#This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41">
        <v>100</v>
      </c>
      <c r="E4663" s="41">
        <v>100</v>
      </c>
      <c r="F4663" t="s">
        <v>17</v>
      </c>
      <c r="G4663" s="28">
        <v>46327</v>
      </c>
      <c r="H4663" s="26" t="s">
        <v>3095</v>
      </c>
      <c r="I4663" s="49">
        <v>8066</v>
      </c>
      <c r="J4663" s="61">
        <v>1</v>
      </c>
      <c r="K4663" s="61"/>
      <c r="L4663" s="63">
        <v>0</v>
      </c>
      <c r="M4663" s="61"/>
      <c r="N4663" s="64">
        <v>1</v>
      </c>
      <c r="O4663" s="136">
        <v>8066</v>
      </c>
      <c r="P4663" s="62">
        <v>1293</v>
      </c>
      <c r="Q4663" s="62" t="s">
        <v>1928</v>
      </c>
      <c r="R4663" s="25">
        <f>+テーブル1[[#This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41">
        <v>100</v>
      </c>
      <c r="E4664" s="41">
        <v>100</v>
      </c>
      <c r="F4664" t="s">
        <v>17</v>
      </c>
      <c r="G4664" s="28">
        <v>45962</v>
      </c>
      <c r="H4664" s="26" t="s">
        <v>1946</v>
      </c>
      <c r="I4664" s="49">
        <v>29975</v>
      </c>
      <c r="J4664" s="61">
        <v>4</v>
      </c>
      <c r="K4664" s="61"/>
      <c r="L4664" s="63">
        <v>0</v>
      </c>
      <c r="M4664" s="61"/>
      <c r="N4664" s="64">
        <v>4</v>
      </c>
      <c r="O4664" s="136">
        <v>119900</v>
      </c>
      <c r="P4664" s="62">
        <v>1294</v>
      </c>
      <c r="Q4664" s="62" t="s">
        <v>1935</v>
      </c>
      <c r="R4664" s="25">
        <f>+テーブル1[[#This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41">
        <v>100</v>
      </c>
      <c r="E4665" s="41">
        <v>100</v>
      </c>
      <c r="F4665" t="s">
        <v>17</v>
      </c>
      <c r="G4665" s="28">
        <v>45962</v>
      </c>
      <c r="H4665" s="26" t="s">
        <v>3096</v>
      </c>
      <c r="I4665" s="49">
        <v>29975</v>
      </c>
      <c r="J4665" s="61">
        <v>2</v>
      </c>
      <c r="K4665" s="61"/>
      <c r="L4665" s="63">
        <v>0</v>
      </c>
      <c r="M4665" s="61"/>
      <c r="N4665" s="64">
        <v>2</v>
      </c>
      <c r="O4665" s="136">
        <v>59950</v>
      </c>
      <c r="P4665" s="62">
        <v>1295</v>
      </c>
      <c r="Q4665" s="62" t="s">
        <v>1935</v>
      </c>
      <c r="R4665" s="25">
        <f>+テーブル1[[#This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41">
        <v>100</v>
      </c>
      <c r="E4666" s="41">
        <v>100</v>
      </c>
      <c r="F4666" t="s">
        <v>17</v>
      </c>
      <c r="G4666" s="28">
        <v>45962</v>
      </c>
      <c r="H4666" s="26" t="s">
        <v>2890</v>
      </c>
      <c r="I4666" s="49">
        <v>29975</v>
      </c>
      <c r="J4666" s="61">
        <v>6</v>
      </c>
      <c r="K4666" s="61"/>
      <c r="L4666" s="63">
        <v>0</v>
      </c>
      <c r="M4666" s="61"/>
      <c r="N4666" s="64">
        <v>6</v>
      </c>
      <c r="O4666" s="136">
        <v>179850</v>
      </c>
      <c r="P4666" s="62">
        <v>1296</v>
      </c>
      <c r="Q4666" s="62" t="s">
        <v>1935</v>
      </c>
      <c r="R4666" s="25">
        <f>+テーブル1[[#This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41">
        <v>100</v>
      </c>
      <c r="E4667" s="41">
        <v>100</v>
      </c>
      <c r="F4667" t="s">
        <v>17</v>
      </c>
      <c r="G4667" s="28">
        <v>45962</v>
      </c>
      <c r="H4667" s="26" t="s">
        <v>3097</v>
      </c>
      <c r="I4667" s="49">
        <v>27500</v>
      </c>
      <c r="J4667" s="61">
        <v>1</v>
      </c>
      <c r="K4667" s="61"/>
      <c r="L4667" s="63">
        <v>0</v>
      </c>
      <c r="M4667" s="61"/>
      <c r="N4667" s="64">
        <v>1</v>
      </c>
      <c r="O4667" s="136">
        <v>27500</v>
      </c>
      <c r="P4667" s="62">
        <v>1297</v>
      </c>
      <c r="Q4667" s="62" t="s">
        <v>1935</v>
      </c>
      <c r="R4667" s="25">
        <f>+テーブル1[[#This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41">
        <v>100</v>
      </c>
      <c r="E4668" s="41">
        <v>100</v>
      </c>
      <c r="F4668" t="s">
        <v>17</v>
      </c>
      <c r="G4668" s="28">
        <v>45962</v>
      </c>
      <c r="H4668" s="26" t="s">
        <v>2142</v>
      </c>
      <c r="I4668" s="49">
        <v>29800</v>
      </c>
      <c r="J4668" s="61">
        <v>1</v>
      </c>
      <c r="K4668" s="61"/>
      <c r="L4668" s="63">
        <v>0</v>
      </c>
      <c r="M4668" s="61"/>
      <c r="N4668" s="64">
        <v>1</v>
      </c>
      <c r="O4668" s="136">
        <v>29800</v>
      </c>
      <c r="P4668" s="62">
        <v>1298</v>
      </c>
      <c r="Q4668" s="62" t="s">
        <v>1935</v>
      </c>
      <c r="R4668" s="25">
        <f>+テーブル1[[#This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41">
        <v>100</v>
      </c>
      <c r="E4669" s="41">
        <v>100</v>
      </c>
      <c r="F4669" t="s">
        <v>17</v>
      </c>
      <c r="G4669" s="28">
        <v>45962</v>
      </c>
      <c r="H4669" s="26" t="s">
        <v>2142</v>
      </c>
      <c r="I4669" s="49">
        <v>29975</v>
      </c>
      <c r="J4669" s="61">
        <v>1</v>
      </c>
      <c r="K4669" s="61"/>
      <c r="L4669" s="63">
        <v>0</v>
      </c>
      <c r="M4669" s="61"/>
      <c r="N4669" s="64">
        <v>1</v>
      </c>
      <c r="O4669" s="136">
        <v>29975</v>
      </c>
      <c r="P4669" s="62">
        <v>1299</v>
      </c>
      <c r="Q4669" s="62" t="s">
        <v>1935</v>
      </c>
      <c r="R4669" s="25">
        <f>+テーブル1[[#This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41">
        <v>100</v>
      </c>
      <c r="E4670" s="41">
        <v>100</v>
      </c>
      <c r="F4670" t="s">
        <v>17</v>
      </c>
      <c r="G4670" s="28">
        <v>45962</v>
      </c>
      <c r="H4670" s="26" t="s">
        <v>1947</v>
      </c>
      <c r="I4670" s="49">
        <v>29975</v>
      </c>
      <c r="J4670" s="61">
        <v>6</v>
      </c>
      <c r="K4670" s="61"/>
      <c r="L4670" s="63">
        <v>0</v>
      </c>
      <c r="M4670" s="61"/>
      <c r="N4670" s="64">
        <v>6</v>
      </c>
      <c r="O4670" s="136">
        <v>179850</v>
      </c>
      <c r="P4670" s="62">
        <v>1300</v>
      </c>
      <c r="Q4670" s="62" t="s">
        <v>1935</v>
      </c>
      <c r="R4670" s="25">
        <f>+テーブル1[[#This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41">
        <v>100</v>
      </c>
      <c r="E4671" s="41">
        <v>100</v>
      </c>
      <c r="F4671" t="s">
        <v>17</v>
      </c>
      <c r="G4671" s="28">
        <v>45962</v>
      </c>
      <c r="H4671" s="26" t="s">
        <v>2143</v>
      </c>
      <c r="I4671" s="49">
        <v>29975</v>
      </c>
      <c r="J4671" s="61">
        <v>5</v>
      </c>
      <c r="K4671" s="61"/>
      <c r="L4671" s="63">
        <v>0</v>
      </c>
      <c r="M4671" s="61"/>
      <c r="N4671" s="64">
        <v>5</v>
      </c>
      <c r="O4671" s="136">
        <v>149875</v>
      </c>
      <c r="P4671" s="62">
        <v>1301</v>
      </c>
      <c r="Q4671" s="62" t="s">
        <v>1935</v>
      </c>
      <c r="R4671" s="25">
        <f>+テーブル1[[#This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41">
        <v>100</v>
      </c>
      <c r="E4672" s="41">
        <v>100</v>
      </c>
      <c r="F4672" t="s">
        <v>17</v>
      </c>
      <c r="G4672" s="28">
        <v>45962</v>
      </c>
      <c r="H4672" s="26" t="s">
        <v>2296</v>
      </c>
      <c r="I4672" s="49">
        <v>27500</v>
      </c>
      <c r="J4672" s="61">
        <v>1</v>
      </c>
      <c r="K4672" s="61"/>
      <c r="L4672" s="63">
        <v>0</v>
      </c>
      <c r="M4672" s="61"/>
      <c r="N4672" s="64">
        <v>1</v>
      </c>
      <c r="O4672" s="136">
        <v>27500</v>
      </c>
      <c r="P4672" s="62">
        <v>1302</v>
      </c>
      <c r="Q4672" s="62" t="s">
        <v>1935</v>
      </c>
      <c r="R4672" s="25">
        <f>+テーブル1[[#This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41">
        <v>100</v>
      </c>
      <c r="E4673" s="41">
        <v>100</v>
      </c>
      <c r="F4673" t="s">
        <v>17</v>
      </c>
      <c r="G4673" s="28">
        <v>45962</v>
      </c>
      <c r="H4673" s="26" t="s">
        <v>2425</v>
      </c>
      <c r="I4673" s="49">
        <v>29975</v>
      </c>
      <c r="J4673" s="61">
        <v>5</v>
      </c>
      <c r="K4673" s="61"/>
      <c r="L4673" s="63">
        <v>0</v>
      </c>
      <c r="M4673" s="61"/>
      <c r="N4673" s="64">
        <v>5</v>
      </c>
      <c r="O4673" s="136">
        <v>149875</v>
      </c>
      <c r="P4673" s="62">
        <v>1303</v>
      </c>
      <c r="Q4673" s="62" t="s">
        <v>1935</v>
      </c>
      <c r="R4673" s="25">
        <f>+テーブル1[[#This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41">
        <v>100</v>
      </c>
      <c r="E4674" s="41">
        <v>100</v>
      </c>
      <c r="F4674" t="s">
        <v>17</v>
      </c>
      <c r="G4674" s="28">
        <v>45962</v>
      </c>
      <c r="H4674" s="26" t="s">
        <v>2522</v>
      </c>
      <c r="I4674" s="49">
        <v>29975</v>
      </c>
      <c r="J4674" s="61">
        <v>2</v>
      </c>
      <c r="K4674" s="61"/>
      <c r="L4674" s="63">
        <v>0</v>
      </c>
      <c r="M4674" s="61"/>
      <c r="N4674" s="64">
        <v>2</v>
      </c>
      <c r="O4674" s="136">
        <v>59950</v>
      </c>
      <c r="P4674" s="62">
        <v>1304</v>
      </c>
      <c r="Q4674" s="62" t="s">
        <v>1935</v>
      </c>
      <c r="R4674" s="25">
        <f>+テーブル1[[#This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41">
        <v>100</v>
      </c>
      <c r="E4675" s="41">
        <v>100</v>
      </c>
      <c r="F4675" t="s">
        <v>17</v>
      </c>
      <c r="G4675" s="28">
        <v>45962</v>
      </c>
      <c r="H4675" s="26" t="s">
        <v>2676</v>
      </c>
      <c r="I4675" s="49">
        <v>27500</v>
      </c>
      <c r="J4675" s="61">
        <v>1</v>
      </c>
      <c r="K4675" s="61"/>
      <c r="L4675" s="63">
        <v>0</v>
      </c>
      <c r="M4675" s="61"/>
      <c r="N4675" s="64">
        <v>1</v>
      </c>
      <c r="O4675" s="136">
        <v>27500</v>
      </c>
      <c r="P4675" s="62">
        <v>1305</v>
      </c>
      <c r="Q4675" s="62" t="s">
        <v>1935</v>
      </c>
      <c r="R4675" s="25">
        <f>+テーブル1[[#This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41">
        <v>100</v>
      </c>
      <c r="E4676" s="41">
        <v>100</v>
      </c>
      <c r="F4676" t="s">
        <v>17</v>
      </c>
      <c r="G4676" s="28">
        <v>45962</v>
      </c>
      <c r="H4676" s="26" t="s">
        <v>2676</v>
      </c>
      <c r="I4676" s="49">
        <v>29975</v>
      </c>
      <c r="J4676" s="61">
        <v>6</v>
      </c>
      <c r="K4676" s="61"/>
      <c r="L4676" s="63">
        <v>0</v>
      </c>
      <c r="M4676" s="61"/>
      <c r="N4676" s="64">
        <v>6</v>
      </c>
      <c r="O4676" s="136">
        <v>179850</v>
      </c>
      <c r="P4676" s="62">
        <v>1306</v>
      </c>
      <c r="Q4676" s="62" t="s">
        <v>1935</v>
      </c>
      <c r="R4676" s="25">
        <f>+テーブル1[[#This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41">
        <v>100</v>
      </c>
      <c r="E4677" s="41">
        <v>100</v>
      </c>
      <c r="F4677" t="s">
        <v>17</v>
      </c>
      <c r="G4677" s="28">
        <v>45962</v>
      </c>
      <c r="H4677" s="26" t="s">
        <v>2775</v>
      </c>
      <c r="I4677" s="49">
        <v>29975</v>
      </c>
      <c r="J4677" s="61">
        <v>1</v>
      </c>
      <c r="K4677" s="61"/>
      <c r="L4677" s="63">
        <v>0</v>
      </c>
      <c r="M4677" s="61"/>
      <c r="N4677" s="64">
        <v>1</v>
      </c>
      <c r="O4677" s="136">
        <v>29975</v>
      </c>
      <c r="P4677" s="62">
        <v>1307</v>
      </c>
      <c r="Q4677" s="62" t="s">
        <v>1935</v>
      </c>
      <c r="R4677" s="25">
        <f>+テーブル1[[#This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41">
        <v>100</v>
      </c>
      <c r="E4678" s="41">
        <v>100</v>
      </c>
      <c r="F4678" t="s">
        <v>16</v>
      </c>
      <c r="G4678" s="28">
        <v>45992</v>
      </c>
      <c r="H4678" s="26" t="s">
        <v>3098</v>
      </c>
      <c r="I4678" s="49">
        <v>11000</v>
      </c>
      <c r="J4678" s="61">
        <v>1</v>
      </c>
      <c r="K4678" s="61"/>
      <c r="L4678" s="63">
        <v>0</v>
      </c>
      <c r="M4678" s="61"/>
      <c r="N4678" s="64">
        <v>1</v>
      </c>
      <c r="O4678" s="136">
        <v>11000</v>
      </c>
      <c r="P4678" s="62">
        <v>1308</v>
      </c>
      <c r="Q4678" s="62" t="s">
        <v>1928</v>
      </c>
      <c r="R4678" s="25">
        <f>+テーブル1[[#This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41">
        <v>100</v>
      </c>
      <c r="E4679" s="41">
        <v>100</v>
      </c>
      <c r="F4679" t="s">
        <v>16</v>
      </c>
      <c r="G4679" s="28">
        <v>45992</v>
      </c>
      <c r="H4679" s="26" t="s">
        <v>3099</v>
      </c>
      <c r="I4679" s="49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36">
        <v>33000</v>
      </c>
      <c r="P4679" s="62">
        <v>1309</v>
      </c>
      <c r="Q4679" s="62" t="s">
        <v>1928</v>
      </c>
      <c r="R4679" s="25">
        <f>+テーブル1[[#This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41">
        <v>50</v>
      </c>
      <c r="E4680" s="41">
        <v>50</v>
      </c>
      <c r="F4680" t="s">
        <v>19</v>
      </c>
      <c r="G4680" s="28">
        <v>45962</v>
      </c>
      <c r="H4680" s="26" t="s">
        <v>3100</v>
      </c>
      <c r="I4680" s="49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36">
        <v>3818650</v>
      </c>
      <c r="P4680" s="62">
        <v>1310</v>
      </c>
      <c r="Q4680" s="62" t="s">
        <v>1935</v>
      </c>
      <c r="R4680" s="25">
        <f>+テーブル1[[#This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41">
        <v>50</v>
      </c>
      <c r="E4681" s="41">
        <v>50</v>
      </c>
      <c r="F4681" t="s">
        <v>19</v>
      </c>
      <c r="G4681" s="28">
        <v>45962</v>
      </c>
      <c r="H4681" s="26" t="s">
        <v>3101</v>
      </c>
      <c r="I4681" s="49">
        <v>91700</v>
      </c>
      <c r="J4681" s="61">
        <v>4</v>
      </c>
      <c r="K4681" s="61"/>
      <c r="L4681" s="63">
        <v>0</v>
      </c>
      <c r="M4681" s="61"/>
      <c r="N4681" s="64">
        <v>4</v>
      </c>
      <c r="O4681" s="136">
        <v>366800</v>
      </c>
      <c r="P4681" s="62">
        <v>1311</v>
      </c>
      <c r="Q4681" s="62" t="s">
        <v>1935</v>
      </c>
      <c r="R4681" s="25">
        <f>+テーブル1[[#This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41">
        <v>50</v>
      </c>
      <c r="E4682" s="41">
        <v>50</v>
      </c>
      <c r="F4682" t="s">
        <v>19</v>
      </c>
      <c r="G4682" s="28">
        <v>45962</v>
      </c>
      <c r="H4682" s="26" t="s">
        <v>2158</v>
      </c>
      <c r="I4682" s="49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36">
        <v>4323000</v>
      </c>
      <c r="P4682" s="62">
        <v>1312</v>
      </c>
      <c r="Q4682" s="62" t="s">
        <v>1935</v>
      </c>
      <c r="R4682" s="25">
        <f>+テーブル1[[#This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41">
        <v>50</v>
      </c>
      <c r="E4683" s="41">
        <v>50</v>
      </c>
      <c r="F4683" t="s">
        <v>19</v>
      </c>
      <c r="G4683" s="28">
        <v>45962</v>
      </c>
      <c r="H4683" s="26" t="s">
        <v>2159</v>
      </c>
      <c r="I4683" s="49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36">
        <v>1729200</v>
      </c>
      <c r="P4683" s="62">
        <v>1313</v>
      </c>
      <c r="Q4683" s="62" t="s">
        <v>1935</v>
      </c>
      <c r="R4683" s="25">
        <f>+テーブル1[[#This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41">
        <v>50</v>
      </c>
      <c r="E4684" s="41">
        <v>50</v>
      </c>
      <c r="F4684" t="s">
        <v>19</v>
      </c>
      <c r="G4684" s="28">
        <v>45962</v>
      </c>
      <c r="H4684" s="26" t="s">
        <v>2160</v>
      </c>
      <c r="I4684" s="49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36">
        <v>3962750</v>
      </c>
      <c r="P4684" s="62">
        <v>1314</v>
      </c>
      <c r="Q4684" s="62" t="s">
        <v>1935</v>
      </c>
      <c r="R4684" s="25">
        <f>+テーブル1[[#This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41">
        <v>50</v>
      </c>
      <c r="E4685" s="41">
        <v>50</v>
      </c>
      <c r="F4685" t="s">
        <v>19</v>
      </c>
      <c r="G4685" s="28">
        <v>45962</v>
      </c>
      <c r="H4685" s="26" t="s">
        <v>2317</v>
      </c>
      <c r="I4685" s="49">
        <v>72050</v>
      </c>
      <c r="J4685" s="61">
        <v>1</v>
      </c>
      <c r="K4685" s="61"/>
      <c r="L4685" s="63">
        <v>0</v>
      </c>
      <c r="M4685" s="61"/>
      <c r="N4685" s="64">
        <v>1</v>
      </c>
      <c r="O4685" s="136">
        <v>72050</v>
      </c>
      <c r="P4685" s="62">
        <v>1315</v>
      </c>
      <c r="Q4685" s="62" t="s">
        <v>1935</v>
      </c>
      <c r="R4685" s="25">
        <f>+テーブル1[[#This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41">
        <v>50</v>
      </c>
      <c r="E4686" s="41">
        <v>50</v>
      </c>
      <c r="F4686" t="s">
        <v>19</v>
      </c>
      <c r="G4686" s="28">
        <v>45962</v>
      </c>
      <c r="H4686" s="26" t="s">
        <v>2434</v>
      </c>
      <c r="I4686" s="49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36">
        <v>1585100</v>
      </c>
      <c r="P4686" s="62">
        <v>1316</v>
      </c>
      <c r="Q4686" s="62" t="s">
        <v>1935</v>
      </c>
      <c r="R4686" s="25">
        <f>+テーブル1[[#This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41">
        <v>50</v>
      </c>
      <c r="E4687" s="41">
        <v>50</v>
      </c>
      <c r="F4687" t="s">
        <v>19</v>
      </c>
      <c r="G4687" s="28">
        <v>45962</v>
      </c>
      <c r="H4687" s="26" t="s">
        <v>2161</v>
      </c>
      <c r="I4687" s="49">
        <v>72050</v>
      </c>
      <c r="J4687" s="61">
        <v>6</v>
      </c>
      <c r="K4687" s="61"/>
      <c r="L4687" s="63">
        <v>0</v>
      </c>
      <c r="M4687" s="61"/>
      <c r="N4687" s="64">
        <v>6</v>
      </c>
      <c r="O4687" s="136">
        <v>432300</v>
      </c>
      <c r="P4687" s="62">
        <v>1317</v>
      </c>
      <c r="Q4687" s="62" t="s">
        <v>1935</v>
      </c>
      <c r="R4687" s="25">
        <f>+テーブル1[[#This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41">
        <v>50</v>
      </c>
      <c r="E4688" s="41">
        <v>50</v>
      </c>
      <c r="F4688" t="s">
        <v>19</v>
      </c>
      <c r="G4688" s="28">
        <v>45962</v>
      </c>
      <c r="H4688" s="26" t="s">
        <v>1977</v>
      </c>
      <c r="I4688" s="49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36">
        <v>216150</v>
      </c>
      <c r="P4688" s="62">
        <v>1318</v>
      </c>
      <c r="Q4688" s="62" t="s">
        <v>1935</v>
      </c>
      <c r="R4688" s="25">
        <f>+テーブル1[[#This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41">
        <v>50</v>
      </c>
      <c r="E4689" s="41">
        <v>50</v>
      </c>
      <c r="F4689" t="s">
        <v>19</v>
      </c>
      <c r="G4689" s="28">
        <v>45962</v>
      </c>
      <c r="H4689" s="26" t="s">
        <v>2318</v>
      </c>
      <c r="I4689" s="49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36">
        <v>275000</v>
      </c>
      <c r="P4689" s="62">
        <v>1319</v>
      </c>
      <c r="Q4689" s="62" t="s">
        <v>1935</v>
      </c>
      <c r="R4689" s="25">
        <f>+テーブル1[[#This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41">
        <v>50</v>
      </c>
      <c r="E4690" s="41">
        <v>50</v>
      </c>
      <c r="F4690" t="s">
        <v>19</v>
      </c>
      <c r="G4690" s="28">
        <v>45962</v>
      </c>
      <c r="H4690" s="26" t="s">
        <v>2162</v>
      </c>
      <c r="I4690" s="49">
        <v>91700</v>
      </c>
      <c r="J4690" s="61">
        <v>3</v>
      </c>
      <c r="K4690" s="61"/>
      <c r="L4690" s="63">
        <v>0</v>
      </c>
      <c r="M4690" s="61"/>
      <c r="N4690" s="64">
        <v>3</v>
      </c>
      <c r="O4690" s="136">
        <v>275100</v>
      </c>
      <c r="P4690" s="62">
        <v>1320</v>
      </c>
      <c r="Q4690" s="62" t="s">
        <v>1935</v>
      </c>
      <c r="R4690" s="25">
        <f>+テーブル1[[#This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41">
        <v>50</v>
      </c>
      <c r="E4691" s="41">
        <v>50</v>
      </c>
      <c r="F4691" t="s">
        <v>19</v>
      </c>
      <c r="G4691" s="28">
        <v>45962</v>
      </c>
      <c r="H4691" s="26" t="s">
        <v>3102</v>
      </c>
      <c r="I4691" s="49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36">
        <v>211400</v>
      </c>
      <c r="P4691" s="62">
        <v>1321</v>
      </c>
      <c r="Q4691" s="62" t="s">
        <v>1935</v>
      </c>
      <c r="R4691" s="25">
        <f>+テーブル1[[#This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41">
        <v>50</v>
      </c>
      <c r="E4692" s="41">
        <v>50</v>
      </c>
      <c r="F4692" t="s">
        <v>16</v>
      </c>
      <c r="G4692" s="28">
        <v>45992</v>
      </c>
      <c r="H4692" s="26" t="s">
        <v>3103</v>
      </c>
      <c r="I4692" s="49">
        <v>13200</v>
      </c>
      <c r="J4692" s="61">
        <v>7</v>
      </c>
      <c r="K4692" s="61"/>
      <c r="L4692" s="63">
        <v>0</v>
      </c>
      <c r="M4692" s="61"/>
      <c r="N4692" s="64">
        <v>7</v>
      </c>
      <c r="O4692" s="136">
        <v>92400</v>
      </c>
      <c r="P4692" s="62">
        <v>1322</v>
      </c>
      <c r="Q4692" s="62" t="s">
        <v>1928</v>
      </c>
      <c r="R4692" s="25">
        <f>+テーブル1[[#This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41">
        <v>50</v>
      </c>
      <c r="E4693" s="41">
        <v>50</v>
      </c>
      <c r="F4693" t="s">
        <v>16</v>
      </c>
      <c r="G4693" s="28">
        <v>45992</v>
      </c>
      <c r="H4693" s="26" t="s">
        <v>3103</v>
      </c>
      <c r="I4693" s="49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36">
        <v>391500</v>
      </c>
      <c r="P4693" s="62">
        <v>1323</v>
      </c>
      <c r="Q4693" s="62" t="s">
        <v>1928</v>
      </c>
      <c r="R4693" s="25">
        <f>+テーブル1[[#This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41">
        <v>50</v>
      </c>
      <c r="E4694" s="41">
        <v>50</v>
      </c>
      <c r="F4694" t="s">
        <v>16</v>
      </c>
      <c r="G4694" s="28">
        <v>45992</v>
      </c>
      <c r="H4694" s="26" t="s">
        <v>3104</v>
      </c>
      <c r="I4694" s="49">
        <v>4830</v>
      </c>
      <c r="J4694" s="61">
        <v>1</v>
      </c>
      <c r="K4694" s="61"/>
      <c r="L4694" s="63">
        <v>0</v>
      </c>
      <c r="M4694" s="61"/>
      <c r="N4694" s="64">
        <v>1</v>
      </c>
      <c r="O4694" s="136">
        <v>4830</v>
      </c>
      <c r="P4694" s="62">
        <v>1324</v>
      </c>
      <c r="Q4694" s="62" t="s">
        <v>1928</v>
      </c>
      <c r="R4694" s="25">
        <f>+テーブル1[[#This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41">
        <v>50</v>
      </c>
      <c r="E4695" s="41">
        <v>50</v>
      </c>
      <c r="F4695" t="s">
        <v>16</v>
      </c>
      <c r="G4695" s="28">
        <v>45992</v>
      </c>
      <c r="H4695" s="26" t="s">
        <v>3105</v>
      </c>
      <c r="I4695" s="49">
        <v>4830</v>
      </c>
      <c r="J4695" s="61">
        <v>4</v>
      </c>
      <c r="K4695" s="61"/>
      <c r="L4695" s="63">
        <v>0</v>
      </c>
      <c r="M4695" s="61"/>
      <c r="N4695" s="64">
        <v>4</v>
      </c>
      <c r="O4695" s="136">
        <v>19320</v>
      </c>
      <c r="P4695" s="62">
        <v>1325</v>
      </c>
      <c r="Q4695" s="62" t="s">
        <v>1928</v>
      </c>
      <c r="R4695" s="25">
        <f>+テーブル1[[#This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41">
        <v>50</v>
      </c>
      <c r="E4696" s="41">
        <v>50</v>
      </c>
      <c r="F4696" t="s">
        <v>20</v>
      </c>
      <c r="G4696" s="28">
        <v>45962</v>
      </c>
      <c r="H4696" s="26" t="s">
        <v>3008</v>
      </c>
      <c r="I4696" s="49">
        <v>2400</v>
      </c>
      <c r="J4696" s="61">
        <v>2</v>
      </c>
      <c r="K4696" s="61"/>
      <c r="L4696" s="63">
        <v>0</v>
      </c>
      <c r="M4696" s="61"/>
      <c r="N4696" s="64">
        <v>2</v>
      </c>
      <c r="O4696" s="136">
        <v>4800</v>
      </c>
      <c r="P4696" s="62">
        <v>1326</v>
      </c>
      <c r="Q4696" s="62" t="s">
        <v>1935</v>
      </c>
      <c r="R4696" s="25">
        <f>+テーブル1[[#This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41">
        <v>50</v>
      </c>
      <c r="E4697" s="41">
        <v>50</v>
      </c>
      <c r="F4697" t="s">
        <v>20</v>
      </c>
      <c r="G4697" s="28">
        <v>45962</v>
      </c>
      <c r="H4697" s="26" t="s">
        <v>3106</v>
      </c>
      <c r="I4697" s="49">
        <v>2400</v>
      </c>
      <c r="J4697" s="61">
        <v>1</v>
      </c>
      <c r="K4697" s="61"/>
      <c r="L4697" s="63">
        <v>0</v>
      </c>
      <c r="M4697" s="61"/>
      <c r="N4697" s="64">
        <v>1</v>
      </c>
      <c r="O4697" s="136">
        <v>2400</v>
      </c>
      <c r="P4697" s="62">
        <v>1327</v>
      </c>
      <c r="Q4697" s="62" t="s">
        <v>1935</v>
      </c>
      <c r="R4697" s="25">
        <f>+テーブル1[[#This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41">
        <v>50</v>
      </c>
      <c r="E4698" s="41">
        <v>50</v>
      </c>
      <c r="F4698" t="s">
        <v>20</v>
      </c>
      <c r="G4698" s="28">
        <v>45962</v>
      </c>
      <c r="H4698" s="26" t="s">
        <v>2326</v>
      </c>
      <c r="I4698" s="49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36">
        <v>146700</v>
      </c>
      <c r="P4698" s="62">
        <v>1328</v>
      </c>
      <c r="Q4698" s="62" t="s">
        <v>1935</v>
      </c>
      <c r="R4698" s="25">
        <f>+テーブル1[[#This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41">
        <v>50</v>
      </c>
      <c r="E4699" s="41">
        <v>50</v>
      </c>
      <c r="F4699" t="s">
        <v>20</v>
      </c>
      <c r="G4699" s="28">
        <v>45962</v>
      </c>
      <c r="H4699" s="26" t="s">
        <v>2542</v>
      </c>
      <c r="I4699" s="49">
        <v>9780</v>
      </c>
      <c r="J4699" s="61">
        <v>5</v>
      </c>
      <c r="K4699" s="61"/>
      <c r="L4699" s="63">
        <v>0</v>
      </c>
      <c r="M4699" s="61"/>
      <c r="N4699" s="64">
        <v>5</v>
      </c>
      <c r="O4699" s="136">
        <v>48900</v>
      </c>
      <c r="P4699" s="62">
        <v>1329</v>
      </c>
      <c r="Q4699" s="62" t="s">
        <v>1935</v>
      </c>
      <c r="R4699" s="25">
        <f>+テーブル1[[#This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41">
        <v>55</v>
      </c>
      <c r="E4700" s="41">
        <v>45</v>
      </c>
      <c r="F4700" t="s">
        <v>18</v>
      </c>
      <c r="G4700" s="28">
        <v>45992</v>
      </c>
      <c r="H4700" s="26" t="s">
        <v>3107</v>
      </c>
      <c r="I4700" s="49">
        <v>19800</v>
      </c>
      <c r="J4700" s="61">
        <v>1</v>
      </c>
      <c r="K4700" s="61"/>
      <c r="L4700" s="63">
        <v>0</v>
      </c>
      <c r="M4700" s="61"/>
      <c r="N4700" s="64">
        <v>1</v>
      </c>
      <c r="O4700" s="136">
        <v>19800</v>
      </c>
      <c r="P4700" s="62">
        <v>1330</v>
      </c>
      <c r="Q4700" s="62" t="s">
        <v>1928</v>
      </c>
      <c r="R4700" s="25">
        <f>+テーブル1[[#This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41">
        <v>55</v>
      </c>
      <c r="E4701" s="41">
        <v>45</v>
      </c>
      <c r="F4701" t="s">
        <v>18</v>
      </c>
      <c r="G4701" s="28">
        <v>46023</v>
      </c>
      <c r="H4701" s="26" t="s">
        <v>3108</v>
      </c>
      <c r="I4701" s="49">
        <v>19800</v>
      </c>
      <c r="J4701" s="61">
        <v>1</v>
      </c>
      <c r="K4701" s="61"/>
      <c r="L4701" s="63">
        <v>0</v>
      </c>
      <c r="M4701" s="61"/>
      <c r="N4701" s="64">
        <v>1</v>
      </c>
      <c r="O4701" s="136">
        <v>19800</v>
      </c>
      <c r="P4701" s="62">
        <v>1331</v>
      </c>
      <c r="Q4701" s="62" t="s">
        <v>1928</v>
      </c>
      <c r="R4701" s="25">
        <f>+テーブル1[[#This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41">
        <v>55</v>
      </c>
      <c r="E4702" s="41">
        <v>45</v>
      </c>
      <c r="F4702" t="s">
        <v>18</v>
      </c>
      <c r="G4702" s="28">
        <v>46054</v>
      </c>
      <c r="H4702" s="26" t="s">
        <v>3109</v>
      </c>
      <c r="I4702" s="49">
        <v>19800</v>
      </c>
      <c r="J4702" s="61">
        <v>1</v>
      </c>
      <c r="K4702" s="61"/>
      <c r="L4702" s="63">
        <v>0</v>
      </c>
      <c r="M4702" s="61"/>
      <c r="N4702" s="64">
        <v>1</v>
      </c>
      <c r="O4702" s="136">
        <v>19800</v>
      </c>
      <c r="P4702" s="62">
        <v>1332</v>
      </c>
      <c r="Q4702" s="62" t="s">
        <v>1928</v>
      </c>
      <c r="R4702" s="25">
        <f>+テーブル1[[#This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41">
        <v>55</v>
      </c>
      <c r="E4703" s="41">
        <v>45</v>
      </c>
      <c r="F4703" t="s">
        <v>19</v>
      </c>
      <c r="G4703" s="28">
        <v>45992</v>
      </c>
      <c r="H4703" s="26" t="s">
        <v>3110</v>
      </c>
      <c r="I4703" s="49">
        <v>19050</v>
      </c>
      <c r="J4703" s="61">
        <v>6</v>
      </c>
      <c r="K4703" s="61"/>
      <c r="L4703" s="63">
        <v>0</v>
      </c>
      <c r="M4703" s="61"/>
      <c r="N4703" s="64">
        <v>6</v>
      </c>
      <c r="O4703" s="136">
        <v>114300</v>
      </c>
      <c r="P4703" s="62">
        <v>1333</v>
      </c>
      <c r="Q4703" s="62" t="s">
        <v>1928</v>
      </c>
      <c r="R4703" s="25">
        <f>+テーブル1[[#This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41">
        <v>55</v>
      </c>
      <c r="E4704" s="41">
        <v>45</v>
      </c>
      <c r="F4704" t="s">
        <v>19</v>
      </c>
      <c r="G4704" s="28">
        <v>46023</v>
      </c>
      <c r="H4704" s="26" t="s">
        <v>3111</v>
      </c>
      <c r="I4704" s="49">
        <v>19050</v>
      </c>
      <c r="J4704" s="61">
        <v>6</v>
      </c>
      <c r="K4704" s="61"/>
      <c r="L4704" s="63">
        <v>0</v>
      </c>
      <c r="M4704" s="61"/>
      <c r="N4704" s="64">
        <v>6</v>
      </c>
      <c r="O4704" s="136">
        <v>114300</v>
      </c>
      <c r="P4704" s="62">
        <v>1334</v>
      </c>
      <c r="Q4704" s="62" t="s">
        <v>1928</v>
      </c>
      <c r="R4704" s="25">
        <f>+テーブル1[[#This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41">
        <v>55</v>
      </c>
      <c r="E4705" s="41">
        <v>45</v>
      </c>
      <c r="F4705" t="s">
        <v>19</v>
      </c>
      <c r="G4705" s="28">
        <v>46054</v>
      </c>
      <c r="H4705" s="26" t="s">
        <v>3112</v>
      </c>
      <c r="I4705" s="49">
        <v>19050</v>
      </c>
      <c r="J4705" s="61">
        <v>6</v>
      </c>
      <c r="K4705" s="61"/>
      <c r="L4705" s="63">
        <v>0</v>
      </c>
      <c r="M4705" s="61"/>
      <c r="N4705" s="64">
        <v>6</v>
      </c>
      <c r="O4705" s="136">
        <v>114300</v>
      </c>
      <c r="P4705" s="62">
        <v>1335</v>
      </c>
      <c r="Q4705" s="62" t="s">
        <v>1928</v>
      </c>
      <c r="R4705" s="25">
        <f>+テーブル1[[#This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41">
        <v>55</v>
      </c>
      <c r="E4706" s="41">
        <v>45</v>
      </c>
      <c r="F4706" t="s">
        <v>19</v>
      </c>
      <c r="G4706" s="28">
        <v>46082</v>
      </c>
      <c r="H4706" s="26" t="s">
        <v>3113</v>
      </c>
      <c r="I4706" s="49">
        <v>19050</v>
      </c>
      <c r="J4706" s="61">
        <v>6</v>
      </c>
      <c r="K4706" s="61"/>
      <c r="L4706" s="63">
        <v>0</v>
      </c>
      <c r="M4706" s="61"/>
      <c r="N4706" s="64">
        <v>6</v>
      </c>
      <c r="O4706" s="136">
        <v>114300</v>
      </c>
      <c r="P4706" s="62">
        <v>1336</v>
      </c>
      <c r="Q4706" s="62" t="s">
        <v>1928</v>
      </c>
      <c r="R4706" s="25">
        <f>+テーブル1[[#This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41">
        <v>55</v>
      </c>
      <c r="E4707" s="41">
        <v>45</v>
      </c>
      <c r="F4707" t="s">
        <v>19</v>
      </c>
      <c r="G4707" s="28">
        <v>46113</v>
      </c>
      <c r="H4707" s="26" t="s">
        <v>3114</v>
      </c>
      <c r="I4707" s="49">
        <v>19050</v>
      </c>
      <c r="J4707" s="61">
        <v>6</v>
      </c>
      <c r="K4707" s="61"/>
      <c r="L4707" s="63">
        <v>0</v>
      </c>
      <c r="M4707" s="61"/>
      <c r="N4707" s="64">
        <v>6</v>
      </c>
      <c r="O4707" s="136">
        <v>114300</v>
      </c>
      <c r="P4707" s="62">
        <v>1337</v>
      </c>
      <c r="Q4707" s="62" t="s">
        <v>1928</v>
      </c>
      <c r="R4707" s="25">
        <f>+テーブル1[[#This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41">
        <v>55</v>
      </c>
      <c r="E4708" s="41">
        <v>45</v>
      </c>
      <c r="F4708" t="s">
        <v>19</v>
      </c>
      <c r="G4708" s="28">
        <v>46143</v>
      </c>
      <c r="H4708" s="26" t="s">
        <v>3115</v>
      </c>
      <c r="I4708" s="49">
        <v>19050</v>
      </c>
      <c r="J4708" s="61">
        <v>6</v>
      </c>
      <c r="K4708" s="61"/>
      <c r="L4708" s="63">
        <v>0</v>
      </c>
      <c r="M4708" s="61"/>
      <c r="N4708" s="64">
        <v>6</v>
      </c>
      <c r="O4708" s="136">
        <v>114300</v>
      </c>
      <c r="P4708" s="62">
        <v>1338</v>
      </c>
      <c r="Q4708" s="62" t="s">
        <v>1928</v>
      </c>
      <c r="R4708" s="25">
        <f>+テーブル1[[#This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41">
        <v>55</v>
      </c>
      <c r="E4709" s="41">
        <v>45</v>
      </c>
      <c r="F4709" t="s">
        <v>19</v>
      </c>
      <c r="G4709" s="28">
        <v>45992</v>
      </c>
      <c r="H4709" s="26" t="s">
        <v>3116</v>
      </c>
      <c r="I4709" s="49">
        <v>19050</v>
      </c>
      <c r="J4709" s="61">
        <v>1</v>
      </c>
      <c r="K4709" s="61"/>
      <c r="L4709" s="63">
        <v>0</v>
      </c>
      <c r="M4709" s="61"/>
      <c r="N4709" s="64">
        <v>1</v>
      </c>
      <c r="O4709" s="136">
        <v>19050</v>
      </c>
      <c r="P4709" s="62">
        <v>1339</v>
      </c>
      <c r="Q4709" s="62" t="s">
        <v>1928</v>
      </c>
      <c r="R4709" s="25">
        <f>+テーブル1[[#This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41">
        <v>55</v>
      </c>
      <c r="E4710" s="41">
        <v>45</v>
      </c>
      <c r="F4710" t="s">
        <v>19</v>
      </c>
      <c r="G4710" s="28">
        <v>46023</v>
      </c>
      <c r="H4710" s="26" t="s">
        <v>3117</v>
      </c>
      <c r="I4710" s="49">
        <v>19050</v>
      </c>
      <c r="J4710" s="61">
        <v>1</v>
      </c>
      <c r="K4710" s="61"/>
      <c r="L4710" s="63">
        <v>0</v>
      </c>
      <c r="M4710" s="61"/>
      <c r="N4710" s="64">
        <v>1</v>
      </c>
      <c r="O4710" s="136">
        <v>19050</v>
      </c>
      <c r="P4710" s="62">
        <v>1340</v>
      </c>
      <c r="Q4710" s="62" t="s">
        <v>1928</v>
      </c>
      <c r="R4710" s="25">
        <f>+テーブル1[[#This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41">
        <v>55</v>
      </c>
      <c r="E4711" s="41">
        <v>45</v>
      </c>
      <c r="F4711" t="s">
        <v>19</v>
      </c>
      <c r="G4711" s="28">
        <v>46054</v>
      </c>
      <c r="H4711" s="26" t="s">
        <v>3118</v>
      </c>
      <c r="I4711" s="49">
        <v>19050</v>
      </c>
      <c r="J4711" s="61">
        <v>1</v>
      </c>
      <c r="K4711" s="61"/>
      <c r="L4711" s="63">
        <v>0</v>
      </c>
      <c r="M4711" s="61"/>
      <c r="N4711" s="64">
        <v>1</v>
      </c>
      <c r="O4711" s="136">
        <v>19050</v>
      </c>
      <c r="P4711" s="62">
        <v>1341</v>
      </c>
      <c r="Q4711" s="62" t="s">
        <v>1928</v>
      </c>
      <c r="R4711" s="25">
        <f>+テーブル1[[#This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41">
        <v>55</v>
      </c>
      <c r="E4712" s="41">
        <v>45</v>
      </c>
      <c r="F4712" t="s">
        <v>19</v>
      </c>
      <c r="G4712" s="28">
        <v>46082</v>
      </c>
      <c r="H4712" s="26" t="s">
        <v>3119</v>
      </c>
      <c r="I4712" s="49">
        <v>19050</v>
      </c>
      <c r="J4712" s="61">
        <v>1</v>
      </c>
      <c r="K4712" s="61"/>
      <c r="L4712" s="63">
        <v>0</v>
      </c>
      <c r="M4712" s="61"/>
      <c r="N4712" s="64">
        <v>1</v>
      </c>
      <c r="O4712" s="136">
        <v>19050</v>
      </c>
      <c r="P4712" s="62">
        <v>1342</v>
      </c>
      <c r="Q4712" s="62" t="s">
        <v>1928</v>
      </c>
      <c r="R4712" s="25">
        <f>+テーブル1[[#This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41">
        <v>55</v>
      </c>
      <c r="E4713" s="41">
        <v>45</v>
      </c>
      <c r="F4713" t="s">
        <v>19</v>
      </c>
      <c r="G4713" s="28">
        <v>46113</v>
      </c>
      <c r="H4713" s="26" t="s">
        <v>3120</v>
      </c>
      <c r="I4713" s="49">
        <v>19050</v>
      </c>
      <c r="J4713" s="61">
        <v>1</v>
      </c>
      <c r="K4713" s="61"/>
      <c r="L4713" s="63">
        <v>0</v>
      </c>
      <c r="M4713" s="61"/>
      <c r="N4713" s="64">
        <v>1</v>
      </c>
      <c r="O4713" s="136">
        <v>19050</v>
      </c>
      <c r="P4713" s="62">
        <v>1343</v>
      </c>
      <c r="Q4713" s="62" t="s">
        <v>1928</v>
      </c>
      <c r="R4713" s="25">
        <f>+テーブル1[[#This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41">
        <v>55</v>
      </c>
      <c r="E4714" s="41">
        <v>45</v>
      </c>
      <c r="F4714" t="s">
        <v>19</v>
      </c>
      <c r="G4714" s="28">
        <v>46143</v>
      </c>
      <c r="H4714" s="26" t="s">
        <v>3121</v>
      </c>
      <c r="I4714" s="49">
        <v>19050</v>
      </c>
      <c r="J4714" s="61">
        <v>1</v>
      </c>
      <c r="K4714" s="61"/>
      <c r="L4714" s="63">
        <v>0</v>
      </c>
      <c r="M4714" s="61"/>
      <c r="N4714" s="64">
        <v>1</v>
      </c>
      <c r="O4714" s="136">
        <v>19050</v>
      </c>
      <c r="P4714" s="62">
        <v>1344</v>
      </c>
      <c r="Q4714" s="62" t="s">
        <v>1928</v>
      </c>
      <c r="R4714" s="25">
        <f>+テーブル1[[#This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41">
        <v>55</v>
      </c>
      <c r="E4715" s="41">
        <v>45</v>
      </c>
      <c r="F4715" t="s">
        <v>16</v>
      </c>
      <c r="G4715" s="28">
        <v>45992</v>
      </c>
      <c r="H4715" s="26" t="s">
        <v>3122</v>
      </c>
      <c r="I4715" s="49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36">
        <v>545220</v>
      </c>
      <c r="P4715" s="62">
        <v>1345</v>
      </c>
      <c r="Q4715" s="62" t="s">
        <v>1928</v>
      </c>
      <c r="R4715" s="25">
        <f>+テーブル1[[#This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41">
        <v>55</v>
      </c>
      <c r="E4716" s="41">
        <v>45</v>
      </c>
      <c r="F4716" t="s">
        <v>16</v>
      </c>
      <c r="G4716" s="28">
        <v>45992</v>
      </c>
      <c r="H4716" s="26" t="s">
        <v>3123</v>
      </c>
      <c r="I4716" s="49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36">
        <v>1174320</v>
      </c>
      <c r="P4716" s="62">
        <v>1346</v>
      </c>
      <c r="Q4716" s="62" t="s">
        <v>1928</v>
      </c>
      <c r="R4716" s="25">
        <f>+テーブル1[[#This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41">
        <v>55</v>
      </c>
      <c r="E4717" s="41">
        <v>45</v>
      </c>
      <c r="F4717" t="s">
        <v>16</v>
      </c>
      <c r="G4717" s="28">
        <v>45992</v>
      </c>
      <c r="H4717" s="26" t="s">
        <v>3124</v>
      </c>
      <c r="I4717" s="49">
        <v>20970</v>
      </c>
      <c r="J4717" s="61">
        <v>2</v>
      </c>
      <c r="K4717" s="61"/>
      <c r="L4717" s="63">
        <v>0</v>
      </c>
      <c r="M4717" s="61"/>
      <c r="N4717" s="64">
        <v>2</v>
      </c>
      <c r="O4717" s="136">
        <v>41940</v>
      </c>
      <c r="P4717" s="62">
        <v>1347</v>
      </c>
      <c r="Q4717" s="62" t="s">
        <v>1928</v>
      </c>
      <c r="R4717" s="25">
        <f>+テーブル1[[#This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41">
        <v>80</v>
      </c>
      <c r="E4718" s="41">
        <v>20</v>
      </c>
      <c r="F4718" t="s">
        <v>18</v>
      </c>
      <c r="G4718" s="28">
        <v>45992</v>
      </c>
      <c r="H4718" s="26" t="s">
        <v>3125</v>
      </c>
      <c r="I4718" s="49">
        <v>19800</v>
      </c>
      <c r="J4718" s="61">
        <v>1</v>
      </c>
      <c r="K4718" s="61"/>
      <c r="L4718" s="63">
        <v>0</v>
      </c>
      <c r="M4718" s="61"/>
      <c r="N4718" s="64">
        <v>1</v>
      </c>
      <c r="O4718" s="136">
        <v>19800</v>
      </c>
      <c r="P4718" s="62">
        <v>1348</v>
      </c>
      <c r="Q4718" s="62" t="s">
        <v>1928</v>
      </c>
      <c r="R4718" s="25">
        <f>+テーブル1[[#This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41">
        <v>80</v>
      </c>
      <c r="E4719" s="41">
        <v>20</v>
      </c>
      <c r="F4719" t="s">
        <v>18</v>
      </c>
      <c r="G4719" s="28">
        <v>46023</v>
      </c>
      <c r="H4719" s="26" t="s">
        <v>3126</v>
      </c>
      <c r="I4719" s="49">
        <v>19800</v>
      </c>
      <c r="J4719" s="61">
        <v>1</v>
      </c>
      <c r="K4719" s="61"/>
      <c r="L4719" s="63">
        <v>0</v>
      </c>
      <c r="M4719" s="61"/>
      <c r="N4719" s="64">
        <v>1</v>
      </c>
      <c r="O4719" s="136">
        <v>19800</v>
      </c>
      <c r="P4719" s="62">
        <v>1349</v>
      </c>
      <c r="Q4719" s="62" t="s">
        <v>1928</v>
      </c>
      <c r="R4719" s="25">
        <f>+テーブル1[[#This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41">
        <v>80</v>
      </c>
      <c r="E4720" s="41">
        <v>20</v>
      </c>
      <c r="F4720" t="s">
        <v>18</v>
      </c>
      <c r="G4720" s="28">
        <v>46054</v>
      </c>
      <c r="H4720" s="26" t="s">
        <v>3127</v>
      </c>
      <c r="I4720" s="49">
        <v>19800</v>
      </c>
      <c r="J4720" s="61">
        <v>1</v>
      </c>
      <c r="K4720" s="61"/>
      <c r="L4720" s="63">
        <v>0</v>
      </c>
      <c r="M4720" s="61"/>
      <c r="N4720" s="64">
        <v>1</v>
      </c>
      <c r="O4720" s="136">
        <v>19800</v>
      </c>
      <c r="P4720" s="62">
        <v>1350</v>
      </c>
      <c r="Q4720" s="62" t="s">
        <v>1928</v>
      </c>
      <c r="R4720" s="25">
        <f>+テーブル1[[#This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41">
        <v>50</v>
      </c>
      <c r="E4721" s="41">
        <v>50</v>
      </c>
      <c r="F4721" t="s">
        <v>16</v>
      </c>
      <c r="G4721" s="28">
        <v>45992</v>
      </c>
      <c r="H4721" s="26" t="s">
        <v>3128</v>
      </c>
      <c r="I4721" s="49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36">
        <v>53550</v>
      </c>
      <c r="P4721" s="62">
        <v>1351</v>
      </c>
      <c r="Q4721" s="62" t="s">
        <v>1928</v>
      </c>
      <c r="R4721" s="25">
        <f>+テーブル1[[#This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41">
        <v>100</v>
      </c>
      <c r="E4722" s="41">
        <v>100</v>
      </c>
      <c r="F4722" t="s">
        <v>17</v>
      </c>
      <c r="G4722" s="28">
        <v>45962</v>
      </c>
      <c r="H4722" s="26" t="s">
        <v>1930</v>
      </c>
      <c r="I4722" s="49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36">
        <v>359700</v>
      </c>
      <c r="P4722" s="62">
        <v>1352</v>
      </c>
      <c r="Q4722" s="62" t="s">
        <v>1935</v>
      </c>
      <c r="R4722" s="25">
        <f>+テーブル1[[#This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41">
        <v>50</v>
      </c>
      <c r="E4723" s="41">
        <v>50</v>
      </c>
      <c r="F4723" t="s">
        <v>18</v>
      </c>
      <c r="G4723" s="28">
        <v>45992</v>
      </c>
      <c r="H4723" s="26" t="s">
        <v>3129</v>
      </c>
      <c r="I4723" s="49">
        <v>14500</v>
      </c>
      <c r="J4723" s="61">
        <v>1</v>
      </c>
      <c r="K4723" s="61"/>
      <c r="L4723" s="63">
        <v>0</v>
      </c>
      <c r="M4723" s="61"/>
      <c r="N4723" s="64">
        <v>1</v>
      </c>
      <c r="O4723" s="136">
        <v>14500</v>
      </c>
      <c r="P4723" s="62">
        <v>1353</v>
      </c>
      <c r="Q4723" s="62" t="s">
        <v>1928</v>
      </c>
      <c r="R4723" s="25">
        <f>+テーブル1[[#This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41">
        <v>50</v>
      </c>
      <c r="E4724" s="41">
        <v>50</v>
      </c>
      <c r="F4724" t="s">
        <v>18</v>
      </c>
      <c r="G4724" s="28">
        <v>46023</v>
      </c>
      <c r="H4724" s="26" t="s">
        <v>3130</v>
      </c>
      <c r="I4724" s="49">
        <v>14500</v>
      </c>
      <c r="J4724" s="61">
        <v>1</v>
      </c>
      <c r="K4724" s="61"/>
      <c r="L4724" s="63">
        <v>0</v>
      </c>
      <c r="M4724" s="61"/>
      <c r="N4724" s="64">
        <v>1</v>
      </c>
      <c r="O4724" s="136">
        <v>14500</v>
      </c>
      <c r="P4724" s="62">
        <v>1354</v>
      </c>
      <c r="Q4724" s="62" t="s">
        <v>1928</v>
      </c>
      <c r="R4724" s="25">
        <f>+テーブル1[[#This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41">
        <v>50</v>
      </c>
      <c r="E4725" s="41">
        <v>50</v>
      </c>
      <c r="F4725" t="s">
        <v>18</v>
      </c>
      <c r="G4725" s="28">
        <v>46054</v>
      </c>
      <c r="H4725" s="26" t="s">
        <v>3131</v>
      </c>
      <c r="I4725" s="49">
        <v>14500</v>
      </c>
      <c r="J4725" s="61">
        <v>1</v>
      </c>
      <c r="K4725" s="61"/>
      <c r="L4725" s="63">
        <v>0</v>
      </c>
      <c r="M4725" s="61"/>
      <c r="N4725" s="64">
        <v>1</v>
      </c>
      <c r="O4725" s="136">
        <v>14500</v>
      </c>
      <c r="P4725" s="62">
        <v>1355</v>
      </c>
      <c r="Q4725" s="62" t="s">
        <v>1928</v>
      </c>
      <c r="R4725" s="25">
        <f>+テーブル1[[#This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41">
        <v>55</v>
      </c>
      <c r="E4726" s="41">
        <v>45</v>
      </c>
      <c r="F4726" t="s">
        <v>19</v>
      </c>
      <c r="G4726" s="28">
        <v>45962</v>
      </c>
      <c r="H4726" s="26" t="s">
        <v>3132</v>
      </c>
      <c r="I4726" s="49">
        <v>19050</v>
      </c>
      <c r="J4726" s="61">
        <v>1</v>
      </c>
      <c r="K4726" s="61"/>
      <c r="L4726" s="63">
        <v>0</v>
      </c>
      <c r="M4726" s="61"/>
      <c r="N4726" s="64">
        <v>1</v>
      </c>
      <c r="O4726" s="136">
        <v>19050</v>
      </c>
      <c r="P4726" s="62">
        <v>1356</v>
      </c>
      <c r="Q4726" s="62" t="s">
        <v>1935</v>
      </c>
      <c r="R4726" s="25">
        <f>+テーブル1[[#This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41">
        <v>55</v>
      </c>
      <c r="E4727" s="41">
        <v>45</v>
      </c>
      <c r="F4727" t="s">
        <v>19</v>
      </c>
      <c r="G4727" s="28">
        <v>45992</v>
      </c>
      <c r="H4727" s="26" t="s">
        <v>3133</v>
      </c>
      <c r="I4727" s="49">
        <v>19050</v>
      </c>
      <c r="J4727" s="61">
        <v>1</v>
      </c>
      <c r="K4727" s="61"/>
      <c r="L4727" s="63">
        <v>0</v>
      </c>
      <c r="M4727" s="61"/>
      <c r="N4727" s="64">
        <v>1</v>
      </c>
      <c r="O4727" s="136">
        <v>19050</v>
      </c>
      <c r="P4727" s="62">
        <v>1357</v>
      </c>
      <c r="Q4727" s="62" t="s">
        <v>1928</v>
      </c>
      <c r="R4727" s="25">
        <f>+テーブル1[[#This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41">
        <v>55</v>
      </c>
      <c r="E4728" s="41">
        <v>45</v>
      </c>
      <c r="F4728" t="s">
        <v>19</v>
      </c>
      <c r="G4728" s="28">
        <v>46023</v>
      </c>
      <c r="H4728" s="26" t="s">
        <v>3134</v>
      </c>
      <c r="I4728" s="49">
        <v>19050</v>
      </c>
      <c r="J4728" s="61">
        <v>1</v>
      </c>
      <c r="K4728" s="61"/>
      <c r="L4728" s="63">
        <v>0</v>
      </c>
      <c r="M4728" s="61"/>
      <c r="N4728" s="64">
        <v>1</v>
      </c>
      <c r="O4728" s="136">
        <v>19050</v>
      </c>
      <c r="P4728" s="62">
        <v>1358</v>
      </c>
      <c r="Q4728" s="62" t="s">
        <v>1928</v>
      </c>
      <c r="R4728" s="25">
        <f>+テーブル1[[#This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41">
        <v>55</v>
      </c>
      <c r="E4729" s="41">
        <v>45</v>
      </c>
      <c r="F4729" t="s">
        <v>19</v>
      </c>
      <c r="G4729" s="28">
        <v>46054</v>
      </c>
      <c r="H4729" s="26" t="s">
        <v>3135</v>
      </c>
      <c r="I4729" s="49">
        <v>19050</v>
      </c>
      <c r="J4729" s="61">
        <v>1</v>
      </c>
      <c r="K4729" s="61"/>
      <c r="L4729" s="63">
        <v>0</v>
      </c>
      <c r="M4729" s="61"/>
      <c r="N4729" s="64">
        <v>1</v>
      </c>
      <c r="O4729" s="136">
        <v>19050</v>
      </c>
      <c r="P4729" s="62">
        <v>1359</v>
      </c>
      <c r="Q4729" s="62" t="s">
        <v>1928</v>
      </c>
      <c r="R4729" s="25">
        <f>+テーブル1[[#This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41">
        <v>55</v>
      </c>
      <c r="E4730" s="41">
        <v>45</v>
      </c>
      <c r="F4730" t="s">
        <v>19</v>
      </c>
      <c r="G4730" s="28">
        <v>46082</v>
      </c>
      <c r="H4730" s="26" t="s">
        <v>3136</v>
      </c>
      <c r="I4730" s="49">
        <v>19050</v>
      </c>
      <c r="J4730" s="61">
        <v>1</v>
      </c>
      <c r="K4730" s="61"/>
      <c r="L4730" s="63">
        <v>0</v>
      </c>
      <c r="M4730" s="61"/>
      <c r="N4730" s="64">
        <v>1</v>
      </c>
      <c r="O4730" s="136">
        <v>19050</v>
      </c>
      <c r="P4730" s="62">
        <v>1360</v>
      </c>
      <c r="Q4730" s="62" t="s">
        <v>1928</v>
      </c>
      <c r="R4730" s="25">
        <f>+テーブル1[[#This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41">
        <v>55</v>
      </c>
      <c r="E4731" s="41">
        <v>45</v>
      </c>
      <c r="F4731" t="s">
        <v>19</v>
      </c>
      <c r="G4731" s="28">
        <v>46113</v>
      </c>
      <c r="H4731" s="26" t="s">
        <v>3137</v>
      </c>
      <c r="I4731" s="49">
        <v>19050</v>
      </c>
      <c r="J4731" s="61">
        <v>1</v>
      </c>
      <c r="K4731" s="61"/>
      <c r="L4731" s="63">
        <v>0</v>
      </c>
      <c r="M4731" s="61"/>
      <c r="N4731" s="64">
        <v>1</v>
      </c>
      <c r="O4731" s="136">
        <v>19050</v>
      </c>
      <c r="P4731" s="62">
        <v>1361</v>
      </c>
      <c r="Q4731" s="62" t="s">
        <v>1928</v>
      </c>
      <c r="R4731" s="25">
        <f>+テーブル1[[#This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41">
        <v>60</v>
      </c>
      <c r="E4732" s="41">
        <v>40</v>
      </c>
      <c r="F4732" t="s">
        <v>16</v>
      </c>
      <c r="G4732" s="28">
        <v>45992</v>
      </c>
      <c r="H4732" s="26" t="s">
        <v>3138</v>
      </c>
      <c r="I4732" s="49">
        <v>10780</v>
      </c>
      <c r="J4732" s="61">
        <v>4</v>
      </c>
      <c r="K4732" s="61"/>
      <c r="L4732" s="63">
        <v>0</v>
      </c>
      <c r="M4732" s="61"/>
      <c r="N4732" s="64">
        <v>4</v>
      </c>
      <c r="O4732" s="136">
        <v>43120</v>
      </c>
      <c r="P4732" s="62">
        <v>1362</v>
      </c>
      <c r="Q4732" s="62" t="s">
        <v>1928</v>
      </c>
      <c r="R4732" s="25">
        <f>+テーブル1[[#This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41">
        <v>40</v>
      </c>
      <c r="E4733" s="41">
        <v>60</v>
      </c>
      <c r="F4733" t="s">
        <v>16</v>
      </c>
      <c r="G4733" s="28">
        <v>45992</v>
      </c>
      <c r="H4733" s="26" t="s">
        <v>3139</v>
      </c>
      <c r="I4733" s="49">
        <v>16500</v>
      </c>
      <c r="J4733" s="61">
        <v>3</v>
      </c>
      <c r="K4733" s="61"/>
      <c r="L4733" s="63">
        <v>0</v>
      </c>
      <c r="M4733" s="61"/>
      <c r="N4733" s="64">
        <v>3</v>
      </c>
      <c r="O4733" s="136">
        <v>49500</v>
      </c>
      <c r="P4733" s="62">
        <v>1363</v>
      </c>
      <c r="Q4733" s="62" t="s">
        <v>1928</v>
      </c>
      <c r="R4733" s="25">
        <f>+テーブル1[[#This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41">
        <v>60</v>
      </c>
      <c r="E4734" s="41">
        <v>40</v>
      </c>
      <c r="F4734" t="s">
        <v>16</v>
      </c>
      <c r="G4734" s="28">
        <v>45992</v>
      </c>
      <c r="H4734" s="26" t="s">
        <v>3140</v>
      </c>
      <c r="I4734" s="49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36">
        <v>10780</v>
      </c>
      <c r="P4734" s="62">
        <v>92</v>
      </c>
      <c r="Q4734" s="62" t="s">
        <v>1928</v>
      </c>
      <c r="R4734" s="25">
        <f>+テーブル1[[#This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41">
        <v>50</v>
      </c>
      <c r="E4735" s="41">
        <v>50</v>
      </c>
      <c r="F4735" t="s">
        <v>16</v>
      </c>
      <c r="G4735" s="28">
        <v>45992</v>
      </c>
      <c r="H4735" s="26" t="s">
        <v>3103</v>
      </c>
      <c r="I4735" s="49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36">
        <v>118800</v>
      </c>
      <c r="P4735" s="62">
        <v>93</v>
      </c>
      <c r="Q4735" s="62" t="s">
        <v>1928</v>
      </c>
      <c r="R4735" s="25">
        <f>+テーブル1[[#This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41">
        <v>50</v>
      </c>
      <c r="E4736" s="41">
        <v>50</v>
      </c>
      <c r="F4736" t="s">
        <v>16</v>
      </c>
      <c r="G4736" s="28">
        <v>45992</v>
      </c>
      <c r="H4736" s="26" t="s">
        <v>3103</v>
      </c>
      <c r="I4736" s="49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36">
        <v>145000</v>
      </c>
      <c r="P4736" s="62">
        <v>94</v>
      </c>
      <c r="Q4736" s="62" t="s">
        <v>1928</v>
      </c>
      <c r="R4736" s="25">
        <f>+テーブル1[[#This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41">
        <v>50</v>
      </c>
      <c r="E4737" s="41">
        <v>50</v>
      </c>
      <c r="F4737" t="s">
        <v>16</v>
      </c>
      <c r="G4737" s="28">
        <v>45992</v>
      </c>
      <c r="H4737" s="26" t="s">
        <v>3128</v>
      </c>
      <c r="I4737" s="49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36">
        <v>59850</v>
      </c>
      <c r="P4737" s="62">
        <v>95</v>
      </c>
      <c r="Q4737" s="62" t="s">
        <v>1928</v>
      </c>
      <c r="R4737" s="25">
        <f>+テーブル1[[#This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41">
        <v>50</v>
      </c>
      <c r="E4738" s="41">
        <v>50</v>
      </c>
      <c r="F4738" t="s">
        <v>16</v>
      </c>
      <c r="G4738" s="28">
        <v>45992</v>
      </c>
      <c r="H4738" s="26" t="s">
        <v>3128</v>
      </c>
      <c r="I4738" s="49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36">
        <v>14940</v>
      </c>
      <c r="P4738" s="62">
        <v>96</v>
      </c>
      <c r="Q4738" s="62" t="s">
        <v>1928</v>
      </c>
      <c r="R4738" s="25">
        <f>+テーブル1[[#This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41">
        <v>40</v>
      </c>
      <c r="E4739" s="41">
        <v>60</v>
      </c>
      <c r="F4739" t="s">
        <v>16</v>
      </c>
      <c r="G4739" s="28">
        <v>45992</v>
      </c>
      <c r="H4739" s="26" t="s">
        <v>3139</v>
      </c>
      <c r="I4739" s="49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36">
        <v>33000</v>
      </c>
      <c r="P4739" s="62">
        <v>97</v>
      </c>
      <c r="Q4739" s="62" t="s">
        <v>1928</v>
      </c>
      <c r="R4739" s="25">
        <f>+テーブル1[[#This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41">
        <v>50</v>
      </c>
      <c r="E4740" s="41">
        <v>50</v>
      </c>
      <c r="F4740" t="s">
        <v>16</v>
      </c>
      <c r="G4740" s="28">
        <v>45992</v>
      </c>
      <c r="H4740" s="26" t="s">
        <v>3141</v>
      </c>
      <c r="I4740" s="49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36">
        <v>19600</v>
      </c>
      <c r="P4740" s="62">
        <v>98</v>
      </c>
      <c r="Q4740" s="62" t="s">
        <v>1928</v>
      </c>
      <c r="R4740" s="25">
        <f>+テーブル1[[#This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41">
        <v>100</v>
      </c>
      <c r="E4741" s="41">
        <v>100</v>
      </c>
      <c r="G4741" s="28">
        <v>45962</v>
      </c>
      <c r="H4741" s="26" t="s">
        <v>2078</v>
      </c>
      <c r="I4741" s="49">
        <v>188000</v>
      </c>
      <c r="J4741" s="61">
        <v>1</v>
      </c>
      <c r="K4741" s="61"/>
      <c r="L4741" s="63"/>
      <c r="M4741" s="61"/>
      <c r="N4741" s="64">
        <v>1</v>
      </c>
      <c r="O4741" s="136">
        <v>188000</v>
      </c>
      <c r="P4741" s="62">
        <v>114</v>
      </c>
      <c r="Q4741" s="62" t="s">
        <v>1935</v>
      </c>
      <c r="R4741" s="25">
        <f>+テーブル1[[#This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41">
        <v>100</v>
      </c>
      <c r="E4742" s="41">
        <v>100</v>
      </c>
      <c r="G4742" s="28">
        <v>45962</v>
      </c>
      <c r="H4742" s="26" t="s">
        <v>2078</v>
      </c>
      <c r="I4742" s="49">
        <v>217800</v>
      </c>
      <c r="J4742" s="61">
        <v>2</v>
      </c>
      <c r="K4742" s="61"/>
      <c r="L4742" s="63"/>
      <c r="M4742" s="61"/>
      <c r="N4742" s="64">
        <v>2</v>
      </c>
      <c r="O4742" s="136">
        <v>435600</v>
      </c>
      <c r="P4742" s="62">
        <v>115</v>
      </c>
      <c r="Q4742" s="62" t="s">
        <v>1935</v>
      </c>
      <c r="R4742" s="25">
        <f>+テーブル1[[#This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41">
        <v>60</v>
      </c>
      <c r="E4743" s="41">
        <v>40</v>
      </c>
      <c r="G4743" s="28">
        <v>45962</v>
      </c>
      <c r="H4743" s="26" t="s">
        <v>3142</v>
      </c>
      <c r="I4743" s="49">
        <v>349200</v>
      </c>
      <c r="J4743" s="61">
        <v>2</v>
      </c>
      <c r="K4743" s="61"/>
      <c r="L4743" s="63"/>
      <c r="M4743" s="61"/>
      <c r="N4743" s="64">
        <v>2</v>
      </c>
      <c r="O4743" s="136">
        <v>698400</v>
      </c>
      <c r="P4743" s="62">
        <v>116</v>
      </c>
      <c r="Q4743" s="62" t="s">
        <v>1935</v>
      </c>
      <c r="R4743" s="25">
        <f>+テーブル1[[#This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41">
        <v>60</v>
      </c>
      <c r="E4744" s="41">
        <v>40</v>
      </c>
      <c r="G4744" s="28">
        <v>45962</v>
      </c>
      <c r="H4744" s="26" t="s">
        <v>3143</v>
      </c>
      <c r="I4744" s="49">
        <v>198000</v>
      </c>
      <c r="J4744" s="61">
        <v>1</v>
      </c>
      <c r="K4744" s="61"/>
      <c r="L4744" s="63"/>
      <c r="M4744" s="61"/>
      <c r="N4744" s="64">
        <v>1</v>
      </c>
      <c r="O4744" s="136">
        <v>198000</v>
      </c>
      <c r="P4744" s="62">
        <v>117</v>
      </c>
      <c r="Q4744" s="62" t="s">
        <v>1935</v>
      </c>
      <c r="R4744" s="25">
        <f>+テーブル1[[#This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41">
        <v>60</v>
      </c>
      <c r="E4745" s="41">
        <v>40</v>
      </c>
      <c r="G4745" s="28">
        <v>45962</v>
      </c>
      <c r="H4745" s="26" t="s">
        <v>3144</v>
      </c>
      <c r="I4745" s="49">
        <v>98000</v>
      </c>
      <c r="J4745" s="61">
        <v>1</v>
      </c>
      <c r="K4745" s="61"/>
      <c r="L4745" s="63"/>
      <c r="M4745" s="61"/>
      <c r="N4745" s="64">
        <v>1</v>
      </c>
      <c r="O4745" s="136">
        <v>98000</v>
      </c>
      <c r="P4745" s="62">
        <v>118</v>
      </c>
      <c r="Q4745" s="62" t="s">
        <v>1935</v>
      </c>
      <c r="R4745" s="25">
        <f>+テーブル1[[#This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41">
        <v>60</v>
      </c>
      <c r="E4746" s="41">
        <v>40</v>
      </c>
      <c r="G4746" s="28">
        <v>45962</v>
      </c>
      <c r="H4746" s="26" t="s">
        <v>3144</v>
      </c>
      <c r="I4746" s="49">
        <v>100000</v>
      </c>
      <c r="J4746" s="61">
        <v>1</v>
      </c>
      <c r="K4746" s="61"/>
      <c r="L4746" s="63"/>
      <c r="M4746" s="61"/>
      <c r="N4746" s="64">
        <v>1</v>
      </c>
      <c r="O4746" s="136">
        <v>100000</v>
      </c>
      <c r="P4746" s="62">
        <v>119</v>
      </c>
      <c r="Q4746" s="62" t="s">
        <v>1935</v>
      </c>
      <c r="R4746" s="25">
        <f>+テーブル1[[#This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41">
        <v>40</v>
      </c>
      <c r="E4747" s="41">
        <v>60</v>
      </c>
      <c r="G4747" s="28">
        <v>45962</v>
      </c>
      <c r="H4747" s="26" t="s">
        <v>3065</v>
      </c>
      <c r="I4747" s="49">
        <v>3000</v>
      </c>
      <c r="J4747" s="61">
        <v>4</v>
      </c>
      <c r="K4747" s="61"/>
      <c r="L4747" s="63"/>
      <c r="M4747" s="61"/>
      <c r="N4747" s="64">
        <v>4</v>
      </c>
      <c r="O4747" s="136">
        <v>12000</v>
      </c>
      <c r="P4747" s="62">
        <v>120</v>
      </c>
      <c r="Q4747" s="62" t="s">
        <v>1935</v>
      </c>
      <c r="R4747" s="25">
        <f>+テーブル1[[#This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41">
        <v>40</v>
      </c>
      <c r="E4748" s="41">
        <v>60</v>
      </c>
      <c r="G4748" s="28">
        <v>45978</v>
      </c>
      <c r="H4748" s="26" t="s">
        <v>3065</v>
      </c>
      <c r="I4748" s="49">
        <v>-2615</v>
      </c>
      <c r="J4748" s="61">
        <v>1</v>
      </c>
      <c r="K4748" s="61"/>
      <c r="L4748" s="63"/>
      <c r="M4748" s="61"/>
      <c r="N4748" s="64">
        <v>1</v>
      </c>
      <c r="O4748" s="136">
        <v>-2615</v>
      </c>
      <c r="P4748" s="62">
        <v>145</v>
      </c>
      <c r="Q4748" s="62" t="s">
        <v>1935</v>
      </c>
      <c r="R4748" s="25">
        <f>+テーブル1[[#This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41">
        <v>0</v>
      </c>
      <c r="E4749" s="41">
        <v>100</v>
      </c>
      <c r="G4749" s="28">
        <v>45978</v>
      </c>
      <c r="H4749" s="26"/>
      <c r="I4749" s="49">
        <v>-385</v>
      </c>
      <c r="J4749" s="61">
        <v>1</v>
      </c>
      <c r="K4749" s="61"/>
      <c r="L4749" s="63"/>
      <c r="M4749" s="61"/>
      <c r="N4749" s="64">
        <v>1</v>
      </c>
      <c r="O4749" s="136">
        <v>-385</v>
      </c>
      <c r="P4749" s="62">
        <v>146</v>
      </c>
      <c r="Q4749" s="62" t="s">
        <v>1935</v>
      </c>
      <c r="R4749" s="25">
        <f>+テーブル1[[#This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41">
        <v>10</v>
      </c>
      <c r="E4750" s="41">
        <v>90</v>
      </c>
      <c r="G4750" s="28">
        <v>45982</v>
      </c>
      <c r="H4750" s="26" t="s">
        <v>2216</v>
      </c>
      <c r="I4750" s="49">
        <v>-29315</v>
      </c>
      <c r="J4750" s="61">
        <v>1</v>
      </c>
      <c r="K4750" s="61"/>
      <c r="L4750" s="63"/>
      <c r="M4750" s="61"/>
      <c r="N4750" s="64">
        <v>1</v>
      </c>
      <c r="O4750" s="136">
        <v>-29315</v>
      </c>
      <c r="P4750" s="62">
        <v>147</v>
      </c>
      <c r="Q4750" s="62" t="s">
        <v>1935</v>
      </c>
      <c r="R4750" s="25">
        <f>+テーブル1[[#This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41">
        <v>0</v>
      </c>
      <c r="E4751" s="41">
        <v>100</v>
      </c>
      <c r="G4751" s="28">
        <v>45982</v>
      </c>
      <c r="H4751" s="26"/>
      <c r="I4751" s="49">
        <v>-385</v>
      </c>
      <c r="J4751" s="61">
        <v>1</v>
      </c>
      <c r="K4751" s="61"/>
      <c r="L4751" s="63"/>
      <c r="M4751" s="61"/>
      <c r="N4751" s="64">
        <v>1</v>
      </c>
      <c r="O4751" s="136">
        <v>-385</v>
      </c>
      <c r="P4751" s="62">
        <v>148</v>
      </c>
      <c r="Q4751" s="62" t="s">
        <v>1935</v>
      </c>
      <c r="R4751" s="25">
        <f>+テーブル1[[#This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41">
        <v>100</v>
      </c>
      <c r="E4752" s="41">
        <v>100</v>
      </c>
      <c r="F4752" t="s">
        <v>19</v>
      </c>
      <c r="G4752" s="28">
        <v>45992</v>
      </c>
      <c r="H4752" s="26" t="s">
        <v>3146</v>
      </c>
      <c r="I4752" s="49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36">
        <v>2850</v>
      </c>
      <c r="P4752" s="62">
        <v>313</v>
      </c>
      <c r="Q4752" s="62" t="s">
        <v>1928</v>
      </c>
      <c r="R4752" s="25">
        <f>+テーブル1[[#This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41">
        <v>100</v>
      </c>
      <c r="E4753" s="41">
        <v>100</v>
      </c>
      <c r="F4753" t="s">
        <v>19</v>
      </c>
      <c r="G4753" s="28">
        <v>46023</v>
      </c>
      <c r="H4753" s="26" t="s">
        <v>3147</v>
      </c>
      <c r="I4753" s="49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36">
        <v>2850</v>
      </c>
      <c r="P4753" s="62">
        <v>314</v>
      </c>
      <c r="Q4753" s="62" t="s">
        <v>1928</v>
      </c>
      <c r="R4753" s="25">
        <f>+テーブル1[[#This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41">
        <v>100</v>
      </c>
      <c r="E4754" s="41">
        <v>100</v>
      </c>
      <c r="F4754" t="s">
        <v>19</v>
      </c>
      <c r="G4754" s="28">
        <v>46054</v>
      </c>
      <c r="H4754" s="26" t="s">
        <v>3148</v>
      </c>
      <c r="I4754" s="49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36">
        <v>2850</v>
      </c>
      <c r="P4754" s="62">
        <v>315</v>
      </c>
      <c r="Q4754" s="62" t="s">
        <v>1928</v>
      </c>
      <c r="R4754" s="25">
        <f>+テーブル1[[#This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41">
        <v>100</v>
      </c>
      <c r="E4755" s="41">
        <v>100</v>
      </c>
      <c r="F4755" t="s">
        <v>19</v>
      </c>
      <c r="G4755" s="28">
        <v>46082</v>
      </c>
      <c r="H4755" s="26" t="s">
        <v>3149</v>
      </c>
      <c r="I4755" s="49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36">
        <v>2850</v>
      </c>
      <c r="P4755" s="62">
        <v>316</v>
      </c>
      <c r="Q4755" s="62" t="s">
        <v>1928</v>
      </c>
      <c r="R4755" s="25">
        <f>+テーブル1[[#This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41">
        <v>100</v>
      </c>
      <c r="E4756" s="41">
        <v>100</v>
      </c>
      <c r="F4756" t="s">
        <v>19</v>
      </c>
      <c r="G4756" s="28">
        <v>46113</v>
      </c>
      <c r="H4756" s="26" t="s">
        <v>3150</v>
      </c>
      <c r="I4756" s="49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36">
        <v>2850</v>
      </c>
      <c r="P4756" s="62">
        <v>317</v>
      </c>
      <c r="Q4756" s="62" t="s">
        <v>1928</v>
      </c>
      <c r="R4756" s="25">
        <f>+テーブル1[[#This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41">
        <v>100</v>
      </c>
      <c r="E4757" s="41">
        <v>100</v>
      </c>
      <c r="F4757" t="s">
        <v>19</v>
      </c>
      <c r="G4757" s="28">
        <v>46143</v>
      </c>
      <c r="H4757" s="26" t="s">
        <v>3151</v>
      </c>
      <c r="I4757" s="49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36">
        <v>2850</v>
      </c>
      <c r="P4757" s="62">
        <v>318</v>
      </c>
      <c r="Q4757" s="62" t="s">
        <v>1928</v>
      </c>
      <c r="R4757" s="25">
        <f>+テーブル1[[#This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41">
        <v>100</v>
      </c>
      <c r="E4758" s="41">
        <v>100</v>
      </c>
      <c r="F4758" t="s">
        <v>16</v>
      </c>
      <c r="G4758" s="28">
        <v>45992</v>
      </c>
      <c r="H4758" s="26" t="s">
        <v>3099</v>
      </c>
      <c r="I4758" s="49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36">
        <v>18000</v>
      </c>
      <c r="P4758" s="62">
        <v>319</v>
      </c>
      <c r="Q4758" s="62" t="s">
        <v>1928</v>
      </c>
      <c r="R4758" s="25">
        <f>+テーブル1[[#This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41">
        <v>100</v>
      </c>
      <c r="E4759" s="41">
        <v>100</v>
      </c>
      <c r="F4759" t="s">
        <v>16</v>
      </c>
      <c r="G4759" s="28">
        <v>45992</v>
      </c>
      <c r="H4759" s="26" t="s">
        <v>3152</v>
      </c>
      <c r="I4759" s="49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36">
        <v>3000</v>
      </c>
      <c r="P4759" s="62">
        <v>320</v>
      </c>
      <c r="Q4759" s="62" t="s">
        <v>1928</v>
      </c>
      <c r="R4759" s="25">
        <f>+テーブル1[[#This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41">
        <v>100</v>
      </c>
      <c r="E4760" s="41">
        <v>100</v>
      </c>
      <c r="F4760" t="s">
        <v>16</v>
      </c>
      <c r="G4760" s="28">
        <v>45992</v>
      </c>
      <c r="H4760" s="26" t="s">
        <v>3153</v>
      </c>
      <c r="I4760" s="49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36">
        <v>6300</v>
      </c>
      <c r="P4760" s="62">
        <v>321</v>
      </c>
      <c r="Q4760" s="62" t="s">
        <v>1928</v>
      </c>
      <c r="R4760" s="25">
        <f>+テーブル1[[#This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41">
        <v>100</v>
      </c>
      <c r="E4761" s="41">
        <v>100</v>
      </c>
      <c r="F4761" t="s">
        <v>20</v>
      </c>
      <c r="G4761" s="28">
        <v>45962</v>
      </c>
      <c r="H4761" s="26" t="s">
        <v>2400</v>
      </c>
      <c r="I4761" s="49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36">
        <v>376000</v>
      </c>
      <c r="P4761" s="62">
        <v>322</v>
      </c>
      <c r="Q4761" s="62" t="s">
        <v>1935</v>
      </c>
      <c r="R4761" s="25">
        <f>+テーブル1[[#This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41">
        <v>100</v>
      </c>
      <c r="E4762" s="41">
        <v>100</v>
      </c>
      <c r="F4762" t="s">
        <v>20</v>
      </c>
      <c r="G4762" s="28">
        <v>45962</v>
      </c>
      <c r="H4762" s="26" t="s">
        <v>2078</v>
      </c>
      <c r="I4762" s="49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36">
        <v>435600</v>
      </c>
      <c r="P4762" s="62">
        <v>323</v>
      </c>
      <c r="Q4762" s="62" t="s">
        <v>1935</v>
      </c>
      <c r="R4762" s="25">
        <f>+テーブル1[[#This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41">
        <v>60</v>
      </c>
      <c r="E4763" s="41">
        <v>40</v>
      </c>
      <c r="F4763" t="s">
        <v>17</v>
      </c>
      <c r="G4763" s="28">
        <v>45962</v>
      </c>
      <c r="H4763" s="26" t="s">
        <v>3154</v>
      </c>
      <c r="I4763" s="49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36">
        <v>349200</v>
      </c>
      <c r="P4763" s="62">
        <v>324</v>
      </c>
      <c r="Q4763" s="62" t="s">
        <v>1935</v>
      </c>
      <c r="R4763" s="25">
        <f>+テーブル1[[#This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41">
        <v>60</v>
      </c>
      <c r="E4764" s="41">
        <v>40</v>
      </c>
      <c r="F4764" t="s">
        <v>17</v>
      </c>
      <c r="G4764" s="28">
        <v>45962</v>
      </c>
      <c r="H4764" s="26" t="s">
        <v>3142</v>
      </c>
      <c r="I4764" s="49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36">
        <v>1746000</v>
      </c>
      <c r="P4764" s="62">
        <v>325</v>
      </c>
      <c r="Q4764" s="62" t="s">
        <v>1935</v>
      </c>
      <c r="R4764" s="25">
        <f>+テーブル1[[#This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41">
        <v>60</v>
      </c>
      <c r="E4765" s="41">
        <v>40</v>
      </c>
      <c r="F4765" t="s">
        <v>17</v>
      </c>
      <c r="G4765" s="28">
        <v>45962</v>
      </c>
      <c r="H4765" s="26" t="s">
        <v>3155</v>
      </c>
      <c r="I4765" s="49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36">
        <v>698400</v>
      </c>
      <c r="P4765" s="62">
        <v>326</v>
      </c>
      <c r="Q4765" s="62" t="s">
        <v>1935</v>
      </c>
      <c r="R4765" s="25">
        <f>+テーブル1[[#This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41">
        <v>60</v>
      </c>
      <c r="E4766" s="41">
        <v>40</v>
      </c>
      <c r="F4766" t="s">
        <v>18</v>
      </c>
      <c r="G4766" s="28">
        <v>45962</v>
      </c>
      <c r="H4766" s="26" t="s">
        <v>3156</v>
      </c>
      <c r="I4766" s="49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36">
        <v>118800</v>
      </c>
      <c r="P4766" s="62">
        <v>327</v>
      </c>
      <c r="Q4766" s="62" t="s">
        <v>1935</v>
      </c>
      <c r="R4766" s="25">
        <f>+テーブル1[[#This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41">
        <v>60</v>
      </c>
      <c r="E4767" s="41">
        <v>40</v>
      </c>
      <c r="F4767" t="s">
        <v>16</v>
      </c>
      <c r="G4767" s="28">
        <v>45992</v>
      </c>
      <c r="H4767" s="26" t="s">
        <v>3157</v>
      </c>
      <c r="I4767" s="49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36">
        <v>10780</v>
      </c>
      <c r="P4767" s="62">
        <v>328</v>
      </c>
      <c r="Q4767" s="62" t="s">
        <v>1928</v>
      </c>
      <c r="R4767" s="25">
        <f>+テーブル1[[#This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41">
        <v>60</v>
      </c>
      <c r="E4768" s="41">
        <v>40</v>
      </c>
      <c r="F4768" t="s">
        <v>16</v>
      </c>
      <c r="G4768" s="28">
        <v>45962</v>
      </c>
      <c r="H4768" s="26" t="s">
        <v>3077</v>
      </c>
      <c r="I4768" s="49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36">
        <v>10780</v>
      </c>
      <c r="P4768" s="62">
        <v>329</v>
      </c>
      <c r="Q4768" s="62" t="s">
        <v>1935</v>
      </c>
      <c r="R4768" s="25">
        <f>+テーブル1[[#This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41">
        <v>60</v>
      </c>
      <c r="E4769" s="41">
        <v>40</v>
      </c>
      <c r="F4769" t="s">
        <v>16</v>
      </c>
      <c r="G4769" s="28">
        <v>45992</v>
      </c>
      <c r="H4769" s="26" t="s">
        <v>3138</v>
      </c>
      <c r="I4769" s="49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36">
        <v>53900</v>
      </c>
      <c r="P4769" s="62">
        <v>330</v>
      </c>
      <c r="Q4769" s="62" t="s">
        <v>1928</v>
      </c>
      <c r="R4769" s="25">
        <f>+テーブル1[[#This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41">
        <v>60</v>
      </c>
      <c r="E4770" s="41">
        <v>40</v>
      </c>
      <c r="F4770" t="s">
        <v>16</v>
      </c>
      <c r="G4770" s="28">
        <v>45992</v>
      </c>
      <c r="H4770" s="26" t="s">
        <v>3158</v>
      </c>
      <c r="I4770" s="49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36">
        <v>21560</v>
      </c>
      <c r="P4770" s="62">
        <v>331</v>
      </c>
      <c r="Q4770" s="62" t="s">
        <v>1928</v>
      </c>
      <c r="R4770" s="25">
        <f>+テーブル1[[#This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41">
        <v>60</v>
      </c>
      <c r="E4771" s="41">
        <v>40</v>
      </c>
      <c r="F4771" t="s">
        <v>16</v>
      </c>
      <c r="G4771" s="28">
        <v>45992</v>
      </c>
      <c r="H4771" s="26" t="s">
        <v>3140</v>
      </c>
      <c r="I4771" s="49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36">
        <v>64680</v>
      </c>
      <c r="P4771" s="62">
        <v>332</v>
      </c>
      <c r="Q4771" s="62" t="s">
        <v>1928</v>
      </c>
      <c r="R4771" s="25">
        <f>+テーブル1[[#This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41">
        <v>50</v>
      </c>
      <c r="E4772" s="41">
        <v>50</v>
      </c>
      <c r="F4772" t="s">
        <v>16</v>
      </c>
      <c r="G4772" s="28">
        <v>45992</v>
      </c>
      <c r="H4772" s="26" t="s">
        <v>3159</v>
      </c>
      <c r="I4772" s="49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36">
        <v>27000</v>
      </c>
      <c r="P4772" s="62">
        <v>333</v>
      </c>
      <c r="Q4772" s="62" t="s">
        <v>1928</v>
      </c>
      <c r="R4772" s="25">
        <f>+テーブル1[[#This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41">
        <v>40</v>
      </c>
      <c r="E4773" s="41">
        <v>60</v>
      </c>
      <c r="F4773" t="s">
        <v>113</v>
      </c>
      <c r="G4773" s="28">
        <v>45962</v>
      </c>
      <c r="H4773" s="26" t="s">
        <v>3079</v>
      </c>
      <c r="I4773" s="49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36">
        <v>260000</v>
      </c>
      <c r="P4773" s="62">
        <v>334</v>
      </c>
      <c r="Q4773" s="62" t="s">
        <v>1935</v>
      </c>
      <c r="R4773" s="25">
        <f>+テーブル1[[#This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41">
        <v>40</v>
      </c>
      <c r="E4774" s="41">
        <v>60</v>
      </c>
      <c r="F4774" t="s">
        <v>27</v>
      </c>
      <c r="G4774" s="28">
        <v>45962</v>
      </c>
      <c r="H4774" s="26" t="s">
        <v>2282</v>
      </c>
      <c r="I4774" s="49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36">
        <v>834000</v>
      </c>
      <c r="P4774" s="62">
        <v>335</v>
      </c>
      <c r="Q4774" s="62" t="s">
        <v>1935</v>
      </c>
      <c r="R4774" s="25">
        <f>+テーブル1[[#This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41">
        <v>40</v>
      </c>
      <c r="E4775" s="41">
        <v>60</v>
      </c>
      <c r="F4775" t="s">
        <v>19</v>
      </c>
      <c r="G4775" s="28">
        <v>45962</v>
      </c>
      <c r="H4775" s="26" t="s">
        <v>3160</v>
      </c>
      <c r="I4775" s="49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36">
        <v>166000</v>
      </c>
      <c r="P4775" s="62">
        <v>336</v>
      </c>
      <c r="Q4775" s="62" t="s">
        <v>1935</v>
      </c>
      <c r="R4775" s="25">
        <f>+テーブル1[[#This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41">
        <v>40</v>
      </c>
      <c r="E4776" s="41">
        <v>60</v>
      </c>
      <c r="F4776" t="s">
        <v>16</v>
      </c>
      <c r="G4776" s="28">
        <v>45992</v>
      </c>
      <c r="H4776" s="26" t="s">
        <v>3139</v>
      </c>
      <c r="I4776" s="49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36">
        <v>33000</v>
      </c>
      <c r="P4776" s="62">
        <v>337</v>
      </c>
      <c r="Q4776" s="62" t="s">
        <v>1928</v>
      </c>
      <c r="R4776" s="25">
        <f>+テーブル1[[#This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41">
        <v>40</v>
      </c>
      <c r="E4777" s="41">
        <v>60</v>
      </c>
      <c r="F4777" t="s">
        <v>20</v>
      </c>
      <c r="G4777" s="28">
        <v>45962</v>
      </c>
      <c r="H4777" s="26" t="s">
        <v>3065</v>
      </c>
      <c r="I4777" s="49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36">
        <v>30000</v>
      </c>
      <c r="P4777" s="62">
        <v>338</v>
      </c>
      <c r="Q4777" s="62" t="s">
        <v>1935</v>
      </c>
      <c r="R4777" s="25">
        <f>+テーブル1[[#This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41">
        <v>40</v>
      </c>
      <c r="E4778" s="41">
        <v>60</v>
      </c>
      <c r="F4778" t="s">
        <v>19</v>
      </c>
      <c r="G4778" s="28">
        <v>45992</v>
      </c>
      <c r="H4778" s="26" t="s">
        <v>3161</v>
      </c>
      <c r="I4778" s="49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36">
        <v>20520</v>
      </c>
      <c r="P4778" s="62">
        <v>339</v>
      </c>
      <c r="Q4778" s="62" t="s">
        <v>1928</v>
      </c>
      <c r="R4778" s="25">
        <f>+テーブル1[[#This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41">
        <v>40</v>
      </c>
      <c r="E4779" s="41">
        <v>60</v>
      </c>
      <c r="F4779" t="s">
        <v>19</v>
      </c>
      <c r="G4779" s="28">
        <v>46023</v>
      </c>
      <c r="H4779" s="26" t="s">
        <v>3162</v>
      </c>
      <c r="I4779" s="49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36">
        <v>20520</v>
      </c>
      <c r="P4779" s="62">
        <v>340</v>
      </c>
      <c r="Q4779" s="62" t="s">
        <v>1928</v>
      </c>
      <c r="R4779" s="25">
        <f>+テーブル1[[#This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41">
        <v>40</v>
      </c>
      <c r="E4780" s="41">
        <v>60</v>
      </c>
      <c r="F4780" t="s">
        <v>19</v>
      </c>
      <c r="G4780" s="28">
        <v>46054</v>
      </c>
      <c r="H4780" s="26" t="s">
        <v>3163</v>
      </c>
      <c r="I4780" s="49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36">
        <v>20520</v>
      </c>
      <c r="P4780" s="62">
        <v>341</v>
      </c>
      <c r="Q4780" s="62" t="s">
        <v>1928</v>
      </c>
      <c r="R4780" s="25">
        <f>+テーブル1[[#This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41">
        <v>40</v>
      </c>
      <c r="E4781" s="41">
        <v>60</v>
      </c>
      <c r="F4781" t="s">
        <v>19</v>
      </c>
      <c r="G4781" s="28">
        <v>46082</v>
      </c>
      <c r="H4781" s="26" t="s">
        <v>3164</v>
      </c>
      <c r="I4781" s="49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36">
        <v>20520</v>
      </c>
      <c r="P4781" s="62">
        <v>342</v>
      </c>
      <c r="Q4781" s="62" t="s">
        <v>1928</v>
      </c>
      <c r="R4781" s="25">
        <f>+テーブル1[[#This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41">
        <v>40</v>
      </c>
      <c r="E4782" s="41">
        <v>60</v>
      </c>
      <c r="F4782" t="s">
        <v>19</v>
      </c>
      <c r="G4782" s="28">
        <v>46113</v>
      </c>
      <c r="H4782" s="26" t="s">
        <v>3165</v>
      </c>
      <c r="I4782" s="49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36">
        <v>20520</v>
      </c>
      <c r="P4782" s="62">
        <v>343</v>
      </c>
      <c r="Q4782" s="62" t="s">
        <v>1928</v>
      </c>
      <c r="R4782" s="25">
        <f>+テーブル1[[#This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41">
        <v>40</v>
      </c>
      <c r="E4783" s="41">
        <v>60</v>
      </c>
      <c r="F4783" t="s">
        <v>19</v>
      </c>
      <c r="G4783" s="28">
        <v>46143</v>
      </c>
      <c r="H4783" s="26" t="s">
        <v>3166</v>
      </c>
      <c r="I4783" s="49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36">
        <v>20520</v>
      </c>
      <c r="P4783" s="62">
        <v>344</v>
      </c>
      <c r="Q4783" s="62" t="s">
        <v>1928</v>
      </c>
      <c r="R4783" s="25">
        <f>+テーブル1[[#This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41">
        <v>50</v>
      </c>
      <c r="E4784" s="41">
        <v>50</v>
      </c>
      <c r="F4784" t="s">
        <v>16</v>
      </c>
      <c r="G4784" s="28">
        <v>45992</v>
      </c>
      <c r="H4784" s="26" t="s">
        <v>3141</v>
      </c>
      <c r="I4784" s="49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36">
        <v>19600</v>
      </c>
      <c r="P4784" s="62">
        <v>345</v>
      </c>
      <c r="Q4784" s="62" t="s">
        <v>1928</v>
      </c>
      <c r="R4784" s="25">
        <f>+テーブル1[[#This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41">
        <v>50</v>
      </c>
      <c r="E4785" s="41">
        <v>50</v>
      </c>
      <c r="F4785" t="s">
        <v>16</v>
      </c>
      <c r="G4785" s="28">
        <v>45992</v>
      </c>
      <c r="H4785" s="26" t="s">
        <v>3167</v>
      </c>
      <c r="I4785" s="49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36">
        <v>30000</v>
      </c>
      <c r="P4785" s="62">
        <v>346</v>
      </c>
      <c r="Q4785" s="62" t="s">
        <v>1928</v>
      </c>
      <c r="R4785" s="25">
        <f>+テーブル1[[#This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41">
        <v>50</v>
      </c>
      <c r="E4786" s="41">
        <v>50</v>
      </c>
      <c r="F4786" t="s">
        <v>20</v>
      </c>
      <c r="G4786" s="28">
        <v>45962</v>
      </c>
      <c r="H4786" s="26" t="s">
        <v>3168</v>
      </c>
      <c r="I4786" s="49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36">
        <v>398000</v>
      </c>
      <c r="P4786" s="62">
        <v>17</v>
      </c>
      <c r="Q4786" s="62" t="s">
        <v>1935</v>
      </c>
      <c r="R4786" s="25">
        <f>+テーブル1[[#This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41">
        <v>100</v>
      </c>
      <c r="E4787" s="41">
        <v>100</v>
      </c>
      <c r="F4787" t="s">
        <v>17</v>
      </c>
      <c r="G4787" s="28">
        <v>45962</v>
      </c>
      <c r="H4787" s="26" t="s">
        <v>1930</v>
      </c>
      <c r="I4787" s="49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36">
        <v>2517900</v>
      </c>
      <c r="P4787" s="62">
        <v>21</v>
      </c>
      <c r="Q4787" s="62" t="s">
        <v>1935</v>
      </c>
      <c r="R4787" s="25">
        <f>+テーブル1[[#This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41">
        <v>0</v>
      </c>
      <c r="E4788" s="41">
        <v>100</v>
      </c>
      <c r="G4788" s="28">
        <v>45931</v>
      </c>
      <c r="H4788" s="26" t="s">
        <v>3169</v>
      </c>
      <c r="I4788" s="49">
        <v>-2051</v>
      </c>
      <c r="J4788" s="61">
        <v>1</v>
      </c>
      <c r="K4788" s="61"/>
      <c r="L4788" s="63"/>
      <c r="M4788" s="61"/>
      <c r="N4788" s="64">
        <v>1</v>
      </c>
      <c r="O4788" s="136">
        <v>-2051</v>
      </c>
      <c r="P4788" s="62">
        <v>33</v>
      </c>
      <c r="Q4788" s="62" t="s">
        <v>1935</v>
      </c>
      <c r="R4788" s="25">
        <f>+テーブル1[[#This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41">
        <v>0</v>
      </c>
      <c r="E4789" s="41">
        <v>100</v>
      </c>
      <c r="G4789" s="28">
        <v>45931</v>
      </c>
      <c r="H4789" s="26" t="s">
        <v>3170</v>
      </c>
      <c r="I4789" s="49">
        <v>69859</v>
      </c>
      <c r="J4789" s="61">
        <v>1</v>
      </c>
      <c r="K4789" s="61"/>
      <c r="L4789" s="63"/>
      <c r="M4789" s="61"/>
      <c r="N4789" s="64">
        <v>1</v>
      </c>
      <c r="O4789" s="136">
        <v>69859</v>
      </c>
      <c r="P4789" s="62">
        <v>34</v>
      </c>
      <c r="Q4789" s="62" t="s">
        <v>1935</v>
      </c>
      <c r="R4789" s="25">
        <f>+テーブル1[[#This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41">
        <v>100</v>
      </c>
      <c r="E4790" s="41">
        <v>100</v>
      </c>
      <c r="G4790" s="28">
        <v>45931</v>
      </c>
      <c r="H4790" s="26" t="s">
        <v>3172</v>
      </c>
      <c r="I4790" s="49">
        <v>14800</v>
      </c>
      <c r="J4790" s="61">
        <v>1</v>
      </c>
      <c r="K4790" s="61"/>
      <c r="L4790" s="63"/>
      <c r="M4790" s="61"/>
      <c r="N4790" s="64">
        <v>1</v>
      </c>
      <c r="O4790" s="136">
        <v>14800</v>
      </c>
      <c r="P4790" s="62">
        <v>35</v>
      </c>
      <c r="Q4790" s="62" t="s">
        <v>1935</v>
      </c>
      <c r="R4790" s="25">
        <f>+テーブル1[[#This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41">
        <v>100</v>
      </c>
      <c r="E4791" s="41">
        <v>100</v>
      </c>
      <c r="G4791" s="28">
        <v>45931</v>
      </c>
      <c r="H4791" s="26" t="s">
        <v>3173</v>
      </c>
      <c r="I4791" s="49">
        <v>234759</v>
      </c>
      <c r="J4791" s="61">
        <v>1</v>
      </c>
      <c r="K4791" s="61"/>
      <c r="L4791" s="63"/>
      <c r="M4791" s="61"/>
      <c r="N4791" s="64">
        <v>1</v>
      </c>
      <c r="O4791" s="136">
        <v>234759</v>
      </c>
      <c r="P4791" s="62">
        <v>36</v>
      </c>
      <c r="Q4791" s="62" t="s">
        <v>1935</v>
      </c>
      <c r="R4791" s="25">
        <f>+テーブル1[[#This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41">
        <v>40</v>
      </c>
      <c r="E4792" s="41">
        <v>60</v>
      </c>
      <c r="G4792" s="28">
        <v>45931</v>
      </c>
      <c r="H4792" s="26" t="s">
        <v>3175</v>
      </c>
      <c r="I4792" s="49">
        <v>130000</v>
      </c>
      <c r="J4792" s="61">
        <v>1</v>
      </c>
      <c r="K4792" s="61"/>
      <c r="L4792" s="63"/>
      <c r="M4792" s="61"/>
      <c r="N4792" s="64">
        <v>1</v>
      </c>
      <c r="O4792" s="136">
        <v>130000</v>
      </c>
      <c r="P4792" s="62">
        <v>37</v>
      </c>
      <c r="Q4792" s="62" t="s">
        <v>1935</v>
      </c>
      <c r="R4792" s="25">
        <f>+テーブル1[[#This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41">
        <v>60</v>
      </c>
      <c r="E4793" s="41">
        <v>40</v>
      </c>
      <c r="F4793" t="s">
        <v>16</v>
      </c>
      <c r="G4793" s="28">
        <v>45962</v>
      </c>
      <c r="H4793" s="26" t="s">
        <v>3077</v>
      </c>
      <c r="I4793" s="49">
        <v>10780</v>
      </c>
      <c r="J4793" s="61">
        <v>4</v>
      </c>
      <c r="K4793" s="61"/>
      <c r="L4793" s="63">
        <v>0</v>
      </c>
      <c r="M4793" s="61"/>
      <c r="N4793" s="64">
        <v>4</v>
      </c>
      <c r="O4793" s="136">
        <v>43120</v>
      </c>
      <c r="P4793" s="62">
        <v>1364</v>
      </c>
      <c r="Q4793" s="62" t="s">
        <v>1935</v>
      </c>
      <c r="R4793" s="25">
        <f>+テーブル1[[#This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41">
        <v>40</v>
      </c>
      <c r="E4794" s="41">
        <v>60</v>
      </c>
      <c r="F4794" t="s">
        <v>16</v>
      </c>
      <c r="G4794" s="28">
        <v>45962</v>
      </c>
      <c r="H4794" s="26" t="s">
        <v>3054</v>
      </c>
      <c r="I4794" s="49">
        <v>16500</v>
      </c>
      <c r="J4794" s="61">
        <v>3</v>
      </c>
      <c r="K4794" s="61"/>
      <c r="L4794" s="63">
        <v>0</v>
      </c>
      <c r="M4794" s="61"/>
      <c r="N4794" s="64">
        <v>3</v>
      </c>
      <c r="O4794" s="136">
        <v>49500</v>
      </c>
      <c r="P4794" s="62">
        <v>1365</v>
      </c>
      <c r="Q4794" s="62" t="s">
        <v>1935</v>
      </c>
      <c r="R4794" s="25">
        <f>+テーブル1[[#This Row],[合計金額]]*テーブル1[[#This Row],[自社報酬率％]]/100</f>
        <v>29700</v>
      </c>
    </row>
    <row r="4795" spans="1:18">
      <c r="A4795" s="7">
        <v>45992</v>
      </c>
      <c r="B4795" t="s">
        <v>43</v>
      </c>
      <c r="C4795" s="147" t="s">
        <v>44</v>
      </c>
      <c r="D4795" s="41">
        <v>100</v>
      </c>
      <c r="E4795" s="41">
        <v>100</v>
      </c>
      <c r="F4795" s="72" t="s">
        <v>17</v>
      </c>
      <c r="G4795" s="85">
        <v>46023</v>
      </c>
      <c r="H4795" s="26" t="s">
        <v>3176</v>
      </c>
      <c r="I4795" s="49">
        <v>8074</v>
      </c>
      <c r="J4795" s="73">
        <v>1</v>
      </c>
      <c r="K4795" s="24"/>
      <c r="L4795" s="90">
        <v>0</v>
      </c>
      <c r="M4795" s="24"/>
      <c r="N4795" s="93">
        <f t="shared" ref="N4795:N4858" si="186">J4795-L4795</f>
        <v>1</v>
      </c>
      <c r="O4795" s="11">
        <f t="shared" ref="O4795:O4858" si="187">+I4795*N4795</f>
        <v>8074</v>
      </c>
      <c r="P4795" s="10">
        <v>1366</v>
      </c>
      <c r="Q4795" s="10" t="s">
        <v>1928</v>
      </c>
      <c r="R4795" s="50">
        <f>+テーブル1[[#This Row],[合計金額]]*テーブル1[[#This Row],[自社報酬率％]]/100</f>
        <v>8074</v>
      </c>
    </row>
    <row r="4796" spans="1:18">
      <c r="A4796" s="7">
        <v>45992</v>
      </c>
      <c r="B4796" t="s">
        <v>43</v>
      </c>
      <c r="C4796" s="147" t="s">
        <v>44</v>
      </c>
      <c r="D4796" s="41">
        <v>100</v>
      </c>
      <c r="E4796" s="41">
        <v>100</v>
      </c>
      <c r="F4796" s="101" t="s">
        <v>17</v>
      </c>
      <c r="G4796" s="102">
        <v>46054</v>
      </c>
      <c r="H4796" s="26" t="s">
        <v>3177</v>
      </c>
      <c r="I4796" s="49">
        <v>8066</v>
      </c>
      <c r="J4796" s="24">
        <v>1</v>
      </c>
      <c r="K4796" s="24"/>
      <c r="L4796" s="91">
        <v>0</v>
      </c>
      <c r="M4796" s="24"/>
      <c r="N4796" s="94">
        <f t="shared" si="186"/>
        <v>1</v>
      </c>
      <c r="O4796" s="11">
        <f t="shared" si="187"/>
        <v>8066</v>
      </c>
      <c r="P4796" s="10">
        <v>1367</v>
      </c>
      <c r="Q4796" s="10" t="s">
        <v>1928</v>
      </c>
      <c r="R4796" s="50">
        <f>+テーブル1[[#This Row],[合計金額]]*テーブル1[[#This Row],[自社報酬率％]]/100</f>
        <v>8066</v>
      </c>
    </row>
    <row r="4797" spans="1:18">
      <c r="A4797" s="7">
        <v>45992</v>
      </c>
      <c r="B4797" t="s">
        <v>43</v>
      </c>
      <c r="C4797" s="147" t="s">
        <v>44</v>
      </c>
      <c r="D4797" s="41">
        <v>100</v>
      </c>
      <c r="E4797" s="41">
        <v>100</v>
      </c>
      <c r="F4797" s="101" t="s">
        <v>17</v>
      </c>
      <c r="G4797" s="102">
        <v>46082</v>
      </c>
      <c r="H4797" s="26" t="s">
        <v>3178</v>
      </c>
      <c r="I4797" s="49">
        <v>8066</v>
      </c>
      <c r="J4797" s="24">
        <v>1</v>
      </c>
      <c r="K4797" s="24"/>
      <c r="L4797" s="91">
        <v>0</v>
      </c>
      <c r="M4797" s="24"/>
      <c r="N4797" s="94">
        <f t="shared" si="186"/>
        <v>1</v>
      </c>
      <c r="O4797" s="11">
        <f t="shared" si="187"/>
        <v>8066</v>
      </c>
      <c r="P4797" s="10">
        <v>1368</v>
      </c>
      <c r="Q4797" s="10" t="s">
        <v>1928</v>
      </c>
      <c r="R4797" s="50">
        <f>+テーブル1[[#This Row],[合計金額]]*テーブル1[[#This Row],[自社報酬率％]]/100</f>
        <v>8066</v>
      </c>
    </row>
    <row r="4798" spans="1:18">
      <c r="A4798" s="7">
        <v>45992</v>
      </c>
      <c r="B4798" t="s">
        <v>43</v>
      </c>
      <c r="C4798" s="147" t="s">
        <v>44</v>
      </c>
      <c r="D4798" s="41">
        <v>100</v>
      </c>
      <c r="E4798" s="41">
        <v>100</v>
      </c>
      <c r="F4798" s="101" t="s">
        <v>17</v>
      </c>
      <c r="G4798" s="102">
        <v>46113</v>
      </c>
      <c r="H4798" s="26" t="s">
        <v>3179</v>
      </c>
      <c r="I4798" s="49">
        <v>8066</v>
      </c>
      <c r="J4798" s="24">
        <v>1</v>
      </c>
      <c r="K4798" s="24"/>
      <c r="L4798" s="91">
        <v>0</v>
      </c>
      <c r="M4798" s="24"/>
      <c r="N4798" s="94">
        <f t="shared" si="186"/>
        <v>1</v>
      </c>
      <c r="O4798" s="11">
        <f t="shared" si="187"/>
        <v>8066</v>
      </c>
      <c r="P4798" s="10">
        <v>1369</v>
      </c>
      <c r="Q4798" s="10" t="s">
        <v>1928</v>
      </c>
      <c r="R4798" s="50">
        <f>+テーブル1[[#This Row],[合計金額]]*テーブル1[[#This Row],[自社報酬率％]]/100</f>
        <v>8066</v>
      </c>
    </row>
    <row r="4799" spans="1:18">
      <c r="A4799" s="7">
        <v>45992</v>
      </c>
      <c r="B4799" t="s">
        <v>43</v>
      </c>
      <c r="C4799" s="147" t="s">
        <v>44</v>
      </c>
      <c r="D4799" s="41">
        <v>100</v>
      </c>
      <c r="E4799" s="41">
        <v>100</v>
      </c>
      <c r="F4799" s="101" t="s">
        <v>17</v>
      </c>
      <c r="G4799" s="102">
        <v>46143</v>
      </c>
      <c r="H4799" s="26" t="s">
        <v>3180</v>
      </c>
      <c r="I4799" s="49">
        <v>8066</v>
      </c>
      <c r="J4799" s="24">
        <v>1</v>
      </c>
      <c r="K4799" s="24"/>
      <c r="L4799" s="91">
        <v>0</v>
      </c>
      <c r="M4799" s="24"/>
      <c r="N4799" s="94">
        <f t="shared" si="186"/>
        <v>1</v>
      </c>
      <c r="O4799" s="11">
        <f t="shared" si="187"/>
        <v>8066</v>
      </c>
      <c r="P4799" s="10">
        <v>1370</v>
      </c>
      <c r="Q4799" s="10" t="s">
        <v>1928</v>
      </c>
      <c r="R4799" s="50">
        <f>+テーブル1[[#This Row],[合計金額]]*テーブル1[[#This Row],[自社報酬率％]]/100</f>
        <v>8066</v>
      </c>
    </row>
    <row r="4800" spans="1:18">
      <c r="A4800" s="7">
        <v>45992</v>
      </c>
      <c r="B4800" t="s">
        <v>43</v>
      </c>
      <c r="C4800" s="147" t="s">
        <v>44</v>
      </c>
      <c r="D4800" s="41">
        <v>100</v>
      </c>
      <c r="E4800" s="41">
        <v>100</v>
      </c>
      <c r="F4800" s="101" t="s">
        <v>17</v>
      </c>
      <c r="G4800" s="102">
        <v>46174</v>
      </c>
      <c r="H4800" s="26" t="s">
        <v>3181</v>
      </c>
      <c r="I4800" s="49">
        <v>8066</v>
      </c>
      <c r="J4800" s="24">
        <v>1</v>
      </c>
      <c r="K4800" s="24"/>
      <c r="L4800" s="91">
        <v>0</v>
      </c>
      <c r="M4800" s="24"/>
      <c r="N4800" s="94">
        <f t="shared" si="186"/>
        <v>1</v>
      </c>
      <c r="O4800" s="11">
        <f t="shared" si="187"/>
        <v>8066</v>
      </c>
      <c r="P4800" s="10">
        <v>1371</v>
      </c>
      <c r="Q4800" s="10" t="s">
        <v>1928</v>
      </c>
      <c r="R4800" s="50">
        <f>+テーブル1[[#This Row],[合計金額]]*テーブル1[[#This Row],[自社報酬率％]]/100</f>
        <v>8066</v>
      </c>
    </row>
    <row r="4801" spans="1:18">
      <c r="A4801" s="7">
        <v>45992</v>
      </c>
      <c r="B4801" t="s">
        <v>43</v>
      </c>
      <c r="C4801" s="147" t="s">
        <v>44</v>
      </c>
      <c r="D4801" s="41">
        <v>100</v>
      </c>
      <c r="E4801" s="41">
        <v>100</v>
      </c>
      <c r="F4801" s="101" t="s">
        <v>17</v>
      </c>
      <c r="G4801" s="102">
        <v>46204</v>
      </c>
      <c r="H4801" s="26" t="s">
        <v>3182</v>
      </c>
      <c r="I4801" s="49">
        <v>8066</v>
      </c>
      <c r="J4801" s="24">
        <v>1</v>
      </c>
      <c r="K4801" s="24"/>
      <c r="L4801" s="91">
        <v>0</v>
      </c>
      <c r="M4801" s="24"/>
      <c r="N4801" s="94">
        <f t="shared" si="186"/>
        <v>1</v>
      </c>
      <c r="O4801" s="11">
        <f t="shared" si="187"/>
        <v>8066</v>
      </c>
      <c r="P4801" s="10">
        <v>1372</v>
      </c>
      <c r="Q4801" s="10" t="s">
        <v>1928</v>
      </c>
      <c r="R4801" s="50">
        <f>+テーブル1[[#This Row],[合計金額]]*テーブル1[[#This Row],[自社報酬率％]]/100</f>
        <v>8066</v>
      </c>
    </row>
    <row r="4802" spans="1:18">
      <c r="A4802" s="7">
        <v>45992</v>
      </c>
      <c r="B4802" t="s">
        <v>43</v>
      </c>
      <c r="C4802" s="147" t="s">
        <v>44</v>
      </c>
      <c r="D4802" s="41">
        <v>100</v>
      </c>
      <c r="E4802" s="41">
        <v>100</v>
      </c>
      <c r="F4802" s="101" t="s">
        <v>17</v>
      </c>
      <c r="G4802" s="102">
        <v>46235</v>
      </c>
      <c r="H4802" s="26" t="s">
        <v>3183</v>
      </c>
      <c r="I4802" s="49">
        <v>8066</v>
      </c>
      <c r="J4802" s="24">
        <v>1</v>
      </c>
      <c r="K4802" s="24"/>
      <c r="L4802" s="91">
        <v>0</v>
      </c>
      <c r="M4802" s="24"/>
      <c r="N4802" s="94">
        <f t="shared" si="186"/>
        <v>1</v>
      </c>
      <c r="O4802" s="11">
        <f t="shared" si="187"/>
        <v>8066</v>
      </c>
      <c r="P4802" s="10">
        <v>1373</v>
      </c>
      <c r="Q4802" s="10" t="s">
        <v>1928</v>
      </c>
      <c r="R4802" s="50">
        <f>+テーブル1[[#This Row],[合計金額]]*テーブル1[[#This Row],[自社報酬率％]]/100</f>
        <v>8066</v>
      </c>
    </row>
    <row r="4803" spans="1:18">
      <c r="A4803" s="7">
        <v>45992</v>
      </c>
      <c r="B4803" t="s">
        <v>43</v>
      </c>
      <c r="C4803" s="147" t="s">
        <v>44</v>
      </c>
      <c r="D4803" s="41">
        <v>100</v>
      </c>
      <c r="E4803" s="41">
        <v>100</v>
      </c>
      <c r="F4803" s="101" t="s">
        <v>17</v>
      </c>
      <c r="G4803" s="102">
        <v>46266</v>
      </c>
      <c r="H4803" s="26" t="s">
        <v>3184</v>
      </c>
      <c r="I4803" s="49">
        <v>8066</v>
      </c>
      <c r="J4803" s="24">
        <v>1</v>
      </c>
      <c r="K4803" s="24"/>
      <c r="L4803" s="91">
        <v>0</v>
      </c>
      <c r="M4803" s="24"/>
      <c r="N4803" s="94">
        <f t="shared" si="186"/>
        <v>1</v>
      </c>
      <c r="O4803" s="11">
        <f t="shared" si="187"/>
        <v>8066</v>
      </c>
      <c r="P4803" s="10">
        <v>1374</v>
      </c>
      <c r="Q4803" s="10" t="s">
        <v>1928</v>
      </c>
      <c r="R4803" s="50">
        <f>+テーブル1[[#This Row],[合計金額]]*テーブル1[[#This Row],[自社報酬率％]]/100</f>
        <v>8066</v>
      </c>
    </row>
    <row r="4804" spans="1:18">
      <c r="A4804" s="7">
        <v>45992</v>
      </c>
      <c r="B4804" t="s">
        <v>43</v>
      </c>
      <c r="C4804" s="147" t="s">
        <v>44</v>
      </c>
      <c r="D4804" s="41">
        <v>100</v>
      </c>
      <c r="E4804" s="41">
        <v>100</v>
      </c>
      <c r="F4804" s="101" t="s">
        <v>17</v>
      </c>
      <c r="G4804" s="102">
        <v>46296</v>
      </c>
      <c r="H4804" s="26" t="s">
        <v>3185</v>
      </c>
      <c r="I4804" s="49">
        <v>8066</v>
      </c>
      <c r="J4804" s="24">
        <v>1</v>
      </c>
      <c r="K4804" s="24"/>
      <c r="L4804" s="91">
        <v>0</v>
      </c>
      <c r="M4804" s="24"/>
      <c r="N4804" s="94">
        <f t="shared" si="186"/>
        <v>1</v>
      </c>
      <c r="O4804" s="11">
        <f t="shared" si="187"/>
        <v>8066</v>
      </c>
      <c r="P4804" s="10">
        <v>1375</v>
      </c>
      <c r="Q4804" s="10" t="s">
        <v>1928</v>
      </c>
      <c r="R4804" s="50">
        <f>+テーブル1[[#This Row],[合計金額]]*テーブル1[[#This Row],[自社報酬率％]]/100</f>
        <v>8066</v>
      </c>
    </row>
    <row r="4805" spans="1:18">
      <c r="A4805" s="7">
        <v>45992</v>
      </c>
      <c r="B4805" t="s">
        <v>43</v>
      </c>
      <c r="C4805" s="147" t="s">
        <v>44</v>
      </c>
      <c r="D4805" s="41">
        <v>100</v>
      </c>
      <c r="E4805" s="41">
        <v>100</v>
      </c>
      <c r="F4805" s="101" t="s">
        <v>17</v>
      </c>
      <c r="G4805" s="102">
        <v>46327</v>
      </c>
      <c r="H4805" s="26" t="s">
        <v>3186</v>
      </c>
      <c r="I4805" s="49">
        <v>8066</v>
      </c>
      <c r="J4805" s="24">
        <v>1</v>
      </c>
      <c r="K4805" s="24"/>
      <c r="L4805" s="91">
        <v>0</v>
      </c>
      <c r="M4805" s="24"/>
      <c r="N4805" s="94">
        <f t="shared" si="186"/>
        <v>1</v>
      </c>
      <c r="O4805" s="11">
        <f t="shared" si="187"/>
        <v>8066</v>
      </c>
      <c r="P4805" s="10">
        <v>1376</v>
      </c>
      <c r="Q4805" s="10" t="s">
        <v>1928</v>
      </c>
      <c r="R4805" s="50">
        <f>+テーブル1[[#This Row],[合計金額]]*テーブル1[[#This Row],[自社報酬率％]]/100</f>
        <v>8066</v>
      </c>
    </row>
    <row r="4806" spans="1:18">
      <c r="A4806" s="7">
        <v>45992</v>
      </c>
      <c r="B4806" t="s">
        <v>43</v>
      </c>
      <c r="C4806" s="147" t="s">
        <v>44</v>
      </c>
      <c r="D4806" s="41">
        <v>100</v>
      </c>
      <c r="E4806" s="41">
        <v>100</v>
      </c>
      <c r="F4806" s="76" t="s">
        <v>17</v>
      </c>
      <c r="G4806" s="86">
        <v>46357</v>
      </c>
      <c r="H4806" s="26" t="s">
        <v>3187</v>
      </c>
      <c r="I4806" s="49">
        <v>8066</v>
      </c>
      <c r="J4806" s="77">
        <v>1</v>
      </c>
      <c r="K4806" s="24"/>
      <c r="L4806" s="92">
        <v>0</v>
      </c>
      <c r="M4806" s="24"/>
      <c r="N4806" s="95">
        <f t="shared" si="186"/>
        <v>1</v>
      </c>
      <c r="O4806" s="11">
        <f t="shared" si="187"/>
        <v>8066</v>
      </c>
      <c r="P4806" s="10">
        <v>1377</v>
      </c>
      <c r="Q4806" s="10" t="s">
        <v>3188</v>
      </c>
      <c r="R4806" s="50">
        <f>+テーブル1[[#This Row],[合計金額]]*テーブル1[[#This Row],[自社報酬率％]]/100</f>
        <v>8066</v>
      </c>
    </row>
    <row r="4807" spans="1:18">
      <c r="A4807" s="7">
        <v>45992</v>
      </c>
      <c r="B4807" t="s">
        <v>43</v>
      </c>
      <c r="C4807" s="147" t="s">
        <v>44</v>
      </c>
      <c r="D4807" s="41">
        <v>100</v>
      </c>
      <c r="E4807" s="41">
        <v>100</v>
      </c>
      <c r="F4807" s="72" t="s">
        <v>17</v>
      </c>
      <c r="G4807" s="85">
        <v>46023</v>
      </c>
      <c r="H4807" s="26" t="s">
        <v>3189</v>
      </c>
      <c r="I4807" s="49">
        <v>8074</v>
      </c>
      <c r="J4807" s="73">
        <v>4</v>
      </c>
      <c r="K4807" s="24"/>
      <c r="L4807" s="90">
        <v>0</v>
      </c>
      <c r="M4807" s="24"/>
      <c r="N4807" s="93">
        <f t="shared" si="186"/>
        <v>4</v>
      </c>
      <c r="O4807" s="11">
        <f t="shared" si="187"/>
        <v>32296</v>
      </c>
      <c r="P4807" s="10">
        <v>1378</v>
      </c>
      <c r="Q4807" s="10" t="s">
        <v>1928</v>
      </c>
      <c r="R4807" s="50">
        <f>+テーブル1[[#This Row],[合計金額]]*テーブル1[[#This Row],[自社報酬率％]]/100</f>
        <v>32296</v>
      </c>
    </row>
    <row r="4808" spans="1:18">
      <c r="A4808" s="7">
        <v>45992</v>
      </c>
      <c r="B4808" t="s">
        <v>43</v>
      </c>
      <c r="C4808" s="147" t="s">
        <v>44</v>
      </c>
      <c r="D4808" s="41">
        <v>100</v>
      </c>
      <c r="E4808" s="41">
        <v>100</v>
      </c>
      <c r="F4808" s="101" t="s">
        <v>17</v>
      </c>
      <c r="G4808" s="102">
        <v>46054</v>
      </c>
      <c r="H4808" s="26" t="s">
        <v>3190</v>
      </c>
      <c r="I4808" s="49">
        <v>8066</v>
      </c>
      <c r="J4808" s="24">
        <v>4</v>
      </c>
      <c r="K4808" s="24"/>
      <c r="L4808" s="91">
        <v>0</v>
      </c>
      <c r="M4808" s="24"/>
      <c r="N4808" s="94">
        <f t="shared" si="186"/>
        <v>4</v>
      </c>
      <c r="O4808" s="11">
        <f t="shared" si="187"/>
        <v>32264</v>
      </c>
      <c r="P4808" s="10">
        <v>1379</v>
      </c>
      <c r="Q4808" s="10" t="s">
        <v>1928</v>
      </c>
      <c r="R4808" s="50">
        <f>+テーブル1[[#This Row],[合計金額]]*テーブル1[[#This Row],[自社報酬率％]]/100</f>
        <v>32264</v>
      </c>
    </row>
    <row r="4809" spans="1:18">
      <c r="A4809" s="7">
        <v>45992</v>
      </c>
      <c r="B4809" t="s">
        <v>43</v>
      </c>
      <c r="C4809" s="147" t="s">
        <v>44</v>
      </c>
      <c r="D4809" s="41">
        <v>100</v>
      </c>
      <c r="E4809" s="41">
        <v>100</v>
      </c>
      <c r="F4809" s="101" t="s">
        <v>17</v>
      </c>
      <c r="G4809" s="102">
        <v>46082</v>
      </c>
      <c r="H4809" s="26" t="s">
        <v>3191</v>
      </c>
      <c r="I4809" s="49">
        <v>8066</v>
      </c>
      <c r="J4809" s="24">
        <v>4</v>
      </c>
      <c r="K4809" s="24"/>
      <c r="L4809" s="91">
        <v>0</v>
      </c>
      <c r="M4809" s="24"/>
      <c r="N4809" s="94">
        <f t="shared" si="186"/>
        <v>4</v>
      </c>
      <c r="O4809" s="11">
        <f t="shared" si="187"/>
        <v>32264</v>
      </c>
      <c r="P4809" s="10">
        <v>1380</v>
      </c>
      <c r="Q4809" s="10" t="s">
        <v>1928</v>
      </c>
      <c r="R4809" s="50">
        <f>+テーブル1[[#This Row],[合計金額]]*テーブル1[[#This Row],[自社報酬率％]]/100</f>
        <v>32264</v>
      </c>
    </row>
    <row r="4810" spans="1:18">
      <c r="A4810" s="7">
        <v>45992</v>
      </c>
      <c r="B4810" t="s">
        <v>43</v>
      </c>
      <c r="C4810" s="147" t="s">
        <v>44</v>
      </c>
      <c r="D4810" s="41">
        <v>100</v>
      </c>
      <c r="E4810" s="41">
        <v>100</v>
      </c>
      <c r="F4810" s="101" t="s">
        <v>17</v>
      </c>
      <c r="G4810" s="102">
        <v>46113</v>
      </c>
      <c r="H4810" s="26" t="s">
        <v>3192</v>
      </c>
      <c r="I4810" s="49">
        <v>8066</v>
      </c>
      <c r="J4810" s="24">
        <v>4</v>
      </c>
      <c r="K4810" s="24"/>
      <c r="L4810" s="91">
        <v>0</v>
      </c>
      <c r="M4810" s="24"/>
      <c r="N4810" s="94">
        <f t="shared" si="186"/>
        <v>4</v>
      </c>
      <c r="O4810" s="11">
        <f t="shared" si="187"/>
        <v>32264</v>
      </c>
      <c r="P4810" s="10">
        <v>1381</v>
      </c>
      <c r="Q4810" s="10" t="s">
        <v>1928</v>
      </c>
      <c r="R4810" s="50">
        <f>+テーブル1[[#This Row],[合計金額]]*テーブル1[[#This Row],[自社報酬率％]]/100</f>
        <v>32264</v>
      </c>
    </row>
    <row r="4811" spans="1:18">
      <c r="A4811" s="7">
        <v>45992</v>
      </c>
      <c r="B4811" t="s">
        <v>43</v>
      </c>
      <c r="C4811" s="147" t="s">
        <v>44</v>
      </c>
      <c r="D4811" s="41">
        <v>100</v>
      </c>
      <c r="E4811" s="41">
        <v>100</v>
      </c>
      <c r="F4811" s="101" t="s">
        <v>17</v>
      </c>
      <c r="G4811" s="102">
        <v>46143</v>
      </c>
      <c r="H4811" s="26" t="s">
        <v>3193</v>
      </c>
      <c r="I4811" s="49">
        <v>8066</v>
      </c>
      <c r="J4811" s="24">
        <v>4</v>
      </c>
      <c r="K4811" s="24"/>
      <c r="L4811" s="91">
        <v>0</v>
      </c>
      <c r="M4811" s="24"/>
      <c r="N4811" s="94">
        <f t="shared" si="186"/>
        <v>4</v>
      </c>
      <c r="O4811" s="11">
        <f t="shared" si="187"/>
        <v>32264</v>
      </c>
      <c r="P4811" s="10">
        <v>1382</v>
      </c>
      <c r="Q4811" s="10" t="s">
        <v>1928</v>
      </c>
      <c r="R4811" s="50">
        <f>+テーブル1[[#This Row],[合計金額]]*テーブル1[[#This Row],[自社報酬率％]]/100</f>
        <v>32264</v>
      </c>
    </row>
    <row r="4812" spans="1:18">
      <c r="A4812" s="7">
        <v>45992</v>
      </c>
      <c r="B4812" t="s">
        <v>43</v>
      </c>
      <c r="C4812" s="147" t="s">
        <v>44</v>
      </c>
      <c r="D4812" s="41">
        <v>100</v>
      </c>
      <c r="E4812" s="41">
        <v>100</v>
      </c>
      <c r="F4812" s="101" t="s">
        <v>17</v>
      </c>
      <c r="G4812" s="102">
        <v>46174</v>
      </c>
      <c r="H4812" s="26" t="s">
        <v>3194</v>
      </c>
      <c r="I4812" s="49">
        <v>8066</v>
      </c>
      <c r="J4812" s="24">
        <v>4</v>
      </c>
      <c r="K4812" s="24"/>
      <c r="L4812" s="91">
        <v>0</v>
      </c>
      <c r="M4812" s="24"/>
      <c r="N4812" s="94">
        <f t="shared" si="186"/>
        <v>4</v>
      </c>
      <c r="O4812" s="11">
        <f t="shared" si="187"/>
        <v>32264</v>
      </c>
      <c r="P4812" s="10">
        <v>1383</v>
      </c>
      <c r="Q4812" s="10" t="s">
        <v>1928</v>
      </c>
      <c r="R4812" s="50">
        <f>+テーブル1[[#This Row],[合計金額]]*テーブル1[[#This Row],[自社報酬率％]]/100</f>
        <v>32264</v>
      </c>
    </row>
    <row r="4813" spans="1:18">
      <c r="A4813" s="7">
        <v>45992</v>
      </c>
      <c r="B4813" t="s">
        <v>43</v>
      </c>
      <c r="C4813" s="147" t="s">
        <v>44</v>
      </c>
      <c r="D4813" s="41">
        <v>100</v>
      </c>
      <c r="E4813" s="41">
        <v>100</v>
      </c>
      <c r="F4813" s="101" t="s">
        <v>17</v>
      </c>
      <c r="G4813" s="102">
        <v>46204</v>
      </c>
      <c r="H4813" s="26" t="s">
        <v>3195</v>
      </c>
      <c r="I4813" s="49">
        <v>8066</v>
      </c>
      <c r="J4813" s="24">
        <v>4</v>
      </c>
      <c r="K4813" s="24"/>
      <c r="L4813" s="91">
        <v>0</v>
      </c>
      <c r="M4813" s="24"/>
      <c r="N4813" s="94">
        <f t="shared" si="186"/>
        <v>4</v>
      </c>
      <c r="O4813" s="11">
        <f t="shared" si="187"/>
        <v>32264</v>
      </c>
      <c r="P4813" s="10">
        <v>1384</v>
      </c>
      <c r="Q4813" s="10" t="s">
        <v>1928</v>
      </c>
      <c r="R4813" s="50">
        <f>+テーブル1[[#This Row],[合計金額]]*テーブル1[[#This Row],[自社報酬率％]]/100</f>
        <v>32264</v>
      </c>
    </row>
    <row r="4814" spans="1:18">
      <c r="A4814" s="7">
        <v>45992</v>
      </c>
      <c r="B4814" t="s">
        <v>43</v>
      </c>
      <c r="C4814" s="147" t="s">
        <v>44</v>
      </c>
      <c r="D4814" s="41">
        <v>100</v>
      </c>
      <c r="E4814" s="41">
        <v>100</v>
      </c>
      <c r="F4814" s="101" t="s">
        <v>17</v>
      </c>
      <c r="G4814" s="102">
        <v>46235</v>
      </c>
      <c r="H4814" s="26" t="s">
        <v>3196</v>
      </c>
      <c r="I4814" s="49">
        <v>8066</v>
      </c>
      <c r="J4814" s="24">
        <v>4</v>
      </c>
      <c r="K4814" s="24"/>
      <c r="L4814" s="91">
        <v>0</v>
      </c>
      <c r="M4814" s="24"/>
      <c r="N4814" s="94">
        <f t="shared" si="186"/>
        <v>4</v>
      </c>
      <c r="O4814" s="11">
        <f t="shared" si="187"/>
        <v>32264</v>
      </c>
      <c r="P4814" s="10">
        <v>1385</v>
      </c>
      <c r="Q4814" s="10" t="s">
        <v>1928</v>
      </c>
      <c r="R4814" s="50">
        <f>+テーブル1[[#This Row],[合計金額]]*テーブル1[[#This Row],[自社報酬率％]]/100</f>
        <v>32264</v>
      </c>
    </row>
    <row r="4815" spans="1:18">
      <c r="A4815" s="7">
        <v>45992</v>
      </c>
      <c r="B4815" t="s">
        <v>43</v>
      </c>
      <c r="C4815" s="147" t="s">
        <v>44</v>
      </c>
      <c r="D4815" s="41">
        <v>100</v>
      </c>
      <c r="E4815" s="41">
        <v>100</v>
      </c>
      <c r="F4815" s="101" t="s">
        <v>17</v>
      </c>
      <c r="G4815" s="102">
        <v>46266</v>
      </c>
      <c r="H4815" s="26" t="s">
        <v>3197</v>
      </c>
      <c r="I4815" s="49">
        <v>8066</v>
      </c>
      <c r="J4815" s="24">
        <v>4</v>
      </c>
      <c r="K4815" s="24"/>
      <c r="L4815" s="91">
        <v>0</v>
      </c>
      <c r="M4815" s="24"/>
      <c r="N4815" s="94">
        <f t="shared" si="186"/>
        <v>4</v>
      </c>
      <c r="O4815" s="11">
        <f t="shared" si="187"/>
        <v>32264</v>
      </c>
      <c r="P4815" s="10">
        <v>1386</v>
      </c>
      <c r="Q4815" s="10" t="s">
        <v>1928</v>
      </c>
      <c r="R4815" s="50">
        <f>+テーブル1[[#This Row],[合計金額]]*テーブル1[[#This Row],[自社報酬率％]]/100</f>
        <v>32264</v>
      </c>
    </row>
    <row r="4816" spans="1:18">
      <c r="A4816" s="7">
        <v>45992</v>
      </c>
      <c r="B4816" t="s">
        <v>43</v>
      </c>
      <c r="C4816" s="147" t="s">
        <v>44</v>
      </c>
      <c r="D4816" s="41">
        <v>100</v>
      </c>
      <c r="E4816" s="41">
        <v>100</v>
      </c>
      <c r="F4816" s="101" t="s">
        <v>17</v>
      </c>
      <c r="G4816" s="102">
        <v>46296</v>
      </c>
      <c r="H4816" s="26" t="s">
        <v>3198</v>
      </c>
      <c r="I4816" s="49">
        <v>8066</v>
      </c>
      <c r="J4816" s="24">
        <v>4</v>
      </c>
      <c r="K4816" s="24"/>
      <c r="L4816" s="91">
        <v>0</v>
      </c>
      <c r="M4816" s="24"/>
      <c r="N4816" s="94">
        <f t="shared" si="186"/>
        <v>4</v>
      </c>
      <c r="O4816" s="11">
        <f t="shared" si="187"/>
        <v>32264</v>
      </c>
      <c r="P4816" s="10">
        <v>1387</v>
      </c>
      <c r="Q4816" s="10" t="s">
        <v>1928</v>
      </c>
      <c r="R4816" s="50">
        <f>+テーブル1[[#This Row],[合計金額]]*テーブル1[[#This Row],[自社報酬率％]]/100</f>
        <v>32264</v>
      </c>
    </row>
    <row r="4817" spans="1:18">
      <c r="A4817" s="7">
        <v>45992</v>
      </c>
      <c r="B4817" t="s">
        <v>43</v>
      </c>
      <c r="C4817" s="147" t="s">
        <v>44</v>
      </c>
      <c r="D4817" s="41">
        <v>100</v>
      </c>
      <c r="E4817" s="41">
        <v>100</v>
      </c>
      <c r="F4817" s="101" t="s">
        <v>17</v>
      </c>
      <c r="G4817" s="102">
        <v>46327</v>
      </c>
      <c r="H4817" s="26" t="s">
        <v>3199</v>
      </c>
      <c r="I4817" s="49">
        <v>8066</v>
      </c>
      <c r="J4817" s="24">
        <v>4</v>
      </c>
      <c r="K4817" s="24"/>
      <c r="L4817" s="91">
        <v>0</v>
      </c>
      <c r="M4817" s="24"/>
      <c r="N4817" s="94">
        <f t="shared" si="186"/>
        <v>4</v>
      </c>
      <c r="O4817" s="11">
        <f t="shared" si="187"/>
        <v>32264</v>
      </c>
      <c r="P4817" s="10">
        <v>1388</v>
      </c>
      <c r="Q4817" s="10" t="s">
        <v>1928</v>
      </c>
      <c r="R4817" s="50">
        <f>+テーブル1[[#This Row],[合計金額]]*テーブル1[[#This Row],[自社報酬率％]]/100</f>
        <v>32264</v>
      </c>
    </row>
    <row r="4818" spans="1:18">
      <c r="A4818" s="7">
        <v>45992</v>
      </c>
      <c r="B4818" t="s">
        <v>43</v>
      </c>
      <c r="C4818" s="147" t="s">
        <v>44</v>
      </c>
      <c r="D4818" s="41">
        <v>100</v>
      </c>
      <c r="E4818" s="41">
        <v>100</v>
      </c>
      <c r="F4818" s="76" t="s">
        <v>17</v>
      </c>
      <c r="G4818" s="86">
        <v>46357</v>
      </c>
      <c r="H4818" s="26" t="s">
        <v>3200</v>
      </c>
      <c r="I4818" s="49">
        <v>8066</v>
      </c>
      <c r="J4818" s="77">
        <v>4</v>
      </c>
      <c r="K4818" s="24"/>
      <c r="L4818" s="92">
        <v>0</v>
      </c>
      <c r="M4818" s="24"/>
      <c r="N4818" s="95">
        <f t="shared" si="186"/>
        <v>4</v>
      </c>
      <c r="O4818" s="11">
        <f t="shared" si="187"/>
        <v>32264</v>
      </c>
      <c r="P4818" s="10">
        <v>1389</v>
      </c>
      <c r="Q4818" s="10" t="s">
        <v>3188</v>
      </c>
      <c r="R4818" s="50">
        <f>+テーブル1[[#This Row],[合計金額]]*テーブル1[[#This Row],[自社報酬率％]]/100</f>
        <v>32264</v>
      </c>
    </row>
    <row r="4819" spans="1:18">
      <c r="A4819" s="7">
        <v>45992</v>
      </c>
      <c r="B4819" t="s">
        <v>43</v>
      </c>
      <c r="C4819" s="147" t="s">
        <v>44</v>
      </c>
      <c r="D4819" s="41">
        <v>100</v>
      </c>
      <c r="E4819" s="41">
        <v>100</v>
      </c>
      <c r="F4819" s="18" t="s">
        <v>17</v>
      </c>
      <c r="G4819" s="28">
        <v>45992</v>
      </c>
      <c r="H4819" s="26" t="s">
        <v>1946</v>
      </c>
      <c r="I4819" s="49">
        <v>29975</v>
      </c>
      <c r="J4819" s="24">
        <v>8</v>
      </c>
      <c r="K4819" s="24"/>
      <c r="L4819" s="91">
        <v>0</v>
      </c>
      <c r="M4819" s="24"/>
      <c r="N4819" s="12">
        <f t="shared" si="186"/>
        <v>8</v>
      </c>
      <c r="O4819" s="11">
        <f t="shared" si="187"/>
        <v>239800</v>
      </c>
      <c r="P4819" s="10">
        <v>1390</v>
      </c>
      <c r="Q4819" s="10" t="s">
        <v>1928</v>
      </c>
      <c r="R4819" s="50">
        <f>+テーブル1[[#This Row],[合計金額]]*テーブル1[[#This Row],[自社報酬率％]]/100</f>
        <v>239800</v>
      </c>
    </row>
    <row r="4820" spans="1:18">
      <c r="A4820" s="7">
        <v>45992</v>
      </c>
      <c r="B4820" t="s">
        <v>43</v>
      </c>
      <c r="C4820" s="147" t="s">
        <v>44</v>
      </c>
      <c r="D4820" s="41">
        <v>100</v>
      </c>
      <c r="E4820" s="41">
        <v>100</v>
      </c>
      <c r="F4820" s="18" t="s">
        <v>17</v>
      </c>
      <c r="G4820" s="28">
        <v>45992</v>
      </c>
      <c r="H4820" s="26" t="s">
        <v>3201</v>
      </c>
      <c r="I4820" s="49">
        <v>29975</v>
      </c>
      <c r="J4820" s="24">
        <v>2</v>
      </c>
      <c r="K4820" s="24"/>
      <c r="L4820" s="91">
        <v>0</v>
      </c>
      <c r="M4820" s="24"/>
      <c r="N4820" s="12">
        <f t="shared" si="186"/>
        <v>2</v>
      </c>
      <c r="O4820" s="11">
        <f t="shared" si="187"/>
        <v>59950</v>
      </c>
      <c r="P4820" s="10">
        <v>1391</v>
      </c>
      <c r="Q4820" s="10" t="s">
        <v>1928</v>
      </c>
      <c r="R4820" s="50">
        <f>+テーブル1[[#This Row],[合計金額]]*テーブル1[[#This Row],[自社報酬率％]]/100</f>
        <v>59950</v>
      </c>
    </row>
    <row r="4821" spans="1:18">
      <c r="A4821" s="7">
        <v>45992</v>
      </c>
      <c r="B4821" t="s">
        <v>43</v>
      </c>
      <c r="C4821" s="147" t="s">
        <v>44</v>
      </c>
      <c r="D4821" s="41">
        <v>100</v>
      </c>
      <c r="E4821" s="41">
        <v>100</v>
      </c>
      <c r="F4821" s="18" t="s">
        <v>17</v>
      </c>
      <c r="G4821" s="28">
        <v>45992</v>
      </c>
      <c r="H4821" s="26" t="s">
        <v>2890</v>
      </c>
      <c r="I4821" s="49">
        <v>29975</v>
      </c>
      <c r="J4821" s="24">
        <v>1</v>
      </c>
      <c r="K4821" s="24"/>
      <c r="L4821" s="91">
        <v>0</v>
      </c>
      <c r="M4821" s="24"/>
      <c r="N4821" s="12">
        <f t="shared" si="186"/>
        <v>1</v>
      </c>
      <c r="O4821" s="11">
        <f t="shared" si="187"/>
        <v>29975</v>
      </c>
      <c r="P4821" s="10">
        <v>1392</v>
      </c>
      <c r="Q4821" s="10" t="s">
        <v>1928</v>
      </c>
      <c r="R4821" s="50">
        <f>+テーブル1[[#This Row],[合計金額]]*テーブル1[[#This Row],[自社報酬率％]]/100</f>
        <v>29975</v>
      </c>
    </row>
    <row r="4822" spans="1:18">
      <c r="A4822" s="7">
        <v>45992</v>
      </c>
      <c r="B4822" t="s">
        <v>43</v>
      </c>
      <c r="C4822" s="147" t="s">
        <v>44</v>
      </c>
      <c r="D4822" s="41">
        <v>100</v>
      </c>
      <c r="E4822" s="41">
        <v>100</v>
      </c>
      <c r="F4822" s="18" t="s">
        <v>17</v>
      </c>
      <c r="G4822" s="28">
        <v>45992</v>
      </c>
      <c r="H4822" s="26" t="s">
        <v>2988</v>
      </c>
      <c r="I4822" s="49">
        <v>29975</v>
      </c>
      <c r="J4822" s="24">
        <v>6</v>
      </c>
      <c r="K4822" s="24"/>
      <c r="L4822" s="91">
        <v>0</v>
      </c>
      <c r="M4822" s="24"/>
      <c r="N4822" s="12">
        <f t="shared" si="186"/>
        <v>6</v>
      </c>
      <c r="O4822" s="11">
        <f t="shared" si="187"/>
        <v>179850</v>
      </c>
      <c r="P4822" s="10">
        <v>1393</v>
      </c>
      <c r="Q4822" s="10" t="s">
        <v>1928</v>
      </c>
      <c r="R4822" s="50">
        <f>+テーブル1[[#This Row],[合計金額]]*テーブル1[[#This Row],[自社報酬率％]]/100</f>
        <v>179850</v>
      </c>
    </row>
    <row r="4823" spans="1:18">
      <c r="A4823" s="7">
        <v>45992</v>
      </c>
      <c r="B4823" t="s">
        <v>43</v>
      </c>
      <c r="C4823" s="147" t="s">
        <v>44</v>
      </c>
      <c r="D4823" s="41">
        <v>100</v>
      </c>
      <c r="E4823" s="41">
        <v>100</v>
      </c>
      <c r="F4823" s="18" t="s">
        <v>17</v>
      </c>
      <c r="G4823" s="28">
        <v>45992</v>
      </c>
      <c r="H4823" s="26" t="s">
        <v>2142</v>
      </c>
      <c r="I4823" s="49">
        <v>29975</v>
      </c>
      <c r="J4823" s="24">
        <v>4</v>
      </c>
      <c r="K4823" s="24"/>
      <c r="L4823" s="91">
        <v>0</v>
      </c>
      <c r="M4823" s="24"/>
      <c r="N4823" s="12">
        <f t="shared" si="186"/>
        <v>4</v>
      </c>
      <c r="O4823" s="11">
        <f t="shared" si="187"/>
        <v>119900</v>
      </c>
      <c r="P4823" s="10">
        <v>1394</v>
      </c>
      <c r="Q4823" s="10" t="s">
        <v>1928</v>
      </c>
      <c r="R4823" s="50">
        <f>+テーブル1[[#This Row],[合計金額]]*テーブル1[[#This Row],[自社報酬率％]]/100</f>
        <v>119900</v>
      </c>
    </row>
    <row r="4824" spans="1:18">
      <c r="A4824" s="7">
        <v>45992</v>
      </c>
      <c r="B4824" t="s">
        <v>43</v>
      </c>
      <c r="C4824" s="147" t="s">
        <v>44</v>
      </c>
      <c r="D4824" s="41">
        <v>100</v>
      </c>
      <c r="E4824" s="41">
        <v>100</v>
      </c>
      <c r="F4824" s="18" t="s">
        <v>17</v>
      </c>
      <c r="G4824" s="28">
        <v>45992</v>
      </c>
      <c r="H4824" s="26" t="s">
        <v>1947</v>
      </c>
      <c r="I4824" s="49">
        <v>29800</v>
      </c>
      <c r="J4824" s="24">
        <v>1</v>
      </c>
      <c r="K4824" s="24"/>
      <c r="L4824" s="91">
        <v>0</v>
      </c>
      <c r="M4824" s="24"/>
      <c r="N4824" s="12">
        <f t="shared" si="186"/>
        <v>1</v>
      </c>
      <c r="O4824" s="11">
        <f t="shared" si="187"/>
        <v>29800</v>
      </c>
      <c r="P4824" s="10">
        <v>1395</v>
      </c>
      <c r="Q4824" s="10" t="s">
        <v>1928</v>
      </c>
      <c r="R4824" s="50">
        <f>+テーブル1[[#This Row],[合計金額]]*テーブル1[[#This Row],[自社報酬率％]]/100</f>
        <v>29800</v>
      </c>
    </row>
    <row r="4825" spans="1:18">
      <c r="A4825" s="7">
        <v>45992</v>
      </c>
      <c r="B4825" t="s">
        <v>43</v>
      </c>
      <c r="C4825" s="147" t="s">
        <v>44</v>
      </c>
      <c r="D4825" s="41">
        <v>100</v>
      </c>
      <c r="E4825" s="41">
        <v>100</v>
      </c>
      <c r="F4825" s="18" t="s">
        <v>17</v>
      </c>
      <c r="G4825" s="28">
        <v>45992</v>
      </c>
      <c r="H4825" s="26" t="s">
        <v>1947</v>
      </c>
      <c r="I4825" s="49">
        <v>29975</v>
      </c>
      <c r="J4825" s="24">
        <v>1</v>
      </c>
      <c r="K4825" s="24"/>
      <c r="L4825" s="91">
        <v>0</v>
      </c>
      <c r="M4825" s="24"/>
      <c r="N4825" s="12">
        <f t="shared" si="186"/>
        <v>1</v>
      </c>
      <c r="O4825" s="11">
        <f t="shared" si="187"/>
        <v>29975</v>
      </c>
      <c r="P4825" s="10">
        <v>1396</v>
      </c>
      <c r="Q4825" s="10" t="s">
        <v>1928</v>
      </c>
      <c r="R4825" s="50">
        <f>+テーブル1[[#This Row],[合計金額]]*テーブル1[[#This Row],[自社報酬率％]]/100</f>
        <v>29975</v>
      </c>
    </row>
    <row r="4826" spans="1:18">
      <c r="A4826" s="7">
        <v>45992</v>
      </c>
      <c r="B4826" t="s">
        <v>43</v>
      </c>
      <c r="C4826" s="147" t="s">
        <v>44</v>
      </c>
      <c r="D4826" s="41">
        <v>100</v>
      </c>
      <c r="E4826" s="41">
        <v>100</v>
      </c>
      <c r="F4826" s="18" t="s">
        <v>17</v>
      </c>
      <c r="G4826" s="28">
        <v>45992</v>
      </c>
      <c r="H4826" s="26" t="s">
        <v>2143</v>
      </c>
      <c r="I4826" s="49">
        <v>29975</v>
      </c>
      <c r="J4826" s="24">
        <v>6</v>
      </c>
      <c r="K4826" s="24"/>
      <c r="L4826" s="91">
        <v>0</v>
      </c>
      <c r="M4826" s="24"/>
      <c r="N4826" s="12">
        <f t="shared" si="186"/>
        <v>6</v>
      </c>
      <c r="O4826" s="11">
        <f t="shared" si="187"/>
        <v>179850</v>
      </c>
      <c r="P4826" s="10">
        <v>1397</v>
      </c>
      <c r="Q4826" s="10" t="s">
        <v>1928</v>
      </c>
      <c r="R4826" s="50">
        <f>+テーブル1[[#This Row],[合計金額]]*テーブル1[[#This Row],[自社報酬率％]]/100</f>
        <v>179850</v>
      </c>
    </row>
    <row r="4827" spans="1:18">
      <c r="A4827" s="7">
        <v>45992</v>
      </c>
      <c r="B4827" t="s">
        <v>43</v>
      </c>
      <c r="C4827" s="147" t="s">
        <v>44</v>
      </c>
      <c r="D4827" s="41">
        <v>100</v>
      </c>
      <c r="E4827" s="41">
        <v>100</v>
      </c>
      <c r="F4827" s="18" t="s">
        <v>17</v>
      </c>
      <c r="G4827" s="28">
        <v>45992</v>
      </c>
      <c r="H4827" s="26" t="s">
        <v>2296</v>
      </c>
      <c r="I4827" s="49">
        <v>29975</v>
      </c>
      <c r="J4827" s="24">
        <v>5</v>
      </c>
      <c r="K4827" s="24"/>
      <c r="L4827" s="91">
        <v>0</v>
      </c>
      <c r="M4827" s="24"/>
      <c r="N4827" s="12">
        <f t="shared" si="186"/>
        <v>5</v>
      </c>
      <c r="O4827" s="11">
        <f t="shared" si="187"/>
        <v>149875</v>
      </c>
      <c r="P4827" s="10">
        <v>1398</v>
      </c>
      <c r="Q4827" s="10" t="s">
        <v>1928</v>
      </c>
      <c r="R4827" s="50">
        <f>+テーブル1[[#This Row],[合計金額]]*テーブル1[[#This Row],[自社報酬率％]]/100</f>
        <v>149875</v>
      </c>
    </row>
    <row r="4828" spans="1:18">
      <c r="A4828" s="7">
        <v>45992</v>
      </c>
      <c r="B4828" t="s">
        <v>43</v>
      </c>
      <c r="C4828" s="147" t="s">
        <v>44</v>
      </c>
      <c r="D4828" s="41">
        <v>100</v>
      </c>
      <c r="E4828" s="41">
        <v>100</v>
      </c>
      <c r="F4828" s="18" t="s">
        <v>17</v>
      </c>
      <c r="G4828" s="28">
        <v>45992</v>
      </c>
      <c r="H4828" s="26" t="s">
        <v>2425</v>
      </c>
      <c r="I4828" s="49">
        <v>27500</v>
      </c>
      <c r="J4828" s="24">
        <v>1</v>
      </c>
      <c r="K4828" s="24"/>
      <c r="L4828" s="91">
        <v>0</v>
      </c>
      <c r="M4828" s="24"/>
      <c r="N4828" s="12">
        <f t="shared" si="186"/>
        <v>1</v>
      </c>
      <c r="O4828" s="11">
        <f t="shared" si="187"/>
        <v>27500</v>
      </c>
      <c r="P4828" s="10">
        <v>1399</v>
      </c>
      <c r="Q4828" s="10" t="s">
        <v>1928</v>
      </c>
      <c r="R4828" s="50">
        <f>+テーブル1[[#This Row],[合計金額]]*テーブル1[[#This Row],[自社報酬率％]]/100</f>
        <v>27500</v>
      </c>
    </row>
    <row r="4829" spans="1:18">
      <c r="A4829" s="7">
        <v>45992</v>
      </c>
      <c r="B4829" t="s">
        <v>43</v>
      </c>
      <c r="C4829" s="147" t="s">
        <v>44</v>
      </c>
      <c r="D4829" s="41">
        <v>100</v>
      </c>
      <c r="E4829" s="41">
        <v>100</v>
      </c>
      <c r="F4829" s="18" t="s">
        <v>17</v>
      </c>
      <c r="G4829" s="28">
        <v>45992</v>
      </c>
      <c r="H4829" s="26" t="s">
        <v>2522</v>
      </c>
      <c r="I4829" s="49">
        <v>29975</v>
      </c>
      <c r="J4829" s="24">
        <v>5</v>
      </c>
      <c r="K4829" s="24"/>
      <c r="L4829" s="91">
        <v>0</v>
      </c>
      <c r="M4829" s="24"/>
      <c r="N4829" s="12">
        <f t="shared" si="186"/>
        <v>5</v>
      </c>
      <c r="O4829" s="11">
        <f t="shared" si="187"/>
        <v>149875</v>
      </c>
      <c r="P4829" s="10">
        <v>1400</v>
      </c>
      <c r="Q4829" s="10" t="s">
        <v>1928</v>
      </c>
      <c r="R4829" s="50">
        <f>+テーブル1[[#This Row],[合計金額]]*テーブル1[[#This Row],[自社報酬率％]]/100</f>
        <v>149875</v>
      </c>
    </row>
    <row r="4830" spans="1:18">
      <c r="A4830" s="7">
        <v>45992</v>
      </c>
      <c r="B4830" t="s">
        <v>43</v>
      </c>
      <c r="C4830" s="147" t="s">
        <v>44</v>
      </c>
      <c r="D4830" s="41">
        <v>100</v>
      </c>
      <c r="E4830" s="41">
        <v>100</v>
      </c>
      <c r="F4830" s="18" t="s">
        <v>17</v>
      </c>
      <c r="G4830" s="28">
        <v>45992</v>
      </c>
      <c r="H4830" s="26" t="s">
        <v>2676</v>
      </c>
      <c r="I4830" s="49">
        <v>29975</v>
      </c>
      <c r="J4830" s="24">
        <v>2</v>
      </c>
      <c r="K4830" s="24"/>
      <c r="L4830" s="91">
        <v>0</v>
      </c>
      <c r="M4830" s="24"/>
      <c r="N4830" s="12">
        <f t="shared" si="186"/>
        <v>2</v>
      </c>
      <c r="O4830" s="11">
        <f t="shared" si="187"/>
        <v>59950</v>
      </c>
      <c r="P4830" s="10">
        <v>1401</v>
      </c>
      <c r="Q4830" s="10" t="s">
        <v>1928</v>
      </c>
      <c r="R4830" s="50">
        <f>+テーブル1[[#This Row],[合計金額]]*テーブル1[[#This Row],[自社報酬率％]]/100</f>
        <v>59950</v>
      </c>
    </row>
    <row r="4831" spans="1:18">
      <c r="A4831" s="7">
        <v>45992</v>
      </c>
      <c r="B4831" t="s">
        <v>43</v>
      </c>
      <c r="C4831" s="147" t="s">
        <v>44</v>
      </c>
      <c r="D4831" s="41">
        <v>100</v>
      </c>
      <c r="E4831" s="41">
        <v>100</v>
      </c>
      <c r="F4831" s="18" t="s">
        <v>17</v>
      </c>
      <c r="G4831" s="28">
        <v>45992</v>
      </c>
      <c r="H4831" s="26" t="s">
        <v>2775</v>
      </c>
      <c r="I4831" s="49">
        <v>27500</v>
      </c>
      <c r="J4831" s="24">
        <v>1</v>
      </c>
      <c r="K4831" s="24"/>
      <c r="L4831" s="91">
        <v>0</v>
      </c>
      <c r="M4831" s="24"/>
      <c r="N4831" s="12">
        <f t="shared" si="186"/>
        <v>1</v>
      </c>
      <c r="O4831" s="11">
        <f t="shared" si="187"/>
        <v>27500</v>
      </c>
      <c r="P4831" s="10">
        <v>1402</v>
      </c>
      <c r="Q4831" s="10" t="s">
        <v>1928</v>
      </c>
      <c r="R4831" s="50">
        <f>+テーブル1[[#This Row],[合計金額]]*テーブル1[[#This Row],[自社報酬率％]]/100</f>
        <v>27500</v>
      </c>
    </row>
    <row r="4832" spans="1:18">
      <c r="A4832" s="7">
        <v>45992</v>
      </c>
      <c r="B4832" t="s">
        <v>43</v>
      </c>
      <c r="C4832" s="147" t="s">
        <v>44</v>
      </c>
      <c r="D4832" s="41">
        <v>100</v>
      </c>
      <c r="E4832" s="41">
        <v>100</v>
      </c>
      <c r="F4832" s="18" t="s">
        <v>17</v>
      </c>
      <c r="G4832" s="28">
        <v>45992</v>
      </c>
      <c r="H4832" s="26" t="s">
        <v>2775</v>
      </c>
      <c r="I4832" s="49">
        <v>29975</v>
      </c>
      <c r="J4832" s="24">
        <v>6</v>
      </c>
      <c r="K4832" s="24"/>
      <c r="L4832" s="91">
        <v>0</v>
      </c>
      <c r="M4832" s="24"/>
      <c r="N4832" s="12">
        <f t="shared" si="186"/>
        <v>6</v>
      </c>
      <c r="O4832" s="11">
        <f t="shared" si="187"/>
        <v>179850</v>
      </c>
      <c r="P4832" s="10">
        <v>1403</v>
      </c>
      <c r="Q4832" s="10" t="s">
        <v>1928</v>
      </c>
      <c r="R4832" s="50">
        <f>+テーブル1[[#This Row],[合計金額]]*テーブル1[[#This Row],[自社報酬率％]]/100</f>
        <v>179850</v>
      </c>
    </row>
    <row r="4833" spans="1:18">
      <c r="A4833" s="7">
        <v>45992</v>
      </c>
      <c r="B4833" t="s">
        <v>43</v>
      </c>
      <c r="C4833" s="147" t="s">
        <v>44</v>
      </c>
      <c r="D4833" s="41">
        <v>100</v>
      </c>
      <c r="E4833" s="41">
        <v>100</v>
      </c>
      <c r="F4833" s="18" t="s">
        <v>17</v>
      </c>
      <c r="G4833" s="28">
        <v>45992</v>
      </c>
      <c r="H4833" s="26" t="s">
        <v>2989</v>
      </c>
      <c r="I4833" s="49">
        <v>29800</v>
      </c>
      <c r="J4833" s="24">
        <v>1</v>
      </c>
      <c r="K4833" s="24"/>
      <c r="L4833" s="91">
        <v>0</v>
      </c>
      <c r="M4833" s="24"/>
      <c r="N4833" s="12">
        <f t="shared" si="186"/>
        <v>1</v>
      </c>
      <c r="O4833" s="11">
        <f t="shared" si="187"/>
        <v>29800</v>
      </c>
      <c r="P4833" s="10">
        <v>1404</v>
      </c>
      <c r="Q4833" s="10" t="s">
        <v>1928</v>
      </c>
      <c r="R4833" s="50">
        <f>+テーブル1[[#This Row],[合計金額]]*テーブル1[[#This Row],[自社報酬率％]]/100</f>
        <v>29800</v>
      </c>
    </row>
    <row r="4834" spans="1:18">
      <c r="A4834" s="7">
        <v>45992</v>
      </c>
      <c r="B4834" t="s">
        <v>43</v>
      </c>
      <c r="C4834" s="147" t="s">
        <v>44</v>
      </c>
      <c r="D4834" s="41">
        <v>100</v>
      </c>
      <c r="E4834" s="41">
        <v>100</v>
      </c>
      <c r="F4834" s="72" t="s">
        <v>19</v>
      </c>
      <c r="G4834" s="85">
        <v>46023</v>
      </c>
      <c r="H4834" s="26" t="s">
        <v>215</v>
      </c>
      <c r="I4834" s="49">
        <v>8900</v>
      </c>
      <c r="J4834" s="73">
        <v>1</v>
      </c>
      <c r="K4834" s="24"/>
      <c r="L4834" s="90">
        <v>0</v>
      </c>
      <c r="M4834" s="24"/>
      <c r="N4834" s="93">
        <f t="shared" si="186"/>
        <v>1</v>
      </c>
      <c r="O4834" s="11">
        <f t="shared" si="187"/>
        <v>8900</v>
      </c>
      <c r="P4834" s="10">
        <v>1405</v>
      </c>
      <c r="Q4834" s="10" t="s">
        <v>1928</v>
      </c>
      <c r="R4834" s="50">
        <f>+テーブル1[[#This Row],[合計金額]]*テーブル1[[#This Row],[自社報酬率％]]/100</f>
        <v>8900</v>
      </c>
    </row>
    <row r="4835" spans="1:18">
      <c r="A4835" s="7">
        <v>45992</v>
      </c>
      <c r="B4835" t="s">
        <v>43</v>
      </c>
      <c r="C4835" s="147" t="s">
        <v>44</v>
      </c>
      <c r="D4835" s="41">
        <v>100</v>
      </c>
      <c r="E4835" s="41">
        <v>100</v>
      </c>
      <c r="F4835" s="101" t="s">
        <v>19</v>
      </c>
      <c r="G4835" s="102">
        <v>46054</v>
      </c>
      <c r="H4835" s="26" t="s">
        <v>3202</v>
      </c>
      <c r="I4835" s="49">
        <v>8900</v>
      </c>
      <c r="J4835" s="24">
        <v>1</v>
      </c>
      <c r="K4835" s="24"/>
      <c r="L4835" s="91">
        <v>0</v>
      </c>
      <c r="M4835" s="24"/>
      <c r="N4835" s="94">
        <f t="shared" si="186"/>
        <v>1</v>
      </c>
      <c r="O4835" s="11">
        <f t="shared" si="187"/>
        <v>8900</v>
      </c>
      <c r="P4835" s="10">
        <v>1406</v>
      </c>
      <c r="Q4835" s="10" t="s">
        <v>1928</v>
      </c>
      <c r="R4835" s="50">
        <f>+テーブル1[[#This Row],[合計金額]]*テーブル1[[#This Row],[自社報酬率％]]/100</f>
        <v>8900</v>
      </c>
    </row>
    <row r="4836" spans="1:18">
      <c r="A4836" s="7">
        <v>45992</v>
      </c>
      <c r="B4836" t="s">
        <v>43</v>
      </c>
      <c r="C4836" s="147" t="s">
        <v>44</v>
      </c>
      <c r="D4836" s="41">
        <v>100</v>
      </c>
      <c r="E4836" s="41">
        <v>100</v>
      </c>
      <c r="F4836" s="101" t="s">
        <v>19</v>
      </c>
      <c r="G4836" s="102">
        <v>46082</v>
      </c>
      <c r="H4836" s="26" t="s">
        <v>3203</v>
      </c>
      <c r="I4836" s="49">
        <v>8900</v>
      </c>
      <c r="J4836" s="24">
        <v>1</v>
      </c>
      <c r="K4836" s="24"/>
      <c r="L4836" s="91">
        <v>0</v>
      </c>
      <c r="M4836" s="24"/>
      <c r="N4836" s="94">
        <f t="shared" si="186"/>
        <v>1</v>
      </c>
      <c r="O4836" s="11">
        <f t="shared" si="187"/>
        <v>8900</v>
      </c>
      <c r="P4836" s="10">
        <v>1407</v>
      </c>
      <c r="Q4836" s="10" t="s">
        <v>1928</v>
      </c>
      <c r="R4836" s="50">
        <f>+テーブル1[[#This Row],[合計金額]]*テーブル1[[#This Row],[自社報酬率％]]/100</f>
        <v>8900</v>
      </c>
    </row>
    <row r="4837" spans="1:18">
      <c r="A4837" s="7">
        <v>45992</v>
      </c>
      <c r="B4837" t="s">
        <v>43</v>
      </c>
      <c r="C4837" s="147" t="s">
        <v>44</v>
      </c>
      <c r="D4837" s="41">
        <v>100</v>
      </c>
      <c r="E4837" s="41">
        <v>100</v>
      </c>
      <c r="F4837" s="101" t="s">
        <v>19</v>
      </c>
      <c r="G4837" s="102">
        <v>46113</v>
      </c>
      <c r="H4837" s="26" t="s">
        <v>3204</v>
      </c>
      <c r="I4837" s="49">
        <v>8900</v>
      </c>
      <c r="J4837" s="24">
        <v>1</v>
      </c>
      <c r="K4837" s="24"/>
      <c r="L4837" s="91">
        <v>0</v>
      </c>
      <c r="M4837" s="24"/>
      <c r="N4837" s="94">
        <f t="shared" si="186"/>
        <v>1</v>
      </c>
      <c r="O4837" s="11">
        <f t="shared" si="187"/>
        <v>8900</v>
      </c>
      <c r="P4837" s="10">
        <v>1408</v>
      </c>
      <c r="Q4837" s="10" t="s">
        <v>1928</v>
      </c>
      <c r="R4837" s="50">
        <f>+テーブル1[[#This Row],[合計金額]]*テーブル1[[#This Row],[自社報酬率％]]/100</f>
        <v>8900</v>
      </c>
    </row>
    <row r="4838" spans="1:18">
      <c r="A4838" s="7">
        <v>45992</v>
      </c>
      <c r="B4838" t="s">
        <v>43</v>
      </c>
      <c r="C4838" s="147" t="s">
        <v>44</v>
      </c>
      <c r="D4838" s="41">
        <v>100</v>
      </c>
      <c r="E4838" s="41">
        <v>100</v>
      </c>
      <c r="F4838" s="101" t="s">
        <v>19</v>
      </c>
      <c r="G4838" s="102">
        <v>46143</v>
      </c>
      <c r="H4838" s="26" t="s">
        <v>3205</v>
      </c>
      <c r="I4838" s="49">
        <v>8900</v>
      </c>
      <c r="J4838" s="24">
        <v>1</v>
      </c>
      <c r="K4838" s="24"/>
      <c r="L4838" s="91">
        <v>0</v>
      </c>
      <c r="M4838" s="24"/>
      <c r="N4838" s="94">
        <f t="shared" si="186"/>
        <v>1</v>
      </c>
      <c r="O4838" s="11">
        <f t="shared" si="187"/>
        <v>8900</v>
      </c>
      <c r="P4838" s="10">
        <v>1409</v>
      </c>
      <c r="Q4838" s="10" t="s">
        <v>1928</v>
      </c>
      <c r="R4838" s="50">
        <f>+テーブル1[[#This Row],[合計金額]]*テーブル1[[#This Row],[自社報酬率％]]/100</f>
        <v>8900</v>
      </c>
    </row>
    <row r="4839" spans="1:18">
      <c r="A4839" s="7">
        <v>45992</v>
      </c>
      <c r="B4839" t="s">
        <v>43</v>
      </c>
      <c r="C4839" s="147" t="s">
        <v>44</v>
      </c>
      <c r="D4839" s="41">
        <v>100</v>
      </c>
      <c r="E4839" s="41">
        <v>100</v>
      </c>
      <c r="F4839" s="76" t="s">
        <v>19</v>
      </c>
      <c r="G4839" s="86">
        <v>46174</v>
      </c>
      <c r="H4839" s="26" t="s">
        <v>3206</v>
      </c>
      <c r="I4839" s="49">
        <v>8900</v>
      </c>
      <c r="J4839" s="77">
        <v>1</v>
      </c>
      <c r="K4839" s="24"/>
      <c r="L4839" s="92">
        <v>0</v>
      </c>
      <c r="M4839" s="24"/>
      <c r="N4839" s="95">
        <f t="shared" si="186"/>
        <v>1</v>
      </c>
      <c r="O4839" s="11">
        <f t="shared" si="187"/>
        <v>8900</v>
      </c>
      <c r="P4839" s="10">
        <v>1410</v>
      </c>
      <c r="Q4839" s="10" t="s">
        <v>1928</v>
      </c>
      <c r="R4839" s="50">
        <f>+テーブル1[[#This Row],[合計金額]]*テーブル1[[#This Row],[自社報酬率％]]/100</f>
        <v>8900</v>
      </c>
    </row>
    <row r="4840" spans="1:18">
      <c r="A4840" s="7">
        <v>45992</v>
      </c>
      <c r="B4840" t="s">
        <v>43</v>
      </c>
      <c r="C4840" s="147" t="s">
        <v>44</v>
      </c>
      <c r="D4840" s="41">
        <v>100</v>
      </c>
      <c r="E4840" s="41">
        <v>100</v>
      </c>
      <c r="F4840" s="72" t="s">
        <v>19</v>
      </c>
      <c r="G4840" s="85">
        <v>46023</v>
      </c>
      <c r="H4840" s="26" t="s">
        <v>214</v>
      </c>
      <c r="I4840" s="49">
        <v>8900</v>
      </c>
      <c r="J4840" s="73">
        <v>1</v>
      </c>
      <c r="K4840" s="24"/>
      <c r="L4840" s="90">
        <v>0</v>
      </c>
      <c r="M4840" s="24"/>
      <c r="N4840" s="93">
        <f t="shared" si="186"/>
        <v>1</v>
      </c>
      <c r="O4840" s="11">
        <f t="shared" si="187"/>
        <v>8900</v>
      </c>
      <c r="P4840" s="10">
        <v>1411</v>
      </c>
      <c r="Q4840" s="10" t="s">
        <v>1928</v>
      </c>
      <c r="R4840" s="50">
        <f>+テーブル1[[#This Row],[合計金額]]*テーブル1[[#This Row],[自社報酬率％]]/100</f>
        <v>8900</v>
      </c>
    </row>
    <row r="4841" spans="1:18">
      <c r="A4841" s="7">
        <v>45992</v>
      </c>
      <c r="B4841" t="s">
        <v>43</v>
      </c>
      <c r="C4841" s="147" t="s">
        <v>44</v>
      </c>
      <c r="D4841" s="41">
        <v>100</v>
      </c>
      <c r="E4841" s="41">
        <v>100</v>
      </c>
      <c r="F4841" s="101" t="s">
        <v>19</v>
      </c>
      <c r="G4841" s="102">
        <v>46054</v>
      </c>
      <c r="H4841" s="26" t="s">
        <v>3207</v>
      </c>
      <c r="I4841" s="49">
        <v>8900</v>
      </c>
      <c r="J4841" s="24">
        <v>1</v>
      </c>
      <c r="K4841" s="24"/>
      <c r="L4841" s="91">
        <v>0</v>
      </c>
      <c r="M4841" s="24"/>
      <c r="N4841" s="94">
        <f t="shared" si="186"/>
        <v>1</v>
      </c>
      <c r="O4841" s="11">
        <f t="shared" si="187"/>
        <v>8900</v>
      </c>
      <c r="P4841" s="10">
        <v>1412</v>
      </c>
      <c r="Q4841" s="10" t="s">
        <v>1928</v>
      </c>
      <c r="R4841" s="50">
        <f>+テーブル1[[#This Row],[合計金額]]*テーブル1[[#This Row],[自社報酬率％]]/100</f>
        <v>8900</v>
      </c>
    </row>
    <row r="4842" spans="1:18">
      <c r="A4842" s="7">
        <v>45992</v>
      </c>
      <c r="B4842" t="s">
        <v>43</v>
      </c>
      <c r="C4842" s="147" t="s">
        <v>44</v>
      </c>
      <c r="D4842" s="41">
        <v>100</v>
      </c>
      <c r="E4842" s="41">
        <v>100</v>
      </c>
      <c r="F4842" s="101" t="s">
        <v>19</v>
      </c>
      <c r="G4842" s="102">
        <v>46082</v>
      </c>
      <c r="H4842" s="26" t="s">
        <v>3208</v>
      </c>
      <c r="I4842" s="49">
        <v>8900</v>
      </c>
      <c r="J4842" s="24">
        <v>1</v>
      </c>
      <c r="K4842" s="24"/>
      <c r="L4842" s="91">
        <v>0</v>
      </c>
      <c r="M4842" s="24"/>
      <c r="N4842" s="94">
        <f t="shared" si="186"/>
        <v>1</v>
      </c>
      <c r="O4842" s="11">
        <f t="shared" si="187"/>
        <v>8900</v>
      </c>
      <c r="P4842" s="10">
        <v>1413</v>
      </c>
      <c r="Q4842" s="10" t="s">
        <v>1928</v>
      </c>
      <c r="R4842" s="50">
        <f>+テーブル1[[#This Row],[合計金額]]*テーブル1[[#This Row],[自社報酬率％]]/100</f>
        <v>8900</v>
      </c>
    </row>
    <row r="4843" spans="1:18">
      <c r="A4843" s="7">
        <v>45992</v>
      </c>
      <c r="B4843" t="s">
        <v>43</v>
      </c>
      <c r="C4843" s="147" t="s">
        <v>44</v>
      </c>
      <c r="D4843" s="41">
        <v>100</v>
      </c>
      <c r="E4843" s="41">
        <v>100</v>
      </c>
      <c r="F4843" s="101" t="s">
        <v>19</v>
      </c>
      <c r="G4843" s="102">
        <v>46113</v>
      </c>
      <c r="H4843" s="26" t="s">
        <v>3209</v>
      </c>
      <c r="I4843" s="49">
        <v>8900</v>
      </c>
      <c r="J4843" s="24">
        <v>1</v>
      </c>
      <c r="K4843" s="24"/>
      <c r="L4843" s="91">
        <v>0</v>
      </c>
      <c r="M4843" s="24"/>
      <c r="N4843" s="94">
        <f t="shared" si="186"/>
        <v>1</v>
      </c>
      <c r="O4843" s="11">
        <f t="shared" si="187"/>
        <v>8900</v>
      </c>
      <c r="P4843" s="10">
        <v>1414</v>
      </c>
      <c r="Q4843" s="10" t="s">
        <v>1928</v>
      </c>
      <c r="R4843" s="50">
        <f>+テーブル1[[#This Row],[合計金額]]*テーブル1[[#This Row],[自社報酬率％]]/100</f>
        <v>8900</v>
      </c>
    </row>
    <row r="4844" spans="1:18">
      <c r="A4844" s="7">
        <v>45992</v>
      </c>
      <c r="B4844" t="s">
        <v>43</v>
      </c>
      <c r="C4844" s="147" t="s">
        <v>44</v>
      </c>
      <c r="D4844" s="41">
        <v>100</v>
      </c>
      <c r="E4844" s="41">
        <v>100</v>
      </c>
      <c r="F4844" s="101" t="s">
        <v>19</v>
      </c>
      <c r="G4844" s="102">
        <v>46143</v>
      </c>
      <c r="H4844" s="26" t="s">
        <v>3210</v>
      </c>
      <c r="I4844" s="49">
        <v>8900</v>
      </c>
      <c r="J4844" s="24">
        <v>1</v>
      </c>
      <c r="K4844" s="24"/>
      <c r="L4844" s="91">
        <v>0</v>
      </c>
      <c r="M4844" s="24"/>
      <c r="N4844" s="94">
        <f t="shared" si="186"/>
        <v>1</v>
      </c>
      <c r="O4844" s="11">
        <f t="shared" si="187"/>
        <v>8900</v>
      </c>
      <c r="P4844" s="10">
        <v>1415</v>
      </c>
      <c r="Q4844" s="10" t="s">
        <v>1928</v>
      </c>
      <c r="R4844" s="50">
        <f>+テーブル1[[#This Row],[合計金額]]*テーブル1[[#This Row],[自社報酬率％]]/100</f>
        <v>8900</v>
      </c>
    </row>
    <row r="4845" spans="1:18">
      <c r="A4845" s="7">
        <v>45992</v>
      </c>
      <c r="B4845" t="s">
        <v>43</v>
      </c>
      <c r="C4845" s="147" t="s">
        <v>44</v>
      </c>
      <c r="D4845" s="41">
        <v>100</v>
      </c>
      <c r="E4845" s="41">
        <v>100</v>
      </c>
      <c r="F4845" s="76" t="s">
        <v>19</v>
      </c>
      <c r="G4845" s="86">
        <v>46174</v>
      </c>
      <c r="H4845" s="26" t="s">
        <v>3211</v>
      </c>
      <c r="I4845" s="49">
        <v>8900</v>
      </c>
      <c r="J4845" s="77">
        <v>1</v>
      </c>
      <c r="K4845" s="24"/>
      <c r="L4845" s="92">
        <v>0</v>
      </c>
      <c r="M4845" s="24"/>
      <c r="N4845" s="95">
        <f t="shared" si="186"/>
        <v>1</v>
      </c>
      <c r="O4845" s="11">
        <f t="shared" si="187"/>
        <v>8900</v>
      </c>
      <c r="P4845" s="10">
        <v>1416</v>
      </c>
      <c r="Q4845" s="10" t="s">
        <v>1928</v>
      </c>
      <c r="R4845" s="50">
        <f>+テーブル1[[#This Row],[合計金額]]*テーブル1[[#This Row],[自社報酬率％]]/100</f>
        <v>8900</v>
      </c>
    </row>
    <row r="4846" spans="1:18">
      <c r="A4846" s="7">
        <v>45992</v>
      </c>
      <c r="B4846" t="s">
        <v>43</v>
      </c>
      <c r="C4846" s="147" t="s">
        <v>44</v>
      </c>
      <c r="D4846" s="41">
        <v>100</v>
      </c>
      <c r="E4846" s="41">
        <v>100</v>
      </c>
      <c r="F4846" s="101" t="s">
        <v>19</v>
      </c>
      <c r="G4846" s="102">
        <v>46023</v>
      </c>
      <c r="H4846" s="26" t="s">
        <v>3212</v>
      </c>
      <c r="I4846" s="49">
        <v>11000</v>
      </c>
      <c r="J4846" s="24">
        <v>1</v>
      </c>
      <c r="K4846" s="24"/>
      <c r="L4846" s="91">
        <v>0</v>
      </c>
      <c r="M4846" s="24"/>
      <c r="N4846" s="12">
        <f t="shared" si="186"/>
        <v>1</v>
      </c>
      <c r="O4846" s="11">
        <f t="shared" si="187"/>
        <v>11000</v>
      </c>
      <c r="P4846" s="10">
        <v>1417</v>
      </c>
      <c r="Q4846" s="10" t="s">
        <v>1928</v>
      </c>
      <c r="R4846" s="50">
        <f>+テーブル1[[#This Row],[合計金額]]*テーブル1[[#This Row],[自社報酬率％]]/100</f>
        <v>11000</v>
      </c>
    </row>
    <row r="4847" spans="1:18">
      <c r="A4847" s="7">
        <v>45992</v>
      </c>
      <c r="B4847" t="s">
        <v>43</v>
      </c>
      <c r="C4847" s="147" t="s">
        <v>44</v>
      </c>
      <c r="D4847" s="41">
        <v>100</v>
      </c>
      <c r="E4847" s="41">
        <v>100</v>
      </c>
      <c r="F4847" s="76" t="s">
        <v>16</v>
      </c>
      <c r="G4847" s="86">
        <v>46023</v>
      </c>
      <c r="H4847" s="26" t="s">
        <v>3213</v>
      </c>
      <c r="I4847" s="49">
        <v>3000</v>
      </c>
      <c r="J4847" s="77">
        <v>11</v>
      </c>
      <c r="K4847" s="24"/>
      <c r="L4847" s="92">
        <v>0</v>
      </c>
      <c r="M4847" s="24"/>
      <c r="N4847" s="96">
        <f t="shared" si="186"/>
        <v>11</v>
      </c>
      <c r="O4847" s="11">
        <f t="shared" si="187"/>
        <v>33000</v>
      </c>
      <c r="P4847" s="10">
        <v>1418</v>
      </c>
      <c r="Q4847" s="10" t="s">
        <v>1928</v>
      </c>
      <c r="R4847" s="50">
        <f>+テーブル1[[#This Row],[合計金額]]*テーブル1[[#This Row],[自社報酬率％]]/100</f>
        <v>33000</v>
      </c>
    </row>
    <row r="4848" spans="1:18">
      <c r="A4848" s="7">
        <v>45992</v>
      </c>
      <c r="B4848" t="s">
        <v>43</v>
      </c>
      <c r="C4848" s="79" t="s">
        <v>1962</v>
      </c>
      <c r="D4848" s="41">
        <v>50</v>
      </c>
      <c r="E4848" s="41">
        <v>50</v>
      </c>
      <c r="F4848" s="72" t="s">
        <v>17</v>
      </c>
      <c r="G4848" s="85">
        <v>46023</v>
      </c>
      <c r="H4848" s="26" t="s">
        <v>3214</v>
      </c>
      <c r="I4848" s="49">
        <v>3960</v>
      </c>
      <c r="J4848" s="73">
        <v>2</v>
      </c>
      <c r="K4848" s="24"/>
      <c r="L4848" s="90">
        <v>0</v>
      </c>
      <c r="M4848" s="24"/>
      <c r="N4848" s="93">
        <f t="shared" si="186"/>
        <v>2</v>
      </c>
      <c r="O4848" s="11">
        <f t="shared" si="187"/>
        <v>7920</v>
      </c>
      <c r="P4848" s="10">
        <v>1419</v>
      </c>
      <c r="Q4848" s="10" t="s">
        <v>1928</v>
      </c>
      <c r="R4848" s="50">
        <f>+テーブル1[[#This Row],[合計金額]]*テーブル1[[#This Row],[自社報酬率％]]/100</f>
        <v>3960</v>
      </c>
    </row>
    <row r="4849" spans="1:18">
      <c r="A4849" s="7">
        <v>45992</v>
      </c>
      <c r="B4849" t="s">
        <v>43</v>
      </c>
      <c r="C4849" s="80" t="s">
        <v>1962</v>
      </c>
      <c r="D4849" s="41">
        <v>50</v>
      </c>
      <c r="E4849" s="41">
        <v>50</v>
      </c>
      <c r="F4849" s="101" t="s">
        <v>17</v>
      </c>
      <c r="G4849" s="102">
        <v>46054</v>
      </c>
      <c r="H4849" s="26" t="s">
        <v>3215</v>
      </c>
      <c r="I4849" s="49">
        <v>3960</v>
      </c>
      <c r="J4849" s="24">
        <v>2</v>
      </c>
      <c r="K4849" s="24"/>
      <c r="L4849" s="91">
        <v>0</v>
      </c>
      <c r="M4849" s="24"/>
      <c r="N4849" s="94">
        <f t="shared" si="186"/>
        <v>2</v>
      </c>
      <c r="O4849" s="11">
        <f t="shared" si="187"/>
        <v>7920</v>
      </c>
      <c r="P4849" s="10">
        <v>1420</v>
      </c>
      <c r="Q4849" s="10" t="s">
        <v>1928</v>
      </c>
      <c r="R4849" s="50">
        <f>+テーブル1[[#This Row],[合計金額]]*テーブル1[[#This Row],[自社報酬率％]]/100</f>
        <v>3960</v>
      </c>
    </row>
    <row r="4850" spans="1:18">
      <c r="A4850" s="7">
        <v>45992</v>
      </c>
      <c r="B4850" t="s">
        <v>43</v>
      </c>
      <c r="C4850" s="80" t="s">
        <v>1962</v>
      </c>
      <c r="D4850" s="41">
        <v>50</v>
      </c>
      <c r="E4850" s="41">
        <v>50</v>
      </c>
      <c r="F4850" s="101" t="s">
        <v>17</v>
      </c>
      <c r="G4850" s="102">
        <v>46082</v>
      </c>
      <c r="H4850" s="26" t="s">
        <v>3216</v>
      </c>
      <c r="I4850" s="49">
        <v>3960</v>
      </c>
      <c r="J4850" s="24">
        <v>2</v>
      </c>
      <c r="K4850" s="24"/>
      <c r="L4850" s="91">
        <v>0</v>
      </c>
      <c r="M4850" s="24"/>
      <c r="N4850" s="94">
        <f t="shared" si="186"/>
        <v>2</v>
      </c>
      <c r="O4850" s="11">
        <f t="shared" si="187"/>
        <v>7920</v>
      </c>
      <c r="P4850" s="10">
        <v>1421</v>
      </c>
      <c r="Q4850" s="10" t="s">
        <v>1928</v>
      </c>
      <c r="R4850" s="50">
        <f>+テーブル1[[#This Row],[合計金額]]*テーブル1[[#This Row],[自社報酬率％]]/100</f>
        <v>3960</v>
      </c>
    </row>
    <row r="4851" spans="1:18">
      <c r="A4851" s="7">
        <v>45992</v>
      </c>
      <c r="B4851" t="s">
        <v>43</v>
      </c>
      <c r="C4851" s="80" t="s">
        <v>1962</v>
      </c>
      <c r="D4851" s="41">
        <v>50</v>
      </c>
      <c r="E4851" s="41">
        <v>50</v>
      </c>
      <c r="F4851" s="101" t="s">
        <v>17</v>
      </c>
      <c r="G4851" s="102">
        <v>46113</v>
      </c>
      <c r="H4851" s="26" t="s">
        <v>3217</v>
      </c>
      <c r="I4851" s="49">
        <v>3960</v>
      </c>
      <c r="J4851" s="24">
        <v>2</v>
      </c>
      <c r="K4851" s="24"/>
      <c r="L4851" s="91">
        <v>0</v>
      </c>
      <c r="M4851" s="24"/>
      <c r="N4851" s="94">
        <f t="shared" si="186"/>
        <v>2</v>
      </c>
      <c r="O4851" s="11">
        <f t="shared" si="187"/>
        <v>7920</v>
      </c>
      <c r="P4851" s="10">
        <v>1422</v>
      </c>
      <c r="Q4851" s="10" t="s">
        <v>1928</v>
      </c>
      <c r="R4851" s="50">
        <f>+テーブル1[[#This Row],[合計金額]]*テーブル1[[#This Row],[自社報酬率％]]/100</f>
        <v>3960</v>
      </c>
    </row>
    <row r="4852" spans="1:18">
      <c r="A4852" s="7">
        <v>45992</v>
      </c>
      <c r="B4852" t="s">
        <v>43</v>
      </c>
      <c r="C4852" s="80" t="s">
        <v>1962</v>
      </c>
      <c r="D4852" s="41">
        <v>50</v>
      </c>
      <c r="E4852" s="41">
        <v>50</v>
      </c>
      <c r="F4852" s="101" t="s">
        <v>17</v>
      </c>
      <c r="G4852" s="102">
        <v>46143</v>
      </c>
      <c r="H4852" s="26" t="s">
        <v>3218</v>
      </c>
      <c r="I4852" s="49">
        <v>3960</v>
      </c>
      <c r="J4852" s="24">
        <v>2</v>
      </c>
      <c r="K4852" s="24"/>
      <c r="L4852" s="91">
        <v>0</v>
      </c>
      <c r="M4852" s="24"/>
      <c r="N4852" s="94">
        <f t="shared" si="186"/>
        <v>2</v>
      </c>
      <c r="O4852" s="11">
        <f t="shared" si="187"/>
        <v>7920</v>
      </c>
      <c r="P4852" s="10">
        <v>1423</v>
      </c>
      <c r="Q4852" s="10" t="s">
        <v>1928</v>
      </c>
      <c r="R4852" s="50">
        <f>+テーブル1[[#This Row],[合計金額]]*テーブル1[[#This Row],[自社報酬率％]]/100</f>
        <v>3960</v>
      </c>
    </row>
    <row r="4853" spans="1:18">
      <c r="A4853" s="7">
        <v>45992</v>
      </c>
      <c r="B4853" t="s">
        <v>43</v>
      </c>
      <c r="C4853" s="80" t="s">
        <v>1962</v>
      </c>
      <c r="D4853" s="41">
        <v>50</v>
      </c>
      <c r="E4853" s="41">
        <v>50</v>
      </c>
      <c r="F4853" s="101" t="s">
        <v>17</v>
      </c>
      <c r="G4853" s="102">
        <v>46174</v>
      </c>
      <c r="H4853" s="26" t="s">
        <v>3219</v>
      </c>
      <c r="I4853" s="49">
        <v>3960</v>
      </c>
      <c r="J4853" s="24">
        <v>2</v>
      </c>
      <c r="K4853" s="24"/>
      <c r="L4853" s="91">
        <v>0</v>
      </c>
      <c r="M4853" s="24"/>
      <c r="N4853" s="94">
        <f t="shared" si="186"/>
        <v>2</v>
      </c>
      <c r="O4853" s="11">
        <f t="shared" si="187"/>
        <v>7920</v>
      </c>
      <c r="P4853" s="10">
        <v>1424</v>
      </c>
      <c r="Q4853" s="10" t="s">
        <v>1928</v>
      </c>
      <c r="R4853" s="50">
        <f>+テーブル1[[#This Row],[合計金額]]*テーブル1[[#This Row],[自社報酬率％]]/100</f>
        <v>3960</v>
      </c>
    </row>
    <row r="4854" spans="1:18">
      <c r="A4854" s="7">
        <v>45992</v>
      </c>
      <c r="B4854" t="s">
        <v>43</v>
      </c>
      <c r="C4854" s="80" t="s">
        <v>1962</v>
      </c>
      <c r="D4854" s="41">
        <v>50</v>
      </c>
      <c r="E4854" s="41">
        <v>50</v>
      </c>
      <c r="F4854" s="101" t="s">
        <v>17</v>
      </c>
      <c r="G4854" s="102">
        <v>46204</v>
      </c>
      <c r="H4854" s="26" t="s">
        <v>3220</v>
      </c>
      <c r="I4854" s="49">
        <v>3960</v>
      </c>
      <c r="J4854" s="24">
        <v>2</v>
      </c>
      <c r="K4854" s="24"/>
      <c r="L4854" s="91">
        <v>0</v>
      </c>
      <c r="M4854" s="24"/>
      <c r="N4854" s="94">
        <f t="shared" si="186"/>
        <v>2</v>
      </c>
      <c r="O4854" s="11">
        <f t="shared" si="187"/>
        <v>7920</v>
      </c>
      <c r="P4854" s="10">
        <v>1425</v>
      </c>
      <c r="Q4854" s="10" t="s">
        <v>1928</v>
      </c>
      <c r="R4854" s="50">
        <f>+テーブル1[[#This Row],[合計金額]]*テーブル1[[#This Row],[自社報酬率％]]/100</f>
        <v>3960</v>
      </c>
    </row>
    <row r="4855" spans="1:18">
      <c r="A4855" s="7">
        <v>45992</v>
      </c>
      <c r="B4855" t="s">
        <v>43</v>
      </c>
      <c r="C4855" s="80" t="s">
        <v>1962</v>
      </c>
      <c r="D4855" s="41">
        <v>50</v>
      </c>
      <c r="E4855" s="41">
        <v>50</v>
      </c>
      <c r="F4855" s="101" t="s">
        <v>17</v>
      </c>
      <c r="G4855" s="102">
        <v>46235</v>
      </c>
      <c r="H4855" s="26" t="s">
        <v>3221</v>
      </c>
      <c r="I4855" s="49">
        <v>3960</v>
      </c>
      <c r="J4855" s="24">
        <v>2</v>
      </c>
      <c r="K4855" s="24"/>
      <c r="L4855" s="91">
        <v>0</v>
      </c>
      <c r="M4855" s="24"/>
      <c r="N4855" s="94">
        <f t="shared" si="186"/>
        <v>2</v>
      </c>
      <c r="O4855" s="11">
        <f t="shared" si="187"/>
        <v>7920</v>
      </c>
      <c r="P4855" s="10">
        <v>1426</v>
      </c>
      <c r="Q4855" s="10" t="s">
        <v>1928</v>
      </c>
      <c r="R4855" s="50">
        <f>+テーブル1[[#This Row],[合計金額]]*テーブル1[[#This Row],[自社報酬率％]]/100</f>
        <v>3960</v>
      </c>
    </row>
    <row r="4856" spans="1:18">
      <c r="A4856" s="7">
        <v>45992</v>
      </c>
      <c r="B4856" t="s">
        <v>43</v>
      </c>
      <c r="C4856" s="80" t="s">
        <v>1962</v>
      </c>
      <c r="D4856" s="41">
        <v>50</v>
      </c>
      <c r="E4856" s="41">
        <v>50</v>
      </c>
      <c r="F4856" s="101" t="s">
        <v>17</v>
      </c>
      <c r="G4856" s="102">
        <v>46266</v>
      </c>
      <c r="H4856" s="26" t="s">
        <v>3222</v>
      </c>
      <c r="I4856" s="49">
        <v>3960</v>
      </c>
      <c r="J4856" s="24">
        <v>2</v>
      </c>
      <c r="K4856" s="24"/>
      <c r="L4856" s="91">
        <v>0</v>
      </c>
      <c r="M4856" s="24"/>
      <c r="N4856" s="94">
        <f t="shared" si="186"/>
        <v>2</v>
      </c>
      <c r="O4856" s="11">
        <f t="shared" si="187"/>
        <v>7920</v>
      </c>
      <c r="P4856" s="10">
        <v>1427</v>
      </c>
      <c r="Q4856" s="10" t="s">
        <v>1928</v>
      </c>
      <c r="R4856" s="50">
        <f>+テーブル1[[#This Row],[合計金額]]*テーブル1[[#This Row],[自社報酬率％]]/100</f>
        <v>3960</v>
      </c>
    </row>
    <row r="4857" spans="1:18">
      <c r="A4857" s="7">
        <v>45992</v>
      </c>
      <c r="B4857" t="s">
        <v>43</v>
      </c>
      <c r="C4857" s="80" t="s">
        <v>1962</v>
      </c>
      <c r="D4857" s="41">
        <v>50</v>
      </c>
      <c r="E4857" s="41">
        <v>50</v>
      </c>
      <c r="F4857" s="101" t="s">
        <v>17</v>
      </c>
      <c r="G4857" s="102">
        <v>46296</v>
      </c>
      <c r="H4857" s="26" t="s">
        <v>3223</v>
      </c>
      <c r="I4857" s="49">
        <v>3960</v>
      </c>
      <c r="J4857" s="24">
        <v>2</v>
      </c>
      <c r="K4857" s="24"/>
      <c r="L4857" s="91">
        <v>0</v>
      </c>
      <c r="M4857" s="24"/>
      <c r="N4857" s="94">
        <f t="shared" si="186"/>
        <v>2</v>
      </c>
      <c r="O4857" s="11">
        <f t="shared" si="187"/>
        <v>7920</v>
      </c>
      <c r="P4857" s="10">
        <v>1428</v>
      </c>
      <c r="Q4857" s="10" t="s">
        <v>1928</v>
      </c>
      <c r="R4857" s="50">
        <f>+テーブル1[[#This Row],[合計金額]]*テーブル1[[#This Row],[自社報酬率％]]/100</f>
        <v>3960</v>
      </c>
    </row>
    <row r="4858" spans="1:18">
      <c r="A4858" s="7">
        <v>45992</v>
      </c>
      <c r="B4858" t="s">
        <v>43</v>
      </c>
      <c r="C4858" s="80" t="s">
        <v>1962</v>
      </c>
      <c r="D4858" s="41">
        <v>50</v>
      </c>
      <c r="E4858" s="41">
        <v>50</v>
      </c>
      <c r="F4858" s="101" t="s">
        <v>17</v>
      </c>
      <c r="G4858" s="102">
        <v>46327</v>
      </c>
      <c r="H4858" s="26" t="s">
        <v>3224</v>
      </c>
      <c r="I4858" s="49">
        <v>3960</v>
      </c>
      <c r="J4858" s="24">
        <v>2</v>
      </c>
      <c r="K4858" s="24"/>
      <c r="L4858" s="91">
        <v>0</v>
      </c>
      <c r="M4858" s="24"/>
      <c r="N4858" s="94">
        <f t="shared" si="186"/>
        <v>2</v>
      </c>
      <c r="O4858" s="11">
        <f t="shared" si="187"/>
        <v>7920</v>
      </c>
      <c r="P4858" s="10">
        <v>1429</v>
      </c>
      <c r="Q4858" s="10" t="s">
        <v>1928</v>
      </c>
      <c r="R4858" s="50">
        <f>+テーブル1[[#This Row],[合計金額]]*テーブル1[[#This Row],[自社報酬率％]]/100</f>
        <v>3960</v>
      </c>
    </row>
    <row r="4859" spans="1:18">
      <c r="A4859" s="7">
        <v>45992</v>
      </c>
      <c r="B4859" t="s">
        <v>43</v>
      </c>
      <c r="C4859" s="81" t="s">
        <v>1962</v>
      </c>
      <c r="D4859" s="41">
        <v>50</v>
      </c>
      <c r="E4859" s="41">
        <v>50</v>
      </c>
      <c r="F4859" s="76" t="s">
        <v>17</v>
      </c>
      <c r="G4859" s="86">
        <v>46357</v>
      </c>
      <c r="H4859" s="26" t="s">
        <v>3225</v>
      </c>
      <c r="I4859" s="49">
        <v>3960</v>
      </c>
      <c r="J4859" s="77">
        <v>2</v>
      </c>
      <c r="K4859" s="24"/>
      <c r="L4859" s="92">
        <v>0</v>
      </c>
      <c r="M4859" s="24"/>
      <c r="N4859" s="95">
        <f t="shared" ref="N4859:N4922" si="188">J4859-L4859</f>
        <v>2</v>
      </c>
      <c r="O4859" s="11">
        <f t="shared" ref="O4859:O4922" si="189">+I4859*N4859</f>
        <v>7920</v>
      </c>
      <c r="P4859" s="10">
        <v>1430</v>
      </c>
      <c r="Q4859" s="10" t="s">
        <v>3188</v>
      </c>
      <c r="R4859" s="50">
        <f>+テーブル1[[#This Row],[合計金額]]*テーブル1[[#This Row],[自社報酬率％]]/100</f>
        <v>3960</v>
      </c>
    </row>
    <row r="4860" spans="1:18">
      <c r="A4860" s="7">
        <v>45992</v>
      </c>
      <c r="B4860" t="s">
        <v>43</v>
      </c>
      <c r="C4860" s="18" t="s">
        <v>1962</v>
      </c>
      <c r="D4860" s="41">
        <v>50</v>
      </c>
      <c r="E4860" s="41">
        <v>50</v>
      </c>
      <c r="F4860" s="18" t="s">
        <v>19</v>
      </c>
      <c r="G4860" s="28">
        <v>45992</v>
      </c>
      <c r="H4860" s="26" t="s">
        <v>2158</v>
      </c>
      <c r="I4860" s="49">
        <v>216150</v>
      </c>
      <c r="J4860" s="24">
        <v>1</v>
      </c>
      <c r="K4860" s="24"/>
      <c r="L4860" s="91">
        <v>0</v>
      </c>
      <c r="M4860" s="24"/>
      <c r="N4860" s="12">
        <f t="shared" si="188"/>
        <v>1</v>
      </c>
      <c r="O4860" s="11">
        <f t="shared" si="189"/>
        <v>216150</v>
      </c>
      <c r="P4860" s="10">
        <v>1431</v>
      </c>
      <c r="Q4860" s="10" t="s">
        <v>1928</v>
      </c>
      <c r="R4860" s="50">
        <f>+テーブル1[[#This Row],[合計金額]]*テーブル1[[#This Row],[自社報酬率％]]/100</f>
        <v>108075</v>
      </c>
    </row>
    <row r="4861" spans="1:18">
      <c r="A4861" s="7">
        <v>45992</v>
      </c>
      <c r="B4861" t="s">
        <v>43</v>
      </c>
      <c r="C4861" s="18" t="s">
        <v>1962</v>
      </c>
      <c r="D4861" s="41">
        <v>50</v>
      </c>
      <c r="E4861" s="41">
        <v>50</v>
      </c>
      <c r="F4861" s="18" t="s">
        <v>19</v>
      </c>
      <c r="G4861" s="28">
        <v>45992</v>
      </c>
      <c r="H4861" s="26" t="s">
        <v>2316</v>
      </c>
      <c r="I4861" s="49">
        <v>144100</v>
      </c>
      <c r="J4861" s="24">
        <v>12</v>
      </c>
      <c r="K4861" s="24"/>
      <c r="L4861" s="91">
        <v>0</v>
      </c>
      <c r="M4861" s="24"/>
      <c r="N4861" s="12">
        <f t="shared" si="188"/>
        <v>12</v>
      </c>
      <c r="O4861" s="11">
        <f t="shared" si="189"/>
        <v>1729200</v>
      </c>
      <c r="P4861" s="10">
        <v>1432</v>
      </c>
      <c r="Q4861" s="10" t="s">
        <v>1928</v>
      </c>
      <c r="R4861" s="50">
        <f>+テーブル1[[#This Row],[合計金額]]*テーブル1[[#This Row],[自社報酬率％]]/100</f>
        <v>864600</v>
      </c>
    </row>
    <row r="4862" spans="1:18">
      <c r="A4862" s="7">
        <v>45992</v>
      </c>
      <c r="B4862" t="s">
        <v>43</v>
      </c>
      <c r="C4862" s="18" t="s">
        <v>1962</v>
      </c>
      <c r="D4862" s="41">
        <v>50</v>
      </c>
      <c r="E4862" s="41">
        <v>50</v>
      </c>
      <c r="F4862" s="18" t="s">
        <v>19</v>
      </c>
      <c r="G4862" s="28">
        <v>45992</v>
      </c>
      <c r="H4862" s="26" t="s">
        <v>2317</v>
      </c>
      <c r="I4862" s="49">
        <v>72050</v>
      </c>
      <c r="J4862" s="24">
        <v>55</v>
      </c>
      <c r="K4862" s="24"/>
      <c r="L4862" s="91">
        <v>0</v>
      </c>
      <c r="M4862" s="24"/>
      <c r="N4862" s="12">
        <f t="shared" si="188"/>
        <v>55</v>
      </c>
      <c r="O4862" s="11">
        <f t="shared" si="189"/>
        <v>3962750</v>
      </c>
      <c r="P4862" s="10">
        <v>1433</v>
      </c>
      <c r="Q4862" s="10" t="s">
        <v>1928</v>
      </c>
      <c r="R4862" s="50">
        <f>+テーブル1[[#This Row],[合計金額]]*テーブル1[[#This Row],[自社報酬率％]]/100</f>
        <v>1981375</v>
      </c>
    </row>
    <row r="4863" spans="1:18">
      <c r="A4863" s="7">
        <v>45992</v>
      </c>
      <c r="B4863" t="s">
        <v>43</v>
      </c>
      <c r="C4863" s="18" t="s">
        <v>1962</v>
      </c>
      <c r="D4863" s="41">
        <v>50</v>
      </c>
      <c r="E4863" s="41">
        <v>50</v>
      </c>
      <c r="F4863" s="18" t="s">
        <v>19</v>
      </c>
      <c r="G4863" s="28">
        <v>45992</v>
      </c>
      <c r="H4863" s="26" t="s">
        <v>1976</v>
      </c>
      <c r="I4863" s="49">
        <v>72050</v>
      </c>
      <c r="J4863" s="24">
        <v>22</v>
      </c>
      <c r="K4863" s="24"/>
      <c r="L4863" s="91">
        <v>0</v>
      </c>
      <c r="M4863" s="24"/>
      <c r="N4863" s="12">
        <f t="shared" si="188"/>
        <v>22</v>
      </c>
      <c r="O4863" s="11">
        <f t="shared" si="189"/>
        <v>1585100</v>
      </c>
      <c r="P4863" s="10">
        <v>1434</v>
      </c>
      <c r="Q4863" s="10" t="s">
        <v>1928</v>
      </c>
      <c r="R4863" s="50">
        <f>+テーブル1[[#This Row],[合計金額]]*テーブル1[[#This Row],[自社報酬率％]]/100</f>
        <v>792550</v>
      </c>
    </row>
    <row r="4864" spans="1:18">
      <c r="A4864" s="7">
        <v>45992</v>
      </c>
      <c r="B4864" t="s">
        <v>43</v>
      </c>
      <c r="C4864" s="18" t="s">
        <v>1962</v>
      </c>
      <c r="D4864" s="41">
        <v>50</v>
      </c>
      <c r="E4864" s="41">
        <v>50</v>
      </c>
      <c r="F4864" s="18" t="s">
        <v>19</v>
      </c>
      <c r="G4864" s="28">
        <v>45992</v>
      </c>
      <c r="H4864" s="26" t="s">
        <v>2319</v>
      </c>
      <c r="I4864" s="49">
        <v>91700</v>
      </c>
      <c r="J4864" s="24">
        <v>3</v>
      </c>
      <c r="K4864" s="24"/>
      <c r="L4864" s="91">
        <v>0</v>
      </c>
      <c r="M4864" s="24"/>
      <c r="N4864" s="12">
        <f t="shared" si="188"/>
        <v>3</v>
      </c>
      <c r="O4864" s="11">
        <f t="shared" si="189"/>
        <v>275100</v>
      </c>
      <c r="P4864" s="10">
        <v>1435</v>
      </c>
      <c r="Q4864" s="10" t="s">
        <v>1928</v>
      </c>
      <c r="R4864" s="50">
        <f>+テーブル1[[#This Row],[合計金額]]*テーブル1[[#This Row],[自社報酬率％]]/100</f>
        <v>137550</v>
      </c>
    </row>
    <row r="4865" spans="1:18">
      <c r="A4865" s="7">
        <v>45992</v>
      </c>
      <c r="B4865" t="s">
        <v>43</v>
      </c>
      <c r="C4865" s="101" t="s">
        <v>1962</v>
      </c>
      <c r="D4865" s="41">
        <v>50</v>
      </c>
      <c r="E4865" s="41">
        <v>50</v>
      </c>
      <c r="F4865" s="101" t="s">
        <v>16</v>
      </c>
      <c r="G4865" s="102">
        <v>46023</v>
      </c>
      <c r="H4865" s="26" t="s">
        <v>3226</v>
      </c>
      <c r="I4865" s="49">
        <v>13200</v>
      </c>
      <c r="J4865" s="24">
        <v>7</v>
      </c>
      <c r="K4865" s="24"/>
      <c r="L4865" s="91">
        <v>0</v>
      </c>
      <c r="M4865" s="24"/>
      <c r="N4865" s="12">
        <f t="shared" si="188"/>
        <v>7</v>
      </c>
      <c r="O4865" s="11">
        <f t="shared" si="189"/>
        <v>92400</v>
      </c>
      <c r="P4865" s="10">
        <v>1436</v>
      </c>
      <c r="Q4865" s="10" t="s">
        <v>1928</v>
      </c>
      <c r="R4865" s="50">
        <f>+テーブル1[[#This Row],[合計金額]]*テーブル1[[#This Row],[自社報酬率％]]/100</f>
        <v>46200</v>
      </c>
    </row>
    <row r="4866" spans="1:18">
      <c r="A4866" s="7">
        <v>45992</v>
      </c>
      <c r="B4866" t="s">
        <v>43</v>
      </c>
      <c r="C4866" s="101" t="s">
        <v>1962</v>
      </c>
      <c r="D4866" s="41">
        <v>50</v>
      </c>
      <c r="E4866" s="41">
        <v>50</v>
      </c>
      <c r="F4866" s="101" t="s">
        <v>16</v>
      </c>
      <c r="G4866" s="102">
        <v>46023</v>
      </c>
      <c r="H4866" s="26" t="s">
        <v>3226</v>
      </c>
      <c r="I4866" s="49">
        <v>14500</v>
      </c>
      <c r="J4866" s="24">
        <v>26</v>
      </c>
      <c r="K4866" s="24"/>
      <c r="L4866" s="91">
        <v>0</v>
      </c>
      <c r="M4866" s="24"/>
      <c r="N4866" s="12">
        <f t="shared" si="188"/>
        <v>26</v>
      </c>
      <c r="O4866" s="11">
        <f t="shared" si="189"/>
        <v>377000</v>
      </c>
      <c r="P4866" s="10">
        <v>1437</v>
      </c>
      <c r="Q4866" s="10" t="s">
        <v>1928</v>
      </c>
      <c r="R4866" s="50">
        <f>+テーブル1[[#This Row],[合計金額]]*テーブル1[[#This Row],[自社報酬率％]]/100</f>
        <v>188500</v>
      </c>
    </row>
    <row r="4867" spans="1:18">
      <c r="A4867" s="7">
        <v>45992</v>
      </c>
      <c r="B4867" t="s">
        <v>43</v>
      </c>
      <c r="C4867" s="101" t="s">
        <v>1962</v>
      </c>
      <c r="D4867" s="41">
        <v>50</v>
      </c>
      <c r="E4867" s="41">
        <v>50</v>
      </c>
      <c r="F4867" s="101" t="s">
        <v>16</v>
      </c>
      <c r="G4867" s="102">
        <v>46023</v>
      </c>
      <c r="H4867" s="26" t="s">
        <v>3227</v>
      </c>
      <c r="I4867" s="49">
        <v>4830</v>
      </c>
      <c r="J4867" s="24">
        <v>5</v>
      </c>
      <c r="K4867" s="24"/>
      <c r="L4867" s="91">
        <v>0</v>
      </c>
      <c r="M4867" s="24"/>
      <c r="N4867" s="12">
        <f t="shared" si="188"/>
        <v>5</v>
      </c>
      <c r="O4867" s="11">
        <f t="shared" si="189"/>
        <v>24150</v>
      </c>
      <c r="P4867" s="10">
        <v>1438</v>
      </c>
      <c r="Q4867" s="10" t="s">
        <v>1928</v>
      </c>
      <c r="R4867" s="50">
        <f>+テーブル1[[#This Row],[合計金額]]*テーブル1[[#This Row],[自社報酬率％]]/100</f>
        <v>12075</v>
      </c>
    </row>
    <row r="4868" spans="1:18">
      <c r="A4868" s="7">
        <v>45992</v>
      </c>
      <c r="B4868" t="s">
        <v>43</v>
      </c>
      <c r="C4868" s="18" t="s">
        <v>1962</v>
      </c>
      <c r="D4868" s="41">
        <v>50</v>
      </c>
      <c r="E4868" s="41">
        <v>50</v>
      </c>
      <c r="F4868" s="18" t="s">
        <v>20</v>
      </c>
      <c r="G4868" s="28">
        <v>45992</v>
      </c>
      <c r="H4868" s="26" t="s">
        <v>3106</v>
      </c>
      <c r="I4868" s="49">
        <v>2400</v>
      </c>
      <c r="J4868" s="24">
        <v>2</v>
      </c>
      <c r="K4868" s="24"/>
      <c r="L4868" s="91">
        <v>0</v>
      </c>
      <c r="M4868" s="24"/>
      <c r="N4868" s="12">
        <f t="shared" si="188"/>
        <v>2</v>
      </c>
      <c r="O4868" s="11">
        <f t="shared" si="189"/>
        <v>4800</v>
      </c>
      <c r="P4868" s="10">
        <v>1439</v>
      </c>
      <c r="Q4868" s="10" t="s">
        <v>1928</v>
      </c>
      <c r="R4868" s="50">
        <f>+テーブル1[[#This Row],[合計金額]]*テーブル1[[#This Row],[自社報酬率％]]/100</f>
        <v>2400</v>
      </c>
    </row>
    <row r="4869" spans="1:18">
      <c r="A4869" s="7">
        <v>45992</v>
      </c>
      <c r="B4869" t="s">
        <v>43</v>
      </c>
      <c r="C4869" s="18" t="s">
        <v>1962</v>
      </c>
      <c r="D4869" s="41">
        <v>50</v>
      </c>
      <c r="E4869" s="41">
        <v>50</v>
      </c>
      <c r="F4869" s="18" t="s">
        <v>20</v>
      </c>
      <c r="G4869" s="28">
        <v>45992</v>
      </c>
      <c r="H4869" s="26" t="s">
        <v>2440</v>
      </c>
      <c r="I4869" s="49">
        <v>9780</v>
      </c>
      <c r="J4869" s="24">
        <v>15</v>
      </c>
      <c r="K4869" s="24"/>
      <c r="L4869" s="91">
        <v>0</v>
      </c>
      <c r="M4869" s="24"/>
      <c r="N4869" s="12">
        <f t="shared" si="188"/>
        <v>15</v>
      </c>
      <c r="O4869" s="11">
        <f t="shared" si="189"/>
        <v>146700</v>
      </c>
      <c r="P4869" s="10">
        <v>1440</v>
      </c>
      <c r="Q4869" s="10" t="s">
        <v>1928</v>
      </c>
      <c r="R4869" s="50">
        <f>+テーブル1[[#This Row],[合計金額]]*テーブル1[[#This Row],[自社報酬率％]]/100</f>
        <v>73350</v>
      </c>
    </row>
    <row r="4870" spans="1:18">
      <c r="A4870" s="7">
        <v>45992</v>
      </c>
      <c r="B4870" t="s">
        <v>43</v>
      </c>
      <c r="C4870" s="18" t="s">
        <v>1962</v>
      </c>
      <c r="D4870" s="41">
        <v>50</v>
      </c>
      <c r="E4870" s="41">
        <v>50</v>
      </c>
      <c r="F4870" s="18" t="s">
        <v>20</v>
      </c>
      <c r="G4870" s="28">
        <v>45992</v>
      </c>
      <c r="H4870" s="26" t="s">
        <v>2171</v>
      </c>
      <c r="I4870" s="49">
        <v>9780</v>
      </c>
      <c r="J4870" s="24">
        <v>5</v>
      </c>
      <c r="K4870" s="24"/>
      <c r="L4870" s="91">
        <v>0</v>
      </c>
      <c r="M4870" s="24"/>
      <c r="N4870" s="12">
        <f t="shared" si="188"/>
        <v>5</v>
      </c>
      <c r="O4870" s="11">
        <f t="shared" si="189"/>
        <v>48900</v>
      </c>
      <c r="P4870" s="10">
        <v>1441</v>
      </c>
      <c r="Q4870" s="10" t="s">
        <v>1928</v>
      </c>
      <c r="R4870" s="50">
        <f>+テーブル1[[#This Row],[合計金額]]*テーブル1[[#This Row],[自社報酬率％]]/100</f>
        <v>24450</v>
      </c>
    </row>
    <row r="4871" spans="1:18">
      <c r="A4871" s="7">
        <v>45992</v>
      </c>
      <c r="B4871" t="s">
        <v>43</v>
      </c>
      <c r="C4871" s="79" t="s">
        <v>1962</v>
      </c>
      <c r="D4871" s="41">
        <v>55</v>
      </c>
      <c r="E4871" s="41">
        <v>45</v>
      </c>
      <c r="F4871" s="72" t="s">
        <v>17</v>
      </c>
      <c r="G4871" s="85">
        <v>46023</v>
      </c>
      <c r="H4871" s="26" t="s">
        <v>3228</v>
      </c>
      <c r="I4871" s="49">
        <v>9435</v>
      </c>
      <c r="J4871" s="73">
        <v>1</v>
      </c>
      <c r="K4871" s="24"/>
      <c r="L4871" s="90">
        <v>0</v>
      </c>
      <c r="M4871" s="24"/>
      <c r="N4871" s="93">
        <f t="shared" si="188"/>
        <v>1</v>
      </c>
      <c r="O4871" s="11">
        <f t="shared" si="189"/>
        <v>9435</v>
      </c>
      <c r="P4871" s="10">
        <v>1442</v>
      </c>
      <c r="Q4871" s="10" t="s">
        <v>1928</v>
      </c>
      <c r="R4871" s="50">
        <f>+テーブル1[[#This Row],[合計金額]]*テーブル1[[#This Row],[自社報酬率％]]/100</f>
        <v>4245.75</v>
      </c>
    </row>
    <row r="4872" spans="1:18">
      <c r="A4872" s="7">
        <v>45992</v>
      </c>
      <c r="B4872" t="s">
        <v>43</v>
      </c>
      <c r="C4872" s="80" t="s">
        <v>1962</v>
      </c>
      <c r="D4872" s="41">
        <v>55</v>
      </c>
      <c r="E4872" s="41">
        <v>45</v>
      </c>
      <c r="F4872" s="101" t="s">
        <v>17</v>
      </c>
      <c r="G4872" s="102">
        <v>46054</v>
      </c>
      <c r="H4872" s="26" t="s">
        <v>3229</v>
      </c>
      <c r="I4872" s="49">
        <v>9435</v>
      </c>
      <c r="J4872" s="24">
        <v>1</v>
      </c>
      <c r="K4872" s="24"/>
      <c r="L4872" s="91">
        <v>0</v>
      </c>
      <c r="M4872" s="24"/>
      <c r="N4872" s="94">
        <f t="shared" si="188"/>
        <v>1</v>
      </c>
      <c r="O4872" s="11">
        <f t="shared" si="189"/>
        <v>9435</v>
      </c>
      <c r="P4872" s="10">
        <v>1443</v>
      </c>
      <c r="Q4872" s="10" t="s">
        <v>1928</v>
      </c>
      <c r="R4872" s="50">
        <f>+テーブル1[[#This Row],[合計金額]]*テーブル1[[#This Row],[自社報酬率％]]/100</f>
        <v>4245.75</v>
      </c>
    </row>
    <row r="4873" spans="1:18">
      <c r="A4873" s="7">
        <v>45992</v>
      </c>
      <c r="B4873" t="s">
        <v>43</v>
      </c>
      <c r="C4873" s="80" t="s">
        <v>1962</v>
      </c>
      <c r="D4873" s="41">
        <v>55</v>
      </c>
      <c r="E4873" s="41">
        <v>45</v>
      </c>
      <c r="F4873" s="101" t="s">
        <v>17</v>
      </c>
      <c r="G4873" s="102">
        <v>46082</v>
      </c>
      <c r="H4873" s="26" t="s">
        <v>3230</v>
      </c>
      <c r="I4873" s="49">
        <v>9435</v>
      </c>
      <c r="J4873" s="24">
        <v>1</v>
      </c>
      <c r="K4873" s="24"/>
      <c r="L4873" s="91">
        <v>0</v>
      </c>
      <c r="M4873" s="24"/>
      <c r="N4873" s="94">
        <f t="shared" si="188"/>
        <v>1</v>
      </c>
      <c r="O4873" s="11">
        <f t="shared" si="189"/>
        <v>9435</v>
      </c>
      <c r="P4873" s="10">
        <v>1444</v>
      </c>
      <c r="Q4873" s="10" t="s">
        <v>1928</v>
      </c>
      <c r="R4873" s="50">
        <f>+テーブル1[[#This Row],[合計金額]]*テーブル1[[#This Row],[自社報酬率％]]/100</f>
        <v>4245.75</v>
      </c>
    </row>
    <row r="4874" spans="1:18">
      <c r="A4874" s="7">
        <v>45992</v>
      </c>
      <c r="B4874" t="s">
        <v>43</v>
      </c>
      <c r="C4874" s="80" t="s">
        <v>1962</v>
      </c>
      <c r="D4874" s="41">
        <v>55</v>
      </c>
      <c r="E4874" s="41">
        <v>45</v>
      </c>
      <c r="F4874" s="101" t="s">
        <v>17</v>
      </c>
      <c r="G4874" s="102">
        <v>46113</v>
      </c>
      <c r="H4874" s="26" t="s">
        <v>3231</v>
      </c>
      <c r="I4874" s="49">
        <v>9435</v>
      </c>
      <c r="J4874" s="24">
        <v>1</v>
      </c>
      <c r="K4874" s="24"/>
      <c r="L4874" s="91">
        <v>0</v>
      </c>
      <c r="M4874" s="24"/>
      <c r="N4874" s="94">
        <f t="shared" si="188"/>
        <v>1</v>
      </c>
      <c r="O4874" s="11">
        <f t="shared" si="189"/>
        <v>9435</v>
      </c>
      <c r="P4874" s="10">
        <v>1445</v>
      </c>
      <c r="Q4874" s="10" t="s">
        <v>1928</v>
      </c>
      <c r="R4874" s="50">
        <f>+テーブル1[[#This Row],[合計金額]]*テーブル1[[#This Row],[自社報酬率％]]/100</f>
        <v>4245.75</v>
      </c>
    </row>
    <row r="4875" spans="1:18">
      <c r="A4875" s="7">
        <v>45992</v>
      </c>
      <c r="B4875" t="s">
        <v>43</v>
      </c>
      <c r="C4875" s="80" t="s">
        <v>1962</v>
      </c>
      <c r="D4875" s="41">
        <v>55</v>
      </c>
      <c r="E4875" s="41">
        <v>45</v>
      </c>
      <c r="F4875" s="101" t="s">
        <v>17</v>
      </c>
      <c r="G4875" s="102">
        <v>46143</v>
      </c>
      <c r="H4875" s="26" t="s">
        <v>3232</v>
      </c>
      <c r="I4875" s="49">
        <v>9435</v>
      </c>
      <c r="J4875" s="24">
        <v>1</v>
      </c>
      <c r="K4875" s="24"/>
      <c r="L4875" s="91">
        <v>0</v>
      </c>
      <c r="M4875" s="24"/>
      <c r="N4875" s="94">
        <f t="shared" si="188"/>
        <v>1</v>
      </c>
      <c r="O4875" s="11">
        <f t="shared" si="189"/>
        <v>9435</v>
      </c>
      <c r="P4875" s="10">
        <v>1446</v>
      </c>
      <c r="Q4875" s="10" t="s">
        <v>1928</v>
      </c>
      <c r="R4875" s="50">
        <f>+テーブル1[[#This Row],[合計金額]]*テーブル1[[#This Row],[自社報酬率％]]/100</f>
        <v>4245.75</v>
      </c>
    </row>
    <row r="4876" spans="1:18">
      <c r="A4876" s="7">
        <v>45992</v>
      </c>
      <c r="B4876" t="s">
        <v>43</v>
      </c>
      <c r="C4876" s="80" t="s">
        <v>1962</v>
      </c>
      <c r="D4876" s="41">
        <v>55</v>
      </c>
      <c r="E4876" s="41">
        <v>45</v>
      </c>
      <c r="F4876" s="101" t="s">
        <v>17</v>
      </c>
      <c r="G4876" s="102">
        <v>46174</v>
      </c>
      <c r="H4876" s="26" t="s">
        <v>3233</v>
      </c>
      <c r="I4876" s="49">
        <v>9435</v>
      </c>
      <c r="J4876" s="24">
        <v>1</v>
      </c>
      <c r="K4876" s="24"/>
      <c r="L4876" s="91">
        <v>0</v>
      </c>
      <c r="M4876" s="24"/>
      <c r="N4876" s="94">
        <f t="shared" si="188"/>
        <v>1</v>
      </c>
      <c r="O4876" s="11">
        <f t="shared" si="189"/>
        <v>9435</v>
      </c>
      <c r="P4876" s="10">
        <v>1447</v>
      </c>
      <c r="Q4876" s="10" t="s">
        <v>1928</v>
      </c>
      <c r="R4876" s="50">
        <f>+テーブル1[[#This Row],[合計金額]]*テーブル1[[#This Row],[自社報酬率％]]/100</f>
        <v>4245.75</v>
      </c>
    </row>
    <row r="4877" spans="1:18">
      <c r="A4877" s="7">
        <v>45992</v>
      </c>
      <c r="B4877" t="s">
        <v>43</v>
      </c>
      <c r="C4877" s="80" t="s">
        <v>1962</v>
      </c>
      <c r="D4877" s="41">
        <v>55</v>
      </c>
      <c r="E4877" s="41">
        <v>45</v>
      </c>
      <c r="F4877" s="101" t="s">
        <v>17</v>
      </c>
      <c r="G4877" s="102">
        <v>46204</v>
      </c>
      <c r="H4877" s="26" t="s">
        <v>3234</v>
      </c>
      <c r="I4877" s="49">
        <v>9435</v>
      </c>
      <c r="J4877" s="24">
        <v>1</v>
      </c>
      <c r="K4877" s="24"/>
      <c r="L4877" s="91">
        <v>0</v>
      </c>
      <c r="M4877" s="24"/>
      <c r="N4877" s="94">
        <f t="shared" si="188"/>
        <v>1</v>
      </c>
      <c r="O4877" s="11">
        <f t="shared" si="189"/>
        <v>9435</v>
      </c>
      <c r="P4877" s="10">
        <v>1448</v>
      </c>
      <c r="Q4877" s="10" t="s">
        <v>1928</v>
      </c>
      <c r="R4877" s="50">
        <f>+テーブル1[[#This Row],[合計金額]]*テーブル1[[#This Row],[自社報酬率％]]/100</f>
        <v>4245.75</v>
      </c>
    </row>
    <row r="4878" spans="1:18">
      <c r="A4878" s="7">
        <v>45992</v>
      </c>
      <c r="B4878" t="s">
        <v>43</v>
      </c>
      <c r="C4878" s="80" t="s">
        <v>1962</v>
      </c>
      <c r="D4878" s="41">
        <v>55</v>
      </c>
      <c r="E4878" s="41">
        <v>45</v>
      </c>
      <c r="F4878" s="101" t="s">
        <v>17</v>
      </c>
      <c r="G4878" s="102">
        <v>46235</v>
      </c>
      <c r="H4878" s="26" t="s">
        <v>3235</v>
      </c>
      <c r="I4878" s="49">
        <v>9435</v>
      </c>
      <c r="J4878" s="24">
        <v>1</v>
      </c>
      <c r="K4878" s="24"/>
      <c r="L4878" s="91">
        <v>0</v>
      </c>
      <c r="M4878" s="24"/>
      <c r="N4878" s="94">
        <f t="shared" si="188"/>
        <v>1</v>
      </c>
      <c r="O4878" s="11">
        <f t="shared" si="189"/>
        <v>9435</v>
      </c>
      <c r="P4878" s="10">
        <v>1449</v>
      </c>
      <c r="Q4878" s="10" t="s">
        <v>1928</v>
      </c>
      <c r="R4878" s="50">
        <f>+テーブル1[[#This Row],[合計金額]]*テーブル1[[#This Row],[自社報酬率％]]/100</f>
        <v>4245.75</v>
      </c>
    </row>
    <row r="4879" spans="1:18">
      <c r="A4879" s="7">
        <v>45992</v>
      </c>
      <c r="B4879" t="s">
        <v>43</v>
      </c>
      <c r="C4879" s="80" t="s">
        <v>1962</v>
      </c>
      <c r="D4879" s="41">
        <v>55</v>
      </c>
      <c r="E4879" s="41">
        <v>45</v>
      </c>
      <c r="F4879" s="101" t="s">
        <v>17</v>
      </c>
      <c r="G4879" s="102">
        <v>46266</v>
      </c>
      <c r="H4879" s="26" t="s">
        <v>3236</v>
      </c>
      <c r="I4879" s="49">
        <v>9435</v>
      </c>
      <c r="J4879" s="24">
        <v>1</v>
      </c>
      <c r="K4879" s="24"/>
      <c r="L4879" s="91">
        <v>0</v>
      </c>
      <c r="M4879" s="24"/>
      <c r="N4879" s="94">
        <f t="shared" si="188"/>
        <v>1</v>
      </c>
      <c r="O4879" s="11">
        <f t="shared" si="189"/>
        <v>9435</v>
      </c>
      <c r="P4879" s="10">
        <v>1450</v>
      </c>
      <c r="Q4879" s="10" t="s">
        <v>1928</v>
      </c>
      <c r="R4879" s="50">
        <f>+テーブル1[[#This Row],[合計金額]]*テーブル1[[#This Row],[自社報酬率％]]/100</f>
        <v>4245.75</v>
      </c>
    </row>
    <row r="4880" spans="1:18">
      <c r="A4880" s="7">
        <v>45992</v>
      </c>
      <c r="B4880" t="s">
        <v>43</v>
      </c>
      <c r="C4880" s="80" t="s">
        <v>1962</v>
      </c>
      <c r="D4880" s="41">
        <v>55</v>
      </c>
      <c r="E4880" s="41">
        <v>45</v>
      </c>
      <c r="F4880" s="101" t="s">
        <v>17</v>
      </c>
      <c r="G4880" s="102">
        <v>46296</v>
      </c>
      <c r="H4880" s="26" t="s">
        <v>3237</v>
      </c>
      <c r="I4880" s="49">
        <v>9435</v>
      </c>
      <c r="J4880" s="24">
        <v>1</v>
      </c>
      <c r="K4880" s="24"/>
      <c r="L4880" s="91">
        <v>0</v>
      </c>
      <c r="M4880" s="24"/>
      <c r="N4880" s="94">
        <f t="shared" si="188"/>
        <v>1</v>
      </c>
      <c r="O4880" s="11">
        <f t="shared" si="189"/>
        <v>9435</v>
      </c>
      <c r="P4880" s="10">
        <v>1451</v>
      </c>
      <c r="Q4880" s="10" t="s">
        <v>1928</v>
      </c>
      <c r="R4880" s="50">
        <f>+テーブル1[[#This Row],[合計金額]]*テーブル1[[#This Row],[自社報酬率％]]/100</f>
        <v>4245.75</v>
      </c>
    </row>
    <row r="4881" spans="1:18">
      <c r="A4881" s="7">
        <v>45992</v>
      </c>
      <c r="B4881" t="s">
        <v>43</v>
      </c>
      <c r="C4881" s="80" t="s">
        <v>1962</v>
      </c>
      <c r="D4881" s="41">
        <v>55</v>
      </c>
      <c r="E4881" s="41">
        <v>45</v>
      </c>
      <c r="F4881" s="101" t="s">
        <v>17</v>
      </c>
      <c r="G4881" s="102">
        <v>46327</v>
      </c>
      <c r="H4881" s="26" t="s">
        <v>3238</v>
      </c>
      <c r="I4881" s="49">
        <v>9435</v>
      </c>
      <c r="J4881" s="24">
        <v>1</v>
      </c>
      <c r="K4881" s="24"/>
      <c r="L4881" s="91">
        <v>0</v>
      </c>
      <c r="M4881" s="24"/>
      <c r="N4881" s="94">
        <f t="shared" si="188"/>
        <v>1</v>
      </c>
      <c r="O4881" s="11">
        <f t="shared" si="189"/>
        <v>9435</v>
      </c>
      <c r="P4881" s="10">
        <v>1452</v>
      </c>
      <c r="Q4881" s="10" t="s">
        <v>1928</v>
      </c>
      <c r="R4881" s="50">
        <f>+テーブル1[[#This Row],[合計金額]]*テーブル1[[#This Row],[自社報酬率％]]/100</f>
        <v>4245.75</v>
      </c>
    </row>
    <row r="4882" spans="1:18">
      <c r="A4882" s="7">
        <v>45992</v>
      </c>
      <c r="B4882" t="s">
        <v>43</v>
      </c>
      <c r="C4882" s="80" t="s">
        <v>1962</v>
      </c>
      <c r="D4882" s="41">
        <v>55</v>
      </c>
      <c r="E4882" s="41">
        <v>45</v>
      </c>
      <c r="F4882" s="101" t="s">
        <v>17</v>
      </c>
      <c r="G4882" s="102">
        <v>46357</v>
      </c>
      <c r="H4882" s="26" t="s">
        <v>3239</v>
      </c>
      <c r="I4882" s="49">
        <v>9435</v>
      </c>
      <c r="J4882" s="24">
        <v>1</v>
      </c>
      <c r="K4882" s="24"/>
      <c r="L4882" s="91">
        <v>0</v>
      </c>
      <c r="M4882" s="24"/>
      <c r="N4882" s="94">
        <f t="shared" si="188"/>
        <v>1</v>
      </c>
      <c r="O4882" s="11">
        <f t="shared" si="189"/>
        <v>9435</v>
      </c>
      <c r="P4882" s="10">
        <v>1453</v>
      </c>
      <c r="Q4882" s="10" t="s">
        <v>3188</v>
      </c>
      <c r="R4882" s="50">
        <f>+テーブル1[[#This Row],[合計金額]]*テーブル1[[#This Row],[自社報酬率％]]/100</f>
        <v>4245.75</v>
      </c>
    </row>
    <row r="4883" spans="1:18">
      <c r="A4883" s="7">
        <v>45992</v>
      </c>
      <c r="B4883" t="s">
        <v>43</v>
      </c>
      <c r="C4883" s="79" t="s">
        <v>1962</v>
      </c>
      <c r="D4883" s="41">
        <v>55</v>
      </c>
      <c r="E4883" s="41">
        <v>45</v>
      </c>
      <c r="F4883" s="72" t="s">
        <v>18</v>
      </c>
      <c r="G4883" s="85">
        <v>46023</v>
      </c>
      <c r="H4883" s="26" t="s">
        <v>3240</v>
      </c>
      <c r="I4883" s="49">
        <v>19800</v>
      </c>
      <c r="J4883" s="73">
        <v>45</v>
      </c>
      <c r="K4883" s="24"/>
      <c r="L4883" s="90">
        <v>0</v>
      </c>
      <c r="M4883" s="24"/>
      <c r="N4883" s="93">
        <f t="shared" si="188"/>
        <v>45</v>
      </c>
      <c r="O4883" s="11">
        <f t="shared" si="189"/>
        <v>891000</v>
      </c>
      <c r="P4883" s="10">
        <v>1454</v>
      </c>
      <c r="Q4883" s="10" t="s">
        <v>1928</v>
      </c>
      <c r="R4883" s="50">
        <f>+テーブル1[[#This Row],[合計金額]]*テーブル1[[#This Row],[自社報酬率％]]/100</f>
        <v>400950</v>
      </c>
    </row>
    <row r="4884" spans="1:18">
      <c r="A4884" s="7">
        <v>45992</v>
      </c>
      <c r="B4884" t="s">
        <v>43</v>
      </c>
      <c r="C4884" s="80" t="s">
        <v>1962</v>
      </c>
      <c r="D4884" s="41">
        <v>55</v>
      </c>
      <c r="E4884" s="41">
        <v>45</v>
      </c>
      <c r="F4884" s="101" t="s">
        <v>18</v>
      </c>
      <c r="G4884" s="102">
        <v>46054</v>
      </c>
      <c r="H4884" s="26" t="s">
        <v>3241</v>
      </c>
      <c r="I4884" s="49">
        <v>19800</v>
      </c>
      <c r="J4884" s="24">
        <v>45</v>
      </c>
      <c r="K4884" s="24"/>
      <c r="L4884" s="91">
        <v>0</v>
      </c>
      <c r="M4884" s="24"/>
      <c r="N4884" s="94">
        <f t="shared" si="188"/>
        <v>45</v>
      </c>
      <c r="O4884" s="11">
        <f t="shared" si="189"/>
        <v>891000</v>
      </c>
      <c r="P4884" s="10">
        <v>1455</v>
      </c>
      <c r="Q4884" s="10" t="s">
        <v>1928</v>
      </c>
      <c r="R4884" s="50">
        <f>+テーブル1[[#This Row],[合計金額]]*テーブル1[[#This Row],[自社報酬率％]]/100</f>
        <v>400950</v>
      </c>
    </row>
    <row r="4885" spans="1:18">
      <c r="A4885" s="7">
        <v>45992</v>
      </c>
      <c r="B4885" t="s">
        <v>43</v>
      </c>
      <c r="C4885" s="81" t="s">
        <v>1962</v>
      </c>
      <c r="D4885" s="41">
        <v>55</v>
      </c>
      <c r="E4885" s="41">
        <v>45</v>
      </c>
      <c r="F4885" s="76" t="s">
        <v>18</v>
      </c>
      <c r="G4885" s="86">
        <v>46082</v>
      </c>
      <c r="H4885" s="26" t="s">
        <v>3242</v>
      </c>
      <c r="I4885" s="49">
        <v>19800</v>
      </c>
      <c r="J4885" s="77">
        <v>45</v>
      </c>
      <c r="K4885" s="24"/>
      <c r="L4885" s="92">
        <v>0</v>
      </c>
      <c r="M4885" s="24"/>
      <c r="N4885" s="95">
        <f t="shared" si="188"/>
        <v>45</v>
      </c>
      <c r="O4885" s="11">
        <f t="shared" si="189"/>
        <v>891000</v>
      </c>
      <c r="P4885" s="10">
        <v>1456</v>
      </c>
      <c r="Q4885" s="10" t="s">
        <v>1928</v>
      </c>
      <c r="R4885" s="50">
        <f>+テーブル1[[#This Row],[合計金額]]*テーブル1[[#This Row],[自社報酬率％]]/100</f>
        <v>400950</v>
      </c>
    </row>
    <row r="4886" spans="1:18">
      <c r="A4886" s="7">
        <v>45992</v>
      </c>
      <c r="B4886" t="s">
        <v>43</v>
      </c>
      <c r="C4886" s="79" t="s">
        <v>1962</v>
      </c>
      <c r="D4886" s="41">
        <v>55</v>
      </c>
      <c r="E4886" s="41">
        <v>45</v>
      </c>
      <c r="F4886" s="72" t="s">
        <v>18</v>
      </c>
      <c r="G4886" s="85">
        <v>46023</v>
      </c>
      <c r="H4886" s="26" t="s">
        <v>208</v>
      </c>
      <c r="I4886" s="49">
        <v>19800</v>
      </c>
      <c r="J4886" s="73">
        <v>43</v>
      </c>
      <c r="K4886" s="24"/>
      <c r="L4886" s="90">
        <v>0</v>
      </c>
      <c r="M4886" s="24"/>
      <c r="N4886" s="93">
        <f t="shared" si="188"/>
        <v>43</v>
      </c>
      <c r="O4886" s="11">
        <f t="shared" si="189"/>
        <v>851400</v>
      </c>
      <c r="P4886" s="10">
        <v>1457</v>
      </c>
      <c r="Q4886" s="10" t="s">
        <v>1928</v>
      </c>
      <c r="R4886" s="50">
        <f>+テーブル1[[#This Row],[合計金額]]*テーブル1[[#This Row],[自社報酬率％]]/100</f>
        <v>383130</v>
      </c>
    </row>
    <row r="4887" spans="1:18">
      <c r="A4887" s="7">
        <v>45992</v>
      </c>
      <c r="B4887" t="s">
        <v>43</v>
      </c>
      <c r="C4887" s="80" t="s">
        <v>1962</v>
      </c>
      <c r="D4887" s="41">
        <v>55</v>
      </c>
      <c r="E4887" s="41">
        <v>45</v>
      </c>
      <c r="F4887" s="101" t="s">
        <v>18</v>
      </c>
      <c r="G4887" s="102">
        <v>46054</v>
      </c>
      <c r="H4887" s="26" t="s">
        <v>3243</v>
      </c>
      <c r="I4887" s="49">
        <v>19800</v>
      </c>
      <c r="J4887" s="24">
        <v>43</v>
      </c>
      <c r="K4887" s="24"/>
      <c r="L4887" s="91">
        <v>0</v>
      </c>
      <c r="M4887" s="24"/>
      <c r="N4887" s="94">
        <f t="shared" si="188"/>
        <v>43</v>
      </c>
      <c r="O4887" s="11">
        <f t="shared" si="189"/>
        <v>851400</v>
      </c>
      <c r="P4887" s="10">
        <v>1458</v>
      </c>
      <c r="Q4887" s="10" t="s">
        <v>1928</v>
      </c>
      <c r="R4887" s="50">
        <f>+テーブル1[[#This Row],[合計金額]]*テーブル1[[#This Row],[自社報酬率％]]/100</f>
        <v>383130</v>
      </c>
    </row>
    <row r="4888" spans="1:18">
      <c r="A4888" s="7">
        <v>45992</v>
      </c>
      <c r="B4888" t="s">
        <v>43</v>
      </c>
      <c r="C4888" s="80" t="s">
        <v>1962</v>
      </c>
      <c r="D4888" s="41">
        <v>55</v>
      </c>
      <c r="E4888" s="41">
        <v>45</v>
      </c>
      <c r="F4888" s="101" t="s">
        <v>18</v>
      </c>
      <c r="G4888" s="102">
        <v>46082</v>
      </c>
      <c r="H4888" s="26" t="s">
        <v>3244</v>
      </c>
      <c r="I4888" s="49">
        <v>19800</v>
      </c>
      <c r="J4888" s="24">
        <v>43</v>
      </c>
      <c r="K4888" s="24"/>
      <c r="L4888" s="91">
        <v>0</v>
      </c>
      <c r="M4888" s="24"/>
      <c r="N4888" s="94">
        <f t="shared" si="188"/>
        <v>43</v>
      </c>
      <c r="O4888" s="11">
        <f t="shared" si="189"/>
        <v>851400</v>
      </c>
      <c r="P4888" s="10">
        <v>1459</v>
      </c>
      <c r="Q4888" s="10" t="s">
        <v>1928</v>
      </c>
      <c r="R4888" s="50">
        <f>+テーブル1[[#This Row],[合計金額]]*テーブル1[[#This Row],[自社報酬率％]]/100</f>
        <v>383130</v>
      </c>
    </row>
    <row r="4889" spans="1:18">
      <c r="A4889" s="7">
        <v>45992</v>
      </c>
      <c r="B4889" t="s">
        <v>43</v>
      </c>
      <c r="C4889" s="79" t="s">
        <v>1962</v>
      </c>
      <c r="D4889" s="41">
        <v>55</v>
      </c>
      <c r="E4889" s="41">
        <v>45</v>
      </c>
      <c r="F4889" s="72" t="s">
        <v>19</v>
      </c>
      <c r="G4889" s="85">
        <v>46023</v>
      </c>
      <c r="H4889" s="26" t="s">
        <v>3245</v>
      </c>
      <c r="I4889" s="49">
        <v>19050</v>
      </c>
      <c r="J4889" s="73">
        <v>232</v>
      </c>
      <c r="K4889" s="24"/>
      <c r="L4889" s="90">
        <v>0</v>
      </c>
      <c r="M4889" s="24"/>
      <c r="N4889" s="93">
        <f t="shared" si="188"/>
        <v>232</v>
      </c>
      <c r="O4889" s="11">
        <f t="shared" si="189"/>
        <v>4419600</v>
      </c>
      <c r="P4889" s="10">
        <v>1460</v>
      </c>
      <c r="Q4889" s="10" t="s">
        <v>1928</v>
      </c>
      <c r="R4889" s="50">
        <f>+テーブル1[[#This Row],[合計金額]]*テーブル1[[#This Row],[自社報酬率％]]/100</f>
        <v>1988820</v>
      </c>
    </row>
    <row r="4890" spans="1:18">
      <c r="A4890" s="7">
        <v>45992</v>
      </c>
      <c r="B4890" t="s">
        <v>43</v>
      </c>
      <c r="C4890" s="80" t="s">
        <v>1962</v>
      </c>
      <c r="D4890" s="41">
        <v>55</v>
      </c>
      <c r="E4890" s="41">
        <v>45</v>
      </c>
      <c r="F4890" s="101" t="s">
        <v>19</v>
      </c>
      <c r="G4890" s="102">
        <v>46054</v>
      </c>
      <c r="H4890" s="26" t="s">
        <v>3246</v>
      </c>
      <c r="I4890" s="49">
        <v>19050</v>
      </c>
      <c r="J4890" s="24">
        <v>232</v>
      </c>
      <c r="K4890" s="24"/>
      <c r="L4890" s="91">
        <v>0</v>
      </c>
      <c r="M4890" s="24"/>
      <c r="N4890" s="94">
        <f t="shared" si="188"/>
        <v>232</v>
      </c>
      <c r="O4890" s="11">
        <f t="shared" si="189"/>
        <v>4419600</v>
      </c>
      <c r="P4890" s="10">
        <v>1461</v>
      </c>
      <c r="Q4890" s="10" t="s">
        <v>1928</v>
      </c>
      <c r="R4890" s="50">
        <f>+テーブル1[[#This Row],[合計金額]]*テーブル1[[#This Row],[自社報酬率％]]/100</f>
        <v>1988820</v>
      </c>
    </row>
    <row r="4891" spans="1:18">
      <c r="A4891" s="7">
        <v>45992</v>
      </c>
      <c r="B4891" t="s">
        <v>43</v>
      </c>
      <c r="C4891" s="80" t="s">
        <v>1962</v>
      </c>
      <c r="D4891" s="41">
        <v>55</v>
      </c>
      <c r="E4891" s="41">
        <v>45</v>
      </c>
      <c r="F4891" s="101" t="s">
        <v>19</v>
      </c>
      <c r="G4891" s="102">
        <v>46082</v>
      </c>
      <c r="H4891" s="26" t="s">
        <v>3247</v>
      </c>
      <c r="I4891" s="49">
        <v>19050</v>
      </c>
      <c r="J4891" s="24">
        <v>232</v>
      </c>
      <c r="K4891" s="24"/>
      <c r="L4891" s="91">
        <v>0</v>
      </c>
      <c r="M4891" s="24"/>
      <c r="N4891" s="94">
        <f t="shared" si="188"/>
        <v>232</v>
      </c>
      <c r="O4891" s="11">
        <f t="shared" si="189"/>
        <v>4419600</v>
      </c>
      <c r="P4891" s="10">
        <v>1462</v>
      </c>
      <c r="Q4891" s="10" t="s">
        <v>1928</v>
      </c>
      <c r="R4891" s="50">
        <f>+テーブル1[[#This Row],[合計金額]]*テーブル1[[#This Row],[自社報酬率％]]/100</f>
        <v>1988820</v>
      </c>
    </row>
    <row r="4892" spans="1:18">
      <c r="A4892" s="7">
        <v>45992</v>
      </c>
      <c r="B4892" t="s">
        <v>43</v>
      </c>
      <c r="C4892" s="80" t="s">
        <v>1962</v>
      </c>
      <c r="D4892" s="41">
        <v>55</v>
      </c>
      <c r="E4892" s="41">
        <v>45</v>
      </c>
      <c r="F4892" s="101" t="s">
        <v>19</v>
      </c>
      <c r="G4892" s="102">
        <v>46113</v>
      </c>
      <c r="H4892" s="26" t="s">
        <v>3248</v>
      </c>
      <c r="I4892" s="49">
        <v>19050</v>
      </c>
      <c r="J4892" s="24">
        <v>232</v>
      </c>
      <c r="K4892" s="24"/>
      <c r="L4892" s="91">
        <v>0</v>
      </c>
      <c r="M4892" s="24"/>
      <c r="N4892" s="94">
        <f t="shared" si="188"/>
        <v>232</v>
      </c>
      <c r="O4892" s="11">
        <f t="shared" si="189"/>
        <v>4419600</v>
      </c>
      <c r="P4892" s="10">
        <v>1463</v>
      </c>
      <c r="Q4892" s="10" t="s">
        <v>1928</v>
      </c>
      <c r="R4892" s="50">
        <f>+テーブル1[[#This Row],[合計金額]]*テーブル1[[#This Row],[自社報酬率％]]/100</f>
        <v>1988820</v>
      </c>
    </row>
    <row r="4893" spans="1:18">
      <c r="A4893" s="7">
        <v>45992</v>
      </c>
      <c r="B4893" t="s">
        <v>43</v>
      </c>
      <c r="C4893" s="80" t="s">
        <v>1962</v>
      </c>
      <c r="D4893" s="41">
        <v>55</v>
      </c>
      <c r="E4893" s="41">
        <v>45</v>
      </c>
      <c r="F4893" s="101" t="s">
        <v>19</v>
      </c>
      <c r="G4893" s="102">
        <v>46143</v>
      </c>
      <c r="H4893" s="26" t="s">
        <v>3249</v>
      </c>
      <c r="I4893" s="49">
        <v>19050</v>
      </c>
      <c r="J4893" s="24">
        <v>232</v>
      </c>
      <c r="K4893" s="24"/>
      <c r="L4893" s="91">
        <v>0</v>
      </c>
      <c r="M4893" s="24"/>
      <c r="N4893" s="94">
        <f t="shared" si="188"/>
        <v>232</v>
      </c>
      <c r="O4893" s="11">
        <f t="shared" si="189"/>
        <v>4419600</v>
      </c>
      <c r="P4893" s="10">
        <v>1464</v>
      </c>
      <c r="Q4893" s="10" t="s">
        <v>1928</v>
      </c>
      <c r="R4893" s="50">
        <f>+テーブル1[[#This Row],[合計金額]]*テーブル1[[#This Row],[自社報酬率％]]/100</f>
        <v>1988820</v>
      </c>
    </row>
    <row r="4894" spans="1:18">
      <c r="A4894" s="7">
        <v>45992</v>
      </c>
      <c r="B4894" t="s">
        <v>43</v>
      </c>
      <c r="C4894" s="81" t="s">
        <v>1962</v>
      </c>
      <c r="D4894" s="41">
        <v>55</v>
      </c>
      <c r="E4894" s="41">
        <v>45</v>
      </c>
      <c r="F4894" s="76" t="s">
        <v>19</v>
      </c>
      <c r="G4894" s="86">
        <v>46174</v>
      </c>
      <c r="H4894" s="26" t="s">
        <v>3250</v>
      </c>
      <c r="I4894" s="49">
        <v>19050</v>
      </c>
      <c r="J4894" s="77">
        <v>232</v>
      </c>
      <c r="K4894" s="24"/>
      <c r="L4894" s="92">
        <v>0</v>
      </c>
      <c r="M4894" s="24"/>
      <c r="N4894" s="95">
        <f t="shared" si="188"/>
        <v>232</v>
      </c>
      <c r="O4894" s="11">
        <f t="shared" si="189"/>
        <v>4419600</v>
      </c>
      <c r="P4894" s="10">
        <v>1465</v>
      </c>
      <c r="Q4894" s="10" t="s">
        <v>1928</v>
      </c>
      <c r="R4894" s="50">
        <f>+テーブル1[[#This Row],[合計金額]]*テーブル1[[#This Row],[自社報酬率％]]/100</f>
        <v>1988820</v>
      </c>
    </row>
    <row r="4895" spans="1:18">
      <c r="A4895" s="7">
        <v>45992</v>
      </c>
      <c r="B4895" t="s">
        <v>43</v>
      </c>
      <c r="C4895" s="79" t="s">
        <v>1962</v>
      </c>
      <c r="D4895" s="41">
        <v>55</v>
      </c>
      <c r="E4895" s="41">
        <v>45</v>
      </c>
      <c r="F4895" s="72" t="s">
        <v>19</v>
      </c>
      <c r="G4895" s="85">
        <v>46023</v>
      </c>
      <c r="H4895" s="26" t="s">
        <v>207</v>
      </c>
      <c r="I4895" s="49">
        <v>19050</v>
      </c>
      <c r="J4895" s="73">
        <v>164</v>
      </c>
      <c r="K4895" s="24"/>
      <c r="L4895" s="90">
        <v>0</v>
      </c>
      <c r="M4895" s="24"/>
      <c r="N4895" s="93">
        <f t="shared" si="188"/>
        <v>164</v>
      </c>
      <c r="O4895" s="11">
        <f t="shared" si="189"/>
        <v>3124200</v>
      </c>
      <c r="P4895" s="10">
        <v>1466</v>
      </c>
      <c r="Q4895" s="10" t="s">
        <v>1928</v>
      </c>
      <c r="R4895" s="50">
        <f>+テーブル1[[#This Row],[合計金額]]*テーブル1[[#This Row],[自社報酬率％]]/100</f>
        <v>1405890</v>
      </c>
    </row>
    <row r="4896" spans="1:18">
      <c r="A4896" s="7">
        <v>45992</v>
      </c>
      <c r="B4896" t="s">
        <v>43</v>
      </c>
      <c r="C4896" s="80" t="s">
        <v>1962</v>
      </c>
      <c r="D4896" s="41">
        <v>55</v>
      </c>
      <c r="E4896" s="41">
        <v>45</v>
      </c>
      <c r="F4896" s="101" t="s">
        <v>19</v>
      </c>
      <c r="G4896" s="102">
        <v>46054</v>
      </c>
      <c r="H4896" s="26" t="s">
        <v>3251</v>
      </c>
      <c r="I4896" s="49">
        <v>19050</v>
      </c>
      <c r="J4896" s="24">
        <v>164</v>
      </c>
      <c r="K4896" s="24"/>
      <c r="L4896" s="91">
        <v>0</v>
      </c>
      <c r="M4896" s="24"/>
      <c r="N4896" s="94">
        <f t="shared" si="188"/>
        <v>164</v>
      </c>
      <c r="O4896" s="11">
        <f t="shared" si="189"/>
        <v>3124200</v>
      </c>
      <c r="P4896" s="10">
        <v>1467</v>
      </c>
      <c r="Q4896" s="10" t="s">
        <v>1928</v>
      </c>
      <c r="R4896" s="50">
        <f>+テーブル1[[#This Row],[合計金額]]*テーブル1[[#This Row],[自社報酬率％]]/100</f>
        <v>1405890</v>
      </c>
    </row>
    <row r="4897" spans="1:18">
      <c r="A4897" s="7">
        <v>45992</v>
      </c>
      <c r="B4897" t="s">
        <v>43</v>
      </c>
      <c r="C4897" s="80" t="s">
        <v>1962</v>
      </c>
      <c r="D4897" s="41">
        <v>55</v>
      </c>
      <c r="E4897" s="41">
        <v>45</v>
      </c>
      <c r="F4897" s="101" t="s">
        <v>19</v>
      </c>
      <c r="G4897" s="102">
        <v>46082</v>
      </c>
      <c r="H4897" s="26" t="s">
        <v>3252</v>
      </c>
      <c r="I4897" s="49">
        <v>19050</v>
      </c>
      <c r="J4897" s="24">
        <v>164</v>
      </c>
      <c r="K4897" s="24"/>
      <c r="L4897" s="91">
        <v>0</v>
      </c>
      <c r="M4897" s="24"/>
      <c r="N4897" s="94">
        <f t="shared" si="188"/>
        <v>164</v>
      </c>
      <c r="O4897" s="11">
        <f t="shared" si="189"/>
        <v>3124200</v>
      </c>
      <c r="P4897" s="10">
        <v>1468</v>
      </c>
      <c r="Q4897" s="10" t="s">
        <v>1928</v>
      </c>
      <c r="R4897" s="50">
        <f>+テーブル1[[#This Row],[合計金額]]*テーブル1[[#This Row],[自社報酬率％]]/100</f>
        <v>1405890</v>
      </c>
    </row>
    <row r="4898" spans="1:18">
      <c r="A4898" s="7">
        <v>45992</v>
      </c>
      <c r="B4898" t="s">
        <v>43</v>
      </c>
      <c r="C4898" s="80" t="s">
        <v>1962</v>
      </c>
      <c r="D4898" s="41">
        <v>55</v>
      </c>
      <c r="E4898" s="41">
        <v>45</v>
      </c>
      <c r="F4898" s="101" t="s">
        <v>19</v>
      </c>
      <c r="G4898" s="102">
        <v>46113</v>
      </c>
      <c r="H4898" s="26" t="s">
        <v>3253</v>
      </c>
      <c r="I4898" s="49">
        <v>19050</v>
      </c>
      <c r="J4898" s="24">
        <v>164</v>
      </c>
      <c r="K4898" s="24"/>
      <c r="L4898" s="91">
        <v>0</v>
      </c>
      <c r="M4898" s="24"/>
      <c r="N4898" s="94">
        <f t="shared" si="188"/>
        <v>164</v>
      </c>
      <c r="O4898" s="11">
        <f t="shared" si="189"/>
        <v>3124200</v>
      </c>
      <c r="P4898" s="10">
        <v>1469</v>
      </c>
      <c r="Q4898" s="10" t="s">
        <v>1928</v>
      </c>
      <c r="R4898" s="50">
        <f>+テーブル1[[#This Row],[合計金額]]*テーブル1[[#This Row],[自社報酬率％]]/100</f>
        <v>1405890</v>
      </c>
    </row>
    <row r="4899" spans="1:18">
      <c r="A4899" s="7">
        <v>45992</v>
      </c>
      <c r="B4899" t="s">
        <v>43</v>
      </c>
      <c r="C4899" s="80" t="s">
        <v>1962</v>
      </c>
      <c r="D4899" s="41">
        <v>55</v>
      </c>
      <c r="E4899" s="41">
        <v>45</v>
      </c>
      <c r="F4899" s="101" t="s">
        <v>19</v>
      </c>
      <c r="G4899" s="102">
        <v>46143</v>
      </c>
      <c r="H4899" s="26" t="s">
        <v>3254</v>
      </c>
      <c r="I4899" s="49">
        <v>19050</v>
      </c>
      <c r="J4899" s="24">
        <v>164</v>
      </c>
      <c r="K4899" s="24"/>
      <c r="L4899" s="91">
        <v>0</v>
      </c>
      <c r="M4899" s="24"/>
      <c r="N4899" s="94">
        <f t="shared" si="188"/>
        <v>164</v>
      </c>
      <c r="O4899" s="11">
        <f t="shared" si="189"/>
        <v>3124200</v>
      </c>
      <c r="P4899" s="10">
        <v>1470</v>
      </c>
      <c r="Q4899" s="10" t="s">
        <v>1928</v>
      </c>
      <c r="R4899" s="50">
        <f>+テーブル1[[#This Row],[合計金額]]*テーブル1[[#This Row],[自社報酬率％]]/100</f>
        <v>1405890</v>
      </c>
    </row>
    <row r="4900" spans="1:18">
      <c r="A4900" s="7">
        <v>45992</v>
      </c>
      <c r="B4900" t="s">
        <v>43</v>
      </c>
      <c r="C4900" s="80" t="s">
        <v>1962</v>
      </c>
      <c r="D4900" s="41">
        <v>55</v>
      </c>
      <c r="E4900" s="41">
        <v>45</v>
      </c>
      <c r="F4900" s="101" t="s">
        <v>19</v>
      </c>
      <c r="G4900" s="102">
        <v>46174</v>
      </c>
      <c r="H4900" s="26" t="s">
        <v>3255</v>
      </c>
      <c r="I4900" s="49">
        <v>19050</v>
      </c>
      <c r="J4900" s="24">
        <v>164</v>
      </c>
      <c r="K4900" s="24"/>
      <c r="L4900" s="91">
        <v>0</v>
      </c>
      <c r="M4900" s="24"/>
      <c r="N4900" s="94">
        <f t="shared" si="188"/>
        <v>164</v>
      </c>
      <c r="O4900" s="11">
        <f t="shared" si="189"/>
        <v>3124200</v>
      </c>
      <c r="P4900" s="10">
        <v>1471</v>
      </c>
      <c r="Q4900" s="10" t="s">
        <v>1928</v>
      </c>
      <c r="R4900" s="50">
        <f>+テーブル1[[#This Row],[合計金額]]*テーブル1[[#This Row],[自社報酬率％]]/100</f>
        <v>1405890</v>
      </c>
    </row>
    <row r="4901" spans="1:18">
      <c r="A4901" s="7">
        <v>45992</v>
      </c>
      <c r="B4901" t="s">
        <v>43</v>
      </c>
      <c r="C4901" s="79" t="s">
        <v>1962</v>
      </c>
      <c r="D4901" s="41">
        <v>55</v>
      </c>
      <c r="E4901" s="41">
        <v>45</v>
      </c>
      <c r="F4901" s="72" t="s">
        <v>19</v>
      </c>
      <c r="G4901" s="85">
        <v>46113</v>
      </c>
      <c r="H4901" s="26" t="s">
        <v>3256</v>
      </c>
      <c r="I4901" s="49">
        <v>19050</v>
      </c>
      <c r="J4901" s="73">
        <v>1</v>
      </c>
      <c r="K4901" s="24"/>
      <c r="L4901" s="90">
        <v>0</v>
      </c>
      <c r="M4901" s="24"/>
      <c r="N4901" s="93">
        <f t="shared" si="188"/>
        <v>1</v>
      </c>
      <c r="O4901" s="11">
        <f t="shared" si="189"/>
        <v>19050</v>
      </c>
      <c r="P4901" s="10">
        <v>1472</v>
      </c>
      <c r="Q4901" s="10" t="s">
        <v>1928</v>
      </c>
      <c r="R4901" s="50">
        <f>+テーブル1[[#This Row],[合計金額]]*テーブル1[[#This Row],[自社報酬率％]]/100</f>
        <v>8572.5</v>
      </c>
    </row>
    <row r="4902" spans="1:18">
      <c r="A4902" s="7">
        <v>45992</v>
      </c>
      <c r="B4902" t="s">
        <v>43</v>
      </c>
      <c r="C4902" s="80" t="s">
        <v>1962</v>
      </c>
      <c r="D4902" s="41">
        <v>55</v>
      </c>
      <c r="E4902" s="41">
        <v>45</v>
      </c>
      <c r="F4902" s="101" t="s">
        <v>19</v>
      </c>
      <c r="G4902" s="102">
        <v>46143</v>
      </c>
      <c r="H4902" s="26" t="s">
        <v>3257</v>
      </c>
      <c r="I4902" s="49">
        <v>19050</v>
      </c>
      <c r="J4902" s="24">
        <v>1</v>
      </c>
      <c r="K4902" s="24"/>
      <c r="L4902" s="91">
        <v>0</v>
      </c>
      <c r="M4902" s="24"/>
      <c r="N4902" s="94">
        <f t="shared" si="188"/>
        <v>1</v>
      </c>
      <c r="O4902" s="11">
        <f t="shared" si="189"/>
        <v>19050</v>
      </c>
      <c r="P4902" s="10">
        <v>1473</v>
      </c>
      <c r="Q4902" s="10" t="s">
        <v>1928</v>
      </c>
      <c r="R4902" s="50">
        <f>+テーブル1[[#This Row],[合計金額]]*テーブル1[[#This Row],[自社報酬率％]]/100</f>
        <v>8572.5</v>
      </c>
    </row>
    <row r="4903" spans="1:18">
      <c r="A4903" s="7">
        <v>45992</v>
      </c>
      <c r="B4903" t="s">
        <v>43</v>
      </c>
      <c r="C4903" s="80" t="s">
        <v>1962</v>
      </c>
      <c r="D4903" s="41">
        <v>55</v>
      </c>
      <c r="E4903" s="41">
        <v>45</v>
      </c>
      <c r="F4903" s="101" t="s">
        <v>19</v>
      </c>
      <c r="G4903" s="102">
        <v>46174</v>
      </c>
      <c r="H4903" s="26" t="s">
        <v>3258</v>
      </c>
      <c r="I4903" s="49">
        <v>19050</v>
      </c>
      <c r="J4903" s="24">
        <v>1</v>
      </c>
      <c r="K4903" s="24"/>
      <c r="L4903" s="91">
        <v>0</v>
      </c>
      <c r="M4903" s="24"/>
      <c r="N4903" s="94">
        <f t="shared" si="188"/>
        <v>1</v>
      </c>
      <c r="O4903" s="11">
        <f t="shared" si="189"/>
        <v>19050</v>
      </c>
      <c r="P4903" s="10">
        <v>1474</v>
      </c>
      <c r="Q4903" s="10" t="s">
        <v>1928</v>
      </c>
      <c r="R4903" s="50">
        <f>+テーブル1[[#This Row],[合計金額]]*テーブル1[[#This Row],[自社報酬率％]]/100</f>
        <v>8572.5</v>
      </c>
    </row>
    <row r="4904" spans="1:18">
      <c r="A4904" s="7">
        <v>45992</v>
      </c>
      <c r="B4904" t="s">
        <v>43</v>
      </c>
      <c r="C4904" s="80" t="s">
        <v>1962</v>
      </c>
      <c r="D4904" s="41">
        <v>55</v>
      </c>
      <c r="E4904" s="41">
        <v>45</v>
      </c>
      <c r="F4904" s="101" t="s">
        <v>19</v>
      </c>
      <c r="G4904" s="102">
        <v>46204</v>
      </c>
      <c r="H4904" s="26" t="s">
        <v>3259</v>
      </c>
      <c r="I4904" s="49">
        <v>19050</v>
      </c>
      <c r="J4904" s="24">
        <v>1</v>
      </c>
      <c r="K4904" s="24"/>
      <c r="L4904" s="91">
        <v>0</v>
      </c>
      <c r="M4904" s="24"/>
      <c r="N4904" s="94">
        <f t="shared" si="188"/>
        <v>1</v>
      </c>
      <c r="O4904" s="11">
        <f t="shared" si="189"/>
        <v>19050</v>
      </c>
      <c r="P4904" s="10">
        <v>1475</v>
      </c>
      <c r="Q4904" s="10" t="s">
        <v>1928</v>
      </c>
      <c r="R4904" s="50">
        <f>+テーブル1[[#This Row],[合計金額]]*テーブル1[[#This Row],[自社報酬率％]]/100</f>
        <v>8572.5</v>
      </c>
    </row>
    <row r="4905" spans="1:18">
      <c r="A4905" s="7">
        <v>45992</v>
      </c>
      <c r="B4905" t="s">
        <v>43</v>
      </c>
      <c r="C4905" s="80" t="s">
        <v>1962</v>
      </c>
      <c r="D4905" s="41">
        <v>55</v>
      </c>
      <c r="E4905" s="41">
        <v>45</v>
      </c>
      <c r="F4905" s="101" t="s">
        <v>19</v>
      </c>
      <c r="G4905" s="102">
        <v>46235</v>
      </c>
      <c r="H4905" s="26" t="s">
        <v>3260</v>
      </c>
      <c r="I4905" s="49">
        <v>19050</v>
      </c>
      <c r="J4905" s="24">
        <v>1</v>
      </c>
      <c r="K4905" s="24"/>
      <c r="L4905" s="91">
        <v>0</v>
      </c>
      <c r="M4905" s="24"/>
      <c r="N4905" s="94">
        <f t="shared" si="188"/>
        <v>1</v>
      </c>
      <c r="O4905" s="11">
        <f t="shared" si="189"/>
        <v>19050</v>
      </c>
      <c r="P4905" s="10">
        <v>1476</v>
      </c>
      <c r="Q4905" s="10" t="s">
        <v>1928</v>
      </c>
      <c r="R4905" s="50">
        <f>+テーブル1[[#This Row],[合計金額]]*テーブル1[[#This Row],[自社報酬率％]]/100</f>
        <v>8572.5</v>
      </c>
    </row>
    <row r="4906" spans="1:18">
      <c r="A4906" s="7">
        <v>45992</v>
      </c>
      <c r="B4906" t="s">
        <v>43</v>
      </c>
      <c r="C4906" s="81" t="s">
        <v>1962</v>
      </c>
      <c r="D4906" s="41">
        <v>55</v>
      </c>
      <c r="E4906" s="41">
        <v>45</v>
      </c>
      <c r="F4906" s="76" t="s">
        <v>19</v>
      </c>
      <c r="G4906" s="86">
        <v>46266</v>
      </c>
      <c r="H4906" s="26" t="s">
        <v>3261</v>
      </c>
      <c r="I4906" s="49">
        <v>19050</v>
      </c>
      <c r="J4906" s="77">
        <v>1</v>
      </c>
      <c r="K4906" s="24"/>
      <c r="L4906" s="92">
        <v>0</v>
      </c>
      <c r="M4906" s="24"/>
      <c r="N4906" s="95">
        <f t="shared" si="188"/>
        <v>1</v>
      </c>
      <c r="O4906" s="11">
        <f t="shared" si="189"/>
        <v>19050</v>
      </c>
      <c r="P4906" s="10">
        <v>1477</v>
      </c>
      <c r="Q4906" s="10" t="s">
        <v>1928</v>
      </c>
      <c r="R4906" s="50">
        <f>+テーブル1[[#This Row],[合計金額]]*テーブル1[[#This Row],[自社報酬率％]]/100</f>
        <v>8572.5</v>
      </c>
    </row>
    <row r="4907" spans="1:18">
      <c r="A4907" s="7">
        <v>45992</v>
      </c>
      <c r="B4907" t="s">
        <v>43</v>
      </c>
      <c r="C4907" s="79" t="s">
        <v>1962</v>
      </c>
      <c r="D4907" s="41">
        <v>55</v>
      </c>
      <c r="E4907" s="41">
        <v>45</v>
      </c>
      <c r="F4907" s="72" t="s">
        <v>19</v>
      </c>
      <c r="G4907" s="85">
        <v>46023</v>
      </c>
      <c r="H4907" s="26" t="s">
        <v>331</v>
      </c>
      <c r="I4907" s="49">
        <v>19050</v>
      </c>
      <c r="J4907" s="73">
        <v>3</v>
      </c>
      <c r="K4907" s="24"/>
      <c r="L4907" s="90">
        <v>0</v>
      </c>
      <c r="M4907" s="24"/>
      <c r="N4907" s="93">
        <f t="shared" si="188"/>
        <v>3</v>
      </c>
      <c r="O4907" s="11">
        <f t="shared" si="189"/>
        <v>57150</v>
      </c>
      <c r="P4907" s="10">
        <v>1478</v>
      </c>
      <c r="Q4907" s="10" t="s">
        <v>1928</v>
      </c>
      <c r="R4907" s="50">
        <f>+テーブル1[[#This Row],[合計金額]]*テーブル1[[#This Row],[自社報酬率％]]/100</f>
        <v>25717.5</v>
      </c>
    </row>
    <row r="4908" spans="1:18">
      <c r="A4908" s="7">
        <v>45992</v>
      </c>
      <c r="B4908" t="s">
        <v>43</v>
      </c>
      <c r="C4908" s="80" t="s">
        <v>1962</v>
      </c>
      <c r="D4908" s="41">
        <v>55</v>
      </c>
      <c r="E4908" s="41">
        <v>45</v>
      </c>
      <c r="F4908" s="101" t="s">
        <v>19</v>
      </c>
      <c r="G4908" s="102">
        <v>46054</v>
      </c>
      <c r="H4908" s="26" t="s">
        <v>3262</v>
      </c>
      <c r="I4908" s="49">
        <v>19050</v>
      </c>
      <c r="J4908" s="24">
        <v>3</v>
      </c>
      <c r="K4908" s="24"/>
      <c r="L4908" s="91">
        <v>0</v>
      </c>
      <c r="M4908" s="24"/>
      <c r="N4908" s="94">
        <f t="shared" si="188"/>
        <v>3</v>
      </c>
      <c r="O4908" s="11">
        <f t="shared" si="189"/>
        <v>57150</v>
      </c>
      <c r="P4908" s="10">
        <v>1479</v>
      </c>
      <c r="Q4908" s="10" t="s">
        <v>1928</v>
      </c>
      <c r="R4908" s="50">
        <f>+テーブル1[[#This Row],[合計金額]]*テーブル1[[#This Row],[自社報酬率％]]/100</f>
        <v>25717.5</v>
      </c>
    </row>
    <row r="4909" spans="1:18">
      <c r="A4909" s="7">
        <v>45992</v>
      </c>
      <c r="B4909" t="s">
        <v>43</v>
      </c>
      <c r="C4909" s="80" t="s">
        <v>1962</v>
      </c>
      <c r="D4909" s="41">
        <v>55</v>
      </c>
      <c r="E4909" s="41">
        <v>45</v>
      </c>
      <c r="F4909" s="101" t="s">
        <v>19</v>
      </c>
      <c r="G4909" s="102">
        <v>46082</v>
      </c>
      <c r="H4909" s="26" t="s">
        <v>3263</v>
      </c>
      <c r="I4909" s="49">
        <v>19050</v>
      </c>
      <c r="J4909" s="24">
        <v>3</v>
      </c>
      <c r="K4909" s="24"/>
      <c r="L4909" s="91">
        <v>0</v>
      </c>
      <c r="M4909" s="24"/>
      <c r="N4909" s="94">
        <f t="shared" si="188"/>
        <v>3</v>
      </c>
      <c r="O4909" s="11">
        <f t="shared" si="189"/>
        <v>57150</v>
      </c>
      <c r="P4909" s="10">
        <v>1480</v>
      </c>
      <c r="Q4909" s="10" t="s">
        <v>1928</v>
      </c>
      <c r="R4909" s="50">
        <f>+テーブル1[[#This Row],[合計金額]]*テーブル1[[#This Row],[自社報酬率％]]/100</f>
        <v>25717.5</v>
      </c>
    </row>
    <row r="4910" spans="1:18">
      <c r="A4910" s="7">
        <v>45992</v>
      </c>
      <c r="B4910" t="s">
        <v>43</v>
      </c>
      <c r="C4910" s="80" t="s">
        <v>1962</v>
      </c>
      <c r="D4910" s="41">
        <v>55</v>
      </c>
      <c r="E4910" s="41">
        <v>45</v>
      </c>
      <c r="F4910" s="101" t="s">
        <v>19</v>
      </c>
      <c r="G4910" s="102">
        <v>46113</v>
      </c>
      <c r="H4910" s="26" t="s">
        <v>3264</v>
      </c>
      <c r="I4910" s="49">
        <v>19050</v>
      </c>
      <c r="J4910" s="24">
        <v>3</v>
      </c>
      <c r="K4910" s="24"/>
      <c r="L4910" s="91">
        <v>0</v>
      </c>
      <c r="M4910" s="24"/>
      <c r="N4910" s="94">
        <f t="shared" si="188"/>
        <v>3</v>
      </c>
      <c r="O4910" s="11">
        <f t="shared" si="189"/>
        <v>57150</v>
      </c>
      <c r="P4910" s="10">
        <v>1481</v>
      </c>
      <c r="Q4910" s="10" t="s">
        <v>1928</v>
      </c>
      <c r="R4910" s="50">
        <f>+テーブル1[[#This Row],[合計金額]]*テーブル1[[#This Row],[自社報酬率％]]/100</f>
        <v>25717.5</v>
      </c>
    </row>
    <row r="4911" spans="1:18">
      <c r="A4911" s="7">
        <v>45992</v>
      </c>
      <c r="B4911" t="s">
        <v>43</v>
      </c>
      <c r="C4911" s="80" t="s">
        <v>1962</v>
      </c>
      <c r="D4911" s="41">
        <v>55</v>
      </c>
      <c r="E4911" s="41">
        <v>45</v>
      </c>
      <c r="F4911" s="101" t="s">
        <v>19</v>
      </c>
      <c r="G4911" s="102">
        <v>46143</v>
      </c>
      <c r="H4911" s="26" t="s">
        <v>3265</v>
      </c>
      <c r="I4911" s="49">
        <v>19050</v>
      </c>
      <c r="J4911" s="24">
        <v>3</v>
      </c>
      <c r="K4911" s="24"/>
      <c r="L4911" s="91">
        <v>0</v>
      </c>
      <c r="M4911" s="24"/>
      <c r="N4911" s="94">
        <f t="shared" si="188"/>
        <v>3</v>
      </c>
      <c r="O4911" s="11">
        <f t="shared" si="189"/>
        <v>57150</v>
      </c>
      <c r="P4911" s="10">
        <v>1482</v>
      </c>
      <c r="Q4911" s="10" t="s">
        <v>1928</v>
      </c>
      <c r="R4911" s="50">
        <f>+テーブル1[[#This Row],[合計金額]]*テーブル1[[#This Row],[自社報酬率％]]/100</f>
        <v>25717.5</v>
      </c>
    </row>
    <row r="4912" spans="1:18">
      <c r="A4912" s="7">
        <v>45992</v>
      </c>
      <c r="B4912" t="s">
        <v>43</v>
      </c>
      <c r="C4912" s="80" t="s">
        <v>1962</v>
      </c>
      <c r="D4912" s="41">
        <v>55</v>
      </c>
      <c r="E4912" s="41">
        <v>45</v>
      </c>
      <c r="F4912" s="101" t="s">
        <v>19</v>
      </c>
      <c r="G4912" s="102">
        <v>46174</v>
      </c>
      <c r="H4912" s="26" t="s">
        <v>3266</v>
      </c>
      <c r="I4912" s="49">
        <v>19050</v>
      </c>
      <c r="J4912" s="24">
        <v>3</v>
      </c>
      <c r="K4912" s="24"/>
      <c r="L4912" s="91">
        <v>0</v>
      </c>
      <c r="M4912" s="24"/>
      <c r="N4912" s="94">
        <f t="shared" si="188"/>
        <v>3</v>
      </c>
      <c r="O4912" s="11">
        <f t="shared" si="189"/>
        <v>57150</v>
      </c>
      <c r="P4912" s="10">
        <v>1483</v>
      </c>
      <c r="Q4912" s="10" t="s">
        <v>1928</v>
      </c>
      <c r="R4912" s="50">
        <f>+テーブル1[[#This Row],[合計金額]]*テーブル1[[#This Row],[自社報酬率％]]/100</f>
        <v>25717.5</v>
      </c>
    </row>
    <row r="4913" spans="1:18">
      <c r="A4913" s="7">
        <v>45992</v>
      </c>
      <c r="B4913" t="s">
        <v>43</v>
      </c>
      <c r="C4913" s="71" t="s">
        <v>1962</v>
      </c>
      <c r="D4913" s="41">
        <v>55</v>
      </c>
      <c r="E4913" s="41">
        <v>45</v>
      </c>
      <c r="F4913" s="112" t="s">
        <v>19</v>
      </c>
      <c r="G4913" s="124">
        <v>45992</v>
      </c>
      <c r="H4913" s="26" t="s">
        <v>3267</v>
      </c>
      <c r="I4913" s="49">
        <v>19050</v>
      </c>
      <c r="J4913" s="73">
        <v>1</v>
      </c>
      <c r="K4913" s="24"/>
      <c r="L4913" s="90">
        <v>0</v>
      </c>
      <c r="M4913" s="24"/>
      <c r="N4913" s="93">
        <f t="shared" si="188"/>
        <v>1</v>
      </c>
      <c r="O4913" s="11">
        <f t="shared" si="189"/>
        <v>19050</v>
      </c>
      <c r="P4913" s="10">
        <v>1484</v>
      </c>
      <c r="Q4913" s="10" t="s">
        <v>1928</v>
      </c>
      <c r="R4913" s="50">
        <f>+テーブル1[[#This Row],[合計金額]]*テーブル1[[#This Row],[自社報酬率％]]/100</f>
        <v>8572.5</v>
      </c>
    </row>
    <row r="4914" spans="1:18">
      <c r="A4914" s="7">
        <v>45992</v>
      </c>
      <c r="B4914" t="s">
        <v>43</v>
      </c>
      <c r="C4914" s="80" t="s">
        <v>1962</v>
      </c>
      <c r="D4914" s="41">
        <v>55</v>
      </c>
      <c r="E4914" s="41">
        <v>45</v>
      </c>
      <c r="F4914" s="101" t="s">
        <v>19</v>
      </c>
      <c r="G4914" s="102">
        <v>46023</v>
      </c>
      <c r="H4914" s="26" t="s">
        <v>3268</v>
      </c>
      <c r="I4914" s="49">
        <v>19050</v>
      </c>
      <c r="J4914" s="24">
        <v>1</v>
      </c>
      <c r="K4914" s="24"/>
      <c r="L4914" s="91">
        <v>0</v>
      </c>
      <c r="M4914" s="24"/>
      <c r="N4914" s="94">
        <f t="shared" si="188"/>
        <v>1</v>
      </c>
      <c r="O4914" s="11">
        <f t="shared" si="189"/>
        <v>19050</v>
      </c>
      <c r="P4914" s="10">
        <v>1485</v>
      </c>
      <c r="Q4914" s="10" t="s">
        <v>1928</v>
      </c>
      <c r="R4914" s="50">
        <f>+テーブル1[[#This Row],[合計金額]]*テーブル1[[#This Row],[自社報酬率％]]/100</f>
        <v>8572.5</v>
      </c>
    </row>
    <row r="4915" spans="1:18">
      <c r="A4915" s="7">
        <v>45992</v>
      </c>
      <c r="B4915" t="s">
        <v>43</v>
      </c>
      <c r="C4915" s="80" t="s">
        <v>1962</v>
      </c>
      <c r="D4915" s="41">
        <v>55</v>
      </c>
      <c r="E4915" s="41">
        <v>45</v>
      </c>
      <c r="F4915" s="101" t="s">
        <v>19</v>
      </c>
      <c r="G4915" s="102">
        <v>46054</v>
      </c>
      <c r="H4915" s="26" t="s">
        <v>3269</v>
      </c>
      <c r="I4915" s="49">
        <v>19050</v>
      </c>
      <c r="J4915" s="24">
        <v>1</v>
      </c>
      <c r="K4915" s="24"/>
      <c r="L4915" s="91">
        <v>0</v>
      </c>
      <c r="M4915" s="24"/>
      <c r="N4915" s="94">
        <f t="shared" si="188"/>
        <v>1</v>
      </c>
      <c r="O4915" s="11">
        <f t="shared" si="189"/>
        <v>19050</v>
      </c>
      <c r="P4915" s="10">
        <v>1486</v>
      </c>
      <c r="Q4915" s="10" t="s">
        <v>1928</v>
      </c>
      <c r="R4915" s="50">
        <f>+テーブル1[[#This Row],[合計金額]]*テーブル1[[#This Row],[自社報酬率％]]/100</f>
        <v>8572.5</v>
      </c>
    </row>
    <row r="4916" spans="1:18">
      <c r="A4916" s="7">
        <v>45992</v>
      </c>
      <c r="B4916" t="s">
        <v>43</v>
      </c>
      <c r="C4916" s="80" t="s">
        <v>1962</v>
      </c>
      <c r="D4916" s="41">
        <v>55</v>
      </c>
      <c r="E4916" s="41">
        <v>45</v>
      </c>
      <c r="F4916" s="101" t="s">
        <v>19</v>
      </c>
      <c r="G4916" s="102">
        <v>46082</v>
      </c>
      <c r="H4916" s="26" t="s">
        <v>3270</v>
      </c>
      <c r="I4916" s="49">
        <v>19050</v>
      </c>
      <c r="J4916" s="24">
        <v>1</v>
      </c>
      <c r="K4916" s="24"/>
      <c r="L4916" s="91">
        <v>0</v>
      </c>
      <c r="M4916" s="24"/>
      <c r="N4916" s="94">
        <f t="shared" si="188"/>
        <v>1</v>
      </c>
      <c r="O4916" s="11">
        <f t="shared" si="189"/>
        <v>19050</v>
      </c>
      <c r="P4916" s="10">
        <v>1487</v>
      </c>
      <c r="Q4916" s="10" t="s">
        <v>1928</v>
      </c>
      <c r="R4916" s="50">
        <f>+テーブル1[[#This Row],[合計金額]]*テーブル1[[#This Row],[自社報酬率％]]/100</f>
        <v>8572.5</v>
      </c>
    </row>
    <row r="4917" spans="1:18">
      <c r="A4917" s="7">
        <v>45992</v>
      </c>
      <c r="B4917" t="s">
        <v>43</v>
      </c>
      <c r="C4917" s="80" t="s">
        <v>1962</v>
      </c>
      <c r="D4917" s="41">
        <v>55</v>
      </c>
      <c r="E4917" s="41">
        <v>45</v>
      </c>
      <c r="F4917" s="101" t="s">
        <v>19</v>
      </c>
      <c r="G4917" s="102">
        <v>46113</v>
      </c>
      <c r="H4917" s="26" t="s">
        <v>3271</v>
      </c>
      <c r="I4917" s="49">
        <v>19050</v>
      </c>
      <c r="J4917" s="24">
        <v>1</v>
      </c>
      <c r="K4917" s="24"/>
      <c r="L4917" s="91">
        <v>0</v>
      </c>
      <c r="M4917" s="24"/>
      <c r="N4917" s="94">
        <f t="shared" si="188"/>
        <v>1</v>
      </c>
      <c r="O4917" s="11">
        <f t="shared" si="189"/>
        <v>19050</v>
      </c>
      <c r="P4917" s="10">
        <v>1488</v>
      </c>
      <c r="Q4917" s="10" t="s">
        <v>1928</v>
      </c>
      <c r="R4917" s="50">
        <f>+テーブル1[[#This Row],[合計金額]]*テーブル1[[#This Row],[自社報酬率％]]/100</f>
        <v>8572.5</v>
      </c>
    </row>
    <row r="4918" spans="1:18">
      <c r="A4918" s="7">
        <v>45992</v>
      </c>
      <c r="B4918" t="s">
        <v>43</v>
      </c>
      <c r="C4918" s="81" t="s">
        <v>1962</v>
      </c>
      <c r="D4918" s="41">
        <v>55</v>
      </c>
      <c r="E4918" s="41">
        <v>45</v>
      </c>
      <c r="F4918" s="76" t="s">
        <v>19</v>
      </c>
      <c r="G4918" s="86">
        <v>46143</v>
      </c>
      <c r="H4918" s="26" t="s">
        <v>3272</v>
      </c>
      <c r="I4918" s="49">
        <v>19050</v>
      </c>
      <c r="J4918" s="77">
        <v>1</v>
      </c>
      <c r="K4918" s="24"/>
      <c r="L4918" s="92">
        <v>0</v>
      </c>
      <c r="M4918" s="24"/>
      <c r="N4918" s="95">
        <f t="shared" si="188"/>
        <v>1</v>
      </c>
      <c r="O4918" s="11">
        <f t="shared" si="189"/>
        <v>19050</v>
      </c>
      <c r="P4918" s="10">
        <v>1489</v>
      </c>
      <c r="Q4918" s="10" t="s">
        <v>1928</v>
      </c>
      <c r="R4918" s="50">
        <f>+テーブル1[[#This Row],[合計金額]]*テーブル1[[#This Row],[自社報酬率％]]/100</f>
        <v>8572.5</v>
      </c>
    </row>
    <row r="4919" spans="1:18">
      <c r="A4919" s="7">
        <v>45992</v>
      </c>
      <c r="B4919" t="s">
        <v>43</v>
      </c>
      <c r="C4919" s="79" t="s">
        <v>1962</v>
      </c>
      <c r="D4919" s="41">
        <v>55</v>
      </c>
      <c r="E4919" s="41">
        <v>45</v>
      </c>
      <c r="F4919" s="72" t="s">
        <v>19</v>
      </c>
      <c r="G4919" s="85">
        <v>46023</v>
      </c>
      <c r="H4919" s="26" t="s">
        <v>3273</v>
      </c>
      <c r="I4919" s="49">
        <v>19050</v>
      </c>
      <c r="J4919" s="73">
        <v>1</v>
      </c>
      <c r="K4919" s="24"/>
      <c r="L4919" s="90">
        <v>0</v>
      </c>
      <c r="M4919" s="24"/>
      <c r="N4919" s="93">
        <f t="shared" si="188"/>
        <v>1</v>
      </c>
      <c r="O4919" s="11">
        <f t="shared" si="189"/>
        <v>19050</v>
      </c>
      <c r="P4919" s="10">
        <v>1490</v>
      </c>
      <c r="Q4919" s="10" t="s">
        <v>1928</v>
      </c>
      <c r="R4919" s="50">
        <f>+テーブル1[[#This Row],[合計金額]]*テーブル1[[#This Row],[自社報酬率％]]/100</f>
        <v>8572.5</v>
      </c>
    </row>
    <row r="4920" spans="1:18">
      <c r="A4920" s="7">
        <v>45992</v>
      </c>
      <c r="B4920" t="s">
        <v>43</v>
      </c>
      <c r="C4920" s="80" t="s">
        <v>1962</v>
      </c>
      <c r="D4920" s="41">
        <v>55</v>
      </c>
      <c r="E4920" s="41">
        <v>45</v>
      </c>
      <c r="F4920" s="101" t="s">
        <v>19</v>
      </c>
      <c r="G4920" s="102">
        <v>46054</v>
      </c>
      <c r="H4920" s="26" t="s">
        <v>3274</v>
      </c>
      <c r="I4920" s="49">
        <v>19050</v>
      </c>
      <c r="J4920" s="24">
        <v>1</v>
      </c>
      <c r="K4920" s="24"/>
      <c r="L4920" s="91">
        <v>0</v>
      </c>
      <c r="M4920" s="24"/>
      <c r="N4920" s="94">
        <f t="shared" si="188"/>
        <v>1</v>
      </c>
      <c r="O4920" s="11">
        <f t="shared" si="189"/>
        <v>19050</v>
      </c>
      <c r="P4920" s="10">
        <v>1491</v>
      </c>
      <c r="Q4920" s="10" t="s">
        <v>1928</v>
      </c>
      <c r="R4920" s="50">
        <f>+テーブル1[[#This Row],[合計金額]]*テーブル1[[#This Row],[自社報酬率％]]/100</f>
        <v>8572.5</v>
      </c>
    </row>
    <row r="4921" spans="1:18">
      <c r="A4921" s="7">
        <v>45992</v>
      </c>
      <c r="B4921" t="s">
        <v>43</v>
      </c>
      <c r="C4921" s="80" t="s">
        <v>1962</v>
      </c>
      <c r="D4921" s="41">
        <v>55</v>
      </c>
      <c r="E4921" s="41">
        <v>45</v>
      </c>
      <c r="F4921" s="101" t="s">
        <v>19</v>
      </c>
      <c r="G4921" s="102">
        <v>46082</v>
      </c>
      <c r="H4921" s="26" t="s">
        <v>3275</v>
      </c>
      <c r="I4921" s="49">
        <v>19050</v>
      </c>
      <c r="J4921" s="24">
        <v>1</v>
      </c>
      <c r="K4921" s="24"/>
      <c r="L4921" s="91">
        <v>0</v>
      </c>
      <c r="M4921" s="24"/>
      <c r="N4921" s="94">
        <f t="shared" si="188"/>
        <v>1</v>
      </c>
      <c r="O4921" s="11">
        <f t="shared" si="189"/>
        <v>19050</v>
      </c>
      <c r="P4921" s="10">
        <v>1492</v>
      </c>
      <c r="Q4921" s="10" t="s">
        <v>1928</v>
      </c>
      <c r="R4921" s="50">
        <f>+テーブル1[[#This Row],[合計金額]]*テーブル1[[#This Row],[自社報酬率％]]/100</f>
        <v>8572.5</v>
      </c>
    </row>
    <row r="4922" spans="1:18">
      <c r="A4922" s="7">
        <v>45992</v>
      </c>
      <c r="B4922" t="s">
        <v>43</v>
      </c>
      <c r="C4922" s="80" t="s">
        <v>1962</v>
      </c>
      <c r="D4922" s="41">
        <v>55</v>
      </c>
      <c r="E4922" s="41">
        <v>45</v>
      </c>
      <c r="F4922" s="101" t="s">
        <v>19</v>
      </c>
      <c r="G4922" s="102">
        <v>46113</v>
      </c>
      <c r="H4922" s="26" t="s">
        <v>3276</v>
      </c>
      <c r="I4922" s="49">
        <v>19050</v>
      </c>
      <c r="J4922" s="24">
        <v>1</v>
      </c>
      <c r="K4922" s="24"/>
      <c r="L4922" s="91">
        <v>0</v>
      </c>
      <c r="M4922" s="24"/>
      <c r="N4922" s="94">
        <f t="shared" si="188"/>
        <v>1</v>
      </c>
      <c r="O4922" s="11">
        <f t="shared" si="189"/>
        <v>19050</v>
      </c>
      <c r="P4922" s="10">
        <v>1493</v>
      </c>
      <c r="Q4922" s="10" t="s">
        <v>1928</v>
      </c>
      <c r="R4922" s="50">
        <f>+テーブル1[[#This Row],[合計金額]]*テーブル1[[#This Row],[自社報酬率％]]/100</f>
        <v>8572.5</v>
      </c>
    </row>
    <row r="4923" spans="1:18">
      <c r="A4923" s="7">
        <v>45992</v>
      </c>
      <c r="B4923" t="s">
        <v>43</v>
      </c>
      <c r="C4923" s="80" t="s">
        <v>1962</v>
      </c>
      <c r="D4923" s="41">
        <v>55</v>
      </c>
      <c r="E4923" s="41">
        <v>45</v>
      </c>
      <c r="F4923" s="101" t="s">
        <v>19</v>
      </c>
      <c r="G4923" s="102">
        <v>46143</v>
      </c>
      <c r="H4923" s="26" t="s">
        <v>3277</v>
      </c>
      <c r="I4923" s="49">
        <v>19050</v>
      </c>
      <c r="J4923" s="24">
        <v>1</v>
      </c>
      <c r="K4923" s="24"/>
      <c r="L4923" s="91">
        <v>0</v>
      </c>
      <c r="M4923" s="24"/>
      <c r="N4923" s="94">
        <f t="shared" ref="N4923:N4965" si="190">J4923-L4923</f>
        <v>1</v>
      </c>
      <c r="O4923" s="11">
        <f t="shared" ref="O4923:O4972" si="191">+I4923*N4923</f>
        <v>19050</v>
      </c>
      <c r="P4923" s="10">
        <v>1494</v>
      </c>
      <c r="Q4923" s="10" t="s">
        <v>1928</v>
      </c>
      <c r="R4923" s="50">
        <f>+テーブル1[[#This Row],[合計金額]]*テーブル1[[#This Row],[自社報酬率％]]/100</f>
        <v>8572.5</v>
      </c>
    </row>
    <row r="4924" spans="1:18">
      <c r="A4924" s="7">
        <v>45992</v>
      </c>
      <c r="B4924" t="s">
        <v>43</v>
      </c>
      <c r="C4924" s="81" t="s">
        <v>1962</v>
      </c>
      <c r="D4924" s="41">
        <v>55</v>
      </c>
      <c r="E4924" s="41">
        <v>45</v>
      </c>
      <c r="F4924" s="76" t="s">
        <v>19</v>
      </c>
      <c r="G4924" s="86">
        <v>46174</v>
      </c>
      <c r="H4924" s="26" t="s">
        <v>3278</v>
      </c>
      <c r="I4924" s="49">
        <v>19050</v>
      </c>
      <c r="J4924" s="77">
        <v>1</v>
      </c>
      <c r="K4924" s="24"/>
      <c r="L4924" s="92">
        <v>0</v>
      </c>
      <c r="M4924" s="24"/>
      <c r="N4924" s="95">
        <f t="shared" si="190"/>
        <v>1</v>
      </c>
      <c r="O4924" s="11">
        <f t="shared" si="191"/>
        <v>19050</v>
      </c>
      <c r="P4924" s="10">
        <v>1495</v>
      </c>
      <c r="Q4924" s="10" t="s">
        <v>1928</v>
      </c>
      <c r="R4924" s="50">
        <f>+テーブル1[[#This Row],[合計金額]]*テーブル1[[#This Row],[自社報酬率％]]/100</f>
        <v>8572.5</v>
      </c>
    </row>
    <row r="4925" spans="1:18">
      <c r="A4925" s="7">
        <v>45992</v>
      </c>
      <c r="B4925" t="s">
        <v>43</v>
      </c>
      <c r="C4925" s="101" t="s">
        <v>1962</v>
      </c>
      <c r="D4925" s="41">
        <v>55</v>
      </c>
      <c r="E4925" s="41">
        <v>45</v>
      </c>
      <c r="F4925" s="101" t="s">
        <v>16</v>
      </c>
      <c r="G4925" s="102">
        <v>46023</v>
      </c>
      <c r="H4925" s="26" t="s">
        <v>3279</v>
      </c>
      <c r="I4925" s="49">
        <v>10485</v>
      </c>
      <c r="J4925" s="24">
        <v>51</v>
      </c>
      <c r="K4925" s="24"/>
      <c r="L4925" s="91">
        <v>0</v>
      </c>
      <c r="M4925" s="24"/>
      <c r="N4925" s="12">
        <f t="shared" si="190"/>
        <v>51</v>
      </c>
      <c r="O4925" s="11">
        <f t="shared" si="191"/>
        <v>534735</v>
      </c>
      <c r="P4925" s="10">
        <v>1496</v>
      </c>
      <c r="Q4925" s="10" t="s">
        <v>1928</v>
      </c>
      <c r="R4925" s="50">
        <f>+テーブル1[[#This Row],[合計金額]]*テーブル1[[#This Row],[自社報酬率％]]/100</f>
        <v>240630.75</v>
      </c>
    </row>
    <row r="4926" spans="1:18">
      <c r="A4926" s="7">
        <v>45992</v>
      </c>
      <c r="B4926" t="s">
        <v>43</v>
      </c>
      <c r="C4926" s="101" t="s">
        <v>1962</v>
      </c>
      <c r="D4926" s="41">
        <v>55</v>
      </c>
      <c r="E4926" s="41">
        <v>45</v>
      </c>
      <c r="F4926" s="101" t="s">
        <v>16</v>
      </c>
      <c r="G4926" s="102">
        <v>46023</v>
      </c>
      <c r="H4926" s="26" t="s">
        <v>3280</v>
      </c>
      <c r="I4926" s="49">
        <v>20970</v>
      </c>
      <c r="J4926" s="24">
        <v>55</v>
      </c>
      <c r="K4926" s="24"/>
      <c r="L4926" s="91">
        <v>0</v>
      </c>
      <c r="M4926" s="24"/>
      <c r="N4926" s="12">
        <f t="shared" si="190"/>
        <v>55</v>
      </c>
      <c r="O4926" s="11">
        <f t="shared" si="191"/>
        <v>1153350</v>
      </c>
      <c r="P4926" s="10">
        <v>1497</v>
      </c>
      <c r="Q4926" s="10" t="s">
        <v>1928</v>
      </c>
      <c r="R4926" s="50">
        <f>+テーブル1[[#This Row],[合計金額]]*テーブル1[[#This Row],[自社報酬率％]]/100</f>
        <v>519007.5</v>
      </c>
    </row>
    <row r="4927" spans="1:18">
      <c r="A4927" s="7">
        <v>45992</v>
      </c>
      <c r="B4927" t="s">
        <v>43</v>
      </c>
      <c r="C4927" s="101" t="s">
        <v>1962</v>
      </c>
      <c r="D4927" s="41">
        <v>55</v>
      </c>
      <c r="E4927" s="41">
        <v>45</v>
      </c>
      <c r="F4927" s="101" t="s">
        <v>16</v>
      </c>
      <c r="G4927" s="102">
        <v>46023</v>
      </c>
      <c r="H4927" s="26" t="s">
        <v>3281</v>
      </c>
      <c r="I4927" s="49">
        <v>20970</v>
      </c>
      <c r="J4927" s="24">
        <v>5</v>
      </c>
      <c r="K4927" s="24"/>
      <c r="L4927" s="91">
        <v>0</v>
      </c>
      <c r="M4927" s="24"/>
      <c r="N4927" s="12">
        <f t="shared" si="190"/>
        <v>5</v>
      </c>
      <c r="O4927" s="11">
        <f t="shared" si="191"/>
        <v>104850</v>
      </c>
      <c r="P4927" s="10">
        <v>1498</v>
      </c>
      <c r="Q4927" s="10" t="s">
        <v>1928</v>
      </c>
      <c r="R4927" s="50">
        <f>+テーブル1[[#This Row],[合計金額]]*テーブル1[[#This Row],[自社報酬率％]]/100</f>
        <v>47182.5</v>
      </c>
    </row>
    <row r="4928" spans="1:18">
      <c r="A4928" s="7">
        <v>45992</v>
      </c>
      <c r="B4928" t="s">
        <v>43</v>
      </c>
      <c r="C4928" s="101" t="s">
        <v>1962</v>
      </c>
      <c r="D4928" s="41">
        <v>55</v>
      </c>
      <c r="E4928" s="41">
        <v>45</v>
      </c>
      <c r="F4928" s="101" t="s">
        <v>16</v>
      </c>
      <c r="G4928" s="102">
        <v>46023</v>
      </c>
      <c r="H4928" s="26" t="s">
        <v>3282</v>
      </c>
      <c r="I4928" s="49">
        <v>20970</v>
      </c>
      <c r="J4928" s="24">
        <v>24</v>
      </c>
      <c r="K4928" s="24"/>
      <c r="L4928" s="91">
        <v>0</v>
      </c>
      <c r="M4928" s="24"/>
      <c r="N4928" s="12">
        <f t="shared" si="190"/>
        <v>24</v>
      </c>
      <c r="O4928" s="11">
        <f t="shared" si="191"/>
        <v>503280</v>
      </c>
      <c r="P4928" s="10">
        <v>1499</v>
      </c>
      <c r="Q4928" s="10" t="s">
        <v>1928</v>
      </c>
      <c r="R4928" s="50">
        <f>+テーブル1[[#This Row],[合計金額]]*テーブル1[[#This Row],[自社報酬率％]]/100</f>
        <v>226476</v>
      </c>
    </row>
    <row r="4929" spans="1:18">
      <c r="A4929" s="7">
        <v>45992</v>
      </c>
      <c r="B4929" t="s">
        <v>43</v>
      </c>
      <c r="C4929" s="101" t="s">
        <v>2023</v>
      </c>
      <c r="D4929" s="41">
        <v>50</v>
      </c>
      <c r="E4929" s="41">
        <v>50</v>
      </c>
      <c r="F4929" s="101" t="s">
        <v>16</v>
      </c>
      <c r="G4929" s="102">
        <v>46023</v>
      </c>
      <c r="H4929" s="26" t="s">
        <v>3283</v>
      </c>
      <c r="I4929" s="49">
        <v>3150</v>
      </c>
      <c r="J4929" s="24">
        <v>16</v>
      </c>
      <c r="K4929" s="24"/>
      <c r="L4929" s="91">
        <v>0</v>
      </c>
      <c r="M4929" s="24"/>
      <c r="N4929" s="12">
        <f t="shared" si="190"/>
        <v>16</v>
      </c>
      <c r="O4929" s="11">
        <f t="shared" si="191"/>
        <v>50400</v>
      </c>
      <c r="P4929" s="10">
        <v>1500</v>
      </c>
      <c r="Q4929" s="10" t="s">
        <v>1928</v>
      </c>
      <c r="R4929" s="50">
        <f>+テーブル1[[#This Row],[合計金額]]*テーブル1[[#This Row],[自社報酬率％]]/100</f>
        <v>25200</v>
      </c>
    </row>
    <row r="4930" spans="1:18">
      <c r="A4930" s="7">
        <v>45992</v>
      </c>
      <c r="B4930" t="s">
        <v>43</v>
      </c>
      <c r="C4930" s="18" t="s">
        <v>2375</v>
      </c>
      <c r="D4930" s="41">
        <v>50</v>
      </c>
      <c r="E4930" s="41">
        <v>50</v>
      </c>
      <c r="F4930" s="18" t="s">
        <v>3284</v>
      </c>
      <c r="G4930" s="28">
        <v>45992</v>
      </c>
      <c r="H4930" s="26" t="s">
        <v>3285</v>
      </c>
      <c r="I4930" s="49">
        <v>363000</v>
      </c>
      <c r="J4930" s="24">
        <v>70</v>
      </c>
      <c r="K4930" s="24"/>
      <c r="L4930" s="91">
        <v>0</v>
      </c>
      <c r="M4930" s="24"/>
      <c r="N4930" s="12">
        <f t="shared" si="190"/>
        <v>70</v>
      </c>
      <c r="O4930" s="11">
        <f t="shared" si="191"/>
        <v>25410000</v>
      </c>
      <c r="P4930" s="10">
        <v>1501</v>
      </c>
      <c r="Q4930" s="10" t="s">
        <v>1928</v>
      </c>
      <c r="R4930" s="50">
        <f>+テーブル1[[#This Row],[合計金額]]*テーブル1[[#This Row],[自社報酬率％]]/100</f>
        <v>12705000</v>
      </c>
    </row>
    <row r="4931" spans="1:18">
      <c r="A4931" s="7">
        <v>45992</v>
      </c>
      <c r="B4931" t="s">
        <v>43</v>
      </c>
      <c r="C4931" s="82" t="s">
        <v>2212</v>
      </c>
      <c r="D4931" s="41">
        <v>10</v>
      </c>
      <c r="E4931" s="41">
        <v>90</v>
      </c>
      <c r="F4931" s="82" t="s">
        <v>29</v>
      </c>
      <c r="G4931" s="87">
        <v>45992</v>
      </c>
      <c r="H4931" s="26" t="s">
        <v>2953</v>
      </c>
      <c r="I4931" s="49">
        <v>9800</v>
      </c>
      <c r="J4931" s="77">
        <v>1</v>
      </c>
      <c r="K4931" s="24"/>
      <c r="L4931" s="92">
        <v>0</v>
      </c>
      <c r="M4931" s="24"/>
      <c r="N4931" s="96">
        <f t="shared" si="190"/>
        <v>1</v>
      </c>
      <c r="O4931" s="11">
        <f t="shared" si="191"/>
        <v>9800</v>
      </c>
      <c r="P4931" s="10">
        <v>1502</v>
      </c>
      <c r="Q4931" s="10" t="s">
        <v>1928</v>
      </c>
      <c r="R4931" s="50">
        <f>+テーブル1[[#This Row],[合計金額]]*テーブル1[[#This Row],[自社報酬率％]]/100</f>
        <v>8820</v>
      </c>
    </row>
    <row r="4932" spans="1:18">
      <c r="A4932" s="7">
        <v>45992</v>
      </c>
      <c r="B4932" t="s">
        <v>46</v>
      </c>
      <c r="C4932" s="147" t="s">
        <v>44</v>
      </c>
      <c r="D4932" s="41">
        <v>100</v>
      </c>
      <c r="E4932" s="41">
        <v>100</v>
      </c>
      <c r="F4932" s="112" t="s">
        <v>17</v>
      </c>
      <c r="G4932" s="124">
        <v>45992</v>
      </c>
      <c r="H4932" s="26" t="s">
        <v>1930</v>
      </c>
      <c r="I4932" s="49">
        <v>359700</v>
      </c>
      <c r="J4932" s="73">
        <v>1</v>
      </c>
      <c r="K4932" s="24"/>
      <c r="L4932" s="90">
        <v>0</v>
      </c>
      <c r="M4932" s="24"/>
      <c r="N4932" s="146">
        <f t="shared" si="190"/>
        <v>1</v>
      </c>
      <c r="O4932" s="11">
        <f t="shared" si="191"/>
        <v>359700</v>
      </c>
      <c r="P4932" s="10">
        <v>1503</v>
      </c>
      <c r="Q4932" s="10" t="s">
        <v>1928</v>
      </c>
      <c r="R4932" s="50">
        <f>+テーブル1[[#This Row],[合計金額]]*テーブル1[[#This Row],[自社報酬率％]]/100</f>
        <v>359700</v>
      </c>
    </row>
    <row r="4933" spans="1:18">
      <c r="A4933" s="7">
        <v>45992</v>
      </c>
      <c r="B4933" t="s">
        <v>46</v>
      </c>
      <c r="C4933" s="147" t="s">
        <v>44</v>
      </c>
      <c r="D4933" s="41">
        <v>100</v>
      </c>
      <c r="E4933" s="41">
        <v>100</v>
      </c>
      <c r="F4933" s="112" t="s">
        <v>17</v>
      </c>
      <c r="G4933" s="124">
        <v>45992</v>
      </c>
      <c r="H4933" s="26" t="s">
        <v>3286</v>
      </c>
      <c r="I4933" s="49">
        <v>8074</v>
      </c>
      <c r="J4933" s="73">
        <v>1</v>
      </c>
      <c r="K4933" s="24"/>
      <c r="L4933" s="90">
        <v>0</v>
      </c>
      <c r="M4933" s="24"/>
      <c r="N4933" s="93">
        <f t="shared" si="190"/>
        <v>1</v>
      </c>
      <c r="O4933" s="11">
        <f t="shared" si="191"/>
        <v>8074</v>
      </c>
      <c r="P4933" s="10">
        <v>1504</v>
      </c>
      <c r="Q4933" s="10" t="s">
        <v>1928</v>
      </c>
      <c r="R4933" s="50">
        <f>+テーブル1[[#This Row],[合計金額]]*テーブル1[[#This Row],[自社報酬率％]]/100</f>
        <v>8074</v>
      </c>
    </row>
    <row r="4934" spans="1:18">
      <c r="A4934" s="7">
        <v>45992</v>
      </c>
      <c r="B4934" t="s">
        <v>46</v>
      </c>
      <c r="C4934" s="147" t="s">
        <v>44</v>
      </c>
      <c r="D4934" s="41">
        <v>100</v>
      </c>
      <c r="E4934" s="41">
        <v>100</v>
      </c>
      <c r="F4934" s="101" t="s">
        <v>17</v>
      </c>
      <c r="G4934" s="102">
        <v>46023</v>
      </c>
      <c r="H4934" s="26" t="s">
        <v>3287</v>
      </c>
      <c r="I4934" s="49">
        <v>8066</v>
      </c>
      <c r="J4934" s="24">
        <v>1</v>
      </c>
      <c r="K4934" s="24"/>
      <c r="L4934" s="91">
        <v>0</v>
      </c>
      <c r="M4934" s="24"/>
      <c r="N4934" s="94">
        <f t="shared" si="190"/>
        <v>1</v>
      </c>
      <c r="O4934" s="11">
        <f t="shared" si="191"/>
        <v>8066</v>
      </c>
      <c r="P4934" s="10">
        <v>1505</v>
      </c>
      <c r="Q4934" s="10" t="s">
        <v>1928</v>
      </c>
      <c r="R4934" s="50">
        <f>+テーブル1[[#This Row],[合計金額]]*テーブル1[[#This Row],[自社報酬率％]]/100</f>
        <v>8066</v>
      </c>
    </row>
    <row r="4935" spans="1:18">
      <c r="A4935" s="7">
        <v>45992</v>
      </c>
      <c r="B4935" t="s">
        <v>46</v>
      </c>
      <c r="C4935" s="147" t="s">
        <v>44</v>
      </c>
      <c r="D4935" s="41">
        <v>100</v>
      </c>
      <c r="E4935" s="41">
        <v>100</v>
      </c>
      <c r="F4935" s="101" t="s">
        <v>17</v>
      </c>
      <c r="G4935" s="102">
        <v>46054</v>
      </c>
      <c r="H4935" s="26" t="s">
        <v>3288</v>
      </c>
      <c r="I4935" s="49">
        <v>8066</v>
      </c>
      <c r="J4935" s="24">
        <v>1</v>
      </c>
      <c r="K4935" s="24"/>
      <c r="L4935" s="91">
        <v>0</v>
      </c>
      <c r="M4935" s="24"/>
      <c r="N4935" s="94">
        <f t="shared" si="190"/>
        <v>1</v>
      </c>
      <c r="O4935" s="11">
        <f t="shared" si="191"/>
        <v>8066</v>
      </c>
      <c r="P4935" s="10">
        <v>1506</v>
      </c>
      <c r="Q4935" s="10" t="s">
        <v>1928</v>
      </c>
      <c r="R4935" s="50">
        <f>+テーブル1[[#This Row],[合計金額]]*テーブル1[[#This Row],[自社報酬率％]]/100</f>
        <v>8066</v>
      </c>
    </row>
    <row r="4936" spans="1:18">
      <c r="A4936" s="7">
        <v>45992</v>
      </c>
      <c r="B4936" t="s">
        <v>46</v>
      </c>
      <c r="C4936" s="147" t="s">
        <v>44</v>
      </c>
      <c r="D4936" s="41">
        <v>100</v>
      </c>
      <c r="E4936" s="41">
        <v>100</v>
      </c>
      <c r="F4936" s="101" t="s">
        <v>17</v>
      </c>
      <c r="G4936" s="102">
        <v>46082</v>
      </c>
      <c r="H4936" s="26" t="s">
        <v>3289</v>
      </c>
      <c r="I4936" s="49">
        <v>8066</v>
      </c>
      <c r="J4936" s="24">
        <v>1</v>
      </c>
      <c r="K4936" s="24"/>
      <c r="L4936" s="91">
        <v>0</v>
      </c>
      <c r="M4936" s="24"/>
      <c r="N4936" s="94">
        <f t="shared" si="190"/>
        <v>1</v>
      </c>
      <c r="O4936" s="11">
        <f t="shared" si="191"/>
        <v>8066</v>
      </c>
      <c r="P4936" s="10">
        <v>1507</v>
      </c>
      <c r="Q4936" s="10" t="s">
        <v>1928</v>
      </c>
      <c r="R4936" s="50">
        <f>+テーブル1[[#This Row],[合計金額]]*テーブル1[[#This Row],[自社報酬率％]]/100</f>
        <v>8066</v>
      </c>
    </row>
    <row r="4937" spans="1:18">
      <c r="A4937" s="7">
        <v>45992</v>
      </c>
      <c r="B4937" t="s">
        <v>46</v>
      </c>
      <c r="C4937" s="147" t="s">
        <v>44</v>
      </c>
      <c r="D4937" s="41">
        <v>100</v>
      </c>
      <c r="E4937" s="41">
        <v>100</v>
      </c>
      <c r="F4937" s="101" t="s">
        <v>17</v>
      </c>
      <c r="G4937" s="102">
        <v>46113</v>
      </c>
      <c r="H4937" s="26" t="s">
        <v>3290</v>
      </c>
      <c r="I4937" s="49">
        <v>8066</v>
      </c>
      <c r="J4937" s="24">
        <v>1</v>
      </c>
      <c r="K4937" s="24"/>
      <c r="L4937" s="91">
        <v>0</v>
      </c>
      <c r="M4937" s="24"/>
      <c r="N4937" s="94">
        <f t="shared" si="190"/>
        <v>1</v>
      </c>
      <c r="O4937" s="11">
        <f t="shared" si="191"/>
        <v>8066</v>
      </c>
      <c r="P4937" s="10">
        <v>1508</v>
      </c>
      <c r="Q4937" s="10" t="s">
        <v>1928</v>
      </c>
      <c r="R4937" s="50">
        <f>+テーブル1[[#This Row],[合計金額]]*テーブル1[[#This Row],[自社報酬率％]]/100</f>
        <v>8066</v>
      </c>
    </row>
    <row r="4938" spans="1:18">
      <c r="A4938" s="7">
        <v>45992</v>
      </c>
      <c r="B4938" t="s">
        <v>46</v>
      </c>
      <c r="C4938" s="147" t="s">
        <v>44</v>
      </c>
      <c r="D4938" s="41">
        <v>100</v>
      </c>
      <c r="E4938" s="41">
        <v>100</v>
      </c>
      <c r="F4938" s="101" t="s">
        <v>17</v>
      </c>
      <c r="G4938" s="102">
        <v>46143</v>
      </c>
      <c r="H4938" s="26" t="s">
        <v>3291</v>
      </c>
      <c r="I4938" s="49">
        <v>8066</v>
      </c>
      <c r="J4938" s="24">
        <v>1</v>
      </c>
      <c r="K4938" s="24"/>
      <c r="L4938" s="91">
        <v>0</v>
      </c>
      <c r="M4938" s="24"/>
      <c r="N4938" s="94">
        <f t="shared" si="190"/>
        <v>1</v>
      </c>
      <c r="O4938" s="11">
        <f t="shared" si="191"/>
        <v>8066</v>
      </c>
      <c r="P4938" s="10">
        <v>1509</v>
      </c>
      <c r="Q4938" s="10" t="s">
        <v>1928</v>
      </c>
      <c r="R4938" s="50">
        <f>+テーブル1[[#This Row],[合計金額]]*テーブル1[[#This Row],[自社報酬率％]]/100</f>
        <v>8066</v>
      </c>
    </row>
    <row r="4939" spans="1:18">
      <c r="A4939" s="7">
        <v>45992</v>
      </c>
      <c r="B4939" t="s">
        <v>46</v>
      </c>
      <c r="C4939" s="147" t="s">
        <v>44</v>
      </c>
      <c r="D4939" s="41">
        <v>100</v>
      </c>
      <c r="E4939" s="41">
        <v>100</v>
      </c>
      <c r="F4939" s="101" t="s">
        <v>17</v>
      </c>
      <c r="G4939" s="102">
        <v>46174</v>
      </c>
      <c r="H4939" s="26" t="s">
        <v>3292</v>
      </c>
      <c r="I4939" s="49">
        <v>8066</v>
      </c>
      <c r="J4939" s="24">
        <v>1</v>
      </c>
      <c r="K4939" s="24"/>
      <c r="L4939" s="91">
        <v>0</v>
      </c>
      <c r="M4939" s="24"/>
      <c r="N4939" s="94">
        <f t="shared" si="190"/>
        <v>1</v>
      </c>
      <c r="O4939" s="11">
        <f t="shared" si="191"/>
        <v>8066</v>
      </c>
      <c r="P4939" s="10">
        <v>1510</v>
      </c>
      <c r="Q4939" s="10" t="s">
        <v>1928</v>
      </c>
      <c r="R4939" s="50">
        <f>+テーブル1[[#This Row],[合計金額]]*テーブル1[[#This Row],[自社報酬率％]]/100</f>
        <v>8066</v>
      </c>
    </row>
    <row r="4940" spans="1:18">
      <c r="A4940" s="7">
        <v>45992</v>
      </c>
      <c r="B4940" t="s">
        <v>46</v>
      </c>
      <c r="C4940" s="147" t="s">
        <v>44</v>
      </c>
      <c r="D4940" s="41">
        <v>100</v>
      </c>
      <c r="E4940" s="41">
        <v>100</v>
      </c>
      <c r="F4940" s="101" t="s">
        <v>17</v>
      </c>
      <c r="G4940" s="102">
        <v>46204</v>
      </c>
      <c r="H4940" s="26" t="s">
        <v>3293</v>
      </c>
      <c r="I4940" s="49">
        <v>8066</v>
      </c>
      <c r="J4940" s="24">
        <v>1</v>
      </c>
      <c r="K4940" s="24"/>
      <c r="L4940" s="91">
        <v>0</v>
      </c>
      <c r="M4940" s="24"/>
      <c r="N4940" s="94">
        <f t="shared" si="190"/>
        <v>1</v>
      </c>
      <c r="O4940" s="11">
        <f t="shared" si="191"/>
        <v>8066</v>
      </c>
      <c r="P4940" s="10">
        <v>1511</v>
      </c>
      <c r="Q4940" s="10" t="s">
        <v>1928</v>
      </c>
      <c r="R4940" s="50">
        <f>+テーブル1[[#This Row],[合計金額]]*テーブル1[[#This Row],[自社報酬率％]]/100</f>
        <v>8066</v>
      </c>
    </row>
    <row r="4941" spans="1:18">
      <c r="A4941" s="7">
        <v>45992</v>
      </c>
      <c r="B4941" t="s">
        <v>46</v>
      </c>
      <c r="C4941" s="147" t="s">
        <v>44</v>
      </c>
      <c r="D4941" s="41">
        <v>100</v>
      </c>
      <c r="E4941" s="41">
        <v>100</v>
      </c>
      <c r="F4941" s="101" t="s">
        <v>17</v>
      </c>
      <c r="G4941" s="102">
        <v>46235</v>
      </c>
      <c r="H4941" s="26" t="s">
        <v>3294</v>
      </c>
      <c r="I4941" s="49">
        <v>8066</v>
      </c>
      <c r="J4941" s="24">
        <v>1</v>
      </c>
      <c r="K4941" s="24"/>
      <c r="L4941" s="91">
        <v>0</v>
      </c>
      <c r="M4941" s="24"/>
      <c r="N4941" s="94">
        <f t="shared" si="190"/>
        <v>1</v>
      </c>
      <c r="O4941" s="11">
        <f t="shared" si="191"/>
        <v>8066</v>
      </c>
      <c r="P4941" s="10">
        <v>1512</v>
      </c>
      <c r="Q4941" s="10" t="s">
        <v>1928</v>
      </c>
      <c r="R4941" s="50">
        <f>+テーブル1[[#This Row],[合計金額]]*テーブル1[[#This Row],[自社報酬率％]]/100</f>
        <v>8066</v>
      </c>
    </row>
    <row r="4942" spans="1:18">
      <c r="A4942" s="7">
        <v>45992</v>
      </c>
      <c r="B4942" t="s">
        <v>46</v>
      </c>
      <c r="C4942" s="147" t="s">
        <v>44</v>
      </c>
      <c r="D4942" s="41">
        <v>100</v>
      </c>
      <c r="E4942" s="41">
        <v>100</v>
      </c>
      <c r="F4942" s="101" t="s">
        <v>17</v>
      </c>
      <c r="G4942" s="102">
        <v>46266</v>
      </c>
      <c r="H4942" s="26" t="s">
        <v>3295</v>
      </c>
      <c r="I4942" s="49">
        <v>8066</v>
      </c>
      <c r="J4942" s="24">
        <v>1</v>
      </c>
      <c r="K4942" s="24"/>
      <c r="L4942" s="91">
        <v>0</v>
      </c>
      <c r="M4942" s="24"/>
      <c r="N4942" s="94">
        <f t="shared" si="190"/>
        <v>1</v>
      </c>
      <c r="O4942" s="11">
        <f t="shared" si="191"/>
        <v>8066</v>
      </c>
      <c r="P4942" s="10">
        <v>1513</v>
      </c>
      <c r="Q4942" s="10" t="s">
        <v>1928</v>
      </c>
      <c r="R4942" s="50">
        <f>+テーブル1[[#This Row],[合計金額]]*テーブル1[[#This Row],[自社報酬率％]]/100</f>
        <v>8066</v>
      </c>
    </row>
    <row r="4943" spans="1:18">
      <c r="A4943" s="7">
        <v>45992</v>
      </c>
      <c r="B4943" t="s">
        <v>46</v>
      </c>
      <c r="C4943" s="147" t="s">
        <v>44</v>
      </c>
      <c r="D4943" s="41">
        <v>100</v>
      </c>
      <c r="E4943" s="41">
        <v>100</v>
      </c>
      <c r="F4943" s="101" t="s">
        <v>17</v>
      </c>
      <c r="G4943" s="102">
        <v>46296</v>
      </c>
      <c r="H4943" s="26" t="s">
        <v>3296</v>
      </c>
      <c r="I4943" s="49">
        <v>8066</v>
      </c>
      <c r="J4943" s="24">
        <v>1</v>
      </c>
      <c r="K4943" s="24"/>
      <c r="L4943" s="91">
        <v>0</v>
      </c>
      <c r="M4943" s="24"/>
      <c r="N4943" s="94">
        <f t="shared" si="190"/>
        <v>1</v>
      </c>
      <c r="O4943" s="11">
        <f t="shared" si="191"/>
        <v>8066</v>
      </c>
      <c r="P4943" s="10">
        <v>1514</v>
      </c>
      <c r="Q4943" s="10" t="s">
        <v>1928</v>
      </c>
      <c r="R4943" s="50">
        <f>+テーブル1[[#This Row],[合計金額]]*テーブル1[[#This Row],[自社報酬率％]]/100</f>
        <v>8066</v>
      </c>
    </row>
    <row r="4944" spans="1:18">
      <c r="A4944" s="7">
        <v>45992</v>
      </c>
      <c r="B4944" t="s">
        <v>46</v>
      </c>
      <c r="C4944" s="147" t="s">
        <v>44</v>
      </c>
      <c r="D4944" s="41">
        <v>100</v>
      </c>
      <c r="E4944" s="41">
        <v>100</v>
      </c>
      <c r="F4944" s="76" t="s">
        <v>17</v>
      </c>
      <c r="G4944" s="86">
        <v>46327</v>
      </c>
      <c r="H4944" s="26" t="s">
        <v>3297</v>
      </c>
      <c r="I4944" s="49">
        <v>8066</v>
      </c>
      <c r="J4944" s="77">
        <v>1</v>
      </c>
      <c r="K4944" s="24"/>
      <c r="L4944" s="92">
        <v>0</v>
      </c>
      <c r="M4944" s="24"/>
      <c r="N4944" s="95">
        <f t="shared" si="190"/>
        <v>1</v>
      </c>
      <c r="O4944" s="11">
        <f t="shared" si="191"/>
        <v>8066</v>
      </c>
      <c r="P4944" s="10">
        <v>1515</v>
      </c>
      <c r="Q4944" s="10" t="s">
        <v>1928</v>
      </c>
      <c r="R4944" s="50">
        <f>+テーブル1[[#This Row],[合計金額]]*テーブル1[[#This Row],[自社報酬率％]]/100</f>
        <v>8066</v>
      </c>
    </row>
    <row r="4945" spans="1:18">
      <c r="A4945" s="7">
        <v>45992</v>
      </c>
      <c r="B4945" t="s">
        <v>46</v>
      </c>
      <c r="C4945" s="147" t="s">
        <v>44</v>
      </c>
      <c r="D4945" s="41">
        <v>100</v>
      </c>
      <c r="E4945" s="41">
        <v>100</v>
      </c>
      <c r="F4945" s="18" t="s">
        <v>17</v>
      </c>
      <c r="G4945" s="28">
        <v>45992</v>
      </c>
      <c r="H4945" s="26" t="s">
        <v>3032</v>
      </c>
      <c r="I4945" s="49">
        <v>286000</v>
      </c>
      <c r="J4945" s="24">
        <v>2</v>
      </c>
      <c r="K4945" s="24"/>
      <c r="L4945" s="91">
        <v>0</v>
      </c>
      <c r="M4945" s="24"/>
      <c r="N4945" s="12">
        <f t="shared" si="190"/>
        <v>2</v>
      </c>
      <c r="O4945" s="11">
        <f t="shared" si="191"/>
        <v>572000</v>
      </c>
      <c r="P4945" s="10">
        <v>1516</v>
      </c>
      <c r="Q4945" s="10" t="s">
        <v>1928</v>
      </c>
      <c r="R4945" s="50">
        <f>+テーブル1[[#This Row],[合計金額]]*テーブル1[[#This Row],[自社報酬率％]]/100</f>
        <v>572000</v>
      </c>
    </row>
    <row r="4946" spans="1:18">
      <c r="A4946" s="7">
        <v>45992</v>
      </c>
      <c r="B4946" t="s">
        <v>46</v>
      </c>
      <c r="C4946" s="147" t="s">
        <v>44</v>
      </c>
      <c r="D4946" s="41">
        <v>100</v>
      </c>
      <c r="E4946" s="41">
        <v>100</v>
      </c>
      <c r="F4946" s="112" t="s">
        <v>17</v>
      </c>
      <c r="G4946" s="124">
        <v>45992</v>
      </c>
      <c r="H4946" s="26" t="s">
        <v>3298</v>
      </c>
      <c r="I4946" s="49">
        <v>8900</v>
      </c>
      <c r="J4946" s="73">
        <v>1</v>
      </c>
      <c r="K4946" s="24"/>
      <c r="L4946" s="90">
        <v>0</v>
      </c>
      <c r="M4946" s="24"/>
      <c r="N4946" s="93">
        <f t="shared" si="190"/>
        <v>1</v>
      </c>
      <c r="O4946" s="11">
        <f t="shared" si="191"/>
        <v>8900</v>
      </c>
      <c r="P4946" s="10">
        <v>1517</v>
      </c>
      <c r="Q4946" s="10" t="s">
        <v>1928</v>
      </c>
      <c r="R4946" s="50">
        <f>+テーブル1[[#This Row],[合計金額]]*テーブル1[[#This Row],[自社報酬率％]]/100</f>
        <v>8900</v>
      </c>
    </row>
    <row r="4947" spans="1:18">
      <c r="A4947" s="7">
        <v>45992</v>
      </c>
      <c r="B4947" t="s">
        <v>46</v>
      </c>
      <c r="C4947" s="147" t="s">
        <v>44</v>
      </c>
      <c r="D4947" s="41">
        <v>100</v>
      </c>
      <c r="E4947" s="41">
        <v>100</v>
      </c>
      <c r="F4947" s="101" t="s">
        <v>17</v>
      </c>
      <c r="G4947" s="102">
        <v>46023</v>
      </c>
      <c r="H4947" s="26" t="s">
        <v>3299</v>
      </c>
      <c r="I4947" s="49">
        <v>8900</v>
      </c>
      <c r="J4947" s="24">
        <v>1</v>
      </c>
      <c r="K4947" s="24"/>
      <c r="L4947" s="91">
        <v>0</v>
      </c>
      <c r="M4947" s="24"/>
      <c r="N4947" s="94">
        <f t="shared" si="190"/>
        <v>1</v>
      </c>
      <c r="O4947" s="11">
        <f t="shared" si="191"/>
        <v>8900</v>
      </c>
      <c r="P4947" s="10">
        <v>1518</v>
      </c>
      <c r="Q4947" s="10" t="s">
        <v>1928</v>
      </c>
      <c r="R4947" s="50">
        <f>+テーブル1[[#This Row],[合計金額]]*テーブル1[[#This Row],[自社報酬率％]]/100</f>
        <v>8900</v>
      </c>
    </row>
    <row r="4948" spans="1:18">
      <c r="A4948" s="7">
        <v>45992</v>
      </c>
      <c r="B4948" t="s">
        <v>46</v>
      </c>
      <c r="C4948" s="147" t="s">
        <v>44</v>
      </c>
      <c r="D4948" s="41">
        <v>100</v>
      </c>
      <c r="E4948" s="41">
        <v>100</v>
      </c>
      <c r="F4948" s="101" t="s">
        <v>17</v>
      </c>
      <c r="G4948" s="102">
        <v>46054</v>
      </c>
      <c r="H4948" s="26" t="s">
        <v>3300</v>
      </c>
      <c r="I4948" s="49">
        <v>8900</v>
      </c>
      <c r="J4948" s="24">
        <v>1</v>
      </c>
      <c r="K4948" s="24"/>
      <c r="L4948" s="91">
        <v>0</v>
      </c>
      <c r="M4948" s="24"/>
      <c r="N4948" s="94">
        <f t="shared" si="190"/>
        <v>1</v>
      </c>
      <c r="O4948" s="11">
        <f t="shared" si="191"/>
        <v>8900</v>
      </c>
      <c r="P4948" s="10">
        <v>1519</v>
      </c>
      <c r="Q4948" s="10" t="s">
        <v>1928</v>
      </c>
      <c r="R4948" s="50">
        <f>+テーブル1[[#This Row],[合計金額]]*テーブル1[[#This Row],[自社報酬率％]]/100</f>
        <v>8900</v>
      </c>
    </row>
    <row r="4949" spans="1:18">
      <c r="A4949" s="7">
        <v>45992</v>
      </c>
      <c r="B4949" t="s">
        <v>46</v>
      </c>
      <c r="C4949" s="147" t="s">
        <v>44</v>
      </c>
      <c r="D4949" s="41">
        <v>100</v>
      </c>
      <c r="E4949" s="41">
        <v>100</v>
      </c>
      <c r="F4949" s="101" t="s">
        <v>17</v>
      </c>
      <c r="G4949" s="102">
        <v>46082</v>
      </c>
      <c r="H4949" s="26" t="s">
        <v>3301</v>
      </c>
      <c r="I4949" s="49">
        <v>8900</v>
      </c>
      <c r="J4949" s="24">
        <v>1</v>
      </c>
      <c r="K4949" s="24"/>
      <c r="L4949" s="91">
        <v>0</v>
      </c>
      <c r="M4949" s="24"/>
      <c r="N4949" s="94">
        <f t="shared" si="190"/>
        <v>1</v>
      </c>
      <c r="O4949" s="11">
        <f t="shared" si="191"/>
        <v>8900</v>
      </c>
      <c r="P4949" s="10">
        <v>1520</v>
      </c>
      <c r="Q4949" s="10" t="s">
        <v>1928</v>
      </c>
      <c r="R4949" s="50">
        <f>+テーブル1[[#This Row],[合計金額]]*テーブル1[[#This Row],[自社報酬率％]]/100</f>
        <v>8900</v>
      </c>
    </row>
    <row r="4950" spans="1:18">
      <c r="A4950" s="7">
        <v>45992</v>
      </c>
      <c r="B4950" t="s">
        <v>46</v>
      </c>
      <c r="C4950" s="147" t="s">
        <v>44</v>
      </c>
      <c r="D4950" s="41">
        <v>100</v>
      </c>
      <c r="E4950" s="41">
        <v>100</v>
      </c>
      <c r="F4950" s="101" t="s">
        <v>17</v>
      </c>
      <c r="G4950" s="102">
        <v>46113</v>
      </c>
      <c r="H4950" s="26" t="s">
        <v>3302</v>
      </c>
      <c r="I4950" s="49">
        <v>8900</v>
      </c>
      <c r="J4950" s="24">
        <v>1</v>
      </c>
      <c r="K4950" s="24"/>
      <c r="L4950" s="91">
        <v>0</v>
      </c>
      <c r="M4950" s="24"/>
      <c r="N4950" s="94">
        <f t="shared" si="190"/>
        <v>1</v>
      </c>
      <c r="O4950" s="11">
        <f t="shared" si="191"/>
        <v>8900</v>
      </c>
      <c r="P4950" s="10">
        <v>1521</v>
      </c>
      <c r="Q4950" s="10" t="s">
        <v>1928</v>
      </c>
      <c r="R4950" s="50">
        <f>+テーブル1[[#This Row],[合計金額]]*テーブル1[[#This Row],[自社報酬率％]]/100</f>
        <v>8900</v>
      </c>
    </row>
    <row r="4951" spans="1:18">
      <c r="A4951" s="7">
        <v>45992</v>
      </c>
      <c r="B4951" t="s">
        <v>46</v>
      </c>
      <c r="C4951" s="147" t="s">
        <v>44</v>
      </c>
      <c r="D4951" s="41">
        <v>100</v>
      </c>
      <c r="E4951" s="41">
        <v>100</v>
      </c>
      <c r="F4951" s="76" t="s">
        <v>17</v>
      </c>
      <c r="G4951" s="86">
        <v>46143</v>
      </c>
      <c r="H4951" s="26" t="s">
        <v>3303</v>
      </c>
      <c r="I4951" s="49">
        <v>8900</v>
      </c>
      <c r="J4951" s="77">
        <v>1</v>
      </c>
      <c r="K4951" s="24"/>
      <c r="L4951" s="92">
        <v>0</v>
      </c>
      <c r="M4951" s="24"/>
      <c r="N4951" s="95">
        <f t="shared" si="190"/>
        <v>1</v>
      </c>
      <c r="O4951" s="11">
        <f t="shared" si="191"/>
        <v>8900</v>
      </c>
      <c r="P4951" s="10">
        <v>1522</v>
      </c>
      <c r="Q4951" s="10" t="s">
        <v>1928</v>
      </c>
      <c r="R4951" s="50">
        <f>+テーブル1[[#This Row],[合計金額]]*テーブル1[[#This Row],[自社報酬率％]]/100</f>
        <v>8900</v>
      </c>
    </row>
    <row r="4952" spans="1:18">
      <c r="A4952" s="7">
        <v>45992</v>
      </c>
      <c r="B4952" t="s">
        <v>46</v>
      </c>
      <c r="C4952" s="79" t="s">
        <v>1962</v>
      </c>
      <c r="D4952" s="41">
        <v>50</v>
      </c>
      <c r="E4952" s="41">
        <v>50</v>
      </c>
      <c r="F4952" s="72" t="s">
        <v>18</v>
      </c>
      <c r="G4952" s="85">
        <v>46023</v>
      </c>
      <c r="H4952" s="26" t="s">
        <v>187</v>
      </c>
      <c r="I4952" s="49">
        <v>14500</v>
      </c>
      <c r="J4952" s="73">
        <v>1</v>
      </c>
      <c r="K4952" s="24"/>
      <c r="L4952" s="90">
        <v>0</v>
      </c>
      <c r="M4952" s="24"/>
      <c r="N4952" s="93">
        <f t="shared" si="190"/>
        <v>1</v>
      </c>
      <c r="O4952" s="11">
        <f t="shared" si="191"/>
        <v>14500</v>
      </c>
      <c r="P4952" s="10">
        <v>1523</v>
      </c>
      <c r="Q4952" s="10" t="s">
        <v>1928</v>
      </c>
      <c r="R4952" s="50">
        <f>+テーブル1[[#This Row],[合計金額]]*テーブル1[[#This Row],[自社報酬率％]]/100</f>
        <v>7250</v>
      </c>
    </row>
    <row r="4953" spans="1:18">
      <c r="A4953" s="7">
        <v>45992</v>
      </c>
      <c r="B4953" t="s">
        <v>46</v>
      </c>
      <c r="C4953" s="80" t="s">
        <v>1962</v>
      </c>
      <c r="D4953" s="41">
        <v>50</v>
      </c>
      <c r="E4953" s="41">
        <v>50</v>
      </c>
      <c r="F4953" s="101" t="s">
        <v>18</v>
      </c>
      <c r="G4953" s="102">
        <v>46054</v>
      </c>
      <c r="H4953" s="26" t="s">
        <v>3304</v>
      </c>
      <c r="I4953" s="49">
        <v>14500</v>
      </c>
      <c r="J4953" s="24">
        <v>1</v>
      </c>
      <c r="K4953" s="24"/>
      <c r="L4953" s="91">
        <v>0</v>
      </c>
      <c r="M4953" s="24"/>
      <c r="N4953" s="94">
        <f t="shared" si="190"/>
        <v>1</v>
      </c>
      <c r="O4953" s="11">
        <f t="shared" si="191"/>
        <v>14500</v>
      </c>
      <c r="P4953" s="10">
        <v>1524</v>
      </c>
      <c r="Q4953" s="10" t="s">
        <v>1928</v>
      </c>
      <c r="R4953" s="50">
        <f>+テーブル1[[#This Row],[合計金額]]*テーブル1[[#This Row],[自社報酬率％]]/100</f>
        <v>7250</v>
      </c>
    </row>
    <row r="4954" spans="1:18">
      <c r="A4954" s="7">
        <v>45992</v>
      </c>
      <c r="B4954" t="s">
        <v>46</v>
      </c>
      <c r="C4954" s="81" t="s">
        <v>1962</v>
      </c>
      <c r="D4954" s="41">
        <v>50</v>
      </c>
      <c r="E4954" s="41">
        <v>50</v>
      </c>
      <c r="F4954" s="76" t="s">
        <v>18</v>
      </c>
      <c r="G4954" s="86">
        <v>46082</v>
      </c>
      <c r="H4954" s="26" t="s">
        <v>3305</v>
      </c>
      <c r="I4954" s="49">
        <v>14500</v>
      </c>
      <c r="J4954" s="77">
        <v>1</v>
      </c>
      <c r="K4954" s="24"/>
      <c r="L4954" s="92">
        <v>0</v>
      </c>
      <c r="M4954" s="24"/>
      <c r="N4954" s="95">
        <f t="shared" si="190"/>
        <v>1</v>
      </c>
      <c r="O4954" s="11">
        <f t="shared" si="191"/>
        <v>14500</v>
      </c>
      <c r="P4954" s="10">
        <v>1525</v>
      </c>
      <c r="Q4954" s="10" t="s">
        <v>1928</v>
      </c>
      <c r="R4954" s="50">
        <f>+テーブル1[[#This Row],[合計金額]]*テーブル1[[#This Row],[自社報酬率％]]/100</f>
        <v>7250</v>
      </c>
    </row>
    <row r="4955" spans="1:18">
      <c r="A4955" s="7">
        <v>45992</v>
      </c>
      <c r="B4955" t="s">
        <v>46</v>
      </c>
      <c r="C4955" s="79" t="s">
        <v>1962</v>
      </c>
      <c r="D4955" s="41">
        <v>55</v>
      </c>
      <c r="E4955" s="41">
        <v>45</v>
      </c>
      <c r="F4955" s="72" t="s">
        <v>18</v>
      </c>
      <c r="G4955" s="85">
        <v>46023</v>
      </c>
      <c r="H4955" s="26" t="s">
        <v>186</v>
      </c>
      <c r="I4955" s="49">
        <v>19800</v>
      </c>
      <c r="J4955" s="73">
        <v>3</v>
      </c>
      <c r="K4955" s="24"/>
      <c r="L4955" s="90">
        <v>0</v>
      </c>
      <c r="M4955" s="24"/>
      <c r="N4955" s="93">
        <f t="shared" si="190"/>
        <v>3</v>
      </c>
      <c r="O4955" s="11">
        <f t="shared" si="191"/>
        <v>59400</v>
      </c>
      <c r="P4955" s="10">
        <v>1526</v>
      </c>
      <c r="Q4955" s="10" t="s">
        <v>1928</v>
      </c>
      <c r="R4955" s="50">
        <f>+テーブル1[[#This Row],[合計金額]]*テーブル1[[#This Row],[自社報酬率％]]/100</f>
        <v>26730</v>
      </c>
    </row>
    <row r="4956" spans="1:18">
      <c r="A4956" s="7">
        <v>45992</v>
      </c>
      <c r="B4956" t="s">
        <v>46</v>
      </c>
      <c r="C4956" s="80" t="s">
        <v>1962</v>
      </c>
      <c r="D4956" s="41">
        <v>55</v>
      </c>
      <c r="E4956" s="41">
        <v>45</v>
      </c>
      <c r="F4956" s="101" t="s">
        <v>18</v>
      </c>
      <c r="G4956" s="102">
        <v>46054</v>
      </c>
      <c r="H4956" s="26" t="s">
        <v>3306</v>
      </c>
      <c r="I4956" s="49">
        <v>19800</v>
      </c>
      <c r="J4956" s="24">
        <v>3</v>
      </c>
      <c r="K4956" s="24"/>
      <c r="L4956" s="91">
        <v>0</v>
      </c>
      <c r="M4956" s="24"/>
      <c r="N4956" s="94">
        <f t="shared" si="190"/>
        <v>3</v>
      </c>
      <c r="O4956" s="11">
        <f t="shared" si="191"/>
        <v>59400</v>
      </c>
      <c r="P4956" s="10">
        <v>1527</v>
      </c>
      <c r="Q4956" s="10" t="s">
        <v>1928</v>
      </c>
      <c r="R4956" s="50">
        <f>+テーブル1[[#This Row],[合計金額]]*テーブル1[[#This Row],[自社報酬率％]]/100</f>
        <v>26730</v>
      </c>
    </row>
    <row r="4957" spans="1:18">
      <c r="A4957" s="7">
        <v>45992</v>
      </c>
      <c r="B4957" t="s">
        <v>46</v>
      </c>
      <c r="C4957" s="81" t="s">
        <v>1962</v>
      </c>
      <c r="D4957" s="41">
        <v>55</v>
      </c>
      <c r="E4957" s="41">
        <v>45</v>
      </c>
      <c r="F4957" s="76" t="s">
        <v>18</v>
      </c>
      <c r="G4957" s="86">
        <v>46082</v>
      </c>
      <c r="H4957" s="26" t="s">
        <v>3307</v>
      </c>
      <c r="I4957" s="49">
        <v>19800</v>
      </c>
      <c r="J4957" s="77">
        <v>3</v>
      </c>
      <c r="K4957" s="24"/>
      <c r="L4957" s="92">
        <v>0</v>
      </c>
      <c r="M4957" s="24"/>
      <c r="N4957" s="95">
        <f t="shared" si="190"/>
        <v>3</v>
      </c>
      <c r="O4957" s="11">
        <f t="shared" si="191"/>
        <v>59400</v>
      </c>
      <c r="P4957" s="10">
        <v>1528</v>
      </c>
      <c r="Q4957" s="10" t="s">
        <v>1928</v>
      </c>
      <c r="R4957" s="50">
        <f>+テーブル1[[#This Row],[合計金額]]*テーブル1[[#This Row],[自社報酬率％]]/100</f>
        <v>26730</v>
      </c>
    </row>
    <row r="4958" spans="1:18">
      <c r="A4958" s="7">
        <v>45992</v>
      </c>
      <c r="B4958" t="s">
        <v>46</v>
      </c>
      <c r="C4958" s="79" t="s">
        <v>1962</v>
      </c>
      <c r="D4958" s="41">
        <v>55</v>
      </c>
      <c r="E4958" s="41">
        <v>45</v>
      </c>
      <c r="F4958" s="72" t="s">
        <v>19</v>
      </c>
      <c r="G4958" s="85">
        <v>46023</v>
      </c>
      <c r="H4958" s="26" t="s">
        <v>183</v>
      </c>
      <c r="I4958" s="49">
        <v>19050</v>
      </c>
      <c r="J4958" s="73">
        <v>20</v>
      </c>
      <c r="K4958" s="24"/>
      <c r="L4958" s="90">
        <v>0</v>
      </c>
      <c r="M4958" s="24"/>
      <c r="N4958" s="93">
        <f t="shared" si="190"/>
        <v>20</v>
      </c>
      <c r="O4958" s="11">
        <f t="shared" si="191"/>
        <v>381000</v>
      </c>
      <c r="P4958" s="10">
        <v>1529</v>
      </c>
      <c r="Q4958" s="10" t="s">
        <v>1928</v>
      </c>
      <c r="R4958" s="50">
        <f>+テーブル1[[#This Row],[合計金額]]*テーブル1[[#This Row],[自社報酬率％]]/100</f>
        <v>171450</v>
      </c>
    </row>
    <row r="4959" spans="1:18">
      <c r="A4959" s="7">
        <v>45992</v>
      </c>
      <c r="B4959" t="s">
        <v>46</v>
      </c>
      <c r="C4959" s="80" t="s">
        <v>1962</v>
      </c>
      <c r="D4959" s="41">
        <v>55</v>
      </c>
      <c r="E4959" s="41">
        <v>45</v>
      </c>
      <c r="F4959" s="101" t="s">
        <v>19</v>
      </c>
      <c r="G4959" s="102">
        <v>46054</v>
      </c>
      <c r="H4959" s="26" t="s">
        <v>3308</v>
      </c>
      <c r="I4959" s="49">
        <v>19050</v>
      </c>
      <c r="J4959" s="24">
        <v>20</v>
      </c>
      <c r="K4959" s="24"/>
      <c r="L4959" s="91">
        <v>0</v>
      </c>
      <c r="M4959" s="24"/>
      <c r="N4959" s="94">
        <f t="shared" si="190"/>
        <v>20</v>
      </c>
      <c r="O4959" s="11">
        <f t="shared" si="191"/>
        <v>381000</v>
      </c>
      <c r="P4959" s="10">
        <v>1530</v>
      </c>
      <c r="Q4959" s="10" t="s">
        <v>1928</v>
      </c>
      <c r="R4959" s="50">
        <f>+テーブル1[[#This Row],[合計金額]]*テーブル1[[#This Row],[自社報酬率％]]/100</f>
        <v>171450</v>
      </c>
    </row>
    <row r="4960" spans="1:18">
      <c r="A4960" s="7">
        <v>45992</v>
      </c>
      <c r="B4960" t="s">
        <v>46</v>
      </c>
      <c r="C4960" s="80" t="s">
        <v>1962</v>
      </c>
      <c r="D4960" s="41">
        <v>55</v>
      </c>
      <c r="E4960" s="41">
        <v>45</v>
      </c>
      <c r="F4960" s="101" t="s">
        <v>19</v>
      </c>
      <c r="G4960" s="102">
        <v>46082</v>
      </c>
      <c r="H4960" s="26" t="s">
        <v>3309</v>
      </c>
      <c r="I4960" s="49">
        <v>19050</v>
      </c>
      <c r="J4960" s="24">
        <v>20</v>
      </c>
      <c r="K4960" s="24"/>
      <c r="L4960" s="91">
        <v>0</v>
      </c>
      <c r="M4960" s="24"/>
      <c r="N4960" s="94">
        <f t="shared" si="190"/>
        <v>20</v>
      </c>
      <c r="O4960" s="11">
        <f t="shared" si="191"/>
        <v>381000</v>
      </c>
      <c r="P4960" s="10">
        <v>1531</v>
      </c>
      <c r="Q4960" s="10" t="s">
        <v>1928</v>
      </c>
      <c r="R4960" s="50">
        <f>+テーブル1[[#This Row],[合計金額]]*テーブル1[[#This Row],[自社報酬率％]]/100</f>
        <v>171450</v>
      </c>
    </row>
    <row r="4961" spans="1:18">
      <c r="A4961" s="7">
        <v>45992</v>
      </c>
      <c r="B4961" t="s">
        <v>46</v>
      </c>
      <c r="C4961" s="80" t="s">
        <v>1962</v>
      </c>
      <c r="D4961" s="41">
        <v>55</v>
      </c>
      <c r="E4961" s="41">
        <v>45</v>
      </c>
      <c r="F4961" s="101" t="s">
        <v>19</v>
      </c>
      <c r="G4961" s="102">
        <v>46113</v>
      </c>
      <c r="H4961" s="26" t="s">
        <v>3310</v>
      </c>
      <c r="I4961" s="49">
        <v>19050</v>
      </c>
      <c r="J4961" s="24">
        <v>20</v>
      </c>
      <c r="K4961" s="24"/>
      <c r="L4961" s="91">
        <v>0</v>
      </c>
      <c r="M4961" s="24"/>
      <c r="N4961" s="94">
        <f t="shared" si="190"/>
        <v>20</v>
      </c>
      <c r="O4961" s="11">
        <f t="shared" si="191"/>
        <v>381000</v>
      </c>
      <c r="P4961" s="10">
        <v>1532</v>
      </c>
      <c r="Q4961" s="10" t="s">
        <v>1928</v>
      </c>
      <c r="R4961" s="50">
        <f>+テーブル1[[#This Row],[合計金額]]*テーブル1[[#This Row],[自社報酬率％]]/100</f>
        <v>171450</v>
      </c>
    </row>
    <row r="4962" spans="1:18">
      <c r="A4962" s="7">
        <v>45992</v>
      </c>
      <c r="B4962" t="s">
        <v>46</v>
      </c>
      <c r="C4962" s="80" t="s">
        <v>1962</v>
      </c>
      <c r="D4962" s="41">
        <v>55</v>
      </c>
      <c r="E4962" s="41">
        <v>45</v>
      </c>
      <c r="F4962" s="101" t="s">
        <v>19</v>
      </c>
      <c r="G4962" s="102">
        <v>46143</v>
      </c>
      <c r="H4962" s="26" t="s">
        <v>3311</v>
      </c>
      <c r="I4962" s="49">
        <v>19050</v>
      </c>
      <c r="J4962" s="24">
        <v>20</v>
      </c>
      <c r="K4962" s="24"/>
      <c r="L4962" s="91">
        <v>0</v>
      </c>
      <c r="M4962" s="24"/>
      <c r="N4962" s="94">
        <f t="shared" si="190"/>
        <v>20</v>
      </c>
      <c r="O4962" s="11">
        <f t="shared" si="191"/>
        <v>381000</v>
      </c>
      <c r="P4962" s="10">
        <v>1533</v>
      </c>
      <c r="Q4962" s="10" t="s">
        <v>1928</v>
      </c>
      <c r="R4962" s="50">
        <f>+テーブル1[[#This Row],[合計金額]]*テーブル1[[#This Row],[自社報酬率％]]/100</f>
        <v>171450</v>
      </c>
    </row>
    <row r="4963" spans="1:18">
      <c r="A4963" s="7">
        <v>45992</v>
      </c>
      <c r="B4963" t="s">
        <v>46</v>
      </c>
      <c r="C4963" s="81" t="s">
        <v>1962</v>
      </c>
      <c r="D4963" s="41">
        <v>55</v>
      </c>
      <c r="E4963" s="41">
        <v>45</v>
      </c>
      <c r="F4963" s="76" t="s">
        <v>19</v>
      </c>
      <c r="G4963" s="86">
        <v>46174</v>
      </c>
      <c r="H4963" s="26" t="s">
        <v>3312</v>
      </c>
      <c r="I4963" s="49">
        <v>19050</v>
      </c>
      <c r="J4963" s="77">
        <v>20</v>
      </c>
      <c r="K4963" s="24"/>
      <c r="L4963" s="92">
        <v>0</v>
      </c>
      <c r="M4963" s="24"/>
      <c r="N4963" s="95">
        <f t="shared" si="190"/>
        <v>20</v>
      </c>
      <c r="O4963" s="11">
        <f t="shared" si="191"/>
        <v>381000</v>
      </c>
      <c r="P4963" s="10">
        <v>1534</v>
      </c>
      <c r="Q4963" s="10" t="s">
        <v>1928</v>
      </c>
      <c r="R4963" s="50">
        <f>+テーブル1[[#This Row],[合計金額]]*テーブル1[[#This Row],[自社報酬率％]]/100</f>
        <v>171450</v>
      </c>
    </row>
    <row r="4964" spans="1:18">
      <c r="A4964" s="7">
        <v>45992</v>
      </c>
      <c r="B4964" t="s">
        <v>43</v>
      </c>
      <c r="C4964" s="101" t="s">
        <v>2043</v>
      </c>
      <c r="D4964" s="41">
        <v>60</v>
      </c>
      <c r="E4964" s="41">
        <v>40</v>
      </c>
      <c r="F4964" s="101" t="s">
        <v>16</v>
      </c>
      <c r="G4964" s="102">
        <v>46023</v>
      </c>
      <c r="H4964" s="26" t="s">
        <v>3313</v>
      </c>
      <c r="I4964" s="49">
        <v>10780</v>
      </c>
      <c r="J4964" s="24">
        <v>3</v>
      </c>
      <c r="K4964" s="24"/>
      <c r="L4964" s="91">
        <v>0</v>
      </c>
      <c r="M4964" s="24"/>
      <c r="N4964" s="12">
        <f t="shared" si="190"/>
        <v>3</v>
      </c>
      <c r="O4964" s="11">
        <f t="shared" si="191"/>
        <v>32340</v>
      </c>
      <c r="P4964" s="10">
        <v>1535</v>
      </c>
      <c r="Q4964" s="10" t="s">
        <v>1928</v>
      </c>
      <c r="R4964" s="50">
        <f>+テーブル1[[#This Row],[合計金額]]*テーブル1[[#This Row],[自社報酬率％]]/100</f>
        <v>12936</v>
      </c>
    </row>
    <row r="4965" spans="1:18">
      <c r="A4965" s="7">
        <v>45992</v>
      </c>
      <c r="B4965" t="s">
        <v>43</v>
      </c>
      <c r="C4965" s="101" t="s">
        <v>2045</v>
      </c>
      <c r="D4965" s="41">
        <v>40</v>
      </c>
      <c r="E4965" s="41">
        <v>60</v>
      </c>
      <c r="F4965" s="101" t="s">
        <v>16</v>
      </c>
      <c r="G4965" s="102">
        <v>46023</v>
      </c>
      <c r="H4965" s="26" t="s">
        <v>3314</v>
      </c>
      <c r="I4965" s="49">
        <v>16500</v>
      </c>
      <c r="J4965" s="24">
        <v>3</v>
      </c>
      <c r="K4965" s="24"/>
      <c r="L4965" s="91">
        <v>0</v>
      </c>
      <c r="M4965" s="24"/>
      <c r="N4965" s="12">
        <f t="shared" si="190"/>
        <v>3</v>
      </c>
      <c r="O4965" s="11">
        <f t="shared" si="191"/>
        <v>49500</v>
      </c>
      <c r="P4965" s="10">
        <v>1536</v>
      </c>
      <c r="Q4965" s="10" t="s">
        <v>1928</v>
      </c>
      <c r="R4965" s="50">
        <f>+テーブル1[[#This Row],[合計金額]]*テーブル1[[#This Row],[自社報酬率％]]/100</f>
        <v>29700</v>
      </c>
    </row>
    <row r="4966" spans="1:18">
      <c r="A4966" s="7">
        <v>45992</v>
      </c>
      <c r="B4966" t="s">
        <v>14</v>
      </c>
      <c r="C4966" s="101" t="s">
        <v>2043</v>
      </c>
      <c r="D4966" s="41">
        <v>60</v>
      </c>
      <c r="E4966" s="41">
        <v>40</v>
      </c>
      <c r="F4966" s="101" t="s">
        <v>16</v>
      </c>
      <c r="G4966" s="102">
        <v>46023</v>
      </c>
      <c r="H4966" s="26" t="s">
        <v>3315</v>
      </c>
      <c r="I4966" s="49">
        <v>10780</v>
      </c>
      <c r="J4966" s="24">
        <v>1</v>
      </c>
      <c r="K4966" s="24">
        <v>0</v>
      </c>
      <c r="L4966" s="91">
        <v>0</v>
      </c>
      <c r="M4966" s="24">
        <v>0</v>
      </c>
      <c r="N4966" s="12">
        <f t="shared" ref="N4966:N5029" si="192">J4966-K4966-L4966-M4966</f>
        <v>1</v>
      </c>
      <c r="O4966" s="11">
        <f t="shared" si="191"/>
        <v>10780</v>
      </c>
      <c r="P4966" s="10">
        <v>99</v>
      </c>
      <c r="Q4966" s="10" t="s">
        <v>1928</v>
      </c>
      <c r="R4966" s="50">
        <f>+テーブル1[[#This Row],[合計金額]]*テーブル1[[#This Row],[自社報酬率％]]/100</f>
        <v>4312</v>
      </c>
    </row>
    <row r="4967" spans="1:18">
      <c r="A4967" s="7">
        <v>45992</v>
      </c>
      <c r="B4967" t="s">
        <v>14</v>
      </c>
      <c r="C4967" s="101" t="s">
        <v>1962</v>
      </c>
      <c r="D4967" s="41">
        <v>50</v>
      </c>
      <c r="E4967" s="41">
        <v>50</v>
      </c>
      <c r="F4967" s="101" t="s">
        <v>16</v>
      </c>
      <c r="G4967" s="102">
        <v>46023</v>
      </c>
      <c r="H4967" s="26" t="s">
        <v>3226</v>
      </c>
      <c r="I4967" s="49">
        <v>13200</v>
      </c>
      <c r="J4967" s="24">
        <v>9</v>
      </c>
      <c r="K4967" s="24">
        <v>0</v>
      </c>
      <c r="L4967" s="91">
        <v>0</v>
      </c>
      <c r="M4967" s="24">
        <v>0</v>
      </c>
      <c r="N4967" s="12">
        <f t="shared" si="192"/>
        <v>9</v>
      </c>
      <c r="O4967" s="11">
        <f t="shared" si="191"/>
        <v>118800</v>
      </c>
      <c r="P4967" s="10">
        <v>100</v>
      </c>
      <c r="Q4967" s="10" t="s">
        <v>1928</v>
      </c>
      <c r="R4967" s="50">
        <f>+テーブル1[[#This Row],[合計金額]]*テーブル1[[#This Row],[自社報酬率％]]/100</f>
        <v>59400</v>
      </c>
    </row>
    <row r="4968" spans="1:18">
      <c r="A4968" s="7">
        <v>45992</v>
      </c>
      <c r="B4968" t="s">
        <v>14</v>
      </c>
      <c r="C4968" s="101" t="s">
        <v>1962</v>
      </c>
      <c r="D4968" s="41">
        <v>50</v>
      </c>
      <c r="E4968" s="41">
        <v>50</v>
      </c>
      <c r="F4968" s="101" t="s">
        <v>16</v>
      </c>
      <c r="G4968" s="102">
        <v>46023</v>
      </c>
      <c r="H4968" s="26" t="s">
        <v>3226</v>
      </c>
      <c r="I4968" s="49">
        <v>14500</v>
      </c>
      <c r="J4968" s="24">
        <v>10</v>
      </c>
      <c r="K4968" s="24">
        <v>0</v>
      </c>
      <c r="L4968" s="91">
        <v>0</v>
      </c>
      <c r="M4968" s="24">
        <v>0</v>
      </c>
      <c r="N4968" s="12">
        <f t="shared" si="192"/>
        <v>10</v>
      </c>
      <c r="O4968" s="11">
        <f t="shared" si="191"/>
        <v>145000</v>
      </c>
      <c r="P4968" s="10">
        <v>101</v>
      </c>
      <c r="Q4968" s="10" t="s">
        <v>1928</v>
      </c>
      <c r="R4968" s="50">
        <f>+テーブル1[[#This Row],[合計金額]]*テーブル1[[#This Row],[自社報酬率％]]/100</f>
        <v>72500</v>
      </c>
    </row>
    <row r="4969" spans="1:18">
      <c r="A4969" s="7">
        <v>45992</v>
      </c>
      <c r="B4969" t="s">
        <v>14</v>
      </c>
      <c r="C4969" s="101" t="s">
        <v>2023</v>
      </c>
      <c r="D4969" s="41">
        <v>50</v>
      </c>
      <c r="E4969" s="41">
        <v>50</v>
      </c>
      <c r="F4969" s="101" t="s">
        <v>16</v>
      </c>
      <c r="G4969" s="102">
        <v>46023</v>
      </c>
      <c r="H4969" s="26" t="s">
        <v>3283</v>
      </c>
      <c r="I4969" s="49">
        <v>3150</v>
      </c>
      <c r="J4969" s="24">
        <v>18</v>
      </c>
      <c r="K4969" s="24">
        <v>0</v>
      </c>
      <c r="L4969" s="91">
        <v>0</v>
      </c>
      <c r="M4969" s="24">
        <v>0</v>
      </c>
      <c r="N4969" s="12">
        <f t="shared" si="192"/>
        <v>18</v>
      </c>
      <c r="O4969" s="11">
        <f t="shared" si="191"/>
        <v>56700</v>
      </c>
      <c r="P4969" s="10">
        <v>102</v>
      </c>
      <c r="Q4969" s="10" t="s">
        <v>1928</v>
      </c>
      <c r="R4969" s="50">
        <f>+テーブル1[[#This Row],[合計金額]]*テーブル1[[#This Row],[自社報酬率％]]/100</f>
        <v>28350</v>
      </c>
    </row>
    <row r="4970" spans="1:18">
      <c r="A4970" s="7">
        <v>45992</v>
      </c>
      <c r="B4970" t="s">
        <v>14</v>
      </c>
      <c r="C4970" s="101" t="s">
        <v>2023</v>
      </c>
      <c r="D4970" s="41">
        <v>50</v>
      </c>
      <c r="E4970" s="41">
        <v>50</v>
      </c>
      <c r="F4970" s="101" t="s">
        <v>16</v>
      </c>
      <c r="G4970" s="102">
        <v>46023</v>
      </c>
      <c r="H4970" s="26" t="s">
        <v>3283</v>
      </c>
      <c r="I4970" s="49">
        <v>4980</v>
      </c>
      <c r="J4970" s="24">
        <v>2</v>
      </c>
      <c r="K4970" s="24">
        <v>0</v>
      </c>
      <c r="L4970" s="91">
        <v>0</v>
      </c>
      <c r="M4970" s="24">
        <v>0</v>
      </c>
      <c r="N4970" s="12">
        <f t="shared" si="192"/>
        <v>2</v>
      </c>
      <c r="O4970" s="11">
        <f t="shared" si="191"/>
        <v>9960</v>
      </c>
      <c r="P4970" s="10">
        <v>103</v>
      </c>
      <c r="Q4970" s="10" t="s">
        <v>1928</v>
      </c>
      <c r="R4970" s="50">
        <f>+テーブル1[[#This Row],[合計金額]]*テーブル1[[#This Row],[自社報酬率％]]/100</f>
        <v>4980</v>
      </c>
    </row>
    <row r="4971" spans="1:18">
      <c r="A4971" s="7">
        <v>45992</v>
      </c>
      <c r="B4971" t="s">
        <v>14</v>
      </c>
      <c r="C4971" s="101" t="s">
        <v>2045</v>
      </c>
      <c r="D4971" s="41">
        <v>40</v>
      </c>
      <c r="E4971" s="41">
        <v>60</v>
      </c>
      <c r="F4971" s="101" t="s">
        <v>16</v>
      </c>
      <c r="G4971" s="102">
        <v>46023</v>
      </c>
      <c r="H4971" s="26" t="s">
        <v>3314</v>
      </c>
      <c r="I4971" s="49">
        <v>16500</v>
      </c>
      <c r="J4971" s="24">
        <v>2</v>
      </c>
      <c r="K4971" s="24">
        <v>0</v>
      </c>
      <c r="L4971" s="91">
        <v>0</v>
      </c>
      <c r="M4971" s="24">
        <v>0</v>
      </c>
      <c r="N4971" s="12">
        <f t="shared" si="192"/>
        <v>2</v>
      </c>
      <c r="O4971" s="11">
        <f t="shared" si="191"/>
        <v>33000</v>
      </c>
      <c r="P4971" s="10">
        <v>104</v>
      </c>
      <c r="Q4971" s="10" t="s">
        <v>1928</v>
      </c>
      <c r="R4971" s="50">
        <f>+テーブル1[[#This Row],[合計金額]]*テーブル1[[#This Row],[自社報酬率％]]/100</f>
        <v>19800</v>
      </c>
    </row>
    <row r="4972" spans="1:18">
      <c r="A4972" s="7">
        <v>45992</v>
      </c>
      <c r="B4972" t="s">
        <v>14</v>
      </c>
      <c r="C4972" s="101" t="s">
        <v>2050</v>
      </c>
      <c r="D4972" s="41">
        <v>50</v>
      </c>
      <c r="E4972" s="41">
        <v>50</v>
      </c>
      <c r="F4972" s="101" t="s">
        <v>16</v>
      </c>
      <c r="G4972" s="102">
        <v>46023</v>
      </c>
      <c r="H4972" s="26" t="s">
        <v>3316</v>
      </c>
      <c r="I4972" s="49">
        <v>9800</v>
      </c>
      <c r="J4972" s="24">
        <v>2</v>
      </c>
      <c r="K4972" s="24">
        <v>0</v>
      </c>
      <c r="L4972" s="91">
        <v>0</v>
      </c>
      <c r="M4972" s="24">
        <v>0</v>
      </c>
      <c r="N4972" s="12">
        <f t="shared" si="192"/>
        <v>2</v>
      </c>
      <c r="O4972" s="11">
        <f t="shared" si="191"/>
        <v>19600</v>
      </c>
      <c r="P4972" s="10">
        <v>105</v>
      </c>
      <c r="Q4972" s="10" t="s">
        <v>1928</v>
      </c>
      <c r="R4972" s="50">
        <f>+テーブル1[[#This Row],[合計金額]]*テーブル1[[#This Row],[自社報酬率％]]/100</f>
        <v>9800</v>
      </c>
    </row>
    <row r="4973" spans="1:18">
      <c r="A4973" s="7">
        <v>45992</v>
      </c>
      <c r="B4973" t="s">
        <v>21</v>
      </c>
      <c r="C4973" s="71" t="s">
        <v>161</v>
      </c>
      <c r="D4973" s="41">
        <v>100</v>
      </c>
      <c r="E4973" s="41">
        <v>100</v>
      </c>
      <c r="F4973" s="18"/>
      <c r="G4973" s="124">
        <v>45992</v>
      </c>
      <c r="H4973" s="26" t="s">
        <v>3317</v>
      </c>
      <c r="I4973" s="49">
        <v>2850</v>
      </c>
      <c r="J4973" s="74">
        <v>1</v>
      </c>
      <c r="K4973" s="24"/>
      <c r="L4973" s="91"/>
      <c r="M4973" s="24"/>
      <c r="N4973" s="12">
        <f t="shared" si="192"/>
        <v>1</v>
      </c>
      <c r="O4973" s="11">
        <f t="shared" ref="O4973:O5036" si="193">+I4973*J4973</f>
        <v>2850</v>
      </c>
      <c r="P4973" s="10">
        <v>121</v>
      </c>
      <c r="Q4973" s="10" t="s">
        <v>1928</v>
      </c>
      <c r="R4973" s="50">
        <f>+テーブル1[[#This Row],[合計金額]]*テーブル1[[#This Row],[自社報酬率％]]/100</f>
        <v>2850</v>
      </c>
    </row>
    <row r="4974" spans="1:18">
      <c r="A4974" s="7">
        <v>45992</v>
      </c>
      <c r="B4974" t="s">
        <v>21</v>
      </c>
      <c r="C4974" s="80" t="s">
        <v>161</v>
      </c>
      <c r="D4974" s="41">
        <v>100</v>
      </c>
      <c r="E4974" s="41">
        <v>100</v>
      </c>
      <c r="F4974" s="18"/>
      <c r="G4974" s="102">
        <v>46023</v>
      </c>
      <c r="H4974" s="26" t="s">
        <v>3318</v>
      </c>
      <c r="I4974" s="49">
        <v>2850</v>
      </c>
      <c r="J4974" s="75">
        <v>1</v>
      </c>
      <c r="K4974" s="24"/>
      <c r="L4974" s="91"/>
      <c r="M4974" s="24"/>
      <c r="N4974" s="12">
        <f t="shared" si="192"/>
        <v>1</v>
      </c>
      <c r="O4974" s="11">
        <f t="shared" si="193"/>
        <v>2850</v>
      </c>
      <c r="P4974" s="10">
        <v>122</v>
      </c>
      <c r="Q4974" s="10" t="s">
        <v>1928</v>
      </c>
      <c r="R4974" s="50">
        <f>+テーブル1[[#This Row],[合計金額]]*テーブル1[[#This Row],[自社報酬率％]]/100</f>
        <v>2850</v>
      </c>
    </row>
    <row r="4975" spans="1:18">
      <c r="A4975" s="7">
        <v>45992</v>
      </c>
      <c r="B4975" t="s">
        <v>21</v>
      </c>
      <c r="C4975" s="80" t="s">
        <v>161</v>
      </c>
      <c r="D4975" s="41">
        <v>100</v>
      </c>
      <c r="E4975" s="41">
        <v>100</v>
      </c>
      <c r="F4975" s="18"/>
      <c r="G4975" s="102">
        <v>46054</v>
      </c>
      <c r="H4975" s="26" t="s">
        <v>3319</v>
      </c>
      <c r="I4975" s="49">
        <v>2850</v>
      </c>
      <c r="J4975" s="75">
        <v>1</v>
      </c>
      <c r="K4975" s="24"/>
      <c r="L4975" s="91"/>
      <c r="M4975" s="24"/>
      <c r="N4975" s="12">
        <f t="shared" si="192"/>
        <v>1</v>
      </c>
      <c r="O4975" s="11">
        <f t="shared" si="193"/>
        <v>2850</v>
      </c>
      <c r="P4975" s="10">
        <v>123</v>
      </c>
      <c r="Q4975" s="10" t="s">
        <v>1928</v>
      </c>
      <c r="R4975" s="50">
        <f>+テーブル1[[#This Row],[合計金額]]*テーブル1[[#This Row],[自社報酬率％]]/100</f>
        <v>2850</v>
      </c>
    </row>
    <row r="4976" spans="1:18">
      <c r="A4976" s="7">
        <v>45992</v>
      </c>
      <c r="B4976" t="s">
        <v>21</v>
      </c>
      <c r="C4976" s="80" t="s">
        <v>161</v>
      </c>
      <c r="D4976" s="41">
        <v>100</v>
      </c>
      <c r="E4976" s="41">
        <v>100</v>
      </c>
      <c r="F4976" s="18"/>
      <c r="G4976" s="102">
        <v>46082</v>
      </c>
      <c r="H4976" s="26" t="s">
        <v>3320</v>
      </c>
      <c r="I4976" s="49">
        <v>2850</v>
      </c>
      <c r="J4976" s="75">
        <v>1</v>
      </c>
      <c r="K4976" s="24"/>
      <c r="L4976" s="91"/>
      <c r="M4976" s="24"/>
      <c r="N4976" s="12">
        <f t="shared" si="192"/>
        <v>1</v>
      </c>
      <c r="O4976" s="11">
        <f t="shared" si="193"/>
        <v>2850</v>
      </c>
      <c r="P4976" s="10">
        <v>124</v>
      </c>
      <c r="Q4976" s="10" t="s">
        <v>1928</v>
      </c>
      <c r="R4976" s="50">
        <f>+テーブル1[[#This Row],[合計金額]]*テーブル1[[#This Row],[自社報酬率％]]/100</f>
        <v>2850</v>
      </c>
    </row>
    <row r="4977" spans="1:18">
      <c r="A4977" s="7">
        <v>45992</v>
      </c>
      <c r="B4977" t="s">
        <v>21</v>
      </c>
      <c r="C4977" s="80" t="s">
        <v>161</v>
      </c>
      <c r="D4977" s="41">
        <v>100</v>
      </c>
      <c r="E4977" s="41">
        <v>100</v>
      </c>
      <c r="F4977" s="18"/>
      <c r="G4977" s="102">
        <v>46113</v>
      </c>
      <c r="H4977" s="26" t="s">
        <v>3321</v>
      </c>
      <c r="I4977" s="49">
        <v>2850</v>
      </c>
      <c r="J4977" s="75">
        <v>1</v>
      </c>
      <c r="K4977" s="24"/>
      <c r="L4977" s="91"/>
      <c r="M4977" s="24"/>
      <c r="N4977" s="12">
        <f t="shared" si="192"/>
        <v>1</v>
      </c>
      <c r="O4977" s="11">
        <f t="shared" si="193"/>
        <v>2850</v>
      </c>
      <c r="P4977" s="10">
        <v>125</v>
      </c>
      <c r="Q4977" s="10" t="s">
        <v>1928</v>
      </c>
      <c r="R4977" s="50">
        <f>+テーブル1[[#This Row],[合計金額]]*テーブル1[[#This Row],[自社報酬率％]]/100</f>
        <v>2850</v>
      </c>
    </row>
    <row r="4978" spans="1:18">
      <c r="A4978" s="7">
        <v>45992</v>
      </c>
      <c r="B4978" t="s">
        <v>21</v>
      </c>
      <c r="C4978" s="81" t="s">
        <v>161</v>
      </c>
      <c r="D4978" s="41">
        <v>100</v>
      </c>
      <c r="E4978" s="41">
        <v>100</v>
      </c>
      <c r="F4978" s="18"/>
      <c r="G4978" s="86">
        <v>46143</v>
      </c>
      <c r="H4978" s="26" t="s">
        <v>3322</v>
      </c>
      <c r="I4978" s="49">
        <v>2850</v>
      </c>
      <c r="J4978" s="78">
        <v>1</v>
      </c>
      <c r="K4978" s="24"/>
      <c r="L4978" s="91"/>
      <c r="M4978" s="24"/>
      <c r="N4978" s="12">
        <f t="shared" si="192"/>
        <v>1</v>
      </c>
      <c r="O4978" s="11">
        <f t="shared" si="193"/>
        <v>2850</v>
      </c>
      <c r="P4978" s="10">
        <v>126</v>
      </c>
      <c r="Q4978" s="10" t="s">
        <v>1928</v>
      </c>
      <c r="R4978" s="50">
        <f>+テーブル1[[#This Row],[合計金額]]*テーブル1[[#This Row],[自社報酬率％]]/100</f>
        <v>2850</v>
      </c>
    </row>
    <row r="4979" spans="1:18">
      <c r="A4979" s="7">
        <v>45992</v>
      </c>
      <c r="B4979" t="s">
        <v>21</v>
      </c>
      <c r="C4979" s="18" t="s">
        <v>161</v>
      </c>
      <c r="D4979" s="41">
        <v>100</v>
      </c>
      <c r="E4979" s="41">
        <v>100</v>
      </c>
      <c r="F4979" s="18"/>
      <c r="G4979" s="28">
        <v>45992</v>
      </c>
      <c r="H4979" s="26" t="s">
        <v>2400</v>
      </c>
      <c r="I4979" s="49">
        <v>188000</v>
      </c>
      <c r="J4979" s="24">
        <v>1</v>
      </c>
      <c r="K4979" s="24"/>
      <c r="L4979" s="91"/>
      <c r="M4979" s="24"/>
      <c r="N4979" s="12">
        <f t="shared" si="192"/>
        <v>1</v>
      </c>
      <c r="O4979" s="11">
        <f t="shared" si="193"/>
        <v>188000</v>
      </c>
      <c r="P4979" s="10">
        <v>127</v>
      </c>
      <c r="Q4979" s="10" t="s">
        <v>1928</v>
      </c>
      <c r="R4979" s="50">
        <f>+テーブル1[[#This Row],[合計金額]]*テーブル1[[#This Row],[自社報酬率％]]/100</f>
        <v>188000</v>
      </c>
    </row>
    <row r="4980" spans="1:18">
      <c r="A4980" s="7">
        <v>45992</v>
      </c>
      <c r="B4980" t="s">
        <v>21</v>
      </c>
      <c r="C4980" s="82" t="s">
        <v>161</v>
      </c>
      <c r="D4980" s="41">
        <v>100</v>
      </c>
      <c r="E4980" s="41">
        <v>100</v>
      </c>
      <c r="F4980" s="18"/>
      <c r="G4980" s="87">
        <v>45992</v>
      </c>
      <c r="H4980" s="26" t="s">
        <v>3074</v>
      </c>
      <c r="I4980" s="49">
        <v>217800</v>
      </c>
      <c r="J4980" s="77">
        <v>1</v>
      </c>
      <c r="K4980" s="24"/>
      <c r="L4980" s="91"/>
      <c r="M4980" s="24"/>
      <c r="N4980" s="12">
        <f t="shared" si="192"/>
        <v>1</v>
      </c>
      <c r="O4980" s="11">
        <f t="shared" si="193"/>
        <v>217800</v>
      </c>
      <c r="P4980" s="10">
        <v>128</v>
      </c>
      <c r="Q4980" s="10" t="s">
        <v>1928</v>
      </c>
      <c r="R4980" s="50">
        <f>+テーブル1[[#This Row],[合計金額]]*テーブル1[[#This Row],[自社報酬率％]]/100</f>
        <v>217800</v>
      </c>
    </row>
    <row r="4981" spans="1:18">
      <c r="A4981" s="7">
        <v>45992</v>
      </c>
      <c r="B4981" t="s">
        <v>21</v>
      </c>
      <c r="C4981" s="112" t="s">
        <v>2043</v>
      </c>
      <c r="D4981" s="41">
        <v>60</v>
      </c>
      <c r="E4981" s="41">
        <v>40</v>
      </c>
      <c r="F4981" s="18"/>
      <c r="G4981" s="124">
        <v>45992</v>
      </c>
      <c r="H4981" s="26" t="s">
        <v>3323</v>
      </c>
      <c r="I4981" s="49">
        <v>349200</v>
      </c>
      <c r="J4981" s="73">
        <v>1</v>
      </c>
      <c r="K4981" s="24"/>
      <c r="L4981" s="91"/>
      <c r="M4981" s="24"/>
      <c r="N4981" s="12">
        <f t="shared" si="192"/>
        <v>1</v>
      </c>
      <c r="O4981" s="11">
        <f t="shared" si="193"/>
        <v>349200</v>
      </c>
      <c r="P4981" s="10">
        <v>129</v>
      </c>
      <c r="Q4981" s="10" t="s">
        <v>1928</v>
      </c>
      <c r="R4981" s="50">
        <f>+テーブル1[[#This Row],[合計金額]]*テーブル1[[#This Row],[自社報酬率％]]/100</f>
        <v>139680</v>
      </c>
    </row>
    <row r="4982" spans="1:18">
      <c r="A4982" s="7">
        <v>45992</v>
      </c>
      <c r="B4982" t="s">
        <v>21</v>
      </c>
      <c r="C4982" s="18" t="s">
        <v>2043</v>
      </c>
      <c r="D4982" s="41">
        <v>60</v>
      </c>
      <c r="E4982" s="41">
        <v>40</v>
      </c>
      <c r="F4982" s="18"/>
      <c r="G4982" s="28">
        <v>45992</v>
      </c>
      <c r="H4982" s="26" t="s">
        <v>3324</v>
      </c>
      <c r="I4982" s="49">
        <v>349200</v>
      </c>
      <c r="J4982" s="24">
        <v>1</v>
      </c>
      <c r="K4982" s="24"/>
      <c r="L4982" s="91"/>
      <c r="M4982" s="24"/>
      <c r="N4982" s="12">
        <f t="shared" si="192"/>
        <v>1</v>
      </c>
      <c r="O4982" s="11">
        <f t="shared" si="193"/>
        <v>349200</v>
      </c>
      <c r="P4982" s="10">
        <v>130</v>
      </c>
      <c r="Q4982" s="10" t="s">
        <v>1928</v>
      </c>
      <c r="R4982" s="50">
        <f>+テーブル1[[#This Row],[合計金額]]*テーブル1[[#This Row],[自社報酬率％]]/100</f>
        <v>139680</v>
      </c>
    </row>
    <row r="4983" spans="1:18">
      <c r="A4983" s="7">
        <v>45992</v>
      </c>
      <c r="B4983" t="s">
        <v>21</v>
      </c>
      <c r="C4983" s="18" t="s">
        <v>2045</v>
      </c>
      <c r="D4983" s="41">
        <v>40</v>
      </c>
      <c r="E4983" s="41">
        <v>60</v>
      </c>
      <c r="F4983" s="18"/>
      <c r="G4983" s="28">
        <v>45992</v>
      </c>
      <c r="H4983" s="26" t="s">
        <v>3325</v>
      </c>
      <c r="I4983" s="49">
        <v>130000</v>
      </c>
      <c r="J4983" s="24">
        <v>1</v>
      </c>
      <c r="K4983" s="24"/>
      <c r="L4983" s="91"/>
      <c r="M4983" s="24"/>
      <c r="N4983" s="12">
        <f t="shared" si="192"/>
        <v>1</v>
      </c>
      <c r="O4983" s="11">
        <f t="shared" si="193"/>
        <v>130000</v>
      </c>
      <c r="P4983" s="10">
        <v>131</v>
      </c>
      <c r="Q4983" s="10" t="s">
        <v>1928</v>
      </c>
      <c r="R4983" s="50">
        <f>+テーブル1[[#This Row],[合計金額]]*テーブル1[[#This Row],[自社報酬率％]]/100</f>
        <v>78000</v>
      </c>
    </row>
    <row r="4984" spans="1:18">
      <c r="A4984" s="7">
        <v>45992</v>
      </c>
      <c r="B4984" t="s">
        <v>21</v>
      </c>
      <c r="C4984" s="18" t="s">
        <v>2045</v>
      </c>
      <c r="D4984" s="41">
        <v>40</v>
      </c>
      <c r="E4984" s="41">
        <v>60</v>
      </c>
      <c r="F4984" s="18"/>
      <c r="G4984" s="28">
        <v>45992</v>
      </c>
      <c r="H4984" s="26" t="s">
        <v>3326</v>
      </c>
      <c r="I4984" s="49">
        <v>166000</v>
      </c>
      <c r="J4984" s="24">
        <v>1</v>
      </c>
      <c r="K4984" s="24"/>
      <c r="L4984" s="91"/>
      <c r="M4984" s="24"/>
      <c r="N4984" s="12">
        <f t="shared" si="192"/>
        <v>1</v>
      </c>
      <c r="O4984" s="11">
        <f t="shared" si="193"/>
        <v>166000</v>
      </c>
      <c r="P4984" s="10">
        <v>132</v>
      </c>
      <c r="Q4984" s="10" t="s">
        <v>1928</v>
      </c>
      <c r="R4984" s="50">
        <f>+テーブル1[[#This Row],[合計金額]]*テーブル1[[#This Row],[自社報酬率％]]/100</f>
        <v>99600</v>
      </c>
    </row>
    <row r="4985" spans="1:18">
      <c r="A4985" s="7">
        <v>45992</v>
      </c>
      <c r="B4985" t="s">
        <v>21</v>
      </c>
      <c r="C4985" s="18" t="s">
        <v>2050</v>
      </c>
      <c r="D4985" s="41">
        <v>50</v>
      </c>
      <c r="E4985" s="41">
        <v>50</v>
      </c>
      <c r="F4985" s="18"/>
      <c r="G4985" s="28">
        <v>45992</v>
      </c>
      <c r="H4985" s="26" t="s">
        <v>2757</v>
      </c>
      <c r="I4985" s="49">
        <v>398000</v>
      </c>
      <c r="J4985" s="24">
        <v>1</v>
      </c>
      <c r="K4985" s="24"/>
      <c r="L4985" s="91"/>
      <c r="M4985" s="24"/>
      <c r="N4985" s="12">
        <f t="shared" si="192"/>
        <v>1</v>
      </c>
      <c r="O4985" s="11">
        <f t="shared" si="193"/>
        <v>398000</v>
      </c>
      <c r="P4985" s="10">
        <v>133</v>
      </c>
      <c r="Q4985" s="10" t="s">
        <v>1928</v>
      </c>
      <c r="R4985" s="50">
        <f>+テーブル1[[#This Row],[合計金額]]*テーブル1[[#This Row],[自社報酬率％]]/100</f>
        <v>199000</v>
      </c>
    </row>
    <row r="4986" spans="1:18">
      <c r="A4986" s="7">
        <v>45992</v>
      </c>
      <c r="B4986" t="s">
        <v>21</v>
      </c>
      <c r="C4986" s="18" t="s">
        <v>2050</v>
      </c>
      <c r="D4986" s="41">
        <v>50</v>
      </c>
      <c r="E4986" s="41">
        <v>50</v>
      </c>
      <c r="F4986" s="18"/>
      <c r="G4986" s="28">
        <v>45992</v>
      </c>
      <c r="H4986" s="26" t="s">
        <v>2422</v>
      </c>
      <c r="I4986" s="49">
        <v>298000</v>
      </c>
      <c r="J4986" s="24">
        <v>2</v>
      </c>
      <c r="K4986" s="24"/>
      <c r="L4986" s="91"/>
      <c r="M4986" s="24"/>
      <c r="N4986" s="12">
        <f t="shared" si="192"/>
        <v>2</v>
      </c>
      <c r="O4986" s="11">
        <f t="shared" si="193"/>
        <v>596000</v>
      </c>
      <c r="P4986" s="10">
        <v>134</v>
      </c>
      <c r="Q4986" s="10" t="s">
        <v>1928</v>
      </c>
      <c r="R4986" s="50">
        <f>+テーブル1[[#This Row],[合計金額]]*テーブル1[[#This Row],[自社報酬率％]]/100</f>
        <v>298000</v>
      </c>
    </row>
    <row r="4987" spans="1:18">
      <c r="A4987" s="7">
        <v>45992</v>
      </c>
      <c r="B4987" t="s">
        <v>21</v>
      </c>
      <c r="C4987" s="18" t="s">
        <v>2212</v>
      </c>
      <c r="D4987" s="41">
        <v>10</v>
      </c>
      <c r="E4987" s="41">
        <v>90</v>
      </c>
      <c r="F4987" s="18"/>
      <c r="G4987" s="28">
        <v>45992</v>
      </c>
      <c r="H4987" s="26" t="s">
        <v>2953</v>
      </c>
      <c r="I4987" s="49">
        <v>9800</v>
      </c>
      <c r="J4987" s="24">
        <v>16</v>
      </c>
      <c r="K4987" s="24"/>
      <c r="L4987" s="91"/>
      <c r="M4987" s="24"/>
      <c r="N4987" s="12">
        <f t="shared" si="192"/>
        <v>16</v>
      </c>
      <c r="O4987" s="11">
        <f t="shared" si="193"/>
        <v>156800</v>
      </c>
      <c r="P4987" s="10">
        <v>135</v>
      </c>
      <c r="Q4987" s="10" t="s">
        <v>1928</v>
      </c>
      <c r="R4987" s="50">
        <f>+テーブル1[[#This Row],[合計金額]]*テーブル1[[#This Row],[自社報酬率％]]/100</f>
        <v>141120</v>
      </c>
    </row>
    <row r="4988" spans="1:18">
      <c r="A4988" s="7">
        <v>45992</v>
      </c>
      <c r="B4988" t="s">
        <v>21</v>
      </c>
      <c r="C4988" s="18" t="s">
        <v>2212</v>
      </c>
      <c r="D4988" s="41">
        <v>10</v>
      </c>
      <c r="E4988" s="41">
        <v>90</v>
      </c>
      <c r="F4988" s="18"/>
      <c r="G4988" s="28">
        <v>45992</v>
      </c>
      <c r="H4988" s="26" t="s">
        <v>2954</v>
      </c>
      <c r="I4988" s="49">
        <v>29700</v>
      </c>
      <c r="J4988" s="24">
        <v>22</v>
      </c>
      <c r="K4988" s="24"/>
      <c r="L4988" s="91"/>
      <c r="M4988" s="24"/>
      <c r="N4988" s="12">
        <f t="shared" si="192"/>
        <v>22</v>
      </c>
      <c r="O4988" s="11">
        <f t="shared" si="193"/>
        <v>653400</v>
      </c>
      <c r="P4988" s="10">
        <v>136</v>
      </c>
      <c r="Q4988" s="10" t="s">
        <v>1928</v>
      </c>
      <c r="R4988" s="50">
        <f>+テーブル1[[#This Row],[合計金額]]*テーブル1[[#This Row],[自社報酬率％]]/100</f>
        <v>588060</v>
      </c>
    </row>
    <row r="4989" spans="1:18">
      <c r="A4989" s="7">
        <v>45992</v>
      </c>
      <c r="B4989" t="s">
        <v>21</v>
      </c>
      <c r="C4989" s="18" t="s">
        <v>2212</v>
      </c>
      <c r="D4989" s="41">
        <v>10</v>
      </c>
      <c r="E4989" s="41">
        <v>90</v>
      </c>
      <c r="F4989" s="18"/>
      <c r="G4989" s="28">
        <v>45992</v>
      </c>
      <c r="H4989" s="26" t="s">
        <v>2954</v>
      </c>
      <c r="I4989" s="49">
        <v>-29315</v>
      </c>
      <c r="J4989" s="24">
        <v>1</v>
      </c>
      <c r="K4989" s="24"/>
      <c r="L4989" s="91"/>
      <c r="M4989" s="24"/>
      <c r="N4989" s="12">
        <f t="shared" si="192"/>
        <v>1</v>
      </c>
      <c r="O4989" s="11">
        <f t="shared" si="193"/>
        <v>-29315</v>
      </c>
      <c r="P4989" s="10">
        <v>149</v>
      </c>
      <c r="Q4989" s="10" t="s">
        <v>1928</v>
      </c>
      <c r="R4989" s="50">
        <f>+テーブル1[[#This Row],[合計金額]]*テーブル1[[#This Row],[自社報酬率％]]/100</f>
        <v>-26383.5</v>
      </c>
    </row>
    <row r="4990" spans="1:18">
      <c r="A4990" s="7">
        <v>45992</v>
      </c>
      <c r="B4990" t="s">
        <v>21</v>
      </c>
      <c r="C4990" s="18" t="s">
        <v>22</v>
      </c>
      <c r="D4990" s="41">
        <v>0</v>
      </c>
      <c r="E4990" s="41">
        <v>100</v>
      </c>
      <c r="F4990" s="18"/>
      <c r="G4990" s="28">
        <v>45992</v>
      </c>
      <c r="H4990" s="26"/>
      <c r="I4990" s="49">
        <v>-385</v>
      </c>
      <c r="J4990" s="24">
        <v>1</v>
      </c>
      <c r="K4990" s="24"/>
      <c r="L4990" s="91"/>
      <c r="M4990" s="24"/>
      <c r="N4990" s="12">
        <f t="shared" si="192"/>
        <v>1</v>
      </c>
      <c r="O4990" s="11">
        <f t="shared" si="193"/>
        <v>-385</v>
      </c>
      <c r="P4990" s="10">
        <v>150</v>
      </c>
      <c r="Q4990" s="10" t="s">
        <v>1928</v>
      </c>
      <c r="R4990" s="50">
        <f>+テーブル1[[#This Row],[合計金額]]*テーブル1[[#This Row],[自社報酬率％]]/100</f>
        <v>-385</v>
      </c>
    </row>
    <row r="4991" spans="1:18">
      <c r="A4991" s="7">
        <v>45992</v>
      </c>
      <c r="B4991" t="s">
        <v>21</v>
      </c>
      <c r="C4991" s="18" t="s">
        <v>2212</v>
      </c>
      <c r="D4991" s="41">
        <v>10</v>
      </c>
      <c r="E4991" s="41">
        <v>90</v>
      </c>
      <c r="F4991" s="18"/>
      <c r="G4991" s="28">
        <v>45992</v>
      </c>
      <c r="H4991" s="26" t="s">
        <v>2954</v>
      </c>
      <c r="I4991" s="49">
        <v>-29315</v>
      </c>
      <c r="J4991" s="24">
        <v>1</v>
      </c>
      <c r="K4991" s="24"/>
      <c r="L4991" s="91"/>
      <c r="M4991" s="24"/>
      <c r="N4991" s="12">
        <f t="shared" si="192"/>
        <v>1</v>
      </c>
      <c r="O4991" s="11">
        <f t="shared" si="193"/>
        <v>-29315</v>
      </c>
      <c r="P4991" s="10">
        <v>151</v>
      </c>
      <c r="Q4991" s="10" t="s">
        <v>1928</v>
      </c>
      <c r="R4991" s="50">
        <f>+テーブル1[[#This Row],[合計金額]]*テーブル1[[#This Row],[自社報酬率％]]/100</f>
        <v>-26383.5</v>
      </c>
    </row>
    <row r="4992" spans="1:18">
      <c r="A4992" s="7">
        <v>45992</v>
      </c>
      <c r="B4992" t="s">
        <v>21</v>
      </c>
      <c r="C4992" s="18" t="s">
        <v>22</v>
      </c>
      <c r="D4992" s="41">
        <v>0</v>
      </c>
      <c r="E4992" s="41">
        <v>100</v>
      </c>
      <c r="F4992" s="18"/>
      <c r="G4992" s="28">
        <v>45992</v>
      </c>
      <c r="H4992" s="26"/>
      <c r="I4992" s="49">
        <v>-385</v>
      </c>
      <c r="J4992" s="24">
        <v>1</v>
      </c>
      <c r="K4992" s="24"/>
      <c r="L4992" s="91"/>
      <c r="M4992" s="24"/>
      <c r="N4992" s="12">
        <f t="shared" si="192"/>
        <v>1</v>
      </c>
      <c r="O4992" s="11">
        <f t="shared" si="193"/>
        <v>-385</v>
      </c>
      <c r="P4992" s="10">
        <v>152</v>
      </c>
      <c r="Q4992" s="10" t="s">
        <v>1928</v>
      </c>
      <c r="R4992" s="50">
        <f>+テーブル1[[#This Row],[合計金額]]*テーブル1[[#This Row],[自社報酬率％]]/100</f>
        <v>-385</v>
      </c>
    </row>
    <row r="4993" spans="1:18">
      <c r="A4993" s="7">
        <v>45992</v>
      </c>
      <c r="B4993" t="s">
        <v>21</v>
      </c>
      <c r="C4993" s="18" t="s">
        <v>2212</v>
      </c>
      <c r="D4993" s="41">
        <v>10</v>
      </c>
      <c r="E4993" s="41">
        <v>90</v>
      </c>
      <c r="F4993" s="18"/>
      <c r="G4993" s="28">
        <v>45992</v>
      </c>
      <c r="H4993" s="26" t="s">
        <v>2954</v>
      </c>
      <c r="I4993" s="49">
        <v>-29315</v>
      </c>
      <c r="J4993" s="24">
        <v>1</v>
      </c>
      <c r="K4993" s="24"/>
      <c r="L4993" s="91"/>
      <c r="M4993" s="24"/>
      <c r="N4993" s="12">
        <f t="shared" si="192"/>
        <v>1</v>
      </c>
      <c r="O4993" s="11">
        <f t="shared" si="193"/>
        <v>-29315</v>
      </c>
      <c r="P4993" s="10">
        <v>153</v>
      </c>
      <c r="Q4993" s="10" t="s">
        <v>1928</v>
      </c>
      <c r="R4993" s="50">
        <f>+テーブル1[[#This Row],[合計金額]]*テーブル1[[#This Row],[自社報酬率％]]/100</f>
        <v>-26383.5</v>
      </c>
    </row>
    <row r="4994" spans="1:18">
      <c r="A4994" s="7">
        <v>45992</v>
      </c>
      <c r="B4994" t="s">
        <v>21</v>
      </c>
      <c r="C4994" s="18" t="s">
        <v>22</v>
      </c>
      <c r="D4994" s="41">
        <v>0</v>
      </c>
      <c r="E4994" s="41">
        <v>100</v>
      </c>
      <c r="F4994" s="18"/>
      <c r="G4994" s="28">
        <v>45992</v>
      </c>
      <c r="H4994" s="26"/>
      <c r="I4994" s="49">
        <v>-385</v>
      </c>
      <c r="J4994" s="24">
        <v>1</v>
      </c>
      <c r="K4994" s="24"/>
      <c r="L4994" s="91"/>
      <c r="M4994" s="24"/>
      <c r="N4994" s="12">
        <f t="shared" si="192"/>
        <v>1</v>
      </c>
      <c r="O4994" s="11">
        <f t="shared" si="193"/>
        <v>-385</v>
      </c>
      <c r="P4994" s="10">
        <v>154</v>
      </c>
      <c r="Q4994" s="10" t="s">
        <v>1928</v>
      </c>
      <c r="R4994" s="50">
        <f>+テーブル1[[#This Row],[合計金額]]*テーブル1[[#This Row],[自社報酬率％]]/100</f>
        <v>-385</v>
      </c>
    </row>
    <row r="4995" spans="1:18">
      <c r="A4995" s="7">
        <v>45992</v>
      </c>
      <c r="B4995" t="s">
        <v>21</v>
      </c>
      <c r="C4995" s="18" t="s">
        <v>2212</v>
      </c>
      <c r="D4995" s="41">
        <v>10</v>
      </c>
      <c r="E4995" s="41">
        <v>90</v>
      </c>
      <c r="F4995" s="18"/>
      <c r="G4995" s="28">
        <v>45992</v>
      </c>
      <c r="H4995" s="26" t="s">
        <v>2954</v>
      </c>
      <c r="I4995" s="49">
        <v>-29315</v>
      </c>
      <c r="J4995" s="24">
        <v>1</v>
      </c>
      <c r="K4995" s="24"/>
      <c r="L4995" s="91"/>
      <c r="M4995" s="24"/>
      <c r="N4995" s="12">
        <f t="shared" si="192"/>
        <v>1</v>
      </c>
      <c r="O4995" s="11">
        <f t="shared" si="193"/>
        <v>-29315</v>
      </c>
      <c r="P4995" s="10">
        <v>155</v>
      </c>
      <c r="Q4995" s="10" t="s">
        <v>1928</v>
      </c>
      <c r="R4995" s="50">
        <f>+テーブル1[[#This Row],[合計金額]]*テーブル1[[#This Row],[自社報酬率％]]/100</f>
        <v>-26383.5</v>
      </c>
    </row>
    <row r="4996" spans="1:18">
      <c r="A4996" s="7">
        <v>45992</v>
      </c>
      <c r="B4996" t="s">
        <v>21</v>
      </c>
      <c r="C4996" s="18" t="s">
        <v>22</v>
      </c>
      <c r="D4996" s="41">
        <v>0</v>
      </c>
      <c r="E4996" s="41">
        <v>100</v>
      </c>
      <c r="F4996" s="18"/>
      <c r="G4996" s="28">
        <v>45992</v>
      </c>
      <c r="H4996" s="26"/>
      <c r="I4996" s="49">
        <v>-385</v>
      </c>
      <c r="J4996" s="24">
        <v>1</v>
      </c>
      <c r="K4996" s="24"/>
      <c r="L4996" s="91"/>
      <c r="M4996" s="24"/>
      <c r="N4996" s="12">
        <f t="shared" si="192"/>
        <v>1</v>
      </c>
      <c r="O4996" s="11">
        <f t="shared" si="193"/>
        <v>-385</v>
      </c>
      <c r="P4996" s="10">
        <v>156</v>
      </c>
      <c r="Q4996" s="10" t="s">
        <v>1928</v>
      </c>
      <c r="R4996" s="50">
        <f>+テーブル1[[#This Row],[合計金額]]*テーブル1[[#This Row],[自社報酬率％]]/100</f>
        <v>-385</v>
      </c>
    </row>
    <row r="4997" spans="1:18">
      <c r="A4997" s="7">
        <v>45992</v>
      </c>
      <c r="B4997" t="s">
        <v>21</v>
      </c>
      <c r="C4997" s="18" t="s">
        <v>2212</v>
      </c>
      <c r="D4997" s="41">
        <v>10</v>
      </c>
      <c r="E4997" s="41">
        <v>90</v>
      </c>
      <c r="F4997" s="18"/>
      <c r="G4997" s="28">
        <v>45992</v>
      </c>
      <c r="H4997" s="26" t="s">
        <v>2954</v>
      </c>
      <c r="I4997" s="49">
        <v>-29315</v>
      </c>
      <c r="J4997" s="24">
        <v>1</v>
      </c>
      <c r="K4997" s="24"/>
      <c r="L4997" s="91"/>
      <c r="M4997" s="24"/>
      <c r="N4997" s="12">
        <f t="shared" si="192"/>
        <v>1</v>
      </c>
      <c r="O4997" s="11">
        <f t="shared" si="193"/>
        <v>-29315</v>
      </c>
      <c r="P4997" s="10">
        <v>157</v>
      </c>
      <c r="Q4997" s="10" t="s">
        <v>1928</v>
      </c>
      <c r="R4997" s="50">
        <f>+テーブル1[[#This Row],[合計金額]]*テーブル1[[#This Row],[自社報酬率％]]/100</f>
        <v>-26383.5</v>
      </c>
    </row>
    <row r="4998" spans="1:18">
      <c r="A4998" s="7">
        <v>45992</v>
      </c>
      <c r="B4998" t="s">
        <v>21</v>
      </c>
      <c r="C4998" s="18" t="s">
        <v>22</v>
      </c>
      <c r="D4998" s="41">
        <v>0</v>
      </c>
      <c r="E4998" s="41">
        <v>100</v>
      </c>
      <c r="F4998" s="18"/>
      <c r="G4998" s="28">
        <v>45992</v>
      </c>
      <c r="H4998" s="26"/>
      <c r="I4998" s="49">
        <v>-385</v>
      </c>
      <c r="J4998" s="24">
        <v>1</v>
      </c>
      <c r="K4998" s="24"/>
      <c r="L4998" s="91"/>
      <c r="M4998" s="24"/>
      <c r="N4998" s="12">
        <f t="shared" si="192"/>
        <v>1</v>
      </c>
      <c r="O4998" s="11">
        <f t="shared" si="193"/>
        <v>-385</v>
      </c>
      <c r="P4998" s="10">
        <v>158</v>
      </c>
      <c r="Q4998" s="10" t="s">
        <v>1928</v>
      </c>
      <c r="R4998" s="50">
        <f>+テーブル1[[#This Row],[合計金額]]*テーブル1[[#This Row],[自社報酬率％]]/100</f>
        <v>-385</v>
      </c>
    </row>
    <row r="4999" spans="1:18">
      <c r="A4999" s="7">
        <v>45992</v>
      </c>
      <c r="B4999" t="s">
        <v>21</v>
      </c>
      <c r="C4999" s="18" t="s">
        <v>2212</v>
      </c>
      <c r="D4999" s="41">
        <v>10</v>
      </c>
      <c r="E4999" s="41">
        <v>90</v>
      </c>
      <c r="F4999" s="18"/>
      <c r="G4999" s="28">
        <v>45992</v>
      </c>
      <c r="H4999" s="26" t="s">
        <v>2954</v>
      </c>
      <c r="I4999" s="49">
        <v>-29315</v>
      </c>
      <c r="J4999" s="24">
        <v>1</v>
      </c>
      <c r="K4999" s="24"/>
      <c r="L4999" s="91"/>
      <c r="M4999" s="24"/>
      <c r="N4999" s="12">
        <f t="shared" si="192"/>
        <v>1</v>
      </c>
      <c r="O4999" s="11">
        <f t="shared" si="193"/>
        <v>-29315</v>
      </c>
      <c r="P4999" s="10">
        <v>159</v>
      </c>
      <c r="Q4999" s="10" t="s">
        <v>1928</v>
      </c>
      <c r="R4999" s="50">
        <f>+テーブル1[[#This Row],[合計金額]]*テーブル1[[#This Row],[自社報酬率％]]/100</f>
        <v>-26383.5</v>
      </c>
    </row>
    <row r="5000" spans="1:18">
      <c r="A5000" s="7">
        <v>45992</v>
      </c>
      <c r="B5000" t="s">
        <v>21</v>
      </c>
      <c r="C5000" s="18" t="s">
        <v>22</v>
      </c>
      <c r="D5000" s="41">
        <v>0</v>
      </c>
      <c r="E5000" s="41">
        <v>100</v>
      </c>
      <c r="F5000" s="18"/>
      <c r="G5000" s="28">
        <v>45992</v>
      </c>
      <c r="H5000" s="26"/>
      <c r="I5000" s="49">
        <v>-385</v>
      </c>
      <c r="J5000" s="24">
        <v>1</v>
      </c>
      <c r="K5000" s="24"/>
      <c r="L5000" s="91"/>
      <c r="M5000" s="24"/>
      <c r="N5000" s="12">
        <f t="shared" si="192"/>
        <v>1</v>
      </c>
      <c r="O5000" s="11">
        <f t="shared" si="193"/>
        <v>-385</v>
      </c>
      <c r="P5000" s="10">
        <v>160</v>
      </c>
      <c r="Q5000" s="10" t="s">
        <v>1928</v>
      </c>
      <c r="R5000" s="50">
        <f>+テーブル1[[#This Row],[合計金額]]*テーブル1[[#This Row],[自社報酬率％]]/100</f>
        <v>-385</v>
      </c>
    </row>
    <row r="5001" spans="1:18">
      <c r="A5001" s="7">
        <v>45992</v>
      </c>
      <c r="B5001" t="s">
        <v>21</v>
      </c>
      <c r="C5001" s="18" t="s">
        <v>2212</v>
      </c>
      <c r="D5001" s="41">
        <v>10</v>
      </c>
      <c r="E5001" s="41">
        <v>90</v>
      </c>
      <c r="F5001" s="18"/>
      <c r="G5001" s="28">
        <v>45992</v>
      </c>
      <c r="H5001" s="26" t="s">
        <v>2954</v>
      </c>
      <c r="I5001" s="49">
        <v>-29315</v>
      </c>
      <c r="J5001" s="24">
        <v>1</v>
      </c>
      <c r="K5001" s="24"/>
      <c r="L5001" s="91"/>
      <c r="M5001" s="24"/>
      <c r="N5001" s="12">
        <f t="shared" si="192"/>
        <v>1</v>
      </c>
      <c r="O5001" s="11">
        <f t="shared" si="193"/>
        <v>-29315</v>
      </c>
      <c r="P5001" s="10">
        <v>161</v>
      </c>
      <c r="Q5001" s="10" t="s">
        <v>1928</v>
      </c>
      <c r="R5001" s="50">
        <f>+テーブル1[[#This Row],[合計金額]]*テーブル1[[#This Row],[自社報酬率％]]/100</f>
        <v>-26383.5</v>
      </c>
    </row>
    <row r="5002" spans="1:18">
      <c r="A5002" s="7">
        <v>45992</v>
      </c>
      <c r="B5002" t="s">
        <v>21</v>
      </c>
      <c r="C5002" s="18" t="s">
        <v>22</v>
      </c>
      <c r="D5002" s="41">
        <v>0</v>
      </c>
      <c r="E5002" s="41">
        <v>100</v>
      </c>
      <c r="F5002" s="18"/>
      <c r="G5002" s="28">
        <v>45992</v>
      </c>
      <c r="H5002" s="26"/>
      <c r="I5002" s="49">
        <v>-385</v>
      </c>
      <c r="J5002" s="24">
        <v>1</v>
      </c>
      <c r="K5002" s="24"/>
      <c r="L5002" s="91"/>
      <c r="M5002" s="24"/>
      <c r="N5002" s="12">
        <f t="shared" si="192"/>
        <v>1</v>
      </c>
      <c r="O5002" s="11">
        <f t="shared" si="193"/>
        <v>-385</v>
      </c>
      <c r="P5002" s="10">
        <v>162</v>
      </c>
      <c r="Q5002" s="10" t="s">
        <v>1928</v>
      </c>
      <c r="R5002" s="50">
        <f>+テーブル1[[#This Row],[合計金額]]*テーブル1[[#This Row],[自社報酬率％]]/100</f>
        <v>-385</v>
      </c>
    </row>
    <row r="5003" spans="1:18">
      <c r="A5003" s="7">
        <v>45992</v>
      </c>
      <c r="B5003" t="s">
        <v>21</v>
      </c>
      <c r="C5003" s="18" t="s">
        <v>2212</v>
      </c>
      <c r="D5003" s="41">
        <v>10</v>
      </c>
      <c r="E5003" s="41">
        <v>90</v>
      </c>
      <c r="F5003" s="18"/>
      <c r="G5003" s="28">
        <v>45992</v>
      </c>
      <c r="H5003" s="26" t="s">
        <v>2953</v>
      </c>
      <c r="I5003" s="49">
        <v>-9415</v>
      </c>
      <c r="J5003" s="24">
        <v>1</v>
      </c>
      <c r="K5003" s="24"/>
      <c r="L5003" s="91"/>
      <c r="M5003" s="24"/>
      <c r="N5003" s="12">
        <f t="shared" si="192"/>
        <v>1</v>
      </c>
      <c r="O5003" s="11">
        <f t="shared" si="193"/>
        <v>-9415</v>
      </c>
      <c r="P5003" s="10">
        <v>163</v>
      </c>
      <c r="Q5003" s="10" t="s">
        <v>1928</v>
      </c>
      <c r="R5003" s="50">
        <f>+テーブル1[[#This Row],[合計金額]]*テーブル1[[#This Row],[自社報酬率％]]/100</f>
        <v>-8473.5</v>
      </c>
    </row>
    <row r="5004" spans="1:18">
      <c r="A5004" s="7">
        <v>45992</v>
      </c>
      <c r="B5004" t="s">
        <v>21</v>
      </c>
      <c r="C5004" s="18" t="s">
        <v>22</v>
      </c>
      <c r="D5004" s="41">
        <v>0</v>
      </c>
      <c r="E5004" s="41">
        <v>100</v>
      </c>
      <c r="F5004" s="18"/>
      <c r="G5004" s="28">
        <v>45992</v>
      </c>
      <c r="H5004" s="26"/>
      <c r="I5004" s="49">
        <v>-385</v>
      </c>
      <c r="J5004" s="24">
        <v>1</v>
      </c>
      <c r="K5004" s="24"/>
      <c r="L5004" s="91"/>
      <c r="M5004" s="24"/>
      <c r="N5004" s="12">
        <f t="shared" si="192"/>
        <v>1</v>
      </c>
      <c r="O5004" s="11">
        <f t="shared" si="193"/>
        <v>-385</v>
      </c>
      <c r="P5004" s="10">
        <v>164</v>
      </c>
      <c r="Q5004" s="10" t="s">
        <v>1928</v>
      </c>
      <c r="R5004" s="50">
        <f>+テーブル1[[#This Row],[合計金額]]*テーブル1[[#This Row],[自社報酬率％]]/100</f>
        <v>-385</v>
      </c>
    </row>
    <row r="5005" spans="1:18">
      <c r="A5005" s="7">
        <v>45992</v>
      </c>
      <c r="B5005" t="s">
        <v>21</v>
      </c>
      <c r="C5005" s="18" t="s">
        <v>2212</v>
      </c>
      <c r="D5005" s="41">
        <v>10</v>
      </c>
      <c r="E5005" s="41">
        <v>90</v>
      </c>
      <c r="F5005" s="18"/>
      <c r="G5005" s="28">
        <v>45992</v>
      </c>
      <c r="H5005" s="26" t="s">
        <v>2954</v>
      </c>
      <c r="I5005" s="49">
        <v>-29315</v>
      </c>
      <c r="J5005" s="24">
        <v>1</v>
      </c>
      <c r="K5005" s="24"/>
      <c r="L5005" s="91"/>
      <c r="M5005" s="24"/>
      <c r="N5005" s="12">
        <f t="shared" si="192"/>
        <v>1</v>
      </c>
      <c r="O5005" s="11">
        <f t="shared" si="193"/>
        <v>-29315</v>
      </c>
      <c r="P5005" s="10">
        <v>165</v>
      </c>
      <c r="Q5005" s="10" t="s">
        <v>1928</v>
      </c>
      <c r="R5005" s="50">
        <f>+テーブル1[[#This Row],[合計金額]]*テーブル1[[#This Row],[自社報酬率％]]/100</f>
        <v>-26383.5</v>
      </c>
    </row>
    <row r="5006" spans="1:18">
      <c r="A5006" s="7">
        <v>45992</v>
      </c>
      <c r="B5006" t="s">
        <v>21</v>
      </c>
      <c r="C5006" s="18" t="s">
        <v>22</v>
      </c>
      <c r="D5006" s="41">
        <v>0</v>
      </c>
      <c r="E5006" s="41">
        <v>100</v>
      </c>
      <c r="F5006" s="18"/>
      <c r="G5006" s="28">
        <v>45992</v>
      </c>
      <c r="H5006" s="26"/>
      <c r="I5006" s="49">
        <v>-385</v>
      </c>
      <c r="J5006" s="24">
        <v>1</v>
      </c>
      <c r="K5006" s="24"/>
      <c r="L5006" s="91"/>
      <c r="M5006" s="24"/>
      <c r="N5006" s="12">
        <f t="shared" si="192"/>
        <v>1</v>
      </c>
      <c r="O5006" s="11">
        <f t="shared" si="193"/>
        <v>-385</v>
      </c>
      <c r="P5006" s="10">
        <v>166</v>
      </c>
      <c r="Q5006" s="10" t="s">
        <v>1928</v>
      </c>
      <c r="R5006" s="50">
        <f>+テーブル1[[#This Row],[合計金額]]*テーブル1[[#This Row],[自社報酬率％]]/100</f>
        <v>-385</v>
      </c>
    </row>
    <row r="5007" spans="1:18">
      <c r="A5007" s="7">
        <v>45992</v>
      </c>
      <c r="B5007" t="s">
        <v>21</v>
      </c>
      <c r="C5007" s="18" t="s">
        <v>2212</v>
      </c>
      <c r="D5007" s="41">
        <v>10</v>
      </c>
      <c r="E5007" s="41">
        <v>90</v>
      </c>
      <c r="F5007" s="18"/>
      <c r="G5007" s="28">
        <v>45992</v>
      </c>
      <c r="H5007" s="26" t="s">
        <v>3327</v>
      </c>
      <c r="I5007" s="49">
        <v>-9415</v>
      </c>
      <c r="J5007" s="24">
        <v>1</v>
      </c>
      <c r="K5007" s="24"/>
      <c r="L5007" s="91"/>
      <c r="M5007" s="24"/>
      <c r="N5007" s="12">
        <f t="shared" si="192"/>
        <v>1</v>
      </c>
      <c r="O5007" s="11">
        <f t="shared" si="193"/>
        <v>-9415</v>
      </c>
      <c r="P5007" s="10">
        <v>167</v>
      </c>
      <c r="Q5007" s="10" t="s">
        <v>1928</v>
      </c>
      <c r="R5007" s="50">
        <f>+テーブル1[[#This Row],[合計金額]]*テーブル1[[#This Row],[自社報酬率％]]/100</f>
        <v>-8473.5</v>
      </c>
    </row>
    <row r="5008" spans="1:18">
      <c r="A5008" s="7">
        <v>45992</v>
      </c>
      <c r="B5008" t="s">
        <v>21</v>
      </c>
      <c r="C5008" s="18" t="s">
        <v>22</v>
      </c>
      <c r="D5008" s="41">
        <v>0</v>
      </c>
      <c r="E5008" s="41">
        <v>100</v>
      </c>
      <c r="F5008" s="18"/>
      <c r="G5008" s="28">
        <v>45992</v>
      </c>
      <c r="H5008" s="26"/>
      <c r="I5008" s="49">
        <v>-385</v>
      </c>
      <c r="J5008" s="24">
        <v>1</v>
      </c>
      <c r="K5008" s="24"/>
      <c r="L5008" s="91"/>
      <c r="M5008" s="24"/>
      <c r="N5008" s="12">
        <f t="shared" si="192"/>
        <v>1</v>
      </c>
      <c r="O5008" s="11">
        <f t="shared" si="193"/>
        <v>-385</v>
      </c>
      <c r="P5008" s="10">
        <v>168</v>
      </c>
      <c r="Q5008" s="10" t="s">
        <v>1928</v>
      </c>
      <c r="R5008" s="50">
        <f>+テーブル1[[#This Row],[合計金額]]*テーブル1[[#This Row],[自社報酬率％]]/100</f>
        <v>-385</v>
      </c>
    </row>
    <row r="5009" spans="1:18">
      <c r="A5009" s="7">
        <v>45992</v>
      </c>
      <c r="B5009" t="s">
        <v>21</v>
      </c>
      <c r="C5009" s="18" t="s">
        <v>2212</v>
      </c>
      <c r="D5009" s="41">
        <v>10</v>
      </c>
      <c r="E5009" s="41">
        <v>90</v>
      </c>
      <c r="F5009" s="18"/>
      <c r="G5009" s="28">
        <v>45992</v>
      </c>
      <c r="H5009" s="26" t="s">
        <v>2954</v>
      </c>
      <c r="I5009" s="49">
        <v>-29315</v>
      </c>
      <c r="J5009" s="24">
        <v>1</v>
      </c>
      <c r="K5009" s="24"/>
      <c r="L5009" s="91"/>
      <c r="M5009" s="24"/>
      <c r="N5009" s="12">
        <f t="shared" si="192"/>
        <v>1</v>
      </c>
      <c r="O5009" s="11">
        <f t="shared" si="193"/>
        <v>-29315</v>
      </c>
      <c r="P5009" s="10">
        <v>169</v>
      </c>
      <c r="Q5009" s="10" t="s">
        <v>1928</v>
      </c>
      <c r="R5009" s="50">
        <f>+テーブル1[[#This Row],[合計金額]]*テーブル1[[#This Row],[自社報酬率％]]/100</f>
        <v>-26383.5</v>
      </c>
    </row>
    <row r="5010" spans="1:18">
      <c r="A5010" s="7">
        <v>45992</v>
      </c>
      <c r="B5010" t="s">
        <v>21</v>
      </c>
      <c r="C5010" s="18" t="s">
        <v>22</v>
      </c>
      <c r="D5010" s="41">
        <v>0</v>
      </c>
      <c r="E5010" s="41">
        <v>100</v>
      </c>
      <c r="F5010" s="18"/>
      <c r="G5010" s="28">
        <v>45992</v>
      </c>
      <c r="H5010" s="26"/>
      <c r="I5010" s="49">
        <v>-385</v>
      </c>
      <c r="J5010" s="24">
        <v>1</v>
      </c>
      <c r="K5010" s="24"/>
      <c r="L5010" s="91"/>
      <c r="M5010" s="24"/>
      <c r="N5010" s="12">
        <f t="shared" si="192"/>
        <v>1</v>
      </c>
      <c r="O5010" s="11">
        <f t="shared" si="193"/>
        <v>-385</v>
      </c>
      <c r="P5010" s="10">
        <v>170</v>
      </c>
      <c r="Q5010" s="10" t="s">
        <v>1928</v>
      </c>
      <c r="R5010" s="50">
        <f>+テーブル1[[#This Row],[合計金額]]*テーブル1[[#This Row],[自社報酬率％]]/100</f>
        <v>-385</v>
      </c>
    </row>
    <row r="5011" spans="1:18">
      <c r="A5011" s="7">
        <v>45992</v>
      </c>
      <c r="B5011" t="s">
        <v>21</v>
      </c>
      <c r="C5011" s="18" t="s">
        <v>2212</v>
      </c>
      <c r="D5011" s="41">
        <v>10</v>
      </c>
      <c r="E5011" s="41">
        <v>90</v>
      </c>
      <c r="F5011" s="18"/>
      <c r="G5011" s="28">
        <v>45992</v>
      </c>
      <c r="H5011" s="26" t="s">
        <v>2954</v>
      </c>
      <c r="I5011" s="49">
        <v>-29315</v>
      </c>
      <c r="J5011" s="24">
        <v>1</v>
      </c>
      <c r="K5011" s="24"/>
      <c r="L5011" s="91"/>
      <c r="M5011" s="24"/>
      <c r="N5011" s="12">
        <f t="shared" si="192"/>
        <v>1</v>
      </c>
      <c r="O5011" s="11">
        <f t="shared" si="193"/>
        <v>-29315</v>
      </c>
      <c r="P5011" s="10">
        <v>171</v>
      </c>
      <c r="Q5011" s="10" t="s">
        <v>1928</v>
      </c>
      <c r="R5011" s="50">
        <f>+テーブル1[[#This Row],[合計金額]]*テーブル1[[#This Row],[自社報酬率％]]/100</f>
        <v>-26383.5</v>
      </c>
    </row>
    <row r="5012" spans="1:18">
      <c r="A5012" s="7">
        <v>45992</v>
      </c>
      <c r="B5012" t="s">
        <v>21</v>
      </c>
      <c r="C5012" s="18" t="s">
        <v>22</v>
      </c>
      <c r="D5012" s="41">
        <v>0</v>
      </c>
      <c r="E5012" s="41">
        <v>100</v>
      </c>
      <c r="F5012" s="18"/>
      <c r="G5012" s="28">
        <v>45992</v>
      </c>
      <c r="H5012" s="26"/>
      <c r="I5012" s="49">
        <v>-385</v>
      </c>
      <c r="J5012" s="24">
        <v>1</v>
      </c>
      <c r="K5012" s="24"/>
      <c r="L5012" s="91"/>
      <c r="M5012" s="24"/>
      <c r="N5012" s="12">
        <f t="shared" si="192"/>
        <v>1</v>
      </c>
      <c r="O5012" s="11">
        <f t="shared" si="193"/>
        <v>-385</v>
      </c>
      <c r="P5012" s="10">
        <v>172</v>
      </c>
      <c r="Q5012" s="10" t="s">
        <v>1928</v>
      </c>
      <c r="R5012" s="50">
        <f>+テーブル1[[#This Row],[合計金額]]*テーブル1[[#This Row],[自社報酬率％]]/100</f>
        <v>-385</v>
      </c>
    </row>
    <row r="5013" spans="1:18">
      <c r="A5013" s="7">
        <v>45992</v>
      </c>
      <c r="B5013" t="s">
        <v>21</v>
      </c>
      <c r="C5013" s="18" t="s">
        <v>2212</v>
      </c>
      <c r="D5013" s="41">
        <v>10</v>
      </c>
      <c r="E5013" s="41">
        <v>90</v>
      </c>
      <c r="F5013" s="18"/>
      <c r="G5013" s="28">
        <v>45992</v>
      </c>
      <c r="H5013" s="26" t="s">
        <v>2954</v>
      </c>
      <c r="I5013" s="49">
        <v>-29315</v>
      </c>
      <c r="J5013" s="24">
        <v>1</v>
      </c>
      <c r="K5013" s="24"/>
      <c r="L5013" s="91"/>
      <c r="M5013" s="24"/>
      <c r="N5013" s="12">
        <f t="shared" si="192"/>
        <v>1</v>
      </c>
      <c r="O5013" s="11">
        <f t="shared" si="193"/>
        <v>-29315</v>
      </c>
      <c r="P5013" s="10">
        <v>173</v>
      </c>
      <c r="Q5013" s="10" t="s">
        <v>1928</v>
      </c>
      <c r="R5013" s="50">
        <f>+テーブル1[[#This Row],[合計金額]]*テーブル1[[#This Row],[自社報酬率％]]/100</f>
        <v>-26383.5</v>
      </c>
    </row>
    <row r="5014" spans="1:18">
      <c r="A5014" s="7">
        <v>45992</v>
      </c>
      <c r="B5014" t="s">
        <v>21</v>
      </c>
      <c r="C5014" s="18" t="s">
        <v>22</v>
      </c>
      <c r="D5014" s="41">
        <v>0</v>
      </c>
      <c r="E5014" s="41">
        <v>100</v>
      </c>
      <c r="F5014" s="18"/>
      <c r="G5014" s="28">
        <v>45992</v>
      </c>
      <c r="H5014" s="26"/>
      <c r="I5014" s="49">
        <v>-385</v>
      </c>
      <c r="J5014" s="24">
        <v>1</v>
      </c>
      <c r="K5014" s="24"/>
      <c r="L5014" s="91"/>
      <c r="M5014" s="24"/>
      <c r="N5014" s="12">
        <f t="shared" si="192"/>
        <v>1</v>
      </c>
      <c r="O5014" s="11">
        <f t="shared" si="193"/>
        <v>-385</v>
      </c>
      <c r="P5014" s="10">
        <v>174</v>
      </c>
      <c r="Q5014" s="10" t="s">
        <v>1928</v>
      </c>
      <c r="R5014" s="50">
        <f>+テーブル1[[#This Row],[合計金額]]*テーブル1[[#This Row],[自社報酬率％]]/100</f>
        <v>-385</v>
      </c>
    </row>
    <row r="5015" spans="1:18">
      <c r="A5015" s="7">
        <v>45992</v>
      </c>
      <c r="B5015" t="s">
        <v>21</v>
      </c>
      <c r="C5015" s="18" t="s">
        <v>2212</v>
      </c>
      <c r="D5015" s="41">
        <v>10</v>
      </c>
      <c r="E5015" s="41">
        <v>90</v>
      </c>
      <c r="F5015" s="18"/>
      <c r="G5015" s="28">
        <v>45992</v>
      </c>
      <c r="H5015" s="26" t="s">
        <v>2953</v>
      </c>
      <c r="I5015" s="49">
        <v>-9415</v>
      </c>
      <c r="J5015" s="24">
        <v>1</v>
      </c>
      <c r="K5015" s="24"/>
      <c r="L5015" s="91"/>
      <c r="M5015" s="24"/>
      <c r="N5015" s="12">
        <f t="shared" si="192"/>
        <v>1</v>
      </c>
      <c r="O5015" s="11">
        <f t="shared" si="193"/>
        <v>-9415</v>
      </c>
      <c r="P5015" s="10">
        <v>175</v>
      </c>
      <c r="Q5015" s="10" t="s">
        <v>1928</v>
      </c>
      <c r="R5015" s="50">
        <f>+テーブル1[[#This Row],[合計金額]]*テーブル1[[#This Row],[自社報酬率％]]/100</f>
        <v>-8473.5</v>
      </c>
    </row>
    <row r="5016" spans="1:18">
      <c r="A5016" s="7">
        <v>45992</v>
      </c>
      <c r="B5016" t="s">
        <v>21</v>
      </c>
      <c r="C5016" s="18" t="s">
        <v>22</v>
      </c>
      <c r="D5016" s="41">
        <v>0</v>
      </c>
      <c r="E5016" s="41">
        <v>100</v>
      </c>
      <c r="F5016" s="18"/>
      <c r="G5016" s="28">
        <v>45992</v>
      </c>
      <c r="H5016" s="26"/>
      <c r="I5016" s="49">
        <v>-385</v>
      </c>
      <c r="J5016" s="24">
        <v>1</v>
      </c>
      <c r="K5016" s="24"/>
      <c r="L5016" s="91"/>
      <c r="M5016" s="24"/>
      <c r="N5016" s="12">
        <f t="shared" si="192"/>
        <v>1</v>
      </c>
      <c r="O5016" s="11">
        <f t="shared" si="193"/>
        <v>-385</v>
      </c>
      <c r="P5016" s="10">
        <v>176</v>
      </c>
      <c r="Q5016" s="10" t="s">
        <v>1928</v>
      </c>
      <c r="R5016" s="50">
        <f>+テーブル1[[#This Row],[合計金額]]*テーブル1[[#This Row],[自社報酬率％]]/100</f>
        <v>-385</v>
      </c>
    </row>
    <row r="5017" spans="1:18">
      <c r="A5017" s="7">
        <v>45992</v>
      </c>
      <c r="B5017" t="s">
        <v>21</v>
      </c>
      <c r="C5017" s="18" t="s">
        <v>2212</v>
      </c>
      <c r="D5017" s="41">
        <v>10</v>
      </c>
      <c r="E5017" s="41">
        <v>90</v>
      </c>
      <c r="F5017" s="18"/>
      <c r="G5017" s="28">
        <v>45992</v>
      </c>
      <c r="H5017" s="26" t="s">
        <v>2953</v>
      </c>
      <c r="I5017" s="49">
        <v>-9415</v>
      </c>
      <c r="J5017" s="24">
        <v>1</v>
      </c>
      <c r="K5017" s="24"/>
      <c r="L5017" s="91"/>
      <c r="M5017" s="24"/>
      <c r="N5017" s="12">
        <f t="shared" si="192"/>
        <v>1</v>
      </c>
      <c r="O5017" s="11">
        <f t="shared" si="193"/>
        <v>-9415</v>
      </c>
      <c r="P5017" s="10">
        <v>177</v>
      </c>
      <c r="Q5017" s="10" t="s">
        <v>1928</v>
      </c>
      <c r="R5017" s="50">
        <f>+テーブル1[[#This Row],[合計金額]]*テーブル1[[#This Row],[自社報酬率％]]/100</f>
        <v>-8473.5</v>
      </c>
    </row>
    <row r="5018" spans="1:18">
      <c r="A5018" s="7">
        <v>45992</v>
      </c>
      <c r="B5018" t="s">
        <v>21</v>
      </c>
      <c r="C5018" s="18" t="s">
        <v>22</v>
      </c>
      <c r="D5018" s="41">
        <v>0</v>
      </c>
      <c r="E5018" s="41">
        <v>100</v>
      </c>
      <c r="F5018" s="18"/>
      <c r="G5018" s="28">
        <v>45992</v>
      </c>
      <c r="H5018" s="26"/>
      <c r="I5018" s="49">
        <v>-385</v>
      </c>
      <c r="J5018" s="24">
        <v>1</v>
      </c>
      <c r="K5018" s="24"/>
      <c r="L5018" s="91"/>
      <c r="M5018" s="24"/>
      <c r="N5018" s="12">
        <f t="shared" si="192"/>
        <v>1</v>
      </c>
      <c r="O5018" s="11">
        <f t="shared" si="193"/>
        <v>-385</v>
      </c>
      <c r="P5018" s="10">
        <v>178</v>
      </c>
      <c r="Q5018" s="10" t="s">
        <v>1928</v>
      </c>
      <c r="R5018" s="50">
        <f>+テーブル1[[#This Row],[合計金額]]*テーブル1[[#This Row],[自社報酬率％]]/100</f>
        <v>-385</v>
      </c>
    </row>
    <row r="5019" spans="1:18">
      <c r="A5019" s="7">
        <v>45992</v>
      </c>
      <c r="B5019" t="s">
        <v>21</v>
      </c>
      <c r="C5019" s="18" t="s">
        <v>2212</v>
      </c>
      <c r="D5019" s="41">
        <v>10</v>
      </c>
      <c r="E5019" s="41">
        <v>90</v>
      </c>
      <c r="F5019" s="18"/>
      <c r="G5019" s="28">
        <v>45992</v>
      </c>
      <c r="H5019" s="26" t="s">
        <v>2953</v>
      </c>
      <c r="I5019" s="49">
        <v>-9415</v>
      </c>
      <c r="J5019" s="24">
        <v>1</v>
      </c>
      <c r="K5019" s="24"/>
      <c r="L5019" s="91"/>
      <c r="M5019" s="24"/>
      <c r="N5019" s="12">
        <f t="shared" si="192"/>
        <v>1</v>
      </c>
      <c r="O5019" s="11">
        <f t="shared" si="193"/>
        <v>-9415</v>
      </c>
      <c r="P5019" s="10">
        <v>179</v>
      </c>
      <c r="Q5019" s="10" t="s">
        <v>1928</v>
      </c>
      <c r="R5019" s="50">
        <f>+テーブル1[[#This Row],[合計金額]]*テーブル1[[#This Row],[自社報酬率％]]/100</f>
        <v>-8473.5</v>
      </c>
    </row>
    <row r="5020" spans="1:18">
      <c r="A5020" s="7">
        <v>45992</v>
      </c>
      <c r="B5020" t="s">
        <v>21</v>
      </c>
      <c r="C5020" s="18" t="s">
        <v>22</v>
      </c>
      <c r="D5020" s="41">
        <v>0</v>
      </c>
      <c r="E5020" s="41">
        <v>100</v>
      </c>
      <c r="F5020" s="18"/>
      <c r="G5020" s="28">
        <v>45992</v>
      </c>
      <c r="H5020" s="26"/>
      <c r="I5020" s="49">
        <v>-385</v>
      </c>
      <c r="J5020" s="24">
        <v>1</v>
      </c>
      <c r="K5020" s="24"/>
      <c r="L5020" s="91"/>
      <c r="M5020" s="24"/>
      <c r="N5020" s="12">
        <f t="shared" si="192"/>
        <v>1</v>
      </c>
      <c r="O5020" s="11">
        <f t="shared" si="193"/>
        <v>-385</v>
      </c>
      <c r="P5020" s="10">
        <v>180</v>
      </c>
      <c r="Q5020" s="10" t="s">
        <v>1928</v>
      </c>
      <c r="R5020" s="50">
        <f>+テーブル1[[#This Row],[合計金額]]*テーブル1[[#This Row],[自社報酬率％]]/100</f>
        <v>-385</v>
      </c>
    </row>
    <row r="5021" spans="1:18">
      <c r="A5021" s="7">
        <v>45992</v>
      </c>
      <c r="B5021" t="s">
        <v>21</v>
      </c>
      <c r="C5021" s="18" t="s">
        <v>2212</v>
      </c>
      <c r="D5021" s="41">
        <v>10</v>
      </c>
      <c r="E5021" s="41">
        <v>90</v>
      </c>
      <c r="F5021" s="18"/>
      <c r="G5021" s="28">
        <v>45992</v>
      </c>
      <c r="H5021" s="26" t="s">
        <v>2953</v>
      </c>
      <c r="I5021" s="49">
        <v>-9415</v>
      </c>
      <c r="J5021" s="24">
        <v>1</v>
      </c>
      <c r="K5021" s="24"/>
      <c r="L5021" s="91"/>
      <c r="M5021" s="24"/>
      <c r="N5021" s="12">
        <f t="shared" si="192"/>
        <v>1</v>
      </c>
      <c r="O5021" s="11">
        <f t="shared" si="193"/>
        <v>-9415</v>
      </c>
      <c r="P5021" s="10">
        <v>181</v>
      </c>
      <c r="Q5021" s="10" t="s">
        <v>1928</v>
      </c>
      <c r="R5021" s="50">
        <f>+テーブル1[[#This Row],[合計金額]]*テーブル1[[#This Row],[自社報酬率％]]/100</f>
        <v>-8473.5</v>
      </c>
    </row>
    <row r="5022" spans="1:18">
      <c r="A5022" s="7">
        <v>45992</v>
      </c>
      <c r="B5022" t="s">
        <v>21</v>
      </c>
      <c r="C5022" s="18" t="s">
        <v>22</v>
      </c>
      <c r="D5022" s="41">
        <v>0</v>
      </c>
      <c r="E5022" s="41">
        <v>100</v>
      </c>
      <c r="F5022" s="18"/>
      <c r="G5022" s="28">
        <v>45992</v>
      </c>
      <c r="H5022" s="26"/>
      <c r="I5022" s="49">
        <v>-385</v>
      </c>
      <c r="J5022" s="24">
        <v>1</v>
      </c>
      <c r="K5022" s="24"/>
      <c r="L5022" s="91"/>
      <c r="M5022" s="24"/>
      <c r="N5022" s="12">
        <f t="shared" si="192"/>
        <v>1</v>
      </c>
      <c r="O5022" s="11">
        <f t="shared" si="193"/>
        <v>-385</v>
      </c>
      <c r="P5022" s="10">
        <v>182</v>
      </c>
      <c r="Q5022" s="10" t="s">
        <v>1928</v>
      </c>
      <c r="R5022" s="50">
        <f>+テーブル1[[#This Row],[合計金額]]*テーブル1[[#This Row],[自社報酬率％]]/100</f>
        <v>-385</v>
      </c>
    </row>
    <row r="5023" spans="1:18">
      <c r="A5023" s="7">
        <v>45992</v>
      </c>
      <c r="B5023" t="s">
        <v>21</v>
      </c>
      <c r="C5023" s="18" t="s">
        <v>2212</v>
      </c>
      <c r="D5023" s="41">
        <v>10</v>
      </c>
      <c r="E5023" s="41">
        <v>90</v>
      </c>
      <c r="F5023" s="18"/>
      <c r="G5023" s="28">
        <v>45992</v>
      </c>
      <c r="H5023" s="26" t="s">
        <v>2953</v>
      </c>
      <c r="I5023" s="49">
        <v>-9415</v>
      </c>
      <c r="J5023" s="24">
        <v>1</v>
      </c>
      <c r="K5023" s="24"/>
      <c r="L5023" s="91"/>
      <c r="M5023" s="24"/>
      <c r="N5023" s="12">
        <f t="shared" si="192"/>
        <v>1</v>
      </c>
      <c r="O5023" s="11">
        <f t="shared" si="193"/>
        <v>-9415</v>
      </c>
      <c r="P5023" s="10">
        <v>183</v>
      </c>
      <c r="Q5023" s="10" t="s">
        <v>1928</v>
      </c>
      <c r="R5023" s="50">
        <f>+テーブル1[[#This Row],[合計金額]]*テーブル1[[#This Row],[自社報酬率％]]/100</f>
        <v>-8473.5</v>
      </c>
    </row>
    <row r="5024" spans="1:18">
      <c r="A5024" s="7">
        <v>45992</v>
      </c>
      <c r="B5024" t="s">
        <v>21</v>
      </c>
      <c r="C5024" s="18" t="s">
        <v>22</v>
      </c>
      <c r="D5024" s="41">
        <v>0</v>
      </c>
      <c r="E5024" s="41">
        <v>100</v>
      </c>
      <c r="F5024" s="18"/>
      <c r="G5024" s="28">
        <v>45992</v>
      </c>
      <c r="H5024" s="26"/>
      <c r="I5024" s="49">
        <v>-385</v>
      </c>
      <c r="J5024" s="24">
        <v>1</v>
      </c>
      <c r="K5024" s="24"/>
      <c r="L5024" s="91"/>
      <c r="M5024" s="24"/>
      <c r="N5024" s="12">
        <f t="shared" si="192"/>
        <v>1</v>
      </c>
      <c r="O5024" s="11">
        <f t="shared" si="193"/>
        <v>-385</v>
      </c>
      <c r="P5024" s="10">
        <v>184</v>
      </c>
      <c r="Q5024" s="10" t="s">
        <v>1928</v>
      </c>
      <c r="R5024" s="50">
        <f>+テーブル1[[#This Row],[合計金額]]*テーブル1[[#This Row],[自社報酬率％]]/100</f>
        <v>-385</v>
      </c>
    </row>
    <row r="5025" spans="1:18">
      <c r="A5025" s="7">
        <v>45992</v>
      </c>
      <c r="B5025" t="s">
        <v>21</v>
      </c>
      <c r="C5025" s="18" t="s">
        <v>2212</v>
      </c>
      <c r="D5025" s="41">
        <v>10</v>
      </c>
      <c r="E5025" s="41">
        <v>90</v>
      </c>
      <c r="F5025" s="18"/>
      <c r="G5025" s="28">
        <v>45992</v>
      </c>
      <c r="H5025" s="26" t="s">
        <v>2954</v>
      </c>
      <c r="I5025" s="49">
        <v>-29315</v>
      </c>
      <c r="J5025" s="24">
        <v>1</v>
      </c>
      <c r="K5025" s="24"/>
      <c r="L5025" s="91"/>
      <c r="M5025" s="24"/>
      <c r="N5025" s="12">
        <f t="shared" si="192"/>
        <v>1</v>
      </c>
      <c r="O5025" s="11">
        <f t="shared" si="193"/>
        <v>-29315</v>
      </c>
      <c r="P5025" s="10">
        <v>185</v>
      </c>
      <c r="Q5025" s="10" t="s">
        <v>1928</v>
      </c>
      <c r="R5025" s="50">
        <f>+テーブル1[[#This Row],[合計金額]]*テーブル1[[#This Row],[自社報酬率％]]/100</f>
        <v>-26383.5</v>
      </c>
    </row>
    <row r="5026" spans="1:18">
      <c r="A5026" s="7">
        <v>45992</v>
      </c>
      <c r="B5026" t="s">
        <v>21</v>
      </c>
      <c r="C5026" s="18" t="s">
        <v>22</v>
      </c>
      <c r="D5026" s="41">
        <v>0</v>
      </c>
      <c r="E5026" s="41">
        <v>100</v>
      </c>
      <c r="F5026" s="18"/>
      <c r="G5026" s="28">
        <v>45992</v>
      </c>
      <c r="H5026" s="26"/>
      <c r="I5026" s="49">
        <v>-385</v>
      </c>
      <c r="J5026" s="24">
        <v>1</v>
      </c>
      <c r="K5026" s="24"/>
      <c r="L5026" s="91"/>
      <c r="M5026" s="24"/>
      <c r="N5026" s="12">
        <f t="shared" si="192"/>
        <v>1</v>
      </c>
      <c r="O5026" s="11">
        <f t="shared" si="193"/>
        <v>-385</v>
      </c>
      <c r="P5026" s="10">
        <v>186</v>
      </c>
      <c r="Q5026" s="10" t="s">
        <v>1928</v>
      </c>
      <c r="R5026" s="50">
        <f>+テーブル1[[#This Row],[合計金額]]*テーブル1[[#This Row],[自社報酬率％]]/100</f>
        <v>-385</v>
      </c>
    </row>
    <row r="5027" spans="1:18">
      <c r="A5027" s="7">
        <v>45992</v>
      </c>
      <c r="B5027" t="s">
        <v>21</v>
      </c>
      <c r="C5027" s="18" t="s">
        <v>2212</v>
      </c>
      <c r="D5027" s="41">
        <v>10</v>
      </c>
      <c r="E5027" s="41">
        <v>90</v>
      </c>
      <c r="F5027" s="18"/>
      <c r="G5027" s="28">
        <v>45992</v>
      </c>
      <c r="H5027" s="26" t="s">
        <v>2953</v>
      </c>
      <c r="I5027" s="49">
        <v>-9415</v>
      </c>
      <c r="J5027" s="24">
        <v>1</v>
      </c>
      <c r="K5027" s="24"/>
      <c r="L5027" s="91"/>
      <c r="M5027" s="24"/>
      <c r="N5027" s="12">
        <f t="shared" si="192"/>
        <v>1</v>
      </c>
      <c r="O5027" s="11">
        <f t="shared" si="193"/>
        <v>-9415</v>
      </c>
      <c r="P5027" s="10">
        <v>187</v>
      </c>
      <c r="Q5027" s="10" t="s">
        <v>1928</v>
      </c>
      <c r="R5027" s="50">
        <f>+テーブル1[[#This Row],[合計金額]]*テーブル1[[#This Row],[自社報酬率％]]/100</f>
        <v>-8473.5</v>
      </c>
    </row>
    <row r="5028" spans="1:18">
      <c r="A5028" s="7">
        <v>45992</v>
      </c>
      <c r="B5028" t="s">
        <v>21</v>
      </c>
      <c r="C5028" s="18" t="s">
        <v>22</v>
      </c>
      <c r="D5028" s="41">
        <v>0</v>
      </c>
      <c r="E5028" s="41">
        <v>100</v>
      </c>
      <c r="F5028" s="18"/>
      <c r="G5028" s="28">
        <v>45992</v>
      </c>
      <c r="H5028" s="26"/>
      <c r="I5028" s="49">
        <v>-385</v>
      </c>
      <c r="J5028" s="24">
        <v>1</v>
      </c>
      <c r="K5028" s="24"/>
      <c r="L5028" s="91"/>
      <c r="M5028" s="24"/>
      <c r="N5028" s="12">
        <f t="shared" si="192"/>
        <v>1</v>
      </c>
      <c r="O5028" s="11">
        <f t="shared" si="193"/>
        <v>-385</v>
      </c>
      <c r="P5028" s="10">
        <v>188</v>
      </c>
      <c r="Q5028" s="10" t="s">
        <v>1928</v>
      </c>
      <c r="R5028" s="50">
        <f>+テーブル1[[#This Row],[合計金額]]*テーブル1[[#This Row],[自社報酬率％]]/100</f>
        <v>-385</v>
      </c>
    </row>
    <row r="5029" spans="1:18">
      <c r="A5029" s="7">
        <v>45992</v>
      </c>
      <c r="B5029" t="s">
        <v>21</v>
      </c>
      <c r="C5029" s="18" t="s">
        <v>2212</v>
      </c>
      <c r="D5029" s="41">
        <v>10</v>
      </c>
      <c r="E5029" s="41">
        <v>90</v>
      </c>
      <c r="F5029" s="18"/>
      <c r="G5029" s="28">
        <v>45992</v>
      </c>
      <c r="H5029" s="26" t="s">
        <v>2954</v>
      </c>
      <c r="I5029" s="49">
        <v>-29315</v>
      </c>
      <c r="J5029" s="24">
        <v>1</v>
      </c>
      <c r="K5029" s="24"/>
      <c r="L5029" s="91"/>
      <c r="M5029" s="24"/>
      <c r="N5029" s="12">
        <f t="shared" si="192"/>
        <v>1</v>
      </c>
      <c r="O5029" s="11">
        <f t="shared" si="193"/>
        <v>-29315</v>
      </c>
      <c r="P5029" s="10">
        <v>189</v>
      </c>
      <c r="Q5029" s="10" t="s">
        <v>1928</v>
      </c>
      <c r="R5029" s="50">
        <f>+テーブル1[[#This Row],[合計金額]]*テーブル1[[#This Row],[自社報酬率％]]/100</f>
        <v>-26383.5</v>
      </c>
    </row>
    <row r="5030" spans="1:18">
      <c r="A5030" s="7">
        <v>45992</v>
      </c>
      <c r="B5030" t="s">
        <v>21</v>
      </c>
      <c r="C5030" s="18" t="s">
        <v>22</v>
      </c>
      <c r="D5030" s="41">
        <v>0</v>
      </c>
      <c r="E5030" s="41">
        <v>100</v>
      </c>
      <c r="F5030" s="18"/>
      <c r="G5030" s="28">
        <v>45992</v>
      </c>
      <c r="H5030" s="26"/>
      <c r="I5030" s="49">
        <v>-385</v>
      </c>
      <c r="J5030" s="24">
        <v>1</v>
      </c>
      <c r="K5030" s="24"/>
      <c r="L5030" s="91"/>
      <c r="M5030" s="24"/>
      <c r="N5030" s="12">
        <f t="shared" ref="N5030:N5039" si="194">J5030-K5030-L5030-M5030</f>
        <v>1</v>
      </c>
      <c r="O5030" s="11">
        <f t="shared" si="193"/>
        <v>-385</v>
      </c>
      <c r="P5030" s="10">
        <v>190</v>
      </c>
      <c r="Q5030" s="10" t="s">
        <v>1928</v>
      </c>
      <c r="R5030" s="50">
        <f>+テーブル1[[#This Row],[合計金額]]*テーブル1[[#This Row],[自社報酬率％]]/100</f>
        <v>-385</v>
      </c>
    </row>
    <row r="5031" spans="1:18">
      <c r="A5031" s="7">
        <v>45992</v>
      </c>
      <c r="B5031" t="s">
        <v>21</v>
      </c>
      <c r="C5031" s="18" t="s">
        <v>2212</v>
      </c>
      <c r="D5031" s="41">
        <v>10</v>
      </c>
      <c r="E5031" s="41">
        <v>90</v>
      </c>
      <c r="F5031" s="18"/>
      <c r="G5031" s="28">
        <v>45992</v>
      </c>
      <c r="H5031" s="26" t="s">
        <v>2954</v>
      </c>
      <c r="I5031" s="49">
        <v>-29315</v>
      </c>
      <c r="J5031" s="24">
        <v>1</v>
      </c>
      <c r="K5031" s="24"/>
      <c r="L5031" s="91"/>
      <c r="M5031" s="24"/>
      <c r="N5031" s="12">
        <f t="shared" si="194"/>
        <v>1</v>
      </c>
      <c r="O5031" s="11">
        <f t="shared" si="193"/>
        <v>-29315</v>
      </c>
      <c r="P5031" s="10">
        <v>191</v>
      </c>
      <c r="Q5031" s="10" t="s">
        <v>1928</v>
      </c>
      <c r="R5031" s="50">
        <f>+テーブル1[[#This Row],[合計金額]]*テーブル1[[#This Row],[自社報酬率％]]/100</f>
        <v>-26383.5</v>
      </c>
    </row>
    <row r="5032" spans="1:18">
      <c r="A5032" s="7">
        <v>45992</v>
      </c>
      <c r="B5032" t="s">
        <v>21</v>
      </c>
      <c r="C5032" s="18" t="s">
        <v>22</v>
      </c>
      <c r="D5032" s="41">
        <v>0</v>
      </c>
      <c r="E5032" s="41">
        <v>100</v>
      </c>
      <c r="F5032" s="18"/>
      <c r="G5032" s="28">
        <v>45992</v>
      </c>
      <c r="H5032" s="26"/>
      <c r="I5032" s="49">
        <v>-385</v>
      </c>
      <c r="J5032" s="24">
        <v>1</v>
      </c>
      <c r="K5032" s="24"/>
      <c r="L5032" s="91"/>
      <c r="M5032" s="24"/>
      <c r="N5032" s="12">
        <f t="shared" si="194"/>
        <v>1</v>
      </c>
      <c r="O5032" s="11">
        <f t="shared" si="193"/>
        <v>-385</v>
      </c>
      <c r="P5032" s="10">
        <v>192</v>
      </c>
      <c r="Q5032" s="10" t="s">
        <v>1928</v>
      </c>
      <c r="R5032" s="50">
        <f>+テーブル1[[#This Row],[合計金額]]*テーブル1[[#This Row],[自社報酬率％]]/100</f>
        <v>-385</v>
      </c>
    </row>
    <row r="5033" spans="1:18">
      <c r="A5033" s="7">
        <v>45992</v>
      </c>
      <c r="B5033" t="s">
        <v>21</v>
      </c>
      <c r="C5033" s="18" t="s">
        <v>2212</v>
      </c>
      <c r="D5033" s="41">
        <v>10</v>
      </c>
      <c r="E5033" s="41">
        <v>90</v>
      </c>
      <c r="F5033" s="18"/>
      <c r="G5033" s="28">
        <v>45992</v>
      </c>
      <c r="H5033" s="26" t="s">
        <v>2954</v>
      </c>
      <c r="I5033" s="49">
        <v>-29315</v>
      </c>
      <c r="J5033" s="24">
        <v>1</v>
      </c>
      <c r="K5033" s="24"/>
      <c r="L5033" s="91"/>
      <c r="M5033" s="24"/>
      <c r="N5033" s="12">
        <f t="shared" si="194"/>
        <v>1</v>
      </c>
      <c r="O5033" s="11">
        <f t="shared" si="193"/>
        <v>-29315</v>
      </c>
      <c r="P5033" s="10">
        <v>193</v>
      </c>
      <c r="Q5033" s="10" t="s">
        <v>1928</v>
      </c>
      <c r="R5033" s="50">
        <f>+テーブル1[[#This Row],[合計金額]]*テーブル1[[#This Row],[自社報酬率％]]/100</f>
        <v>-26383.5</v>
      </c>
    </row>
    <row r="5034" spans="1:18">
      <c r="A5034" s="7">
        <v>45992</v>
      </c>
      <c r="B5034" t="s">
        <v>21</v>
      </c>
      <c r="C5034" s="18" t="s">
        <v>22</v>
      </c>
      <c r="D5034" s="41">
        <v>0</v>
      </c>
      <c r="E5034" s="41">
        <v>100</v>
      </c>
      <c r="F5034" s="18"/>
      <c r="G5034" s="28">
        <v>45992</v>
      </c>
      <c r="H5034" s="26"/>
      <c r="I5034" s="49">
        <v>-385</v>
      </c>
      <c r="J5034" s="24">
        <v>1</v>
      </c>
      <c r="K5034" s="24"/>
      <c r="L5034" s="91"/>
      <c r="M5034" s="24"/>
      <c r="N5034" s="12">
        <f t="shared" si="194"/>
        <v>1</v>
      </c>
      <c r="O5034" s="11">
        <f t="shared" si="193"/>
        <v>-385</v>
      </c>
      <c r="P5034" s="10">
        <v>194</v>
      </c>
      <c r="Q5034" s="10" t="s">
        <v>1928</v>
      </c>
      <c r="R5034" s="50">
        <f>+テーブル1[[#This Row],[合計金額]]*テーブル1[[#This Row],[自社報酬率％]]/100</f>
        <v>-385</v>
      </c>
    </row>
    <row r="5035" spans="1:18">
      <c r="A5035" s="7">
        <v>45992</v>
      </c>
      <c r="B5035" t="s">
        <v>21</v>
      </c>
      <c r="C5035" s="147" t="s">
        <v>44</v>
      </c>
      <c r="D5035" s="41">
        <v>100</v>
      </c>
      <c r="E5035" s="41">
        <v>100</v>
      </c>
      <c r="F5035" s="18"/>
      <c r="G5035" s="28">
        <v>45992</v>
      </c>
      <c r="H5035" s="26" t="s">
        <v>1946</v>
      </c>
      <c r="I5035" s="49">
        <v>-29975</v>
      </c>
      <c r="J5035" s="24">
        <v>1</v>
      </c>
      <c r="K5035" s="24"/>
      <c r="L5035" s="91"/>
      <c r="M5035" s="24"/>
      <c r="N5035" s="12">
        <f t="shared" si="194"/>
        <v>1</v>
      </c>
      <c r="O5035" s="11">
        <f t="shared" si="193"/>
        <v>-29975</v>
      </c>
      <c r="P5035" s="10">
        <v>195</v>
      </c>
      <c r="Q5035" s="10" t="s">
        <v>1928</v>
      </c>
      <c r="R5035" s="50">
        <f>+テーブル1[[#This Row],[合計金額]]*テーブル1[[#This Row],[自社報酬率％]]/100</f>
        <v>-29975</v>
      </c>
    </row>
    <row r="5036" spans="1:18">
      <c r="A5036" s="7">
        <v>45992</v>
      </c>
      <c r="B5036" t="s">
        <v>21</v>
      </c>
      <c r="C5036" s="18" t="s">
        <v>22</v>
      </c>
      <c r="D5036" s="41">
        <v>0</v>
      </c>
      <c r="E5036" s="41">
        <v>100</v>
      </c>
      <c r="F5036" s="18"/>
      <c r="G5036" s="28">
        <v>45992</v>
      </c>
      <c r="H5036" s="26"/>
      <c r="I5036" s="49">
        <v>-385</v>
      </c>
      <c r="J5036" s="24">
        <v>1</v>
      </c>
      <c r="K5036" s="24"/>
      <c r="L5036" s="91"/>
      <c r="M5036" s="24"/>
      <c r="N5036" s="12">
        <f t="shared" si="194"/>
        <v>1</v>
      </c>
      <c r="O5036" s="11">
        <f t="shared" si="193"/>
        <v>-385</v>
      </c>
      <c r="P5036" s="10">
        <v>196</v>
      </c>
      <c r="Q5036" s="10" t="s">
        <v>1928</v>
      </c>
      <c r="R5036" s="50">
        <f>+テーブル1[[#This Row],[合計金額]]*テーブル1[[#This Row],[自社報酬率％]]/100</f>
        <v>-385</v>
      </c>
    </row>
    <row r="5037" spans="1:18">
      <c r="A5037" s="7">
        <v>45992</v>
      </c>
      <c r="B5037" t="s">
        <v>112</v>
      </c>
      <c r="C5037" s="147" t="s">
        <v>44</v>
      </c>
      <c r="D5037" s="41">
        <v>100</v>
      </c>
      <c r="E5037" s="41">
        <v>100</v>
      </c>
      <c r="F5037" s="104" t="s">
        <v>16</v>
      </c>
      <c r="G5037" s="102">
        <v>46023</v>
      </c>
      <c r="H5037" s="26" t="s">
        <v>3213</v>
      </c>
      <c r="I5037" s="49">
        <v>3000</v>
      </c>
      <c r="J5037" s="24">
        <v>7</v>
      </c>
      <c r="K5037" s="24">
        <v>0</v>
      </c>
      <c r="L5037" s="91">
        <v>0</v>
      </c>
      <c r="M5037" s="24">
        <v>0</v>
      </c>
      <c r="N5037" s="100">
        <f t="shared" si="194"/>
        <v>7</v>
      </c>
      <c r="O5037" s="11">
        <f t="shared" ref="O5037:O5065" si="195">+I5037*N5037</f>
        <v>21000</v>
      </c>
      <c r="P5037" s="10">
        <v>347</v>
      </c>
      <c r="Q5037" s="10" t="s">
        <v>1928</v>
      </c>
      <c r="R5037" s="50">
        <f>+テーブル1[[#This Row],[合計金額]]*テーブル1[[#This Row],[自社報酬率％]]/100</f>
        <v>21000</v>
      </c>
    </row>
    <row r="5038" spans="1:18">
      <c r="A5038" s="7">
        <v>45992</v>
      </c>
      <c r="B5038" t="s">
        <v>112</v>
      </c>
      <c r="C5038" s="147" t="s">
        <v>44</v>
      </c>
      <c r="D5038" s="41">
        <v>100</v>
      </c>
      <c r="E5038" s="41">
        <v>100</v>
      </c>
      <c r="F5038" s="104" t="s">
        <v>16</v>
      </c>
      <c r="G5038" s="102">
        <v>46023</v>
      </c>
      <c r="H5038" s="26" t="s">
        <v>3328</v>
      </c>
      <c r="I5038" s="49">
        <v>6300</v>
      </c>
      <c r="J5038" s="24">
        <v>1</v>
      </c>
      <c r="K5038" s="24">
        <v>0</v>
      </c>
      <c r="L5038" s="91">
        <v>0</v>
      </c>
      <c r="M5038" s="24">
        <v>0</v>
      </c>
      <c r="N5038" s="100">
        <f t="shared" si="194"/>
        <v>1</v>
      </c>
      <c r="O5038" s="11">
        <f t="shared" si="195"/>
        <v>6300</v>
      </c>
      <c r="P5038" s="10">
        <v>348</v>
      </c>
      <c r="Q5038" s="10" t="s">
        <v>1928</v>
      </c>
      <c r="R5038" s="50">
        <f>+テーブル1[[#This Row],[合計金額]]*テーブル1[[#This Row],[自社報酬率％]]/100</f>
        <v>6300</v>
      </c>
    </row>
    <row r="5039" spans="1:18">
      <c r="A5039" s="7">
        <v>45992</v>
      </c>
      <c r="B5039" t="s">
        <v>112</v>
      </c>
      <c r="C5039" s="147" t="s">
        <v>44</v>
      </c>
      <c r="D5039" s="41">
        <v>100</v>
      </c>
      <c r="E5039" s="41">
        <v>100</v>
      </c>
      <c r="F5039" s="105" t="s">
        <v>20</v>
      </c>
      <c r="G5039" s="28">
        <v>45992</v>
      </c>
      <c r="H5039" s="26" t="s">
        <v>3074</v>
      </c>
      <c r="I5039" s="49">
        <v>217800</v>
      </c>
      <c r="J5039" s="24">
        <v>1</v>
      </c>
      <c r="K5039" s="24">
        <v>0</v>
      </c>
      <c r="L5039" s="91">
        <v>0</v>
      </c>
      <c r="M5039" s="24">
        <v>0</v>
      </c>
      <c r="N5039" s="100">
        <f t="shared" si="194"/>
        <v>1</v>
      </c>
      <c r="O5039" s="11">
        <f t="shared" si="195"/>
        <v>217800</v>
      </c>
      <c r="P5039" s="10">
        <v>349</v>
      </c>
      <c r="Q5039" s="10" t="s">
        <v>1928</v>
      </c>
      <c r="R5039" s="50">
        <f>+テーブル1[[#This Row],[合計金額]]*テーブル1[[#This Row],[自社報酬率％]]/100</f>
        <v>217800</v>
      </c>
    </row>
    <row r="5040" spans="1:18">
      <c r="A5040" s="7">
        <v>45992</v>
      </c>
      <c r="B5040" t="s">
        <v>112</v>
      </c>
      <c r="C5040" s="18" t="s">
        <v>2043</v>
      </c>
      <c r="D5040" s="41">
        <v>60</v>
      </c>
      <c r="E5040" s="41">
        <v>40</v>
      </c>
      <c r="F5040" s="18" t="s">
        <v>17</v>
      </c>
      <c r="G5040" s="28">
        <v>45992</v>
      </c>
      <c r="H5040" s="26" t="s">
        <v>3329</v>
      </c>
      <c r="I5040" s="49">
        <v>349200</v>
      </c>
      <c r="J5040" s="24">
        <v>2</v>
      </c>
      <c r="K5040" s="24">
        <v>0</v>
      </c>
      <c r="L5040" s="91">
        <v>0</v>
      </c>
      <c r="M5040" s="24">
        <v>0</v>
      </c>
      <c r="N5040" s="12">
        <f>J5040-K5040-L5040-M5040</f>
        <v>2</v>
      </c>
      <c r="O5040" s="11">
        <f t="shared" si="195"/>
        <v>698400</v>
      </c>
      <c r="P5040" s="10">
        <v>350</v>
      </c>
      <c r="Q5040" s="10" t="s">
        <v>1928</v>
      </c>
      <c r="R5040" s="50">
        <f>+テーブル1[[#This Row],[合計金額]]*テーブル1[[#This Row],[自社報酬率％]]/100</f>
        <v>279360</v>
      </c>
    </row>
    <row r="5041" spans="1:18">
      <c r="A5041" s="7">
        <v>45992</v>
      </c>
      <c r="B5041" t="s">
        <v>112</v>
      </c>
      <c r="C5041" s="18" t="s">
        <v>2043</v>
      </c>
      <c r="D5041" s="41">
        <v>60</v>
      </c>
      <c r="E5041" s="41">
        <v>40</v>
      </c>
      <c r="F5041" s="18" t="s">
        <v>17</v>
      </c>
      <c r="G5041" s="28">
        <v>45992</v>
      </c>
      <c r="H5041" s="26" t="s">
        <v>3324</v>
      </c>
      <c r="I5041" s="49">
        <v>349200</v>
      </c>
      <c r="J5041" s="24">
        <v>2</v>
      </c>
      <c r="K5041" s="24">
        <v>0</v>
      </c>
      <c r="L5041" s="91">
        <v>0</v>
      </c>
      <c r="M5041" s="24">
        <v>0</v>
      </c>
      <c r="N5041" s="12">
        <f t="shared" ref="N5041:N5065" si="196">J5041-K5041-L5041-M5041</f>
        <v>2</v>
      </c>
      <c r="O5041" s="11">
        <f t="shared" si="195"/>
        <v>698400</v>
      </c>
      <c r="P5041" s="10">
        <v>351</v>
      </c>
      <c r="Q5041" s="10" t="s">
        <v>1928</v>
      </c>
      <c r="R5041" s="50">
        <f>+テーブル1[[#This Row],[合計金額]]*テーブル1[[#This Row],[自社報酬率％]]/100</f>
        <v>279360</v>
      </c>
    </row>
    <row r="5042" spans="1:18">
      <c r="A5042" s="7">
        <v>45992</v>
      </c>
      <c r="B5042" t="s">
        <v>112</v>
      </c>
      <c r="C5042" s="18" t="s">
        <v>2043</v>
      </c>
      <c r="D5042" s="41">
        <v>60</v>
      </c>
      <c r="E5042" s="41">
        <v>40</v>
      </c>
      <c r="F5042" s="18" t="s">
        <v>19</v>
      </c>
      <c r="G5042" s="28">
        <v>45992</v>
      </c>
      <c r="H5042" s="26" t="s">
        <v>3330</v>
      </c>
      <c r="I5042" s="49">
        <v>198000</v>
      </c>
      <c r="J5042" s="24">
        <v>1</v>
      </c>
      <c r="K5042" s="24">
        <v>0</v>
      </c>
      <c r="L5042" s="91">
        <v>0</v>
      </c>
      <c r="M5042" s="24">
        <v>0</v>
      </c>
      <c r="N5042" s="12">
        <f t="shared" si="196"/>
        <v>1</v>
      </c>
      <c r="O5042" s="11">
        <f t="shared" si="195"/>
        <v>198000</v>
      </c>
      <c r="P5042" s="10">
        <v>352</v>
      </c>
      <c r="Q5042" s="10" t="s">
        <v>1928</v>
      </c>
      <c r="R5042" s="50">
        <f>+テーブル1[[#This Row],[合計金額]]*テーブル1[[#This Row],[自社報酬率％]]/100</f>
        <v>79200</v>
      </c>
    </row>
    <row r="5043" spans="1:18">
      <c r="A5043" s="7">
        <v>45992</v>
      </c>
      <c r="B5043" t="s">
        <v>112</v>
      </c>
      <c r="C5043" s="18" t="s">
        <v>2043</v>
      </c>
      <c r="D5043" s="41">
        <v>60</v>
      </c>
      <c r="E5043" s="41">
        <v>40</v>
      </c>
      <c r="F5043" s="18" t="s">
        <v>19</v>
      </c>
      <c r="G5043" s="28">
        <v>45992</v>
      </c>
      <c r="H5043" s="26" t="s">
        <v>3331</v>
      </c>
      <c r="I5043" s="49">
        <v>198000</v>
      </c>
      <c r="J5043" s="24">
        <v>1</v>
      </c>
      <c r="K5043" s="24">
        <v>0</v>
      </c>
      <c r="L5043" s="91">
        <v>0</v>
      </c>
      <c r="M5043" s="24">
        <v>0</v>
      </c>
      <c r="N5043" s="12">
        <f t="shared" si="196"/>
        <v>1</v>
      </c>
      <c r="O5043" s="11">
        <f t="shared" si="195"/>
        <v>198000</v>
      </c>
      <c r="P5043" s="10">
        <v>353</v>
      </c>
      <c r="Q5043" s="10" t="s">
        <v>1928</v>
      </c>
      <c r="R5043" s="50">
        <f>+テーブル1[[#This Row],[合計金額]]*テーブル1[[#This Row],[自社報酬率％]]/100</f>
        <v>79200</v>
      </c>
    </row>
    <row r="5044" spans="1:18">
      <c r="A5044" s="7">
        <v>45992</v>
      </c>
      <c r="B5044" t="s">
        <v>112</v>
      </c>
      <c r="C5044" s="101" t="s">
        <v>2043</v>
      </c>
      <c r="D5044" s="41">
        <v>60</v>
      </c>
      <c r="E5044" s="41">
        <v>40</v>
      </c>
      <c r="F5044" s="101" t="s">
        <v>16</v>
      </c>
      <c r="G5044" s="102">
        <v>46023</v>
      </c>
      <c r="H5044" s="26" t="s">
        <v>3313</v>
      </c>
      <c r="I5044" s="49">
        <v>10780</v>
      </c>
      <c r="J5044" s="24">
        <v>5</v>
      </c>
      <c r="K5044" s="24">
        <v>0</v>
      </c>
      <c r="L5044" s="91">
        <v>0</v>
      </c>
      <c r="M5044" s="24">
        <v>0</v>
      </c>
      <c r="N5044" s="12">
        <f t="shared" si="196"/>
        <v>5</v>
      </c>
      <c r="O5044" s="11">
        <f t="shared" si="195"/>
        <v>53900</v>
      </c>
      <c r="P5044" s="10">
        <v>354</v>
      </c>
      <c r="Q5044" s="10" t="s">
        <v>1928</v>
      </c>
      <c r="R5044" s="50">
        <f>+テーブル1[[#This Row],[合計金額]]*テーブル1[[#This Row],[自社報酬率％]]/100</f>
        <v>21560</v>
      </c>
    </row>
    <row r="5045" spans="1:18">
      <c r="A5045" s="7">
        <v>45992</v>
      </c>
      <c r="B5045" t="s">
        <v>112</v>
      </c>
      <c r="C5045" s="101" t="s">
        <v>2043</v>
      </c>
      <c r="D5045" s="41">
        <v>60</v>
      </c>
      <c r="E5045" s="41">
        <v>40</v>
      </c>
      <c r="F5045" s="101" t="s">
        <v>16</v>
      </c>
      <c r="G5045" s="102">
        <v>46023</v>
      </c>
      <c r="H5045" s="26" t="s">
        <v>3315</v>
      </c>
      <c r="I5045" s="49">
        <v>10780</v>
      </c>
      <c r="J5045" s="24">
        <v>7</v>
      </c>
      <c r="K5045" s="24">
        <v>0</v>
      </c>
      <c r="L5045" s="91">
        <v>0</v>
      </c>
      <c r="M5045" s="24">
        <v>0</v>
      </c>
      <c r="N5045" s="12">
        <f t="shared" si="196"/>
        <v>7</v>
      </c>
      <c r="O5045" s="11">
        <f t="shared" si="195"/>
        <v>75460</v>
      </c>
      <c r="P5045" s="10">
        <v>355</v>
      </c>
      <c r="Q5045" s="10" t="s">
        <v>1928</v>
      </c>
      <c r="R5045" s="50">
        <f>+テーブル1[[#This Row],[合計金額]]*テーブル1[[#This Row],[自社報酬率％]]/100</f>
        <v>30184</v>
      </c>
    </row>
    <row r="5046" spans="1:18">
      <c r="A5046" s="7">
        <v>45992</v>
      </c>
      <c r="B5046" t="s">
        <v>112</v>
      </c>
      <c r="C5046" s="101" t="s">
        <v>2048</v>
      </c>
      <c r="D5046" s="41">
        <v>50</v>
      </c>
      <c r="E5046" s="41">
        <v>50</v>
      </c>
      <c r="F5046" s="101" t="s">
        <v>16</v>
      </c>
      <c r="G5046" s="102">
        <v>46023</v>
      </c>
      <c r="H5046" s="26" t="s">
        <v>3332</v>
      </c>
      <c r="I5046" s="49">
        <v>27000</v>
      </c>
      <c r="J5046" s="24">
        <v>1</v>
      </c>
      <c r="K5046" s="24">
        <v>0</v>
      </c>
      <c r="L5046" s="91">
        <v>0</v>
      </c>
      <c r="M5046" s="24">
        <v>0</v>
      </c>
      <c r="N5046" s="12">
        <f t="shared" si="196"/>
        <v>1</v>
      </c>
      <c r="O5046" s="11">
        <f t="shared" si="195"/>
        <v>27000</v>
      </c>
      <c r="P5046" s="10">
        <v>356</v>
      </c>
      <c r="Q5046" s="10" t="s">
        <v>1928</v>
      </c>
      <c r="R5046" s="50">
        <f>+テーブル1[[#This Row],[合計金額]]*テーブル1[[#This Row],[自社報酬率％]]/100</f>
        <v>13500</v>
      </c>
    </row>
    <row r="5047" spans="1:18">
      <c r="A5047" s="7">
        <v>45992</v>
      </c>
      <c r="B5047" t="s">
        <v>112</v>
      </c>
      <c r="C5047" s="101" t="s">
        <v>2045</v>
      </c>
      <c r="D5047" s="41">
        <v>40</v>
      </c>
      <c r="E5047" s="41">
        <v>60</v>
      </c>
      <c r="F5047" s="101" t="s">
        <v>16</v>
      </c>
      <c r="G5047" s="102">
        <v>46023</v>
      </c>
      <c r="H5047" s="26" t="s">
        <v>3314</v>
      </c>
      <c r="I5047" s="49">
        <v>16500</v>
      </c>
      <c r="J5047" s="24">
        <v>2</v>
      </c>
      <c r="K5047" s="24">
        <v>0</v>
      </c>
      <c r="L5047" s="91">
        <v>0</v>
      </c>
      <c r="M5047" s="24">
        <v>0</v>
      </c>
      <c r="N5047" s="12">
        <f t="shared" si="196"/>
        <v>2</v>
      </c>
      <c r="O5047" s="11">
        <f t="shared" si="195"/>
        <v>33000</v>
      </c>
      <c r="P5047" s="10">
        <v>357</v>
      </c>
      <c r="Q5047" s="10" t="s">
        <v>1928</v>
      </c>
      <c r="R5047" s="50">
        <f>+テーブル1[[#This Row],[合計金額]]*テーブル1[[#This Row],[自社報酬率％]]/100</f>
        <v>19800</v>
      </c>
    </row>
    <row r="5048" spans="1:18">
      <c r="A5048" s="7">
        <v>45992</v>
      </c>
      <c r="B5048" t="s">
        <v>112</v>
      </c>
      <c r="C5048" s="101" t="s">
        <v>2050</v>
      </c>
      <c r="D5048" s="41">
        <v>50</v>
      </c>
      <c r="E5048" s="41">
        <v>50</v>
      </c>
      <c r="F5048" s="101" t="s">
        <v>16</v>
      </c>
      <c r="G5048" s="102">
        <v>46023</v>
      </c>
      <c r="H5048" s="26" t="s">
        <v>3316</v>
      </c>
      <c r="I5048" s="49">
        <v>9800</v>
      </c>
      <c r="J5048" s="24">
        <v>2</v>
      </c>
      <c r="K5048" s="24">
        <v>0</v>
      </c>
      <c r="L5048" s="91">
        <v>0</v>
      </c>
      <c r="M5048" s="24">
        <v>0</v>
      </c>
      <c r="N5048" s="12">
        <f t="shared" si="196"/>
        <v>2</v>
      </c>
      <c r="O5048" s="11">
        <f t="shared" si="195"/>
        <v>19600</v>
      </c>
      <c r="P5048" s="10">
        <v>358</v>
      </c>
      <c r="Q5048" s="10" t="s">
        <v>1928</v>
      </c>
      <c r="R5048" s="50">
        <f>+テーブル1[[#This Row],[合計金額]]*テーブル1[[#This Row],[自社報酬率％]]/100</f>
        <v>9800</v>
      </c>
    </row>
    <row r="5049" spans="1:18">
      <c r="A5049" s="7">
        <v>45992</v>
      </c>
      <c r="B5049" t="s">
        <v>112</v>
      </c>
      <c r="C5049" s="18" t="s">
        <v>2050</v>
      </c>
      <c r="D5049" s="41">
        <v>50</v>
      </c>
      <c r="E5049" s="41">
        <v>50</v>
      </c>
      <c r="F5049" s="18" t="s">
        <v>20</v>
      </c>
      <c r="G5049" s="28">
        <v>45992</v>
      </c>
      <c r="H5049" s="26" t="s">
        <v>2422</v>
      </c>
      <c r="I5049" s="49">
        <v>298000</v>
      </c>
      <c r="J5049" s="24">
        <v>1</v>
      </c>
      <c r="K5049" s="24">
        <v>0</v>
      </c>
      <c r="L5049" s="91">
        <v>0</v>
      </c>
      <c r="M5049" s="24">
        <v>0</v>
      </c>
      <c r="N5049" s="12">
        <f t="shared" si="196"/>
        <v>1</v>
      </c>
      <c r="O5049" s="11">
        <f t="shared" si="195"/>
        <v>298000</v>
      </c>
      <c r="P5049" s="10">
        <v>359</v>
      </c>
      <c r="Q5049" s="10" t="s">
        <v>1928</v>
      </c>
      <c r="R5049" s="50">
        <f>+テーブル1[[#This Row],[合計金額]]*テーブル1[[#This Row],[自社報酬率％]]/100</f>
        <v>149000</v>
      </c>
    </row>
    <row r="5050" spans="1:18">
      <c r="A5050" s="7">
        <v>45992</v>
      </c>
      <c r="B5050" t="s">
        <v>112</v>
      </c>
      <c r="C5050" s="101" t="s">
        <v>2038</v>
      </c>
      <c r="D5050" s="41">
        <v>50</v>
      </c>
      <c r="E5050" s="41">
        <v>50</v>
      </c>
      <c r="F5050" s="101" t="s">
        <v>16</v>
      </c>
      <c r="G5050" s="102">
        <v>46023</v>
      </c>
      <c r="H5050" s="26" t="s">
        <v>3333</v>
      </c>
      <c r="I5050" s="49">
        <v>30000</v>
      </c>
      <c r="J5050" s="24">
        <v>1</v>
      </c>
      <c r="K5050" s="24">
        <v>0</v>
      </c>
      <c r="L5050" s="91">
        <v>0</v>
      </c>
      <c r="M5050" s="24">
        <v>0</v>
      </c>
      <c r="N5050" s="12">
        <f t="shared" si="196"/>
        <v>1</v>
      </c>
      <c r="O5050" s="11">
        <f t="shared" si="195"/>
        <v>30000</v>
      </c>
      <c r="P5050" s="10">
        <v>360</v>
      </c>
      <c r="Q5050" s="10" t="s">
        <v>1928</v>
      </c>
      <c r="R5050" s="50">
        <f>+テーブル1[[#This Row],[合計金額]]*テーブル1[[#This Row],[自社報酬率％]]/100</f>
        <v>15000</v>
      </c>
    </row>
    <row r="5051" spans="1:18">
      <c r="A5051" s="7">
        <v>45992</v>
      </c>
      <c r="B5051" t="s">
        <v>118</v>
      </c>
      <c r="C5051" s="18" t="s">
        <v>2050</v>
      </c>
      <c r="D5051" s="41">
        <v>50</v>
      </c>
      <c r="E5051" s="41">
        <v>50</v>
      </c>
      <c r="F5051" s="18" t="s">
        <v>17</v>
      </c>
      <c r="G5051" s="28">
        <v>45992</v>
      </c>
      <c r="H5051" s="26" t="s">
        <v>2757</v>
      </c>
      <c r="I5051" s="49">
        <v>398000</v>
      </c>
      <c r="J5051" s="24">
        <v>3</v>
      </c>
      <c r="K5051" s="24">
        <v>0</v>
      </c>
      <c r="L5051" s="91">
        <v>0</v>
      </c>
      <c r="M5051" s="24">
        <v>0</v>
      </c>
      <c r="N5051" s="12">
        <f t="shared" si="196"/>
        <v>3</v>
      </c>
      <c r="O5051" s="11">
        <f t="shared" si="195"/>
        <v>1194000</v>
      </c>
      <c r="P5051" s="10">
        <v>18</v>
      </c>
      <c r="Q5051" s="10" t="s">
        <v>1928</v>
      </c>
      <c r="R5051" s="50">
        <f>+テーブル1[[#This Row],[合計金額]]*テーブル1[[#This Row],[自社報酬率％]]/100</f>
        <v>597000</v>
      </c>
    </row>
    <row r="5052" spans="1:18">
      <c r="A5052" s="7">
        <v>45992</v>
      </c>
      <c r="B5052" t="s">
        <v>118</v>
      </c>
      <c r="C5052" s="18" t="s">
        <v>2050</v>
      </c>
      <c r="D5052" s="41">
        <v>50</v>
      </c>
      <c r="E5052" s="41">
        <v>50</v>
      </c>
      <c r="F5052" s="18" t="s">
        <v>20</v>
      </c>
      <c r="G5052" s="28">
        <v>45992</v>
      </c>
      <c r="H5052" s="26" t="s">
        <v>2422</v>
      </c>
      <c r="I5052" s="49">
        <v>298000</v>
      </c>
      <c r="J5052" s="24">
        <v>9</v>
      </c>
      <c r="K5052" s="24">
        <v>0</v>
      </c>
      <c r="L5052" s="91">
        <v>0</v>
      </c>
      <c r="M5052" s="24">
        <v>0</v>
      </c>
      <c r="N5052" s="12">
        <f t="shared" si="196"/>
        <v>9</v>
      </c>
      <c r="O5052" s="11">
        <f t="shared" si="195"/>
        <v>2682000</v>
      </c>
      <c r="P5052" s="10">
        <v>19</v>
      </c>
      <c r="Q5052" s="10" t="s">
        <v>1928</v>
      </c>
      <c r="R5052" s="50">
        <f>+テーブル1[[#This Row],[合計金額]]*テーブル1[[#This Row],[自社報酬率％]]/100</f>
        <v>1341000</v>
      </c>
    </row>
    <row r="5053" spans="1:18">
      <c r="A5053" s="7">
        <v>45992</v>
      </c>
      <c r="B5053" t="s">
        <v>118</v>
      </c>
      <c r="C5053" s="18" t="s">
        <v>2050</v>
      </c>
      <c r="D5053" s="41">
        <v>50</v>
      </c>
      <c r="E5053" s="41">
        <v>50</v>
      </c>
      <c r="F5053" s="18" t="s">
        <v>20</v>
      </c>
      <c r="G5053" s="28">
        <v>45992</v>
      </c>
      <c r="H5053" s="26" t="s">
        <v>2422</v>
      </c>
      <c r="I5053" s="49">
        <v>298000</v>
      </c>
      <c r="J5053" s="24">
        <v>1</v>
      </c>
      <c r="K5053" s="24">
        <v>0</v>
      </c>
      <c r="L5053" s="91">
        <v>0</v>
      </c>
      <c r="M5053" s="24">
        <v>0</v>
      </c>
      <c r="N5053" s="12">
        <f t="shared" si="196"/>
        <v>1</v>
      </c>
      <c r="O5053" s="11">
        <f t="shared" si="195"/>
        <v>298000</v>
      </c>
      <c r="P5053" s="10">
        <v>20</v>
      </c>
      <c r="Q5053" s="10" t="s">
        <v>1928</v>
      </c>
      <c r="R5053" s="50">
        <f>+テーブル1[[#This Row],[合計金額]]*テーブル1[[#This Row],[自社報酬率％]]/100</f>
        <v>149000</v>
      </c>
    </row>
    <row r="5054" spans="1:18">
      <c r="A5054" s="7">
        <v>45992</v>
      </c>
      <c r="B5054" t="s">
        <v>118</v>
      </c>
      <c r="C5054" s="18" t="s">
        <v>2050</v>
      </c>
      <c r="D5054" s="41">
        <v>50</v>
      </c>
      <c r="E5054" s="41">
        <v>50</v>
      </c>
      <c r="F5054" s="18" t="s">
        <v>20</v>
      </c>
      <c r="G5054" s="28">
        <v>45992</v>
      </c>
      <c r="H5054" s="26" t="s">
        <v>2422</v>
      </c>
      <c r="I5054" s="49">
        <v>298000</v>
      </c>
      <c r="J5054" s="24">
        <v>6</v>
      </c>
      <c r="K5054" s="24">
        <v>0</v>
      </c>
      <c r="L5054" s="91">
        <v>0</v>
      </c>
      <c r="M5054" s="24">
        <v>0</v>
      </c>
      <c r="N5054" s="12">
        <f t="shared" si="196"/>
        <v>6</v>
      </c>
      <c r="O5054" s="11">
        <f t="shared" si="195"/>
        <v>1788000</v>
      </c>
      <c r="P5054" s="10">
        <v>21</v>
      </c>
      <c r="Q5054" s="10" t="s">
        <v>1928</v>
      </c>
      <c r="R5054" s="50">
        <f>+テーブル1[[#This Row],[合計金額]]*テーブル1[[#This Row],[自社報酬率％]]/100</f>
        <v>894000</v>
      </c>
    </row>
    <row r="5055" spans="1:18">
      <c r="A5055" s="7">
        <v>45992</v>
      </c>
      <c r="B5055" t="s">
        <v>118</v>
      </c>
      <c r="C5055" s="18" t="s">
        <v>2050</v>
      </c>
      <c r="D5055" s="41">
        <v>50</v>
      </c>
      <c r="E5055" s="41">
        <v>50</v>
      </c>
      <c r="F5055" s="18" t="s">
        <v>20</v>
      </c>
      <c r="G5055" s="28">
        <v>45992</v>
      </c>
      <c r="H5055" s="26" t="s">
        <v>2422</v>
      </c>
      <c r="I5055" s="49">
        <v>298000</v>
      </c>
      <c r="J5055" s="24">
        <v>2</v>
      </c>
      <c r="K5055" s="24">
        <v>0</v>
      </c>
      <c r="L5055" s="91">
        <v>0</v>
      </c>
      <c r="M5055" s="24">
        <v>0</v>
      </c>
      <c r="N5055" s="12">
        <f t="shared" si="196"/>
        <v>2</v>
      </c>
      <c r="O5055" s="11">
        <f t="shared" si="195"/>
        <v>596000</v>
      </c>
      <c r="P5055" s="10">
        <v>22</v>
      </c>
      <c r="Q5055" s="10" t="s">
        <v>1928</v>
      </c>
      <c r="R5055" s="50">
        <f>+テーブル1[[#This Row],[合計金額]]*テーブル1[[#This Row],[自社報酬率％]]/100</f>
        <v>298000</v>
      </c>
    </row>
    <row r="5056" spans="1:18">
      <c r="A5056" s="7">
        <v>45992</v>
      </c>
      <c r="B5056" t="s">
        <v>1929</v>
      </c>
      <c r="C5056" s="147" t="s">
        <v>44</v>
      </c>
      <c r="D5056" s="41">
        <v>100</v>
      </c>
      <c r="E5056" s="41">
        <v>100</v>
      </c>
      <c r="F5056" s="105" t="s">
        <v>17</v>
      </c>
      <c r="G5056" s="28">
        <v>45992</v>
      </c>
      <c r="H5056" s="26" t="s">
        <v>1930</v>
      </c>
      <c r="I5056" s="49">
        <v>359700</v>
      </c>
      <c r="J5056" s="24">
        <v>4</v>
      </c>
      <c r="K5056" s="24">
        <v>0</v>
      </c>
      <c r="L5056" s="91">
        <v>0</v>
      </c>
      <c r="M5056" s="24">
        <v>0</v>
      </c>
      <c r="N5056" s="100">
        <f t="shared" si="196"/>
        <v>4</v>
      </c>
      <c r="O5056" s="11">
        <f t="shared" si="195"/>
        <v>1438800</v>
      </c>
      <c r="P5056" s="10">
        <v>22</v>
      </c>
      <c r="Q5056" s="10" t="s">
        <v>1928</v>
      </c>
      <c r="R5056" s="50">
        <f>+テーブル1[[#This Row],[合計金額]]*テーブル1[[#This Row],[自社報酬率％]]/100</f>
        <v>1438800</v>
      </c>
    </row>
    <row r="5057" spans="1:18">
      <c r="A5057" s="7">
        <v>45992</v>
      </c>
      <c r="B5057" t="s">
        <v>1929</v>
      </c>
      <c r="C5057" s="147" t="s">
        <v>44</v>
      </c>
      <c r="D5057" s="41">
        <v>100</v>
      </c>
      <c r="E5057" s="41">
        <v>100</v>
      </c>
      <c r="F5057" s="105" t="s">
        <v>17</v>
      </c>
      <c r="G5057" s="28">
        <v>45992</v>
      </c>
      <c r="H5057" s="26" t="s">
        <v>3032</v>
      </c>
      <c r="I5057" s="49">
        <v>286000</v>
      </c>
      <c r="J5057" s="24">
        <v>12</v>
      </c>
      <c r="K5057" s="24">
        <v>0</v>
      </c>
      <c r="L5057" s="91">
        <v>0</v>
      </c>
      <c r="M5057" s="24">
        <v>0</v>
      </c>
      <c r="N5057" s="100">
        <f t="shared" si="196"/>
        <v>12</v>
      </c>
      <c r="O5057" s="11">
        <f t="shared" si="195"/>
        <v>3432000</v>
      </c>
      <c r="P5057" s="10">
        <v>23</v>
      </c>
      <c r="Q5057" s="10" t="s">
        <v>1928</v>
      </c>
      <c r="R5057" s="50">
        <f>+テーブル1[[#This Row],[合計金額]]*テーブル1[[#This Row],[自社報酬率％]]/100</f>
        <v>3432000</v>
      </c>
    </row>
    <row r="5058" spans="1:18">
      <c r="A5058" s="7">
        <v>45992</v>
      </c>
      <c r="B5058" t="s">
        <v>1929</v>
      </c>
      <c r="C5058" s="18" t="s">
        <v>2212</v>
      </c>
      <c r="D5058" s="41">
        <v>10</v>
      </c>
      <c r="E5058" s="41">
        <v>90</v>
      </c>
      <c r="F5058" s="18" t="s">
        <v>29</v>
      </c>
      <c r="G5058" s="28">
        <v>45992</v>
      </c>
      <c r="H5058" s="26" t="s">
        <v>2953</v>
      </c>
      <c r="I5058" s="49">
        <v>9800</v>
      </c>
      <c r="J5058" s="24">
        <v>69</v>
      </c>
      <c r="K5058" s="24">
        <v>0</v>
      </c>
      <c r="L5058" s="91">
        <v>0</v>
      </c>
      <c r="M5058" s="24">
        <v>0</v>
      </c>
      <c r="N5058" s="12">
        <f t="shared" si="196"/>
        <v>69</v>
      </c>
      <c r="O5058" s="11">
        <f t="shared" si="195"/>
        <v>676200</v>
      </c>
      <c r="P5058" s="10">
        <v>24</v>
      </c>
      <c r="Q5058" s="10" t="s">
        <v>1928</v>
      </c>
      <c r="R5058" s="50">
        <f>+テーブル1[[#This Row],[合計金額]]*テーブル1[[#This Row],[自社報酬率％]]/100</f>
        <v>608580</v>
      </c>
    </row>
    <row r="5059" spans="1:18">
      <c r="A5059" s="7">
        <v>45992</v>
      </c>
      <c r="B5059" t="s">
        <v>1929</v>
      </c>
      <c r="C5059" s="18" t="s">
        <v>2212</v>
      </c>
      <c r="D5059" s="41">
        <v>10</v>
      </c>
      <c r="E5059" s="41">
        <v>90</v>
      </c>
      <c r="F5059" s="18" t="s">
        <v>29</v>
      </c>
      <c r="G5059" s="28">
        <v>45992</v>
      </c>
      <c r="H5059" s="26" t="s">
        <v>3327</v>
      </c>
      <c r="I5059" s="49">
        <v>9800</v>
      </c>
      <c r="J5059" s="24">
        <v>2</v>
      </c>
      <c r="K5059" s="24">
        <v>0</v>
      </c>
      <c r="L5059" s="91">
        <v>0</v>
      </c>
      <c r="M5059" s="24">
        <v>0</v>
      </c>
      <c r="N5059" s="12">
        <f t="shared" si="196"/>
        <v>2</v>
      </c>
      <c r="O5059" s="11">
        <f t="shared" si="195"/>
        <v>19600</v>
      </c>
      <c r="P5059" s="10">
        <v>25</v>
      </c>
      <c r="Q5059" s="10" t="s">
        <v>1928</v>
      </c>
      <c r="R5059" s="50">
        <f>+テーブル1[[#This Row],[合計金額]]*テーブル1[[#This Row],[自社報酬率％]]/100</f>
        <v>17640</v>
      </c>
    </row>
    <row r="5060" spans="1:18">
      <c r="A5060" s="7">
        <v>45992</v>
      </c>
      <c r="B5060" t="s">
        <v>1929</v>
      </c>
      <c r="C5060" s="18" t="s">
        <v>2212</v>
      </c>
      <c r="D5060" s="41">
        <v>10</v>
      </c>
      <c r="E5060" s="41">
        <v>90</v>
      </c>
      <c r="F5060" s="18" t="s">
        <v>20</v>
      </c>
      <c r="G5060" s="28">
        <v>45992</v>
      </c>
      <c r="H5060" s="26" t="s">
        <v>2954</v>
      </c>
      <c r="I5060" s="49">
        <v>29700</v>
      </c>
      <c r="J5060" s="24">
        <v>81</v>
      </c>
      <c r="K5060" s="24">
        <v>0</v>
      </c>
      <c r="L5060" s="91">
        <v>0</v>
      </c>
      <c r="M5060" s="24">
        <v>0</v>
      </c>
      <c r="N5060" s="12">
        <f t="shared" si="196"/>
        <v>81</v>
      </c>
      <c r="O5060" s="11">
        <f t="shared" si="195"/>
        <v>2405700</v>
      </c>
      <c r="P5060" s="10">
        <v>26</v>
      </c>
      <c r="Q5060" s="10" t="s">
        <v>1928</v>
      </c>
      <c r="R5060" s="50">
        <f>+テーブル1[[#This Row],[合計金額]]*テーブル1[[#This Row],[自社報酬率％]]/100</f>
        <v>2165130</v>
      </c>
    </row>
    <row r="5061" spans="1:18">
      <c r="A5061" s="7">
        <v>45992</v>
      </c>
      <c r="B5061" t="s">
        <v>1929</v>
      </c>
      <c r="C5061" s="18" t="s">
        <v>2212</v>
      </c>
      <c r="D5061" s="41">
        <v>10</v>
      </c>
      <c r="E5061" s="41">
        <v>90</v>
      </c>
      <c r="F5061" s="18" t="s">
        <v>20</v>
      </c>
      <c r="G5061" s="28">
        <v>45992</v>
      </c>
      <c r="H5061" s="26" t="s">
        <v>3334</v>
      </c>
      <c r="I5061" s="49">
        <v>29700</v>
      </c>
      <c r="J5061" s="24">
        <v>3</v>
      </c>
      <c r="K5061" s="24">
        <v>0</v>
      </c>
      <c r="L5061" s="91">
        <v>0</v>
      </c>
      <c r="M5061" s="24">
        <v>0</v>
      </c>
      <c r="N5061" s="12">
        <f t="shared" si="196"/>
        <v>3</v>
      </c>
      <c r="O5061" s="11">
        <f t="shared" si="195"/>
        <v>89100</v>
      </c>
      <c r="P5061" s="10">
        <v>27</v>
      </c>
      <c r="Q5061" s="10" t="s">
        <v>1928</v>
      </c>
      <c r="R5061" s="50">
        <f>+テーブル1[[#This Row],[合計金額]]*テーブル1[[#This Row],[自社報酬率％]]/100</f>
        <v>80190</v>
      </c>
    </row>
    <row r="5062" spans="1:18">
      <c r="A5062" s="7">
        <v>45962</v>
      </c>
      <c r="B5062" t="s">
        <v>41</v>
      </c>
      <c r="C5062" s="18" t="s">
        <v>42</v>
      </c>
      <c r="D5062" s="41">
        <v>0</v>
      </c>
      <c r="E5062" s="41">
        <v>100</v>
      </c>
      <c r="F5062" s="18"/>
      <c r="G5062" s="28">
        <v>45962</v>
      </c>
      <c r="H5062" s="26" t="s">
        <v>3335</v>
      </c>
      <c r="I5062" s="53">
        <v>-924</v>
      </c>
      <c r="J5062" s="24">
        <v>1</v>
      </c>
      <c r="K5062" s="24"/>
      <c r="L5062" s="91"/>
      <c r="M5062" s="24"/>
      <c r="N5062" s="12">
        <f t="shared" si="196"/>
        <v>1</v>
      </c>
      <c r="O5062" s="11">
        <f t="shared" si="195"/>
        <v>-924</v>
      </c>
      <c r="P5062" s="10">
        <v>38</v>
      </c>
      <c r="Q5062" s="10" t="s">
        <v>1935</v>
      </c>
      <c r="R5062" s="50">
        <f>+テーブル1[[#This Row],[合計金額]]*テーブル1[[#This Row],[自社報酬率％]]/100</f>
        <v>-924</v>
      </c>
    </row>
    <row r="5063" spans="1:18">
      <c r="A5063" s="7">
        <v>45962</v>
      </c>
      <c r="B5063" t="s">
        <v>41</v>
      </c>
      <c r="C5063" s="18" t="s">
        <v>42</v>
      </c>
      <c r="D5063" s="41">
        <v>0</v>
      </c>
      <c r="E5063" s="41">
        <v>100</v>
      </c>
      <c r="F5063" s="18"/>
      <c r="G5063" s="28">
        <v>45962</v>
      </c>
      <c r="H5063" s="26" t="s">
        <v>3336</v>
      </c>
      <c r="I5063" s="53">
        <v>178341</v>
      </c>
      <c r="J5063" s="24">
        <v>1</v>
      </c>
      <c r="K5063" s="24"/>
      <c r="L5063" s="91"/>
      <c r="M5063" s="24"/>
      <c r="N5063" s="12">
        <f t="shared" si="196"/>
        <v>1</v>
      </c>
      <c r="O5063" s="11">
        <f t="shared" si="195"/>
        <v>178341</v>
      </c>
      <c r="P5063" s="10">
        <v>39</v>
      </c>
      <c r="Q5063" s="10" t="s">
        <v>1935</v>
      </c>
      <c r="R5063" s="50">
        <f>+テーブル1[[#This Row],[合計金額]]*テーブル1[[#This Row],[自社報酬率％]]/100</f>
        <v>178341</v>
      </c>
    </row>
    <row r="5064" spans="1:18">
      <c r="A5064" s="7">
        <v>45962</v>
      </c>
      <c r="B5064" t="s">
        <v>2770</v>
      </c>
      <c r="C5064" s="18" t="s">
        <v>24</v>
      </c>
      <c r="D5064" s="41">
        <v>100</v>
      </c>
      <c r="E5064" s="41">
        <v>100</v>
      </c>
      <c r="F5064" s="18"/>
      <c r="G5064" s="28">
        <v>45962</v>
      </c>
      <c r="H5064" s="26" t="s">
        <v>3337</v>
      </c>
      <c r="I5064" s="53">
        <v>20493</v>
      </c>
      <c r="J5064" s="24">
        <v>1</v>
      </c>
      <c r="K5064" s="24"/>
      <c r="L5064" s="91"/>
      <c r="M5064" s="24"/>
      <c r="N5064" s="12">
        <f t="shared" si="196"/>
        <v>1</v>
      </c>
      <c r="O5064" s="11">
        <f t="shared" si="195"/>
        <v>20493</v>
      </c>
      <c r="P5064" s="10">
        <v>40</v>
      </c>
      <c r="Q5064" s="10" t="s">
        <v>1935</v>
      </c>
      <c r="R5064" s="50">
        <f>+テーブル1[[#This Row],[合計金額]]*テーブル1[[#This Row],[自社報酬率％]]/100</f>
        <v>20493</v>
      </c>
    </row>
    <row r="5065" spans="1:18">
      <c r="A5065" s="7">
        <v>45962</v>
      </c>
      <c r="B5065" t="s">
        <v>2770</v>
      </c>
      <c r="C5065" s="18" t="s">
        <v>24</v>
      </c>
      <c r="D5065" s="41">
        <v>100</v>
      </c>
      <c r="E5065" s="41">
        <v>100</v>
      </c>
      <c r="F5065" s="18"/>
      <c r="G5065" s="28">
        <v>45962</v>
      </c>
      <c r="H5065" s="26" t="s">
        <v>3337</v>
      </c>
      <c r="I5065" s="53">
        <v>-18216</v>
      </c>
      <c r="J5065" s="24">
        <v>1</v>
      </c>
      <c r="K5065" s="24"/>
      <c r="L5065" s="91"/>
      <c r="M5065" s="24"/>
      <c r="N5065" s="12">
        <f t="shared" si="196"/>
        <v>1</v>
      </c>
      <c r="O5065" s="11">
        <f t="shared" si="195"/>
        <v>-18216</v>
      </c>
      <c r="P5065" s="10">
        <v>41</v>
      </c>
      <c r="Q5065" s="10" t="s">
        <v>1935</v>
      </c>
      <c r="R5065" s="50">
        <f>+テーブル1[[#This Row],[合計金額]]*テーブル1[[#This Row],[自社報酬率％]]/100</f>
        <v>-18216</v>
      </c>
    </row>
    <row r="5066" spans="1:18">
      <c r="A5066" s="7">
        <v>46023</v>
      </c>
      <c r="B5066" t="s">
        <v>43</v>
      </c>
      <c r="C5066" s="147" t="s">
        <v>15</v>
      </c>
      <c r="D5066" s="41">
        <v>100</v>
      </c>
      <c r="E5066" s="41">
        <v>100</v>
      </c>
      <c r="F5066" s="72" t="s">
        <v>17</v>
      </c>
      <c r="G5066" s="85">
        <v>46054</v>
      </c>
      <c r="H5066" s="26" t="s">
        <v>3338</v>
      </c>
      <c r="I5066" s="49">
        <v>8074</v>
      </c>
      <c r="J5066" s="73">
        <v>2</v>
      </c>
      <c r="K5066" s="24"/>
      <c r="L5066" s="90">
        <v>0</v>
      </c>
      <c r="M5066" s="24"/>
      <c r="N5066" s="93">
        <f t="shared" ref="N5066:N5097" si="197">J5066-L5066</f>
        <v>2</v>
      </c>
      <c r="O5066" s="11">
        <f t="shared" ref="O5066:O5097" si="198">+I5066*N5066</f>
        <v>16148</v>
      </c>
      <c r="P5066" s="10">
        <v>172</v>
      </c>
      <c r="Q5066" s="10" t="s">
        <v>1928</v>
      </c>
      <c r="R5066" s="50">
        <f>+テーブル1[[#This Row],[合計金額]]*テーブル1[[#This Row],[自社報酬率％]]/100</f>
        <v>16148</v>
      </c>
    </row>
    <row r="5067" spans="1:18">
      <c r="A5067" s="7">
        <v>46023</v>
      </c>
      <c r="B5067" t="s">
        <v>43</v>
      </c>
      <c r="C5067" s="147" t="s">
        <v>15</v>
      </c>
      <c r="D5067" s="41">
        <v>100</v>
      </c>
      <c r="E5067" s="41">
        <v>100</v>
      </c>
      <c r="F5067" s="101" t="s">
        <v>17</v>
      </c>
      <c r="G5067" s="102">
        <v>46082</v>
      </c>
      <c r="H5067" s="26" t="s">
        <v>3339</v>
      </c>
      <c r="I5067" s="49">
        <v>8066</v>
      </c>
      <c r="J5067" s="24">
        <v>2</v>
      </c>
      <c r="K5067" s="24"/>
      <c r="L5067" s="91">
        <v>0</v>
      </c>
      <c r="M5067" s="24"/>
      <c r="N5067" s="94">
        <f t="shared" si="197"/>
        <v>2</v>
      </c>
      <c r="O5067" s="11">
        <f t="shared" si="198"/>
        <v>16132</v>
      </c>
      <c r="P5067" s="10">
        <v>173</v>
      </c>
      <c r="Q5067" s="10" t="s">
        <v>1928</v>
      </c>
      <c r="R5067" s="50">
        <f>+テーブル1[[#This Row],[合計金額]]*テーブル1[[#This Row],[自社報酬率％]]/100</f>
        <v>16132</v>
      </c>
    </row>
    <row r="5068" spans="1:18">
      <c r="A5068" s="7">
        <v>46023</v>
      </c>
      <c r="B5068" t="s">
        <v>43</v>
      </c>
      <c r="C5068" s="147" t="s">
        <v>15</v>
      </c>
      <c r="D5068" s="41">
        <v>100</v>
      </c>
      <c r="E5068" s="41">
        <v>100</v>
      </c>
      <c r="F5068" s="101" t="s">
        <v>17</v>
      </c>
      <c r="G5068" s="102">
        <v>46113</v>
      </c>
      <c r="H5068" s="26" t="s">
        <v>3340</v>
      </c>
      <c r="I5068" s="49">
        <v>8066</v>
      </c>
      <c r="J5068" s="24">
        <v>2</v>
      </c>
      <c r="K5068" s="24"/>
      <c r="L5068" s="91">
        <v>0</v>
      </c>
      <c r="M5068" s="24"/>
      <c r="N5068" s="94">
        <f t="shared" si="197"/>
        <v>2</v>
      </c>
      <c r="O5068" s="11">
        <f t="shared" si="198"/>
        <v>16132</v>
      </c>
      <c r="P5068" s="10">
        <v>174</v>
      </c>
      <c r="Q5068" s="10" t="s">
        <v>1928</v>
      </c>
      <c r="R5068" s="50">
        <f>+テーブル1[[#This Row],[合計金額]]*テーブル1[[#This Row],[自社報酬率％]]/100</f>
        <v>16132</v>
      </c>
    </row>
    <row r="5069" spans="1:18">
      <c r="A5069" s="7">
        <v>46023</v>
      </c>
      <c r="B5069" t="s">
        <v>43</v>
      </c>
      <c r="C5069" s="147" t="s">
        <v>15</v>
      </c>
      <c r="D5069" s="41">
        <v>100</v>
      </c>
      <c r="E5069" s="41">
        <v>100</v>
      </c>
      <c r="F5069" s="101" t="s">
        <v>17</v>
      </c>
      <c r="G5069" s="102">
        <v>46143</v>
      </c>
      <c r="H5069" s="26" t="s">
        <v>3341</v>
      </c>
      <c r="I5069" s="49">
        <v>8066</v>
      </c>
      <c r="J5069" s="24">
        <v>2</v>
      </c>
      <c r="K5069" s="24"/>
      <c r="L5069" s="91">
        <v>0</v>
      </c>
      <c r="M5069" s="24"/>
      <c r="N5069" s="94">
        <f t="shared" si="197"/>
        <v>2</v>
      </c>
      <c r="O5069" s="11">
        <f t="shared" si="198"/>
        <v>16132</v>
      </c>
      <c r="P5069" s="10">
        <v>175</v>
      </c>
      <c r="Q5069" s="10" t="s">
        <v>1928</v>
      </c>
      <c r="R5069" s="50">
        <f>+テーブル1[[#This Row],[合計金額]]*テーブル1[[#This Row],[自社報酬率％]]/100</f>
        <v>16132</v>
      </c>
    </row>
    <row r="5070" spans="1:18">
      <c r="A5070" s="7">
        <v>46023</v>
      </c>
      <c r="B5070" t="s">
        <v>43</v>
      </c>
      <c r="C5070" s="147" t="s">
        <v>15</v>
      </c>
      <c r="D5070" s="41">
        <v>100</v>
      </c>
      <c r="E5070" s="41">
        <v>100</v>
      </c>
      <c r="F5070" s="101" t="s">
        <v>17</v>
      </c>
      <c r="G5070" s="102">
        <v>46174</v>
      </c>
      <c r="H5070" s="26" t="s">
        <v>3342</v>
      </c>
      <c r="I5070" s="49">
        <v>8066</v>
      </c>
      <c r="J5070" s="24">
        <v>2</v>
      </c>
      <c r="K5070" s="24"/>
      <c r="L5070" s="91">
        <v>0</v>
      </c>
      <c r="M5070" s="24"/>
      <c r="N5070" s="94">
        <f t="shared" si="197"/>
        <v>2</v>
      </c>
      <c r="O5070" s="11">
        <f t="shared" si="198"/>
        <v>16132</v>
      </c>
      <c r="P5070" s="10">
        <v>176</v>
      </c>
      <c r="Q5070" s="10" t="s">
        <v>1928</v>
      </c>
      <c r="R5070" s="50">
        <f>+テーブル1[[#This Row],[合計金額]]*テーブル1[[#This Row],[自社報酬率％]]/100</f>
        <v>16132</v>
      </c>
    </row>
    <row r="5071" spans="1:18">
      <c r="A5071" s="7">
        <v>46023</v>
      </c>
      <c r="B5071" t="s">
        <v>43</v>
      </c>
      <c r="C5071" s="147" t="s">
        <v>15</v>
      </c>
      <c r="D5071" s="41">
        <v>100</v>
      </c>
      <c r="E5071" s="41">
        <v>100</v>
      </c>
      <c r="F5071" s="101" t="s">
        <v>17</v>
      </c>
      <c r="G5071" s="102">
        <v>46204</v>
      </c>
      <c r="H5071" s="26" t="s">
        <v>3343</v>
      </c>
      <c r="I5071" s="49">
        <v>8066</v>
      </c>
      <c r="J5071" s="24">
        <v>2</v>
      </c>
      <c r="K5071" s="24"/>
      <c r="L5071" s="91">
        <v>0</v>
      </c>
      <c r="M5071" s="24"/>
      <c r="N5071" s="94">
        <f t="shared" si="197"/>
        <v>2</v>
      </c>
      <c r="O5071" s="11">
        <f t="shared" si="198"/>
        <v>16132</v>
      </c>
      <c r="P5071" s="10">
        <v>177</v>
      </c>
      <c r="Q5071" s="10" t="s">
        <v>1928</v>
      </c>
      <c r="R5071" s="50">
        <f>+テーブル1[[#This Row],[合計金額]]*テーブル1[[#This Row],[自社報酬率％]]/100</f>
        <v>16132</v>
      </c>
    </row>
    <row r="5072" spans="1:18">
      <c r="A5072" s="7">
        <v>46023</v>
      </c>
      <c r="B5072" t="s">
        <v>43</v>
      </c>
      <c r="C5072" s="147" t="s">
        <v>15</v>
      </c>
      <c r="D5072" s="41">
        <v>100</v>
      </c>
      <c r="E5072" s="41">
        <v>100</v>
      </c>
      <c r="F5072" s="101" t="s">
        <v>17</v>
      </c>
      <c r="G5072" s="102">
        <v>46235</v>
      </c>
      <c r="H5072" s="26" t="s">
        <v>3344</v>
      </c>
      <c r="I5072" s="49">
        <v>8066</v>
      </c>
      <c r="J5072" s="24">
        <v>2</v>
      </c>
      <c r="K5072" s="24"/>
      <c r="L5072" s="91">
        <v>0</v>
      </c>
      <c r="M5072" s="24"/>
      <c r="N5072" s="94">
        <f t="shared" si="197"/>
        <v>2</v>
      </c>
      <c r="O5072" s="11">
        <f t="shared" si="198"/>
        <v>16132</v>
      </c>
      <c r="P5072" s="10">
        <v>178</v>
      </c>
      <c r="Q5072" s="10" t="s">
        <v>1928</v>
      </c>
      <c r="R5072" s="50">
        <f>+テーブル1[[#This Row],[合計金額]]*テーブル1[[#This Row],[自社報酬率％]]/100</f>
        <v>16132</v>
      </c>
    </row>
    <row r="5073" spans="1:18">
      <c r="A5073" s="7">
        <v>46023</v>
      </c>
      <c r="B5073" t="s">
        <v>43</v>
      </c>
      <c r="C5073" s="147" t="s">
        <v>15</v>
      </c>
      <c r="D5073" s="41">
        <v>100</v>
      </c>
      <c r="E5073" s="41">
        <v>100</v>
      </c>
      <c r="F5073" s="101" t="s">
        <v>17</v>
      </c>
      <c r="G5073" s="102">
        <v>46266</v>
      </c>
      <c r="H5073" s="26" t="s">
        <v>3345</v>
      </c>
      <c r="I5073" s="49">
        <v>8066</v>
      </c>
      <c r="J5073" s="24">
        <v>2</v>
      </c>
      <c r="K5073" s="24"/>
      <c r="L5073" s="91">
        <v>0</v>
      </c>
      <c r="M5073" s="24"/>
      <c r="N5073" s="94">
        <f t="shared" si="197"/>
        <v>2</v>
      </c>
      <c r="O5073" s="11">
        <f t="shared" si="198"/>
        <v>16132</v>
      </c>
      <c r="P5073" s="10">
        <v>179</v>
      </c>
      <c r="Q5073" s="10" t="s">
        <v>1928</v>
      </c>
      <c r="R5073" s="50">
        <f>+テーブル1[[#This Row],[合計金額]]*テーブル1[[#This Row],[自社報酬率％]]/100</f>
        <v>16132</v>
      </c>
    </row>
    <row r="5074" spans="1:18">
      <c r="A5074" s="7">
        <v>46023</v>
      </c>
      <c r="B5074" t="s">
        <v>43</v>
      </c>
      <c r="C5074" s="147" t="s">
        <v>15</v>
      </c>
      <c r="D5074" s="41">
        <v>100</v>
      </c>
      <c r="E5074" s="41">
        <v>100</v>
      </c>
      <c r="F5074" s="101" t="s">
        <v>17</v>
      </c>
      <c r="G5074" s="102">
        <v>46296</v>
      </c>
      <c r="H5074" s="26" t="s">
        <v>3346</v>
      </c>
      <c r="I5074" s="49">
        <v>8066</v>
      </c>
      <c r="J5074" s="24">
        <v>2</v>
      </c>
      <c r="K5074" s="24"/>
      <c r="L5074" s="91">
        <v>0</v>
      </c>
      <c r="M5074" s="24"/>
      <c r="N5074" s="94">
        <f t="shared" si="197"/>
        <v>2</v>
      </c>
      <c r="O5074" s="11">
        <f t="shared" si="198"/>
        <v>16132</v>
      </c>
      <c r="P5074" s="10">
        <v>180</v>
      </c>
      <c r="Q5074" s="10" t="s">
        <v>1928</v>
      </c>
      <c r="R5074" s="50">
        <f>+テーブル1[[#This Row],[合計金額]]*テーブル1[[#This Row],[自社報酬率％]]/100</f>
        <v>16132</v>
      </c>
    </row>
    <row r="5075" spans="1:18">
      <c r="A5075" s="7">
        <v>46023</v>
      </c>
      <c r="B5075" t="s">
        <v>43</v>
      </c>
      <c r="C5075" s="147" t="s">
        <v>15</v>
      </c>
      <c r="D5075" s="41">
        <v>100</v>
      </c>
      <c r="E5075" s="41">
        <v>100</v>
      </c>
      <c r="F5075" s="101" t="s">
        <v>17</v>
      </c>
      <c r="G5075" s="102">
        <v>46327</v>
      </c>
      <c r="H5075" s="26" t="s">
        <v>3347</v>
      </c>
      <c r="I5075" s="49">
        <v>8066</v>
      </c>
      <c r="J5075" s="24">
        <v>2</v>
      </c>
      <c r="K5075" s="24"/>
      <c r="L5075" s="91">
        <v>0</v>
      </c>
      <c r="M5075" s="24"/>
      <c r="N5075" s="94">
        <f t="shared" si="197"/>
        <v>2</v>
      </c>
      <c r="O5075" s="11">
        <f t="shared" si="198"/>
        <v>16132</v>
      </c>
      <c r="P5075" s="10">
        <v>181</v>
      </c>
      <c r="Q5075" s="10" t="s">
        <v>1928</v>
      </c>
      <c r="R5075" s="50">
        <f>+テーブル1[[#This Row],[合計金額]]*テーブル1[[#This Row],[自社報酬率％]]/100</f>
        <v>16132</v>
      </c>
    </row>
    <row r="5076" spans="1:18">
      <c r="A5076" s="7">
        <v>46023</v>
      </c>
      <c r="B5076" t="s">
        <v>43</v>
      </c>
      <c r="C5076" s="147" t="s">
        <v>15</v>
      </c>
      <c r="D5076" s="41">
        <v>100</v>
      </c>
      <c r="E5076" s="41">
        <v>100</v>
      </c>
      <c r="F5076" s="101" t="s">
        <v>17</v>
      </c>
      <c r="G5076" s="102">
        <v>46357</v>
      </c>
      <c r="H5076" s="26" t="s">
        <v>3348</v>
      </c>
      <c r="I5076" s="49">
        <v>8066</v>
      </c>
      <c r="J5076" s="24">
        <v>2</v>
      </c>
      <c r="K5076" s="24"/>
      <c r="L5076" s="91">
        <v>0</v>
      </c>
      <c r="M5076" s="24"/>
      <c r="N5076" s="94">
        <f t="shared" si="197"/>
        <v>2</v>
      </c>
      <c r="O5076" s="11">
        <f t="shared" si="198"/>
        <v>16132</v>
      </c>
      <c r="P5076" s="10">
        <v>182</v>
      </c>
      <c r="Q5076" s="10" t="s">
        <v>3188</v>
      </c>
      <c r="R5076" s="50">
        <f>+テーブル1[[#This Row],[合計金額]]*テーブル1[[#This Row],[自社報酬率％]]/100</f>
        <v>16132</v>
      </c>
    </row>
    <row r="5077" spans="1:18">
      <c r="A5077" s="7">
        <v>46023</v>
      </c>
      <c r="B5077" t="s">
        <v>43</v>
      </c>
      <c r="C5077" s="147" t="s">
        <v>15</v>
      </c>
      <c r="D5077" s="41">
        <v>100</v>
      </c>
      <c r="E5077" s="41">
        <v>100</v>
      </c>
      <c r="F5077" s="76" t="s">
        <v>17</v>
      </c>
      <c r="G5077" s="86">
        <v>46388</v>
      </c>
      <c r="H5077" s="26" t="s">
        <v>3349</v>
      </c>
      <c r="I5077" s="49">
        <v>8066</v>
      </c>
      <c r="J5077" s="77">
        <v>2</v>
      </c>
      <c r="K5077" s="24"/>
      <c r="L5077" s="92">
        <v>0</v>
      </c>
      <c r="M5077" s="24"/>
      <c r="N5077" s="95">
        <f t="shared" si="197"/>
        <v>2</v>
      </c>
      <c r="O5077" s="11">
        <f t="shared" si="198"/>
        <v>16132</v>
      </c>
      <c r="P5077" s="10">
        <v>183</v>
      </c>
      <c r="Q5077" s="10" t="s">
        <v>3188</v>
      </c>
      <c r="R5077" s="50">
        <f>+テーブル1[[#This Row],[合計金額]]*テーブル1[[#This Row],[自社報酬率％]]/100</f>
        <v>16132</v>
      </c>
    </row>
    <row r="5078" spans="1:18">
      <c r="A5078" s="7">
        <v>46023</v>
      </c>
      <c r="B5078" t="s">
        <v>43</v>
      </c>
      <c r="C5078" s="147" t="s">
        <v>15</v>
      </c>
      <c r="D5078" s="41">
        <v>100</v>
      </c>
      <c r="E5078" s="41">
        <v>100</v>
      </c>
      <c r="F5078" s="18" t="s">
        <v>17</v>
      </c>
      <c r="G5078" s="28">
        <v>46023</v>
      </c>
      <c r="H5078" s="26" t="s">
        <v>1946</v>
      </c>
      <c r="I5078" s="49">
        <v>29975</v>
      </c>
      <c r="J5078" s="24">
        <v>5</v>
      </c>
      <c r="K5078" s="24"/>
      <c r="L5078" s="91">
        <v>0</v>
      </c>
      <c r="M5078" s="24"/>
      <c r="N5078" s="12">
        <f t="shared" si="197"/>
        <v>5</v>
      </c>
      <c r="O5078" s="11">
        <f t="shared" si="198"/>
        <v>149875</v>
      </c>
      <c r="P5078" s="10">
        <v>184</v>
      </c>
      <c r="Q5078" s="10" t="s">
        <v>1928</v>
      </c>
      <c r="R5078" s="50">
        <f>+テーブル1[[#This Row],[合計金額]]*テーブル1[[#This Row],[自社報酬率％]]/100</f>
        <v>149875</v>
      </c>
    </row>
    <row r="5079" spans="1:18">
      <c r="A5079" s="7">
        <v>46023</v>
      </c>
      <c r="B5079" t="s">
        <v>43</v>
      </c>
      <c r="C5079" s="147" t="s">
        <v>15</v>
      </c>
      <c r="D5079" s="41">
        <v>100</v>
      </c>
      <c r="E5079" s="41">
        <v>100</v>
      </c>
      <c r="F5079" s="18" t="s">
        <v>17</v>
      </c>
      <c r="G5079" s="28">
        <v>46023</v>
      </c>
      <c r="H5079" s="26" t="s">
        <v>3350</v>
      </c>
      <c r="I5079" s="49">
        <v>29975</v>
      </c>
      <c r="J5079" s="24">
        <v>2</v>
      </c>
      <c r="K5079" s="24"/>
      <c r="L5079" s="91">
        <v>0</v>
      </c>
      <c r="M5079" s="24"/>
      <c r="N5079" s="12">
        <f t="shared" si="197"/>
        <v>2</v>
      </c>
      <c r="O5079" s="11">
        <f t="shared" si="198"/>
        <v>59950</v>
      </c>
      <c r="P5079" s="10">
        <v>185</v>
      </c>
      <c r="Q5079" s="10" t="s">
        <v>1928</v>
      </c>
      <c r="R5079" s="50">
        <f>+テーブル1[[#This Row],[合計金額]]*テーブル1[[#This Row],[自社報酬率％]]/100</f>
        <v>59950</v>
      </c>
    </row>
    <row r="5080" spans="1:18">
      <c r="A5080" s="7">
        <v>46023</v>
      </c>
      <c r="B5080" t="s">
        <v>43</v>
      </c>
      <c r="C5080" s="147" t="s">
        <v>15</v>
      </c>
      <c r="D5080" s="41">
        <v>100</v>
      </c>
      <c r="E5080" s="41">
        <v>100</v>
      </c>
      <c r="F5080" s="18" t="s">
        <v>17</v>
      </c>
      <c r="G5080" s="28">
        <v>46023</v>
      </c>
      <c r="H5080" s="26" t="s">
        <v>2890</v>
      </c>
      <c r="I5080" s="49">
        <v>27500</v>
      </c>
      <c r="J5080" s="24">
        <v>1</v>
      </c>
      <c r="K5080" s="24"/>
      <c r="L5080" s="91">
        <v>0</v>
      </c>
      <c r="M5080" s="24"/>
      <c r="N5080" s="12">
        <f t="shared" si="197"/>
        <v>1</v>
      </c>
      <c r="O5080" s="11">
        <f t="shared" si="198"/>
        <v>27500</v>
      </c>
      <c r="P5080" s="10">
        <v>186</v>
      </c>
      <c r="Q5080" s="10" t="s">
        <v>1928</v>
      </c>
      <c r="R5080" s="50">
        <f>+テーブル1[[#This Row],[合計金額]]*テーブル1[[#This Row],[自社報酬率％]]/100</f>
        <v>27500</v>
      </c>
    </row>
    <row r="5081" spans="1:18">
      <c r="A5081" s="7">
        <v>46023</v>
      </c>
      <c r="B5081" t="s">
        <v>43</v>
      </c>
      <c r="C5081" s="147" t="s">
        <v>15</v>
      </c>
      <c r="D5081" s="41">
        <v>100</v>
      </c>
      <c r="E5081" s="41">
        <v>100</v>
      </c>
      <c r="F5081" s="18" t="s">
        <v>17</v>
      </c>
      <c r="G5081" s="28">
        <v>46023</v>
      </c>
      <c r="H5081" s="26" t="s">
        <v>2890</v>
      </c>
      <c r="I5081" s="49">
        <v>29975</v>
      </c>
      <c r="J5081" s="24">
        <v>6</v>
      </c>
      <c r="K5081" s="24"/>
      <c r="L5081" s="91">
        <v>0</v>
      </c>
      <c r="M5081" s="24"/>
      <c r="N5081" s="12">
        <f t="shared" si="197"/>
        <v>6</v>
      </c>
      <c r="O5081" s="11">
        <f t="shared" si="198"/>
        <v>179850</v>
      </c>
      <c r="P5081" s="10">
        <v>187</v>
      </c>
      <c r="Q5081" s="10" t="s">
        <v>1928</v>
      </c>
      <c r="R5081" s="50">
        <f>+テーブル1[[#This Row],[合計金額]]*テーブル1[[#This Row],[自社報酬率％]]/100</f>
        <v>179850</v>
      </c>
    </row>
    <row r="5082" spans="1:18">
      <c r="A5082" s="7">
        <v>46023</v>
      </c>
      <c r="B5082" t="s">
        <v>43</v>
      </c>
      <c r="C5082" s="147" t="s">
        <v>15</v>
      </c>
      <c r="D5082" s="41">
        <v>100</v>
      </c>
      <c r="E5082" s="41">
        <v>100</v>
      </c>
      <c r="F5082" s="18" t="s">
        <v>17</v>
      </c>
      <c r="G5082" s="28">
        <v>46023</v>
      </c>
      <c r="H5082" s="26" t="s">
        <v>3097</v>
      </c>
      <c r="I5082" s="49">
        <v>29975</v>
      </c>
      <c r="J5082" s="24">
        <v>6</v>
      </c>
      <c r="K5082" s="24"/>
      <c r="L5082" s="91">
        <v>0</v>
      </c>
      <c r="M5082" s="24"/>
      <c r="N5082" s="12">
        <f t="shared" si="197"/>
        <v>6</v>
      </c>
      <c r="O5082" s="11">
        <f t="shared" si="198"/>
        <v>179850</v>
      </c>
      <c r="P5082" s="10">
        <v>188</v>
      </c>
      <c r="Q5082" s="10" t="s">
        <v>1928</v>
      </c>
      <c r="R5082" s="50">
        <f>+テーブル1[[#This Row],[合計金額]]*テーブル1[[#This Row],[自社報酬率％]]/100</f>
        <v>179850</v>
      </c>
    </row>
    <row r="5083" spans="1:18">
      <c r="A5083" s="7">
        <v>46023</v>
      </c>
      <c r="B5083" t="s">
        <v>43</v>
      </c>
      <c r="C5083" s="147" t="s">
        <v>15</v>
      </c>
      <c r="D5083" s="41">
        <v>100</v>
      </c>
      <c r="E5083" s="41">
        <v>100</v>
      </c>
      <c r="F5083" s="18" t="s">
        <v>17</v>
      </c>
      <c r="G5083" s="28">
        <v>46023</v>
      </c>
      <c r="H5083" s="26" t="s">
        <v>2142</v>
      </c>
      <c r="I5083" s="49">
        <v>29800</v>
      </c>
      <c r="J5083" s="24">
        <v>1</v>
      </c>
      <c r="K5083" s="24"/>
      <c r="L5083" s="91">
        <v>0</v>
      </c>
      <c r="M5083" s="24"/>
      <c r="N5083" s="12">
        <f t="shared" si="197"/>
        <v>1</v>
      </c>
      <c r="O5083" s="11">
        <f t="shared" si="198"/>
        <v>29800</v>
      </c>
      <c r="P5083" s="10">
        <v>189</v>
      </c>
      <c r="Q5083" s="10" t="s">
        <v>1928</v>
      </c>
      <c r="R5083" s="50">
        <f>+テーブル1[[#This Row],[合計金額]]*テーブル1[[#This Row],[自社報酬率％]]/100</f>
        <v>29800</v>
      </c>
    </row>
    <row r="5084" spans="1:18">
      <c r="A5084" s="7">
        <v>46023</v>
      </c>
      <c r="B5084" t="s">
        <v>43</v>
      </c>
      <c r="C5084" s="147" t="s">
        <v>15</v>
      </c>
      <c r="D5084" s="41">
        <v>100</v>
      </c>
      <c r="E5084" s="41">
        <v>100</v>
      </c>
      <c r="F5084" s="18" t="s">
        <v>17</v>
      </c>
      <c r="G5084" s="28">
        <v>46023</v>
      </c>
      <c r="H5084" s="26" t="s">
        <v>2142</v>
      </c>
      <c r="I5084" s="49">
        <v>29975</v>
      </c>
      <c r="J5084" s="24">
        <v>7</v>
      </c>
      <c r="K5084" s="24"/>
      <c r="L5084" s="91">
        <v>0</v>
      </c>
      <c r="M5084" s="24"/>
      <c r="N5084" s="12">
        <f t="shared" si="197"/>
        <v>7</v>
      </c>
      <c r="O5084" s="11">
        <f t="shared" si="198"/>
        <v>209825</v>
      </c>
      <c r="P5084" s="10">
        <v>190</v>
      </c>
      <c r="Q5084" s="10" t="s">
        <v>1928</v>
      </c>
      <c r="R5084" s="50">
        <f>+テーブル1[[#This Row],[合計金額]]*テーブル1[[#This Row],[自社報酬率％]]/100</f>
        <v>209825</v>
      </c>
    </row>
    <row r="5085" spans="1:18">
      <c r="A5085" s="7">
        <v>46023</v>
      </c>
      <c r="B5085" t="s">
        <v>43</v>
      </c>
      <c r="C5085" s="147" t="s">
        <v>15</v>
      </c>
      <c r="D5085" s="41">
        <v>100</v>
      </c>
      <c r="E5085" s="41">
        <v>100</v>
      </c>
      <c r="F5085" s="18" t="s">
        <v>17</v>
      </c>
      <c r="G5085" s="28">
        <v>46023</v>
      </c>
      <c r="H5085" s="26" t="s">
        <v>1947</v>
      </c>
      <c r="I5085" s="49">
        <v>29975</v>
      </c>
      <c r="J5085" s="24">
        <v>3</v>
      </c>
      <c r="K5085" s="24"/>
      <c r="L5085" s="91">
        <v>0</v>
      </c>
      <c r="M5085" s="24"/>
      <c r="N5085" s="12">
        <f t="shared" si="197"/>
        <v>3</v>
      </c>
      <c r="O5085" s="11">
        <f t="shared" si="198"/>
        <v>89925</v>
      </c>
      <c r="P5085" s="10">
        <v>191</v>
      </c>
      <c r="Q5085" s="10" t="s">
        <v>1928</v>
      </c>
      <c r="R5085" s="50">
        <f>+テーブル1[[#This Row],[合計金額]]*テーブル1[[#This Row],[自社報酬率％]]/100</f>
        <v>89925</v>
      </c>
    </row>
    <row r="5086" spans="1:18">
      <c r="A5086" s="7">
        <v>46023</v>
      </c>
      <c r="B5086" t="s">
        <v>43</v>
      </c>
      <c r="C5086" s="147" t="s">
        <v>15</v>
      </c>
      <c r="D5086" s="41">
        <v>100</v>
      </c>
      <c r="E5086" s="41">
        <v>100</v>
      </c>
      <c r="F5086" s="18" t="s">
        <v>17</v>
      </c>
      <c r="G5086" s="28">
        <v>46023</v>
      </c>
      <c r="H5086" s="26" t="s">
        <v>2143</v>
      </c>
      <c r="I5086" s="49">
        <v>29800</v>
      </c>
      <c r="J5086" s="24">
        <v>1</v>
      </c>
      <c r="K5086" s="24"/>
      <c r="L5086" s="91">
        <v>0</v>
      </c>
      <c r="M5086" s="24"/>
      <c r="N5086" s="12">
        <f t="shared" si="197"/>
        <v>1</v>
      </c>
      <c r="O5086" s="11">
        <f t="shared" si="198"/>
        <v>29800</v>
      </c>
      <c r="P5086" s="10">
        <v>192</v>
      </c>
      <c r="Q5086" s="10" t="s">
        <v>1928</v>
      </c>
      <c r="R5086" s="50">
        <f>+テーブル1[[#This Row],[合計金額]]*テーブル1[[#This Row],[自社報酬率％]]/100</f>
        <v>29800</v>
      </c>
    </row>
    <row r="5087" spans="1:18">
      <c r="A5087" s="7">
        <v>46023</v>
      </c>
      <c r="B5087" t="s">
        <v>43</v>
      </c>
      <c r="C5087" s="147" t="s">
        <v>15</v>
      </c>
      <c r="D5087" s="41">
        <v>100</v>
      </c>
      <c r="E5087" s="41">
        <v>100</v>
      </c>
      <c r="F5087" s="18" t="s">
        <v>17</v>
      </c>
      <c r="G5087" s="28">
        <v>46023</v>
      </c>
      <c r="H5087" s="26" t="s">
        <v>2143</v>
      </c>
      <c r="I5087" s="49">
        <v>29975</v>
      </c>
      <c r="J5087" s="24">
        <v>1</v>
      </c>
      <c r="K5087" s="24"/>
      <c r="L5087" s="91">
        <v>0</v>
      </c>
      <c r="M5087" s="24"/>
      <c r="N5087" s="12">
        <f t="shared" si="197"/>
        <v>1</v>
      </c>
      <c r="O5087" s="11">
        <f t="shared" si="198"/>
        <v>29975</v>
      </c>
      <c r="P5087" s="10">
        <v>193</v>
      </c>
      <c r="Q5087" s="10" t="s">
        <v>1928</v>
      </c>
      <c r="R5087" s="50">
        <f>+テーブル1[[#This Row],[合計金額]]*テーブル1[[#This Row],[自社報酬率％]]/100</f>
        <v>29975</v>
      </c>
    </row>
    <row r="5088" spans="1:18">
      <c r="A5088" s="7">
        <v>46023</v>
      </c>
      <c r="B5088" t="s">
        <v>43</v>
      </c>
      <c r="C5088" s="147" t="s">
        <v>15</v>
      </c>
      <c r="D5088" s="41">
        <v>100</v>
      </c>
      <c r="E5088" s="41">
        <v>100</v>
      </c>
      <c r="F5088" s="18" t="s">
        <v>17</v>
      </c>
      <c r="G5088" s="28">
        <v>46023</v>
      </c>
      <c r="H5088" s="26" t="s">
        <v>2296</v>
      </c>
      <c r="I5088" s="49">
        <v>29975</v>
      </c>
      <c r="J5088" s="24">
        <v>6</v>
      </c>
      <c r="K5088" s="24"/>
      <c r="L5088" s="91">
        <v>0</v>
      </c>
      <c r="M5088" s="24"/>
      <c r="N5088" s="12">
        <f t="shared" si="197"/>
        <v>6</v>
      </c>
      <c r="O5088" s="11">
        <f t="shared" si="198"/>
        <v>179850</v>
      </c>
      <c r="P5088" s="10">
        <v>194</v>
      </c>
      <c r="Q5088" s="10" t="s">
        <v>1928</v>
      </c>
      <c r="R5088" s="50">
        <f>+テーブル1[[#This Row],[合計金額]]*テーブル1[[#This Row],[自社報酬率％]]/100</f>
        <v>179850</v>
      </c>
    </row>
    <row r="5089" spans="1:18">
      <c r="A5089" s="7">
        <v>46023</v>
      </c>
      <c r="B5089" t="s">
        <v>43</v>
      </c>
      <c r="C5089" s="147" t="s">
        <v>15</v>
      </c>
      <c r="D5089" s="41">
        <v>100</v>
      </c>
      <c r="E5089" s="41">
        <v>100</v>
      </c>
      <c r="F5089" s="18" t="s">
        <v>17</v>
      </c>
      <c r="G5089" s="28">
        <v>46023</v>
      </c>
      <c r="H5089" s="26" t="s">
        <v>2425</v>
      </c>
      <c r="I5089" s="49">
        <v>29975</v>
      </c>
      <c r="J5089" s="24">
        <v>5</v>
      </c>
      <c r="K5089" s="24"/>
      <c r="L5089" s="91">
        <v>0</v>
      </c>
      <c r="M5089" s="24"/>
      <c r="N5089" s="12">
        <f t="shared" si="197"/>
        <v>5</v>
      </c>
      <c r="O5089" s="11">
        <f t="shared" si="198"/>
        <v>149875</v>
      </c>
      <c r="P5089" s="10">
        <v>195</v>
      </c>
      <c r="Q5089" s="10" t="s">
        <v>1928</v>
      </c>
      <c r="R5089" s="50">
        <f>+テーブル1[[#This Row],[合計金額]]*テーブル1[[#This Row],[自社報酬率％]]/100</f>
        <v>149875</v>
      </c>
    </row>
    <row r="5090" spans="1:18">
      <c r="A5090" s="7">
        <v>46023</v>
      </c>
      <c r="B5090" t="s">
        <v>43</v>
      </c>
      <c r="C5090" s="147" t="s">
        <v>15</v>
      </c>
      <c r="D5090" s="41">
        <v>100</v>
      </c>
      <c r="E5090" s="41">
        <v>100</v>
      </c>
      <c r="F5090" s="18" t="s">
        <v>17</v>
      </c>
      <c r="G5090" s="28">
        <v>46023</v>
      </c>
      <c r="H5090" s="26" t="s">
        <v>2522</v>
      </c>
      <c r="I5090" s="49">
        <v>27500</v>
      </c>
      <c r="J5090" s="24">
        <v>1</v>
      </c>
      <c r="K5090" s="24"/>
      <c r="L5090" s="91">
        <v>0</v>
      </c>
      <c r="M5090" s="24"/>
      <c r="N5090" s="12">
        <f t="shared" si="197"/>
        <v>1</v>
      </c>
      <c r="O5090" s="11">
        <f t="shared" si="198"/>
        <v>27500</v>
      </c>
      <c r="P5090" s="10">
        <v>196</v>
      </c>
      <c r="Q5090" s="10" t="s">
        <v>1928</v>
      </c>
      <c r="R5090" s="50">
        <f>+テーブル1[[#This Row],[合計金額]]*テーブル1[[#This Row],[自社報酬率％]]/100</f>
        <v>27500</v>
      </c>
    </row>
    <row r="5091" spans="1:18">
      <c r="A5091" s="7">
        <v>46023</v>
      </c>
      <c r="B5091" t="s">
        <v>43</v>
      </c>
      <c r="C5091" s="147" t="s">
        <v>15</v>
      </c>
      <c r="D5091" s="41">
        <v>100</v>
      </c>
      <c r="E5091" s="41">
        <v>100</v>
      </c>
      <c r="F5091" s="18" t="s">
        <v>17</v>
      </c>
      <c r="G5091" s="28">
        <v>46023</v>
      </c>
      <c r="H5091" s="26" t="s">
        <v>2676</v>
      </c>
      <c r="I5091" s="49">
        <v>29975</v>
      </c>
      <c r="J5091" s="24">
        <v>5</v>
      </c>
      <c r="K5091" s="24"/>
      <c r="L5091" s="91">
        <v>0</v>
      </c>
      <c r="M5091" s="24"/>
      <c r="N5091" s="12">
        <f t="shared" si="197"/>
        <v>5</v>
      </c>
      <c r="O5091" s="11">
        <f t="shared" si="198"/>
        <v>149875</v>
      </c>
      <c r="P5091" s="10">
        <v>197</v>
      </c>
      <c r="Q5091" s="10" t="s">
        <v>1928</v>
      </c>
      <c r="R5091" s="50">
        <f>+テーブル1[[#This Row],[合計金額]]*テーブル1[[#This Row],[自社報酬率％]]/100</f>
        <v>149875</v>
      </c>
    </row>
    <row r="5092" spans="1:18">
      <c r="A5092" s="7">
        <v>46023</v>
      </c>
      <c r="B5092" t="s">
        <v>43</v>
      </c>
      <c r="C5092" s="147" t="s">
        <v>15</v>
      </c>
      <c r="D5092" s="41">
        <v>100</v>
      </c>
      <c r="E5092" s="41">
        <v>100</v>
      </c>
      <c r="F5092" s="18" t="s">
        <v>17</v>
      </c>
      <c r="G5092" s="28">
        <v>46023</v>
      </c>
      <c r="H5092" s="26" t="s">
        <v>2775</v>
      </c>
      <c r="I5092" s="49">
        <v>29975</v>
      </c>
      <c r="J5092" s="24">
        <v>2</v>
      </c>
      <c r="K5092" s="24"/>
      <c r="L5092" s="91">
        <v>0</v>
      </c>
      <c r="M5092" s="24"/>
      <c r="N5092" s="12">
        <f t="shared" si="197"/>
        <v>2</v>
      </c>
      <c r="O5092" s="11">
        <f t="shared" si="198"/>
        <v>59950</v>
      </c>
      <c r="P5092" s="10">
        <v>198</v>
      </c>
      <c r="Q5092" s="10" t="s">
        <v>1928</v>
      </c>
      <c r="R5092" s="50">
        <f>+テーブル1[[#This Row],[合計金額]]*テーブル1[[#This Row],[自社報酬率％]]/100</f>
        <v>59950</v>
      </c>
    </row>
    <row r="5093" spans="1:18">
      <c r="A5093" s="7">
        <v>46023</v>
      </c>
      <c r="B5093" t="s">
        <v>43</v>
      </c>
      <c r="C5093" s="147" t="s">
        <v>15</v>
      </c>
      <c r="D5093" s="41">
        <v>100</v>
      </c>
      <c r="E5093" s="41">
        <v>100</v>
      </c>
      <c r="F5093" s="72" t="s">
        <v>19</v>
      </c>
      <c r="G5093" s="85">
        <v>46054</v>
      </c>
      <c r="H5093" s="26" t="s">
        <v>324</v>
      </c>
      <c r="I5093" s="49">
        <v>8900</v>
      </c>
      <c r="J5093" s="73">
        <v>1</v>
      </c>
      <c r="K5093" s="24"/>
      <c r="L5093" s="90">
        <v>0</v>
      </c>
      <c r="M5093" s="24"/>
      <c r="N5093" s="93">
        <f t="shared" si="197"/>
        <v>1</v>
      </c>
      <c r="O5093" s="11">
        <f t="shared" si="198"/>
        <v>8900</v>
      </c>
      <c r="P5093" s="10">
        <v>199</v>
      </c>
      <c r="Q5093" s="10" t="s">
        <v>1928</v>
      </c>
      <c r="R5093" s="50">
        <f>+テーブル1[[#This Row],[合計金額]]*テーブル1[[#This Row],[自社報酬率％]]/100</f>
        <v>8900</v>
      </c>
    </row>
    <row r="5094" spans="1:18">
      <c r="A5094" s="7">
        <v>46023</v>
      </c>
      <c r="B5094" t="s">
        <v>43</v>
      </c>
      <c r="C5094" s="147" t="s">
        <v>15</v>
      </c>
      <c r="D5094" s="41">
        <v>100</v>
      </c>
      <c r="E5094" s="41">
        <v>100</v>
      </c>
      <c r="F5094" s="101" t="s">
        <v>19</v>
      </c>
      <c r="G5094" s="102">
        <v>46082</v>
      </c>
      <c r="H5094" s="26" t="s">
        <v>3351</v>
      </c>
      <c r="I5094" s="49">
        <v>8900</v>
      </c>
      <c r="J5094" s="24">
        <v>1</v>
      </c>
      <c r="K5094" s="24"/>
      <c r="L5094" s="91">
        <v>0</v>
      </c>
      <c r="M5094" s="24"/>
      <c r="N5094" s="94">
        <f t="shared" si="197"/>
        <v>1</v>
      </c>
      <c r="O5094" s="11">
        <f t="shared" si="198"/>
        <v>8900</v>
      </c>
      <c r="P5094" s="10">
        <v>200</v>
      </c>
      <c r="Q5094" s="10" t="s">
        <v>1928</v>
      </c>
      <c r="R5094" s="50">
        <f>+テーブル1[[#This Row],[合計金額]]*テーブル1[[#This Row],[自社報酬率％]]/100</f>
        <v>8900</v>
      </c>
    </row>
    <row r="5095" spans="1:18">
      <c r="A5095" s="7">
        <v>46023</v>
      </c>
      <c r="B5095" t="s">
        <v>43</v>
      </c>
      <c r="C5095" s="147" t="s">
        <v>15</v>
      </c>
      <c r="D5095" s="41">
        <v>100</v>
      </c>
      <c r="E5095" s="41">
        <v>100</v>
      </c>
      <c r="F5095" s="101" t="s">
        <v>19</v>
      </c>
      <c r="G5095" s="102">
        <v>46113</v>
      </c>
      <c r="H5095" s="26" t="s">
        <v>3352</v>
      </c>
      <c r="I5095" s="49">
        <v>8900</v>
      </c>
      <c r="J5095" s="24">
        <v>1</v>
      </c>
      <c r="K5095" s="24"/>
      <c r="L5095" s="91">
        <v>0</v>
      </c>
      <c r="M5095" s="24"/>
      <c r="N5095" s="94">
        <f t="shared" si="197"/>
        <v>1</v>
      </c>
      <c r="O5095" s="11">
        <f t="shared" si="198"/>
        <v>8900</v>
      </c>
      <c r="P5095" s="10">
        <v>201</v>
      </c>
      <c r="Q5095" s="10" t="s">
        <v>1928</v>
      </c>
      <c r="R5095" s="50">
        <f>+テーブル1[[#This Row],[合計金額]]*テーブル1[[#This Row],[自社報酬率％]]/100</f>
        <v>8900</v>
      </c>
    </row>
    <row r="5096" spans="1:18">
      <c r="A5096" s="7">
        <v>46023</v>
      </c>
      <c r="B5096" t="s">
        <v>43</v>
      </c>
      <c r="C5096" s="147" t="s">
        <v>15</v>
      </c>
      <c r="D5096" s="41">
        <v>100</v>
      </c>
      <c r="E5096" s="41">
        <v>100</v>
      </c>
      <c r="F5096" s="101" t="s">
        <v>19</v>
      </c>
      <c r="G5096" s="102">
        <v>46143</v>
      </c>
      <c r="H5096" s="26" t="s">
        <v>3353</v>
      </c>
      <c r="I5096" s="49">
        <v>8900</v>
      </c>
      <c r="J5096" s="24">
        <v>1</v>
      </c>
      <c r="K5096" s="24"/>
      <c r="L5096" s="91">
        <v>0</v>
      </c>
      <c r="M5096" s="24"/>
      <c r="N5096" s="94">
        <f t="shared" si="197"/>
        <v>1</v>
      </c>
      <c r="O5096" s="11">
        <f t="shared" si="198"/>
        <v>8900</v>
      </c>
      <c r="P5096" s="10">
        <v>202</v>
      </c>
      <c r="Q5096" s="10" t="s">
        <v>1928</v>
      </c>
      <c r="R5096" s="50">
        <f>+テーブル1[[#This Row],[合計金額]]*テーブル1[[#This Row],[自社報酬率％]]/100</f>
        <v>8900</v>
      </c>
    </row>
    <row r="5097" spans="1:18">
      <c r="A5097" s="7">
        <v>46023</v>
      </c>
      <c r="B5097" t="s">
        <v>43</v>
      </c>
      <c r="C5097" s="147" t="s">
        <v>15</v>
      </c>
      <c r="D5097" s="41">
        <v>100</v>
      </c>
      <c r="E5097" s="41">
        <v>100</v>
      </c>
      <c r="F5097" s="101" t="s">
        <v>19</v>
      </c>
      <c r="G5097" s="102">
        <v>46174</v>
      </c>
      <c r="H5097" s="26" t="s">
        <v>3354</v>
      </c>
      <c r="I5097" s="49">
        <v>8900</v>
      </c>
      <c r="J5097" s="24">
        <v>1</v>
      </c>
      <c r="K5097" s="24"/>
      <c r="L5097" s="91">
        <v>0</v>
      </c>
      <c r="M5097" s="24"/>
      <c r="N5097" s="94">
        <f t="shared" si="197"/>
        <v>1</v>
      </c>
      <c r="O5097" s="11">
        <f t="shared" si="198"/>
        <v>8900</v>
      </c>
      <c r="P5097" s="10">
        <v>203</v>
      </c>
      <c r="Q5097" s="10" t="s">
        <v>1928</v>
      </c>
      <c r="R5097" s="50">
        <f>+テーブル1[[#This Row],[合計金額]]*テーブル1[[#This Row],[自社報酬率％]]/100</f>
        <v>8900</v>
      </c>
    </row>
    <row r="5098" spans="1:18">
      <c r="A5098" s="7">
        <v>46023</v>
      </c>
      <c r="B5098" t="s">
        <v>43</v>
      </c>
      <c r="C5098" s="147" t="s">
        <v>15</v>
      </c>
      <c r="D5098" s="41">
        <v>100</v>
      </c>
      <c r="E5098" s="41">
        <v>100</v>
      </c>
      <c r="F5098" s="76" t="s">
        <v>19</v>
      </c>
      <c r="G5098" s="86">
        <v>46204</v>
      </c>
      <c r="H5098" s="26" t="s">
        <v>3355</v>
      </c>
      <c r="I5098" s="49">
        <v>8900</v>
      </c>
      <c r="J5098" s="77">
        <v>1</v>
      </c>
      <c r="K5098" s="24"/>
      <c r="L5098" s="92">
        <v>0</v>
      </c>
      <c r="M5098" s="24"/>
      <c r="N5098" s="95">
        <f t="shared" ref="N5098:N5129" si="199">J5098-L5098</f>
        <v>1</v>
      </c>
      <c r="O5098" s="11">
        <f t="shared" ref="O5098:O5129" si="200">+I5098*N5098</f>
        <v>8900</v>
      </c>
      <c r="P5098" s="10">
        <v>204</v>
      </c>
      <c r="Q5098" s="10" t="s">
        <v>1928</v>
      </c>
      <c r="R5098" s="50">
        <f>+テーブル1[[#This Row],[合計金額]]*テーブル1[[#This Row],[自社報酬率％]]/100</f>
        <v>8900</v>
      </c>
    </row>
    <row r="5099" spans="1:18">
      <c r="A5099" s="7">
        <v>46023</v>
      </c>
      <c r="B5099" t="s">
        <v>43</v>
      </c>
      <c r="C5099" s="147" t="s">
        <v>15</v>
      </c>
      <c r="D5099" s="41">
        <v>100</v>
      </c>
      <c r="E5099" s="41">
        <v>100</v>
      </c>
      <c r="F5099" s="101" t="s">
        <v>16</v>
      </c>
      <c r="G5099" s="102">
        <v>46054</v>
      </c>
      <c r="H5099" s="26" t="s">
        <v>3356</v>
      </c>
      <c r="I5099" s="49">
        <v>11000</v>
      </c>
      <c r="J5099" s="24">
        <v>1</v>
      </c>
      <c r="K5099" s="24"/>
      <c r="L5099" s="91">
        <v>0</v>
      </c>
      <c r="M5099" s="24"/>
      <c r="N5099" s="12">
        <f t="shared" si="199"/>
        <v>1</v>
      </c>
      <c r="O5099" s="11">
        <f t="shared" si="200"/>
        <v>11000</v>
      </c>
      <c r="P5099" s="10">
        <v>205</v>
      </c>
      <c r="Q5099" s="10" t="s">
        <v>1928</v>
      </c>
      <c r="R5099" s="50">
        <f>+テーブル1[[#This Row],[合計金額]]*テーブル1[[#This Row],[自社報酬率％]]/100</f>
        <v>11000</v>
      </c>
    </row>
    <row r="5100" spans="1:18">
      <c r="A5100" s="7">
        <v>46023</v>
      </c>
      <c r="B5100" t="s">
        <v>43</v>
      </c>
      <c r="C5100" s="147" t="s">
        <v>15</v>
      </c>
      <c r="D5100" s="41">
        <v>100</v>
      </c>
      <c r="E5100" s="41">
        <v>100</v>
      </c>
      <c r="F5100" s="76" t="s">
        <v>16</v>
      </c>
      <c r="G5100" s="86">
        <v>46054</v>
      </c>
      <c r="H5100" s="26" t="s">
        <v>3357</v>
      </c>
      <c r="I5100" s="49">
        <v>3000</v>
      </c>
      <c r="J5100" s="77">
        <v>9</v>
      </c>
      <c r="K5100" s="24"/>
      <c r="L5100" s="92">
        <v>0</v>
      </c>
      <c r="M5100" s="24"/>
      <c r="N5100" s="96">
        <f t="shared" si="199"/>
        <v>9</v>
      </c>
      <c r="O5100" s="11">
        <f t="shared" si="200"/>
        <v>27000</v>
      </c>
      <c r="P5100" s="10">
        <v>206</v>
      </c>
      <c r="Q5100" s="10" t="s">
        <v>1928</v>
      </c>
      <c r="R5100" s="50">
        <f>+テーブル1[[#This Row],[合計金額]]*テーブル1[[#This Row],[自社報酬率％]]/100</f>
        <v>27000</v>
      </c>
    </row>
    <row r="5101" spans="1:18">
      <c r="A5101" s="7">
        <v>46023</v>
      </c>
      <c r="B5101" t="s">
        <v>43</v>
      </c>
      <c r="C5101" s="79" t="s">
        <v>1962</v>
      </c>
      <c r="D5101" s="41">
        <v>50</v>
      </c>
      <c r="E5101" s="41">
        <v>50</v>
      </c>
      <c r="F5101" s="72" t="s">
        <v>17</v>
      </c>
      <c r="G5101" s="85">
        <v>46054</v>
      </c>
      <c r="H5101" s="26" t="s">
        <v>3358</v>
      </c>
      <c r="I5101" s="49">
        <v>3960</v>
      </c>
      <c r="J5101" s="73">
        <v>1</v>
      </c>
      <c r="K5101" s="24"/>
      <c r="L5101" s="90">
        <v>0</v>
      </c>
      <c r="M5101" s="24"/>
      <c r="N5101" s="93">
        <f t="shared" si="199"/>
        <v>1</v>
      </c>
      <c r="O5101" s="11">
        <f t="shared" si="200"/>
        <v>3960</v>
      </c>
      <c r="P5101" s="10">
        <v>207</v>
      </c>
      <c r="Q5101" s="10" t="s">
        <v>1928</v>
      </c>
      <c r="R5101" s="50">
        <f>+テーブル1[[#This Row],[合計金額]]*テーブル1[[#This Row],[自社報酬率％]]/100</f>
        <v>1980</v>
      </c>
    </row>
    <row r="5102" spans="1:18">
      <c r="A5102" s="7">
        <v>46023</v>
      </c>
      <c r="B5102" t="s">
        <v>43</v>
      </c>
      <c r="C5102" s="80" t="s">
        <v>1962</v>
      </c>
      <c r="D5102" s="41">
        <v>50</v>
      </c>
      <c r="E5102" s="41">
        <v>50</v>
      </c>
      <c r="F5102" s="101" t="s">
        <v>17</v>
      </c>
      <c r="G5102" s="102">
        <v>46082</v>
      </c>
      <c r="H5102" s="26" t="s">
        <v>3359</v>
      </c>
      <c r="I5102" s="49">
        <v>3960</v>
      </c>
      <c r="J5102" s="24">
        <v>1</v>
      </c>
      <c r="K5102" s="24"/>
      <c r="L5102" s="91">
        <v>0</v>
      </c>
      <c r="M5102" s="24"/>
      <c r="N5102" s="94">
        <f t="shared" si="199"/>
        <v>1</v>
      </c>
      <c r="O5102" s="11">
        <f t="shared" si="200"/>
        <v>3960</v>
      </c>
      <c r="P5102" s="10">
        <v>208</v>
      </c>
      <c r="Q5102" s="10" t="s">
        <v>1928</v>
      </c>
      <c r="R5102" s="50">
        <f>+テーブル1[[#This Row],[合計金額]]*テーブル1[[#This Row],[自社報酬率％]]/100</f>
        <v>1980</v>
      </c>
    </row>
    <row r="5103" spans="1:18">
      <c r="A5103" s="7">
        <v>46023</v>
      </c>
      <c r="B5103" t="s">
        <v>43</v>
      </c>
      <c r="C5103" s="80" t="s">
        <v>1962</v>
      </c>
      <c r="D5103" s="41">
        <v>50</v>
      </c>
      <c r="E5103" s="41">
        <v>50</v>
      </c>
      <c r="F5103" s="101" t="s">
        <v>17</v>
      </c>
      <c r="G5103" s="102">
        <v>46113</v>
      </c>
      <c r="H5103" s="26" t="s">
        <v>3360</v>
      </c>
      <c r="I5103" s="49">
        <v>3960</v>
      </c>
      <c r="J5103" s="24">
        <v>1</v>
      </c>
      <c r="K5103" s="24"/>
      <c r="L5103" s="91">
        <v>0</v>
      </c>
      <c r="M5103" s="24"/>
      <c r="N5103" s="94">
        <f t="shared" si="199"/>
        <v>1</v>
      </c>
      <c r="O5103" s="11">
        <f t="shared" si="200"/>
        <v>3960</v>
      </c>
      <c r="P5103" s="10">
        <v>209</v>
      </c>
      <c r="Q5103" s="10" t="s">
        <v>1928</v>
      </c>
      <c r="R5103" s="50">
        <f>+テーブル1[[#This Row],[合計金額]]*テーブル1[[#This Row],[自社報酬率％]]/100</f>
        <v>1980</v>
      </c>
    </row>
    <row r="5104" spans="1:18">
      <c r="A5104" s="7">
        <v>46023</v>
      </c>
      <c r="B5104" t="s">
        <v>43</v>
      </c>
      <c r="C5104" s="80" t="s">
        <v>1962</v>
      </c>
      <c r="D5104" s="41">
        <v>50</v>
      </c>
      <c r="E5104" s="41">
        <v>50</v>
      </c>
      <c r="F5104" s="101" t="s">
        <v>17</v>
      </c>
      <c r="G5104" s="102">
        <v>46143</v>
      </c>
      <c r="H5104" s="26" t="s">
        <v>3361</v>
      </c>
      <c r="I5104" s="49">
        <v>3960</v>
      </c>
      <c r="J5104" s="24">
        <v>1</v>
      </c>
      <c r="K5104" s="24"/>
      <c r="L5104" s="91">
        <v>0</v>
      </c>
      <c r="M5104" s="24"/>
      <c r="N5104" s="94">
        <f t="shared" si="199"/>
        <v>1</v>
      </c>
      <c r="O5104" s="11">
        <f t="shared" si="200"/>
        <v>3960</v>
      </c>
      <c r="P5104" s="10">
        <v>210</v>
      </c>
      <c r="Q5104" s="10" t="s">
        <v>1928</v>
      </c>
      <c r="R5104" s="50">
        <f>+テーブル1[[#This Row],[合計金額]]*テーブル1[[#This Row],[自社報酬率％]]/100</f>
        <v>1980</v>
      </c>
    </row>
    <row r="5105" spans="1:18">
      <c r="A5105" s="7">
        <v>46023</v>
      </c>
      <c r="B5105" t="s">
        <v>43</v>
      </c>
      <c r="C5105" s="80" t="s">
        <v>1962</v>
      </c>
      <c r="D5105" s="41">
        <v>50</v>
      </c>
      <c r="E5105" s="41">
        <v>50</v>
      </c>
      <c r="F5105" s="101" t="s">
        <v>17</v>
      </c>
      <c r="G5105" s="102">
        <v>46174</v>
      </c>
      <c r="H5105" s="26" t="s">
        <v>3362</v>
      </c>
      <c r="I5105" s="49">
        <v>3960</v>
      </c>
      <c r="J5105" s="24">
        <v>1</v>
      </c>
      <c r="K5105" s="24"/>
      <c r="L5105" s="91">
        <v>0</v>
      </c>
      <c r="M5105" s="24"/>
      <c r="N5105" s="94">
        <f t="shared" si="199"/>
        <v>1</v>
      </c>
      <c r="O5105" s="11">
        <f t="shared" si="200"/>
        <v>3960</v>
      </c>
      <c r="P5105" s="10">
        <v>211</v>
      </c>
      <c r="Q5105" s="10" t="s">
        <v>1928</v>
      </c>
      <c r="R5105" s="50">
        <f>+テーブル1[[#This Row],[合計金額]]*テーブル1[[#This Row],[自社報酬率％]]/100</f>
        <v>1980</v>
      </c>
    </row>
    <row r="5106" spans="1:18">
      <c r="A5106" s="7">
        <v>46023</v>
      </c>
      <c r="B5106" t="s">
        <v>43</v>
      </c>
      <c r="C5106" s="80" t="s">
        <v>1962</v>
      </c>
      <c r="D5106" s="41">
        <v>50</v>
      </c>
      <c r="E5106" s="41">
        <v>50</v>
      </c>
      <c r="F5106" s="101" t="s">
        <v>17</v>
      </c>
      <c r="G5106" s="102">
        <v>46204</v>
      </c>
      <c r="H5106" s="26" t="s">
        <v>3363</v>
      </c>
      <c r="I5106" s="49">
        <v>3960</v>
      </c>
      <c r="J5106" s="24">
        <v>1</v>
      </c>
      <c r="K5106" s="24"/>
      <c r="L5106" s="91">
        <v>0</v>
      </c>
      <c r="M5106" s="24"/>
      <c r="N5106" s="94">
        <f t="shared" si="199"/>
        <v>1</v>
      </c>
      <c r="O5106" s="11">
        <f t="shared" si="200"/>
        <v>3960</v>
      </c>
      <c r="P5106" s="10">
        <v>212</v>
      </c>
      <c r="Q5106" s="10" t="s">
        <v>1928</v>
      </c>
      <c r="R5106" s="50">
        <f>+テーブル1[[#This Row],[合計金額]]*テーブル1[[#This Row],[自社報酬率％]]/100</f>
        <v>1980</v>
      </c>
    </row>
    <row r="5107" spans="1:18">
      <c r="A5107" s="7">
        <v>46023</v>
      </c>
      <c r="B5107" t="s">
        <v>43</v>
      </c>
      <c r="C5107" s="80" t="s">
        <v>1962</v>
      </c>
      <c r="D5107" s="41">
        <v>50</v>
      </c>
      <c r="E5107" s="41">
        <v>50</v>
      </c>
      <c r="F5107" s="101" t="s">
        <v>17</v>
      </c>
      <c r="G5107" s="102">
        <v>46235</v>
      </c>
      <c r="H5107" s="26" t="s">
        <v>3364</v>
      </c>
      <c r="I5107" s="49">
        <v>3960</v>
      </c>
      <c r="J5107" s="24">
        <v>1</v>
      </c>
      <c r="K5107" s="24"/>
      <c r="L5107" s="91">
        <v>0</v>
      </c>
      <c r="M5107" s="24"/>
      <c r="N5107" s="94">
        <f t="shared" si="199"/>
        <v>1</v>
      </c>
      <c r="O5107" s="11">
        <f t="shared" si="200"/>
        <v>3960</v>
      </c>
      <c r="P5107" s="10">
        <v>213</v>
      </c>
      <c r="Q5107" s="10" t="s">
        <v>1928</v>
      </c>
      <c r="R5107" s="50">
        <f>+テーブル1[[#This Row],[合計金額]]*テーブル1[[#This Row],[自社報酬率％]]/100</f>
        <v>1980</v>
      </c>
    </row>
    <row r="5108" spans="1:18">
      <c r="A5108" s="7">
        <v>46023</v>
      </c>
      <c r="B5108" t="s">
        <v>43</v>
      </c>
      <c r="C5108" s="80" t="s">
        <v>1962</v>
      </c>
      <c r="D5108" s="41">
        <v>50</v>
      </c>
      <c r="E5108" s="41">
        <v>50</v>
      </c>
      <c r="F5108" s="101" t="s">
        <v>17</v>
      </c>
      <c r="G5108" s="102">
        <v>46266</v>
      </c>
      <c r="H5108" s="26" t="s">
        <v>3365</v>
      </c>
      <c r="I5108" s="49">
        <v>3960</v>
      </c>
      <c r="J5108" s="24">
        <v>1</v>
      </c>
      <c r="K5108" s="24"/>
      <c r="L5108" s="91">
        <v>0</v>
      </c>
      <c r="M5108" s="24"/>
      <c r="N5108" s="94">
        <f t="shared" si="199"/>
        <v>1</v>
      </c>
      <c r="O5108" s="11">
        <f t="shared" si="200"/>
        <v>3960</v>
      </c>
      <c r="P5108" s="10">
        <v>214</v>
      </c>
      <c r="Q5108" s="10" t="s">
        <v>1928</v>
      </c>
      <c r="R5108" s="50">
        <f>+テーブル1[[#This Row],[合計金額]]*テーブル1[[#This Row],[自社報酬率％]]/100</f>
        <v>1980</v>
      </c>
    </row>
    <row r="5109" spans="1:18">
      <c r="A5109" s="7">
        <v>46023</v>
      </c>
      <c r="B5109" t="s">
        <v>43</v>
      </c>
      <c r="C5109" s="80" t="s">
        <v>1962</v>
      </c>
      <c r="D5109" s="41">
        <v>50</v>
      </c>
      <c r="E5109" s="41">
        <v>50</v>
      </c>
      <c r="F5109" s="101" t="s">
        <v>17</v>
      </c>
      <c r="G5109" s="102">
        <v>46296</v>
      </c>
      <c r="H5109" s="26" t="s">
        <v>3366</v>
      </c>
      <c r="I5109" s="49">
        <v>3960</v>
      </c>
      <c r="J5109" s="24">
        <v>1</v>
      </c>
      <c r="K5109" s="24"/>
      <c r="L5109" s="91">
        <v>0</v>
      </c>
      <c r="M5109" s="24"/>
      <c r="N5109" s="94">
        <f t="shared" si="199"/>
        <v>1</v>
      </c>
      <c r="O5109" s="11">
        <f t="shared" si="200"/>
        <v>3960</v>
      </c>
      <c r="P5109" s="10">
        <v>215</v>
      </c>
      <c r="Q5109" s="10" t="s">
        <v>1928</v>
      </c>
      <c r="R5109" s="50">
        <f>+テーブル1[[#This Row],[合計金額]]*テーブル1[[#This Row],[自社報酬率％]]/100</f>
        <v>1980</v>
      </c>
    </row>
    <row r="5110" spans="1:18">
      <c r="A5110" s="7">
        <v>46023</v>
      </c>
      <c r="B5110" t="s">
        <v>43</v>
      </c>
      <c r="C5110" s="80" t="s">
        <v>1962</v>
      </c>
      <c r="D5110" s="41">
        <v>50</v>
      </c>
      <c r="E5110" s="41">
        <v>50</v>
      </c>
      <c r="F5110" s="101" t="s">
        <v>17</v>
      </c>
      <c r="G5110" s="102">
        <v>46327</v>
      </c>
      <c r="H5110" s="26" t="s">
        <v>3367</v>
      </c>
      <c r="I5110" s="49">
        <v>3960</v>
      </c>
      <c r="J5110" s="24">
        <v>1</v>
      </c>
      <c r="K5110" s="24"/>
      <c r="L5110" s="91">
        <v>0</v>
      </c>
      <c r="M5110" s="24"/>
      <c r="N5110" s="94">
        <f t="shared" si="199"/>
        <v>1</v>
      </c>
      <c r="O5110" s="11">
        <f t="shared" si="200"/>
        <v>3960</v>
      </c>
      <c r="P5110" s="10">
        <v>216</v>
      </c>
      <c r="Q5110" s="10" t="s">
        <v>1928</v>
      </c>
      <c r="R5110" s="50">
        <f>+テーブル1[[#This Row],[合計金額]]*テーブル1[[#This Row],[自社報酬率％]]/100</f>
        <v>1980</v>
      </c>
    </row>
    <row r="5111" spans="1:18">
      <c r="A5111" s="7">
        <v>46023</v>
      </c>
      <c r="B5111" t="s">
        <v>43</v>
      </c>
      <c r="C5111" s="80" t="s">
        <v>1962</v>
      </c>
      <c r="D5111" s="41">
        <v>50</v>
      </c>
      <c r="E5111" s="41">
        <v>50</v>
      </c>
      <c r="F5111" s="101" t="s">
        <v>17</v>
      </c>
      <c r="G5111" s="102">
        <v>46357</v>
      </c>
      <c r="H5111" s="26" t="s">
        <v>3368</v>
      </c>
      <c r="I5111" s="49">
        <v>3960</v>
      </c>
      <c r="J5111" s="24">
        <v>1</v>
      </c>
      <c r="K5111" s="24"/>
      <c r="L5111" s="91">
        <v>0</v>
      </c>
      <c r="M5111" s="24"/>
      <c r="N5111" s="94">
        <f t="shared" si="199"/>
        <v>1</v>
      </c>
      <c r="O5111" s="11">
        <f t="shared" si="200"/>
        <v>3960</v>
      </c>
      <c r="P5111" s="10">
        <v>217</v>
      </c>
      <c r="Q5111" s="10" t="s">
        <v>3188</v>
      </c>
      <c r="R5111" s="50">
        <f>+テーブル1[[#This Row],[合計金額]]*テーブル1[[#This Row],[自社報酬率％]]/100</f>
        <v>1980</v>
      </c>
    </row>
    <row r="5112" spans="1:18">
      <c r="A5112" s="7">
        <v>46023</v>
      </c>
      <c r="B5112" t="s">
        <v>43</v>
      </c>
      <c r="C5112" s="81" t="s">
        <v>1962</v>
      </c>
      <c r="D5112" s="41">
        <v>50</v>
      </c>
      <c r="E5112" s="41">
        <v>50</v>
      </c>
      <c r="F5112" s="76" t="s">
        <v>17</v>
      </c>
      <c r="G5112" s="86">
        <v>46388</v>
      </c>
      <c r="H5112" s="26" t="s">
        <v>3369</v>
      </c>
      <c r="I5112" s="49">
        <v>3960</v>
      </c>
      <c r="J5112" s="77">
        <v>1</v>
      </c>
      <c r="K5112" s="24"/>
      <c r="L5112" s="92">
        <v>0</v>
      </c>
      <c r="M5112" s="24"/>
      <c r="N5112" s="95">
        <f t="shared" si="199"/>
        <v>1</v>
      </c>
      <c r="O5112" s="11">
        <f t="shared" si="200"/>
        <v>3960</v>
      </c>
      <c r="P5112" s="10">
        <v>218</v>
      </c>
      <c r="Q5112" s="10" t="s">
        <v>3188</v>
      </c>
      <c r="R5112" s="50">
        <f>+テーブル1[[#This Row],[合計金額]]*テーブル1[[#This Row],[自社報酬率％]]/100</f>
        <v>1980</v>
      </c>
    </row>
    <row r="5113" spans="1:18">
      <c r="A5113" s="7">
        <v>46023</v>
      </c>
      <c r="B5113" t="s">
        <v>43</v>
      </c>
      <c r="C5113" s="79" t="s">
        <v>1962</v>
      </c>
      <c r="D5113" s="41">
        <v>50</v>
      </c>
      <c r="E5113" s="41">
        <v>50</v>
      </c>
      <c r="F5113" s="72" t="s">
        <v>17</v>
      </c>
      <c r="G5113" s="85">
        <v>46054</v>
      </c>
      <c r="H5113" s="26" t="s">
        <v>3370</v>
      </c>
      <c r="I5113" s="49">
        <v>3960</v>
      </c>
      <c r="J5113" s="73">
        <v>1</v>
      </c>
      <c r="K5113" s="24"/>
      <c r="L5113" s="90">
        <v>0</v>
      </c>
      <c r="M5113" s="24"/>
      <c r="N5113" s="93">
        <f t="shared" si="199"/>
        <v>1</v>
      </c>
      <c r="O5113" s="11">
        <f t="shared" si="200"/>
        <v>3960</v>
      </c>
      <c r="P5113" s="10">
        <v>219</v>
      </c>
      <c r="Q5113" s="10" t="s">
        <v>1928</v>
      </c>
      <c r="R5113" s="50">
        <f>+テーブル1[[#This Row],[合計金額]]*テーブル1[[#This Row],[自社報酬率％]]/100</f>
        <v>1980</v>
      </c>
    </row>
    <row r="5114" spans="1:18">
      <c r="A5114" s="7">
        <v>46023</v>
      </c>
      <c r="B5114" t="s">
        <v>43</v>
      </c>
      <c r="C5114" s="80" t="s">
        <v>1962</v>
      </c>
      <c r="D5114" s="41">
        <v>50</v>
      </c>
      <c r="E5114" s="41">
        <v>50</v>
      </c>
      <c r="F5114" s="101" t="s">
        <v>17</v>
      </c>
      <c r="G5114" s="102">
        <v>46082</v>
      </c>
      <c r="H5114" s="26" t="s">
        <v>3371</v>
      </c>
      <c r="I5114" s="49">
        <v>3960</v>
      </c>
      <c r="J5114" s="24">
        <v>1</v>
      </c>
      <c r="K5114" s="24"/>
      <c r="L5114" s="91">
        <v>0</v>
      </c>
      <c r="M5114" s="24"/>
      <c r="N5114" s="94">
        <f t="shared" si="199"/>
        <v>1</v>
      </c>
      <c r="O5114" s="11">
        <f t="shared" si="200"/>
        <v>3960</v>
      </c>
      <c r="P5114" s="10">
        <v>220</v>
      </c>
      <c r="Q5114" s="10" t="s">
        <v>1928</v>
      </c>
      <c r="R5114" s="50">
        <f>+テーブル1[[#This Row],[合計金額]]*テーブル1[[#This Row],[自社報酬率％]]/100</f>
        <v>1980</v>
      </c>
    </row>
    <row r="5115" spans="1:18">
      <c r="A5115" s="7">
        <v>46023</v>
      </c>
      <c r="B5115" t="s">
        <v>43</v>
      </c>
      <c r="C5115" s="80" t="s">
        <v>1962</v>
      </c>
      <c r="D5115" s="41">
        <v>50</v>
      </c>
      <c r="E5115" s="41">
        <v>50</v>
      </c>
      <c r="F5115" s="101" t="s">
        <v>17</v>
      </c>
      <c r="G5115" s="102">
        <v>46113</v>
      </c>
      <c r="H5115" s="26" t="s">
        <v>3372</v>
      </c>
      <c r="I5115" s="49">
        <v>3960</v>
      </c>
      <c r="J5115" s="24">
        <v>1</v>
      </c>
      <c r="K5115" s="24"/>
      <c r="L5115" s="91">
        <v>0</v>
      </c>
      <c r="M5115" s="24"/>
      <c r="N5115" s="94">
        <f t="shared" si="199"/>
        <v>1</v>
      </c>
      <c r="O5115" s="11">
        <f t="shared" si="200"/>
        <v>3960</v>
      </c>
      <c r="P5115" s="10">
        <v>221</v>
      </c>
      <c r="Q5115" s="10" t="s">
        <v>1928</v>
      </c>
      <c r="R5115" s="50">
        <f>+テーブル1[[#This Row],[合計金額]]*テーブル1[[#This Row],[自社報酬率％]]/100</f>
        <v>1980</v>
      </c>
    </row>
    <row r="5116" spans="1:18">
      <c r="A5116" s="7">
        <v>46023</v>
      </c>
      <c r="B5116" t="s">
        <v>43</v>
      </c>
      <c r="C5116" s="80" t="s">
        <v>1962</v>
      </c>
      <c r="D5116" s="41">
        <v>50</v>
      </c>
      <c r="E5116" s="41">
        <v>50</v>
      </c>
      <c r="F5116" s="101" t="s">
        <v>17</v>
      </c>
      <c r="G5116" s="102">
        <v>46143</v>
      </c>
      <c r="H5116" s="26" t="s">
        <v>3373</v>
      </c>
      <c r="I5116" s="49">
        <v>3960</v>
      </c>
      <c r="J5116" s="24">
        <v>1</v>
      </c>
      <c r="K5116" s="24"/>
      <c r="L5116" s="91">
        <v>0</v>
      </c>
      <c r="M5116" s="24"/>
      <c r="N5116" s="94">
        <f t="shared" si="199"/>
        <v>1</v>
      </c>
      <c r="O5116" s="11">
        <f t="shared" si="200"/>
        <v>3960</v>
      </c>
      <c r="P5116" s="10">
        <v>222</v>
      </c>
      <c r="Q5116" s="10" t="s">
        <v>1928</v>
      </c>
      <c r="R5116" s="50">
        <f>+テーブル1[[#This Row],[合計金額]]*テーブル1[[#This Row],[自社報酬率％]]/100</f>
        <v>1980</v>
      </c>
    </row>
    <row r="5117" spans="1:18">
      <c r="A5117" s="7">
        <v>46023</v>
      </c>
      <c r="B5117" t="s">
        <v>43</v>
      </c>
      <c r="C5117" s="80" t="s">
        <v>1962</v>
      </c>
      <c r="D5117" s="41">
        <v>50</v>
      </c>
      <c r="E5117" s="41">
        <v>50</v>
      </c>
      <c r="F5117" s="101" t="s">
        <v>17</v>
      </c>
      <c r="G5117" s="102">
        <v>46174</v>
      </c>
      <c r="H5117" s="26" t="s">
        <v>3374</v>
      </c>
      <c r="I5117" s="49">
        <v>3960</v>
      </c>
      <c r="J5117" s="24">
        <v>1</v>
      </c>
      <c r="K5117" s="24"/>
      <c r="L5117" s="91">
        <v>0</v>
      </c>
      <c r="M5117" s="24"/>
      <c r="N5117" s="94">
        <f t="shared" si="199"/>
        <v>1</v>
      </c>
      <c r="O5117" s="11">
        <f t="shared" si="200"/>
        <v>3960</v>
      </c>
      <c r="P5117" s="10">
        <v>223</v>
      </c>
      <c r="Q5117" s="10" t="s">
        <v>1928</v>
      </c>
      <c r="R5117" s="50">
        <f>+テーブル1[[#This Row],[合計金額]]*テーブル1[[#This Row],[自社報酬率％]]/100</f>
        <v>1980</v>
      </c>
    </row>
    <row r="5118" spans="1:18">
      <c r="A5118" s="7">
        <v>46023</v>
      </c>
      <c r="B5118" t="s">
        <v>43</v>
      </c>
      <c r="C5118" s="80" t="s">
        <v>1962</v>
      </c>
      <c r="D5118" s="41">
        <v>50</v>
      </c>
      <c r="E5118" s="41">
        <v>50</v>
      </c>
      <c r="F5118" s="101" t="s">
        <v>17</v>
      </c>
      <c r="G5118" s="102">
        <v>46204</v>
      </c>
      <c r="H5118" s="26" t="s">
        <v>3375</v>
      </c>
      <c r="I5118" s="49">
        <v>3960</v>
      </c>
      <c r="J5118" s="24">
        <v>1</v>
      </c>
      <c r="K5118" s="24"/>
      <c r="L5118" s="91">
        <v>0</v>
      </c>
      <c r="M5118" s="24"/>
      <c r="N5118" s="94">
        <f t="shared" si="199"/>
        <v>1</v>
      </c>
      <c r="O5118" s="11">
        <f t="shared" si="200"/>
        <v>3960</v>
      </c>
      <c r="P5118" s="10">
        <v>224</v>
      </c>
      <c r="Q5118" s="10" t="s">
        <v>1928</v>
      </c>
      <c r="R5118" s="50">
        <f>+テーブル1[[#This Row],[合計金額]]*テーブル1[[#This Row],[自社報酬率％]]/100</f>
        <v>1980</v>
      </c>
    </row>
    <row r="5119" spans="1:18">
      <c r="A5119" s="7">
        <v>46023</v>
      </c>
      <c r="B5119" t="s">
        <v>43</v>
      </c>
      <c r="C5119" s="80" t="s">
        <v>1962</v>
      </c>
      <c r="D5119" s="41">
        <v>50</v>
      </c>
      <c r="E5119" s="41">
        <v>50</v>
      </c>
      <c r="F5119" s="101" t="s">
        <v>17</v>
      </c>
      <c r="G5119" s="102">
        <v>46235</v>
      </c>
      <c r="H5119" s="26" t="s">
        <v>3376</v>
      </c>
      <c r="I5119" s="49">
        <v>3960</v>
      </c>
      <c r="J5119" s="24">
        <v>1</v>
      </c>
      <c r="K5119" s="24"/>
      <c r="L5119" s="91">
        <v>0</v>
      </c>
      <c r="M5119" s="24"/>
      <c r="N5119" s="94">
        <f t="shared" si="199"/>
        <v>1</v>
      </c>
      <c r="O5119" s="11">
        <f t="shared" si="200"/>
        <v>3960</v>
      </c>
      <c r="P5119" s="10">
        <v>225</v>
      </c>
      <c r="Q5119" s="10" t="s">
        <v>1928</v>
      </c>
      <c r="R5119" s="50">
        <f>+テーブル1[[#This Row],[合計金額]]*テーブル1[[#This Row],[自社報酬率％]]/100</f>
        <v>1980</v>
      </c>
    </row>
    <row r="5120" spans="1:18">
      <c r="A5120" s="7">
        <v>46023</v>
      </c>
      <c r="B5120" t="s">
        <v>43</v>
      </c>
      <c r="C5120" s="80" t="s">
        <v>1962</v>
      </c>
      <c r="D5120" s="41">
        <v>50</v>
      </c>
      <c r="E5120" s="41">
        <v>50</v>
      </c>
      <c r="F5120" s="101" t="s">
        <v>17</v>
      </c>
      <c r="G5120" s="102">
        <v>46266</v>
      </c>
      <c r="H5120" s="26" t="s">
        <v>3377</v>
      </c>
      <c r="I5120" s="49">
        <v>3960</v>
      </c>
      <c r="J5120" s="24">
        <v>1</v>
      </c>
      <c r="K5120" s="24"/>
      <c r="L5120" s="91">
        <v>0</v>
      </c>
      <c r="M5120" s="24"/>
      <c r="N5120" s="94">
        <f t="shared" si="199"/>
        <v>1</v>
      </c>
      <c r="O5120" s="11">
        <f t="shared" si="200"/>
        <v>3960</v>
      </c>
      <c r="P5120" s="10">
        <v>226</v>
      </c>
      <c r="Q5120" s="10" t="s">
        <v>1928</v>
      </c>
      <c r="R5120" s="50">
        <f>+テーブル1[[#This Row],[合計金額]]*テーブル1[[#This Row],[自社報酬率％]]/100</f>
        <v>1980</v>
      </c>
    </row>
    <row r="5121" spans="1:18">
      <c r="A5121" s="7">
        <v>46023</v>
      </c>
      <c r="B5121" t="s">
        <v>43</v>
      </c>
      <c r="C5121" s="80" t="s">
        <v>1962</v>
      </c>
      <c r="D5121" s="41">
        <v>50</v>
      </c>
      <c r="E5121" s="41">
        <v>50</v>
      </c>
      <c r="F5121" s="101" t="s">
        <v>17</v>
      </c>
      <c r="G5121" s="102">
        <v>46296</v>
      </c>
      <c r="H5121" s="26" t="s">
        <v>3378</v>
      </c>
      <c r="I5121" s="49">
        <v>3960</v>
      </c>
      <c r="J5121" s="24">
        <v>1</v>
      </c>
      <c r="K5121" s="24"/>
      <c r="L5121" s="91">
        <v>0</v>
      </c>
      <c r="M5121" s="24"/>
      <c r="N5121" s="94">
        <f t="shared" si="199"/>
        <v>1</v>
      </c>
      <c r="O5121" s="11">
        <f t="shared" si="200"/>
        <v>3960</v>
      </c>
      <c r="P5121" s="10">
        <v>227</v>
      </c>
      <c r="Q5121" s="10" t="s">
        <v>1928</v>
      </c>
      <c r="R5121" s="50">
        <f>+テーブル1[[#This Row],[合計金額]]*テーブル1[[#This Row],[自社報酬率％]]/100</f>
        <v>1980</v>
      </c>
    </row>
    <row r="5122" spans="1:18">
      <c r="A5122" s="7">
        <v>46023</v>
      </c>
      <c r="B5122" t="s">
        <v>43</v>
      </c>
      <c r="C5122" s="80" t="s">
        <v>1962</v>
      </c>
      <c r="D5122" s="41">
        <v>50</v>
      </c>
      <c r="E5122" s="41">
        <v>50</v>
      </c>
      <c r="F5122" s="101" t="s">
        <v>17</v>
      </c>
      <c r="G5122" s="102">
        <v>46327</v>
      </c>
      <c r="H5122" s="26" t="s">
        <v>3379</v>
      </c>
      <c r="I5122" s="49">
        <v>3960</v>
      </c>
      <c r="J5122" s="24">
        <v>1</v>
      </c>
      <c r="K5122" s="24"/>
      <c r="L5122" s="91">
        <v>0</v>
      </c>
      <c r="M5122" s="24"/>
      <c r="N5122" s="94">
        <f t="shared" si="199"/>
        <v>1</v>
      </c>
      <c r="O5122" s="11">
        <f t="shared" si="200"/>
        <v>3960</v>
      </c>
      <c r="P5122" s="10">
        <v>228</v>
      </c>
      <c r="Q5122" s="10" t="s">
        <v>1928</v>
      </c>
      <c r="R5122" s="50">
        <f>+テーブル1[[#This Row],[合計金額]]*テーブル1[[#This Row],[自社報酬率％]]/100</f>
        <v>1980</v>
      </c>
    </row>
    <row r="5123" spans="1:18">
      <c r="A5123" s="7">
        <v>46023</v>
      </c>
      <c r="B5123" t="s">
        <v>43</v>
      </c>
      <c r="C5123" s="80" t="s">
        <v>1962</v>
      </c>
      <c r="D5123" s="41">
        <v>50</v>
      </c>
      <c r="E5123" s="41">
        <v>50</v>
      </c>
      <c r="F5123" s="101" t="s">
        <v>17</v>
      </c>
      <c r="G5123" s="102">
        <v>46357</v>
      </c>
      <c r="H5123" s="26" t="s">
        <v>3380</v>
      </c>
      <c r="I5123" s="49">
        <v>3960</v>
      </c>
      <c r="J5123" s="24">
        <v>1</v>
      </c>
      <c r="K5123" s="24"/>
      <c r="L5123" s="91">
        <v>0</v>
      </c>
      <c r="M5123" s="24"/>
      <c r="N5123" s="94">
        <f t="shared" si="199"/>
        <v>1</v>
      </c>
      <c r="O5123" s="11">
        <f t="shared" si="200"/>
        <v>3960</v>
      </c>
      <c r="P5123" s="10">
        <v>229</v>
      </c>
      <c r="Q5123" s="10" t="s">
        <v>3188</v>
      </c>
      <c r="R5123" s="50">
        <f>+テーブル1[[#This Row],[合計金額]]*テーブル1[[#This Row],[自社報酬率％]]/100</f>
        <v>1980</v>
      </c>
    </row>
    <row r="5124" spans="1:18">
      <c r="A5124" s="7">
        <v>46023</v>
      </c>
      <c r="B5124" t="s">
        <v>43</v>
      </c>
      <c r="C5124" s="81" t="s">
        <v>1962</v>
      </c>
      <c r="D5124" s="41">
        <v>50</v>
      </c>
      <c r="E5124" s="41">
        <v>50</v>
      </c>
      <c r="F5124" s="76" t="s">
        <v>17</v>
      </c>
      <c r="G5124" s="86">
        <v>46388</v>
      </c>
      <c r="H5124" s="26" t="s">
        <v>3381</v>
      </c>
      <c r="I5124" s="49">
        <v>3960</v>
      </c>
      <c r="J5124" s="77">
        <v>1</v>
      </c>
      <c r="K5124" s="24"/>
      <c r="L5124" s="92">
        <v>0</v>
      </c>
      <c r="M5124" s="24"/>
      <c r="N5124" s="95">
        <f t="shared" si="199"/>
        <v>1</v>
      </c>
      <c r="O5124" s="11">
        <f t="shared" si="200"/>
        <v>3960</v>
      </c>
      <c r="P5124" s="10">
        <v>230</v>
      </c>
      <c r="Q5124" s="10" t="s">
        <v>3188</v>
      </c>
      <c r="R5124" s="50">
        <f>+テーブル1[[#This Row],[合計金額]]*テーブル1[[#This Row],[自社報酬率％]]/100</f>
        <v>1980</v>
      </c>
    </row>
    <row r="5125" spans="1:18">
      <c r="A5125" s="7">
        <v>46023</v>
      </c>
      <c r="B5125" t="s">
        <v>43</v>
      </c>
      <c r="C5125" s="18" t="s">
        <v>1962</v>
      </c>
      <c r="D5125" s="41">
        <v>50</v>
      </c>
      <c r="E5125" s="41">
        <v>50</v>
      </c>
      <c r="F5125" s="18" t="s">
        <v>19</v>
      </c>
      <c r="G5125" s="28">
        <v>46023</v>
      </c>
      <c r="H5125" s="26" t="s">
        <v>2434</v>
      </c>
      <c r="I5125" s="49">
        <v>72050</v>
      </c>
      <c r="J5125" s="24">
        <v>55</v>
      </c>
      <c r="K5125" s="24"/>
      <c r="L5125" s="91">
        <v>0</v>
      </c>
      <c r="M5125" s="24"/>
      <c r="N5125" s="12">
        <f t="shared" si="199"/>
        <v>55</v>
      </c>
      <c r="O5125" s="11">
        <f t="shared" si="200"/>
        <v>3962750</v>
      </c>
      <c r="P5125" s="10">
        <v>231</v>
      </c>
      <c r="Q5125" s="10" t="s">
        <v>1928</v>
      </c>
      <c r="R5125" s="50">
        <f>+テーブル1[[#This Row],[合計金額]]*テーブル1[[#This Row],[自社報酬率％]]/100</f>
        <v>1981375</v>
      </c>
    </row>
    <row r="5126" spans="1:18">
      <c r="A5126" s="7">
        <v>46023</v>
      </c>
      <c r="B5126" t="s">
        <v>43</v>
      </c>
      <c r="C5126" s="18" t="s">
        <v>1962</v>
      </c>
      <c r="D5126" s="41">
        <v>50</v>
      </c>
      <c r="E5126" s="41">
        <v>50</v>
      </c>
      <c r="F5126" s="18" t="s">
        <v>19</v>
      </c>
      <c r="G5126" s="28">
        <v>46023</v>
      </c>
      <c r="H5126" s="26" t="s">
        <v>2161</v>
      </c>
      <c r="I5126" s="49">
        <v>72050</v>
      </c>
      <c r="J5126" s="24">
        <v>21</v>
      </c>
      <c r="K5126" s="24"/>
      <c r="L5126" s="91">
        <v>0</v>
      </c>
      <c r="M5126" s="24"/>
      <c r="N5126" s="12">
        <f t="shared" si="199"/>
        <v>21</v>
      </c>
      <c r="O5126" s="11">
        <f t="shared" si="200"/>
        <v>1513050</v>
      </c>
      <c r="P5126" s="10">
        <v>232</v>
      </c>
      <c r="Q5126" s="10" t="s">
        <v>1928</v>
      </c>
      <c r="R5126" s="50">
        <f>+テーブル1[[#This Row],[合計金額]]*テーブル1[[#This Row],[自社報酬率％]]/100</f>
        <v>756525</v>
      </c>
    </row>
    <row r="5127" spans="1:18">
      <c r="A5127" s="7">
        <v>46023</v>
      </c>
      <c r="B5127" t="s">
        <v>43</v>
      </c>
      <c r="C5127" s="18" t="s">
        <v>1962</v>
      </c>
      <c r="D5127" s="41">
        <v>50</v>
      </c>
      <c r="E5127" s="41">
        <v>50</v>
      </c>
      <c r="F5127" s="18" t="s">
        <v>19</v>
      </c>
      <c r="G5127" s="28">
        <v>46023</v>
      </c>
      <c r="H5127" s="26" t="s">
        <v>1981</v>
      </c>
      <c r="I5127" s="49">
        <v>91700</v>
      </c>
      <c r="J5127" s="24">
        <v>3</v>
      </c>
      <c r="K5127" s="24"/>
      <c r="L5127" s="91">
        <v>0</v>
      </c>
      <c r="M5127" s="24"/>
      <c r="N5127" s="12">
        <f t="shared" si="199"/>
        <v>3</v>
      </c>
      <c r="O5127" s="11">
        <f t="shared" si="200"/>
        <v>275100</v>
      </c>
      <c r="P5127" s="10">
        <v>233</v>
      </c>
      <c r="Q5127" s="10" t="s">
        <v>1928</v>
      </c>
      <c r="R5127" s="50">
        <f>+テーブル1[[#This Row],[合計金額]]*テーブル1[[#This Row],[自社報酬率％]]/100</f>
        <v>137550</v>
      </c>
    </row>
    <row r="5128" spans="1:18">
      <c r="A5128" s="7">
        <v>46023</v>
      </c>
      <c r="B5128" t="s">
        <v>43</v>
      </c>
      <c r="C5128" s="101" t="s">
        <v>1962</v>
      </c>
      <c r="D5128" s="41">
        <v>50</v>
      </c>
      <c r="E5128" s="41">
        <v>50</v>
      </c>
      <c r="F5128" s="101" t="s">
        <v>16</v>
      </c>
      <c r="G5128" s="102">
        <v>46054</v>
      </c>
      <c r="H5128" s="26" t="s">
        <v>3382</v>
      </c>
      <c r="I5128" s="49">
        <v>13200</v>
      </c>
      <c r="J5128" s="24">
        <v>1</v>
      </c>
      <c r="K5128" s="24"/>
      <c r="L5128" s="91">
        <v>0</v>
      </c>
      <c r="M5128" s="24"/>
      <c r="N5128" s="12">
        <f t="shared" si="199"/>
        <v>1</v>
      </c>
      <c r="O5128" s="11">
        <f t="shared" si="200"/>
        <v>13200</v>
      </c>
      <c r="P5128" s="10">
        <v>234</v>
      </c>
      <c r="Q5128" s="10" t="s">
        <v>1928</v>
      </c>
      <c r="R5128" s="50">
        <f>+テーブル1[[#This Row],[合計金額]]*テーブル1[[#This Row],[自社報酬率％]]/100</f>
        <v>6600</v>
      </c>
    </row>
    <row r="5129" spans="1:18">
      <c r="A5129" s="7">
        <v>46023</v>
      </c>
      <c r="B5129" t="s">
        <v>43</v>
      </c>
      <c r="C5129" s="101" t="s">
        <v>1962</v>
      </c>
      <c r="D5129" s="41">
        <v>50</v>
      </c>
      <c r="E5129" s="41">
        <v>50</v>
      </c>
      <c r="F5129" s="101" t="s">
        <v>16</v>
      </c>
      <c r="G5129" s="102">
        <v>46054</v>
      </c>
      <c r="H5129" s="26" t="s">
        <v>3383</v>
      </c>
      <c r="I5129" s="49">
        <v>13200</v>
      </c>
      <c r="J5129" s="24">
        <v>7</v>
      </c>
      <c r="K5129" s="24"/>
      <c r="L5129" s="91">
        <v>0</v>
      </c>
      <c r="M5129" s="24"/>
      <c r="N5129" s="12">
        <f t="shared" si="199"/>
        <v>7</v>
      </c>
      <c r="O5129" s="11">
        <f t="shared" si="200"/>
        <v>92400</v>
      </c>
      <c r="P5129" s="10">
        <v>235</v>
      </c>
      <c r="Q5129" s="10" t="s">
        <v>1928</v>
      </c>
      <c r="R5129" s="50">
        <f>+テーブル1[[#This Row],[合計金額]]*テーブル1[[#This Row],[自社報酬率％]]/100</f>
        <v>46200</v>
      </c>
    </row>
    <row r="5130" spans="1:18">
      <c r="A5130" s="7">
        <v>46023</v>
      </c>
      <c r="B5130" t="s">
        <v>43</v>
      </c>
      <c r="C5130" s="101" t="s">
        <v>1962</v>
      </c>
      <c r="D5130" s="41">
        <v>50</v>
      </c>
      <c r="E5130" s="41">
        <v>50</v>
      </c>
      <c r="F5130" s="101" t="s">
        <v>16</v>
      </c>
      <c r="G5130" s="102">
        <v>46054</v>
      </c>
      <c r="H5130" s="26" t="s">
        <v>3383</v>
      </c>
      <c r="I5130" s="49">
        <v>14500</v>
      </c>
      <c r="J5130" s="24">
        <v>24</v>
      </c>
      <c r="K5130" s="24"/>
      <c r="L5130" s="91">
        <v>0</v>
      </c>
      <c r="M5130" s="24"/>
      <c r="N5130" s="12">
        <f t="shared" ref="N5130:N5161" si="201">J5130-L5130</f>
        <v>24</v>
      </c>
      <c r="O5130" s="11">
        <f t="shared" ref="O5130:O5161" si="202">+I5130*N5130</f>
        <v>348000</v>
      </c>
      <c r="P5130" s="10">
        <v>236</v>
      </c>
      <c r="Q5130" s="10" t="s">
        <v>1928</v>
      </c>
      <c r="R5130" s="50">
        <f>+テーブル1[[#This Row],[合計金額]]*テーブル1[[#This Row],[自社報酬率％]]/100</f>
        <v>174000</v>
      </c>
    </row>
    <row r="5131" spans="1:18">
      <c r="A5131" s="7">
        <v>46023</v>
      </c>
      <c r="B5131" t="s">
        <v>43</v>
      </c>
      <c r="C5131" s="101" t="s">
        <v>1962</v>
      </c>
      <c r="D5131" s="41">
        <v>50</v>
      </c>
      <c r="E5131" s="41">
        <v>50</v>
      </c>
      <c r="F5131" s="101" t="s">
        <v>16</v>
      </c>
      <c r="G5131" s="102">
        <v>46054</v>
      </c>
      <c r="H5131" s="26" t="s">
        <v>3384</v>
      </c>
      <c r="I5131" s="49">
        <v>4830</v>
      </c>
      <c r="J5131" s="24">
        <v>4</v>
      </c>
      <c r="K5131" s="24"/>
      <c r="L5131" s="91">
        <v>0</v>
      </c>
      <c r="M5131" s="24"/>
      <c r="N5131" s="12">
        <f t="shared" si="201"/>
        <v>4</v>
      </c>
      <c r="O5131" s="11">
        <f t="shared" si="202"/>
        <v>19320</v>
      </c>
      <c r="P5131" s="10">
        <v>237</v>
      </c>
      <c r="Q5131" s="10" t="s">
        <v>1928</v>
      </c>
      <c r="R5131" s="50">
        <f>+テーブル1[[#This Row],[合計金額]]*テーブル1[[#This Row],[自社報酬率％]]/100</f>
        <v>9660</v>
      </c>
    </row>
    <row r="5132" spans="1:18">
      <c r="A5132" s="7">
        <v>46023</v>
      </c>
      <c r="B5132" t="s">
        <v>43</v>
      </c>
      <c r="C5132" s="18" t="s">
        <v>1962</v>
      </c>
      <c r="D5132" s="41">
        <v>50</v>
      </c>
      <c r="E5132" s="41">
        <v>50</v>
      </c>
      <c r="F5132" s="18" t="s">
        <v>20</v>
      </c>
      <c r="G5132" s="28">
        <v>46023</v>
      </c>
      <c r="H5132" s="26" t="s">
        <v>2542</v>
      </c>
      <c r="I5132" s="49">
        <v>9780</v>
      </c>
      <c r="J5132" s="24">
        <v>15</v>
      </c>
      <c r="K5132" s="24"/>
      <c r="L5132" s="91">
        <v>0</v>
      </c>
      <c r="M5132" s="24"/>
      <c r="N5132" s="12">
        <f t="shared" si="201"/>
        <v>15</v>
      </c>
      <c r="O5132" s="11">
        <f t="shared" si="202"/>
        <v>146700</v>
      </c>
      <c r="P5132" s="10">
        <v>238</v>
      </c>
      <c r="Q5132" s="10" t="s">
        <v>1928</v>
      </c>
      <c r="R5132" s="50">
        <f>+テーブル1[[#This Row],[合計金額]]*テーブル1[[#This Row],[自社報酬率％]]/100</f>
        <v>73350</v>
      </c>
    </row>
    <row r="5133" spans="1:18">
      <c r="A5133" s="7">
        <v>46023</v>
      </c>
      <c r="B5133" t="s">
        <v>43</v>
      </c>
      <c r="C5133" s="79" t="s">
        <v>1962</v>
      </c>
      <c r="D5133" s="41">
        <v>55</v>
      </c>
      <c r="E5133" s="41">
        <v>45</v>
      </c>
      <c r="F5133" s="72" t="s">
        <v>18</v>
      </c>
      <c r="G5133" s="85">
        <v>46054</v>
      </c>
      <c r="H5133" s="26" t="s">
        <v>3385</v>
      </c>
      <c r="I5133" s="49">
        <v>19800</v>
      </c>
      <c r="J5133" s="73">
        <v>17</v>
      </c>
      <c r="K5133" s="24"/>
      <c r="L5133" s="90">
        <v>0</v>
      </c>
      <c r="M5133" s="24"/>
      <c r="N5133" s="93">
        <f t="shared" si="201"/>
        <v>17</v>
      </c>
      <c r="O5133" s="11">
        <f t="shared" si="202"/>
        <v>336600</v>
      </c>
      <c r="P5133" s="10">
        <v>239</v>
      </c>
      <c r="Q5133" s="10" t="s">
        <v>1928</v>
      </c>
      <c r="R5133" s="50">
        <f>+テーブル1[[#This Row],[合計金額]]*テーブル1[[#This Row],[自社報酬率％]]/100</f>
        <v>151470</v>
      </c>
    </row>
    <row r="5134" spans="1:18">
      <c r="A5134" s="7">
        <v>46023</v>
      </c>
      <c r="B5134" t="s">
        <v>43</v>
      </c>
      <c r="C5134" s="80" t="s">
        <v>1962</v>
      </c>
      <c r="D5134" s="41">
        <v>55</v>
      </c>
      <c r="E5134" s="41">
        <v>45</v>
      </c>
      <c r="F5134" s="101" t="s">
        <v>18</v>
      </c>
      <c r="G5134" s="102">
        <v>46082</v>
      </c>
      <c r="H5134" s="26" t="s">
        <v>3386</v>
      </c>
      <c r="I5134" s="49">
        <v>19800</v>
      </c>
      <c r="J5134" s="24">
        <v>17</v>
      </c>
      <c r="K5134" s="24"/>
      <c r="L5134" s="91">
        <v>0</v>
      </c>
      <c r="M5134" s="24"/>
      <c r="N5134" s="94">
        <f t="shared" si="201"/>
        <v>17</v>
      </c>
      <c r="O5134" s="11">
        <f t="shared" si="202"/>
        <v>336600</v>
      </c>
      <c r="P5134" s="10">
        <v>240</v>
      </c>
      <c r="Q5134" s="10" t="s">
        <v>1928</v>
      </c>
      <c r="R5134" s="50">
        <f>+テーブル1[[#This Row],[合計金額]]*テーブル1[[#This Row],[自社報酬率％]]/100</f>
        <v>151470</v>
      </c>
    </row>
    <row r="5135" spans="1:18">
      <c r="A5135" s="7">
        <v>46023</v>
      </c>
      <c r="B5135" t="s">
        <v>43</v>
      </c>
      <c r="C5135" s="81" t="s">
        <v>1962</v>
      </c>
      <c r="D5135" s="41">
        <v>55</v>
      </c>
      <c r="E5135" s="41">
        <v>45</v>
      </c>
      <c r="F5135" s="76" t="s">
        <v>18</v>
      </c>
      <c r="G5135" s="86">
        <v>46113</v>
      </c>
      <c r="H5135" s="26" t="s">
        <v>3387</v>
      </c>
      <c r="I5135" s="49">
        <v>19800</v>
      </c>
      <c r="J5135" s="77">
        <v>17</v>
      </c>
      <c r="K5135" s="24"/>
      <c r="L5135" s="92">
        <v>0</v>
      </c>
      <c r="M5135" s="24"/>
      <c r="N5135" s="95">
        <f t="shared" si="201"/>
        <v>17</v>
      </c>
      <c r="O5135" s="11">
        <f t="shared" si="202"/>
        <v>336600</v>
      </c>
      <c r="P5135" s="10">
        <v>241</v>
      </c>
      <c r="Q5135" s="10" t="s">
        <v>1928</v>
      </c>
      <c r="R5135" s="50">
        <f>+テーブル1[[#This Row],[合計金額]]*テーブル1[[#This Row],[自社報酬率％]]/100</f>
        <v>151470</v>
      </c>
    </row>
    <row r="5136" spans="1:18">
      <c r="A5136" s="7">
        <v>46023</v>
      </c>
      <c r="B5136" t="s">
        <v>43</v>
      </c>
      <c r="C5136" s="79" t="s">
        <v>1962</v>
      </c>
      <c r="D5136" s="41">
        <v>55</v>
      </c>
      <c r="E5136" s="41">
        <v>45</v>
      </c>
      <c r="F5136" s="72" t="s">
        <v>18</v>
      </c>
      <c r="G5136" s="85">
        <v>46054</v>
      </c>
      <c r="H5136" s="26" t="s">
        <v>3388</v>
      </c>
      <c r="I5136" s="49">
        <v>19800</v>
      </c>
      <c r="J5136" s="73">
        <v>5</v>
      </c>
      <c r="K5136" s="24"/>
      <c r="L5136" s="90">
        <v>0</v>
      </c>
      <c r="M5136" s="24"/>
      <c r="N5136" s="93">
        <f t="shared" si="201"/>
        <v>5</v>
      </c>
      <c r="O5136" s="11">
        <f t="shared" si="202"/>
        <v>99000</v>
      </c>
      <c r="P5136" s="10">
        <v>242</v>
      </c>
      <c r="Q5136" s="10" t="s">
        <v>1928</v>
      </c>
      <c r="R5136" s="50">
        <f>+テーブル1[[#This Row],[合計金額]]*テーブル1[[#This Row],[自社報酬率％]]/100</f>
        <v>44550</v>
      </c>
    </row>
    <row r="5137" spans="1:18">
      <c r="A5137" s="7">
        <v>46023</v>
      </c>
      <c r="B5137" t="s">
        <v>43</v>
      </c>
      <c r="C5137" s="80" t="s">
        <v>1962</v>
      </c>
      <c r="D5137" s="41">
        <v>55</v>
      </c>
      <c r="E5137" s="41">
        <v>45</v>
      </c>
      <c r="F5137" s="101" t="s">
        <v>18</v>
      </c>
      <c r="G5137" s="102">
        <v>46082</v>
      </c>
      <c r="H5137" s="26" t="s">
        <v>3389</v>
      </c>
      <c r="I5137" s="49">
        <v>19800</v>
      </c>
      <c r="J5137" s="24">
        <v>5</v>
      </c>
      <c r="K5137" s="24"/>
      <c r="L5137" s="91">
        <v>0</v>
      </c>
      <c r="M5137" s="24"/>
      <c r="N5137" s="94">
        <f t="shared" si="201"/>
        <v>5</v>
      </c>
      <c r="O5137" s="11">
        <f t="shared" si="202"/>
        <v>99000</v>
      </c>
      <c r="P5137" s="10">
        <v>243</v>
      </c>
      <c r="Q5137" s="10" t="s">
        <v>1928</v>
      </c>
      <c r="R5137" s="50">
        <f>+テーブル1[[#This Row],[合計金額]]*テーブル1[[#This Row],[自社報酬率％]]/100</f>
        <v>44550</v>
      </c>
    </row>
    <row r="5138" spans="1:18">
      <c r="A5138" s="7">
        <v>46023</v>
      </c>
      <c r="B5138" t="s">
        <v>43</v>
      </c>
      <c r="C5138" s="81" t="s">
        <v>1962</v>
      </c>
      <c r="D5138" s="41">
        <v>55</v>
      </c>
      <c r="E5138" s="41">
        <v>45</v>
      </c>
      <c r="F5138" s="76" t="s">
        <v>18</v>
      </c>
      <c r="G5138" s="86">
        <v>46113</v>
      </c>
      <c r="H5138" s="26" t="s">
        <v>3390</v>
      </c>
      <c r="I5138" s="49">
        <v>19800</v>
      </c>
      <c r="J5138" s="77">
        <v>5</v>
      </c>
      <c r="K5138" s="24"/>
      <c r="L5138" s="92">
        <v>0</v>
      </c>
      <c r="M5138" s="24"/>
      <c r="N5138" s="95">
        <f t="shared" si="201"/>
        <v>5</v>
      </c>
      <c r="O5138" s="11">
        <f t="shared" si="202"/>
        <v>99000</v>
      </c>
      <c r="P5138" s="10">
        <v>244</v>
      </c>
      <c r="Q5138" s="10" t="s">
        <v>1928</v>
      </c>
      <c r="R5138" s="50">
        <f>+テーブル1[[#This Row],[合計金額]]*テーブル1[[#This Row],[自社報酬率％]]/100</f>
        <v>44550</v>
      </c>
    </row>
    <row r="5139" spans="1:18">
      <c r="A5139" s="7">
        <v>46023</v>
      </c>
      <c r="B5139" t="s">
        <v>43</v>
      </c>
      <c r="C5139" s="148" t="s">
        <v>1962</v>
      </c>
      <c r="D5139" s="41">
        <v>55</v>
      </c>
      <c r="E5139" s="41">
        <v>45</v>
      </c>
      <c r="F5139" s="18" t="s">
        <v>18</v>
      </c>
      <c r="G5139" s="28">
        <v>46023</v>
      </c>
      <c r="H5139" s="26" t="s">
        <v>3391</v>
      </c>
      <c r="I5139" s="49">
        <v>19800</v>
      </c>
      <c r="J5139" s="24">
        <v>1</v>
      </c>
      <c r="K5139" s="24"/>
      <c r="L5139" s="91">
        <v>0</v>
      </c>
      <c r="M5139" s="24"/>
      <c r="N5139" s="94">
        <f t="shared" si="201"/>
        <v>1</v>
      </c>
      <c r="O5139" s="11">
        <f t="shared" si="202"/>
        <v>19800</v>
      </c>
      <c r="P5139" s="10">
        <v>245</v>
      </c>
      <c r="Q5139" s="10" t="s">
        <v>1928</v>
      </c>
      <c r="R5139" s="50">
        <f>+テーブル1[[#This Row],[合計金額]]*テーブル1[[#This Row],[自社報酬率％]]/100</f>
        <v>8910</v>
      </c>
    </row>
    <row r="5140" spans="1:18">
      <c r="A5140" s="7">
        <v>46023</v>
      </c>
      <c r="B5140" t="s">
        <v>43</v>
      </c>
      <c r="C5140" s="80" t="s">
        <v>1962</v>
      </c>
      <c r="D5140" s="41">
        <v>55</v>
      </c>
      <c r="E5140" s="41">
        <v>45</v>
      </c>
      <c r="F5140" s="101" t="s">
        <v>18</v>
      </c>
      <c r="G5140" s="102">
        <v>46054</v>
      </c>
      <c r="H5140" s="26" t="s">
        <v>3392</v>
      </c>
      <c r="I5140" s="49">
        <v>19800</v>
      </c>
      <c r="J5140" s="24">
        <v>1</v>
      </c>
      <c r="K5140" s="24"/>
      <c r="L5140" s="91">
        <v>0</v>
      </c>
      <c r="M5140" s="24"/>
      <c r="N5140" s="94">
        <f t="shared" si="201"/>
        <v>1</v>
      </c>
      <c r="O5140" s="11">
        <f t="shared" si="202"/>
        <v>19800</v>
      </c>
      <c r="P5140" s="10">
        <v>246</v>
      </c>
      <c r="Q5140" s="10" t="s">
        <v>1928</v>
      </c>
      <c r="R5140" s="50">
        <f>+テーブル1[[#This Row],[合計金額]]*テーブル1[[#This Row],[自社報酬率％]]/100</f>
        <v>8910</v>
      </c>
    </row>
    <row r="5141" spans="1:18">
      <c r="A5141" s="7">
        <v>46023</v>
      </c>
      <c r="B5141" t="s">
        <v>43</v>
      </c>
      <c r="C5141" s="81" t="s">
        <v>1962</v>
      </c>
      <c r="D5141" s="41">
        <v>55</v>
      </c>
      <c r="E5141" s="41">
        <v>45</v>
      </c>
      <c r="F5141" s="76" t="s">
        <v>18</v>
      </c>
      <c r="G5141" s="86">
        <v>46082</v>
      </c>
      <c r="H5141" s="26" t="s">
        <v>3393</v>
      </c>
      <c r="I5141" s="49">
        <v>19800</v>
      </c>
      <c r="J5141" s="77">
        <v>1</v>
      </c>
      <c r="K5141" s="24"/>
      <c r="L5141" s="92">
        <v>0</v>
      </c>
      <c r="M5141" s="24"/>
      <c r="N5141" s="95">
        <f t="shared" si="201"/>
        <v>1</v>
      </c>
      <c r="O5141" s="11">
        <f t="shared" si="202"/>
        <v>19800</v>
      </c>
      <c r="P5141" s="10">
        <v>247</v>
      </c>
      <c r="Q5141" s="10" t="s">
        <v>1928</v>
      </c>
      <c r="R5141" s="50">
        <f>+テーブル1[[#This Row],[合計金額]]*テーブル1[[#This Row],[自社報酬率％]]/100</f>
        <v>8910</v>
      </c>
    </row>
    <row r="5142" spans="1:18">
      <c r="A5142" s="7">
        <v>46023</v>
      </c>
      <c r="B5142" t="s">
        <v>43</v>
      </c>
      <c r="C5142" s="79" t="s">
        <v>1962</v>
      </c>
      <c r="D5142" s="41">
        <v>55</v>
      </c>
      <c r="E5142" s="41">
        <v>45</v>
      </c>
      <c r="F5142" s="72" t="s">
        <v>19</v>
      </c>
      <c r="G5142" s="85">
        <v>46054</v>
      </c>
      <c r="H5142" s="26" t="s">
        <v>3394</v>
      </c>
      <c r="I5142" s="49">
        <v>19050</v>
      </c>
      <c r="J5142" s="73">
        <v>4</v>
      </c>
      <c r="K5142" s="24"/>
      <c r="L5142" s="90">
        <v>0</v>
      </c>
      <c r="M5142" s="24"/>
      <c r="N5142" s="93">
        <f t="shared" si="201"/>
        <v>4</v>
      </c>
      <c r="O5142" s="11">
        <f t="shared" si="202"/>
        <v>76200</v>
      </c>
      <c r="P5142" s="10">
        <v>248</v>
      </c>
      <c r="Q5142" s="10" t="s">
        <v>1928</v>
      </c>
      <c r="R5142" s="50">
        <f>+テーブル1[[#This Row],[合計金額]]*テーブル1[[#This Row],[自社報酬率％]]/100</f>
        <v>34290</v>
      </c>
    </row>
    <row r="5143" spans="1:18">
      <c r="A5143" s="7">
        <v>46023</v>
      </c>
      <c r="B5143" t="s">
        <v>43</v>
      </c>
      <c r="C5143" s="80" t="s">
        <v>1962</v>
      </c>
      <c r="D5143" s="41">
        <v>55</v>
      </c>
      <c r="E5143" s="41">
        <v>45</v>
      </c>
      <c r="F5143" s="101" t="s">
        <v>19</v>
      </c>
      <c r="G5143" s="102">
        <v>46082</v>
      </c>
      <c r="H5143" s="26" t="s">
        <v>3395</v>
      </c>
      <c r="I5143" s="49">
        <v>19050</v>
      </c>
      <c r="J5143" s="24">
        <v>4</v>
      </c>
      <c r="K5143" s="24"/>
      <c r="L5143" s="91">
        <v>0</v>
      </c>
      <c r="M5143" s="24"/>
      <c r="N5143" s="94">
        <f t="shared" si="201"/>
        <v>4</v>
      </c>
      <c r="O5143" s="11">
        <f t="shared" si="202"/>
        <v>76200</v>
      </c>
      <c r="P5143" s="10">
        <v>249</v>
      </c>
      <c r="Q5143" s="10" t="s">
        <v>1928</v>
      </c>
      <c r="R5143" s="50">
        <f>+テーブル1[[#This Row],[合計金額]]*テーブル1[[#This Row],[自社報酬率％]]/100</f>
        <v>34290</v>
      </c>
    </row>
    <row r="5144" spans="1:18">
      <c r="A5144" s="7">
        <v>46023</v>
      </c>
      <c r="B5144" t="s">
        <v>43</v>
      </c>
      <c r="C5144" s="80" t="s">
        <v>1962</v>
      </c>
      <c r="D5144" s="41">
        <v>55</v>
      </c>
      <c r="E5144" s="41">
        <v>45</v>
      </c>
      <c r="F5144" s="101" t="s">
        <v>19</v>
      </c>
      <c r="G5144" s="102">
        <v>46113</v>
      </c>
      <c r="H5144" s="26" t="s">
        <v>3396</v>
      </c>
      <c r="I5144" s="49">
        <v>19050</v>
      </c>
      <c r="J5144" s="24">
        <v>4</v>
      </c>
      <c r="K5144" s="24"/>
      <c r="L5144" s="91">
        <v>0</v>
      </c>
      <c r="M5144" s="24"/>
      <c r="N5144" s="94">
        <f t="shared" si="201"/>
        <v>4</v>
      </c>
      <c r="O5144" s="11">
        <f t="shared" si="202"/>
        <v>76200</v>
      </c>
      <c r="P5144" s="10">
        <v>250</v>
      </c>
      <c r="Q5144" s="10" t="s">
        <v>1928</v>
      </c>
      <c r="R5144" s="50">
        <f>+テーブル1[[#This Row],[合計金額]]*テーブル1[[#This Row],[自社報酬率％]]/100</f>
        <v>34290</v>
      </c>
    </row>
    <row r="5145" spans="1:18">
      <c r="A5145" s="7">
        <v>46023</v>
      </c>
      <c r="B5145" t="s">
        <v>43</v>
      </c>
      <c r="C5145" s="80" t="s">
        <v>1962</v>
      </c>
      <c r="D5145" s="41">
        <v>55</v>
      </c>
      <c r="E5145" s="41">
        <v>45</v>
      </c>
      <c r="F5145" s="101" t="s">
        <v>19</v>
      </c>
      <c r="G5145" s="102">
        <v>46143</v>
      </c>
      <c r="H5145" s="26" t="s">
        <v>3397</v>
      </c>
      <c r="I5145" s="49">
        <v>19050</v>
      </c>
      <c r="J5145" s="24">
        <v>4</v>
      </c>
      <c r="K5145" s="24"/>
      <c r="L5145" s="91">
        <v>0</v>
      </c>
      <c r="M5145" s="24"/>
      <c r="N5145" s="94">
        <f t="shared" si="201"/>
        <v>4</v>
      </c>
      <c r="O5145" s="11">
        <f t="shared" si="202"/>
        <v>76200</v>
      </c>
      <c r="P5145" s="10">
        <v>251</v>
      </c>
      <c r="Q5145" s="10" t="s">
        <v>1928</v>
      </c>
      <c r="R5145" s="50">
        <f>+テーブル1[[#This Row],[合計金額]]*テーブル1[[#This Row],[自社報酬率％]]/100</f>
        <v>34290</v>
      </c>
    </row>
    <row r="5146" spans="1:18">
      <c r="A5146" s="7">
        <v>46023</v>
      </c>
      <c r="B5146" t="s">
        <v>43</v>
      </c>
      <c r="C5146" s="80" t="s">
        <v>1962</v>
      </c>
      <c r="D5146" s="41">
        <v>55</v>
      </c>
      <c r="E5146" s="41">
        <v>45</v>
      </c>
      <c r="F5146" s="101" t="s">
        <v>19</v>
      </c>
      <c r="G5146" s="102">
        <v>46174</v>
      </c>
      <c r="H5146" s="26" t="s">
        <v>3398</v>
      </c>
      <c r="I5146" s="49">
        <v>19050</v>
      </c>
      <c r="J5146" s="24">
        <v>4</v>
      </c>
      <c r="K5146" s="24"/>
      <c r="L5146" s="91">
        <v>0</v>
      </c>
      <c r="M5146" s="24"/>
      <c r="N5146" s="94">
        <f t="shared" si="201"/>
        <v>4</v>
      </c>
      <c r="O5146" s="11">
        <f t="shared" si="202"/>
        <v>76200</v>
      </c>
      <c r="P5146" s="10">
        <v>252</v>
      </c>
      <c r="Q5146" s="10" t="s">
        <v>1928</v>
      </c>
      <c r="R5146" s="50">
        <f>+テーブル1[[#This Row],[合計金額]]*テーブル1[[#This Row],[自社報酬率％]]/100</f>
        <v>34290</v>
      </c>
    </row>
    <row r="5147" spans="1:18">
      <c r="A5147" s="7">
        <v>46023</v>
      </c>
      <c r="B5147" t="s">
        <v>43</v>
      </c>
      <c r="C5147" s="81" t="s">
        <v>1962</v>
      </c>
      <c r="D5147" s="41">
        <v>55</v>
      </c>
      <c r="E5147" s="41">
        <v>45</v>
      </c>
      <c r="F5147" s="76" t="s">
        <v>19</v>
      </c>
      <c r="G5147" s="86">
        <v>46204</v>
      </c>
      <c r="H5147" s="26" t="s">
        <v>3399</v>
      </c>
      <c r="I5147" s="49">
        <v>19050</v>
      </c>
      <c r="J5147" s="77">
        <v>4</v>
      </c>
      <c r="K5147" s="24"/>
      <c r="L5147" s="92">
        <v>0</v>
      </c>
      <c r="M5147" s="24"/>
      <c r="N5147" s="95">
        <f t="shared" si="201"/>
        <v>4</v>
      </c>
      <c r="O5147" s="11">
        <f t="shared" si="202"/>
        <v>76200</v>
      </c>
      <c r="P5147" s="10">
        <v>253</v>
      </c>
      <c r="Q5147" s="10" t="s">
        <v>1928</v>
      </c>
      <c r="R5147" s="50">
        <f>+テーブル1[[#This Row],[合計金額]]*テーブル1[[#This Row],[自社報酬率％]]/100</f>
        <v>34290</v>
      </c>
    </row>
    <row r="5148" spans="1:18">
      <c r="A5148" s="7">
        <v>46023</v>
      </c>
      <c r="B5148" t="s">
        <v>43</v>
      </c>
      <c r="C5148" s="79" t="s">
        <v>1962</v>
      </c>
      <c r="D5148" s="41">
        <v>55</v>
      </c>
      <c r="E5148" s="41">
        <v>45</v>
      </c>
      <c r="F5148" s="72" t="s">
        <v>19</v>
      </c>
      <c r="G5148" s="85">
        <v>46054</v>
      </c>
      <c r="H5148" s="26" t="s">
        <v>330</v>
      </c>
      <c r="I5148" s="49">
        <v>19050</v>
      </c>
      <c r="J5148" s="73">
        <v>6</v>
      </c>
      <c r="K5148" s="24"/>
      <c r="L5148" s="90">
        <v>0</v>
      </c>
      <c r="M5148" s="24"/>
      <c r="N5148" s="93">
        <f t="shared" si="201"/>
        <v>6</v>
      </c>
      <c r="O5148" s="11">
        <f t="shared" si="202"/>
        <v>114300</v>
      </c>
      <c r="P5148" s="10">
        <v>254</v>
      </c>
      <c r="Q5148" s="10" t="s">
        <v>1928</v>
      </c>
      <c r="R5148" s="50">
        <f>+テーブル1[[#This Row],[合計金額]]*テーブル1[[#This Row],[自社報酬率％]]/100</f>
        <v>51435</v>
      </c>
    </row>
    <row r="5149" spans="1:18">
      <c r="A5149" s="7">
        <v>46023</v>
      </c>
      <c r="B5149" t="s">
        <v>43</v>
      </c>
      <c r="C5149" s="80" t="s">
        <v>1962</v>
      </c>
      <c r="D5149" s="41">
        <v>55</v>
      </c>
      <c r="E5149" s="41">
        <v>45</v>
      </c>
      <c r="F5149" s="101" t="s">
        <v>19</v>
      </c>
      <c r="G5149" s="102">
        <v>46082</v>
      </c>
      <c r="H5149" s="26" t="s">
        <v>3400</v>
      </c>
      <c r="I5149" s="49">
        <v>19050</v>
      </c>
      <c r="J5149" s="24">
        <v>6</v>
      </c>
      <c r="K5149" s="24"/>
      <c r="L5149" s="91">
        <v>0</v>
      </c>
      <c r="M5149" s="24"/>
      <c r="N5149" s="94">
        <f t="shared" si="201"/>
        <v>6</v>
      </c>
      <c r="O5149" s="11">
        <f t="shared" si="202"/>
        <v>114300</v>
      </c>
      <c r="P5149" s="10">
        <v>255</v>
      </c>
      <c r="Q5149" s="10" t="s">
        <v>1928</v>
      </c>
      <c r="R5149" s="50">
        <f>+テーブル1[[#This Row],[合計金額]]*テーブル1[[#This Row],[自社報酬率％]]/100</f>
        <v>51435</v>
      </c>
    </row>
    <row r="5150" spans="1:18">
      <c r="A5150" s="7">
        <v>46023</v>
      </c>
      <c r="B5150" t="s">
        <v>43</v>
      </c>
      <c r="C5150" s="80" t="s">
        <v>1962</v>
      </c>
      <c r="D5150" s="41">
        <v>55</v>
      </c>
      <c r="E5150" s="41">
        <v>45</v>
      </c>
      <c r="F5150" s="101" t="s">
        <v>19</v>
      </c>
      <c r="G5150" s="102">
        <v>46113</v>
      </c>
      <c r="H5150" s="26" t="s">
        <v>3401</v>
      </c>
      <c r="I5150" s="49">
        <v>19050</v>
      </c>
      <c r="J5150" s="24">
        <v>6</v>
      </c>
      <c r="K5150" s="24"/>
      <c r="L5150" s="91">
        <v>0</v>
      </c>
      <c r="M5150" s="24"/>
      <c r="N5150" s="94">
        <f t="shared" si="201"/>
        <v>6</v>
      </c>
      <c r="O5150" s="11">
        <f t="shared" si="202"/>
        <v>114300</v>
      </c>
      <c r="P5150" s="10">
        <v>256</v>
      </c>
      <c r="Q5150" s="10" t="s">
        <v>1928</v>
      </c>
      <c r="R5150" s="50">
        <f>+テーブル1[[#This Row],[合計金額]]*テーブル1[[#This Row],[自社報酬率％]]/100</f>
        <v>51435</v>
      </c>
    </row>
    <row r="5151" spans="1:18">
      <c r="A5151" s="7">
        <v>46023</v>
      </c>
      <c r="B5151" t="s">
        <v>43</v>
      </c>
      <c r="C5151" s="80" t="s">
        <v>1962</v>
      </c>
      <c r="D5151" s="41">
        <v>55</v>
      </c>
      <c r="E5151" s="41">
        <v>45</v>
      </c>
      <c r="F5151" s="101" t="s">
        <v>19</v>
      </c>
      <c r="G5151" s="102">
        <v>46143</v>
      </c>
      <c r="H5151" s="26" t="s">
        <v>3402</v>
      </c>
      <c r="I5151" s="49">
        <v>19050</v>
      </c>
      <c r="J5151" s="24">
        <v>6</v>
      </c>
      <c r="K5151" s="24"/>
      <c r="L5151" s="91">
        <v>0</v>
      </c>
      <c r="M5151" s="24"/>
      <c r="N5151" s="94">
        <f t="shared" si="201"/>
        <v>6</v>
      </c>
      <c r="O5151" s="11">
        <f t="shared" si="202"/>
        <v>114300</v>
      </c>
      <c r="P5151" s="10">
        <v>257</v>
      </c>
      <c r="Q5151" s="10" t="s">
        <v>1928</v>
      </c>
      <c r="R5151" s="50">
        <f>+テーブル1[[#This Row],[合計金額]]*テーブル1[[#This Row],[自社報酬率％]]/100</f>
        <v>51435</v>
      </c>
    </row>
    <row r="5152" spans="1:18">
      <c r="A5152" s="7">
        <v>46023</v>
      </c>
      <c r="B5152" t="s">
        <v>43</v>
      </c>
      <c r="C5152" s="80" t="s">
        <v>1962</v>
      </c>
      <c r="D5152" s="41">
        <v>55</v>
      </c>
      <c r="E5152" s="41">
        <v>45</v>
      </c>
      <c r="F5152" s="101" t="s">
        <v>19</v>
      </c>
      <c r="G5152" s="102">
        <v>46174</v>
      </c>
      <c r="H5152" s="26" t="s">
        <v>3403</v>
      </c>
      <c r="I5152" s="49">
        <v>19050</v>
      </c>
      <c r="J5152" s="24">
        <v>6</v>
      </c>
      <c r="K5152" s="24"/>
      <c r="L5152" s="91">
        <v>0</v>
      </c>
      <c r="M5152" s="24"/>
      <c r="N5152" s="94">
        <f t="shared" si="201"/>
        <v>6</v>
      </c>
      <c r="O5152" s="11">
        <f t="shared" si="202"/>
        <v>114300</v>
      </c>
      <c r="P5152" s="10">
        <v>258</v>
      </c>
      <c r="Q5152" s="10" t="s">
        <v>1928</v>
      </c>
      <c r="R5152" s="50">
        <f>+テーブル1[[#This Row],[合計金額]]*テーブル1[[#This Row],[自社報酬率％]]/100</f>
        <v>51435</v>
      </c>
    </row>
    <row r="5153" spans="1:18">
      <c r="A5153" s="7">
        <v>46023</v>
      </c>
      <c r="B5153" t="s">
        <v>43</v>
      </c>
      <c r="C5153" s="81" t="s">
        <v>1962</v>
      </c>
      <c r="D5153" s="41">
        <v>55</v>
      </c>
      <c r="E5153" s="41">
        <v>45</v>
      </c>
      <c r="F5153" s="76" t="s">
        <v>19</v>
      </c>
      <c r="G5153" s="86">
        <v>46204</v>
      </c>
      <c r="H5153" s="26" t="s">
        <v>3404</v>
      </c>
      <c r="I5153" s="49">
        <v>19050</v>
      </c>
      <c r="J5153" s="77">
        <v>6</v>
      </c>
      <c r="K5153" s="24"/>
      <c r="L5153" s="92">
        <v>0</v>
      </c>
      <c r="M5153" s="24"/>
      <c r="N5153" s="95">
        <f t="shared" si="201"/>
        <v>6</v>
      </c>
      <c r="O5153" s="11">
        <f t="shared" si="202"/>
        <v>114300</v>
      </c>
      <c r="P5153" s="10">
        <v>259</v>
      </c>
      <c r="Q5153" s="10" t="s">
        <v>1928</v>
      </c>
      <c r="R5153" s="50">
        <f>+テーブル1[[#This Row],[合計金額]]*テーブル1[[#This Row],[自社報酬率％]]/100</f>
        <v>51435</v>
      </c>
    </row>
    <row r="5154" spans="1:18">
      <c r="A5154" s="7">
        <v>46023</v>
      </c>
      <c r="B5154" t="s">
        <v>43</v>
      </c>
      <c r="C5154" s="71" t="s">
        <v>1962</v>
      </c>
      <c r="D5154" s="41">
        <v>55</v>
      </c>
      <c r="E5154" s="41">
        <v>45</v>
      </c>
      <c r="F5154" s="112" t="s">
        <v>19</v>
      </c>
      <c r="G5154" s="124">
        <v>46023</v>
      </c>
      <c r="H5154" s="26" t="s">
        <v>331</v>
      </c>
      <c r="I5154" s="49">
        <v>19050</v>
      </c>
      <c r="J5154" s="73">
        <v>3</v>
      </c>
      <c r="K5154" s="24"/>
      <c r="L5154" s="90">
        <v>0</v>
      </c>
      <c r="M5154" s="24"/>
      <c r="N5154" s="93">
        <f t="shared" si="201"/>
        <v>3</v>
      </c>
      <c r="O5154" s="11">
        <f t="shared" si="202"/>
        <v>57150</v>
      </c>
      <c r="P5154" s="10">
        <v>260</v>
      </c>
      <c r="Q5154" s="10" t="s">
        <v>1928</v>
      </c>
      <c r="R5154" s="50">
        <f>+テーブル1[[#This Row],[合計金額]]*テーブル1[[#This Row],[自社報酬率％]]/100</f>
        <v>25717.5</v>
      </c>
    </row>
    <row r="5155" spans="1:18">
      <c r="A5155" s="7">
        <v>46023</v>
      </c>
      <c r="B5155" t="s">
        <v>43</v>
      </c>
      <c r="C5155" s="80" t="s">
        <v>1962</v>
      </c>
      <c r="D5155" s="41">
        <v>55</v>
      </c>
      <c r="E5155" s="41">
        <v>45</v>
      </c>
      <c r="F5155" s="101" t="s">
        <v>19</v>
      </c>
      <c r="G5155" s="102">
        <v>46054</v>
      </c>
      <c r="H5155" s="26" t="s">
        <v>3262</v>
      </c>
      <c r="I5155" s="49">
        <v>19050</v>
      </c>
      <c r="J5155" s="24">
        <v>3</v>
      </c>
      <c r="K5155" s="24"/>
      <c r="L5155" s="91">
        <v>0</v>
      </c>
      <c r="M5155" s="24"/>
      <c r="N5155" s="94">
        <f t="shared" si="201"/>
        <v>3</v>
      </c>
      <c r="O5155" s="11">
        <f t="shared" si="202"/>
        <v>57150</v>
      </c>
      <c r="P5155" s="10">
        <v>261</v>
      </c>
      <c r="Q5155" s="10" t="s">
        <v>1928</v>
      </c>
      <c r="R5155" s="50">
        <f>+テーブル1[[#This Row],[合計金額]]*テーブル1[[#This Row],[自社報酬率％]]/100</f>
        <v>25717.5</v>
      </c>
    </row>
    <row r="5156" spans="1:18">
      <c r="A5156" s="7">
        <v>46023</v>
      </c>
      <c r="B5156" t="s">
        <v>43</v>
      </c>
      <c r="C5156" s="80" t="s">
        <v>1962</v>
      </c>
      <c r="D5156" s="41">
        <v>55</v>
      </c>
      <c r="E5156" s="41">
        <v>45</v>
      </c>
      <c r="F5156" s="101" t="s">
        <v>19</v>
      </c>
      <c r="G5156" s="102">
        <v>46082</v>
      </c>
      <c r="H5156" s="26" t="s">
        <v>3263</v>
      </c>
      <c r="I5156" s="49">
        <v>19050</v>
      </c>
      <c r="J5156" s="24">
        <v>3</v>
      </c>
      <c r="K5156" s="24"/>
      <c r="L5156" s="91">
        <v>0</v>
      </c>
      <c r="M5156" s="24"/>
      <c r="N5156" s="94">
        <f t="shared" si="201"/>
        <v>3</v>
      </c>
      <c r="O5156" s="11">
        <f t="shared" si="202"/>
        <v>57150</v>
      </c>
      <c r="P5156" s="10">
        <v>262</v>
      </c>
      <c r="Q5156" s="10" t="s">
        <v>1928</v>
      </c>
      <c r="R5156" s="50">
        <f>+テーブル1[[#This Row],[合計金額]]*テーブル1[[#This Row],[自社報酬率％]]/100</f>
        <v>25717.5</v>
      </c>
    </row>
    <row r="5157" spans="1:18">
      <c r="A5157" s="7">
        <v>46023</v>
      </c>
      <c r="B5157" t="s">
        <v>43</v>
      </c>
      <c r="C5157" s="80" t="s">
        <v>1962</v>
      </c>
      <c r="D5157" s="41">
        <v>55</v>
      </c>
      <c r="E5157" s="41">
        <v>45</v>
      </c>
      <c r="F5157" s="101" t="s">
        <v>19</v>
      </c>
      <c r="G5157" s="102">
        <v>46113</v>
      </c>
      <c r="H5157" s="26" t="s">
        <v>3264</v>
      </c>
      <c r="I5157" s="49">
        <v>19050</v>
      </c>
      <c r="J5157" s="24">
        <v>3</v>
      </c>
      <c r="K5157" s="24"/>
      <c r="L5157" s="91">
        <v>0</v>
      </c>
      <c r="M5157" s="24"/>
      <c r="N5157" s="94">
        <f t="shared" si="201"/>
        <v>3</v>
      </c>
      <c r="O5157" s="11">
        <f t="shared" si="202"/>
        <v>57150</v>
      </c>
      <c r="P5157" s="10">
        <v>263</v>
      </c>
      <c r="Q5157" s="10" t="s">
        <v>1928</v>
      </c>
      <c r="R5157" s="50">
        <f>+テーブル1[[#This Row],[合計金額]]*テーブル1[[#This Row],[自社報酬率％]]/100</f>
        <v>25717.5</v>
      </c>
    </row>
    <row r="5158" spans="1:18">
      <c r="A5158" s="7">
        <v>46023</v>
      </c>
      <c r="B5158" t="s">
        <v>43</v>
      </c>
      <c r="C5158" s="80" t="s">
        <v>1962</v>
      </c>
      <c r="D5158" s="41">
        <v>55</v>
      </c>
      <c r="E5158" s="41">
        <v>45</v>
      </c>
      <c r="F5158" s="101" t="s">
        <v>19</v>
      </c>
      <c r="G5158" s="102">
        <v>46143</v>
      </c>
      <c r="H5158" s="26" t="s">
        <v>3265</v>
      </c>
      <c r="I5158" s="49">
        <v>19050</v>
      </c>
      <c r="J5158" s="24">
        <v>3</v>
      </c>
      <c r="K5158" s="24"/>
      <c r="L5158" s="91">
        <v>0</v>
      </c>
      <c r="M5158" s="24"/>
      <c r="N5158" s="94">
        <f t="shared" si="201"/>
        <v>3</v>
      </c>
      <c r="O5158" s="11">
        <f t="shared" si="202"/>
        <v>57150</v>
      </c>
      <c r="P5158" s="10">
        <v>264</v>
      </c>
      <c r="Q5158" s="10" t="s">
        <v>1928</v>
      </c>
      <c r="R5158" s="50">
        <f>+テーブル1[[#This Row],[合計金額]]*テーブル1[[#This Row],[自社報酬率％]]/100</f>
        <v>25717.5</v>
      </c>
    </row>
    <row r="5159" spans="1:18">
      <c r="A5159" s="7">
        <v>46023</v>
      </c>
      <c r="B5159" t="s">
        <v>43</v>
      </c>
      <c r="C5159" s="81" t="s">
        <v>1962</v>
      </c>
      <c r="D5159" s="41">
        <v>55</v>
      </c>
      <c r="E5159" s="41">
        <v>45</v>
      </c>
      <c r="F5159" s="76" t="s">
        <v>19</v>
      </c>
      <c r="G5159" s="86">
        <v>46174</v>
      </c>
      <c r="H5159" s="26" t="s">
        <v>3266</v>
      </c>
      <c r="I5159" s="49">
        <v>19050</v>
      </c>
      <c r="J5159" s="77">
        <v>3</v>
      </c>
      <c r="K5159" s="24"/>
      <c r="L5159" s="92">
        <v>0</v>
      </c>
      <c r="M5159" s="24"/>
      <c r="N5159" s="95">
        <f t="shared" si="201"/>
        <v>3</v>
      </c>
      <c r="O5159" s="11">
        <f t="shared" si="202"/>
        <v>57150</v>
      </c>
      <c r="P5159" s="10">
        <v>265</v>
      </c>
      <c r="Q5159" s="10" t="s">
        <v>1928</v>
      </c>
      <c r="R5159" s="50">
        <f>+テーブル1[[#This Row],[合計金額]]*テーブル1[[#This Row],[自社報酬率％]]/100</f>
        <v>25717.5</v>
      </c>
    </row>
    <row r="5160" spans="1:18">
      <c r="A5160" s="7">
        <v>46023</v>
      </c>
      <c r="B5160" t="s">
        <v>43</v>
      </c>
      <c r="C5160" s="101" t="s">
        <v>1962</v>
      </c>
      <c r="D5160" s="41">
        <v>55</v>
      </c>
      <c r="E5160" s="41">
        <v>45</v>
      </c>
      <c r="F5160" s="101" t="s">
        <v>16</v>
      </c>
      <c r="G5160" s="102">
        <v>46054</v>
      </c>
      <c r="H5160" s="26" t="s">
        <v>3405</v>
      </c>
      <c r="I5160" s="49">
        <v>10485</v>
      </c>
      <c r="J5160" s="24">
        <v>51</v>
      </c>
      <c r="K5160" s="24"/>
      <c r="L5160" s="91">
        <v>0</v>
      </c>
      <c r="M5160" s="24"/>
      <c r="N5160" s="12">
        <f t="shared" si="201"/>
        <v>51</v>
      </c>
      <c r="O5160" s="11">
        <f t="shared" si="202"/>
        <v>534735</v>
      </c>
      <c r="P5160" s="10">
        <v>266</v>
      </c>
      <c r="Q5160" s="10" t="s">
        <v>1928</v>
      </c>
      <c r="R5160" s="50">
        <f>+テーブル1[[#This Row],[合計金額]]*テーブル1[[#This Row],[自社報酬率％]]/100</f>
        <v>240630.75</v>
      </c>
    </row>
    <row r="5161" spans="1:18">
      <c r="A5161" s="7">
        <v>46023</v>
      </c>
      <c r="B5161" t="s">
        <v>43</v>
      </c>
      <c r="C5161" s="101" t="s">
        <v>1962</v>
      </c>
      <c r="D5161" s="41">
        <v>55</v>
      </c>
      <c r="E5161" s="41">
        <v>45</v>
      </c>
      <c r="F5161" s="101" t="s">
        <v>16</v>
      </c>
      <c r="G5161" s="102">
        <v>46054</v>
      </c>
      <c r="H5161" s="26" t="s">
        <v>3406</v>
      </c>
      <c r="I5161" s="49">
        <v>20970</v>
      </c>
      <c r="J5161" s="24">
        <v>77</v>
      </c>
      <c r="K5161" s="24"/>
      <c r="L5161" s="91">
        <v>0</v>
      </c>
      <c r="M5161" s="24"/>
      <c r="N5161" s="12">
        <f t="shared" si="201"/>
        <v>77</v>
      </c>
      <c r="O5161" s="11">
        <f t="shared" si="202"/>
        <v>1614690</v>
      </c>
      <c r="P5161" s="10">
        <v>267</v>
      </c>
      <c r="Q5161" s="10" t="s">
        <v>1928</v>
      </c>
      <c r="R5161" s="50">
        <f>+テーブル1[[#This Row],[合計金額]]*テーブル1[[#This Row],[自社報酬率％]]/100</f>
        <v>726610.5</v>
      </c>
    </row>
    <row r="5162" spans="1:18">
      <c r="A5162" s="7">
        <v>46023</v>
      </c>
      <c r="B5162" t="s">
        <v>43</v>
      </c>
      <c r="C5162" s="101" t="s">
        <v>1962</v>
      </c>
      <c r="D5162" s="41">
        <v>55</v>
      </c>
      <c r="E5162" s="41">
        <v>45</v>
      </c>
      <c r="F5162" s="101" t="s">
        <v>16</v>
      </c>
      <c r="G5162" s="102">
        <v>46054</v>
      </c>
      <c r="H5162" s="26" t="s">
        <v>3407</v>
      </c>
      <c r="I5162" s="49">
        <v>20970</v>
      </c>
      <c r="J5162" s="24">
        <v>2</v>
      </c>
      <c r="K5162" s="24"/>
      <c r="L5162" s="91">
        <v>0</v>
      </c>
      <c r="M5162" s="24"/>
      <c r="N5162" s="12">
        <f t="shared" ref="N5162:N5190" si="203">J5162-L5162</f>
        <v>2</v>
      </c>
      <c r="O5162" s="11">
        <f t="shared" ref="O5162:O5193" si="204">+I5162*N5162</f>
        <v>41940</v>
      </c>
      <c r="P5162" s="10">
        <v>268</v>
      </c>
      <c r="Q5162" s="10" t="s">
        <v>1928</v>
      </c>
      <c r="R5162" s="50">
        <f>+テーブル1[[#This Row],[合計金額]]*テーブル1[[#This Row],[自社報酬率％]]/100</f>
        <v>18873</v>
      </c>
    </row>
    <row r="5163" spans="1:18">
      <c r="A5163" s="7">
        <v>46023</v>
      </c>
      <c r="B5163" t="s">
        <v>43</v>
      </c>
      <c r="C5163" s="101" t="s">
        <v>1962</v>
      </c>
      <c r="D5163" s="41">
        <v>80</v>
      </c>
      <c r="E5163" s="41">
        <v>20</v>
      </c>
      <c r="F5163" s="101" t="s">
        <v>16</v>
      </c>
      <c r="G5163" s="102">
        <v>46054</v>
      </c>
      <c r="H5163" s="26" t="s">
        <v>3407</v>
      </c>
      <c r="I5163" s="49">
        <v>20970</v>
      </c>
      <c r="J5163" s="24">
        <v>1</v>
      </c>
      <c r="K5163" s="24"/>
      <c r="L5163" s="91">
        <v>0</v>
      </c>
      <c r="M5163" s="24"/>
      <c r="N5163" s="12">
        <f t="shared" si="203"/>
        <v>1</v>
      </c>
      <c r="O5163" s="11">
        <f t="shared" si="204"/>
        <v>20970</v>
      </c>
      <c r="P5163" s="10">
        <v>269</v>
      </c>
      <c r="Q5163" s="10" t="s">
        <v>1928</v>
      </c>
      <c r="R5163" s="50">
        <f>+テーブル1[[#This Row],[合計金額]]*テーブル1[[#This Row],[自社報酬率％]]/100</f>
        <v>4194</v>
      </c>
    </row>
    <row r="5164" spans="1:18">
      <c r="A5164" s="7">
        <v>46023</v>
      </c>
      <c r="B5164" t="s">
        <v>43</v>
      </c>
      <c r="C5164" s="79" t="s">
        <v>2023</v>
      </c>
      <c r="D5164" s="41">
        <v>50</v>
      </c>
      <c r="E5164" s="41">
        <v>50</v>
      </c>
      <c r="F5164" s="72" t="s">
        <v>17</v>
      </c>
      <c r="G5164" s="85">
        <v>46054</v>
      </c>
      <c r="H5164" s="26" t="s">
        <v>3408</v>
      </c>
      <c r="I5164" s="49">
        <v>2625</v>
      </c>
      <c r="J5164" s="73">
        <v>3</v>
      </c>
      <c r="K5164" s="24"/>
      <c r="L5164" s="90">
        <v>0</v>
      </c>
      <c r="M5164" s="24"/>
      <c r="N5164" s="93">
        <f t="shared" si="203"/>
        <v>3</v>
      </c>
      <c r="O5164" s="11">
        <f t="shared" si="204"/>
        <v>7875</v>
      </c>
      <c r="P5164" s="10">
        <v>270</v>
      </c>
      <c r="Q5164" s="10" t="s">
        <v>1928</v>
      </c>
      <c r="R5164" s="50">
        <f>+テーブル1[[#This Row],[合計金額]]*テーブル1[[#This Row],[自社報酬率％]]/100</f>
        <v>3937.5</v>
      </c>
    </row>
    <row r="5165" spans="1:18">
      <c r="A5165" s="7">
        <v>46023</v>
      </c>
      <c r="B5165" t="s">
        <v>43</v>
      </c>
      <c r="C5165" s="80" t="s">
        <v>2023</v>
      </c>
      <c r="D5165" s="41">
        <v>50</v>
      </c>
      <c r="E5165" s="41">
        <v>50</v>
      </c>
      <c r="F5165" s="101" t="s">
        <v>17</v>
      </c>
      <c r="G5165" s="102">
        <v>46082</v>
      </c>
      <c r="H5165" s="26" t="s">
        <v>3409</v>
      </c>
      <c r="I5165" s="49">
        <v>2625</v>
      </c>
      <c r="J5165" s="24">
        <v>3</v>
      </c>
      <c r="K5165" s="24"/>
      <c r="L5165" s="91">
        <v>0</v>
      </c>
      <c r="M5165" s="24"/>
      <c r="N5165" s="94">
        <f t="shared" si="203"/>
        <v>3</v>
      </c>
      <c r="O5165" s="11">
        <f t="shared" si="204"/>
        <v>7875</v>
      </c>
      <c r="P5165" s="10">
        <v>271</v>
      </c>
      <c r="Q5165" s="10" t="s">
        <v>1928</v>
      </c>
      <c r="R5165" s="50">
        <f>+テーブル1[[#This Row],[合計金額]]*テーブル1[[#This Row],[自社報酬率％]]/100</f>
        <v>3937.5</v>
      </c>
    </row>
    <row r="5166" spans="1:18">
      <c r="A5166" s="7">
        <v>46023</v>
      </c>
      <c r="B5166" t="s">
        <v>43</v>
      </c>
      <c r="C5166" s="80" t="s">
        <v>2023</v>
      </c>
      <c r="D5166" s="41">
        <v>50</v>
      </c>
      <c r="E5166" s="41">
        <v>50</v>
      </c>
      <c r="F5166" s="101" t="s">
        <v>17</v>
      </c>
      <c r="G5166" s="102">
        <v>46113</v>
      </c>
      <c r="H5166" s="26" t="s">
        <v>3410</v>
      </c>
      <c r="I5166" s="49">
        <v>2625</v>
      </c>
      <c r="J5166" s="24">
        <v>3</v>
      </c>
      <c r="K5166" s="24"/>
      <c r="L5166" s="91">
        <v>0</v>
      </c>
      <c r="M5166" s="24"/>
      <c r="N5166" s="94">
        <f t="shared" si="203"/>
        <v>3</v>
      </c>
      <c r="O5166" s="11">
        <f t="shared" si="204"/>
        <v>7875</v>
      </c>
      <c r="P5166" s="10">
        <v>272</v>
      </c>
      <c r="Q5166" s="10" t="s">
        <v>1928</v>
      </c>
      <c r="R5166" s="50">
        <f>+テーブル1[[#This Row],[合計金額]]*テーブル1[[#This Row],[自社報酬率％]]/100</f>
        <v>3937.5</v>
      </c>
    </row>
    <row r="5167" spans="1:18">
      <c r="A5167" s="7">
        <v>46023</v>
      </c>
      <c r="B5167" t="s">
        <v>43</v>
      </c>
      <c r="C5167" s="80" t="s">
        <v>2023</v>
      </c>
      <c r="D5167" s="41">
        <v>50</v>
      </c>
      <c r="E5167" s="41">
        <v>50</v>
      </c>
      <c r="F5167" s="101" t="s">
        <v>17</v>
      </c>
      <c r="G5167" s="102">
        <v>46143</v>
      </c>
      <c r="H5167" s="26" t="s">
        <v>3411</v>
      </c>
      <c r="I5167" s="49">
        <v>2625</v>
      </c>
      <c r="J5167" s="24">
        <v>3</v>
      </c>
      <c r="K5167" s="24"/>
      <c r="L5167" s="91">
        <v>0</v>
      </c>
      <c r="M5167" s="24"/>
      <c r="N5167" s="94">
        <f t="shared" si="203"/>
        <v>3</v>
      </c>
      <c r="O5167" s="11">
        <f t="shared" si="204"/>
        <v>7875</v>
      </c>
      <c r="P5167" s="10">
        <v>273</v>
      </c>
      <c r="Q5167" s="10" t="s">
        <v>1928</v>
      </c>
      <c r="R5167" s="50">
        <f>+テーブル1[[#This Row],[合計金額]]*テーブル1[[#This Row],[自社報酬率％]]/100</f>
        <v>3937.5</v>
      </c>
    </row>
    <row r="5168" spans="1:18">
      <c r="A5168" s="7">
        <v>46023</v>
      </c>
      <c r="B5168" t="s">
        <v>43</v>
      </c>
      <c r="C5168" s="80" t="s">
        <v>2023</v>
      </c>
      <c r="D5168" s="41">
        <v>50</v>
      </c>
      <c r="E5168" s="41">
        <v>50</v>
      </c>
      <c r="F5168" s="101" t="s">
        <v>17</v>
      </c>
      <c r="G5168" s="102">
        <v>46174</v>
      </c>
      <c r="H5168" s="26" t="s">
        <v>3412</v>
      </c>
      <c r="I5168" s="49">
        <v>2625</v>
      </c>
      <c r="J5168" s="24">
        <v>3</v>
      </c>
      <c r="K5168" s="24"/>
      <c r="L5168" s="91">
        <v>0</v>
      </c>
      <c r="M5168" s="24"/>
      <c r="N5168" s="94">
        <f t="shared" si="203"/>
        <v>3</v>
      </c>
      <c r="O5168" s="11">
        <f t="shared" si="204"/>
        <v>7875</v>
      </c>
      <c r="P5168" s="10">
        <v>274</v>
      </c>
      <c r="Q5168" s="10" t="s">
        <v>1928</v>
      </c>
      <c r="R5168" s="50">
        <f>+テーブル1[[#This Row],[合計金額]]*テーブル1[[#This Row],[自社報酬率％]]/100</f>
        <v>3937.5</v>
      </c>
    </row>
    <row r="5169" spans="1:18">
      <c r="A5169" s="7">
        <v>46023</v>
      </c>
      <c r="B5169" t="s">
        <v>43</v>
      </c>
      <c r="C5169" s="80" t="s">
        <v>2023</v>
      </c>
      <c r="D5169" s="41">
        <v>50</v>
      </c>
      <c r="E5169" s="41">
        <v>50</v>
      </c>
      <c r="F5169" s="101" t="s">
        <v>17</v>
      </c>
      <c r="G5169" s="102">
        <v>46204</v>
      </c>
      <c r="H5169" s="26" t="s">
        <v>3413</v>
      </c>
      <c r="I5169" s="49">
        <v>2625</v>
      </c>
      <c r="J5169" s="24">
        <v>3</v>
      </c>
      <c r="K5169" s="24"/>
      <c r="L5169" s="91">
        <v>0</v>
      </c>
      <c r="M5169" s="24"/>
      <c r="N5169" s="94">
        <f t="shared" si="203"/>
        <v>3</v>
      </c>
      <c r="O5169" s="11">
        <f t="shared" si="204"/>
        <v>7875</v>
      </c>
      <c r="P5169" s="10">
        <v>275</v>
      </c>
      <c r="Q5169" s="10" t="s">
        <v>1928</v>
      </c>
      <c r="R5169" s="50">
        <f>+テーブル1[[#This Row],[合計金額]]*テーブル1[[#This Row],[自社報酬率％]]/100</f>
        <v>3937.5</v>
      </c>
    </row>
    <row r="5170" spans="1:18">
      <c r="A5170" s="7">
        <v>46023</v>
      </c>
      <c r="B5170" t="s">
        <v>43</v>
      </c>
      <c r="C5170" s="80" t="s">
        <v>2023</v>
      </c>
      <c r="D5170" s="41">
        <v>50</v>
      </c>
      <c r="E5170" s="41">
        <v>50</v>
      </c>
      <c r="F5170" s="101" t="s">
        <v>17</v>
      </c>
      <c r="G5170" s="102">
        <v>46235</v>
      </c>
      <c r="H5170" s="26" t="s">
        <v>3414</v>
      </c>
      <c r="I5170" s="49">
        <v>2625</v>
      </c>
      <c r="J5170" s="24">
        <v>3</v>
      </c>
      <c r="K5170" s="24"/>
      <c r="L5170" s="91">
        <v>0</v>
      </c>
      <c r="M5170" s="24"/>
      <c r="N5170" s="94">
        <f t="shared" si="203"/>
        <v>3</v>
      </c>
      <c r="O5170" s="11">
        <f t="shared" si="204"/>
        <v>7875</v>
      </c>
      <c r="P5170" s="10">
        <v>276</v>
      </c>
      <c r="Q5170" s="10" t="s">
        <v>1928</v>
      </c>
      <c r="R5170" s="50">
        <f>+テーブル1[[#This Row],[合計金額]]*テーブル1[[#This Row],[自社報酬率％]]/100</f>
        <v>3937.5</v>
      </c>
    </row>
    <row r="5171" spans="1:18">
      <c r="A5171" s="7">
        <v>46023</v>
      </c>
      <c r="B5171" t="s">
        <v>43</v>
      </c>
      <c r="C5171" s="80" t="s">
        <v>2023</v>
      </c>
      <c r="D5171" s="41">
        <v>50</v>
      </c>
      <c r="E5171" s="41">
        <v>50</v>
      </c>
      <c r="F5171" s="101" t="s">
        <v>17</v>
      </c>
      <c r="G5171" s="102">
        <v>46266</v>
      </c>
      <c r="H5171" s="26" t="s">
        <v>3415</v>
      </c>
      <c r="I5171" s="49">
        <v>2625</v>
      </c>
      <c r="J5171" s="24">
        <v>3</v>
      </c>
      <c r="K5171" s="24"/>
      <c r="L5171" s="91">
        <v>0</v>
      </c>
      <c r="M5171" s="24"/>
      <c r="N5171" s="94">
        <f t="shared" si="203"/>
        <v>3</v>
      </c>
      <c r="O5171" s="11">
        <f t="shared" si="204"/>
        <v>7875</v>
      </c>
      <c r="P5171" s="10">
        <v>277</v>
      </c>
      <c r="Q5171" s="10" t="s">
        <v>1928</v>
      </c>
      <c r="R5171" s="50">
        <f>+テーブル1[[#This Row],[合計金額]]*テーブル1[[#This Row],[自社報酬率％]]/100</f>
        <v>3937.5</v>
      </c>
    </row>
    <row r="5172" spans="1:18">
      <c r="A5172" s="7">
        <v>46023</v>
      </c>
      <c r="B5172" t="s">
        <v>43</v>
      </c>
      <c r="C5172" s="80" t="s">
        <v>2023</v>
      </c>
      <c r="D5172" s="41">
        <v>50</v>
      </c>
      <c r="E5172" s="41">
        <v>50</v>
      </c>
      <c r="F5172" s="101" t="s">
        <v>17</v>
      </c>
      <c r="G5172" s="102">
        <v>46296</v>
      </c>
      <c r="H5172" s="26" t="s">
        <v>3416</v>
      </c>
      <c r="I5172" s="49">
        <v>2625</v>
      </c>
      <c r="J5172" s="24">
        <v>3</v>
      </c>
      <c r="K5172" s="24"/>
      <c r="L5172" s="91">
        <v>0</v>
      </c>
      <c r="M5172" s="24"/>
      <c r="N5172" s="94">
        <f t="shared" si="203"/>
        <v>3</v>
      </c>
      <c r="O5172" s="11">
        <f t="shared" si="204"/>
        <v>7875</v>
      </c>
      <c r="P5172" s="10">
        <v>278</v>
      </c>
      <c r="Q5172" s="10" t="s">
        <v>1928</v>
      </c>
      <c r="R5172" s="50">
        <f>+テーブル1[[#This Row],[合計金額]]*テーブル1[[#This Row],[自社報酬率％]]/100</f>
        <v>3937.5</v>
      </c>
    </row>
    <row r="5173" spans="1:18">
      <c r="A5173" s="7">
        <v>46023</v>
      </c>
      <c r="B5173" t="s">
        <v>43</v>
      </c>
      <c r="C5173" s="80" t="s">
        <v>2023</v>
      </c>
      <c r="D5173" s="41">
        <v>50</v>
      </c>
      <c r="E5173" s="41">
        <v>50</v>
      </c>
      <c r="F5173" s="101" t="s">
        <v>17</v>
      </c>
      <c r="G5173" s="102">
        <v>46327</v>
      </c>
      <c r="H5173" s="26" t="s">
        <v>3417</v>
      </c>
      <c r="I5173" s="49">
        <v>2625</v>
      </c>
      <c r="J5173" s="24">
        <v>3</v>
      </c>
      <c r="K5173" s="24"/>
      <c r="L5173" s="91">
        <v>0</v>
      </c>
      <c r="M5173" s="24"/>
      <c r="N5173" s="94">
        <f t="shared" si="203"/>
        <v>3</v>
      </c>
      <c r="O5173" s="11">
        <f t="shared" si="204"/>
        <v>7875</v>
      </c>
      <c r="P5173" s="10">
        <v>279</v>
      </c>
      <c r="Q5173" s="10" t="s">
        <v>1928</v>
      </c>
      <c r="R5173" s="50">
        <f>+テーブル1[[#This Row],[合計金額]]*テーブル1[[#This Row],[自社報酬率％]]/100</f>
        <v>3937.5</v>
      </c>
    </row>
    <row r="5174" spans="1:18">
      <c r="A5174" s="7">
        <v>46023</v>
      </c>
      <c r="B5174" t="s">
        <v>43</v>
      </c>
      <c r="C5174" s="80" t="s">
        <v>2023</v>
      </c>
      <c r="D5174" s="41">
        <v>50</v>
      </c>
      <c r="E5174" s="41">
        <v>50</v>
      </c>
      <c r="F5174" s="101" t="s">
        <v>17</v>
      </c>
      <c r="G5174" s="102">
        <v>46357</v>
      </c>
      <c r="H5174" s="26" t="s">
        <v>3418</v>
      </c>
      <c r="I5174" s="49">
        <v>2625</v>
      </c>
      <c r="J5174" s="24">
        <v>3</v>
      </c>
      <c r="K5174" s="24"/>
      <c r="L5174" s="91">
        <v>0</v>
      </c>
      <c r="M5174" s="24"/>
      <c r="N5174" s="94">
        <f t="shared" si="203"/>
        <v>3</v>
      </c>
      <c r="O5174" s="11">
        <f t="shared" si="204"/>
        <v>7875</v>
      </c>
      <c r="P5174" s="10">
        <v>280</v>
      </c>
      <c r="Q5174" s="10" t="s">
        <v>3188</v>
      </c>
      <c r="R5174" s="50">
        <f>+テーブル1[[#This Row],[合計金額]]*テーブル1[[#This Row],[自社報酬率％]]/100</f>
        <v>3937.5</v>
      </c>
    </row>
    <row r="5175" spans="1:18">
      <c r="A5175" s="7">
        <v>46023</v>
      </c>
      <c r="B5175" t="s">
        <v>43</v>
      </c>
      <c r="C5175" s="81" t="s">
        <v>2023</v>
      </c>
      <c r="D5175" s="41">
        <v>50</v>
      </c>
      <c r="E5175" s="41">
        <v>50</v>
      </c>
      <c r="F5175" s="76" t="s">
        <v>17</v>
      </c>
      <c r="G5175" s="86">
        <v>46388</v>
      </c>
      <c r="H5175" s="26" t="s">
        <v>3419</v>
      </c>
      <c r="I5175" s="49">
        <v>2625</v>
      </c>
      <c r="J5175" s="77">
        <v>3</v>
      </c>
      <c r="K5175" s="24"/>
      <c r="L5175" s="92">
        <v>0</v>
      </c>
      <c r="M5175" s="24"/>
      <c r="N5175" s="95">
        <f t="shared" si="203"/>
        <v>3</v>
      </c>
      <c r="O5175" s="11">
        <f t="shared" si="204"/>
        <v>7875</v>
      </c>
      <c r="P5175" s="10">
        <v>281</v>
      </c>
      <c r="Q5175" s="10" t="s">
        <v>3188</v>
      </c>
      <c r="R5175" s="50">
        <f>+テーブル1[[#This Row],[合計金額]]*テーブル1[[#This Row],[自社報酬率％]]/100</f>
        <v>3937.5</v>
      </c>
    </row>
    <row r="5176" spans="1:18">
      <c r="A5176" s="7">
        <v>46023</v>
      </c>
      <c r="B5176" t="s">
        <v>43</v>
      </c>
      <c r="C5176" s="101" t="s">
        <v>2023</v>
      </c>
      <c r="D5176" s="41">
        <v>50</v>
      </c>
      <c r="E5176" s="41">
        <v>50</v>
      </c>
      <c r="F5176" s="101" t="s">
        <v>16</v>
      </c>
      <c r="G5176" s="102">
        <v>46054</v>
      </c>
      <c r="H5176" s="26" t="s">
        <v>3420</v>
      </c>
      <c r="I5176" s="49">
        <v>3150</v>
      </c>
      <c r="J5176" s="24">
        <v>3</v>
      </c>
      <c r="K5176" s="24"/>
      <c r="L5176" s="91">
        <v>0</v>
      </c>
      <c r="M5176" s="24"/>
      <c r="N5176" s="12">
        <f t="shared" si="203"/>
        <v>3</v>
      </c>
      <c r="O5176" s="11">
        <f t="shared" si="204"/>
        <v>9450</v>
      </c>
      <c r="P5176" s="10">
        <v>282</v>
      </c>
      <c r="Q5176" s="10" t="s">
        <v>1928</v>
      </c>
      <c r="R5176" s="50">
        <f>+テーブル1[[#This Row],[合計金額]]*テーブル1[[#This Row],[自社報酬率％]]/100</f>
        <v>4725</v>
      </c>
    </row>
    <row r="5177" spans="1:18">
      <c r="A5177" s="7">
        <v>46023</v>
      </c>
      <c r="B5177" t="s">
        <v>43</v>
      </c>
      <c r="C5177" s="101" t="s">
        <v>2023</v>
      </c>
      <c r="D5177" s="41">
        <v>50</v>
      </c>
      <c r="E5177" s="41">
        <v>50</v>
      </c>
      <c r="F5177" s="101" t="s">
        <v>16</v>
      </c>
      <c r="G5177" s="102">
        <v>46054</v>
      </c>
      <c r="H5177" s="26" t="s">
        <v>3421</v>
      </c>
      <c r="I5177" s="49">
        <v>3150</v>
      </c>
      <c r="J5177" s="24">
        <v>15</v>
      </c>
      <c r="K5177" s="24"/>
      <c r="L5177" s="91">
        <v>0</v>
      </c>
      <c r="M5177" s="24"/>
      <c r="N5177" s="12">
        <f t="shared" si="203"/>
        <v>15</v>
      </c>
      <c r="O5177" s="11">
        <f t="shared" si="204"/>
        <v>47250</v>
      </c>
      <c r="P5177" s="10">
        <v>283</v>
      </c>
      <c r="Q5177" s="10" t="s">
        <v>1928</v>
      </c>
      <c r="R5177" s="50">
        <f>+テーブル1[[#This Row],[合計金額]]*テーブル1[[#This Row],[自社報酬率％]]/100</f>
        <v>23625</v>
      </c>
    </row>
    <row r="5178" spans="1:18">
      <c r="A5178" s="7">
        <v>46023</v>
      </c>
      <c r="B5178" t="s">
        <v>43</v>
      </c>
      <c r="C5178" s="18" t="s">
        <v>2375</v>
      </c>
      <c r="D5178" s="41">
        <v>50</v>
      </c>
      <c r="E5178" s="41">
        <v>50</v>
      </c>
      <c r="F5178" s="18" t="s">
        <v>18</v>
      </c>
      <c r="G5178" s="28">
        <v>46023</v>
      </c>
      <c r="H5178" s="26" t="s">
        <v>3422</v>
      </c>
      <c r="I5178" s="49">
        <v>125400</v>
      </c>
      <c r="J5178" s="24">
        <v>1</v>
      </c>
      <c r="K5178" s="24"/>
      <c r="L5178" s="91">
        <v>0</v>
      </c>
      <c r="M5178" s="24"/>
      <c r="N5178" s="12">
        <f t="shared" si="203"/>
        <v>1</v>
      </c>
      <c r="O5178" s="11">
        <f t="shared" si="204"/>
        <v>125400</v>
      </c>
      <c r="P5178" s="10">
        <v>284</v>
      </c>
      <c r="Q5178" s="10" t="s">
        <v>1928</v>
      </c>
      <c r="R5178" s="50">
        <f>+テーブル1[[#This Row],[合計金額]]*テーブル1[[#This Row],[自社報酬率％]]/100</f>
        <v>62700</v>
      </c>
    </row>
    <row r="5179" spans="1:18">
      <c r="A5179" s="7">
        <v>46023</v>
      </c>
      <c r="B5179" t="s">
        <v>43</v>
      </c>
      <c r="C5179" s="82" t="s">
        <v>2212</v>
      </c>
      <c r="D5179" s="41">
        <v>10</v>
      </c>
      <c r="E5179" s="41">
        <v>90</v>
      </c>
      <c r="F5179" s="82" t="s">
        <v>20</v>
      </c>
      <c r="G5179" s="87">
        <v>46023</v>
      </c>
      <c r="H5179" s="26" t="s">
        <v>2954</v>
      </c>
      <c r="I5179" s="49">
        <v>24700</v>
      </c>
      <c r="J5179" s="77">
        <v>1</v>
      </c>
      <c r="K5179" s="24"/>
      <c r="L5179" s="92">
        <v>0</v>
      </c>
      <c r="M5179" s="24"/>
      <c r="N5179" s="96">
        <f t="shared" si="203"/>
        <v>1</v>
      </c>
      <c r="O5179" s="11">
        <f t="shared" si="204"/>
        <v>24700</v>
      </c>
      <c r="P5179" s="10">
        <v>285</v>
      </c>
      <c r="Q5179" s="10" t="s">
        <v>1928</v>
      </c>
      <c r="R5179" s="50">
        <f>+テーブル1[[#This Row],[合計金額]]*テーブル1[[#This Row],[自社報酬率％]]/100</f>
        <v>22230</v>
      </c>
    </row>
    <row r="5180" spans="1:18">
      <c r="A5180" s="7">
        <v>46023</v>
      </c>
      <c r="B5180" t="s">
        <v>46</v>
      </c>
      <c r="C5180" s="147" t="s">
        <v>15</v>
      </c>
      <c r="D5180" s="41">
        <v>100</v>
      </c>
      <c r="E5180" s="41">
        <v>100</v>
      </c>
      <c r="F5180" s="112" t="s">
        <v>17</v>
      </c>
      <c r="G5180" s="124">
        <v>46023</v>
      </c>
      <c r="H5180" s="26" t="s">
        <v>1930</v>
      </c>
      <c r="I5180" s="49">
        <v>359700</v>
      </c>
      <c r="J5180" s="73">
        <v>2</v>
      </c>
      <c r="K5180" s="24"/>
      <c r="L5180" s="90">
        <v>0</v>
      </c>
      <c r="M5180" s="24"/>
      <c r="N5180" s="146">
        <f t="shared" si="203"/>
        <v>2</v>
      </c>
      <c r="O5180" s="11">
        <f t="shared" si="204"/>
        <v>719400</v>
      </c>
      <c r="P5180" s="10">
        <v>286</v>
      </c>
      <c r="Q5180" s="10" t="s">
        <v>1928</v>
      </c>
      <c r="R5180" s="50">
        <f>+テーブル1[[#This Row],[合計金額]]*テーブル1[[#This Row],[自社報酬率％]]/100</f>
        <v>719400</v>
      </c>
    </row>
    <row r="5181" spans="1:18">
      <c r="A5181" s="7">
        <v>46023</v>
      </c>
      <c r="B5181" t="s">
        <v>46</v>
      </c>
      <c r="C5181" s="147" t="s">
        <v>15</v>
      </c>
      <c r="D5181" s="41">
        <v>100</v>
      </c>
      <c r="E5181" s="41">
        <v>100</v>
      </c>
      <c r="F5181" s="82" t="s">
        <v>17</v>
      </c>
      <c r="G5181" s="87">
        <v>46023</v>
      </c>
      <c r="H5181" s="26" t="s">
        <v>3032</v>
      </c>
      <c r="I5181" s="49">
        <v>286000</v>
      </c>
      <c r="J5181" s="77">
        <v>1</v>
      </c>
      <c r="K5181" s="24"/>
      <c r="L5181" s="92">
        <v>0</v>
      </c>
      <c r="M5181" s="24"/>
      <c r="N5181" s="96">
        <f t="shared" si="203"/>
        <v>1</v>
      </c>
      <c r="O5181" s="11">
        <f t="shared" si="204"/>
        <v>286000</v>
      </c>
      <c r="P5181" s="10">
        <v>287</v>
      </c>
      <c r="Q5181" s="10" t="s">
        <v>1928</v>
      </c>
      <c r="R5181" s="50">
        <f>+テーブル1[[#This Row],[合計金額]]*テーブル1[[#This Row],[自社報酬率％]]/100</f>
        <v>286000</v>
      </c>
    </row>
    <row r="5182" spans="1:18">
      <c r="A5182" s="7">
        <v>46023</v>
      </c>
      <c r="B5182" t="s">
        <v>46</v>
      </c>
      <c r="C5182" s="18" t="s">
        <v>1962</v>
      </c>
      <c r="D5182" s="41">
        <v>50</v>
      </c>
      <c r="E5182" s="41">
        <v>50</v>
      </c>
      <c r="F5182" s="18" t="s">
        <v>19</v>
      </c>
      <c r="G5182" s="28">
        <v>46023</v>
      </c>
      <c r="H5182" s="26" t="s">
        <v>3423</v>
      </c>
      <c r="I5182" s="49">
        <v>72050</v>
      </c>
      <c r="J5182" s="24">
        <v>1</v>
      </c>
      <c r="K5182" s="24"/>
      <c r="L5182" s="91">
        <v>0</v>
      </c>
      <c r="M5182" s="24"/>
      <c r="N5182" s="12">
        <f t="shared" si="203"/>
        <v>1</v>
      </c>
      <c r="O5182" s="11">
        <f t="shared" si="204"/>
        <v>72050</v>
      </c>
      <c r="P5182" s="10">
        <v>288</v>
      </c>
      <c r="Q5182" s="10" t="s">
        <v>1928</v>
      </c>
      <c r="R5182" s="50">
        <f>+テーブル1[[#This Row],[合計金額]]*テーブル1[[#This Row],[自社報酬率％]]/100</f>
        <v>36025</v>
      </c>
    </row>
    <row r="5183" spans="1:18">
      <c r="A5183" s="7">
        <v>46023</v>
      </c>
      <c r="B5183" t="s">
        <v>46</v>
      </c>
      <c r="C5183" s="79" t="s">
        <v>1962</v>
      </c>
      <c r="D5183" s="41">
        <v>55</v>
      </c>
      <c r="E5183" s="41">
        <v>45</v>
      </c>
      <c r="F5183" s="72" t="s">
        <v>19</v>
      </c>
      <c r="G5183" s="85">
        <v>46054</v>
      </c>
      <c r="H5183" s="26" t="s">
        <v>3424</v>
      </c>
      <c r="I5183" s="49">
        <v>19050</v>
      </c>
      <c r="J5183" s="73">
        <v>2</v>
      </c>
      <c r="K5183" s="24"/>
      <c r="L5183" s="90">
        <v>0</v>
      </c>
      <c r="M5183" s="24"/>
      <c r="N5183" s="93">
        <f t="shared" si="203"/>
        <v>2</v>
      </c>
      <c r="O5183" s="11">
        <f t="shared" si="204"/>
        <v>38100</v>
      </c>
      <c r="P5183" s="10">
        <v>289</v>
      </c>
      <c r="Q5183" s="10" t="s">
        <v>1928</v>
      </c>
      <c r="R5183" s="50">
        <f>+テーブル1[[#This Row],[合計金額]]*テーブル1[[#This Row],[自社報酬率％]]/100</f>
        <v>17145</v>
      </c>
    </row>
    <row r="5184" spans="1:18">
      <c r="A5184" s="7">
        <v>46023</v>
      </c>
      <c r="B5184" t="s">
        <v>46</v>
      </c>
      <c r="C5184" s="80" t="s">
        <v>1962</v>
      </c>
      <c r="D5184" s="41">
        <v>55</v>
      </c>
      <c r="E5184" s="41">
        <v>45</v>
      </c>
      <c r="F5184" s="101" t="s">
        <v>19</v>
      </c>
      <c r="G5184" s="102">
        <v>46082</v>
      </c>
      <c r="H5184" s="26" t="s">
        <v>3425</v>
      </c>
      <c r="I5184" s="49">
        <v>19050</v>
      </c>
      <c r="J5184" s="24">
        <v>2</v>
      </c>
      <c r="K5184" s="24"/>
      <c r="L5184" s="91">
        <v>0</v>
      </c>
      <c r="M5184" s="24"/>
      <c r="N5184" s="94">
        <f t="shared" si="203"/>
        <v>2</v>
      </c>
      <c r="O5184" s="11">
        <f t="shared" si="204"/>
        <v>38100</v>
      </c>
      <c r="P5184" s="10">
        <v>290</v>
      </c>
      <c r="Q5184" s="10" t="s">
        <v>1928</v>
      </c>
      <c r="R5184" s="50">
        <f>+テーブル1[[#This Row],[合計金額]]*テーブル1[[#This Row],[自社報酬率％]]/100</f>
        <v>17145</v>
      </c>
    </row>
    <row r="5185" spans="1:18">
      <c r="A5185" s="7">
        <v>46023</v>
      </c>
      <c r="B5185" t="s">
        <v>46</v>
      </c>
      <c r="C5185" s="80" t="s">
        <v>1962</v>
      </c>
      <c r="D5185" s="41">
        <v>55</v>
      </c>
      <c r="E5185" s="41">
        <v>45</v>
      </c>
      <c r="F5185" s="101" t="s">
        <v>19</v>
      </c>
      <c r="G5185" s="102">
        <v>46113</v>
      </c>
      <c r="H5185" s="26" t="s">
        <v>3426</v>
      </c>
      <c r="I5185" s="49">
        <v>19050</v>
      </c>
      <c r="J5185" s="24">
        <v>2</v>
      </c>
      <c r="K5185" s="24"/>
      <c r="L5185" s="91">
        <v>0</v>
      </c>
      <c r="M5185" s="24"/>
      <c r="N5185" s="94">
        <f t="shared" si="203"/>
        <v>2</v>
      </c>
      <c r="O5185" s="11">
        <f t="shared" si="204"/>
        <v>38100</v>
      </c>
      <c r="P5185" s="10">
        <v>291</v>
      </c>
      <c r="Q5185" s="10" t="s">
        <v>1928</v>
      </c>
      <c r="R5185" s="50">
        <f>+テーブル1[[#This Row],[合計金額]]*テーブル1[[#This Row],[自社報酬率％]]/100</f>
        <v>17145</v>
      </c>
    </row>
    <row r="5186" spans="1:18">
      <c r="A5186" s="7">
        <v>46023</v>
      </c>
      <c r="B5186" t="s">
        <v>46</v>
      </c>
      <c r="C5186" s="80" t="s">
        <v>1962</v>
      </c>
      <c r="D5186" s="41">
        <v>55</v>
      </c>
      <c r="E5186" s="41">
        <v>45</v>
      </c>
      <c r="F5186" s="101" t="s">
        <v>19</v>
      </c>
      <c r="G5186" s="102">
        <v>46143</v>
      </c>
      <c r="H5186" s="26" t="s">
        <v>3427</v>
      </c>
      <c r="I5186" s="49">
        <v>19050</v>
      </c>
      <c r="J5186" s="24">
        <v>2</v>
      </c>
      <c r="K5186" s="24"/>
      <c r="L5186" s="91">
        <v>0</v>
      </c>
      <c r="M5186" s="24"/>
      <c r="N5186" s="94">
        <f t="shared" si="203"/>
        <v>2</v>
      </c>
      <c r="O5186" s="11">
        <f t="shared" si="204"/>
        <v>38100</v>
      </c>
      <c r="P5186" s="10">
        <v>292</v>
      </c>
      <c r="Q5186" s="10" t="s">
        <v>1928</v>
      </c>
      <c r="R5186" s="50">
        <f>+テーブル1[[#This Row],[合計金額]]*テーブル1[[#This Row],[自社報酬率％]]/100</f>
        <v>17145</v>
      </c>
    </row>
    <row r="5187" spans="1:18">
      <c r="A5187" s="7">
        <v>46023</v>
      </c>
      <c r="B5187" t="s">
        <v>46</v>
      </c>
      <c r="C5187" s="80" t="s">
        <v>1962</v>
      </c>
      <c r="D5187" s="41">
        <v>55</v>
      </c>
      <c r="E5187" s="41">
        <v>45</v>
      </c>
      <c r="F5187" s="101" t="s">
        <v>19</v>
      </c>
      <c r="G5187" s="102">
        <v>46174</v>
      </c>
      <c r="H5187" s="26" t="s">
        <v>3428</v>
      </c>
      <c r="I5187" s="49">
        <v>19050</v>
      </c>
      <c r="J5187" s="24">
        <v>2</v>
      </c>
      <c r="K5187" s="24"/>
      <c r="L5187" s="91">
        <v>0</v>
      </c>
      <c r="M5187" s="24"/>
      <c r="N5187" s="94">
        <f t="shared" si="203"/>
        <v>2</v>
      </c>
      <c r="O5187" s="11">
        <f t="shared" si="204"/>
        <v>38100</v>
      </c>
      <c r="P5187" s="10">
        <v>293</v>
      </c>
      <c r="Q5187" s="10" t="s">
        <v>1928</v>
      </c>
      <c r="R5187" s="50">
        <f>+テーブル1[[#This Row],[合計金額]]*テーブル1[[#This Row],[自社報酬率％]]/100</f>
        <v>17145</v>
      </c>
    </row>
    <row r="5188" spans="1:18">
      <c r="A5188" s="7">
        <v>46023</v>
      </c>
      <c r="B5188" t="s">
        <v>46</v>
      </c>
      <c r="C5188" s="81" t="s">
        <v>1962</v>
      </c>
      <c r="D5188" s="41">
        <v>55</v>
      </c>
      <c r="E5188" s="41">
        <v>45</v>
      </c>
      <c r="F5188" s="76" t="s">
        <v>19</v>
      </c>
      <c r="G5188" s="86">
        <v>46204</v>
      </c>
      <c r="H5188" s="26" t="s">
        <v>3429</v>
      </c>
      <c r="I5188" s="49">
        <v>19050</v>
      </c>
      <c r="J5188" s="77">
        <v>2</v>
      </c>
      <c r="K5188" s="24"/>
      <c r="L5188" s="92">
        <v>0</v>
      </c>
      <c r="M5188" s="24"/>
      <c r="N5188" s="95">
        <f t="shared" si="203"/>
        <v>2</v>
      </c>
      <c r="O5188" s="11">
        <f t="shared" si="204"/>
        <v>38100</v>
      </c>
      <c r="P5188" s="10">
        <v>294</v>
      </c>
      <c r="Q5188" s="10" t="s">
        <v>1928</v>
      </c>
      <c r="R5188" s="50">
        <f>+テーブル1[[#This Row],[合計金額]]*テーブル1[[#This Row],[自社報酬率％]]/100</f>
        <v>17145</v>
      </c>
    </row>
    <row r="5189" spans="1:18">
      <c r="A5189" s="7">
        <v>46023</v>
      </c>
      <c r="B5189" t="s">
        <v>43</v>
      </c>
      <c r="C5189" s="101" t="s">
        <v>2043</v>
      </c>
      <c r="D5189" s="41">
        <v>60</v>
      </c>
      <c r="E5189" s="41">
        <v>40</v>
      </c>
      <c r="F5189" s="101" t="s">
        <v>16</v>
      </c>
      <c r="G5189" s="102">
        <v>46054</v>
      </c>
      <c r="H5189" s="26" t="s">
        <v>3430</v>
      </c>
      <c r="I5189" s="49">
        <v>10780</v>
      </c>
      <c r="J5189" s="24">
        <v>3</v>
      </c>
      <c r="K5189" s="24"/>
      <c r="L5189" s="91">
        <v>0</v>
      </c>
      <c r="M5189" s="24"/>
      <c r="N5189" s="12">
        <f t="shared" si="203"/>
        <v>3</v>
      </c>
      <c r="O5189" s="11">
        <f t="shared" si="204"/>
        <v>32340</v>
      </c>
      <c r="P5189" s="10">
        <v>295</v>
      </c>
      <c r="Q5189" s="10" t="s">
        <v>1928</v>
      </c>
      <c r="R5189" s="50">
        <f>+テーブル1[[#This Row],[合計金額]]*テーブル1[[#This Row],[自社報酬率％]]/100</f>
        <v>12936</v>
      </c>
    </row>
    <row r="5190" spans="1:18">
      <c r="A5190" s="7">
        <v>46023</v>
      </c>
      <c r="B5190" t="s">
        <v>43</v>
      </c>
      <c r="C5190" s="101" t="s">
        <v>2045</v>
      </c>
      <c r="D5190" s="41">
        <v>40</v>
      </c>
      <c r="E5190" s="41">
        <v>60</v>
      </c>
      <c r="F5190" s="149" t="s">
        <v>16</v>
      </c>
      <c r="G5190" s="102">
        <v>46054</v>
      </c>
      <c r="H5190" s="26" t="s">
        <v>3431</v>
      </c>
      <c r="I5190" s="49">
        <v>16500</v>
      </c>
      <c r="J5190" s="24">
        <v>3</v>
      </c>
      <c r="K5190" s="24"/>
      <c r="L5190" s="91">
        <v>0</v>
      </c>
      <c r="M5190" s="24"/>
      <c r="N5190" s="12">
        <f t="shared" si="203"/>
        <v>3</v>
      </c>
      <c r="O5190" s="11">
        <f t="shared" si="204"/>
        <v>49500</v>
      </c>
      <c r="P5190" s="10">
        <v>296</v>
      </c>
      <c r="Q5190" s="10" t="s">
        <v>1928</v>
      </c>
      <c r="R5190" s="50">
        <f>+テーブル1[[#This Row],[合計金額]]*テーブル1[[#This Row],[自社報酬率％]]/100</f>
        <v>29700</v>
      </c>
    </row>
    <row r="5191" spans="1:18">
      <c r="A5191" s="7">
        <v>46023</v>
      </c>
      <c r="B5191" t="s">
        <v>14</v>
      </c>
      <c r="C5191" s="101" t="s">
        <v>2043</v>
      </c>
      <c r="D5191" s="41">
        <v>60</v>
      </c>
      <c r="E5191" s="41">
        <v>40</v>
      </c>
      <c r="F5191" s="149" t="s">
        <v>16</v>
      </c>
      <c r="G5191" s="102">
        <v>46054</v>
      </c>
      <c r="H5191" s="26" t="s">
        <v>3432</v>
      </c>
      <c r="I5191" s="49">
        <v>10780</v>
      </c>
      <c r="J5191" s="24">
        <v>1</v>
      </c>
      <c r="K5191" s="24">
        <v>0</v>
      </c>
      <c r="L5191" s="91">
        <v>0</v>
      </c>
      <c r="M5191" s="24">
        <v>0</v>
      </c>
      <c r="N5191" s="12">
        <f t="shared" ref="N5191:N5219" si="205">J5191-K5191-L5191-M5191</f>
        <v>1</v>
      </c>
      <c r="O5191" s="11">
        <f t="shared" ref="O5191:O5197" si="206">+I5191*N5191</f>
        <v>10780</v>
      </c>
      <c r="P5191" s="10">
        <v>8</v>
      </c>
      <c r="Q5191" s="10" t="s">
        <v>1928</v>
      </c>
      <c r="R5191" s="50">
        <f>+テーブル1[[#This Row],[合計金額]]*テーブル1[[#This Row],[自社報酬率％]]/100</f>
        <v>4312</v>
      </c>
    </row>
    <row r="5192" spans="1:18">
      <c r="A5192" s="7">
        <v>46023</v>
      </c>
      <c r="B5192" t="s">
        <v>14</v>
      </c>
      <c r="C5192" s="101" t="s">
        <v>1962</v>
      </c>
      <c r="D5192" s="41">
        <v>50</v>
      </c>
      <c r="E5192" s="41">
        <v>50</v>
      </c>
      <c r="F5192" s="149" t="s">
        <v>16</v>
      </c>
      <c r="G5192" s="102">
        <v>46054</v>
      </c>
      <c r="H5192" s="26" t="s">
        <v>3383</v>
      </c>
      <c r="I5192" s="49">
        <v>13200</v>
      </c>
      <c r="J5192" s="24">
        <v>7</v>
      </c>
      <c r="K5192" s="24">
        <v>0</v>
      </c>
      <c r="L5192" s="91">
        <v>0</v>
      </c>
      <c r="M5192" s="24">
        <v>0</v>
      </c>
      <c r="N5192" s="12">
        <f t="shared" si="205"/>
        <v>7</v>
      </c>
      <c r="O5192" s="11">
        <f t="shared" si="206"/>
        <v>92400</v>
      </c>
      <c r="P5192" s="10">
        <v>9</v>
      </c>
      <c r="Q5192" s="10" t="s">
        <v>1928</v>
      </c>
      <c r="R5192" s="50">
        <f>+テーブル1[[#This Row],[合計金額]]*テーブル1[[#This Row],[自社報酬率％]]/100</f>
        <v>46200</v>
      </c>
    </row>
    <row r="5193" spans="1:18">
      <c r="A5193" s="7">
        <v>46023</v>
      </c>
      <c r="B5193" t="s">
        <v>14</v>
      </c>
      <c r="C5193" s="101" t="s">
        <v>1962</v>
      </c>
      <c r="D5193" s="41">
        <v>50</v>
      </c>
      <c r="E5193" s="41">
        <v>50</v>
      </c>
      <c r="F5193" s="150" t="s">
        <v>16</v>
      </c>
      <c r="G5193" s="102">
        <v>46054</v>
      </c>
      <c r="H5193" s="26" t="s">
        <v>3383</v>
      </c>
      <c r="I5193" s="49">
        <v>14500</v>
      </c>
      <c r="J5193" s="24">
        <v>10</v>
      </c>
      <c r="K5193" s="24">
        <v>0</v>
      </c>
      <c r="L5193" s="91">
        <v>0</v>
      </c>
      <c r="M5193" s="24">
        <v>0</v>
      </c>
      <c r="N5193" s="12">
        <f t="shared" si="205"/>
        <v>10</v>
      </c>
      <c r="O5193" s="11">
        <f t="shared" si="206"/>
        <v>145000</v>
      </c>
      <c r="P5193" s="10">
        <v>10</v>
      </c>
      <c r="Q5193" s="10" t="s">
        <v>1928</v>
      </c>
      <c r="R5193" s="50">
        <f>+テーブル1[[#This Row],[合計金額]]*テーブル1[[#This Row],[自社報酬率％]]/100</f>
        <v>72500</v>
      </c>
    </row>
    <row r="5194" spans="1:18">
      <c r="A5194" s="7">
        <v>46023</v>
      </c>
      <c r="B5194" t="s">
        <v>14</v>
      </c>
      <c r="C5194" s="101" t="s">
        <v>2023</v>
      </c>
      <c r="D5194" s="41">
        <v>50</v>
      </c>
      <c r="E5194" s="41">
        <v>50</v>
      </c>
      <c r="F5194" s="150" t="s">
        <v>16</v>
      </c>
      <c r="G5194" s="102">
        <v>46054</v>
      </c>
      <c r="H5194" s="26" t="s">
        <v>3421</v>
      </c>
      <c r="I5194" s="49">
        <v>3150</v>
      </c>
      <c r="J5194" s="24">
        <v>16</v>
      </c>
      <c r="K5194" s="24">
        <v>0</v>
      </c>
      <c r="L5194" s="91">
        <v>0</v>
      </c>
      <c r="M5194" s="24">
        <v>0</v>
      </c>
      <c r="N5194" s="12">
        <f t="shared" si="205"/>
        <v>16</v>
      </c>
      <c r="O5194" s="11">
        <f t="shared" si="206"/>
        <v>50400</v>
      </c>
      <c r="P5194" s="10">
        <v>11</v>
      </c>
      <c r="Q5194" s="10" t="s">
        <v>1928</v>
      </c>
      <c r="R5194" s="50">
        <f>+テーブル1[[#This Row],[合計金額]]*テーブル1[[#This Row],[自社報酬率％]]/100</f>
        <v>25200</v>
      </c>
    </row>
    <row r="5195" spans="1:18">
      <c r="A5195" s="7">
        <v>46023</v>
      </c>
      <c r="B5195" t="s">
        <v>14</v>
      </c>
      <c r="C5195" s="101" t="s">
        <v>2023</v>
      </c>
      <c r="D5195" s="41">
        <v>50</v>
      </c>
      <c r="E5195" s="41">
        <v>50</v>
      </c>
      <c r="F5195" s="150" t="s">
        <v>16</v>
      </c>
      <c r="G5195" s="102">
        <v>46054</v>
      </c>
      <c r="H5195" s="26" t="s">
        <v>3421</v>
      </c>
      <c r="I5195" s="49">
        <v>4980</v>
      </c>
      <c r="J5195" s="24">
        <v>2</v>
      </c>
      <c r="K5195" s="24">
        <v>0</v>
      </c>
      <c r="L5195" s="91">
        <v>0</v>
      </c>
      <c r="M5195" s="24">
        <v>0</v>
      </c>
      <c r="N5195" s="12">
        <f t="shared" si="205"/>
        <v>2</v>
      </c>
      <c r="O5195" s="11">
        <f t="shared" si="206"/>
        <v>9960</v>
      </c>
      <c r="P5195" s="10">
        <v>12</v>
      </c>
      <c r="Q5195" s="10" t="s">
        <v>1928</v>
      </c>
      <c r="R5195" s="50">
        <f>+テーブル1[[#This Row],[合計金額]]*テーブル1[[#This Row],[自社報酬率％]]/100</f>
        <v>4980</v>
      </c>
    </row>
    <row r="5196" spans="1:18">
      <c r="A5196" s="7">
        <v>46023</v>
      </c>
      <c r="B5196" t="s">
        <v>14</v>
      </c>
      <c r="C5196" s="101" t="s">
        <v>2045</v>
      </c>
      <c r="D5196" s="41">
        <v>40</v>
      </c>
      <c r="E5196" s="41">
        <v>60</v>
      </c>
      <c r="F5196" s="150" t="s">
        <v>16</v>
      </c>
      <c r="G5196" s="102">
        <v>46054</v>
      </c>
      <c r="H5196" s="26" t="s">
        <v>3431</v>
      </c>
      <c r="I5196" s="49">
        <v>16500</v>
      </c>
      <c r="J5196" s="24">
        <v>2</v>
      </c>
      <c r="K5196" s="24">
        <v>0</v>
      </c>
      <c r="L5196" s="91">
        <v>0</v>
      </c>
      <c r="M5196" s="24">
        <v>0</v>
      </c>
      <c r="N5196" s="12">
        <f t="shared" si="205"/>
        <v>2</v>
      </c>
      <c r="O5196" s="11">
        <f t="shared" si="206"/>
        <v>33000</v>
      </c>
      <c r="P5196" s="10">
        <v>13</v>
      </c>
      <c r="Q5196" s="10" t="s">
        <v>1928</v>
      </c>
      <c r="R5196" s="50">
        <f>+テーブル1[[#This Row],[合計金額]]*テーブル1[[#This Row],[自社報酬率％]]/100</f>
        <v>19800</v>
      </c>
    </row>
    <row r="5197" spans="1:18">
      <c r="A5197" s="7">
        <v>46023</v>
      </c>
      <c r="B5197" t="s">
        <v>14</v>
      </c>
      <c r="C5197" s="101" t="s">
        <v>2050</v>
      </c>
      <c r="D5197" s="41">
        <v>50</v>
      </c>
      <c r="E5197" s="41">
        <v>50</v>
      </c>
      <c r="F5197" s="150" t="s">
        <v>16</v>
      </c>
      <c r="G5197" s="102">
        <v>46054</v>
      </c>
      <c r="H5197" s="26" t="s">
        <v>3433</v>
      </c>
      <c r="I5197" s="49">
        <v>9800</v>
      </c>
      <c r="J5197" s="24">
        <v>2</v>
      </c>
      <c r="K5197" s="24">
        <v>0</v>
      </c>
      <c r="L5197" s="91">
        <v>0</v>
      </c>
      <c r="M5197" s="24">
        <v>0</v>
      </c>
      <c r="N5197" s="12">
        <f t="shared" si="205"/>
        <v>2</v>
      </c>
      <c r="O5197" s="11">
        <f t="shared" si="206"/>
        <v>19600</v>
      </c>
      <c r="P5197" s="10">
        <v>14</v>
      </c>
      <c r="Q5197" s="10" t="s">
        <v>1928</v>
      </c>
      <c r="R5197" s="50">
        <f>+テーブル1[[#This Row],[合計金額]]*テーブル1[[#This Row],[自社報酬率％]]/100</f>
        <v>9800</v>
      </c>
    </row>
    <row r="5198" spans="1:18">
      <c r="A5198" s="7">
        <v>46023</v>
      </c>
      <c r="B5198" t="s">
        <v>21</v>
      </c>
      <c r="C5198" s="147" t="s">
        <v>15</v>
      </c>
      <c r="D5198" s="41">
        <v>100</v>
      </c>
      <c r="E5198" s="41">
        <v>100</v>
      </c>
      <c r="F5198" s="18"/>
      <c r="G5198" s="120">
        <v>46023</v>
      </c>
      <c r="H5198" s="26" t="s">
        <v>3074</v>
      </c>
      <c r="I5198" s="49">
        <v>217800</v>
      </c>
      <c r="J5198" s="119">
        <v>1</v>
      </c>
      <c r="K5198" s="24"/>
      <c r="L5198" s="91"/>
      <c r="M5198" s="24"/>
      <c r="N5198" s="12">
        <f t="shared" si="205"/>
        <v>1</v>
      </c>
      <c r="O5198" s="11">
        <f t="shared" ref="O5198:O5204" si="207">+I5198*J5198</f>
        <v>217800</v>
      </c>
      <c r="P5198" s="10">
        <v>17</v>
      </c>
      <c r="Q5198" s="10" t="s">
        <v>1928</v>
      </c>
      <c r="R5198" s="50">
        <f>+テーブル1[[#This Row],[合計金額]]*テーブル1[[#This Row],[自社報酬率％]]/100</f>
        <v>217800</v>
      </c>
    </row>
    <row r="5199" spans="1:18">
      <c r="A5199" s="7">
        <v>46023</v>
      </c>
      <c r="B5199" t="s">
        <v>21</v>
      </c>
      <c r="C5199" s="112" t="s">
        <v>2043</v>
      </c>
      <c r="D5199" s="41">
        <v>60</v>
      </c>
      <c r="E5199" s="41">
        <v>40</v>
      </c>
      <c r="F5199" s="18"/>
      <c r="G5199" s="28">
        <v>46023</v>
      </c>
      <c r="H5199" s="26" t="s">
        <v>3434</v>
      </c>
      <c r="I5199" s="49">
        <v>349200</v>
      </c>
      <c r="J5199" s="73">
        <v>1</v>
      </c>
      <c r="K5199" s="24"/>
      <c r="L5199" s="91"/>
      <c r="M5199" s="24"/>
      <c r="N5199" s="12">
        <f t="shared" si="205"/>
        <v>1</v>
      </c>
      <c r="O5199" s="11">
        <f t="shared" si="207"/>
        <v>349200</v>
      </c>
      <c r="P5199" s="10">
        <v>18</v>
      </c>
      <c r="Q5199" s="10" t="s">
        <v>1928</v>
      </c>
      <c r="R5199" s="50">
        <f>+テーブル1[[#This Row],[合計金額]]*テーブル1[[#This Row],[自社報酬率％]]/100</f>
        <v>139680</v>
      </c>
    </row>
    <row r="5200" spans="1:18">
      <c r="A5200" s="7">
        <v>46023</v>
      </c>
      <c r="B5200" t="s">
        <v>21</v>
      </c>
      <c r="C5200" s="18" t="s">
        <v>2043</v>
      </c>
      <c r="D5200" s="41">
        <v>60</v>
      </c>
      <c r="E5200" s="41">
        <v>40</v>
      </c>
      <c r="F5200" s="18"/>
      <c r="G5200" s="28">
        <v>46023</v>
      </c>
      <c r="H5200" s="26" t="s">
        <v>3435</v>
      </c>
      <c r="I5200" s="49">
        <v>349200</v>
      </c>
      <c r="J5200" s="24">
        <v>2</v>
      </c>
      <c r="K5200" s="24"/>
      <c r="L5200" s="91"/>
      <c r="M5200" s="24"/>
      <c r="N5200" s="12">
        <f t="shared" si="205"/>
        <v>2</v>
      </c>
      <c r="O5200" s="11">
        <f t="shared" si="207"/>
        <v>698400</v>
      </c>
      <c r="P5200" s="10">
        <v>19</v>
      </c>
      <c r="Q5200" s="10" t="s">
        <v>1928</v>
      </c>
      <c r="R5200" s="50">
        <f>+テーブル1[[#This Row],[合計金額]]*テーブル1[[#This Row],[自社報酬率％]]/100</f>
        <v>279360</v>
      </c>
    </row>
    <row r="5201" spans="1:18">
      <c r="A5201" s="7">
        <v>46023</v>
      </c>
      <c r="B5201" t="s">
        <v>21</v>
      </c>
      <c r="C5201" s="18" t="s">
        <v>2043</v>
      </c>
      <c r="D5201" s="41">
        <v>60</v>
      </c>
      <c r="E5201" s="41">
        <v>40</v>
      </c>
      <c r="F5201" s="18"/>
      <c r="G5201" s="28">
        <v>46023</v>
      </c>
      <c r="H5201" s="26" t="s">
        <v>3436</v>
      </c>
      <c r="I5201" s="49">
        <v>349200</v>
      </c>
      <c r="J5201" s="24">
        <v>1</v>
      </c>
      <c r="K5201" s="24"/>
      <c r="L5201" s="91"/>
      <c r="M5201" s="24"/>
      <c r="N5201" s="12">
        <f t="shared" si="205"/>
        <v>1</v>
      </c>
      <c r="O5201" s="11">
        <f t="shared" si="207"/>
        <v>349200</v>
      </c>
      <c r="P5201" s="10">
        <v>20</v>
      </c>
      <c r="Q5201" s="10" t="s">
        <v>1928</v>
      </c>
      <c r="R5201" s="50">
        <f>+テーブル1[[#This Row],[合計金額]]*テーブル1[[#This Row],[自社報酬率％]]/100</f>
        <v>139680</v>
      </c>
    </row>
    <row r="5202" spans="1:18">
      <c r="A5202" s="7">
        <v>46023</v>
      </c>
      <c r="B5202" t="s">
        <v>21</v>
      </c>
      <c r="C5202" s="18" t="s">
        <v>2043</v>
      </c>
      <c r="D5202" s="41">
        <v>60</v>
      </c>
      <c r="E5202" s="41">
        <v>40</v>
      </c>
      <c r="F5202" s="18"/>
      <c r="G5202" s="28">
        <v>46023</v>
      </c>
      <c r="H5202" s="26" t="s">
        <v>3437</v>
      </c>
      <c r="I5202" s="49">
        <v>49000</v>
      </c>
      <c r="J5202" s="24">
        <v>1</v>
      </c>
      <c r="K5202" s="24"/>
      <c r="L5202" s="91"/>
      <c r="M5202" s="24"/>
      <c r="N5202" s="12">
        <f t="shared" si="205"/>
        <v>1</v>
      </c>
      <c r="O5202" s="11">
        <f t="shared" si="207"/>
        <v>49000</v>
      </c>
      <c r="P5202" s="10">
        <v>21</v>
      </c>
      <c r="Q5202" s="10" t="s">
        <v>1928</v>
      </c>
      <c r="R5202" s="50">
        <f>+テーブル1[[#This Row],[合計金額]]*テーブル1[[#This Row],[自社報酬率％]]/100</f>
        <v>19600</v>
      </c>
    </row>
    <row r="5203" spans="1:18">
      <c r="A5203" s="7">
        <v>46023</v>
      </c>
      <c r="B5203" t="s">
        <v>21</v>
      </c>
      <c r="C5203" s="18" t="s">
        <v>2045</v>
      </c>
      <c r="D5203" s="41">
        <v>40</v>
      </c>
      <c r="E5203" s="41">
        <v>60</v>
      </c>
      <c r="F5203" s="18"/>
      <c r="G5203" s="28">
        <v>46023</v>
      </c>
      <c r="H5203" s="26" t="s">
        <v>3438</v>
      </c>
      <c r="I5203" s="49">
        <v>337000</v>
      </c>
      <c r="J5203" s="24">
        <v>1</v>
      </c>
      <c r="K5203" s="24"/>
      <c r="L5203" s="91"/>
      <c r="M5203" s="24"/>
      <c r="N5203" s="12">
        <f t="shared" si="205"/>
        <v>1</v>
      </c>
      <c r="O5203" s="11">
        <f t="shared" si="207"/>
        <v>337000</v>
      </c>
      <c r="P5203" s="10">
        <v>22</v>
      </c>
      <c r="Q5203" s="10" t="s">
        <v>1928</v>
      </c>
      <c r="R5203" s="50">
        <f>+テーブル1[[#This Row],[合計金額]]*テーブル1[[#This Row],[自社報酬率％]]/100</f>
        <v>202200</v>
      </c>
    </row>
    <row r="5204" spans="1:18">
      <c r="A5204" s="7">
        <v>46023</v>
      </c>
      <c r="B5204" t="s">
        <v>21</v>
      </c>
      <c r="C5204" s="18" t="s">
        <v>2212</v>
      </c>
      <c r="D5204" s="41">
        <v>10</v>
      </c>
      <c r="E5204" s="41">
        <v>90</v>
      </c>
      <c r="F5204" s="18"/>
      <c r="G5204" s="28">
        <v>46023</v>
      </c>
      <c r="H5204" s="26" t="s">
        <v>3439</v>
      </c>
      <c r="I5204" s="49">
        <v>29700</v>
      </c>
      <c r="J5204" s="24">
        <v>1</v>
      </c>
      <c r="K5204" s="24"/>
      <c r="L5204" s="91"/>
      <c r="M5204" s="24"/>
      <c r="N5204" s="12">
        <f t="shared" si="205"/>
        <v>1</v>
      </c>
      <c r="O5204" s="11">
        <f t="shared" si="207"/>
        <v>29700</v>
      </c>
      <c r="P5204" s="10">
        <v>23</v>
      </c>
      <c r="Q5204" s="10" t="s">
        <v>1928</v>
      </c>
      <c r="R5204" s="50">
        <f>+テーブル1[[#This Row],[合計金額]]*テーブル1[[#This Row],[自社報酬率％]]/100</f>
        <v>26730</v>
      </c>
    </row>
    <row r="5205" spans="1:18">
      <c r="A5205" s="7">
        <v>46023</v>
      </c>
      <c r="B5205" t="s">
        <v>21</v>
      </c>
      <c r="C5205" s="18" t="s">
        <v>1962</v>
      </c>
      <c r="D5205" s="41">
        <v>50</v>
      </c>
      <c r="E5205" s="41">
        <v>50</v>
      </c>
      <c r="F5205" s="18"/>
      <c r="G5205" s="28">
        <v>46023</v>
      </c>
      <c r="H5205" s="26" t="s">
        <v>2541</v>
      </c>
      <c r="I5205" s="49">
        <v>-48350</v>
      </c>
      <c r="J5205" s="24">
        <v>1</v>
      </c>
      <c r="K5205" s="24"/>
      <c r="L5205" s="91"/>
      <c r="M5205" s="24"/>
      <c r="N5205" s="12">
        <f t="shared" si="205"/>
        <v>1</v>
      </c>
      <c r="O5205" s="11">
        <v>-48350</v>
      </c>
      <c r="P5205" s="10">
        <v>49</v>
      </c>
      <c r="Q5205" s="10" t="s">
        <v>1928</v>
      </c>
      <c r="R5205" s="50">
        <f>+テーブル1[[#This Row],[合計金額]]*テーブル1[[#This Row],[自社報酬率％]]/100</f>
        <v>-24175</v>
      </c>
    </row>
    <row r="5206" spans="1:18">
      <c r="A5206" s="7">
        <v>46023</v>
      </c>
      <c r="B5206" t="s">
        <v>21</v>
      </c>
      <c r="C5206" s="18" t="s">
        <v>22</v>
      </c>
      <c r="D5206" s="41">
        <v>0</v>
      </c>
      <c r="E5206" s="41">
        <v>100</v>
      </c>
      <c r="F5206" s="18"/>
      <c r="G5206" s="28">
        <v>46023</v>
      </c>
      <c r="H5206" s="26"/>
      <c r="I5206" s="49">
        <v>-550</v>
      </c>
      <c r="J5206" s="24">
        <v>1</v>
      </c>
      <c r="K5206" s="24"/>
      <c r="L5206" s="91"/>
      <c r="M5206" s="24"/>
      <c r="N5206" s="12">
        <f t="shared" si="205"/>
        <v>1</v>
      </c>
      <c r="O5206" s="11">
        <v>-550</v>
      </c>
      <c r="P5206" s="10">
        <v>50</v>
      </c>
      <c r="Q5206" s="10" t="s">
        <v>1928</v>
      </c>
      <c r="R5206" s="50">
        <f>+テーブル1[[#This Row],[合計金額]]*テーブル1[[#This Row],[自社報酬率％]]/100</f>
        <v>-550</v>
      </c>
    </row>
    <row r="5207" spans="1:18">
      <c r="A5207" s="7">
        <v>46023</v>
      </c>
      <c r="B5207" t="s">
        <v>21</v>
      </c>
      <c r="C5207" s="18" t="s">
        <v>2212</v>
      </c>
      <c r="D5207" s="41">
        <v>10</v>
      </c>
      <c r="E5207" s="41">
        <v>90</v>
      </c>
      <c r="F5207" s="18"/>
      <c r="G5207" s="28">
        <v>46023</v>
      </c>
      <c r="H5207" s="26" t="s">
        <v>2953</v>
      </c>
      <c r="I5207" s="49">
        <v>-9415</v>
      </c>
      <c r="J5207" s="24">
        <v>1</v>
      </c>
      <c r="K5207" s="24"/>
      <c r="L5207" s="91"/>
      <c r="M5207" s="24"/>
      <c r="N5207" s="12">
        <f t="shared" si="205"/>
        <v>1</v>
      </c>
      <c r="O5207" s="11">
        <v>-9415</v>
      </c>
      <c r="P5207" s="10">
        <v>51</v>
      </c>
      <c r="Q5207" s="10" t="s">
        <v>1928</v>
      </c>
      <c r="R5207" s="50">
        <f>+テーブル1[[#This Row],[合計金額]]*テーブル1[[#This Row],[自社報酬率％]]/100</f>
        <v>-8473.5</v>
      </c>
    </row>
    <row r="5208" spans="1:18">
      <c r="A5208" s="7">
        <v>46023</v>
      </c>
      <c r="B5208" t="s">
        <v>21</v>
      </c>
      <c r="C5208" s="18" t="s">
        <v>22</v>
      </c>
      <c r="D5208" s="41">
        <v>0</v>
      </c>
      <c r="E5208" s="41">
        <v>100</v>
      </c>
      <c r="F5208" s="18"/>
      <c r="G5208" s="28">
        <v>46023</v>
      </c>
      <c r="H5208" s="26"/>
      <c r="I5208" s="49">
        <v>-385</v>
      </c>
      <c r="J5208" s="24">
        <v>1</v>
      </c>
      <c r="K5208" s="24"/>
      <c r="L5208" s="91"/>
      <c r="M5208" s="24"/>
      <c r="N5208" s="12">
        <f t="shared" si="205"/>
        <v>1</v>
      </c>
      <c r="O5208" s="11">
        <v>-385</v>
      </c>
      <c r="P5208" s="10">
        <v>52</v>
      </c>
      <c r="Q5208" s="10" t="s">
        <v>1928</v>
      </c>
      <c r="R5208" s="50">
        <f>+テーブル1[[#This Row],[合計金額]]*テーブル1[[#This Row],[自社報酬率％]]/100</f>
        <v>-385</v>
      </c>
    </row>
    <row r="5209" spans="1:18">
      <c r="A5209" s="7">
        <v>46023</v>
      </c>
      <c r="B5209" t="s">
        <v>21</v>
      </c>
      <c r="C5209" s="18" t="s">
        <v>2212</v>
      </c>
      <c r="D5209" s="41">
        <v>10</v>
      </c>
      <c r="E5209" s="41">
        <v>90</v>
      </c>
      <c r="F5209" s="18"/>
      <c r="G5209" s="28">
        <v>46023</v>
      </c>
      <c r="H5209" s="26" t="s">
        <v>2954</v>
      </c>
      <c r="I5209" s="49">
        <v>-29315</v>
      </c>
      <c r="J5209" s="24">
        <v>1</v>
      </c>
      <c r="K5209" s="24"/>
      <c r="L5209" s="91"/>
      <c r="M5209" s="24"/>
      <c r="N5209" s="12">
        <f t="shared" si="205"/>
        <v>1</v>
      </c>
      <c r="O5209" s="11">
        <v>-29315</v>
      </c>
      <c r="P5209" s="10">
        <v>53</v>
      </c>
      <c r="Q5209" s="10" t="s">
        <v>1928</v>
      </c>
      <c r="R5209" s="50">
        <f>+テーブル1[[#This Row],[合計金額]]*テーブル1[[#This Row],[自社報酬率％]]/100</f>
        <v>-26383.5</v>
      </c>
    </row>
    <row r="5210" spans="1:18">
      <c r="A5210" s="7">
        <v>46023</v>
      </c>
      <c r="B5210" t="s">
        <v>21</v>
      </c>
      <c r="C5210" s="18" t="s">
        <v>22</v>
      </c>
      <c r="D5210" s="41">
        <v>0</v>
      </c>
      <c r="E5210" s="41">
        <v>100</v>
      </c>
      <c r="F5210" s="18"/>
      <c r="G5210" s="28">
        <v>46023</v>
      </c>
      <c r="H5210" s="26"/>
      <c r="I5210" s="49">
        <v>-385</v>
      </c>
      <c r="J5210" s="24">
        <v>1</v>
      </c>
      <c r="K5210" s="24"/>
      <c r="L5210" s="91"/>
      <c r="M5210" s="24"/>
      <c r="N5210" s="12">
        <f t="shared" si="205"/>
        <v>1</v>
      </c>
      <c r="O5210" s="11">
        <v>-385</v>
      </c>
      <c r="P5210" s="10">
        <v>54</v>
      </c>
      <c r="Q5210" s="10" t="s">
        <v>1928</v>
      </c>
      <c r="R5210" s="50">
        <f>+テーブル1[[#This Row],[合計金額]]*テーブル1[[#This Row],[自社報酬率％]]/100</f>
        <v>-385</v>
      </c>
    </row>
    <row r="5211" spans="1:18">
      <c r="A5211" s="7">
        <v>46023</v>
      </c>
      <c r="B5211" t="s">
        <v>21</v>
      </c>
      <c r="C5211" s="18" t="s">
        <v>2212</v>
      </c>
      <c r="D5211" s="41">
        <v>10</v>
      </c>
      <c r="E5211" s="41">
        <v>90</v>
      </c>
      <c r="F5211" s="18"/>
      <c r="G5211" s="28">
        <v>46023</v>
      </c>
      <c r="H5211" s="26" t="s">
        <v>2954</v>
      </c>
      <c r="I5211" s="49">
        <v>-29315</v>
      </c>
      <c r="J5211" s="24">
        <v>1</v>
      </c>
      <c r="K5211" s="24"/>
      <c r="L5211" s="91"/>
      <c r="M5211" s="24"/>
      <c r="N5211" s="12">
        <f t="shared" si="205"/>
        <v>1</v>
      </c>
      <c r="O5211" s="11">
        <v>-29315</v>
      </c>
      <c r="P5211" s="10">
        <v>55</v>
      </c>
      <c r="Q5211" s="10" t="s">
        <v>1928</v>
      </c>
      <c r="R5211" s="50">
        <f>+テーブル1[[#This Row],[合計金額]]*テーブル1[[#This Row],[自社報酬率％]]/100</f>
        <v>-26383.5</v>
      </c>
    </row>
    <row r="5212" spans="1:18">
      <c r="A5212" s="7">
        <v>46023</v>
      </c>
      <c r="B5212" t="s">
        <v>21</v>
      </c>
      <c r="C5212" s="18" t="s">
        <v>22</v>
      </c>
      <c r="D5212" s="41">
        <v>0</v>
      </c>
      <c r="E5212" s="41">
        <v>100</v>
      </c>
      <c r="F5212" s="18"/>
      <c r="G5212" s="28">
        <v>46023</v>
      </c>
      <c r="H5212" s="26"/>
      <c r="I5212" s="49">
        <v>-385</v>
      </c>
      <c r="J5212" s="24">
        <v>1</v>
      </c>
      <c r="K5212" s="24"/>
      <c r="L5212" s="91"/>
      <c r="M5212" s="24"/>
      <c r="N5212" s="12">
        <f t="shared" si="205"/>
        <v>1</v>
      </c>
      <c r="O5212" s="11">
        <v>-385</v>
      </c>
      <c r="P5212" s="10">
        <v>56</v>
      </c>
      <c r="Q5212" s="10" t="s">
        <v>1928</v>
      </c>
      <c r="R5212" s="50">
        <f>+テーブル1[[#This Row],[合計金額]]*テーブル1[[#This Row],[自社報酬率％]]/100</f>
        <v>-385</v>
      </c>
    </row>
    <row r="5213" spans="1:18">
      <c r="A5213" s="7">
        <v>46023</v>
      </c>
      <c r="B5213" t="s">
        <v>21</v>
      </c>
      <c r="C5213" s="18" t="s">
        <v>2212</v>
      </c>
      <c r="D5213" s="41">
        <v>10</v>
      </c>
      <c r="E5213" s="41">
        <v>90</v>
      </c>
      <c r="F5213" s="18"/>
      <c r="G5213" s="28">
        <v>46023</v>
      </c>
      <c r="H5213" s="26" t="s">
        <v>2954</v>
      </c>
      <c r="I5213" s="49">
        <v>-29315</v>
      </c>
      <c r="J5213" s="24">
        <v>1</v>
      </c>
      <c r="K5213" s="24"/>
      <c r="L5213" s="91"/>
      <c r="M5213" s="24"/>
      <c r="N5213" s="12">
        <f t="shared" si="205"/>
        <v>1</v>
      </c>
      <c r="O5213" s="11">
        <v>-29315</v>
      </c>
      <c r="P5213" s="10">
        <v>57</v>
      </c>
      <c r="Q5213" s="10" t="s">
        <v>1928</v>
      </c>
      <c r="R5213" s="50">
        <f>+テーブル1[[#This Row],[合計金額]]*テーブル1[[#This Row],[自社報酬率％]]/100</f>
        <v>-26383.5</v>
      </c>
    </row>
    <row r="5214" spans="1:18">
      <c r="A5214" s="7">
        <v>46023</v>
      </c>
      <c r="B5214" t="s">
        <v>21</v>
      </c>
      <c r="C5214" s="18" t="s">
        <v>22</v>
      </c>
      <c r="D5214" s="41">
        <v>0</v>
      </c>
      <c r="E5214" s="41">
        <v>100</v>
      </c>
      <c r="F5214" s="18"/>
      <c r="G5214" s="28">
        <v>46023</v>
      </c>
      <c r="H5214" s="26"/>
      <c r="I5214" s="49">
        <v>-385</v>
      </c>
      <c r="J5214" s="24">
        <v>1</v>
      </c>
      <c r="K5214" s="24"/>
      <c r="L5214" s="91"/>
      <c r="M5214" s="24"/>
      <c r="N5214" s="12">
        <f t="shared" si="205"/>
        <v>1</v>
      </c>
      <c r="O5214" s="11">
        <v>-385</v>
      </c>
      <c r="P5214" s="10">
        <v>58</v>
      </c>
      <c r="Q5214" s="10" t="s">
        <v>1928</v>
      </c>
      <c r="R5214" s="50">
        <f>+テーブル1[[#This Row],[合計金額]]*テーブル1[[#This Row],[自社報酬率％]]/100</f>
        <v>-385</v>
      </c>
    </row>
    <row r="5215" spans="1:18">
      <c r="A5215" s="7">
        <v>46023</v>
      </c>
      <c r="B5215" t="s">
        <v>21</v>
      </c>
      <c r="C5215" s="18" t="s">
        <v>2043</v>
      </c>
      <c r="D5215" s="41">
        <v>60</v>
      </c>
      <c r="E5215" s="41">
        <v>40</v>
      </c>
      <c r="F5215" s="18"/>
      <c r="G5215" s="28">
        <v>46023</v>
      </c>
      <c r="H5215" s="26" t="s">
        <v>3437</v>
      </c>
      <c r="I5215" s="49">
        <v>-48450</v>
      </c>
      <c r="J5215" s="24">
        <v>1</v>
      </c>
      <c r="K5215" s="24"/>
      <c r="L5215" s="91"/>
      <c r="M5215" s="24"/>
      <c r="N5215" s="12">
        <f t="shared" si="205"/>
        <v>1</v>
      </c>
      <c r="O5215" s="11">
        <v>-48450</v>
      </c>
      <c r="P5215" s="10">
        <v>59</v>
      </c>
      <c r="Q5215" s="10" t="s">
        <v>1928</v>
      </c>
      <c r="R5215" s="50">
        <f>+テーブル1[[#This Row],[合計金額]]*テーブル1[[#This Row],[自社報酬率％]]/100</f>
        <v>-19380</v>
      </c>
    </row>
    <row r="5216" spans="1:18">
      <c r="A5216" s="7">
        <v>46023</v>
      </c>
      <c r="B5216" t="s">
        <v>21</v>
      </c>
      <c r="C5216" s="18" t="s">
        <v>22</v>
      </c>
      <c r="D5216" s="41">
        <v>0</v>
      </c>
      <c r="E5216" s="41">
        <v>100</v>
      </c>
      <c r="F5216" s="18"/>
      <c r="G5216" s="28">
        <v>46023</v>
      </c>
      <c r="H5216" s="26"/>
      <c r="I5216" s="49">
        <v>-550</v>
      </c>
      <c r="J5216" s="24">
        <v>1</v>
      </c>
      <c r="K5216" s="24"/>
      <c r="L5216" s="91"/>
      <c r="M5216" s="24"/>
      <c r="N5216" s="12">
        <f t="shared" si="205"/>
        <v>1</v>
      </c>
      <c r="O5216" s="11">
        <v>-550</v>
      </c>
      <c r="P5216" s="10">
        <v>60</v>
      </c>
      <c r="Q5216" s="10" t="s">
        <v>1928</v>
      </c>
      <c r="R5216" s="50">
        <f>+テーブル1[[#This Row],[合計金額]]*テーブル1[[#This Row],[自社報酬率％]]/100</f>
        <v>-550</v>
      </c>
    </row>
    <row r="5217" spans="1:18">
      <c r="A5217" s="7">
        <v>46023</v>
      </c>
      <c r="B5217" t="s">
        <v>112</v>
      </c>
      <c r="C5217" s="147" t="s">
        <v>15</v>
      </c>
      <c r="D5217" s="41">
        <v>100</v>
      </c>
      <c r="E5217" s="41">
        <v>100</v>
      </c>
      <c r="F5217" s="151" t="s">
        <v>16</v>
      </c>
      <c r="G5217" s="102">
        <v>46054</v>
      </c>
      <c r="H5217" s="26" t="s">
        <v>3357</v>
      </c>
      <c r="I5217" s="49">
        <v>3000</v>
      </c>
      <c r="J5217" s="24">
        <v>6</v>
      </c>
      <c r="K5217" s="24">
        <v>0</v>
      </c>
      <c r="L5217" s="91">
        <v>0</v>
      </c>
      <c r="M5217" s="24">
        <v>0</v>
      </c>
      <c r="N5217" s="100">
        <f t="shared" si="205"/>
        <v>6</v>
      </c>
      <c r="O5217" s="11">
        <f t="shared" ref="O5217:O5233" si="208">+I5217*N5217</f>
        <v>18000</v>
      </c>
      <c r="P5217" s="10">
        <v>15</v>
      </c>
      <c r="Q5217" s="10" t="s">
        <v>1928</v>
      </c>
      <c r="R5217" s="50">
        <f>+テーブル1[[#This Row],[合計金額]]*テーブル1[[#This Row],[自社報酬率％]]/100</f>
        <v>18000</v>
      </c>
    </row>
    <row r="5218" spans="1:18">
      <c r="A5218" s="7">
        <v>46023</v>
      </c>
      <c r="B5218" t="s">
        <v>112</v>
      </c>
      <c r="C5218" s="147" t="s">
        <v>15</v>
      </c>
      <c r="D5218" s="41">
        <v>100</v>
      </c>
      <c r="E5218" s="41">
        <v>100</v>
      </c>
      <c r="F5218" s="33" t="s">
        <v>20</v>
      </c>
      <c r="G5218" s="28">
        <v>46023</v>
      </c>
      <c r="H5218" s="26" t="s">
        <v>3440</v>
      </c>
      <c r="I5218" s="49">
        <v>217800</v>
      </c>
      <c r="J5218" s="24">
        <v>1</v>
      </c>
      <c r="K5218" s="24">
        <v>0</v>
      </c>
      <c r="L5218" s="91">
        <v>0</v>
      </c>
      <c r="M5218" s="24">
        <v>0</v>
      </c>
      <c r="N5218" s="100">
        <f t="shared" si="205"/>
        <v>1</v>
      </c>
      <c r="O5218" s="11">
        <f t="shared" si="208"/>
        <v>217800</v>
      </c>
      <c r="P5218" s="10">
        <v>16</v>
      </c>
      <c r="Q5218" s="10" t="s">
        <v>1928</v>
      </c>
      <c r="R5218" s="50">
        <f>+テーブル1[[#This Row],[合計金額]]*テーブル1[[#This Row],[自社報酬率％]]/100</f>
        <v>217800</v>
      </c>
    </row>
    <row r="5219" spans="1:18">
      <c r="A5219" s="7">
        <v>46023</v>
      </c>
      <c r="B5219" t="s">
        <v>112</v>
      </c>
      <c r="C5219" s="147" t="s">
        <v>15</v>
      </c>
      <c r="D5219" s="41">
        <v>100</v>
      </c>
      <c r="E5219" s="41">
        <v>100</v>
      </c>
      <c r="F5219" s="33" t="s">
        <v>20</v>
      </c>
      <c r="G5219" s="28">
        <v>46023</v>
      </c>
      <c r="H5219" s="26" t="s">
        <v>3074</v>
      </c>
      <c r="I5219" s="49">
        <v>217800</v>
      </c>
      <c r="J5219" s="24">
        <v>3</v>
      </c>
      <c r="K5219" s="24">
        <v>0</v>
      </c>
      <c r="L5219" s="91">
        <v>0</v>
      </c>
      <c r="M5219" s="24">
        <v>0</v>
      </c>
      <c r="N5219" s="100">
        <f t="shared" si="205"/>
        <v>3</v>
      </c>
      <c r="O5219" s="11">
        <f t="shared" si="208"/>
        <v>653400</v>
      </c>
      <c r="P5219" s="10">
        <v>17</v>
      </c>
      <c r="Q5219" s="10" t="s">
        <v>1928</v>
      </c>
      <c r="R5219" s="50">
        <f>+テーブル1[[#This Row],[合計金額]]*テーブル1[[#This Row],[自社報酬率％]]/100</f>
        <v>653400</v>
      </c>
    </row>
    <row r="5220" spans="1:18">
      <c r="A5220" s="7">
        <v>46023</v>
      </c>
      <c r="B5220" t="s">
        <v>112</v>
      </c>
      <c r="C5220" s="18" t="s">
        <v>2043</v>
      </c>
      <c r="D5220" s="41">
        <v>60</v>
      </c>
      <c r="E5220" s="41">
        <v>40</v>
      </c>
      <c r="F5220" t="s">
        <v>17</v>
      </c>
      <c r="G5220" s="28">
        <v>46023</v>
      </c>
      <c r="H5220" s="26" t="s">
        <v>3434</v>
      </c>
      <c r="I5220" s="49">
        <v>349200</v>
      </c>
      <c r="J5220" s="24">
        <v>2</v>
      </c>
      <c r="K5220" s="24">
        <v>0</v>
      </c>
      <c r="L5220" s="91">
        <v>0</v>
      </c>
      <c r="M5220" s="24">
        <v>0</v>
      </c>
      <c r="N5220" s="12">
        <f>J5220-K5220-L5220-M5220</f>
        <v>2</v>
      </c>
      <c r="O5220" s="11">
        <f t="shared" si="208"/>
        <v>698400</v>
      </c>
      <c r="P5220" s="10">
        <v>18</v>
      </c>
      <c r="Q5220" s="10" t="s">
        <v>1928</v>
      </c>
      <c r="R5220" s="50">
        <f>+テーブル1[[#This Row],[合計金額]]*テーブル1[[#This Row],[自社報酬率％]]/100</f>
        <v>279360</v>
      </c>
    </row>
    <row r="5221" spans="1:18">
      <c r="A5221" s="7">
        <v>46023</v>
      </c>
      <c r="B5221" t="s">
        <v>112</v>
      </c>
      <c r="C5221" s="18" t="s">
        <v>2043</v>
      </c>
      <c r="D5221" s="41">
        <v>60</v>
      </c>
      <c r="E5221" s="41">
        <v>40</v>
      </c>
      <c r="F5221" t="s">
        <v>17</v>
      </c>
      <c r="G5221" s="28">
        <v>46023</v>
      </c>
      <c r="H5221" s="26" t="s">
        <v>3435</v>
      </c>
      <c r="I5221" s="49">
        <v>349200</v>
      </c>
      <c r="J5221" s="24">
        <v>1</v>
      </c>
      <c r="K5221" s="24">
        <v>0</v>
      </c>
      <c r="L5221" s="91">
        <v>0</v>
      </c>
      <c r="M5221" s="24">
        <v>0</v>
      </c>
      <c r="N5221" s="12">
        <f t="shared" ref="N5221:N5233" si="209">J5221-K5221-L5221-M5221</f>
        <v>1</v>
      </c>
      <c r="O5221" s="11">
        <f t="shared" si="208"/>
        <v>349200</v>
      </c>
      <c r="P5221" s="10">
        <v>19</v>
      </c>
      <c r="Q5221" s="10" t="s">
        <v>1928</v>
      </c>
      <c r="R5221" s="50">
        <f>+テーブル1[[#This Row],[合計金額]]*テーブル1[[#This Row],[自社報酬率％]]/100</f>
        <v>139680</v>
      </c>
    </row>
    <row r="5222" spans="1:18">
      <c r="A5222" s="7">
        <v>46023</v>
      </c>
      <c r="B5222" t="s">
        <v>112</v>
      </c>
      <c r="C5222" s="18" t="s">
        <v>2043</v>
      </c>
      <c r="D5222" s="41">
        <v>60</v>
      </c>
      <c r="E5222" s="41">
        <v>40</v>
      </c>
      <c r="F5222" t="s">
        <v>17</v>
      </c>
      <c r="G5222" s="28">
        <v>46023</v>
      </c>
      <c r="H5222" s="26" t="s">
        <v>3436</v>
      </c>
      <c r="I5222" s="49">
        <v>349200</v>
      </c>
      <c r="J5222" s="24">
        <v>2</v>
      </c>
      <c r="K5222" s="24">
        <v>0</v>
      </c>
      <c r="L5222" s="91">
        <v>0</v>
      </c>
      <c r="M5222" s="24">
        <v>0</v>
      </c>
      <c r="N5222" s="12">
        <f t="shared" si="209"/>
        <v>2</v>
      </c>
      <c r="O5222" s="11">
        <f t="shared" si="208"/>
        <v>698400</v>
      </c>
      <c r="P5222" s="10">
        <v>20</v>
      </c>
      <c r="Q5222" s="10" t="s">
        <v>1928</v>
      </c>
      <c r="R5222" s="50">
        <f>+テーブル1[[#This Row],[合計金額]]*テーブル1[[#This Row],[自社報酬率％]]/100</f>
        <v>279360</v>
      </c>
    </row>
    <row r="5223" spans="1:18">
      <c r="A5223" s="7">
        <v>46023</v>
      </c>
      <c r="B5223" t="s">
        <v>112</v>
      </c>
      <c r="C5223" s="18" t="s">
        <v>2043</v>
      </c>
      <c r="D5223" s="41">
        <v>60</v>
      </c>
      <c r="E5223" s="41">
        <v>40</v>
      </c>
      <c r="F5223" t="s">
        <v>18</v>
      </c>
      <c r="G5223" s="28">
        <v>46023</v>
      </c>
      <c r="H5223" s="26" t="s">
        <v>3437</v>
      </c>
      <c r="I5223" s="49">
        <v>49000</v>
      </c>
      <c r="J5223" s="24">
        <v>8</v>
      </c>
      <c r="K5223" s="24">
        <v>0</v>
      </c>
      <c r="L5223" s="91">
        <v>0</v>
      </c>
      <c r="M5223" s="24">
        <v>0</v>
      </c>
      <c r="N5223" s="12">
        <f t="shared" si="209"/>
        <v>8</v>
      </c>
      <c r="O5223" s="11">
        <f t="shared" si="208"/>
        <v>392000</v>
      </c>
      <c r="P5223" s="10">
        <v>21</v>
      </c>
      <c r="Q5223" s="10" t="s">
        <v>1928</v>
      </c>
      <c r="R5223" s="50">
        <f>+テーブル1[[#This Row],[合計金額]]*テーブル1[[#This Row],[自社報酬率％]]/100</f>
        <v>156800</v>
      </c>
    </row>
    <row r="5224" spans="1:18">
      <c r="A5224" s="7">
        <v>46023</v>
      </c>
      <c r="B5224" t="s">
        <v>112</v>
      </c>
      <c r="C5224" s="18" t="s">
        <v>2043</v>
      </c>
      <c r="D5224" s="41">
        <v>60</v>
      </c>
      <c r="E5224" s="41">
        <v>40</v>
      </c>
      <c r="F5224" t="s">
        <v>18</v>
      </c>
      <c r="G5224" s="28">
        <v>46023</v>
      </c>
      <c r="H5224" s="26" t="s">
        <v>2088</v>
      </c>
      <c r="I5224" s="49">
        <v>29700</v>
      </c>
      <c r="J5224" s="24">
        <v>1</v>
      </c>
      <c r="K5224" s="24">
        <v>0</v>
      </c>
      <c r="L5224" s="91">
        <v>0</v>
      </c>
      <c r="M5224" s="24">
        <v>0</v>
      </c>
      <c r="N5224" s="12">
        <f t="shared" si="209"/>
        <v>1</v>
      </c>
      <c r="O5224" s="11">
        <f t="shared" si="208"/>
        <v>29700</v>
      </c>
      <c r="P5224" s="10">
        <v>22</v>
      </c>
      <c r="Q5224" s="10" t="s">
        <v>1928</v>
      </c>
      <c r="R5224" s="50">
        <f>+テーブル1[[#This Row],[合計金額]]*テーブル1[[#This Row],[自社報酬率％]]/100</f>
        <v>11880</v>
      </c>
    </row>
    <row r="5225" spans="1:18">
      <c r="A5225" s="7">
        <v>46023</v>
      </c>
      <c r="B5225" t="s">
        <v>112</v>
      </c>
      <c r="C5225" s="101" t="s">
        <v>2043</v>
      </c>
      <c r="D5225" s="41">
        <v>60</v>
      </c>
      <c r="E5225" s="41">
        <v>40</v>
      </c>
      <c r="F5225" s="150" t="s">
        <v>16</v>
      </c>
      <c r="G5225" s="102">
        <v>46054</v>
      </c>
      <c r="H5225" s="26" t="s">
        <v>3430</v>
      </c>
      <c r="I5225" s="49">
        <v>10780</v>
      </c>
      <c r="J5225" s="24">
        <v>5</v>
      </c>
      <c r="K5225" s="24">
        <v>0</v>
      </c>
      <c r="L5225" s="91">
        <v>0</v>
      </c>
      <c r="M5225" s="24">
        <v>0</v>
      </c>
      <c r="N5225" s="12">
        <f t="shared" si="209"/>
        <v>5</v>
      </c>
      <c r="O5225" s="11">
        <f t="shared" si="208"/>
        <v>53900</v>
      </c>
      <c r="P5225" s="10">
        <v>23</v>
      </c>
      <c r="Q5225" s="10" t="s">
        <v>1928</v>
      </c>
      <c r="R5225" s="50">
        <f>+テーブル1[[#This Row],[合計金額]]*テーブル1[[#This Row],[自社報酬率％]]/100</f>
        <v>21560</v>
      </c>
    </row>
    <row r="5226" spans="1:18">
      <c r="A5226" s="7">
        <v>46023</v>
      </c>
      <c r="B5226" t="s">
        <v>112</v>
      </c>
      <c r="C5226" s="101" t="s">
        <v>2043</v>
      </c>
      <c r="D5226" s="41">
        <v>60</v>
      </c>
      <c r="E5226" s="41">
        <v>40</v>
      </c>
      <c r="F5226" s="150" t="s">
        <v>16</v>
      </c>
      <c r="G5226" s="102">
        <v>46054</v>
      </c>
      <c r="H5226" s="26" t="s">
        <v>3432</v>
      </c>
      <c r="I5226" s="49">
        <v>10780</v>
      </c>
      <c r="J5226" s="24">
        <v>7</v>
      </c>
      <c r="K5226" s="24">
        <v>0</v>
      </c>
      <c r="L5226" s="91">
        <v>0</v>
      </c>
      <c r="M5226" s="24">
        <v>0</v>
      </c>
      <c r="N5226" s="12">
        <f t="shared" si="209"/>
        <v>7</v>
      </c>
      <c r="O5226" s="11">
        <f t="shared" si="208"/>
        <v>75460</v>
      </c>
      <c r="P5226" s="10">
        <v>24</v>
      </c>
      <c r="Q5226" s="10" t="s">
        <v>1928</v>
      </c>
      <c r="R5226" s="50">
        <f>+テーブル1[[#This Row],[合計金額]]*テーブル1[[#This Row],[自社報酬率％]]/100</f>
        <v>30184</v>
      </c>
    </row>
    <row r="5227" spans="1:18">
      <c r="A5227" s="7">
        <v>46023</v>
      </c>
      <c r="B5227" t="s">
        <v>112</v>
      </c>
      <c r="C5227" s="101" t="s">
        <v>2048</v>
      </c>
      <c r="D5227" s="41">
        <v>50</v>
      </c>
      <c r="E5227" s="41">
        <v>50</v>
      </c>
      <c r="F5227" s="150" t="s">
        <v>16</v>
      </c>
      <c r="G5227" s="102">
        <v>46054</v>
      </c>
      <c r="H5227" s="26" t="s">
        <v>3441</v>
      </c>
      <c r="I5227" s="49">
        <v>27000</v>
      </c>
      <c r="J5227" s="24">
        <v>1</v>
      </c>
      <c r="K5227" s="24">
        <v>0</v>
      </c>
      <c r="L5227" s="91">
        <v>0</v>
      </c>
      <c r="M5227" s="24">
        <v>0</v>
      </c>
      <c r="N5227" s="12">
        <f t="shared" si="209"/>
        <v>1</v>
      </c>
      <c r="O5227" s="11">
        <f t="shared" si="208"/>
        <v>27000</v>
      </c>
      <c r="P5227" s="10">
        <v>25</v>
      </c>
      <c r="Q5227" s="10" t="s">
        <v>1928</v>
      </c>
      <c r="R5227" s="50">
        <f>+テーブル1[[#This Row],[合計金額]]*テーブル1[[#This Row],[自社報酬率％]]/100</f>
        <v>13500</v>
      </c>
    </row>
    <row r="5228" spans="1:18">
      <c r="A5228" s="7">
        <v>46023</v>
      </c>
      <c r="B5228" t="s">
        <v>112</v>
      </c>
      <c r="C5228" s="18" t="s">
        <v>2045</v>
      </c>
      <c r="D5228" s="41">
        <v>40</v>
      </c>
      <c r="E5228" s="41">
        <v>60</v>
      </c>
      <c r="F5228" t="s">
        <v>27</v>
      </c>
      <c r="G5228" s="28">
        <v>46023</v>
      </c>
      <c r="H5228" s="26" t="s">
        <v>2282</v>
      </c>
      <c r="I5228" s="49">
        <v>337000</v>
      </c>
      <c r="J5228" s="24">
        <v>2</v>
      </c>
      <c r="K5228" s="24">
        <v>0</v>
      </c>
      <c r="L5228" s="91">
        <v>0</v>
      </c>
      <c r="M5228" s="24">
        <v>0</v>
      </c>
      <c r="N5228" s="12">
        <f t="shared" si="209"/>
        <v>2</v>
      </c>
      <c r="O5228" s="11">
        <f t="shared" si="208"/>
        <v>674000</v>
      </c>
      <c r="P5228" s="10">
        <v>26</v>
      </c>
      <c r="Q5228" s="10" t="s">
        <v>1928</v>
      </c>
      <c r="R5228" s="50">
        <f>+テーブル1[[#This Row],[合計金額]]*テーブル1[[#This Row],[自社報酬率％]]/100</f>
        <v>404400</v>
      </c>
    </row>
    <row r="5229" spans="1:18">
      <c r="A5229" s="7">
        <v>46023</v>
      </c>
      <c r="B5229" t="s">
        <v>112</v>
      </c>
      <c r="C5229" s="18" t="s">
        <v>2045</v>
      </c>
      <c r="D5229" s="41">
        <v>40</v>
      </c>
      <c r="E5229" s="41">
        <v>60</v>
      </c>
      <c r="F5229" t="s">
        <v>27</v>
      </c>
      <c r="G5229" s="28">
        <v>46023</v>
      </c>
      <c r="H5229" s="26" t="s">
        <v>3438</v>
      </c>
      <c r="I5229" s="49">
        <v>337000</v>
      </c>
      <c r="J5229" s="24">
        <v>4</v>
      </c>
      <c r="K5229" s="24">
        <v>0</v>
      </c>
      <c r="L5229" s="91">
        <v>0</v>
      </c>
      <c r="M5229" s="24">
        <v>0</v>
      </c>
      <c r="N5229" s="12">
        <f t="shared" si="209"/>
        <v>4</v>
      </c>
      <c r="O5229" s="11">
        <f t="shared" si="208"/>
        <v>1348000</v>
      </c>
      <c r="P5229" s="10">
        <v>27</v>
      </c>
      <c r="Q5229" s="10" t="s">
        <v>1928</v>
      </c>
      <c r="R5229" s="50">
        <f>+テーブル1[[#This Row],[合計金額]]*テーブル1[[#This Row],[自社報酬率％]]/100</f>
        <v>808800</v>
      </c>
    </row>
    <row r="5230" spans="1:18">
      <c r="A5230" s="7">
        <v>46023</v>
      </c>
      <c r="B5230" t="s">
        <v>112</v>
      </c>
      <c r="C5230" s="18" t="s">
        <v>2045</v>
      </c>
      <c r="D5230" s="41">
        <v>40</v>
      </c>
      <c r="E5230" s="41">
        <v>60</v>
      </c>
      <c r="F5230" t="s">
        <v>19</v>
      </c>
      <c r="G5230" s="28">
        <v>46023</v>
      </c>
      <c r="H5230" s="26" t="s">
        <v>3160</v>
      </c>
      <c r="I5230" s="49">
        <v>166000</v>
      </c>
      <c r="J5230" s="24">
        <v>1</v>
      </c>
      <c r="K5230" s="24">
        <v>0</v>
      </c>
      <c r="L5230" s="91">
        <v>0</v>
      </c>
      <c r="M5230" s="24">
        <v>0</v>
      </c>
      <c r="N5230" s="12">
        <f t="shared" si="209"/>
        <v>1</v>
      </c>
      <c r="O5230" s="11">
        <f>+I5230*N5230</f>
        <v>166000</v>
      </c>
      <c r="P5230" s="10">
        <v>28</v>
      </c>
      <c r="Q5230" s="10" t="s">
        <v>1928</v>
      </c>
      <c r="R5230" s="50">
        <f>+テーブル1[[#This Row],[合計金額]]*テーブル1[[#This Row],[自社報酬率％]]/100</f>
        <v>99600</v>
      </c>
    </row>
    <row r="5231" spans="1:18">
      <c r="A5231" s="7">
        <v>46023</v>
      </c>
      <c r="B5231" t="s">
        <v>112</v>
      </c>
      <c r="C5231" s="101" t="s">
        <v>2045</v>
      </c>
      <c r="D5231" s="41">
        <v>40</v>
      </c>
      <c r="E5231" s="41">
        <v>60</v>
      </c>
      <c r="F5231" s="150" t="s">
        <v>16</v>
      </c>
      <c r="G5231" s="102">
        <v>46054</v>
      </c>
      <c r="H5231" s="26" t="s">
        <v>3431</v>
      </c>
      <c r="I5231" s="49">
        <v>16500</v>
      </c>
      <c r="J5231" s="24">
        <v>2</v>
      </c>
      <c r="K5231" s="24">
        <v>0</v>
      </c>
      <c r="L5231" s="91">
        <v>0</v>
      </c>
      <c r="M5231" s="24">
        <v>0</v>
      </c>
      <c r="N5231" s="12">
        <f t="shared" si="209"/>
        <v>2</v>
      </c>
      <c r="O5231" s="11">
        <f t="shared" si="208"/>
        <v>33000</v>
      </c>
      <c r="P5231" s="10">
        <v>29</v>
      </c>
      <c r="Q5231" s="10" t="s">
        <v>1928</v>
      </c>
      <c r="R5231" s="50">
        <f>+テーブル1[[#This Row],[合計金額]]*テーブル1[[#This Row],[自社報酬率％]]/100</f>
        <v>19800</v>
      </c>
    </row>
    <row r="5232" spans="1:18">
      <c r="A5232" s="7">
        <v>46023</v>
      </c>
      <c r="B5232" t="s">
        <v>112</v>
      </c>
      <c r="C5232" s="101" t="s">
        <v>2050</v>
      </c>
      <c r="D5232" s="41">
        <v>50</v>
      </c>
      <c r="E5232" s="41">
        <v>50</v>
      </c>
      <c r="F5232" s="150" t="s">
        <v>16</v>
      </c>
      <c r="G5232" s="102">
        <v>46054</v>
      </c>
      <c r="H5232" s="26" t="s">
        <v>3433</v>
      </c>
      <c r="I5232" s="49">
        <v>9800</v>
      </c>
      <c r="J5232" s="24">
        <v>2</v>
      </c>
      <c r="K5232" s="24">
        <v>0</v>
      </c>
      <c r="L5232" s="91">
        <v>0</v>
      </c>
      <c r="M5232" s="24">
        <v>0</v>
      </c>
      <c r="N5232" s="12">
        <f t="shared" si="209"/>
        <v>2</v>
      </c>
      <c r="O5232" s="11">
        <f t="shared" si="208"/>
        <v>19600</v>
      </c>
      <c r="P5232" s="10">
        <v>30</v>
      </c>
      <c r="Q5232" s="10" t="s">
        <v>1928</v>
      </c>
      <c r="R5232" s="50">
        <f>+テーブル1[[#This Row],[合計金額]]*テーブル1[[#This Row],[自社報酬率％]]/100</f>
        <v>9800</v>
      </c>
    </row>
    <row r="5233" spans="1:18">
      <c r="A5233" s="7">
        <v>46023</v>
      </c>
      <c r="B5233" t="s">
        <v>112</v>
      </c>
      <c r="C5233" s="101" t="s">
        <v>2038</v>
      </c>
      <c r="D5233" s="41">
        <v>50</v>
      </c>
      <c r="E5233" s="41">
        <v>50</v>
      </c>
      <c r="F5233" s="150" t="s">
        <v>16</v>
      </c>
      <c r="G5233" s="102">
        <v>46054</v>
      </c>
      <c r="H5233" s="26" t="s">
        <v>3442</v>
      </c>
      <c r="I5233" s="49">
        <v>30000</v>
      </c>
      <c r="J5233" s="24">
        <v>1</v>
      </c>
      <c r="K5233" s="24">
        <v>0</v>
      </c>
      <c r="L5233" s="91">
        <v>0</v>
      </c>
      <c r="M5233" s="24">
        <v>0</v>
      </c>
      <c r="N5233" s="12">
        <f t="shared" si="209"/>
        <v>1</v>
      </c>
      <c r="O5233" s="11">
        <f t="shared" si="208"/>
        <v>30000</v>
      </c>
      <c r="P5233" s="10">
        <v>31</v>
      </c>
      <c r="Q5233" s="10" t="s">
        <v>1928</v>
      </c>
      <c r="R5233" s="50">
        <f>+テーブル1[[#This Row],[合計金額]]*テーブル1[[#This Row],[自社報酬率％]]/100</f>
        <v>15000</v>
      </c>
    </row>
    <row r="5234" spans="1:18">
      <c r="A5234" s="7">
        <v>46023</v>
      </c>
      <c r="B5234" t="s">
        <v>114</v>
      </c>
      <c r="C5234" s="18" t="s">
        <v>2043</v>
      </c>
      <c r="D5234" s="41">
        <v>60</v>
      </c>
      <c r="E5234" s="41">
        <v>40</v>
      </c>
      <c r="F5234" s="22" t="s">
        <v>18</v>
      </c>
      <c r="G5234" s="28">
        <v>46023</v>
      </c>
      <c r="H5234" s="26" t="s">
        <v>3437</v>
      </c>
      <c r="I5234" s="49">
        <v>49000</v>
      </c>
      <c r="J5234" s="24">
        <v>1</v>
      </c>
      <c r="K5234" s="24"/>
      <c r="L5234" s="91"/>
      <c r="M5234" s="24"/>
      <c r="N5234" s="100">
        <f>J5234-L5234</f>
        <v>1</v>
      </c>
      <c r="O5234" s="11">
        <f>+I5234*N5234</f>
        <v>49000</v>
      </c>
      <c r="P5234" s="10">
        <v>1</v>
      </c>
      <c r="Q5234" s="10" t="s">
        <v>1928</v>
      </c>
      <c r="R5234" s="50">
        <f>+テーブル1[[#This Row],[合計金額]]*テーブル1[[#This Row],[自社報酬率％]]/100</f>
        <v>19600</v>
      </c>
    </row>
    <row r="5235" spans="1:18">
      <c r="A5235" s="7">
        <v>46023</v>
      </c>
      <c r="B5235" t="s">
        <v>1929</v>
      </c>
      <c r="C5235" s="147" t="s">
        <v>15</v>
      </c>
      <c r="D5235" s="41">
        <v>100</v>
      </c>
      <c r="E5235" s="41">
        <v>100</v>
      </c>
      <c r="F5235" s="33" t="s">
        <v>17</v>
      </c>
      <c r="G5235" s="28">
        <v>46023</v>
      </c>
      <c r="H5235" s="26" t="s">
        <v>1930</v>
      </c>
      <c r="I5235" s="49">
        <v>359700</v>
      </c>
      <c r="J5235" s="24">
        <v>1</v>
      </c>
      <c r="K5235" s="24">
        <v>0</v>
      </c>
      <c r="L5235" s="91">
        <v>0</v>
      </c>
      <c r="M5235" s="24">
        <v>0</v>
      </c>
      <c r="N5235" s="100">
        <f t="shared" ref="N5235:N5240" si="210">J5235-K5235-L5235-M5235</f>
        <v>1</v>
      </c>
      <c r="O5235" s="11">
        <f t="shared" ref="O5235:O5298" si="211">+I5235*N5235</f>
        <v>359700</v>
      </c>
      <c r="P5235" s="10">
        <v>7</v>
      </c>
      <c r="Q5235" s="10" t="s">
        <v>1928</v>
      </c>
      <c r="R5235" s="50">
        <f>+テーブル1[[#This Row],[合計金額]]*テーブル1[[#This Row],[自社報酬率％]]/100</f>
        <v>359700</v>
      </c>
    </row>
    <row r="5236" spans="1:18">
      <c r="A5236" s="7">
        <v>46023</v>
      </c>
      <c r="B5236" t="s">
        <v>1929</v>
      </c>
      <c r="C5236" s="147" t="s">
        <v>15</v>
      </c>
      <c r="D5236" s="41">
        <v>100</v>
      </c>
      <c r="E5236" s="41">
        <v>100</v>
      </c>
      <c r="F5236" s="33" t="s">
        <v>17</v>
      </c>
      <c r="G5236" s="28">
        <v>46023</v>
      </c>
      <c r="H5236" s="26" t="s">
        <v>3032</v>
      </c>
      <c r="I5236" s="49">
        <v>286000</v>
      </c>
      <c r="J5236" s="24">
        <v>1</v>
      </c>
      <c r="K5236" s="24">
        <v>0</v>
      </c>
      <c r="L5236" s="91">
        <v>0</v>
      </c>
      <c r="M5236" s="24">
        <v>0</v>
      </c>
      <c r="N5236" s="100">
        <f t="shared" si="210"/>
        <v>1</v>
      </c>
      <c r="O5236" s="11">
        <f t="shared" si="211"/>
        <v>286000</v>
      </c>
      <c r="P5236" s="10">
        <v>8</v>
      </c>
      <c r="Q5236" s="10" t="s">
        <v>1928</v>
      </c>
      <c r="R5236" s="50">
        <f>+テーブル1[[#This Row],[合計金額]]*テーブル1[[#This Row],[自社報酬率％]]/100</f>
        <v>286000</v>
      </c>
    </row>
    <row r="5237" spans="1:18">
      <c r="A5237" s="7">
        <v>46023</v>
      </c>
      <c r="B5237" t="s">
        <v>1929</v>
      </c>
      <c r="C5237" s="147" t="s">
        <v>15</v>
      </c>
      <c r="D5237" s="41">
        <v>100</v>
      </c>
      <c r="E5237" s="41">
        <v>100</v>
      </c>
      <c r="F5237" s="33" t="s">
        <v>20</v>
      </c>
      <c r="G5237" s="28">
        <v>46023</v>
      </c>
      <c r="H5237" s="26" t="s">
        <v>2078</v>
      </c>
      <c r="I5237" s="49">
        <v>217800</v>
      </c>
      <c r="J5237" s="24">
        <v>4</v>
      </c>
      <c r="K5237" s="24">
        <v>0</v>
      </c>
      <c r="L5237" s="91">
        <v>0</v>
      </c>
      <c r="M5237" s="24">
        <v>0</v>
      </c>
      <c r="N5237" s="100">
        <f t="shared" si="210"/>
        <v>4</v>
      </c>
      <c r="O5237" s="11">
        <f t="shared" si="211"/>
        <v>871200</v>
      </c>
      <c r="P5237" s="10">
        <v>9</v>
      </c>
      <c r="Q5237" s="10" t="s">
        <v>1928</v>
      </c>
      <c r="R5237" s="50">
        <f>+テーブル1[[#This Row],[合計金額]]*テーブル1[[#This Row],[自社報酬率％]]/100</f>
        <v>871200</v>
      </c>
    </row>
    <row r="5238" spans="1:18">
      <c r="A5238" s="7">
        <v>46023</v>
      </c>
      <c r="B5238" t="s">
        <v>1929</v>
      </c>
      <c r="C5238" s="147" t="s">
        <v>15</v>
      </c>
      <c r="D5238" s="41">
        <v>100</v>
      </c>
      <c r="E5238" s="41">
        <v>100</v>
      </c>
      <c r="F5238" s="33" t="s">
        <v>20</v>
      </c>
      <c r="G5238" s="28">
        <v>46023</v>
      </c>
      <c r="H5238" s="26" t="s">
        <v>3443</v>
      </c>
      <c r="I5238" s="49">
        <v>89800</v>
      </c>
      <c r="J5238" s="24">
        <v>1</v>
      </c>
      <c r="K5238" s="24">
        <v>0</v>
      </c>
      <c r="L5238" s="91">
        <v>0</v>
      </c>
      <c r="M5238" s="24">
        <v>0</v>
      </c>
      <c r="N5238" s="100">
        <f t="shared" si="210"/>
        <v>1</v>
      </c>
      <c r="O5238" s="11">
        <f t="shared" si="211"/>
        <v>89800</v>
      </c>
      <c r="P5238" s="10">
        <v>10</v>
      </c>
      <c r="Q5238" s="10" t="s">
        <v>1928</v>
      </c>
      <c r="R5238" s="50">
        <f>+テーブル1[[#This Row],[合計金額]]*テーブル1[[#This Row],[自社報酬率％]]/100</f>
        <v>89800</v>
      </c>
    </row>
    <row r="5239" spans="1:18">
      <c r="A5239" s="7">
        <v>46023</v>
      </c>
      <c r="B5239" t="s">
        <v>1929</v>
      </c>
      <c r="C5239" s="18" t="s">
        <v>2212</v>
      </c>
      <c r="D5239" s="41">
        <v>10</v>
      </c>
      <c r="E5239" s="41">
        <v>90</v>
      </c>
      <c r="F5239" t="s">
        <v>29</v>
      </c>
      <c r="G5239" s="28">
        <v>46023</v>
      </c>
      <c r="H5239" s="26" t="s">
        <v>3444</v>
      </c>
      <c r="I5239" s="49">
        <v>9800</v>
      </c>
      <c r="J5239" s="24">
        <v>1</v>
      </c>
      <c r="K5239" s="24">
        <v>0</v>
      </c>
      <c r="L5239" s="91">
        <v>0</v>
      </c>
      <c r="M5239" s="24">
        <v>0</v>
      </c>
      <c r="N5239" s="12">
        <f t="shared" si="210"/>
        <v>1</v>
      </c>
      <c r="O5239" s="11">
        <f t="shared" si="211"/>
        <v>9800</v>
      </c>
      <c r="P5239" s="10">
        <v>11</v>
      </c>
      <c r="Q5239" s="10" t="s">
        <v>1928</v>
      </c>
      <c r="R5239" s="50">
        <f>+テーブル1[[#This Row],[合計金額]]*テーブル1[[#This Row],[自社報酬率％]]/100</f>
        <v>8820</v>
      </c>
    </row>
    <row r="5240" spans="1:18">
      <c r="A5240" s="7">
        <v>46023</v>
      </c>
      <c r="B5240" t="s">
        <v>1929</v>
      </c>
      <c r="C5240" s="18" t="s">
        <v>2212</v>
      </c>
      <c r="D5240" s="41">
        <v>10</v>
      </c>
      <c r="E5240" s="41">
        <v>90</v>
      </c>
      <c r="F5240" t="s">
        <v>20</v>
      </c>
      <c r="G5240" s="28">
        <v>46023</v>
      </c>
      <c r="H5240" s="26" t="s">
        <v>3439</v>
      </c>
      <c r="I5240" s="49">
        <v>29700</v>
      </c>
      <c r="J5240" s="24">
        <v>1</v>
      </c>
      <c r="K5240" s="24">
        <v>0</v>
      </c>
      <c r="L5240" s="91">
        <v>0</v>
      </c>
      <c r="M5240" s="24">
        <v>0</v>
      </c>
      <c r="N5240" s="12">
        <f t="shared" si="210"/>
        <v>1</v>
      </c>
      <c r="O5240" s="11">
        <f t="shared" si="211"/>
        <v>29700</v>
      </c>
      <c r="P5240" s="10">
        <v>12</v>
      </c>
      <c r="Q5240" s="10" t="s">
        <v>1928</v>
      </c>
      <c r="R5240" s="50">
        <f>+テーブル1[[#This Row],[合計金額]]*テーブル1[[#This Row],[自社報酬率％]]/100</f>
        <v>26730</v>
      </c>
    </row>
    <row r="5241" spans="1:18">
      <c r="A5241" s="7">
        <v>45992</v>
      </c>
      <c r="B5241" t="s">
        <v>41</v>
      </c>
      <c r="C5241" s="18" t="s">
        <v>42</v>
      </c>
      <c r="D5241" s="41">
        <v>0</v>
      </c>
      <c r="E5241" s="41">
        <v>100</v>
      </c>
      <c r="G5241" s="28">
        <v>45992</v>
      </c>
      <c r="H5241" s="26" t="s">
        <v>1666</v>
      </c>
      <c r="I5241" s="53">
        <v>-924</v>
      </c>
      <c r="J5241" s="24">
        <v>1</v>
      </c>
      <c r="K5241" s="24"/>
      <c r="L5241" s="91"/>
      <c r="M5241" s="24"/>
      <c r="N5241" s="12">
        <f t="shared" ref="N5241:N5246" si="212">J5241-K5241-L5241-M5241</f>
        <v>1</v>
      </c>
      <c r="O5241" s="11">
        <f t="shared" si="211"/>
        <v>-924</v>
      </c>
      <c r="P5241" s="10">
        <v>1</v>
      </c>
      <c r="Q5241" s="10" t="s">
        <v>1928</v>
      </c>
      <c r="R5241" s="50">
        <f>+テーブル1[[#This Row],[合計金額]]*テーブル1[[#This Row],[自社報酬率％]]/100</f>
        <v>-924</v>
      </c>
    </row>
    <row r="5242" spans="1:18">
      <c r="A5242" s="7">
        <v>45992</v>
      </c>
      <c r="B5242" t="s">
        <v>41</v>
      </c>
      <c r="C5242" s="18" t="s">
        <v>42</v>
      </c>
      <c r="D5242" s="41">
        <v>0</v>
      </c>
      <c r="E5242" s="41">
        <v>100</v>
      </c>
      <c r="G5242" s="28">
        <v>45992</v>
      </c>
      <c r="H5242" s="26" t="s">
        <v>1667</v>
      </c>
      <c r="I5242" s="53">
        <v>204065</v>
      </c>
      <c r="J5242" s="24">
        <v>1</v>
      </c>
      <c r="K5242" s="24"/>
      <c r="L5242" s="91"/>
      <c r="M5242" s="24"/>
      <c r="N5242" s="12">
        <f t="shared" si="212"/>
        <v>1</v>
      </c>
      <c r="O5242" s="11">
        <f t="shared" si="211"/>
        <v>204065</v>
      </c>
      <c r="P5242" s="10">
        <v>2</v>
      </c>
      <c r="Q5242" s="10" t="s">
        <v>1928</v>
      </c>
      <c r="R5242" s="50">
        <f>+テーブル1[[#This Row],[合計金額]]*テーブル1[[#This Row],[自社報酬率％]]/100</f>
        <v>204065</v>
      </c>
    </row>
    <row r="5243" spans="1:18">
      <c r="A5243" s="7">
        <v>45992</v>
      </c>
      <c r="B5243" t="s">
        <v>2770</v>
      </c>
      <c r="C5243" s="147" t="s">
        <v>15</v>
      </c>
      <c r="D5243" s="41">
        <v>100</v>
      </c>
      <c r="E5243" s="41">
        <v>100</v>
      </c>
      <c r="G5243" s="28">
        <v>45992</v>
      </c>
      <c r="H5243" s="26" t="s">
        <v>3445</v>
      </c>
      <c r="I5243" s="53">
        <v>44401</v>
      </c>
      <c r="J5243" s="24">
        <v>1</v>
      </c>
      <c r="K5243" s="24"/>
      <c r="L5243" s="91"/>
      <c r="M5243" s="24"/>
      <c r="N5243" s="12">
        <f t="shared" si="212"/>
        <v>1</v>
      </c>
      <c r="O5243" s="11">
        <f t="shared" si="211"/>
        <v>44401</v>
      </c>
      <c r="P5243" s="10">
        <v>3</v>
      </c>
      <c r="Q5243" s="10" t="s">
        <v>1928</v>
      </c>
      <c r="R5243" s="50">
        <f>+テーブル1[[#This Row],[合計金額]]*テーブル1[[#This Row],[自社報酬率％]]/100</f>
        <v>44401</v>
      </c>
    </row>
    <row r="5244" spans="1:18">
      <c r="A5244" s="7">
        <v>45992</v>
      </c>
      <c r="B5244" t="s">
        <v>2770</v>
      </c>
      <c r="C5244" s="147" t="s">
        <v>15</v>
      </c>
      <c r="D5244" s="41">
        <v>100</v>
      </c>
      <c r="E5244" s="41">
        <v>100</v>
      </c>
      <c r="G5244" s="28">
        <v>45992</v>
      </c>
      <c r="H5244" s="26" t="s">
        <v>3445</v>
      </c>
      <c r="I5244" s="53">
        <v>-23908</v>
      </c>
      <c r="J5244" s="24">
        <v>1</v>
      </c>
      <c r="K5244" s="24"/>
      <c r="L5244" s="91"/>
      <c r="M5244" s="24"/>
      <c r="N5244" s="12">
        <f t="shared" si="212"/>
        <v>1</v>
      </c>
      <c r="O5244" s="11">
        <f t="shared" si="211"/>
        <v>-23908</v>
      </c>
      <c r="P5244" s="10">
        <v>4</v>
      </c>
      <c r="Q5244" s="10" t="s">
        <v>1928</v>
      </c>
      <c r="R5244" s="50">
        <f>+テーブル1[[#This Row],[合計金額]]*テーブル1[[#This Row],[自社報酬率％]]/100</f>
        <v>-23908</v>
      </c>
    </row>
    <row r="5245" spans="1:18">
      <c r="A5245" s="7">
        <v>45992</v>
      </c>
      <c r="B5245" t="s">
        <v>39</v>
      </c>
      <c r="C5245" s="18" t="s">
        <v>23</v>
      </c>
      <c r="D5245" s="41">
        <v>0</v>
      </c>
      <c r="E5245" s="41">
        <v>100</v>
      </c>
      <c r="G5245" s="28">
        <v>45992</v>
      </c>
      <c r="H5245" s="26" t="s">
        <v>3446</v>
      </c>
      <c r="I5245" s="49">
        <v>2970000</v>
      </c>
      <c r="J5245" s="24">
        <v>1</v>
      </c>
      <c r="K5245" s="24"/>
      <c r="L5245" s="91"/>
      <c r="M5245" s="24"/>
      <c r="N5245" s="12">
        <f t="shared" si="212"/>
        <v>1</v>
      </c>
      <c r="O5245" s="11">
        <f t="shared" si="211"/>
        <v>2970000</v>
      </c>
      <c r="P5245" s="10">
        <v>5</v>
      </c>
      <c r="Q5245" s="10" t="s">
        <v>1928</v>
      </c>
      <c r="R5245" s="50">
        <f>+テーブル1[[#This Row],[合計金額]]*テーブル1[[#This Row],[自社報酬率％]]/100</f>
        <v>2970000</v>
      </c>
    </row>
    <row r="5246" spans="1:18">
      <c r="A5246" s="7">
        <v>45992</v>
      </c>
      <c r="B5246" t="s">
        <v>3447</v>
      </c>
      <c r="C5246" s="18" t="s">
        <v>3448</v>
      </c>
      <c r="D5246" s="41">
        <v>100</v>
      </c>
      <c r="E5246" s="41">
        <v>100</v>
      </c>
      <c r="G5246" s="28">
        <v>45992</v>
      </c>
      <c r="H5246" s="26" t="s">
        <v>3449</v>
      </c>
      <c r="I5246" s="53">
        <v>-119400</v>
      </c>
      <c r="J5246" s="24">
        <v>1</v>
      </c>
      <c r="K5246" s="24"/>
      <c r="L5246" s="91"/>
      <c r="M5246" s="24"/>
      <c r="N5246" s="12">
        <f t="shared" si="212"/>
        <v>1</v>
      </c>
      <c r="O5246" s="11">
        <f t="shared" si="211"/>
        <v>-119400</v>
      </c>
      <c r="P5246" s="10">
        <v>6</v>
      </c>
      <c r="Q5246" s="10" t="s">
        <v>1928</v>
      </c>
      <c r="R5246" s="50">
        <f>+テーブル1[[#This Row],[合計金額]]*テーブル1[[#This Row],[自社報酬率％]]/100</f>
        <v>-119400</v>
      </c>
    </row>
    <row r="5247" spans="1:18">
      <c r="A5247" s="158">
        <v>46054</v>
      </c>
      <c r="B5247" s="159" t="s">
        <v>43</v>
      </c>
      <c r="C5247" s="160" t="s">
        <v>15</v>
      </c>
      <c r="D5247" s="161">
        <v>100</v>
      </c>
      <c r="E5247" s="161">
        <v>100</v>
      </c>
      <c r="F5247" s="72" t="s">
        <v>17</v>
      </c>
      <c r="G5247" s="85">
        <v>46082</v>
      </c>
      <c r="H5247" s="162" t="s">
        <v>3450</v>
      </c>
      <c r="I5247" s="163">
        <v>8074</v>
      </c>
      <c r="J5247" s="73">
        <v>1</v>
      </c>
      <c r="K5247" s="24"/>
      <c r="L5247" s="90">
        <v>0</v>
      </c>
      <c r="M5247" s="24"/>
      <c r="N5247" s="93">
        <f t="shared" ref="N5247:N5310" si="213">J5247-L5247</f>
        <v>1</v>
      </c>
      <c r="O5247" s="156">
        <f t="shared" si="211"/>
        <v>8074</v>
      </c>
      <c r="P5247" s="10">
        <v>297</v>
      </c>
      <c r="Q5247" s="10" t="s">
        <v>1928</v>
      </c>
      <c r="R5247" s="157">
        <f>+テーブル1[[#This Row],[合計金額]]*テーブル1[[#This Row],[自社報酬率％]]/100</f>
        <v>8074</v>
      </c>
    </row>
    <row r="5248" spans="1:18">
      <c r="A5248" s="158">
        <v>46054</v>
      </c>
      <c r="B5248" s="159" t="s">
        <v>43</v>
      </c>
      <c r="C5248" s="160" t="s">
        <v>15</v>
      </c>
      <c r="D5248" s="161">
        <v>100</v>
      </c>
      <c r="E5248" s="161">
        <v>100</v>
      </c>
      <c r="F5248" s="164" t="s">
        <v>17</v>
      </c>
      <c r="G5248" s="165">
        <v>46113</v>
      </c>
      <c r="H5248" s="162" t="s">
        <v>3451</v>
      </c>
      <c r="I5248" s="163">
        <v>8066</v>
      </c>
      <c r="J5248" s="24">
        <v>1</v>
      </c>
      <c r="K5248" s="24"/>
      <c r="L5248" s="91">
        <v>0</v>
      </c>
      <c r="M5248" s="24"/>
      <c r="N5248" s="94">
        <f t="shared" si="213"/>
        <v>1</v>
      </c>
      <c r="O5248" s="156">
        <f t="shared" si="211"/>
        <v>8066</v>
      </c>
      <c r="P5248" s="10">
        <v>298</v>
      </c>
      <c r="Q5248" s="10" t="s">
        <v>1928</v>
      </c>
      <c r="R5248" s="157">
        <f>+テーブル1[[#This Row],[合計金額]]*テーブル1[[#This Row],[自社報酬率％]]/100</f>
        <v>8066</v>
      </c>
    </row>
    <row r="5249" spans="1:18">
      <c r="A5249" s="158">
        <v>46054</v>
      </c>
      <c r="B5249" s="159" t="s">
        <v>43</v>
      </c>
      <c r="C5249" s="160" t="s">
        <v>15</v>
      </c>
      <c r="D5249" s="161">
        <v>100</v>
      </c>
      <c r="E5249" s="161">
        <v>100</v>
      </c>
      <c r="F5249" s="164" t="s">
        <v>17</v>
      </c>
      <c r="G5249" s="165">
        <v>46143</v>
      </c>
      <c r="H5249" s="162" t="s">
        <v>3452</v>
      </c>
      <c r="I5249" s="163">
        <v>8066</v>
      </c>
      <c r="J5249" s="24">
        <v>1</v>
      </c>
      <c r="K5249" s="24"/>
      <c r="L5249" s="91">
        <v>0</v>
      </c>
      <c r="M5249" s="24"/>
      <c r="N5249" s="94">
        <f t="shared" si="213"/>
        <v>1</v>
      </c>
      <c r="O5249" s="156">
        <f t="shared" si="211"/>
        <v>8066</v>
      </c>
      <c r="P5249" s="10">
        <v>299</v>
      </c>
      <c r="Q5249" s="10" t="s">
        <v>1928</v>
      </c>
      <c r="R5249" s="157">
        <f>+テーブル1[[#This Row],[合計金額]]*テーブル1[[#This Row],[自社報酬率％]]/100</f>
        <v>8066</v>
      </c>
    </row>
    <row r="5250" spans="1:18">
      <c r="A5250" s="158">
        <v>46054</v>
      </c>
      <c r="B5250" s="159" t="s">
        <v>43</v>
      </c>
      <c r="C5250" s="160" t="s">
        <v>15</v>
      </c>
      <c r="D5250" s="161">
        <v>100</v>
      </c>
      <c r="E5250" s="161">
        <v>100</v>
      </c>
      <c r="F5250" s="164" t="s">
        <v>17</v>
      </c>
      <c r="G5250" s="165">
        <v>46174</v>
      </c>
      <c r="H5250" s="162" t="s">
        <v>3453</v>
      </c>
      <c r="I5250" s="163">
        <v>8066</v>
      </c>
      <c r="J5250" s="24">
        <v>1</v>
      </c>
      <c r="K5250" s="24"/>
      <c r="L5250" s="91">
        <v>0</v>
      </c>
      <c r="M5250" s="24"/>
      <c r="N5250" s="94">
        <f t="shared" si="213"/>
        <v>1</v>
      </c>
      <c r="O5250" s="156">
        <f t="shared" si="211"/>
        <v>8066</v>
      </c>
      <c r="P5250" s="10">
        <v>300</v>
      </c>
      <c r="Q5250" s="10" t="s">
        <v>1928</v>
      </c>
      <c r="R5250" s="157">
        <f>+テーブル1[[#This Row],[合計金額]]*テーブル1[[#This Row],[自社報酬率％]]/100</f>
        <v>8066</v>
      </c>
    </row>
    <row r="5251" spans="1:18">
      <c r="A5251" s="158">
        <v>46054</v>
      </c>
      <c r="B5251" s="159" t="s">
        <v>43</v>
      </c>
      <c r="C5251" s="160" t="s">
        <v>15</v>
      </c>
      <c r="D5251" s="161">
        <v>100</v>
      </c>
      <c r="E5251" s="161">
        <v>100</v>
      </c>
      <c r="F5251" s="164" t="s">
        <v>17</v>
      </c>
      <c r="G5251" s="165">
        <v>46204</v>
      </c>
      <c r="H5251" s="162" t="s">
        <v>3454</v>
      </c>
      <c r="I5251" s="163">
        <v>8066</v>
      </c>
      <c r="J5251" s="24">
        <v>1</v>
      </c>
      <c r="K5251" s="24"/>
      <c r="L5251" s="91">
        <v>0</v>
      </c>
      <c r="M5251" s="24"/>
      <c r="N5251" s="94">
        <f t="shared" si="213"/>
        <v>1</v>
      </c>
      <c r="O5251" s="156">
        <f t="shared" si="211"/>
        <v>8066</v>
      </c>
      <c r="P5251" s="10">
        <v>301</v>
      </c>
      <c r="Q5251" s="10" t="s">
        <v>1928</v>
      </c>
      <c r="R5251" s="157">
        <f>+テーブル1[[#This Row],[合計金額]]*テーブル1[[#This Row],[自社報酬率％]]/100</f>
        <v>8066</v>
      </c>
    </row>
    <row r="5252" spans="1:18">
      <c r="A5252" s="158">
        <v>46054</v>
      </c>
      <c r="B5252" s="159" t="s">
        <v>43</v>
      </c>
      <c r="C5252" s="160" t="s">
        <v>15</v>
      </c>
      <c r="D5252" s="161">
        <v>100</v>
      </c>
      <c r="E5252" s="161">
        <v>100</v>
      </c>
      <c r="F5252" s="164" t="s">
        <v>17</v>
      </c>
      <c r="G5252" s="165">
        <v>46235</v>
      </c>
      <c r="H5252" s="162" t="s">
        <v>3455</v>
      </c>
      <c r="I5252" s="163">
        <v>8066</v>
      </c>
      <c r="J5252" s="24">
        <v>1</v>
      </c>
      <c r="K5252" s="24"/>
      <c r="L5252" s="91">
        <v>0</v>
      </c>
      <c r="M5252" s="24"/>
      <c r="N5252" s="94">
        <f t="shared" si="213"/>
        <v>1</v>
      </c>
      <c r="O5252" s="156">
        <f t="shared" si="211"/>
        <v>8066</v>
      </c>
      <c r="P5252" s="10">
        <v>302</v>
      </c>
      <c r="Q5252" s="10" t="s">
        <v>1928</v>
      </c>
      <c r="R5252" s="157">
        <f>+テーブル1[[#This Row],[合計金額]]*テーブル1[[#This Row],[自社報酬率％]]/100</f>
        <v>8066</v>
      </c>
    </row>
    <row r="5253" spans="1:18">
      <c r="A5253" s="158">
        <v>46054</v>
      </c>
      <c r="B5253" s="159" t="s">
        <v>43</v>
      </c>
      <c r="C5253" s="160" t="s">
        <v>15</v>
      </c>
      <c r="D5253" s="161">
        <v>100</v>
      </c>
      <c r="E5253" s="161">
        <v>100</v>
      </c>
      <c r="F5253" s="164" t="s">
        <v>17</v>
      </c>
      <c r="G5253" s="165">
        <v>46266</v>
      </c>
      <c r="H5253" s="162" t="s">
        <v>3456</v>
      </c>
      <c r="I5253" s="163">
        <v>8066</v>
      </c>
      <c r="J5253" s="24">
        <v>1</v>
      </c>
      <c r="K5253" s="24"/>
      <c r="L5253" s="91">
        <v>0</v>
      </c>
      <c r="M5253" s="24"/>
      <c r="N5253" s="94">
        <f t="shared" si="213"/>
        <v>1</v>
      </c>
      <c r="O5253" s="156">
        <f t="shared" si="211"/>
        <v>8066</v>
      </c>
      <c r="P5253" s="10">
        <v>303</v>
      </c>
      <c r="Q5253" s="10" t="s">
        <v>1928</v>
      </c>
      <c r="R5253" s="157">
        <f>+テーブル1[[#This Row],[合計金額]]*テーブル1[[#This Row],[自社報酬率％]]/100</f>
        <v>8066</v>
      </c>
    </row>
    <row r="5254" spans="1:18">
      <c r="A5254" s="158">
        <v>46054</v>
      </c>
      <c r="B5254" s="159" t="s">
        <v>43</v>
      </c>
      <c r="C5254" s="160" t="s">
        <v>15</v>
      </c>
      <c r="D5254" s="161">
        <v>100</v>
      </c>
      <c r="E5254" s="161">
        <v>100</v>
      </c>
      <c r="F5254" s="164" t="s">
        <v>17</v>
      </c>
      <c r="G5254" s="165">
        <v>46296</v>
      </c>
      <c r="H5254" s="162" t="s">
        <v>3457</v>
      </c>
      <c r="I5254" s="163">
        <v>8066</v>
      </c>
      <c r="J5254" s="24">
        <v>1</v>
      </c>
      <c r="K5254" s="24"/>
      <c r="L5254" s="91">
        <v>0</v>
      </c>
      <c r="M5254" s="24"/>
      <c r="N5254" s="94">
        <f t="shared" si="213"/>
        <v>1</v>
      </c>
      <c r="O5254" s="156">
        <f t="shared" si="211"/>
        <v>8066</v>
      </c>
      <c r="P5254" s="10">
        <v>304</v>
      </c>
      <c r="Q5254" s="10" t="s">
        <v>1928</v>
      </c>
      <c r="R5254" s="157">
        <f>+テーブル1[[#This Row],[合計金額]]*テーブル1[[#This Row],[自社報酬率％]]/100</f>
        <v>8066</v>
      </c>
    </row>
    <row r="5255" spans="1:18">
      <c r="A5255" s="158">
        <v>46054</v>
      </c>
      <c r="B5255" s="159" t="s">
        <v>43</v>
      </c>
      <c r="C5255" s="160" t="s">
        <v>15</v>
      </c>
      <c r="D5255" s="161">
        <v>100</v>
      </c>
      <c r="E5255" s="161">
        <v>100</v>
      </c>
      <c r="F5255" s="164" t="s">
        <v>17</v>
      </c>
      <c r="G5255" s="165">
        <v>46327</v>
      </c>
      <c r="H5255" s="162" t="s">
        <v>3458</v>
      </c>
      <c r="I5255" s="163">
        <v>8066</v>
      </c>
      <c r="J5255" s="24">
        <v>1</v>
      </c>
      <c r="K5255" s="24"/>
      <c r="L5255" s="91">
        <v>0</v>
      </c>
      <c r="M5255" s="24"/>
      <c r="N5255" s="94">
        <f t="shared" si="213"/>
        <v>1</v>
      </c>
      <c r="O5255" s="156">
        <f t="shared" si="211"/>
        <v>8066</v>
      </c>
      <c r="P5255" s="10">
        <v>305</v>
      </c>
      <c r="Q5255" s="10" t="s">
        <v>1928</v>
      </c>
      <c r="R5255" s="157">
        <f>+テーブル1[[#This Row],[合計金額]]*テーブル1[[#This Row],[自社報酬率％]]/100</f>
        <v>8066</v>
      </c>
    </row>
    <row r="5256" spans="1:18">
      <c r="A5256" s="158">
        <v>46054</v>
      </c>
      <c r="B5256" s="159" t="s">
        <v>43</v>
      </c>
      <c r="C5256" s="160" t="s">
        <v>15</v>
      </c>
      <c r="D5256" s="161">
        <v>100</v>
      </c>
      <c r="E5256" s="161">
        <v>100</v>
      </c>
      <c r="F5256" s="164" t="s">
        <v>17</v>
      </c>
      <c r="G5256" s="165">
        <v>46357</v>
      </c>
      <c r="H5256" s="162" t="s">
        <v>3459</v>
      </c>
      <c r="I5256" s="163">
        <v>8066</v>
      </c>
      <c r="J5256" s="24">
        <v>1</v>
      </c>
      <c r="K5256" s="24"/>
      <c r="L5256" s="91">
        <v>0</v>
      </c>
      <c r="M5256" s="24"/>
      <c r="N5256" s="94">
        <f t="shared" si="213"/>
        <v>1</v>
      </c>
      <c r="O5256" s="156">
        <f t="shared" si="211"/>
        <v>8066</v>
      </c>
      <c r="P5256" s="10">
        <v>306</v>
      </c>
      <c r="Q5256" s="10" t="s">
        <v>3188</v>
      </c>
      <c r="R5256" s="157">
        <f>+テーブル1[[#This Row],[合計金額]]*テーブル1[[#This Row],[自社報酬率％]]/100</f>
        <v>8066</v>
      </c>
    </row>
    <row r="5257" spans="1:18">
      <c r="A5257" s="158">
        <v>46054</v>
      </c>
      <c r="B5257" s="159" t="s">
        <v>43</v>
      </c>
      <c r="C5257" s="160" t="s">
        <v>15</v>
      </c>
      <c r="D5257" s="161">
        <v>100</v>
      </c>
      <c r="E5257" s="161">
        <v>100</v>
      </c>
      <c r="F5257" s="164" t="s">
        <v>17</v>
      </c>
      <c r="G5257" s="165">
        <v>46388</v>
      </c>
      <c r="H5257" s="162" t="s">
        <v>3460</v>
      </c>
      <c r="I5257" s="163">
        <v>8066</v>
      </c>
      <c r="J5257" s="24">
        <v>1</v>
      </c>
      <c r="K5257" s="24"/>
      <c r="L5257" s="91">
        <v>0</v>
      </c>
      <c r="M5257" s="24"/>
      <c r="N5257" s="94">
        <f t="shared" si="213"/>
        <v>1</v>
      </c>
      <c r="O5257" s="156">
        <f t="shared" si="211"/>
        <v>8066</v>
      </c>
      <c r="P5257" s="10">
        <v>307</v>
      </c>
      <c r="Q5257" s="10" t="s">
        <v>3188</v>
      </c>
      <c r="R5257" s="157">
        <f>+テーブル1[[#This Row],[合計金額]]*テーブル1[[#This Row],[自社報酬率％]]/100</f>
        <v>8066</v>
      </c>
    </row>
    <row r="5258" spans="1:18">
      <c r="A5258" s="158">
        <v>46054</v>
      </c>
      <c r="B5258" s="159" t="s">
        <v>43</v>
      </c>
      <c r="C5258" s="160" t="s">
        <v>15</v>
      </c>
      <c r="D5258" s="161">
        <v>100</v>
      </c>
      <c r="E5258" s="161">
        <v>100</v>
      </c>
      <c r="F5258" s="76" t="s">
        <v>17</v>
      </c>
      <c r="G5258" s="86">
        <v>46419</v>
      </c>
      <c r="H5258" s="162" t="s">
        <v>3461</v>
      </c>
      <c r="I5258" s="163">
        <v>8066</v>
      </c>
      <c r="J5258" s="77">
        <v>1</v>
      </c>
      <c r="K5258" s="24"/>
      <c r="L5258" s="92">
        <v>0</v>
      </c>
      <c r="M5258" s="24"/>
      <c r="N5258" s="95">
        <f t="shared" si="213"/>
        <v>1</v>
      </c>
      <c r="O5258" s="156">
        <f t="shared" si="211"/>
        <v>8066</v>
      </c>
      <c r="P5258" s="10">
        <v>308</v>
      </c>
      <c r="Q5258" s="10" t="s">
        <v>3188</v>
      </c>
      <c r="R5258" s="157">
        <f>+テーブル1[[#This Row],[合計金額]]*テーブル1[[#This Row],[自社報酬率％]]/100</f>
        <v>8066</v>
      </c>
    </row>
    <row r="5259" spans="1:18">
      <c r="A5259" s="158">
        <v>46054</v>
      </c>
      <c r="B5259" s="159" t="s">
        <v>43</v>
      </c>
      <c r="C5259" s="160" t="s">
        <v>15</v>
      </c>
      <c r="D5259" s="161">
        <v>100</v>
      </c>
      <c r="E5259" s="161">
        <v>100</v>
      </c>
      <c r="F5259" s="72" t="s">
        <v>17</v>
      </c>
      <c r="G5259" s="85">
        <v>46082</v>
      </c>
      <c r="H5259" s="162" t="s">
        <v>3462</v>
      </c>
      <c r="I5259" s="163">
        <v>8074</v>
      </c>
      <c r="J5259" s="73">
        <v>2</v>
      </c>
      <c r="K5259" s="24"/>
      <c r="L5259" s="90">
        <v>0</v>
      </c>
      <c r="M5259" s="24"/>
      <c r="N5259" s="93">
        <f t="shared" si="213"/>
        <v>2</v>
      </c>
      <c r="O5259" s="156">
        <f t="shared" si="211"/>
        <v>16148</v>
      </c>
      <c r="P5259" s="10">
        <v>309</v>
      </c>
      <c r="Q5259" s="10" t="s">
        <v>1928</v>
      </c>
      <c r="R5259" s="157">
        <f>+テーブル1[[#This Row],[合計金額]]*テーブル1[[#This Row],[自社報酬率％]]/100</f>
        <v>16148</v>
      </c>
    </row>
    <row r="5260" spans="1:18">
      <c r="A5260" s="158">
        <v>46054</v>
      </c>
      <c r="B5260" s="159" t="s">
        <v>43</v>
      </c>
      <c r="C5260" s="160" t="s">
        <v>15</v>
      </c>
      <c r="D5260" s="161">
        <v>100</v>
      </c>
      <c r="E5260" s="161">
        <v>100</v>
      </c>
      <c r="F5260" s="164" t="s">
        <v>17</v>
      </c>
      <c r="G5260" s="165">
        <v>46113</v>
      </c>
      <c r="H5260" s="162" t="s">
        <v>3463</v>
      </c>
      <c r="I5260" s="163">
        <v>8066</v>
      </c>
      <c r="J5260" s="24">
        <v>2</v>
      </c>
      <c r="K5260" s="24"/>
      <c r="L5260" s="91">
        <v>0</v>
      </c>
      <c r="M5260" s="24"/>
      <c r="N5260" s="94">
        <f t="shared" si="213"/>
        <v>2</v>
      </c>
      <c r="O5260" s="156">
        <f t="shared" si="211"/>
        <v>16132</v>
      </c>
      <c r="P5260" s="10">
        <v>310</v>
      </c>
      <c r="Q5260" s="10" t="s">
        <v>1928</v>
      </c>
      <c r="R5260" s="157">
        <f>+テーブル1[[#This Row],[合計金額]]*テーブル1[[#This Row],[自社報酬率％]]/100</f>
        <v>16132</v>
      </c>
    </row>
    <row r="5261" spans="1:18">
      <c r="A5261" s="158">
        <v>46054</v>
      </c>
      <c r="B5261" s="159" t="s">
        <v>43</v>
      </c>
      <c r="C5261" s="160" t="s">
        <v>15</v>
      </c>
      <c r="D5261" s="161">
        <v>100</v>
      </c>
      <c r="E5261" s="161">
        <v>100</v>
      </c>
      <c r="F5261" s="164" t="s">
        <v>17</v>
      </c>
      <c r="G5261" s="165">
        <v>46143</v>
      </c>
      <c r="H5261" s="162" t="s">
        <v>3464</v>
      </c>
      <c r="I5261" s="163">
        <v>8066</v>
      </c>
      <c r="J5261" s="24">
        <v>2</v>
      </c>
      <c r="K5261" s="24"/>
      <c r="L5261" s="91">
        <v>0</v>
      </c>
      <c r="M5261" s="24"/>
      <c r="N5261" s="94">
        <f t="shared" si="213"/>
        <v>2</v>
      </c>
      <c r="O5261" s="156">
        <f t="shared" si="211"/>
        <v>16132</v>
      </c>
      <c r="P5261" s="10">
        <v>311</v>
      </c>
      <c r="Q5261" s="10" t="s">
        <v>1928</v>
      </c>
      <c r="R5261" s="157">
        <f>+テーブル1[[#This Row],[合計金額]]*テーブル1[[#This Row],[自社報酬率％]]/100</f>
        <v>16132</v>
      </c>
    </row>
    <row r="5262" spans="1:18">
      <c r="A5262" s="158">
        <v>46054</v>
      </c>
      <c r="B5262" s="159" t="s">
        <v>43</v>
      </c>
      <c r="C5262" s="160" t="s">
        <v>15</v>
      </c>
      <c r="D5262" s="161">
        <v>100</v>
      </c>
      <c r="E5262" s="161">
        <v>100</v>
      </c>
      <c r="F5262" s="164" t="s">
        <v>17</v>
      </c>
      <c r="G5262" s="165">
        <v>46174</v>
      </c>
      <c r="H5262" s="162" t="s">
        <v>3465</v>
      </c>
      <c r="I5262" s="163">
        <v>8066</v>
      </c>
      <c r="J5262" s="24">
        <v>2</v>
      </c>
      <c r="K5262" s="24"/>
      <c r="L5262" s="91">
        <v>0</v>
      </c>
      <c r="M5262" s="24"/>
      <c r="N5262" s="94">
        <f t="shared" si="213"/>
        <v>2</v>
      </c>
      <c r="O5262" s="156">
        <f t="shared" si="211"/>
        <v>16132</v>
      </c>
      <c r="P5262" s="10">
        <v>312</v>
      </c>
      <c r="Q5262" s="10" t="s">
        <v>1928</v>
      </c>
      <c r="R5262" s="157">
        <f>+テーブル1[[#This Row],[合計金額]]*テーブル1[[#This Row],[自社報酬率％]]/100</f>
        <v>16132</v>
      </c>
    </row>
    <row r="5263" spans="1:18">
      <c r="A5263" s="158">
        <v>46054</v>
      </c>
      <c r="B5263" s="159" t="s">
        <v>43</v>
      </c>
      <c r="C5263" s="160" t="s">
        <v>15</v>
      </c>
      <c r="D5263" s="161">
        <v>100</v>
      </c>
      <c r="E5263" s="161">
        <v>100</v>
      </c>
      <c r="F5263" s="164" t="s">
        <v>17</v>
      </c>
      <c r="G5263" s="165">
        <v>46204</v>
      </c>
      <c r="H5263" s="162" t="s">
        <v>3466</v>
      </c>
      <c r="I5263" s="163">
        <v>8066</v>
      </c>
      <c r="J5263" s="24">
        <v>2</v>
      </c>
      <c r="K5263" s="24"/>
      <c r="L5263" s="91">
        <v>0</v>
      </c>
      <c r="M5263" s="24"/>
      <c r="N5263" s="94">
        <f t="shared" si="213"/>
        <v>2</v>
      </c>
      <c r="O5263" s="156">
        <f t="shared" si="211"/>
        <v>16132</v>
      </c>
      <c r="P5263" s="10">
        <v>313</v>
      </c>
      <c r="Q5263" s="10" t="s">
        <v>1928</v>
      </c>
      <c r="R5263" s="157">
        <f>+テーブル1[[#This Row],[合計金額]]*テーブル1[[#This Row],[自社報酬率％]]/100</f>
        <v>16132</v>
      </c>
    </row>
    <row r="5264" spans="1:18">
      <c r="A5264" s="158">
        <v>46054</v>
      </c>
      <c r="B5264" s="159" t="s">
        <v>43</v>
      </c>
      <c r="C5264" s="160" t="s">
        <v>15</v>
      </c>
      <c r="D5264" s="161">
        <v>100</v>
      </c>
      <c r="E5264" s="161">
        <v>100</v>
      </c>
      <c r="F5264" s="164" t="s">
        <v>17</v>
      </c>
      <c r="G5264" s="165">
        <v>46235</v>
      </c>
      <c r="H5264" s="162" t="s">
        <v>3467</v>
      </c>
      <c r="I5264" s="163">
        <v>8066</v>
      </c>
      <c r="J5264" s="24">
        <v>2</v>
      </c>
      <c r="K5264" s="24"/>
      <c r="L5264" s="91">
        <v>0</v>
      </c>
      <c r="M5264" s="24"/>
      <c r="N5264" s="94">
        <f t="shared" si="213"/>
        <v>2</v>
      </c>
      <c r="O5264" s="156">
        <f t="shared" si="211"/>
        <v>16132</v>
      </c>
      <c r="P5264" s="10">
        <v>314</v>
      </c>
      <c r="Q5264" s="10" t="s">
        <v>1928</v>
      </c>
      <c r="R5264" s="157">
        <f>+テーブル1[[#This Row],[合計金額]]*テーブル1[[#This Row],[自社報酬率％]]/100</f>
        <v>16132</v>
      </c>
    </row>
    <row r="5265" spans="1:18">
      <c r="A5265" s="158">
        <v>46054</v>
      </c>
      <c r="B5265" s="159" t="s">
        <v>43</v>
      </c>
      <c r="C5265" s="160" t="s">
        <v>15</v>
      </c>
      <c r="D5265" s="161">
        <v>100</v>
      </c>
      <c r="E5265" s="161">
        <v>100</v>
      </c>
      <c r="F5265" s="164" t="s">
        <v>17</v>
      </c>
      <c r="G5265" s="165">
        <v>46266</v>
      </c>
      <c r="H5265" s="162" t="s">
        <v>3468</v>
      </c>
      <c r="I5265" s="163">
        <v>8066</v>
      </c>
      <c r="J5265" s="24">
        <v>2</v>
      </c>
      <c r="K5265" s="24"/>
      <c r="L5265" s="91">
        <v>0</v>
      </c>
      <c r="M5265" s="24"/>
      <c r="N5265" s="94">
        <f t="shared" si="213"/>
        <v>2</v>
      </c>
      <c r="O5265" s="156">
        <f t="shared" si="211"/>
        <v>16132</v>
      </c>
      <c r="P5265" s="10">
        <v>315</v>
      </c>
      <c r="Q5265" s="10" t="s">
        <v>1928</v>
      </c>
      <c r="R5265" s="157">
        <f>+テーブル1[[#This Row],[合計金額]]*テーブル1[[#This Row],[自社報酬率％]]/100</f>
        <v>16132</v>
      </c>
    </row>
    <row r="5266" spans="1:18">
      <c r="A5266" s="158">
        <v>46054</v>
      </c>
      <c r="B5266" s="159" t="s">
        <v>43</v>
      </c>
      <c r="C5266" s="160" t="s">
        <v>15</v>
      </c>
      <c r="D5266" s="161">
        <v>100</v>
      </c>
      <c r="E5266" s="161">
        <v>100</v>
      </c>
      <c r="F5266" s="164" t="s">
        <v>17</v>
      </c>
      <c r="G5266" s="165">
        <v>46296</v>
      </c>
      <c r="H5266" s="162" t="s">
        <v>3469</v>
      </c>
      <c r="I5266" s="163">
        <v>8066</v>
      </c>
      <c r="J5266" s="24">
        <v>2</v>
      </c>
      <c r="K5266" s="24"/>
      <c r="L5266" s="91">
        <v>0</v>
      </c>
      <c r="M5266" s="24"/>
      <c r="N5266" s="94">
        <f t="shared" si="213"/>
        <v>2</v>
      </c>
      <c r="O5266" s="156">
        <f t="shared" si="211"/>
        <v>16132</v>
      </c>
      <c r="P5266" s="10">
        <v>316</v>
      </c>
      <c r="Q5266" s="10" t="s">
        <v>1928</v>
      </c>
      <c r="R5266" s="157">
        <f>+テーブル1[[#This Row],[合計金額]]*テーブル1[[#This Row],[自社報酬率％]]/100</f>
        <v>16132</v>
      </c>
    </row>
    <row r="5267" spans="1:18">
      <c r="A5267" s="158">
        <v>46054</v>
      </c>
      <c r="B5267" s="159" t="s">
        <v>43</v>
      </c>
      <c r="C5267" s="160" t="s">
        <v>15</v>
      </c>
      <c r="D5267" s="161">
        <v>100</v>
      </c>
      <c r="E5267" s="161">
        <v>100</v>
      </c>
      <c r="F5267" s="164" t="s">
        <v>17</v>
      </c>
      <c r="G5267" s="165">
        <v>46327</v>
      </c>
      <c r="H5267" s="162" t="s">
        <v>3470</v>
      </c>
      <c r="I5267" s="163">
        <v>8066</v>
      </c>
      <c r="J5267" s="24">
        <v>2</v>
      </c>
      <c r="K5267" s="24"/>
      <c r="L5267" s="91">
        <v>0</v>
      </c>
      <c r="M5267" s="24"/>
      <c r="N5267" s="94">
        <f t="shared" si="213"/>
        <v>2</v>
      </c>
      <c r="O5267" s="156">
        <f t="shared" si="211"/>
        <v>16132</v>
      </c>
      <c r="P5267" s="10">
        <v>317</v>
      </c>
      <c r="Q5267" s="10" t="s">
        <v>1928</v>
      </c>
      <c r="R5267" s="157">
        <f>+テーブル1[[#This Row],[合計金額]]*テーブル1[[#This Row],[自社報酬率％]]/100</f>
        <v>16132</v>
      </c>
    </row>
    <row r="5268" spans="1:18">
      <c r="A5268" s="158">
        <v>46054</v>
      </c>
      <c r="B5268" s="159" t="s">
        <v>43</v>
      </c>
      <c r="C5268" s="160" t="s">
        <v>15</v>
      </c>
      <c r="D5268" s="161">
        <v>100</v>
      </c>
      <c r="E5268" s="161">
        <v>100</v>
      </c>
      <c r="F5268" s="164" t="s">
        <v>17</v>
      </c>
      <c r="G5268" s="165">
        <v>46357</v>
      </c>
      <c r="H5268" s="162" t="s">
        <v>3471</v>
      </c>
      <c r="I5268" s="163">
        <v>8066</v>
      </c>
      <c r="J5268" s="24">
        <v>2</v>
      </c>
      <c r="K5268" s="24"/>
      <c r="L5268" s="91">
        <v>0</v>
      </c>
      <c r="M5268" s="24"/>
      <c r="N5268" s="94">
        <f t="shared" si="213"/>
        <v>2</v>
      </c>
      <c r="O5268" s="156">
        <f t="shared" si="211"/>
        <v>16132</v>
      </c>
      <c r="P5268" s="10">
        <v>318</v>
      </c>
      <c r="Q5268" s="10" t="s">
        <v>3188</v>
      </c>
      <c r="R5268" s="157">
        <f>+テーブル1[[#This Row],[合計金額]]*テーブル1[[#This Row],[自社報酬率％]]/100</f>
        <v>16132</v>
      </c>
    </row>
    <row r="5269" spans="1:18">
      <c r="A5269" s="158">
        <v>46054</v>
      </c>
      <c r="B5269" s="159" t="s">
        <v>43</v>
      </c>
      <c r="C5269" s="160" t="s">
        <v>15</v>
      </c>
      <c r="D5269" s="161">
        <v>100</v>
      </c>
      <c r="E5269" s="161">
        <v>100</v>
      </c>
      <c r="F5269" s="164" t="s">
        <v>17</v>
      </c>
      <c r="G5269" s="165">
        <v>46388</v>
      </c>
      <c r="H5269" s="162" t="s">
        <v>3472</v>
      </c>
      <c r="I5269" s="163">
        <v>8066</v>
      </c>
      <c r="J5269" s="24">
        <v>2</v>
      </c>
      <c r="K5269" s="24"/>
      <c r="L5269" s="91">
        <v>0</v>
      </c>
      <c r="M5269" s="24"/>
      <c r="N5269" s="94">
        <f t="shared" si="213"/>
        <v>2</v>
      </c>
      <c r="O5269" s="156">
        <f t="shared" si="211"/>
        <v>16132</v>
      </c>
      <c r="P5269" s="10">
        <v>319</v>
      </c>
      <c r="Q5269" s="10" t="s">
        <v>3188</v>
      </c>
      <c r="R5269" s="157">
        <f>+テーブル1[[#This Row],[合計金額]]*テーブル1[[#This Row],[自社報酬率％]]/100</f>
        <v>16132</v>
      </c>
    </row>
    <row r="5270" spans="1:18">
      <c r="A5270" s="158">
        <v>46054</v>
      </c>
      <c r="B5270" s="159" t="s">
        <v>43</v>
      </c>
      <c r="C5270" s="160" t="s">
        <v>15</v>
      </c>
      <c r="D5270" s="161">
        <v>100</v>
      </c>
      <c r="E5270" s="161">
        <v>100</v>
      </c>
      <c r="F5270" s="76" t="s">
        <v>17</v>
      </c>
      <c r="G5270" s="86">
        <v>46419</v>
      </c>
      <c r="H5270" s="162" t="s">
        <v>3473</v>
      </c>
      <c r="I5270" s="163">
        <v>8066</v>
      </c>
      <c r="J5270" s="77">
        <v>2</v>
      </c>
      <c r="K5270" s="24"/>
      <c r="L5270" s="92">
        <v>0</v>
      </c>
      <c r="M5270" s="24"/>
      <c r="N5270" s="95">
        <f t="shared" si="213"/>
        <v>2</v>
      </c>
      <c r="O5270" s="156">
        <f t="shared" si="211"/>
        <v>16132</v>
      </c>
      <c r="P5270" s="10">
        <v>320</v>
      </c>
      <c r="Q5270" s="10" t="s">
        <v>3188</v>
      </c>
      <c r="R5270" s="157">
        <f>+テーブル1[[#This Row],[合計金額]]*テーブル1[[#This Row],[自社報酬率％]]/100</f>
        <v>16132</v>
      </c>
    </row>
    <row r="5271" spans="1:18">
      <c r="A5271" s="158">
        <v>46054</v>
      </c>
      <c r="B5271" s="159" t="s">
        <v>43</v>
      </c>
      <c r="C5271" s="160" t="s">
        <v>15</v>
      </c>
      <c r="D5271" s="161">
        <v>100</v>
      </c>
      <c r="E5271" s="161">
        <v>100</v>
      </c>
      <c r="F5271" s="166" t="s">
        <v>17</v>
      </c>
      <c r="G5271" s="167">
        <v>46054</v>
      </c>
      <c r="H5271" s="162" t="s">
        <v>3474</v>
      </c>
      <c r="I5271" s="163">
        <v>29975</v>
      </c>
      <c r="J5271" s="24">
        <v>2</v>
      </c>
      <c r="K5271" s="24"/>
      <c r="L5271" s="91">
        <v>0</v>
      </c>
      <c r="M5271" s="24"/>
      <c r="N5271" s="12">
        <f t="shared" si="213"/>
        <v>2</v>
      </c>
      <c r="O5271" s="156">
        <f t="shared" si="211"/>
        <v>59950</v>
      </c>
      <c r="P5271" s="10">
        <v>321</v>
      </c>
      <c r="Q5271" s="10" t="s">
        <v>1928</v>
      </c>
      <c r="R5271" s="157">
        <f>+テーブル1[[#This Row],[合計金額]]*テーブル1[[#This Row],[自社報酬率％]]/100</f>
        <v>59950</v>
      </c>
    </row>
    <row r="5272" spans="1:18">
      <c r="A5272" s="158">
        <v>46054</v>
      </c>
      <c r="B5272" s="159" t="s">
        <v>43</v>
      </c>
      <c r="C5272" s="160" t="s">
        <v>15</v>
      </c>
      <c r="D5272" s="161">
        <v>100</v>
      </c>
      <c r="E5272" s="161">
        <v>100</v>
      </c>
      <c r="F5272" s="166" t="s">
        <v>17</v>
      </c>
      <c r="G5272" s="167">
        <v>46054</v>
      </c>
      <c r="H5272" s="162" t="s">
        <v>2890</v>
      </c>
      <c r="I5272" s="163">
        <v>29975</v>
      </c>
      <c r="J5272" s="24">
        <v>2</v>
      </c>
      <c r="K5272" s="24"/>
      <c r="L5272" s="91">
        <v>0</v>
      </c>
      <c r="M5272" s="24"/>
      <c r="N5272" s="12">
        <f t="shared" si="213"/>
        <v>2</v>
      </c>
      <c r="O5272" s="156">
        <f t="shared" si="211"/>
        <v>59950</v>
      </c>
      <c r="P5272" s="10">
        <v>322</v>
      </c>
      <c r="Q5272" s="10" t="s">
        <v>1928</v>
      </c>
      <c r="R5272" s="157">
        <f>+テーブル1[[#This Row],[合計金額]]*テーブル1[[#This Row],[自社報酬率％]]/100</f>
        <v>59950</v>
      </c>
    </row>
    <row r="5273" spans="1:18">
      <c r="A5273" s="158">
        <v>46054</v>
      </c>
      <c r="B5273" s="159" t="s">
        <v>43</v>
      </c>
      <c r="C5273" s="160" t="s">
        <v>15</v>
      </c>
      <c r="D5273" s="161">
        <v>100</v>
      </c>
      <c r="E5273" s="161">
        <v>100</v>
      </c>
      <c r="F5273" s="166" t="s">
        <v>17</v>
      </c>
      <c r="G5273" s="167">
        <v>46054</v>
      </c>
      <c r="H5273" s="162" t="s">
        <v>2988</v>
      </c>
      <c r="I5273" s="163">
        <v>27500</v>
      </c>
      <c r="J5273" s="24">
        <v>1</v>
      </c>
      <c r="K5273" s="24"/>
      <c r="L5273" s="91">
        <v>0</v>
      </c>
      <c r="M5273" s="24"/>
      <c r="N5273" s="12">
        <f t="shared" si="213"/>
        <v>1</v>
      </c>
      <c r="O5273" s="156">
        <f t="shared" si="211"/>
        <v>27500</v>
      </c>
      <c r="P5273" s="10">
        <v>323</v>
      </c>
      <c r="Q5273" s="10" t="s">
        <v>1928</v>
      </c>
      <c r="R5273" s="157">
        <f>+テーブル1[[#This Row],[合計金額]]*テーブル1[[#This Row],[自社報酬率％]]/100</f>
        <v>27500</v>
      </c>
    </row>
    <row r="5274" spans="1:18">
      <c r="A5274" s="158">
        <v>46054</v>
      </c>
      <c r="B5274" s="159" t="s">
        <v>43</v>
      </c>
      <c r="C5274" s="160" t="s">
        <v>15</v>
      </c>
      <c r="D5274" s="161">
        <v>100</v>
      </c>
      <c r="E5274" s="161">
        <v>100</v>
      </c>
      <c r="F5274" s="166" t="s">
        <v>17</v>
      </c>
      <c r="G5274" s="167">
        <v>46054</v>
      </c>
      <c r="H5274" s="162" t="s">
        <v>2988</v>
      </c>
      <c r="I5274" s="163">
        <v>29975</v>
      </c>
      <c r="J5274" s="24">
        <v>6</v>
      </c>
      <c r="K5274" s="24"/>
      <c r="L5274" s="91">
        <v>0</v>
      </c>
      <c r="M5274" s="24"/>
      <c r="N5274" s="12">
        <f t="shared" si="213"/>
        <v>6</v>
      </c>
      <c r="O5274" s="156">
        <f t="shared" si="211"/>
        <v>179850</v>
      </c>
      <c r="P5274" s="10">
        <v>324</v>
      </c>
      <c r="Q5274" s="10" t="s">
        <v>1928</v>
      </c>
      <c r="R5274" s="157">
        <f>+テーブル1[[#This Row],[合計金額]]*テーブル1[[#This Row],[自社報酬率％]]/100</f>
        <v>179850</v>
      </c>
    </row>
    <row r="5275" spans="1:18">
      <c r="A5275" s="158">
        <v>46054</v>
      </c>
      <c r="B5275" s="159" t="s">
        <v>43</v>
      </c>
      <c r="C5275" s="160" t="s">
        <v>15</v>
      </c>
      <c r="D5275" s="161">
        <v>100</v>
      </c>
      <c r="E5275" s="161">
        <v>100</v>
      </c>
      <c r="F5275" s="166" t="s">
        <v>17</v>
      </c>
      <c r="G5275" s="167">
        <v>46054</v>
      </c>
      <c r="H5275" s="162" t="s">
        <v>2142</v>
      </c>
      <c r="I5275" s="163">
        <v>29975</v>
      </c>
      <c r="J5275" s="24">
        <v>5</v>
      </c>
      <c r="K5275" s="24"/>
      <c r="L5275" s="91">
        <v>0</v>
      </c>
      <c r="M5275" s="24"/>
      <c r="N5275" s="12">
        <f t="shared" si="213"/>
        <v>5</v>
      </c>
      <c r="O5275" s="156">
        <f t="shared" si="211"/>
        <v>149875</v>
      </c>
      <c r="P5275" s="10">
        <v>325</v>
      </c>
      <c r="Q5275" s="10" t="s">
        <v>1928</v>
      </c>
      <c r="R5275" s="157">
        <f>+テーブル1[[#This Row],[合計金額]]*テーブル1[[#This Row],[自社報酬率％]]/100</f>
        <v>149875</v>
      </c>
    </row>
    <row r="5276" spans="1:18">
      <c r="A5276" s="158">
        <v>46054</v>
      </c>
      <c r="B5276" s="159" t="s">
        <v>43</v>
      </c>
      <c r="C5276" s="160" t="s">
        <v>15</v>
      </c>
      <c r="D5276" s="161">
        <v>100</v>
      </c>
      <c r="E5276" s="161">
        <v>100</v>
      </c>
      <c r="F5276" s="166" t="s">
        <v>17</v>
      </c>
      <c r="G5276" s="167">
        <v>46054</v>
      </c>
      <c r="H5276" s="162" t="s">
        <v>1947</v>
      </c>
      <c r="I5276" s="163">
        <v>29800</v>
      </c>
      <c r="J5276" s="24">
        <v>1</v>
      </c>
      <c r="K5276" s="24"/>
      <c r="L5276" s="91">
        <v>0</v>
      </c>
      <c r="M5276" s="24"/>
      <c r="N5276" s="12">
        <f t="shared" si="213"/>
        <v>1</v>
      </c>
      <c r="O5276" s="156">
        <f t="shared" si="211"/>
        <v>29800</v>
      </c>
      <c r="P5276" s="10">
        <v>326</v>
      </c>
      <c r="Q5276" s="10" t="s">
        <v>1928</v>
      </c>
      <c r="R5276" s="157">
        <f>+テーブル1[[#This Row],[合計金額]]*テーブル1[[#This Row],[自社報酬率％]]/100</f>
        <v>29800</v>
      </c>
    </row>
    <row r="5277" spans="1:18">
      <c r="A5277" s="158">
        <v>46054</v>
      </c>
      <c r="B5277" s="159" t="s">
        <v>43</v>
      </c>
      <c r="C5277" s="160" t="s">
        <v>15</v>
      </c>
      <c r="D5277" s="161">
        <v>100</v>
      </c>
      <c r="E5277" s="161">
        <v>100</v>
      </c>
      <c r="F5277" s="166" t="s">
        <v>17</v>
      </c>
      <c r="G5277" s="167">
        <v>46054</v>
      </c>
      <c r="H5277" s="162" t="s">
        <v>1947</v>
      </c>
      <c r="I5277" s="163">
        <v>29975</v>
      </c>
      <c r="J5277" s="24">
        <v>8</v>
      </c>
      <c r="K5277" s="24"/>
      <c r="L5277" s="91">
        <v>0</v>
      </c>
      <c r="M5277" s="24"/>
      <c r="N5277" s="12">
        <f t="shared" si="213"/>
        <v>8</v>
      </c>
      <c r="O5277" s="156">
        <f t="shared" si="211"/>
        <v>239800</v>
      </c>
      <c r="P5277" s="10">
        <v>327</v>
      </c>
      <c r="Q5277" s="10" t="s">
        <v>1928</v>
      </c>
      <c r="R5277" s="157">
        <f>+テーブル1[[#This Row],[合計金額]]*テーブル1[[#This Row],[自社報酬率％]]/100</f>
        <v>239800</v>
      </c>
    </row>
    <row r="5278" spans="1:18">
      <c r="A5278" s="158">
        <v>46054</v>
      </c>
      <c r="B5278" s="159" t="s">
        <v>43</v>
      </c>
      <c r="C5278" s="160" t="s">
        <v>15</v>
      </c>
      <c r="D5278" s="161">
        <v>100</v>
      </c>
      <c r="E5278" s="161">
        <v>100</v>
      </c>
      <c r="F5278" s="166" t="s">
        <v>17</v>
      </c>
      <c r="G5278" s="167">
        <v>46054</v>
      </c>
      <c r="H5278" s="162" t="s">
        <v>2143</v>
      </c>
      <c r="I5278" s="163">
        <v>29975</v>
      </c>
      <c r="J5278" s="24">
        <v>4</v>
      </c>
      <c r="K5278" s="24"/>
      <c r="L5278" s="91">
        <v>0</v>
      </c>
      <c r="M5278" s="24"/>
      <c r="N5278" s="12">
        <f t="shared" si="213"/>
        <v>4</v>
      </c>
      <c r="O5278" s="156">
        <f t="shared" si="211"/>
        <v>119900</v>
      </c>
      <c r="P5278" s="10">
        <v>328</v>
      </c>
      <c r="Q5278" s="10" t="s">
        <v>1928</v>
      </c>
      <c r="R5278" s="157">
        <f>+テーブル1[[#This Row],[合計金額]]*テーブル1[[#This Row],[自社報酬率％]]/100</f>
        <v>119900</v>
      </c>
    </row>
    <row r="5279" spans="1:18">
      <c r="A5279" s="158">
        <v>46054</v>
      </c>
      <c r="B5279" s="159" t="s">
        <v>43</v>
      </c>
      <c r="C5279" s="160" t="s">
        <v>15</v>
      </c>
      <c r="D5279" s="161">
        <v>100</v>
      </c>
      <c r="E5279" s="161">
        <v>100</v>
      </c>
      <c r="F5279" s="166" t="s">
        <v>17</v>
      </c>
      <c r="G5279" s="167">
        <v>46054</v>
      </c>
      <c r="H5279" s="162" t="s">
        <v>2296</v>
      </c>
      <c r="I5279" s="163">
        <v>29975</v>
      </c>
      <c r="J5279" s="24">
        <v>1</v>
      </c>
      <c r="K5279" s="24"/>
      <c r="L5279" s="91">
        <v>0</v>
      </c>
      <c r="M5279" s="24"/>
      <c r="N5279" s="12">
        <f t="shared" si="213"/>
        <v>1</v>
      </c>
      <c r="O5279" s="156">
        <f t="shared" si="211"/>
        <v>29975</v>
      </c>
      <c r="P5279" s="10">
        <v>329</v>
      </c>
      <c r="Q5279" s="10" t="s">
        <v>1928</v>
      </c>
      <c r="R5279" s="157">
        <f>+テーブル1[[#This Row],[合計金額]]*テーブル1[[#This Row],[自社報酬率％]]/100</f>
        <v>29975</v>
      </c>
    </row>
    <row r="5280" spans="1:18">
      <c r="A5280" s="158">
        <v>46054</v>
      </c>
      <c r="B5280" s="159" t="s">
        <v>43</v>
      </c>
      <c r="C5280" s="160" t="s">
        <v>15</v>
      </c>
      <c r="D5280" s="161">
        <v>100</v>
      </c>
      <c r="E5280" s="161">
        <v>100</v>
      </c>
      <c r="F5280" s="166" t="s">
        <v>17</v>
      </c>
      <c r="G5280" s="167">
        <v>46054</v>
      </c>
      <c r="H5280" s="162" t="s">
        <v>2425</v>
      </c>
      <c r="I5280" s="163">
        <v>29975</v>
      </c>
      <c r="J5280" s="24">
        <v>4</v>
      </c>
      <c r="K5280" s="24"/>
      <c r="L5280" s="91">
        <v>0</v>
      </c>
      <c r="M5280" s="24"/>
      <c r="N5280" s="12">
        <f t="shared" si="213"/>
        <v>4</v>
      </c>
      <c r="O5280" s="156">
        <f t="shared" si="211"/>
        <v>119900</v>
      </c>
      <c r="P5280" s="10">
        <v>330</v>
      </c>
      <c r="Q5280" s="10" t="s">
        <v>1928</v>
      </c>
      <c r="R5280" s="157">
        <f>+テーブル1[[#This Row],[合計金額]]*テーブル1[[#This Row],[自社報酬率％]]/100</f>
        <v>119900</v>
      </c>
    </row>
    <row r="5281" spans="1:18">
      <c r="A5281" s="158">
        <v>46054</v>
      </c>
      <c r="B5281" s="159" t="s">
        <v>43</v>
      </c>
      <c r="C5281" s="160" t="s">
        <v>15</v>
      </c>
      <c r="D5281" s="161">
        <v>100</v>
      </c>
      <c r="E5281" s="161">
        <v>100</v>
      </c>
      <c r="F5281" s="166" t="s">
        <v>17</v>
      </c>
      <c r="G5281" s="167">
        <v>46054</v>
      </c>
      <c r="H5281" s="162" t="s">
        <v>2522</v>
      </c>
      <c r="I5281" s="163">
        <v>29975</v>
      </c>
      <c r="J5281" s="24">
        <v>5</v>
      </c>
      <c r="K5281" s="24"/>
      <c r="L5281" s="91">
        <v>0</v>
      </c>
      <c r="M5281" s="24"/>
      <c r="N5281" s="12">
        <f t="shared" si="213"/>
        <v>5</v>
      </c>
      <c r="O5281" s="156">
        <f t="shared" si="211"/>
        <v>149875</v>
      </c>
      <c r="P5281" s="10">
        <v>331</v>
      </c>
      <c r="Q5281" s="10" t="s">
        <v>1928</v>
      </c>
      <c r="R5281" s="157">
        <f>+テーブル1[[#This Row],[合計金額]]*テーブル1[[#This Row],[自社報酬率％]]/100</f>
        <v>149875</v>
      </c>
    </row>
    <row r="5282" spans="1:18">
      <c r="A5282" s="158">
        <v>46054</v>
      </c>
      <c r="B5282" s="159" t="s">
        <v>43</v>
      </c>
      <c r="C5282" s="160" t="s">
        <v>15</v>
      </c>
      <c r="D5282" s="161">
        <v>100</v>
      </c>
      <c r="E5282" s="161">
        <v>100</v>
      </c>
      <c r="F5282" s="166" t="s">
        <v>17</v>
      </c>
      <c r="G5282" s="167">
        <v>46054</v>
      </c>
      <c r="H5282" s="162" t="s">
        <v>2676</v>
      </c>
      <c r="I5282" s="163">
        <v>27500</v>
      </c>
      <c r="J5282" s="24">
        <v>1</v>
      </c>
      <c r="K5282" s="24"/>
      <c r="L5282" s="91">
        <v>0</v>
      </c>
      <c r="M5282" s="24"/>
      <c r="N5282" s="12">
        <f t="shared" si="213"/>
        <v>1</v>
      </c>
      <c r="O5282" s="156">
        <f t="shared" si="211"/>
        <v>27500</v>
      </c>
      <c r="P5282" s="10">
        <v>332</v>
      </c>
      <c r="Q5282" s="10" t="s">
        <v>1928</v>
      </c>
      <c r="R5282" s="157">
        <f>+テーブル1[[#This Row],[合計金額]]*テーブル1[[#This Row],[自社報酬率％]]/100</f>
        <v>27500</v>
      </c>
    </row>
    <row r="5283" spans="1:18">
      <c r="A5283" s="158">
        <v>46054</v>
      </c>
      <c r="B5283" s="159" t="s">
        <v>43</v>
      </c>
      <c r="C5283" s="160" t="s">
        <v>15</v>
      </c>
      <c r="D5283" s="161">
        <v>100</v>
      </c>
      <c r="E5283" s="161">
        <v>100</v>
      </c>
      <c r="F5283" s="166" t="s">
        <v>17</v>
      </c>
      <c r="G5283" s="167">
        <v>46054</v>
      </c>
      <c r="H5283" s="162" t="s">
        <v>2775</v>
      </c>
      <c r="I5283" s="163">
        <v>29975</v>
      </c>
      <c r="J5283" s="24">
        <v>4</v>
      </c>
      <c r="K5283" s="24"/>
      <c r="L5283" s="91">
        <v>0</v>
      </c>
      <c r="M5283" s="24"/>
      <c r="N5283" s="12">
        <f t="shared" si="213"/>
        <v>4</v>
      </c>
      <c r="O5283" s="156">
        <f t="shared" si="211"/>
        <v>119900</v>
      </c>
      <c r="P5283" s="10">
        <v>333</v>
      </c>
      <c r="Q5283" s="10" t="s">
        <v>1928</v>
      </c>
      <c r="R5283" s="157">
        <f>+テーブル1[[#This Row],[合計金額]]*テーブル1[[#This Row],[自社報酬率％]]/100</f>
        <v>119900</v>
      </c>
    </row>
    <row r="5284" spans="1:18">
      <c r="A5284" s="158">
        <v>46054</v>
      </c>
      <c r="B5284" s="159" t="s">
        <v>43</v>
      </c>
      <c r="C5284" s="160" t="s">
        <v>15</v>
      </c>
      <c r="D5284" s="161">
        <v>100</v>
      </c>
      <c r="E5284" s="161">
        <v>100</v>
      </c>
      <c r="F5284" s="72" t="s">
        <v>19</v>
      </c>
      <c r="G5284" s="85">
        <v>46082</v>
      </c>
      <c r="H5284" s="162" t="s">
        <v>132</v>
      </c>
      <c r="I5284" s="163">
        <v>8900</v>
      </c>
      <c r="J5284" s="73">
        <v>1</v>
      </c>
      <c r="K5284" s="24"/>
      <c r="L5284" s="90">
        <v>0</v>
      </c>
      <c r="M5284" s="24"/>
      <c r="N5284" s="93">
        <f t="shared" si="213"/>
        <v>1</v>
      </c>
      <c r="O5284" s="156">
        <f t="shared" si="211"/>
        <v>8900</v>
      </c>
      <c r="P5284" s="10">
        <v>334</v>
      </c>
      <c r="Q5284" s="10" t="s">
        <v>1928</v>
      </c>
      <c r="R5284" s="157">
        <f>+テーブル1[[#This Row],[合計金額]]*テーブル1[[#This Row],[自社報酬率％]]/100</f>
        <v>8900</v>
      </c>
    </row>
    <row r="5285" spans="1:18">
      <c r="A5285" s="158">
        <v>46054</v>
      </c>
      <c r="B5285" s="159" t="s">
        <v>43</v>
      </c>
      <c r="C5285" s="160" t="s">
        <v>15</v>
      </c>
      <c r="D5285" s="161">
        <v>100</v>
      </c>
      <c r="E5285" s="161">
        <v>100</v>
      </c>
      <c r="F5285" s="164" t="s">
        <v>19</v>
      </c>
      <c r="G5285" s="165">
        <v>46113</v>
      </c>
      <c r="H5285" s="162" t="s">
        <v>1955</v>
      </c>
      <c r="I5285" s="163">
        <v>8900</v>
      </c>
      <c r="J5285" s="24">
        <v>1</v>
      </c>
      <c r="K5285" s="24"/>
      <c r="L5285" s="91">
        <v>0</v>
      </c>
      <c r="M5285" s="24"/>
      <c r="N5285" s="94">
        <f t="shared" si="213"/>
        <v>1</v>
      </c>
      <c r="O5285" s="156">
        <f t="shared" si="211"/>
        <v>8900</v>
      </c>
      <c r="P5285" s="10">
        <v>335</v>
      </c>
      <c r="Q5285" s="10" t="s">
        <v>1928</v>
      </c>
      <c r="R5285" s="157">
        <f>+テーブル1[[#This Row],[合計金額]]*テーブル1[[#This Row],[自社報酬率％]]/100</f>
        <v>8900</v>
      </c>
    </row>
    <row r="5286" spans="1:18">
      <c r="A5286" s="158">
        <v>46054</v>
      </c>
      <c r="B5286" s="159" t="s">
        <v>43</v>
      </c>
      <c r="C5286" s="160" t="s">
        <v>15</v>
      </c>
      <c r="D5286" s="161">
        <v>100</v>
      </c>
      <c r="E5286" s="161">
        <v>100</v>
      </c>
      <c r="F5286" s="164" t="s">
        <v>19</v>
      </c>
      <c r="G5286" s="165">
        <v>46143</v>
      </c>
      <c r="H5286" s="162" t="s">
        <v>1956</v>
      </c>
      <c r="I5286" s="163">
        <v>8900</v>
      </c>
      <c r="J5286" s="24">
        <v>1</v>
      </c>
      <c r="K5286" s="24"/>
      <c r="L5286" s="91">
        <v>0</v>
      </c>
      <c r="M5286" s="24"/>
      <c r="N5286" s="94">
        <f t="shared" si="213"/>
        <v>1</v>
      </c>
      <c r="O5286" s="156">
        <f t="shared" si="211"/>
        <v>8900</v>
      </c>
      <c r="P5286" s="10">
        <v>336</v>
      </c>
      <c r="Q5286" s="10" t="s">
        <v>1928</v>
      </c>
      <c r="R5286" s="157">
        <f>+テーブル1[[#This Row],[合計金額]]*テーブル1[[#This Row],[自社報酬率％]]/100</f>
        <v>8900</v>
      </c>
    </row>
    <row r="5287" spans="1:18">
      <c r="A5287" s="158">
        <v>46054</v>
      </c>
      <c r="B5287" s="159" t="s">
        <v>43</v>
      </c>
      <c r="C5287" s="160" t="s">
        <v>15</v>
      </c>
      <c r="D5287" s="161">
        <v>100</v>
      </c>
      <c r="E5287" s="161">
        <v>100</v>
      </c>
      <c r="F5287" s="164" t="s">
        <v>19</v>
      </c>
      <c r="G5287" s="165">
        <v>46174</v>
      </c>
      <c r="H5287" s="162" t="s">
        <v>1957</v>
      </c>
      <c r="I5287" s="163">
        <v>8900</v>
      </c>
      <c r="J5287" s="24">
        <v>1</v>
      </c>
      <c r="K5287" s="24"/>
      <c r="L5287" s="91">
        <v>0</v>
      </c>
      <c r="M5287" s="24"/>
      <c r="N5287" s="94">
        <f t="shared" si="213"/>
        <v>1</v>
      </c>
      <c r="O5287" s="156">
        <f t="shared" si="211"/>
        <v>8900</v>
      </c>
      <c r="P5287" s="10">
        <v>337</v>
      </c>
      <c r="Q5287" s="10" t="s">
        <v>1928</v>
      </c>
      <c r="R5287" s="157">
        <f>+テーブル1[[#This Row],[合計金額]]*テーブル1[[#This Row],[自社報酬率％]]/100</f>
        <v>8900</v>
      </c>
    </row>
    <row r="5288" spans="1:18">
      <c r="A5288" s="158">
        <v>46054</v>
      </c>
      <c r="B5288" s="159" t="s">
        <v>43</v>
      </c>
      <c r="C5288" s="160" t="s">
        <v>15</v>
      </c>
      <c r="D5288" s="161">
        <v>100</v>
      </c>
      <c r="E5288" s="161">
        <v>100</v>
      </c>
      <c r="F5288" s="164" t="s">
        <v>19</v>
      </c>
      <c r="G5288" s="165">
        <v>46204</v>
      </c>
      <c r="H5288" s="162" t="s">
        <v>1958</v>
      </c>
      <c r="I5288" s="163">
        <v>8900</v>
      </c>
      <c r="J5288" s="24">
        <v>1</v>
      </c>
      <c r="K5288" s="24"/>
      <c r="L5288" s="91">
        <v>0</v>
      </c>
      <c r="M5288" s="24"/>
      <c r="N5288" s="94">
        <f t="shared" si="213"/>
        <v>1</v>
      </c>
      <c r="O5288" s="156">
        <f t="shared" si="211"/>
        <v>8900</v>
      </c>
      <c r="P5288" s="10">
        <v>338</v>
      </c>
      <c r="Q5288" s="10" t="s">
        <v>1928</v>
      </c>
      <c r="R5288" s="157">
        <f>+テーブル1[[#This Row],[合計金額]]*テーブル1[[#This Row],[自社報酬率％]]/100</f>
        <v>8900</v>
      </c>
    </row>
    <row r="5289" spans="1:18">
      <c r="A5289" s="158">
        <v>46054</v>
      </c>
      <c r="B5289" s="159" t="s">
        <v>43</v>
      </c>
      <c r="C5289" s="160" t="s">
        <v>15</v>
      </c>
      <c r="D5289" s="161">
        <v>100</v>
      </c>
      <c r="E5289" s="161">
        <v>100</v>
      </c>
      <c r="F5289" s="76" t="s">
        <v>19</v>
      </c>
      <c r="G5289" s="86">
        <v>46235</v>
      </c>
      <c r="H5289" s="162" t="s">
        <v>1959</v>
      </c>
      <c r="I5289" s="163">
        <v>8900</v>
      </c>
      <c r="J5289" s="77">
        <v>1</v>
      </c>
      <c r="K5289" s="24"/>
      <c r="L5289" s="92">
        <v>0</v>
      </c>
      <c r="M5289" s="24"/>
      <c r="N5289" s="95">
        <f t="shared" si="213"/>
        <v>1</v>
      </c>
      <c r="O5289" s="156">
        <f t="shared" si="211"/>
        <v>8900</v>
      </c>
      <c r="P5289" s="10">
        <v>339</v>
      </c>
      <c r="Q5289" s="10" t="s">
        <v>1928</v>
      </c>
      <c r="R5289" s="157">
        <f>+テーブル1[[#This Row],[合計金額]]*テーブル1[[#This Row],[自社報酬率％]]/100</f>
        <v>8900</v>
      </c>
    </row>
    <row r="5290" spans="1:18">
      <c r="A5290" s="158">
        <v>46054</v>
      </c>
      <c r="B5290" s="159" t="s">
        <v>43</v>
      </c>
      <c r="C5290" s="160" t="s">
        <v>15</v>
      </c>
      <c r="D5290" s="161">
        <v>100</v>
      </c>
      <c r="E5290" s="161">
        <v>100</v>
      </c>
      <c r="F5290" s="164" t="s">
        <v>16</v>
      </c>
      <c r="G5290" s="165">
        <v>46082</v>
      </c>
      <c r="H5290" s="162" t="s">
        <v>1960</v>
      </c>
      <c r="I5290" s="163">
        <v>11000</v>
      </c>
      <c r="J5290" s="24">
        <v>1</v>
      </c>
      <c r="K5290" s="24"/>
      <c r="L5290" s="91">
        <v>0</v>
      </c>
      <c r="M5290" s="24"/>
      <c r="N5290" s="12">
        <f t="shared" si="213"/>
        <v>1</v>
      </c>
      <c r="O5290" s="156">
        <f t="shared" si="211"/>
        <v>11000</v>
      </c>
      <c r="P5290" s="10">
        <v>340</v>
      </c>
      <c r="Q5290" s="10" t="s">
        <v>1928</v>
      </c>
      <c r="R5290" s="157">
        <f>+テーブル1[[#This Row],[合計金額]]*テーブル1[[#This Row],[自社報酬率％]]/100</f>
        <v>11000</v>
      </c>
    </row>
    <row r="5291" spans="1:18">
      <c r="A5291" s="158">
        <v>46054</v>
      </c>
      <c r="B5291" s="159" t="s">
        <v>43</v>
      </c>
      <c r="C5291" s="160" t="s">
        <v>15</v>
      </c>
      <c r="D5291" s="161">
        <v>100</v>
      </c>
      <c r="E5291" s="161">
        <v>100</v>
      </c>
      <c r="F5291" s="164" t="s">
        <v>16</v>
      </c>
      <c r="G5291" s="165">
        <v>46082</v>
      </c>
      <c r="H5291" s="162" t="s">
        <v>1961</v>
      </c>
      <c r="I5291" s="163">
        <v>3000</v>
      </c>
      <c r="J5291" s="24">
        <v>8</v>
      </c>
      <c r="K5291" s="24"/>
      <c r="L5291" s="91">
        <v>0</v>
      </c>
      <c r="M5291" s="24"/>
      <c r="N5291" s="12">
        <f t="shared" si="213"/>
        <v>8</v>
      </c>
      <c r="O5291" s="156">
        <f t="shared" si="211"/>
        <v>24000</v>
      </c>
      <c r="P5291" s="10">
        <v>341</v>
      </c>
      <c r="Q5291" s="10" t="s">
        <v>1928</v>
      </c>
      <c r="R5291" s="157">
        <f>+テーブル1[[#This Row],[合計金額]]*テーブル1[[#This Row],[自社報酬率％]]/100</f>
        <v>24000</v>
      </c>
    </row>
    <row r="5292" spans="1:18">
      <c r="A5292" s="158">
        <v>46054</v>
      </c>
      <c r="B5292" s="159" t="s">
        <v>43</v>
      </c>
      <c r="C5292" s="160" t="s">
        <v>15</v>
      </c>
      <c r="D5292" s="161">
        <v>100</v>
      </c>
      <c r="E5292" s="161">
        <v>100</v>
      </c>
      <c r="F5292" s="82" t="s">
        <v>20</v>
      </c>
      <c r="G5292" s="87">
        <v>46054</v>
      </c>
      <c r="H5292" s="162" t="s">
        <v>3475</v>
      </c>
      <c r="I5292" s="163">
        <v>3000</v>
      </c>
      <c r="J5292" s="77">
        <v>11</v>
      </c>
      <c r="K5292" s="24"/>
      <c r="L5292" s="92">
        <v>0</v>
      </c>
      <c r="M5292" s="24"/>
      <c r="N5292" s="96">
        <f t="shared" si="213"/>
        <v>11</v>
      </c>
      <c r="O5292" s="156">
        <f t="shared" si="211"/>
        <v>33000</v>
      </c>
      <c r="P5292" s="10">
        <v>342</v>
      </c>
      <c r="Q5292" s="10" t="s">
        <v>1928</v>
      </c>
      <c r="R5292" s="157">
        <f>+テーブル1[[#This Row],[合計金額]]*テーブル1[[#This Row],[自社報酬率％]]/100</f>
        <v>33000</v>
      </c>
    </row>
    <row r="5293" spans="1:18">
      <c r="A5293" s="158">
        <v>46054</v>
      </c>
      <c r="B5293" s="159" t="s">
        <v>43</v>
      </c>
      <c r="C5293" s="79" t="s">
        <v>1962</v>
      </c>
      <c r="D5293" s="161">
        <v>50</v>
      </c>
      <c r="E5293" s="161">
        <v>50</v>
      </c>
      <c r="F5293" s="72" t="s">
        <v>17</v>
      </c>
      <c r="G5293" s="85">
        <v>46082</v>
      </c>
      <c r="H5293" s="162" t="s">
        <v>3476</v>
      </c>
      <c r="I5293" s="163">
        <v>3960</v>
      </c>
      <c r="J5293" s="73">
        <v>1</v>
      </c>
      <c r="K5293" s="24"/>
      <c r="L5293" s="90">
        <v>0</v>
      </c>
      <c r="M5293" s="24"/>
      <c r="N5293" s="93">
        <f t="shared" si="213"/>
        <v>1</v>
      </c>
      <c r="O5293" s="156">
        <f t="shared" si="211"/>
        <v>3960</v>
      </c>
      <c r="P5293" s="10">
        <v>343</v>
      </c>
      <c r="Q5293" s="10" t="s">
        <v>1928</v>
      </c>
      <c r="R5293" s="157">
        <f>+テーブル1[[#This Row],[合計金額]]*テーブル1[[#This Row],[自社報酬率％]]/100</f>
        <v>1980</v>
      </c>
    </row>
    <row r="5294" spans="1:18">
      <c r="A5294" s="158">
        <v>46054</v>
      </c>
      <c r="B5294" s="159" t="s">
        <v>43</v>
      </c>
      <c r="C5294" s="80" t="s">
        <v>1962</v>
      </c>
      <c r="D5294" s="161">
        <v>50</v>
      </c>
      <c r="E5294" s="161">
        <v>50</v>
      </c>
      <c r="F5294" s="164" t="s">
        <v>17</v>
      </c>
      <c r="G5294" s="165">
        <v>46113</v>
      </c>
      <c r="H5294" s="162" t="s">
        <v>3477</v>
      </c>
      <c r="I5294" s="163">
        <v>3960</v>
      </c>
      <c r="J5294" s="24">
        <v>1</v>
      </c>
      <c r="K5294" s="24"/>
      <c r="L5294" s="91">
        <v>0</v>
      </c>
      <c r="M5294" s="24"/>
      <c r="N5294" s="94">
        <f t="shared" si="213"/>
        <v>1</v>
      </c>
      <c r="O5294" s="156">
        <f t="shared" si="211"/>
        <v>3960</v>
      </c>
      <c r="P5294" s="10">
        <v>344</v>
      </c>
      <c r="Q5294" s="10" t="s">
        <v>1928</v>
      </c>
      <c r="R5294" s="157">
        <f>+テーブル1[[#This Row],[合計金額]]*テーブル1[[#This Row],[自社報酬率％]]/100</f>
        <v>1980</v>
      </c>
    </row>
    <row r="5295" spans="1:18">
      <c r="A5295" s="158">
        <v>46054</v>
      </c>
      <c r="B5295" s="159" t="s">
        <v>43</v>
      </c>
      <c r="C5295" s="80" t="s">
        <v>1962</v>
      </c>
      <c r="D5295" s="161">
        <v>50</v>
      </c>
      <c r="E5295" s="161">
        <v>50</v>
      </c>
      <c r="F5295" s="164" t="s">
        <v>17</v>
      </c>
      <c r="G5295" s="165">
        <v>46143</v>
      </c>
      <c r="H5295" s="162" t="s">
        <v>3478</v>
      </c>
      <c r="I5295" s="163">
        <v>3960</v>
      </c>
      <c r="J5295" s="24">
        <v>1</v>
      </c>
      <c r="K5295" s="24"/>
      <c r="L5295" s="91">
        <v>0</v>
      </c>
      <c r="M5295" s="24"/>
      <c r="N5295" s="94">
        <f t="shared" si="213"/>
        <v>1</v>
      </c>
      <c r="O5295" s="156">
        <f t="shared" si="211"/>
        <v>3960</v>
      </c>
      <c r="P5295" s="10">
        <v>345</v>
      </c>
      <c r="Q5295" s="10" t="s">
        <v>1928</v>
      </c>
      <c r="R5295" s="157">
        <f>+テーブル1[[#This Row],[合計金額]]*テーブル1[[#This Row],[自社報酬率％]]/100</f>
        <v>1980</v>
      </c>
    </row>
    <row r="5296" spans="1:18">
      <c r="A5296" s="158">
        <v>46054</v>
      </c>
      <c r="B5296" s="159" t="s">
        <v>43</v>
      </c>
      <c r="C5296" s="80" t="s">
        <v>1962</v>
      </c>
      <c r="D5296" s="161">
        <v>50</v>
      </c>
      <c r="E5296" s="161">
        <v>50</v>
      </c>
      <c r="F5296" s="164" t="s">
        <v>17</v>
      </c>
      <c r="G5296" s="165">
        <v>46174</v>
      </c>
      <c r="H5296" s="162" t="s">
        <v>3479</v>
      </c>
      <c r="I5296" s="163">
        <v>3960</v>
      </c>
      <c r="J5296" s="24">
        <v>1</v>
      </c>
      <c r="K5296" s="24"/>
      <c r="L5296" s="91">
        <v>0</v>
      </c>
      <c r="M5296" s="24"/>
      <c r="N5296" s="94">
        <f t="shared" si="213"/>
        <v>1</v>
      </c>
      <c r="O5296" s="156">
        <f t="shared" si="211"/>
        <v>3960</v>
      </c>
      <c r="P5296" s="10">
        <v>346</v>
      </c>
      <c r="Q5296" s="10" t="s">
        <v>1928</v>
      </c>
      <c r="R5296" s="157">
        <f>+テーブル1[[#This Row],[合計金額]]*テーブル1[[#This Row],[自社報酬率％]]/100</f>
        <v>1980</v>
      </c>
    </row>
    <row r="5297" spans="1:18">
      <c r="A5297" s="158">
        <v>46054</v>
      </c>
      <c r="B5297" s="159" t="s">
        <v>43</v>
      </c>
      <c r="C5297" s="80" t="s">
        <v>1962</v>
      </c>
      <c r="D5297" s="161">
        <v>50</v>
      </c>
      <c r="E5297" s="161">
        <v>50</v>
      </c>
      <c r="F5297" s="164" t="s">
        <v>17</v>
      </c>
      <c r="G5297" s="165">
        <v>46204</v>
      </c>
      <c r="H5297" s="162" t="s">
        <v>3480</v>
      </c>
      <c r="I5297" s="163">
        <v>3960</v>
      </c>
      <c r="J5297" s="24">
        <v>1</v>
      </c>
      <c r="K5297" s="24"/>
      <c r="L5297" s="91">
        <v>0</v>
      </c>
      <c r="M5297" s="24"/>
      <c r="N5297" s="94">
        <f t="shared" si="213"/>
        <v>1</v>
      </c>
      <c r="O5297" s="156">
        <f t="shared" si="211"/>
        <v>3960</v>
      </c>
      <c r="P5297" s="10">
        <v>347</v>
      </c>
      <c r="Q5297" s="10" t="s">
        <v>1928</v>
      </c>
      <c r="R5297" s="157">
        <f>+テーブル1[[#This Row],[合計金額]]*テーブル1[[#This Row],[自社報酬率％]]/100</f>
        <v>1980</v>
      </c>
    </row>
    <row r="5298" spans="1:18">
      <c r="A5298" s="158">
        <v>46054</v>
      </c>
      <c r="B5298" s="159" t="s">
        <v>43</v>
      </c>
      <c r="C5298" s="80" t="s">
        <v>1962</v>
      </c>
      <c r="D5298" s="161">
        <v>50</v>
      </c>
      <c r="E5298" s="161">
        <v>50</v>
      </c>
      <c r="F5298" s="164" t="s">
        <v>17</v>
      </c>
      <c r="G5298" s="165">
        <v>46235</v>
      </c>
      <c r="H5298" s="162" t="s">
        <v>3481</v>
      </c>
      <c r="I5298" s="163">
        <v>3960</v>
      </c>
      <c r="J5298" s="24">
        <v>1</v>
      </c>
      <c r="K5298" s="24"/>
      <c r="L5298" s="91">
        <v>0</v>
      </c>
      <c r="M5298" s="24"/>
      <c r="N5298" s="94">
        <f t="shared" si="213"/>
        <v>1</v>
      </c>
      <c r="O5298" s="156">
        <f t="shared" si="211"/>
        <v>3960</v>
      </c>
      <c r="P5298" s="10">
        <v>348</v>
      </c>
      <c r="Q5298" s="10" t="s">
        <v>1928</v>
      </c>
      <c r="R5298" s="157">
        <f>+テーブル1[[#This Row],[合計金額]]*テーブル1[[#This Row],[自社報酬率％]]/100</f>
        <v>1980</v>
      </c>
    </row>
    <row r="5299" spans="1:18">
      <c r="A5299" s="158">
        <v>46054</v>
      </c>
      <c r="B5299" s="159" t="s">
        <v>43</v>
      </c>
      <c r="C5299" s="80" t="s">
        <v>1962</v>
      </c>
      <c r="D5299" s="161">
        <v>50</v>
      </c>
      <c r="E5299" s="161">
        <v>50</v>
      </c>
      <c r="F5299" s="164" t="s">
        <v>17</v>
      </c>
      <c r="G5299" s="165">
        <v>46266</v>
      </c>
      <c r="H5299" s="162" t="s">
        <v>3482</v>
      </c>
      <c r="I5299" s="163">
        <v>3960</v>
      </c>
      <c r="J5299" s="24">
        <v>1</v>
      </c>
      <c r="K5299" s="24"/>
      <c r="L5299" s="91">
        <v>0</v>
      </c>
      <c r="M5299" s="24"/>
      <c r="N5299" s="94">
        <f t="shared" si="213"/>
        <v>1</v>
      </c>
      <c r="O5299" s="156">
        <f t="shared" ref="O5299:O5362" si="214">+I5299*N5299</f>
        <v>3960</v>
      </c>
      <c r="P5299" s="10">
        <v>349</v>
      </c>
      <c r="Q5299" s="10" t="s">
        <v>1928</v>
      </c>
      <c r="R5299" s="157">
        <f>+テーブル1[[#This Row],[合計金額]]*テーブル1[[#This Row],[自社報酬率％]]/100</f>
        <v>1980</v>
      </c>
    </row>
    <row r="5300" spans="1:18">
      <c r="A5300" s="158">
        <v>46054</v>
      </c>
      <c r="B5300" s="159" t="s">
        <v>43</v>
      </c>
      <c r="C5300" s="80" t="s">
        <v>1962</v>
      </c>
      <c r="D5300" s="161">
        <v>50</v>
      </c>
      <c r="E5300" s="161">
        <v>50</v>
      </c>
      <c r="F5300" s="164" t="s">
        <v>17</v>
      </c>
      <c r="G5300" s="165">
        <v>46296</v>
      </c>
      <c r="H5300" s="162" t="s">
        <v>3483</v>
      </c>
      <c r="I5300" s="163">
        <v>3960</v>
      </c>
      <c r="J5300" s="24">
        <v>1</v>
      </c>
      <c r="K5300" s="24"/>
      <c r="L5300" s="91">
        <v>0</v>
      </c>
      <c r="M5300" s="24"/>
      <c r="N5300" s="94">
        <f t="shared" si="213"/>
        <v>1</v>
      </c>
      <c r="O5300" s="156">
        <f t="shared" si="214"/>
        <v>3960</v>
      </c>
      <c r="P5300" s="10">
        <v>350</v>
      </c>
      <c r="Q5300" s="10" t="s">
        <v>1928</v>
      </c>
      <c r="R5300" s="157">
        <f>+テーブル1[[#This Row],[合計金額]]*テーブル1[[#This Row],[自社報酬率％]]/100</f>
        <v>1980</v>
      </c>
    </row>
    <row r="5301" spans="1:18">
      <c r="A5301" s="158">
        <v>46054</v>
      </c>
      <c r="B5301" s="159" t="s">
        <v>43</v>
      </c>
      <c r="C5301" s="80" t="s">
        <v>1962</v>
      </c>
      <c r="D5301" s="161">
        <v>50</v>
      </c>
      <c r="E5301" s="161">
        <v>50</v>
      </c>
      <c r="F5301" s="164" t="s">
        <v>17</v>
      </c>
      <c r="G5301" s="165">
        <v>46327</v>
      </c>
      <c r="H5301" s="162" t="s">
        <v>3484</v>
      </c>
      <c r="I5301" s="163">
        <v>3960</v>
      </c>
      <c r="J5301" s="24">
        <v>1</v>
      </c>
      <c r="K5301" s="24"/>
      <c r="L5301" s="91">
        <v>0</v>
      </c>
      <c r="M5301" s="24"/>
      <c r="N5301" s="94">
        <f t="shared" si="213"/>
        <v>1</v>
      </c>
      <c r="O5301" s="156">
        <f t="shared" si="214"/>
        <v>3960</v>
      </c>
      <c r="P5301" s="10">
        <v>351</v>
      </c>
      <c r="Q5301" s="10" t="s">
        <v>1928</v>
      </c>
      <c r="R5301" s="157">
        <f>+テーブル1[[#This Row],[合計金額]]*テーブル1[[#This Row],[自社報酬率％]]/100</f>
        <v>1980</v>
      </c>
    </row>
    <row r="5302" spans="1:18">
      <c r="A5302" s="158">
        <v>46054</v>
      </c>
      <c r="B5302" s="159" t="s">
        <v>43</v>
      </c>
      <c r="C5302" s="80" t="s">
        <v>1962</v>
      </c>
      <c r="D5302" s="161">
        <v>50</v>
      </c>
      <c r="E5302" s="161">
        <v>50</v>
      </c>
      <c r="F5302" s="164" t="s">
        <v>17</v>
      </c>
      <c r="G5302" s="165">
        <v>46357</v>
      </c>
      <c r="H5302" s="162" t="s">
        <v>3485</v>
      </c>
      <c r="I5302" s="163">
        <v>3960</v>
      </c>
      <c r="J5302" s="24">
        <v>1</v>
      </c>
      <c r="K5302" s="24"/>
      <c r="L5302" s="91">
        <v>0</v>
      </c>
      <c r="M5302" s="24"/>
      <c r="N5302" s="94">
        <f t="shared" si="213"/>
        <v>1</v>
      </c>
      <c r="O5302" s="156">
        <f t="shared" si="214"/>
        <v>3960</v>
      </c>
      <c r="P5302" s="10">
        <v>352</v>
      </c>
      <c r="Q5302" s="10" t="s">
        <v>3188</v>
      </c>
      <c r="R5302" s="157">
        <f>+テーブル1[[#This Row],[合計金額]]*テーブル1[[#This Row],[自社報酬率％]]/100</f>
        <v>1980</v>
      </c>
    </row>
    <row r="5303" spans="1:18">
      <c r="A5303" s="158">
        <v>46054</v>
      </c>
      <c r="B5303" s="159" t="s">
        <v>43</v>
      </c>
      <c r="C5303" s="80" t="s">
        <v>1962</v>
      </c>
      <c r="D5303" s="161">
        <v>50</v>
      </c>
      <c r="E5303" s="161">
        <v>50</v>
      </c>
      <c r="F5303" s="164" t="s">
        <v>17</v>
      </c>
      <c r="G5303" s="165">
        <v>46388</v>
      </c>
      <c r="H5303" s="162" t="s">
        <v>3486</v>
      </c>
      <c r="I5303" s="163">
        <v>3960</v>
      </c>
      <c r="J5303" s="24">
        <v>1</v>
      </c>
      <c r="K5303" s="24"/>
      <c r="L5303" s="91">
        <v>0</v>
      </c>
      <c r="M5303" s="24"/>
      <c r="N5303" s="94">
        <f t="shared" si="213"/>
        <v>1</v>
      </c>
      <c r="O5303" s="156">
        <f t="shared" si="214"/>
        <v>3960</v>
      </c>
      <c r="P5303" s="10">
        <v>353</v>
      </c>
      <c r="Q5303" s="10" t="s">
        <v>3188</v>
      </c>
      <c r="R5303" s="157">
        <f>+テーブル1[[#This Row],[合計金額]]*テーブル1[[#This Row],[自社報酬率％]]/100</f>
        <v>1980</v>
      </c>
    </row>
    <row r="5304" spans="1:18">
      <c r="A5304" s="158">
        <v>46054</v>
      </c>
      <c r="B5304" s="159" t="s">
        <v>43</v>
      </c>
      <c r="C5304" s="81" t="s">
        <v>1962</v>
      </c>
      <c r="D5304" s="161">
        <v>50</v>
      </c>
      <c r="E5304" s="161">
        <v>50</v>
      </c>
      <c r="F5304" s="76" t="s">
        <v>17</v>
      </c>
      <c r="G5304" s="86">
        <v>46419</v>
      </c>
      <c r="H5304" s="162" t="s">
        <v>3487</v>
      </c>
      <c r="I5304" s="163">
        <v>3960</v>
      </c>
      <c r="J5304" s="77">
        <v>1</v>
      </c>
      <c r="K5304" s="24"/>
      <c r="L5304" s="92">
        <v>0</v>
      </c>
      <c r="M5304" s="24"/>
      <c r="N5304" s="95">
        <f t="shared" si="213"/>
        <v>1</v>
      </c>
      <c r="O5304" s="156">
        <f t="shared" si="214"/>
        <v>3960</v>
      </c>
      <c r="P5304" s="10">
        <v>354</v>
      </c>
      <c r="Q5304" s="10" t="s">
        <v>3188</v>
      </c>
      <c r="R5304" s="157">
        <f>+テーブル1[[#This Row],[合計金額]]*テーブル1[[#This Row],[自社報酬率％]]/100</f>
        <v>1980</v>
      </c>
    </row>
    <row r="5305" spans="1:18">
      <c r="A5305" s="158">
        <v>46054</v>
      </c>
      <c r="B5305" s="159" t="s">
        <v>43</v>
      </c>
      <c r="C5305" s="166" t="s">
        <v>1962</v>
      </c>
      <c r="D5305" s="161">
        <v>50</v>
      </c>
      <c r="E5305" s="161">
        <v>50</v>
      </c>
      <c r="F5305" s="166" t="s">
        <v>19</v>
      </c>
      <c r="G5305" s="167">
        <v>46054</v>
      </c>
      <c r="H5305" s="162" t="s">
        <v>1975</v>
      </c>
      <c r="I5305" s="163">
        <v>432300</v>
      </c>
      <c r="J5305" s="24">
        <v>14</v>
      </c>
      <c r="K5305" s="24"/>
      <c r="L5305" s="91">
        <v>0</v>
      </c>
      <c r="M5305" s="24"/>
      <c r="N5305" s="12">
        <f t="shared" si="213"/>
        <v>14</v>
      </c>
      <c r="O5305" s="156">
        <f t="shared" si="214"/>
        <v>6052200</v>
      </c>
      <c r="P5305" s="10">
        <v>355</v>
      </c>
      <c r="Q5305" s="10" t="s">
        <v>1928</v>
      </c>
      <c r="R5305" s="157">
        <f>+テーブル1[[#This Row],[合計金額]]*テーブル1[[#This Row],[自社報酬率％]]/100</f>
        <v>3026100</v>
      </c>
    </row>
    <row r="5306" spans="1:18">
      <c r="A5306" s="158">
        <v>46054</v>
      </c>
      <c r="B5306" s="159" t="s">
        <v>43</v>
      </c>
      <c r="C5306" s="166" t="s">
        <v>1962</v>
      </c>
      <c r="D5306" s="161">
        <v>50</v>
      </c>
      <c r="E5306" s="161">
        <v>50</v>
      </c>
      <c r="F5306" s="166" t="s">
        <v>19</v>
      </c>
      <c r="G5306" s="167">
        <v>46054</v>
      </c>
      <c r="H5306" s="162" t="s">
        <v>1976</v>
      </c>
      <c r="I5306" s="163">
        <v>72050</v>
      </c>
      <c r="J5306" s="24">
        <v>55</v>
      </c>
      <c r="K5306" s="24"/>
      <c r="L5306" s="91">
        <v>0</v>
      </c>
      <c r="M5306" s="24"/>
      <c r="N5306" s="12">
        <f t="shared" si="213"/>
        <v>55</v>
      </c>
      <c r="O5306" s="156">
        <f t="shared" si="214"/>
        <v>3962750</v>
      </c>
      <c r="P5306" s="10">
        <v>356</v>
      </c>
      <c r="Q5306" s="10" t="s">
        <v>1928</v>
      </c>
      <c r="R5306" s="157">
        <f>+テーブル1[[#This Row],[合計金額]]*テーブル1[[#This Row],[自社報酬率％]]/100</f>
        <v>1981375</v>
      </c>
    </row>
    <row r="5307" spans="1:18">
      <c r="A5307" s="158">
        <v>46054</v>
      </c>
      <c r="B5307" s="159" t="s">
        <v>43</v>
      </c>
      <c r="C5307" s="166" t="s">
        <v>1962</v>
      </c>
      <c r="D5307" s="161">
        <v>50</v>
      </c>
      <c r="E5307" s="161">
        <v>50</v>
      </c>
      <c r="F5307" s="166" t="s">
        <v>19</v>
      </c>
      <c r="G5307" s="167">
        <v>46054</v>
      </c>
      <c r="H5307" s="162" t="s">
        <v>1977</v>
      </c>
      <c r="I5307" s="163">
        <v>216150</v>
      </c>
      <c r="J5307" s="24">
        <v>4</v>
      </c>
      <c r="K5307" s="24"/>
      <c r="L5307" s="91">
        <v>0</v>
      </c>
      <c r="M5307" s="24"/>
      <c r="N5307" s="12">
        <f t="shared" si="213"/>
        <v>4</v>
      </c>
      <c r="O5307" s="156">
        <f t="shared" si="214"/>
        <v>864600</v>
      </c>
      <c r="P5307" s="10">
        <v>357</v>
      </c>
      <c r="Q5307" s="10" t="s">
        <v>1928</v>
      </c>
      <c r="R5307" s="157">
        <f>+テーブル1[[#This Row],[合計金額]]*テーブル1[[#This Row],[自社報酬率％]]/100</f>
        <v>432300</v>
      </c>
    </row>
    <row r="5308" spans="1:18">
      <c r="A5308" s="158">
        <v>46054</v>
      </c>
      <c r="B5308" s="159" t="s">
        <v>43</v>
      </c>
      <c r="C5308" s="166" t="s">
        <v>1962</v>
      </c>
      <c r="D5308" s="161">
        <v>50</v>
      </c>
      <c r="E5308" s="161">
        <v>50</v>
      </c>
      <c r="F5308" s="166" t="s">
        <v>19</v>
      </c>
      <c r="G5308" s="167">
        <v>46054</v>
      </c>
      <c r="H5308" s="162" t="s">
        <v>1978</v>
      </c>
      <c r="I5308" s="163">
        <v>144100</v>
      </c>
      <c r="J5308" s="24">
        <v>2</v>
      </c>
      <c r="K5308" s="24"/>
      <c r="L5308" s="91">
        <v>0</v>
      </c>
      <c r="M5308" s="24"/>
      <c r="N5308" s="12">
        <f t="shared" si="213"/>
        <v>2</v>
      </c>
      <c r="O5308" s="156">
        <f t="shared" si="214"/>
        <v>288200</v>
      </c>
      <c r="P5308" s="10">
        <v>358</v>
      </c>
      <c r="Q5308" s="10" t="s">
        <v>1928</v>
      </c>
      <c r="R5308" s="157">
        <f>+テーブル1[[#This Row],[合計金額]]*テーブル1[[#This Row],[自社報酬率％]]/100</f>
        <v>144100</v>
      </c>
    </row>
    <row r="5309" spans="1:18">
      <c r="A5309" s="158">
        <v>46054</v>
      </c>
      <c r="B5309" s="159" t="s">
        <v>43</v>
      </c>
      <c r="C5309" s="166" t="s">
        <v>1962</v>
      </c>
      <c r="D5309" s="161">
        <v>50</v>
      </c>
      <c r="E5309" s="161">
        <v>50</v>
      </c>
      <c r="F5309" s="166" t="s">
        <v>19</v>
      </c>
      <c r="G5309" s="167">
        <v>46054</v>
      </c>
      <c r="H5309" s="162" t="s">
        <v>1979</v>
      </c>
      <c r="I5309" s="163">
        <v>72050</v>
      </c>
      <c r="J5309" s="24">
        <v>9</v>
      </c>
      <c r="K5309" s="24"/>
      <c r="L5309" s="91">
        <v>0</v>
      </c>
      <c r="M5309" s="24"/>
      <c r="N5309" s="12">
        <f t="shared" si="213"/>
        <v>9</v>
      </c>
      <c r="O5309" s="156">
        <f t="shared" si="214"/>
        <v>648450</v>
      </c>
      <c r="P5309" s="10">
        <v>359</v>
      </c>
      <c r="Q5309" s="10" t="s">
        <v>1928</v>
      </c>
      <c r="R5309" s="157">
        <f>+テーブル1[[#This Row],[合計金額]]*テーブル1[[#This Row],[自社報酬率％]]/100</f>
        <v>324225</v>
      </c>
    </row>
    <row r="5310" spans="1:18">
      <c r="A5310" s="158">
        <v>46054</v>
      </c>
      <c r="B5310" s="159" t="s">
        <v>43</v>
      </c>
      <c r="C5310" s="166" t="s">
        <v>1962</v>
      </c>
      <c r="D5310" s="161">
        <v>50</v>
      </c>
      <c r="E5310" s="161">
        <v>50</v>
      </c>
      <c r="F5310" s="166" t="s">
        <v>19</v>
      </c>
      <c r="G5310" s="167">
        <v>46054</v>
      </c>
      <c r="H5310" s="162" t="s">
        <v>1982</v>
      </c>
      <c r="I5310" s="163">
        <v>91700</v>
      </c>
      <c r="J5310" s="24">
        <v>3</v>
      </c>
      <c r="K5310" s="24"/>
      <c r="L5310" s="91">
        <v>0</v>
      </c>
      <c r="M5310" s="24"/>
      <c r="N5310" s="12">
        <f t="shared" si="213"/>
        <v>3</v>
      </c>
      <c r="O5310" s="156">
        <f t="shared" si="214"/>
        <v>275100</v>
      </c>
      <c r="P5310" s="10">
        <v>360</v>
      </c>
      <c r="Q5310" s="10" t="s">
        <v>1928</v>
      </c>
      <c r="R5310" s="157">
        <f>+テーブル1[[#This Row],[合計金額]]*テーブル1[[#This Row],[自社報酬率％]]/100</f>
        <v>137550</v>
      </c>
    </row>
    <row r="5311" spans="1:18">
      <c r="A5311" s="158">
        <v>46054</v>
      </c>
      <c r="B5311" s="159" t="s">
        <v>43</v>
      </c>
      <c r="C5311" s="166" t="s">
        <v>1962</v>
      </c>
      <c r="D5311" s="161">
        <v>50</v>
      </c>
      <c r="E5311" s="161">
        <v>50</v>
      </c>
      <c r="F5311" s="166" t="s">
        <v>19</v>
      </c>
      <c r="G5311" s="167">
        <v>46054</v>
      </c>
      <c r="H5311" s="162" t="s">
        <v>1983</v>
      </c>
      <c r="I5311" s="163">
        <v>91700</v>
      </c>
      <c r="J5311" s="24">
        <v>1</v>
      </c>
      <c r="K5311" s="24"/>
      <c r="L5311" s="91">
        <v>0</v>
      </c>
      <c r="M5311" s="24"/>
      <c r="N5311" s="12">
        <f t="shared" ref="N5311:N5374" si="215">J5311-L5311</f>
        <v>1</v>
      </c>
      <c r="O5311" s="156">
        <f t="shared" si="214"/>
        <v>91700</v>
      </c>
      <c r="P5311" s="10">
        <v>361</v>
      </c>
      <c r="Q5311" s="10" t="s">
        <v>1928</v>
      </c>
      <c r="R5311" s="157">
        <f>+テーブル1[[#This Row],[合計金額]]*テーブル1[[#This Row],[自社報酬率％]]/100</f>
        <v>45850</v>
      </c>
    </row>
    <row r="5312" spans="1:18">
      <c r="A5312" s="158">
        <v>46054</v>
      </c>
      <c r="B5312" s="159" t="s">
        <v>43</v>
      </c>
      <c r="C5312" s="166" t="s">
        <v>1962</v>
      </c>
      <c r="D5312" s="161">
        <v>50</v>
      </c>
      <c r="E5312" s="161">
        <v>50</v>
      </c>
      <c r="F5312" s="166" t="s">
        <v>19</v>
      </c>
      <c r="G5312" s="167">
        <v>46054</v>
      </c>
      <c r="H5312" s="162" t="s">
        <v>3488</v>
      </c>
      <c r="I5312" s="163">
        <v>360250</v>
      </c>
      <c r="J5312" s="24">
        <v>1</v>
      </c>
      <c r="K5312" s="24"/>
      <c r="L5312" s="91">
        <v>0</v>
      </c>
      <c r="M5312" s="24"/>
      <c r="N5312" s="12">
        <f t="shared" si="215"/>
        <v>1</v>
      </c>
      <c r="O5312" s="156">
        <f t="shared" si="214"/>
        <v>360250</v>
      </c>
      <c r="P5312" s="10">
        <v>362</v>
      </c>
      <c r="Q5312" s="10" t="s">
        <v>1928</v>
      </c>
      <c r="R5312" s="157">
        <f>+テーブル1[[#This Row],[合計金額]]*テーブル1[[#This Row],[自社報酬率％]]/100</f>
        <v>180125</v>
      </c>
    </row>
    <row r="5313" spans="1:18">
      <c r="A5313" s="158">
        <v>46054</v>
      </c>
      <c r="B5313" s="159" t="s">
        <v>43</v>
      </c>
      <c r="C5313" s="166" t="s">
        <v>1962</v>
      </c>
      <c r="D5313" s="161">
        <v>50</v>
      </c>
      <c r="E5313" s="161">
        <v>50</v>
      </c>
      <c r="F5313" s="166" t="s">
        <v>19</v>
      </c>
      <c r="G5313" s="167">
        <v>46054</v>
      </c>
      <c r="H5313" s="162" t="s">
        <v>3489</v>
      </c>
      <c r="I5313" s="163">
        <v>432300</v>
      </c>
      <c r="J5313" s="24">
        <v>93</v>
      </c>
      <c r="K5313" s="24"/>
      <c r="L5313" s="91">
        <v>0</v>
      </c>
      <c r="M5313" s="24"/>
      <c r="N5313" s="12">
        <f t="shared" si="215"/>
        <v>93</v>
      </c>
      <c r="O5313" s="156">
        <f t="shared" si="214"/>
        <v>40203900</v>
      </c>
      <c r="P5313" s="10">
        <v>363</v>
      </c>
      <c r="Q5313" s="10" t="s">
        <v>1928</v>
      </c>
      <c r="R5313" s="157">
        <f>+テーブル1[[#This Row],[合計金額]]*テーブル1[[#This Row],[自社報酬率％]]/100</f>
        <v>20101950</v>
      </c>
    </row>
    <row r="5314" spans="1:18">
      <c r="A5314" s="158">
        <v>46054</v>
      </c>
      <c r="B5314" s="159" t="s">
        <v>43</v>
      </c>
      <c r="C5314" s="166" t="s">
        <v>1962</v>
      </c>
      <c r="D5314" s="161">
        <v>50</v>
      </c>
      <c r="E5314" s="161">
        <v>50</v>
      </c>
      <c r="F5314" s="166" t="s">
        <v>19</v>
      </c>
      <c r="G5314" s="167">
        <v>46054</v>
      </c>
      <c r="H5314" s="162" t="s">
        <v>3490</v>
      </c>
      <c r="I5314" s="163">
        <v>216150</v>
      </c>
      <c r="J5314" s="24">
        <v>13</v>
      </c>
      <c r="K5314" s="24"/>
      <c r="L5314" s="91">
        <v>0</v>
      </c>
      <c r="M5314" s="24"/>
      <c r="N5314" s="12">
        <f t="shared" si="215"/>
        <v>13</v>
      </c>
      <c r="O5314" s="156">
        <f t="shared" si="214"/>
        <v>2809950</v>
      </c>
      <c r="P5314" s="10">
        <v>364</v>
      </c>
      <c r="Q5314" s="10" t="s">
        <v>1928</v>
      </c>
      <c r="R5314" s="157">
        <f>+テーブル1[[#This Row],[合計金額]]*テーブル1[[#This Row],[自社報酬率％]]/100</f>
        <v>1404975</v>
      </c>
    </row>
    <row r="5315" spans="1:18">
      <c r="A5315" s="158">
        <v>46054</v>
      </c>
      <c r="B5315" s="159" t="s">
        <v>43</v>
      </c>
      <c r="C5315" s="166" t="s">
        <v>1962</v>
      </c>
      <c r="D5315" s="161">
        <v>50</v>
      </c>
      <c r="E5315" s="161">
        <v>50</v>
      </c>
      <c r="F5315" s="166" t="s">
        <v>19</v>
      </c>
      <c r="G5315" s="167">
        <v>46054</v>
      </c>
      <c r="H5315" s="162" t="s">
        <v>3491</v>
      </c>
      <c r="I5315" s="163">
        <v>144100</v>
      </c>
      <c r="J5315" s="24">
        <v>13</v>
      </c>
      <c r="K5315" s="24"/>
      <c r="L5315" s="91">
        <v>0</v>
      </c>
      <c r="M5315" s="24"/>
      <c r="N5315" s="12">
        <f t="shared" si="215"/>
        <v>13</v>
      </c>
      <c r="O5315" s="156">
        <f t="shared" si="214"/>
        <v>1873300</v>
      </c>
      <c r="P5315" s="10">
        <v>365</v>
      </c>
      <c r="Q5315" s="10" t="s">
        <v>1928</v>
      </c>
      <c r="R5315" s="157">
        <f>+テーブル1[[#This Row],[合計金額]]*テーブル1[[#This Row],[自社報酬率％]]/100</f>
        <v>936650</v>
      </c>
    </row>
    <row r="5316" spans="1:18">
      <c r="A5316" s="158">
        <v>46054</v>
      </c>
      <c r="B5316" s="159" t="s">
        <v>43</v>
      </c>
      <c r="C5316" s="166" t="s">
        <v>1962</v>
      </c>
      <c r="D5316" s="161">
        <v>50</v>
      </c>
      <c r="E5316" s="161">
        <v>50</v>
      </c>
      <c r="F5316" s="166" t="s">
        <v>19</v>
      </c>
      <c r="G5316" s="167">
        <v>46054</v>
      </c>
      <c r="H5316" s="162" t="s">
        <v>3492</v>
      </c>
      <c r="I5316" s="163">
        <v>72050</v>
      </c>
      <c r="J5316" s="24">
        <v>96</v>
      </c>
      <c r="K5316" s="24"/>
      <c r="L5316" s="91">
        <v>0</v>
      </c>
      <c r="M5316" s="24"/>
      <c r="N5316" s="12">
        <f t="shared" si="215"/>
        <v>96</v>
      </c>
      <c r="O5316" s="156">
        <f t="shared" si="214"/>
        <v>6916800</v>
      </c>
      <c r="P5316" s="10">
        <v>366</v>
      </c>
      <c r="Q5316" s="10" t="s">
        <v>1928</v>
      </c>
      <c r="R5316" s="157">
        <f>+テーブル1[[#This Row],[合計金額]]*テーブル1[[#This Row],[自社報酬率％]]/100</f>
        <v>3458400</v>
      </c>
    </row>
    <row r="5317" spans="1:18">
      <c r="A5317" s="158">
        <v>46054</v>
      </c>
      <c r="B5317" s="159" t="s">
        <v>43</v>
      </c>
      <c r="C5317" s="166" t="s">
        <v>1962</v>
      </c>
      <c r="D5317" s="161">
        <v>50</v>
      </c>
      <c r="E5317" s="161">
        <v>50</v>
      </c>
      <c r="F5317" s="166" t="s">
        <v>19</v>
      </c>
      <c r="G5317" s="167">
        <v>46054</v>
      </c>
      <c r="H5317" s="162" t="s">
        <v>3493</v>
      </c>
      <c r="I5317" s="163">
        <v>117700</v>
      </c>
      <c r="J5317" s="24">
        <v>3</v>
      </c>
      <c r="K5317" s="24"/>
      <c r="L5317" s="91">
        <v>0</v>
      </c>
      <c r="M5317" s="24"/>
      <c r="N5317" s="12">
        <f t="shared" si="215"/>
        <v>3</v>
      </c>
      <c r="O5317" s="156">
        <f t="shared" si="214"/>
        <v>353100</v>
      </c>
      <c r="P5317" s="10">
        <v>367</v>
      </c>
      <c r="Q5317" s="10" t="s">
        <v>1928</v>
      </c>
      <c r="R5317" s="157">
        <f>+テーブル1[[#This Row],[合計金額]]*テーブル1[[#This Row],[自社報酬率％]]/100</f>
        <v>176550</v>
      </c>
    </row>
    <row r="5318" spans="1:18">
      <c r="A5318" s="158">
        <v>46054</v>
      </c>
      <c r="B5318" s="159" t="s">
        <v>43</v>
      </c>
      <c r="C5318" s="166" t="s">
        <v>1962</v>
      </c>
      <c r="D5318" s="161">
        <v>50</v>
      </c>
      <c r="E5318" s="161">
        <v>50</v>
      </c>
      <c r="F5318" s="166" t="s">
        <v>19</v>
      </c>
      <c r="G5318" s="167">
        <v>46054</v>
      </c>
      <c r="H5318" s="162" t="s">
        <v>3494</v>
      </c>
      <c r="I5318" s="163">
        <v>58850</v>
      </c>
      <c r="J5318" s="24">
        <v>1</v>
      </c>
      <c r="K5318" s="24"/>
      <c r="L5318" s="91">
        <v>0</v>
      </c>
      <c r="M5318" s="24"/>
      <c r="N5318" s="12">
        <f t="shared" si="215"/>
        <v>1</v>
      </c>
      <c r="O5318" s="156">
        <f t="shared" si="214"/>
        <v>58850</v>
      </c>
      <c r="P5318" s="10">
        <v>368</v>
      </c>
      <c r="Q5318" s="10" t="s">
        <v>1928</v>
      </c>
      <c r="R5318" s="157">
        <f>+テーブル1[[#This Row],[合計金額]]*テーブル1[[#This Row],[自社報酬率％]]/100</f>
        <v>29425</v>
      </c>
    </row>
    <row r="5319" spans="1:18">
      <c r="A5319" s="158">
        <v>46054</v>
      </c>
      <c r="B5319" s="159" t="s">
        <v>43</v>
      </c>
      <c r="C5319" s="166" t="s">
        <v>1962</v>
      </c>
      <c r="D5319" s="161">
        <v>50</v>
      </c>
      <c r="E5319" s="161">
        <v>50</v>
      </c>
      <c r="F5319" s="166" t="s">
        <v>19</v>
      </c>
      <c r="G5319" s="167">
        <v>46054</v>
      </c>
      <c r="H5319" s="162" t="s">
        <v>3495</v>
      </c>
      <c r="I5319" s="163">
        <v>19620</v>
      </c>
      <c r="J5319" s="24">
        <v>2</v>
      </c>
      <c r="K5319" s="24"/>
      <c r="L5319" s="91">
        <v>0</v>
      </c>
      <c r="M5319" s="24"/>
      <c r="N5319" s="12">
        <f t="shared" si="215"/>
        <v>2</v>
      </c>
      <c r="O5319" s="156">
        <f t="shared" si="214"/>
        <v>39240</v>
      </c>
      <c r="P5319" s="10">
        <v>369</v>
      </c>
      <c r="Q5319" s="10" t="s">
        <v>1928</v>
      </c>
      <c r="R5319" s="157">
        <f>+テーブル1[[#This Row],[合計金額]]*テーブル1[[#This Row],[自社報酬率％]]/100</f>
        <v>19620</v>
      </c>
    </row>
    <row r="5320" spans="1:18">
      <c r="A5320" s="158">
        <v>46054</v>
      </c>
      <c r="B5320" s="159" t="s">
        <v>43</v>
      </c>
      <c r="C5320" s="166" t="s">
        <v>1962</v>
      </c>
      <c r="D5320" s="161">
        <v>50</v>
      </c>
      <c r="E5320" s="161">
        <v>50</v>
      </c>
      <c r="F5320" s="166" t="s">
        <v>19</v>
      </c>
      <c r="G5320" s="167">
        <v>46054</v>
      </c>
      <c r="H5320" s="162" t="s">
        <v>3496</v>
      </c>
      <c r="I5320" s="163">
        <v>550000</v>
      </c>
      <c r="J5320" s="24">
        <v>9</v>
      </c>
      <c r="K5320" s="24"/>
      <c r="L5320" s="91">
        <v>0</v>
      </c>
      <c r="M5320" s="24"/>
      <c r="N5320" s="12">
        <f t="shared" si="215"/>
        <v>9</v>
      </c>
      <c r="O5320" s="156">
        <f t="shared" si="214"/>
        <v>4950000</v>
      </c>
      <c r="P5320" s="10">
        <v>370</v>
      </c>
      <c r="Q5320" s="10" t="s">
        <v>1928</v>
      </c>
      <c r="R5320" s="157">
        <f>+テーブル1[[#This Row],[合計金額]]*テーブル1[[#This Row],[自社報酬率％]]/100</f>
        <v>2475000</v>
      </c>
    </row>
    <row r="5321" spans="1:18">
      <c r="A5321" s="158">
        <v>46054</v>
      </c>
      <c r="B5321" s="159" t="s">
        <v>43</v>
      </c>
      <c r="C5321" s="166" t="s">
        <v>1962</v>
      </c>
      <c r="D5321" s="161">
        <v>50</v>
      </c>
      <c r="E5321" s="161">
        <v>50</v>
      </c>
      <c r="F5321" s="166" t="s">
        <v>19</v>
      </c>
      <c r="G5321" s="167">
        <v>46054</v>
      </c>
      <c r="H5321" s="162" t="s">
        <v>3497</v>
      </c>
      <c r="I5321" s="163">
        <v>275000</v>
      </c>
      <c r="J5321" s="24">
        <v>1</v>
      </c>
      <c r="K5321" s="24"/>
      <c r="L5321" s="91">
        <v>0</v>
      </c>
      <c r="M5321" s="24"/>
      <c r="N5321" s="12">
        <f t="shared" si="215"/>
        <v>1</v>
      </c>
      <c r="O5321" s="156">
        <f t="shared" si="214"/>
        <v>275000</v>
      </c>
      <c r="P5321" s="10">
        <v>371</v>
      </c>
      <c r="Q5321" s="10" t="s">
        <v>1928</v>
      </c>
      <c r="R5321" s="157">
        <f>+テーブル1[[#This Row],[合計金額]]*テーブル1[[#This Row],[自社報酬率％]]/100</f>
        <v>137500</v>
      </c>
    </row>
    <row r="5322" spans="1:18">
      <c r="A5322" s="158">
        <v>46054</v>
      </c>
      <c r="B5322" s="159" t="s">
        <v>43</v>
      </c>
      <c r="C5322" s="166" t="s">
        <v>1962</v>
      </c>
      <c r="D5322" s="161">
        <v>50</v>
      </c>
      <c r="E5322" s="161">
        <v>50</v>
      </c>
      <c r="F5322" s="166" t="s">
        <v>19</v>
      </c>
      <c r="G5322" s="167">
        <v>46054</v>
      </c>
      <c r="H5322" s="162" t="s">
        <v>3498</v>
      </c>
      <c r="I5322" s="163">
        <v>183400</v>
      </c>
      <c r="J5322" s="24">
        <v>3</v>
      </c>
      <c r="K5322" s="24"/>
      <c r="L5322" s="91">
        <v>0</v>
      </c>
      <c r="M5322" s="24"/>
      <c r="N5322" s="12">
        <f t="shared" si="215"/>
        <v>3</v>
      </c>
      <c r="O5322" s="156">
        <f t="shared" si="214"/>
        <v>550200</v>
      </c>
      <c r="P5322" s="10">
        <v>372</v>
      </c>
      <c r="Q5322" s="10" t="s">
        <v>1928</v>
      </c>
      <c r="R5322" s="157">
        <f>+テーブル1[[#This Row],[合計金額]]*テーブル1[[#This Row],[自社報酬率％]]/100</f>
        <v>275100</v>
      </c>
    </row>
    <row r="5323" spans="1:18">
      <c r="A5323" s="158">
        <v>46054</v>
      </c>
      <c r="B5323" s="159" t="s">
        <v>43</v>
      </c>
      <c r="C5323" s="166" t="s">
        <v>1962</v>
      </c>
      <c r="D5323" s="161">
        <v>50</v>
      </c>
      <c r="E5323" s="161">
        <v>50</v>
      </c>
      <c r="F5323" s="166" t="s">
        <v>19</v>
      </c>
      <c r="G5323" s="167">
        <v>46054</v>
      </c>
      <c r="H5323" s="162" t="s">
        <v>3499</v>
      </c>
      <c r="I5323" s="163">
        <v>91700</v>
      </c>
      <c r="J5323" s="24">
        <v>4</v>
      </c>
      <c r="K5323" s="24"/>
      <c r="L5323" s="91">
        <v>0</v>
      </c>
      <c r="M5323" s="24"/>
      <c r="N5323" s="12">
        <f t="shared" si="215"/>
        <v>4</v>
      </c>
      <c r="O5323" s="156">
        <f t="shared" si="214"/>
        <v>366800</v>
      </c>
      <c r="P5323" s="10">
        <v>373</v>
      </c>
      <c r="Q5323" s="10" t="s">
        <v>1928</v>
      </c>
      <c r="R5323" s="157">
        <f>+テーブル1[[#This Row],[合計金額]]*テーブル1[[#This Row],[自社報酬率％]]/100</f>
        <v>183400</v>
      </c>
    </row>
    <row r="5324" spans="1:18">
      <c r="A5324" s="158">
        <v>46054</v>
      </c>
      <c r="B5324" s="159" t="s">
        <v>43</v>
      </c>
      <c r="C5324" s="166" t="s">
        <v>1962</v>
      </c>
      <c r="D5324" s="161">
        <v>50</v>
      </c>
      <c r="E5324" s="161">
        <v>50</v>
      </c>
      <c r="F5324" s="166" t="s">
        <v>19</v>
      </c>
      <c r="G5324" s="167">
        <v>46054</v>
      </c>
      <c r="H5324" s="162" t="s">
        <v>3500</v>
      </c>
      <c r="I5324" s="163">
        <v>1000</v>
      </c>
      <c r="J5324" s="24">
        <v>361</v>
      </c>
      <c r="K5324" s="24"/>
      <c r="L5324" s="91">
        <v>0</v>
      </c>
      <c r="M5324" s="24"/>
      <c r="N5324" s="12">
        <f t="shared" si="215"/>
        <v>361</v>
      </c>
      <c r="O5324" s="156">
        <f t="shared" si="214"/>
        <v>361000</v>
      </c>
      <c r="P5324" s="10">
        <v>374</v>
      </c>
      <c r="Q5324" s="10" t="s">
        <v>1928</v>
      </c>
      <c r="R5324" s="157">
        <f>+テーブル1[[#This Row],[合計金額]]*テーブル1[[#This Row],[自社報酬率％]]/100</f>
        <v>180500</v>
      </c>
    </row>
    <row r="5325" spans="1:18">
      <c r="A5325" s="158">
        <v>46054</v>
      </c>
      <c r="B5325" s="159" t="s">
        <v>43</v>
      </c>
      <c r="C5325" s="166" t="s">
        <v>1962</v>
      </c>
      <c r="D5325" s="161">
        <v>50</v>
      </c>
      <c r="E5325" s="161">
        <v>50</v>
      </c>
      <c r="F5325" s="166" t="s">
        <v>19</v>
      </c>
      <c r="G5325" s="167">
        <v>46054</v>
      </c>
      <c r="H5325" s="162" t="s">
        <v>3501</v>
      </c>
      <c r="I5325" s="163">
        <v>126820</v>
      </c>
      <c r="J5325" s="24">
        <v>32</v>
      </c>
      <c r="K5325" s="24"/>
      <c r="L5325" s="91">
        <v>0</v>
      </c>
      <c r="M5325" s="24"/>
      <c r="N5325" s="12">
        <f t="shared" si="215"/>
        <v>32</v>
      </c>
      <c r="O5325" s="156">
        <f t="shared" si="214"/>
        <v>4058240</v>
      </c>
      <c r="P5325" s="10">
        <v>375</v>
      </c>
      <c r="Q5325" s="10" t="s">
        <v>1928</v>
      </c>
      <c r="R5325" s="157">
        <f>+テーブル1[[#This Row],[合計金額]]*テーブル1[[#This Row],[自社報酬率％]]/100</f>
        <v>2029120</v>
      </c>
    </row>
    <row r="5326" spans="1:18">
      <c r="A5326" s="158">
        <v>46054</v>
      </c>
      <c r="B5326" s="159" t="s">
        <v>43</v>
      </c>
      <c r="C5326" s="166" t="s">
        <v>1962</v>
      </c>
      <c r="D5326" s="161">
        <v>50</v>
      </c>
      <c r="E5326" s="161">
        <v>50</v>
      </c>
      <c r="F5326" s="166" t="s">
        <v>19</v>
      </c>
      <c r="G5326" s="167">
        <v>46054</v>
      </c>
      <c r="H5326" s="162" t="s">
        <v>3502</v>
      </c>
      <c r="I5326" s="163">
        <v>63410</v>
      </c>
      <c r="J5326" s="24">
        <v>5</v>
      </c>
      <c r="K5326" s="24"/>
      <c r="L5326" s="91">
        <v>0</v>
      </c>
      <c r="M5326" s="24"/>
      <c r="N5326" s="12">
        <f t="shared" si="215"/>
        <v>5</v>
      </c>
      <c r="O5326" s="156">
        <f t="shared" si="214"/>
        <v>317050</v>
      </c>
      <c r="P5326" s="10">
        <v>376</v>
      </c>
      <c r="Q5326" s="10" t="s">
        <v>1928</v>
      </c>
      <c r="R5326" s="157">
        <f>+テーブル1[[#This Row],[合計金額]]*テーブル1[[#This Row],[自社報酬率％]]/100</f>
        <v>158525</v>
      </c>
    </row>
    <row r="5327" spans="1:18">
      <c r="A5327" s="158">
        <v>46054</v>
      </c>
      <c r="B5327" s="159" t="s">
        <v>43</v>
      </c>
      <c r="C5327" s="166" t="s">
        <v>1962</v>
      </c>
      <c r="D5327" s="161">
        <v>50</v>
      </c>
      <c r="E5327" s="161">
        <v>50</v>
      </c>
      <c r="F5327" s="166" t="s">
        <v>19</v>
      </c>
      <c r="G5327" s="167">
        <v>46054</v>
      </c>
      <c r="H5327" s="162" t="s">
        <v>3503</v>
      </c>
      <c r="I5327" s="163">
        <v>42280</v>
      </c>
      <c r="J5327" s="24">
        <v>1</v>
      </c>
      <c r="K5327" s="24"/>
      <c r="L5327" s="91">
        <v>0</v>
      </c>
      <c r="M5327" s="24"/>
      <c r="N5327" s="12">
        <f t="shared" si="215"/>
        <v>1</v>
      </c>
      <c r="O5327" s="156">
        <f t="shared" si="214"/>
        <v>42280</v>
      </c>
      <c r="P5327" s="10">
        <v>377</v>
      </c>
      <c r="Q5327" s="10" t="s">
        <v>1928</v>
      </c>
      <c r="R5327" s="157">
        <f>+テーブル1[[#This Row],[合計金額]]*テーブル1[[#This Row],[自社報酬率％]]/100</f>
        <v>21140</v>
      </c>
    </row>
    <row r="5328" spans="1:18">
      <c r="A5328" s="158">
        <v>46054</v>
      </c>
      <c r="B5328" s="159" t="s">
        <v>43</v>
      </c>
      <c r="C5328" s="166" t="s">
        <v>1962</v>
      </c>
      <c r="D5328" s="161">
        <v>50</v>
      </c>
      <c r="E5328" s="161">
        <v>50</v>
      </c>
      <c r="F5328" s="166" t="s">
        <v>19</v>
      </c>
      <c r="G5328" s="167">
        <v>46054</v>
      </c>
      <c r="H5328" s="162" t="s">
        <v>3504</v>
      </c>
      <c r="I5328" s="163">
        <v>21140</v>
      </c>
      <c r="J5328" s="24">
        <v>19</v>
      </c>
      <c r="K5328" s="24"/>
      <c r="L5328" s="91">
        <v>0</v>
      </c>
      <c r="M5328" s="24"/>
      <c r="N5328" s="12">
        <f t="shared" si="215"/>
        <v>19</v>
      </c>
      <c r="O5328" s="156">
        <f t="shared" si="214"/>
        <v>401660</v>
      </c>
      <c r="P5328" s="10">
        <v>378</v>
      </c>
      <c r="Q5328" s="10" t="s">
        <v>1928</v>
      </c>
      <c r="R5328" s="157">
        <f>+テーブル1[[#This Row],[合計金額]]*テーブル1[[#This Row],[自社報酬率％]]/100</f>
        <v>200830</v>
      </c>
    </row>
    <row r="5329" spans="1:18">
      <c r="A5329" s="158">
        <v>46054</v>
      </c>
      <c r="B5329" s="159" t="s">
        <v>43</v>
      </c>
      <c r="C5329" s="164" t="s">
        <v>1962</v>
      </c>
      <c r="D5329" s="161">
        <v>50</v>
      </c>
      <c r="E5329" s="161">
        <v>50</v>
      </c>
      <c r="F5329" s="164" t="s">
        <v>16</v>
      </c>
      <c r="G5329" s="165">
        <v>46082</v>
      </c>
      <c r="H5329" s="162" t="s">
        <v>1985</v>
      </c>
      <c r="I5329" s="163">
        <v>13200</v>
      </c>
      <c r="J5329" s="24">
        <v>8</v>
      </c>
      <c r="K5329" s="24"/>
      <c r="L5329" s="91">
        <v>0</v>
      </c>
      <c r="M5329" s="24"/>
      <c r="N5329" s="12">
        <f t="shared" si="215"/>
        <v>8</v>
      </c>
      <c r="O5329" s="156">
        <f t="shared" si="214"/>
        <v>105600</v>
      </c>
      <c r="P5329" s="10">
        <v>379</v>
      </c>
      <c r="Q5329" s="10" t="s">
        <v>1928</v>
      </c>
      <c r="R5329" s="157">
        <f>+テーブル1[[#This Row],[合計金額]]*テーブル1[[#This Row],[自社報酬率％]]/100</f>
        <v>52800</v>
      </c>
    </row>
    <row r="5330" spans="1:18">
      <c r="A5330" s="158">
        <v>46054</v>
      </c>
      <c r="B5330" s="159" t="s">
        <v>43</v>
      </c>
      <c r="C5330" s="164" t="s">
        <v>1962</v>
      </c>
      <c r="D5330" s="161">
        <v>50</v>
      </c>
      <c r="E5330" s="161">
        <v>50</v>
      </c>
      <c r="F5330" s="164" t="s">
        <v>16</v>
      </c>
      <c r="G5330" s="165">
        <v>46082</v>
      </c>
      <c r="H5330" s="162" t="s">
        <v>1985</v>
      </c>
      <c r="I5330" s="163">
        <v>14500</v>
      </c>
      <c r="J5330" s="24">
        <v>22</v>
      </c>
      <c r="K5330" s="24"/>
      <c r="L5330" s="91">
        <v>0</v>
      </c>
      <c r="M5330" s="24"/>
      <c r="N5330" s="12">
        <f t="shared" si="215"/>
        <v>22</v>
      </c>
      <c r="O5330" s="156">
        <f t="shared" si="214"/>
        <v>319000</v>
      </c>
      <c r="P5330" s="10">
        <v>380</v>
      </c>
      <c r="Q5330" s="10" t="s">
        <v>1928</v>
      </c>
      <c r="R5330" s="157">
        <f>+テーブル1[[#This Row],[合計金額]]*テーブル1[[#This Row],[自社報酬率％]]/100</f>
        <v>159500</v>
      </c>
    </row>
    <row r="5331" spans="1:18">
      <c r="A5331" s="158">
        <v>46054</v>
      </c>
      <c r="B5331" s="159" t="s">
        <v>43</v>
      </c>
      <c r="C5331" s="164" t="s">
        <v>1962</v>
      </c>
      <c r="D5331" s="161">
        <v>50</v>
      </c>
      <c r="E5331" s="161">
        <v>50</v>
      </c>
      <c r="F5331" s="164" t="s">
        <v>16</v>
      </c>
      <c r="G5331" s="165">
        <v>46082</v>
      </c>
      <c r="H5331" s="162" t="s">
        <v>1986</v>
      </c>
      <c r="I5331" s="163">
        <v>4830</v>
      </c>
      <c r="J5331" s="24">
        <v>2</v>
      </c>
      <c r="K5331" s="24"/>
      <c r="L5331" s="91">
        <v>0</v>
      </c>
      <c r="M5331" s="24"/>
      <c r="N5331" s="12">
        <f t="shared" si="215"/>
        <v>2</v>
      </c>
      <c r="O5331" s="156">
        <f t="shared" si="214"/>
        <v>9660</v>
      </c>
      <c r="P5331" s="10">
        <v>381</v>
      </c>
      <c r="Q5331" s="10" t="s">
        <v>1928</v>
      </c>
      <c r="R5331" s="157">
        <f>+テーブル1[[#This Row],[合計金額]]*テーブル1[[#This Row],[自社報酬率％]]/100</f>
        <v>4830</v>
      </c>
    </row>
    <row r="5332" spans="1:18">
      <c r="A5332" s="158">
        <v>46054</v>
      </c>
      <c r="B5332" s="159" t="s">
        <v>43</v>
      </c>
      <c r="C5332" s="166" t="s">
        <v>1962</v>
      </c>
      <c r="D5332" s="161">
        <v>50</v>
      </c>
      <c r="E5332" s="161">
        <v>50</v>
      </c>
      <c r="F5332" s="166" t="s">
        <v>20</v>
      </c>
      <c r="G5332" s="167">
        <v>46054</v>
      </c>
      <c r="H5332" s="162" t="s">
        <v>3505</v>
      </c>
      <c r="I5332" s="163">
        <v>117700</v>
      </c>
      <c r="J5332" s="24">
        <v>1</v>
      </c>
      <c r="K5332" s="24"/>
      <c r="L5332" s="91">
        <v>0</v>
      </c>
      <c r="M5332" s="24"/>
      <c r="N5332" s="12">
        <f t="shared" si="215"/>
        <v>1</v>
      </c>
      <c r="O5332" s="156">
        <f t="shared" si="214"/>
        <v>117700</v>
      </c>
      <c r="P5332" s="10">
        <v>382</v>
      </c>
      <c r="Q5332" s="10" t="s">
        <v>1928</v>
      </c>
      <c r="R5332" s="157">
        <f>+テーブル1[[#This Row],[合計金額]]*テーブル1[[#This Row],[自社報酬率％]]/100</f>
        <v>58850</v>
      </c>
    </row>
    <row r="5333" spans="1:18">
      <c r="A5333" s="158">
        <v>46054</v>
      </c>
      <c r="B5333" s="159" t="s">
        <v>43</v>
      </c>
      <c r="C5333" s="166" t="s">
        <v>1962</v>
      </c>
      <c r="D5333" s="161">
        <v>50</v>
      </c>
      <c r="E5333" s="161">
        <v>50</v>
      </c>
      <c r="F5333" s="166" t="s">
        <v>20</v>
      </c>
      <c r="G5333" s="167">
        <v>46054</v>
      </c>
      <c r="H5333" s="162" t="s">
        <v>2171</v>
      </c>
      <c r="I5333" s="163">
        <v>9780</v>
      </c>
      <c r="J5333" s="24">
        <v>15</v>
      </c>
      <c r="K5333" s="24"/>
      <c r="L5333" s="91">
        <v>0</v>
      </c>
      <c r="M5333" s="24"/>
      <c r="N5333" s="12">
        <f t="shared" si="215"/>
        <v>15</v>
      </c>
      <c r="O5333" s="156">
        <f t="shared" si="214"/>
        <v>146700</v>
      </c>
      <c r="P5333" s="10">
        <v>383</v>
      </c>
      <c r="Q5333" s="10" t="s">
        <v>1928</v>
      </c>
      <c r="R5333" s="157">
        <f>+テーブル1[[#This Row],[合計金額]]*テーブル1[[#This Row],[自社報酬率％]]/100</f>
        <v>73350</v>
      </c>
    </row>
    <row r="5334" spans="1:18">
      <c r="A5334" s="158">
        <v>46054</v>
      </c>
      <c r="B5334" s="159" t="s">
        <v>43</v>
      </c>
      <c r="C5334" s="166" t="s">
        <v>1962</v>
      </c>
      <c r="D5334" s="161">
        <v>50</v>
      </c>
      <c r="E5334" s="161">
        <v>50</v>
      </c>
      <c r="F5334" s="166" t="s">
        <v>20</v>
      </c>
      <c r="G5334" s="167">
        <v>46054</v>
      </c>
      <c r="H5334" s="162" t="s">
        <v>3506</v>
      </c>
      <c r="I5334" s="163">
        <v>41470</v>
      </c>
      <c r="J5334" s="24">
        <v>21</v>
      </c>
      <c r="K5334" s="24"/>
      <c r="L5334" s="91">
        <v>0</v>
      </c>
      <c r="M5334" s="24"/>
      <c r="N5334" s="12">
        <f t="shared" si="215"/>
        <v>21</v>
      </c>
      <c r="O5334" s="156">
        <f t="shared" si="214"/>
        <v>870870</v>
      </c>
      <c r="P5334" s="10">
        <v>384</v>
      </c>
      <c r="Q5334" s="10" t="s">
        <v>1928</v>
      </c>
      <c r="R5334" s="157">
        <f>+テーブル1[[#This Row],[合計金額]]*テーブル1[[#This Row],[自社報酬率％]]/100</f>
        <v>435435</v>
      </c>
    </row>
    <row r="5335" spans="1:18">
      <c r="A5335" s="158">
        <v>46054</v>
      </c>
      <c r="B5335" s="159" t="s">
        <v>43</v>
      </c>
      <c r="C5335" s="166" t="s">
        <v>1962</v>
      </c>
      <c r="D5335" s="161">
        <v>50</v>
      </c>
      <c r="E5335" s="161">
        <v>50</v>
      </c>
      <c r="F5335" s="166" t="s">
        <v>20</v>
      </c>
      <c r="G5335" s="167">
        <v>46054</v>
      </c>
      <c r="H5335" s="162" t="s">
        <v>3507</v>
      </c>
      <c r="I5335" s="163">
        <v>9800</v>
      </c>
      <c r="J5335" s="24">
        <v>5</v>
      </c>
      <c r="K5335" s="24"/>
      <c r="L5335" s="91">
        <v>0</v>
      </c>
      <c r="M5335" s="24"/>
      <c r="N5335" s="12">
        <f t="shared" si="215"/>
        <v>5</v>
      </c>
      <c r="O5335" s="156">
        <f t="shared" si="214"/>
        <v>49000</v>
      </c>
      <c r="P5335" s="10">
        <v>385</v>
      </c>
      <c r="Q5335" s="10" t="s">
        <v>1928</v>
      </c>
      <c r="R5335" s="157">
        <f>+テーブル1[[#This Row],[合計金額]]*テーブル1[[#This Row],[自社報酬率％]]/100</f>
        <v>24500</v>
      </c>
    </row>
    <row r="5336" spans="1:18">
      <c r="A5336" s="158">
        <v>46054</v>
      </c>
      <c r="B5336" s="159" t="s">
        <v>43</v>
      </c>
      <c r="C5336" s="166" t="s">
        <v>1962</v>
      </c>
      <c r="D5336" s="161">
        <v>50</v>
      </c>
      <c r="E5336" s="161">
        <v>50</v>
      </c>
      <c r="F5336" s="166" t="s">
        <v>20</v>
      </c>
      <c r="G5336" s="167">
        <v>46054</v>
      </c>
      <c r="H5336" s="162" t="s">
        <v>3508</v>
      </c>
      <c r="I5336" s="163">
        <v>8294</v>
      </c>
      <c r="J5336" s="24">
        <v>11</v>
      </c>
      <c r="K5336" s="24"/>
      <c r="L5336" s="91">
        <v>0</v>
      </c>
      <c r="M5336" s="24"/>
      <c r="N5336" s="12">
        <f t="shared" si="215"/>
        <v>11</v>
      </c>
      <c r="O5336" s="156">
        <f t="shared" si="214"/>
        <v>91234</v>
      </c>
      <c r="P5336" s="10">
        <v>386</v>
      </c>
      <c r="Q5336" s="10" t="s">
        <v>1928</v>
      </c>
      <c r="R5336" s="157">
        <f>+テーブル1[[#This Row],[合計金額]]*テーブル1[[#This Row],[自社報酬率％]]/100</f>
        <v>45617</v>
      </c>
    </row>
    <row r="5337" spans="1:18">
      <c r="A5337" s="158">
        <v>46054</v>
      </c>
      <c r="B5337" s="159" t="s">
        <v>43</v>
      </c>
      <c r="C5337" s="79" t="s">
        <v>1962</v>
      </c>
      <c r="D5337" s="161">
        <v>55</v>
      </c>
      <c r="E5337" s="161">
        <v>45</v>
      </c>
      <c r="F5337" s="72" t="s">
        <v>17</v>
      </c>
      <c r="G5337" s="85">
        <v>46082</v>
      </c>
      <c r="H5337" s="162" t="s">
        <v>3509</v>
      </c>
      <c r="I5337" s="163">
        <v>9435</v>
      </c>
      <c r="J5337" s="73">
        <v>8</v>
      </c>
      <c r="K5337" s="24"/>
      <c r="L5337" s="90">
        <v>0</v>
      </c>
      <c r="M5337" s="24"/>
      <c r="N5337" s="93">
        <f t="shared" si="215"/>
        <v>8</v>
      </c>
      <c r="O5337" s="156">
        <f t="shared" si="214"/>
        <v>75480</v>
      </c>
      <c r="P5337" s="10">
        <v>387</v>
      </c>
      <c r="Q5337" s="10" t="s">
        <v>1928</v>
      </c>
      <c r="R5337" s="157">
        <f>+テーブル1[[#This Row],[合計金額]]*テーブル1[[#This Row],[自社報酬率％]]/100</f>
        <v>33966</v>
      </c>
    </row>
    <row r="5338" spans="1:18">
      <c r="A5338" s="158">
        <v>46054</v>
      </c>
      <c r="B5338" s="159" t="s">
        <v>43</v>
      </c>
      <c r="C5338" s="80" t="s">
        <v>1962</v>
      </c>
      <c r="D5338" s="161">
        <v>55</v>
      </c>
      <c r="E5338" s="161">
        <v>45</v>
      </c>
      <c r="F5338" s="164" t="s">
        <v>17</v>
      </c>
      <c r="G5338" s="165">
        <v>46113</v>
      </c>
      <c r="H5338" s="162" t="s">
        <v>3510</v>
      </c>
      <c r="I5338" s="163">
        <v>9435</v>
      </c>
      <c r="J5338" s="24">
        <v>8</v>
      </c>
      <c r="K5338" s="24"/>
      <c r="L5338" s="91">
        <v>0</v>
      </c>
      <c r="M5338" s="24"/>
      <c r="N5338" s="94">
        <f t="shared" si="215"/>
        <v>8</v>
      </c>
      <c r="O5338" s="156">
        <f t="shared" si="214"/>
        <v>75480</v>
      </c>
      <c r="P5338" s="10">
        <v>388</v>
      </c>
      <c r="Q5338" s="10" t="s">
        <v>1928</v>
      </c>
      <c r="R5338" s="157">
        <f>+テーブル1[[#This Row],[合計金額]]*テーブル1[[#This Row],[自社報酬率％]]/100</f>
        <v>33966</v>
      </c>
    </row>
    <row r="5339" spans="1:18">
      <c r="A5339" s="158">
        <v>46054</v>
      </c>
      <c r="B5339" s="159" t="s">
        <v>43</v>
      </c>
      <c r="C5339" s="80" t="s">
        <v>1962</v>
      </c>
      <c r="D5339" s="161">
        <v>55</v>
      </c>
      <c r="E5339" s="161">
        <v>45</v>
      </c>
      <c r="F5339" s="164" t="s">
        <v>17</v>
      </c>
      <c r="G5339" s="165">
        <v>46143</v>
      </c>
      <c r="H5339" s="162" t="s">
        <v>3511</v>
      </c>
      <c r="I5339" s="163">
        <v>9435</v>
      </c>
      <c r="J5339" s="24">
        <v>8</v>
      </c>
      <c r="K5339" s="24"/>
      <c r="L5339" s="91">
        <v>0</v>
      </c>
      <c r="M5339" s="24"/>
      <c r="N5339" s="94">
        <f t="shared" si="215"/>
        <v>8</v>
      </c>
      <c r="O5339" s="156">
        <f t="shared" si="214"/>
        <v>75480</v>
      </c>
      <c r="P5339" s="10">
        <v>389</v>
      </c>
      <c r="Q5339" s="10" t="s">
        <v>1928</v>
      </c>
      <c r="R5339" s="157">
        <f>+テーブル1[[#This Row],[合計金額]]*テーブル1[[#This Row],[自社報酬率％]]/100</f>
        <v>33966</v>
      </c>
    </row>
    <row r="5340" spans="1:18">
      <c r="A5340" s="158">
        <v>46054</v>
      </c>
      <c r="B5340" s="159" t="s">
        <v>43</v>
      </c>
      <c r="C5340" s="80" t="s">
        <v>1962</v>
      </c>
      <c r="D5340" s="161">
        <v>55</v>
      </c>
      <c r="E5340" s="161">
        <v>45</v>
      </c>
      <c r="F5340" s="164" t="s">
        <v>17</v>
      </c>
      <c r="G5340" s="165">
        <v>46174</v>
      </c>
      <c r="H5340" s="162" t="s">
        <v>3512</v>
      </c>
      <c r="I5340" s="163">
        <v>9435</v>
      </c>
      <c r="J5340" s="24">
        <v>8</v>
      </c>
      <c r="K5340" s="24"/>
      <c r="L5340" s="91">
        <v>0</v>
      </c>
      <c r="M5340" s="24"/>
      <c r="N5340" s="94">
        <f t="shared" si="215"/>
        <v>8</v>
      </c>
      <c r="O5340" s="156">
        <f t="shared" si="214"/>
        <v>75480</v>
      </c>
      <c r="P5340" s="10">
        <v>390</v>
      </c>
      <c r="Q5340" s="10" t="s">
        <v>1928</v>
      </c>
      <c r="R5340" s="157">
        <f>+テーブル1[[#This Row],[合計金額]]*テーブル1[[#This Row],[自社報酬率％]]/100</f>
        <v>33966</v>
      </c>
    </row>
    <row r="5341" spans="1:18">
      <c r="A5341" s="158">
        <v>46054</v>
      </c>
      <c r="B5341" s="159" t="s">
        <v>43</v>
      </c>
      <c r="C5341" s="80" t="s">
        <v>1962</v>
      </c>
      <c r="D5341" s="161">
        <v>55</v>
      </c>
      <c r="E5341" s="161">
        <v>45</v>
      </c>
      <c r="F5341" s="164" t="s">
        <v>17</v>
      </c>
      <c r="G5341" s="165">
        <v>46204</v>
      </c>
      <c r="H5341" s="162" t="s">
        <v>3513</v>
      </c>
      <c r="I5341" s="163">
        <v>9435</v>
      </c>
      <c r="J5341" s="24">
        <v>8</v>
      </c>
      <c r="K5341" s="24"/>
      <c r="L5341" s="91">
        <v>0</v>
      </c>
      <c r="M5341" s="24"/>
      <c r="N5341" s="94">
        <f t="shared" si="215"/>
        <v>8</v>
      </c>
      <c r="O5341" s="156">
        <f t="shared" si="214"/>
        <v>75480</v>
      </c>
      <c r="P5341" s="10">
        <v>391</v>
      </c>
      <c r="Q5341" s="10" t="s">
        <v>1928</v>
      </c>
      <c r="R5341" s="157">
        <f>+テーブル1[[#This Row],[合計金額]]*テーブル1[[#This Row],[自社報酬率％]]/100</f>
        <v>33966</v>
      </c>
    </row>
    <row r="5342" spans="1:18">
      <c r="A5342" s="158">
        <v>46054</v>
      </c>
      <c r="B5342" s="159" t="s">
        <v>43</v>
      </c>
      <c r="C5342" s="80" t="s">
        <v>1962</v>
      </c>
      <c r="D5342" s="161">
        <v>55</v>
      </c>
      <c r="E5342" s="161">
        <v>45</v>
      </c>
      <c r="F5342" s="164" t="s">
        <v>17</v>
      </c>
      <c r="G5342" s="165">
        <v>46235</v>
      </c>
      <c r="H5342" s="162" t="s">
        <v>3514</v>
      </c>
      <c r="I5342" s="163">
        <v>9435</v>
      </c>
      <c r="J5342" s="24">
        <v>8</v>
      </c>
      <c r="K5342" s="24"/>
      <c r="L5342" s="91">
        <v>0</v>
      </c>
      <c r="M5342" s="24"/>
      <c r="N5342" s="94">
        <f t="shared" si="215"/>
        <v>8</v>
      </c>
      <c r="O5342" s="156">
        <f t="shared" si="214"/>
        <v>75480</v>
      </c>
      <c r="P5342" s="10">
        <v>392</v>
      </c>
      <c r="Q5342" s="10" t="s">
        <v>1928</v>
      </c>
      <c r="R5342" s="157">
        <f>+テーブル1[[#This Row],[合計金額]]*テーブル1[[#This Row],[自社報酬率％]]/100</f>
        <v>33966</v>
      </c>
    </row>
    <row r="5343" spans="1:18">
      <c r="A5343" s="158">
        <v>46054</v>
      </c>
      <c r="B5343" s="159" t="s">
        <v>43</v>
      </c>
      <c r="C5343" s="80" t="s">
        <v>1962</v>
      </c>
      <c r="D5343" s="161">
        <v>55</v>
      </c>
      <c r="E5343" s="161">
        <v>45</v>
      </c>
      <c r="F5343" s="164" t="s">
        <v>17</v>
      </c>
      <c r="G5343" s="165">
        <v>46266</v>
      </c>
      <c r="H5343" s="162" t="s">
        <v>3515</v>
      </c>
      <c r="I5343" s="163">
        <v>9435</v>
      </c>
      <c r="J5343" s="24">
        <v>8</v>
      </c>
      <c r="K5343" s="24"/>
      <c r="L5343" s="91">
        <v>0</v>
      </c>
      <c r="M5343" s="24"/>
      <c r="N5343" s="94">
        <f t="shared" si="215"/>
        <v>8</v>
      </c>
      <c r="O5343" s="156">
        <f t="shared" si="214"/>
        <v>75480</v>
      </c>
      <c r="P5343" s="10">
        <v>393</v>
      </c>
      <c r="Q5343" s="10" t="s">
        <v>1928</v>
      </c>
      <c r="R5343" s="157">
        <f>+テーブル1[[#This Row],[合計金額]]*テーブル1[[#This Row],[自社報酬率％]]/100</f>
        <v>33966</v>
      </c>
    </row>
    <row r="5344" spans="1:18">
      <c r="A5344" s="158">
        <v>46054</v>
      </c>
      <c r="B5344" s="159" t="s">
        <v>43</v>
      </c>
      <c r="C5344" s="80" t="s">
        <v>1962</v>
      </c>
      <c r="D5344" s="161">
        <v>55</v>
      </c>
      <c r="E5344" s="161">
        <v>45</v>
      </c>
      <c r="F5344" s="164" t="s">
        <v>17</v>
      </c>
      <c r="G5344" s="165">
        <v>46296</v>
      </c>
      <c r="H5344" s="162" t="s">
        <v>3516</v>
      </c>
      <c r="I5344" s="163">
        <v>9435</v>
      </c>
      <c r="J5344" s="24">
        <v>8</v>
      </c>
      <c r="K5344" s="24"/>
      <c r="L5344" s="91">
        <v>0</v>
      </c>
      <c r="M5344" s="24"/>
      <c r="N5344" s="94">
        <f t="shared" si="215"/>
        <v>8</v>
      </c>
      <c r="O5344" s="156">
        <f t="shared" si="214"/>
        <v>75480</v>
      </c>
      <c r="P5344" s="10">
        <v>394</v>
      </c>
      <c r="Q5344" s="10" t="s">
        <v>1928</v>
      </c>
      <c r="R5344" s="157">
        <f>+テーブル1[[#This Row],[合計金額]]*テーブル1[[#This Row],[自社報酬率％]]/100</f>
        <v>33966</v>
      </c>
    </row>
    <row r="5345" spans="1:18">
      <c r="A5345" s="158">
        <v>46054</v>
      </c>
      <c r="B5345" s="159" t="s">
        <v>43</v>
      </c>
      <c r="C5345" s="80" t="s">
        <v>1962</v>
      </c>
      <c r="D5345" s="161">
        <v>55</v>
      </c>
      <c r="E5345" s="161">
        <v>45</v>
      </c>
      <c r="F5345" s="164" t="s">
        <v>17</v>
      </c>
      <c r="G5345" s="165">
        <v>46327</v>
      </c>
      <c r="H5345" s="162" t="s">
        <v>3517</v>
      </c>
      <c r="I5345" s="163">
        <v>9435</v>
      </c>
      <c r="J5345" s="24">
        <v>8</v>
      </c>
      <c r="K5345" s="24"/>
      <c r="L5345" s="91">
        <v>0</v>
      </c>
      <c r="M5345" s="24"/>
      <c r="N5345" s="94">
        <f t="shared" si="215"/>
        <v>8</v>
      </c>
      <c r="O5345" s="156">
        <f t="shared" si="214"/>
        <v>75480</v>
      </c>
      <c r="P5345" s="10">
        <v>395</v>
      </c>
      <c r="Q5345" s="10" t="s">
        <v>1928</v>
      </c>
      <c r="R5345" s="157">
        <f>+テーブル1[[#This Row],[合計金額]]*テーブル1[[#This Row],[自社報酬率％]]/100</f>
        <v>33966</v>
      </c>
    </row>
    <row r="5346" spans="1:18">
      <c r="A5346" s="158">
        <v>46054</v>
      </c>
      <c r="B5346" s="159" t="s">
        <v>43</v>
      </c>
      <c r="C5346" s="80" t="s">
        <v>1962</v>
      </c>
      <c r="D5346" s="161">
        <v>55</v>
      </c>
      <c r="E5346" s="161">
        <v>45</v>
      </c>
      <c r="F5346" s="164" t="s">
        <v>17</v>
      </c>
      <c r="G5346" s="165">
        <v>46357</v>
      </c>
      <c r="H5346" s="162" t="s">
        <v>3518</v>
      </c>
      <c r="I5346" s="163">
        <v>9435</v>
      </c>
      <c r="J5346" s="24">
        <v>8</v>
      </c>
      <c r="K5346" s="24"/>
      <c r="L5346" s="91">
        <v>0</v>
      </c>
      <c r="M5346" s="24"/>
      <c r="N5346" s="94">
        <f t="shared" si="215"/>
        <v>8</v>
      </c>
      <c r="O5346" s="156">
        <f t="shared" si="214"/>
        <v>75480</v>
      </c>
      <c r="P5346" s="10">
        <v>396</v>
      </c>
      <c r="Q5346" s="10" t="s">
        <v>3188</v>
      </c>
      <c r="R5346" s="157">
        <f>+テーブル1[[#This Row],[合計金額]]*テーブル1[[#This Row],[自社報酬率％]]/100</f>
        <v>33966</v>
      </c>
    </row>
    <row r="5347" spans="1:18">
      <c r="A5347" s="158">
        <v>46054</v>
      </c>
      <c r="B5347" s="159" t="s">
        <v>43</v>
      </c>
      <c r="C5347" s="80" t="s">
        <v>1962</v>
      </c>
      <c r="D5347" s="161">
        <v>55</v>
      </c>
      <c r="E5347" s="161">
        <v>45</v>
      </c>
      <c r="F5347" s="164" t="s">
        <v>17</v>
      </c>
      <c r="G5347" s="165">
        <v>46388</v>
      </c>
      <c r="H5347" s="162" t="s">
        <v>3519</v>
      </c>
      <c r="I5347" s="163">
        <v>9435</v>
      </c>
      <c r="J5347" s="24">
        <v>8</v>
      </c>
      <c r="K5347" s="24"/>
      <c r="L5347" s="91">
        <v>0</v>
      </c>
      <c r="M5347" s="24"/>
      <c r="N5347" s="94">
        <f t="shared" si="215"/>
        <v>8</v>
      </c>
      <c r="O5347" s="156">
        <f t="shared" si="214"/>
        <v>75480</v>
      </c>
      <c r="P5347" s="10">
        <v>397</v>
      </c>
      <c r="Q5347" s="10" t="s">
        <v>3188</v>
      </c>
      <c r="R5347" s="157">
        <f>+テーブル1[[#This Row],[合計金額]]*テーブル1[[#This Row],[自社報酬率％]]/100</f>
        <v>33966</v>
      </c>
    </row>
    <row r="5348" spans="1:18">
      <c r="A5348" s="158">
        <v>46054</v>
      </c>
      <c r="B5348" s="159" t="s">
        <v>43</v>
      </c>
      <c r="C5348" s="81" t="s">
        <v>1962</v>
      </c>
      <c r="D5348" s="161">
        <v>55</v>
      </c>
      <c r="E5348" s="161">
        <v>45</v>
      </c>
      <c r="F5348" s="76" t="s">
        <v>17</v>
      </c>
      <c r="G5348" s="86">
        <v>46419</v>
      </c>
      <c r="H5348" s="162" t="s">
        <v>3520</v>
      </c>
      <c r="I5348" s="163">
        <v>9435</v>
      </c>
      <c r="J5348" s="77">
        <v>8</v>
      </c>
      <c r="K5348" s="24"/>
      <c r="L5348" s="92">
        <v>0</v>
      </c>
      <c r="M5348" s="24"/>
      <c r="N5348" s="95">
        <f t="shared" si="215"/>
        <v>8</v>
      </c>
      <c r="O5348" s="156">
        <f t="shared" si="214"/>
        <v>75480</v>
      </c>
      <c r="P5348" s="10">
        <v>398</v>
      </c>
      <c r="Q5348" s="10" t="s">
        <v>3188</v>
      </c>
      <c r="R5348" s="157">
        <f>+テーブル1[[#This Row],[合計金額]]*テーブル1[[#This Row],[自社報酬率％]]/100</f>
        <v>33966</v>
      </c>
    </row>
    <row r="5349" spans="1:18">
      <c r="A5349" s="158">
        <v>46054</v>
      </c>
      <c r="B5349" s="159" t="s">
        <v>43</v>
      </c>
      <c r="C5349" s="79" t="s">
        <v>1962</v>
      </c>
      <c r="D5349" s="161">
        <v>55</v>
      </c>
      <c r="E5349" s="161">
        <v>45</v>
      </c>
      <c r="F5349" s="72" t="s">
        <v>18</v>
      </c>
      <c r="G5349" s="85">
        <v>46082</v>
      </c>
      <c r="H5349" s="162" t="s">
        <v>3521</v>
      </c>
      <c r="I5349" s="163">
        <v>19800</v>
      </c>
      <c r="J5349" s="73">
        <v>1</v>
      </c>
      <c r="K5349" s="24"/>
      <c r="L5349" s="90">
        <v>0</v>
      </c>
      <c r="M5349" s="24"/>
      <c r="N5349" s="93">
        <f t="shared" si="215"/>
        <v>1</v>
      </c>
      <c r="O5349" s="156">
        <f t="shared" si="214"/>
        <v>19800</v>
      </c>
      <c r="P5349" s="10">
        <v>399</v>
      </c>
      <c r="Q5349" s="10" t="s">
        <v>1928</v>
      </c>
      <c r="R5349" s="157">
        <f>+テーブル1[[#This Row],[合計金額]]*テーブル1[[#This Row],[自社報酬率％]]/100</f>
        <v>8910</v>
      </c>
    </row>
    <row r="5350" spans="1:18">
      <c r="A5350" s="158">
        <v>46054</v>
      </c>
      <c r="B5350" s="159" t="s">
        <v>43</v>
      </c>
      <c r="C5350" s="80" t="s">
        <v>1962</v>
      </c>
      <c r="D5350" s="161">
        <v>55</v>
      </c>
      <c r="E5350" s="161">
        <v>45</v>
      </c>
      <c r="F5350" s="164" t="s">
        <v>18</v>
      </c>
      <c r="G5350" s="165">
        <v>46113</v>
      </c>
      <c r="H5350" s="162" t="s">
        <v>3522</v>
      </c>
      <c r="I5350" s="163">
        <v>19800</v>
      </c>
      <c r="J5350" s="24">
        <v>1</v>
      </c>
      <c r="K5350" s="24"/>
      <c r="L5350" s="91">
        <v>0</v>
      </c>
      <c r="M5350" s="24"/>
      <c r="N5350" s="94">
        <f t="shared" si="215"/>
        <v>1</v>
      </c>
      <c r="O5350" s="156">
        <f t="shared" si="214"/>
        <v>19800</v>
      </c>
      <c r="P5350" s="10">
        <v>400</v>
      </c>
      <c r="Q5350" s="10" t="s">
        <v>1928</v>
      </c>
      <c r="R5350" s="157">
        <f>+テーブル1[[#This Row],[合計金額]]*テーブル1[[#This Row],[自社報酬率％]]/100</f>
        <v>8910</v>
      </c>
    </row>
    <row r="5351" spans="1:18">
      <c r="A5351" s="158">
        <v>46054</v>
      </c>
      <c r="B5351" s="159" t="s">
        <v>43</v>
      </c>
      <c r="C5351" s="81" t="s">
        <v>1962</v>
      </c>
      <c r="D5351" s="161">
        <v>55</v>
      </c>
      <c r="E5351" s="161">
        <v>45</v>
      </c>
      <c r="F5351" s="76" t="s">
        <v>18</v>
      </c>
      <c r="G5351" s="86">
        <v>46143</v>
      </c>
      <c r="H5351" s="162" t="s">
        <v>3523</v>
      </c>
      <c r="I5351" s="163">
        <v>19800</v>
      </c>
      <c r="J5351" s="77">
        <v>1</v>
      </c>
      <c r="K5351" s="24"/>
      <c r="L5351" s="92">
        <v>0</v>
      </c>
      <c r="M5351" s="24"/>
      <c r="N5351" s="95">
        <f t="shared" si="215"/>
        <v>1</v>
      </c>
      <c r="O5351" s="156">
        <f t="shared" si="214"/>
        <v>19800</v>
      </c>
      <c r="P5351" s="10">
        <v>401</v>
      </c>
      <c r="Q5351" s="10" t="s">
        <v>1928</v>
      </c>
      <c r="R5351" s="157">
        <f>+テーブル1[[#This Row],[合計金額]]*テーブル1[[#This Row],[自社報酬率％]]/100</f>
        <v>8910</v>
      </c>
    </row>
    <row r="5352" spans="1:18">
      <c r="A5352" s="158">
        <v>46054</v>
      </c>
      <c r="B5352" s="159" t="s">
        <v>43</v>
      </c>
      <c r="C5352" s="79" t="s">
        <v>1962</v>
      </c>
      <c r="D5352" s="161">
        <v>55</v>
      </c>
      <c r="E5352" s="161">
        <v>45</v>
      </c>
      <c r="F5352" s="72" t="s">
        <v>18</v>
      </c>
      <c r="G5352" s="85">
        <v>46082</v>
      </c>
      <c r="H5352" s="162" t="s">
        <v>3524</v>
      </c>
      <c r="I5352" s="163">
        <v>19800</v>
      </c>
      <c r="J5352" s="73">
        <v>3</v>
      </c>
      <c r="K5352" s="24"/>
      <c r="L5352" s="90">
        <v>0</v>
      </c>
      <c r="M5352" s="24"/>
      <c r="N5352" s="93">
        <f t="shared" si="215"/>
        <v>3</v>
      </c>
      <c r="O5352" s="156">
        <f t="shared" si="214"/>
        <v>59400</v>
      </c>
      <c r="P5352" s="10">
        <v>402</v>
      </c>
      <c r="Q5352" s="10" t="s">
        <v>1928</v>
      </c>
      <c r="R5352" s="157">
        <f>+テーブル1[[#This Row],[合計金額]]*テーブル1[[#This Row],[自社報酬率％]]/100</f>
        <v>26730</v>
      </c>
    </row>
    <row r="5353" spans="1:18">
      <c r="A5353" s="158">
        <v>46054</v>
      </c>
      <c r="B5353" s="159" t="s">
        <v>43</v>
      </c>
      <c r="C5353" s="80" t="s">
        <v>1962</v>
      </c>
      <c r="D5353" s="161">
        <v>55</v>
      </c>
      <c r="E5353" s="161">
        <v>45</v>
      </c>
      <c r="F5353" s="164" t="s">
        <v>18</v>
      </c>
      <c r="G5353" s="165">
        <v>46113</v>
      </c>
      <c r="H5353" s="162" t="s">
        <v>3525</v>
      </c>
      <c r="I5353" s="163">
        <v>19800</v>
      </c>
      <c r="J5353" s="24">
        <v>3</v>
      </c>
      <c r="K5353" s="24"/>
      <c r="L5353" s="91">
        <v>0</v>
      </c>
      <c r="M5353" s="24"/>
      <c r="N5353" s="94">
        <f t="shared" si="215"/>
        <v>3</v>
      </c>
      <c r="O5353" s="156">
        <f t="shared" si="214"/>
        <v>59400</v>
      </c>
      <c r="P5353" s="10">
        <v>403</v>
      </c>
      <c r="Q5353" s="10" t="s">
        <v>1928</v>
      </c>
      <c r="R5353" s="157">
        <f>+テーブル1[[#This Row],[合計金額]]*テーブル1[[#This Row],[自社報酬率％]]/100</f>
        <v>26730</v>
      </c>
    </row>
    <row r="5354" spans="1:18">
      <c r="A5354" s="158">
        <v>46054</v>
      </c>
      <c r="B5354" s="159" t="s">
        <v>43</v>
      </c>
      <c r="C5354" s="80" t="s">
        <v>1962</v>
      </c>
      <c r="D5354" s="161">
        <v>55</v>
      </c>
      <c r="E5354" s="161">
        <v>45</v>
      </c>
      <c r="F5354" s="164" t="s">
        <v>18</v>
      </c>
      <c r="G5354" s="165">
        <v>46143</v>
      </c>
      <c r="H5354" s="162" t="s">
        <v>3526</v>
      </c>
      <c r="I5354" s="163">
        <v>19800</v>
      </c>
      <c r="J5354" s="24">
        <v>3</v>
      </c>
      <c r="K5354" s="24"/>
      <c r="L5354" s="91">
        <v>0</v>
      </c>
      <c r="M5354" s="24"/>
      <c r="N5354" s="94">
        <f t="shared" si="215"/>
        <v>3</v>
      </c>
      <c r="O5354" s="156">
        <f t="shared" si="214"/>
        <v>59400</v>
      </c>
      <c r="P5354" s="10">
        <v>404</v>
      </c>
      <c r="Q5354" s="10" t="s">
        <v>1928</v>
      </c>
      <c r="R5354" s="157">
        <f>+テーブル1[[#This Row],[合計金額]]*テーブル1[[#This Row],[自社報酬率％]]/100</f>
        <v>26730</v>
      </c>
    </row>
    <row r="5355" spans="1:18">
      <c r="A5355" s="158">
        <v>46054</v>
      </c>
      <c r="B5355" s="159" t="s">
        <v>43</v>
      </c>
      <c r="C5355" s="79" t="s">
        <v>1962</v>
      </c>
      <c r="D5355" s="161">
        <v>55</v>
      </c>
      <c r="E5355" s="161">
        <v>45</v>
      </c>
      <c r="F5355" s="72" t="s">
        <v>19</v>
      </c>
      <c r="G5355" s="85">
        <v>46082</v>
      </c>
      <c r="H5355" s="162" t="s">
        <v>152</v>
      </c>
      <c r="I5355" s="163">
        <v>19050</v>
      </c>
      <c r="J5355" s="73">
        <v>5</v>
      </c>
      <c r="K5355" s="24"/>
      <c r="L5355" s="90">
        <v>0</v>
      </c>
      <c r="M5355" s="24"/>
      <c r="N5355" s="93">
        <f t="shared" si="215"/>
        <v>5</v>
      </c>
      <c r="O5355" s="156">
        <f t="shared" si="214"/>
        <v>95250</v>
      </c>
      <c r="P5355" s="10">
        <v>405</v>
      </c>
      <c r="Q5355" s="10" t="s">
        <v>1928</v>
      </c>
      <c r="R5355" s="157">
        <f>+テーブル1[[#This Row],[合計金額]]*テーブル1[[#This Row],[自社報酬率％]]/100</f>
        <v>42862.5</v>
      </c>
    </row>
    <row r="5356" spans="1:18">
      <c r="A5356" s="158">
        <v>46054</v>
      </c>
      <c r="B5356" s="159" t="s">
        <v>43</v>
      </c>
      <c r="C5356" s="80" t="s">
        <v>1962</v>
      </c>
      <c r="D5356" s="161">
        <v>55</v>
      </c>
      <c r="E5356" s="161">
        <v>45</v>
      </c>
      <c r="F5356" s="164" t="s">
        <v>19</v>
      </c>
      <c r="G5356" s="165">
        <v>46113</v>
      </c>
      <c r="H5356" s="162" t="s">
        <v>3527</v>
      </c>
      <c r="I5356" s="163">
        <v>19050</v>
      </c>
      <c r="J5356" s="24">
        <v>5</v>
      </c>
      <c r="K5356" s="24"/>
      <c r="L5356" s="91">
        <v>0</v>
      </c>
      <c r="M5356" s="24"/>
      <c r="N5356" s="94">
        <f t="shared" si="215"/>
        <v>5</v>
      </c>
      <c r="O5356" s="156">
        <f t="shared" si="214"/>
        <v>95250</v>
      </c>
      <c r="P5356" s="10">
        <v>406</v>
      </c>
      <c r="Q5356" s="10" t="s">
        <v>1928</v>
      </c>
      <c r="R5356" s="157">
        <f>+テーブル1[[#This Row],[合計金額]]*テーブル1[[#This Row],[自社報酬率％]]/100</f>
        <v>42862.5</v>
      </c>
    </row>
    <row r="5357" spans="1:18">
      <c r="A5357" s="158">
        <v>46054</v>
      </c>
      <c r="B5357" s="159" t="s">
        <v>43</v>
      </c>
      <c r="C5357" s="80" t="s">
        <v>1962</v>
      </c>
      <c r="D5357" s="161">
        <v>55</v>
      </c>
      <c r="E5357" s="161">
        <v>45</v>
      </c>
      <c r="F5357" s="164" t="s">
        <v>19</v>
      </c>
      <c r="G5357" s="165">
        <v>46143</v>
      </c>
      <c r="H5357" s="162" t="s">
        <v>3528</v>
      </c>
      <c r="I5357" s="163">
        <v>19050</v>
      </c>
      <c r="J5357" s="24">
        <v>5</v>
      </c>
      <c r="K5357" s="24"/>
      <c r="L5357" s="91">
        <v>0</v>
      </c>
      <c r="M5357" s="24"/>
      <c r="N5357" s="94">
        <f t="shared" si="215"/>
        <v>5</v>
      </c>
      <c r="O5357" s="156">
        <f t="shared" si="214"/>
        <v>95250</v>
      </c>
      <c r="P5357" s="10">
        <v>407</v>
      </c>
      <c r="Q5357" s="10" t="s">
        <v>1928</v>
      </c>
      <c r="R5357" s="157">
        <f>+テーブル1[[#This Row],[合計金額]]*テーブル1[[#This Row],[自社報酬率％]]/100</f>
        <v>42862.5</v>
      </c>
    </row>
    <row r="5358" spans="1:18">
      <c r="A5358" s="158">
        <v>46054</v>
      </c>
      <c r="B5358" s="159" t="s">
        <v>43</v>
      </c>
      <c r="C5358" s="80" t="s">
        <v>1962</v>
      </c>
      <c r="D5358" s="161">
        <v>55</v>
      </c>
      <c r="E5358" s="161">
        <v>45</v>
      </c>
      <c r="F5358" s="164" t="s">
        <v>19</v>
      </c>
      <c r="G5358" s="165">
        <v>46174</v>
      </c>
      <c r="H5358" s="162" t="s">
        <v>3529</v>
      </c>
      <c r="I5358" s="163">
        <v>19050</v>
      </c>
      <c r="J5358" s="24">
        <v>5</v>
      </c>
      <c r="K5358" s="24"/>
      <c r="L5358" s="91">
        <v>0</v>
      </c>
      <c r="M5358" s="24"/>
      <c r="N5358" s="94">
        <f t="shared" si="215"/>
        <v>5</v>
      </c>
      <c r="O5358" s="156">
        <f t="shared" si="214"/>
        <v>95250</v>
      </c>
      <c r="P5358" s="10">
        <v>408</v>
      </c>
      <c r="Q5358" s="10" t="s">
        <v>1928</v>
      </c>
      <c r="R5358" s="157">
        <f>+テーブル1[[#This Row],[合計金額]]*テーブル1[[#This Row],[自社報酬率％]]/100</f>
        <v>42862.5</v>
      </c>
    </row>
    <row r="5359" spans="1:18">
      <c r="A5359" s="158">
        <v>46054</v>
      </c>
      <c r="B5359" s="159" t="s">
        <v>43</v>
      </c>
      <c r="C5359" s="80" t="s">
        <v>1962</v>
      </c>
      <c r="D5359" s="161">
        <v>55</v>
      </c>
      <c r="E5359" s="161">
        <v>45</v>
      </c>
      <c r="F5359" s="164" t="s">
        <v>19</v>
      </c>
      <c r="G5359" s="165">
        <v>46204</v>
      </c>
      <c r="H5359" s="162" t="s">
        <v>3530</v>
      </c>
      <c r="I5359" s="163">
        <v>19050</v>
      </c>
      <c r="J5359" s="24">
        <v>5</v>
      </c>
      <c r="K5359" s="24"/>
      <c r="L5359" s="91">
        <v>0</v>
      </c>
      <c r="M5359" s="24"/>
      <c r="N5359" s="94">
        <f t="shared" si="215"/>
        <v>5</v>
      </c>
      <c r="O5359" s="156">
        <f t="shared" si="214"/>
        <v>95250</v>
      </c>
      <c r="P5359" s="10">
        <v>409</v>
      </c>
      <c r="Q5359" s="10" t="s">
        <v>1928</v>
      </c>
      <c r="R5359" s="157">
        <f>+テーブル1[[#This Row],[合計金額]]*テーブル1[[#This Row],[自社報酬率％]]/100</f>
        <v>42862.5</v>
      </c>
    </row>
    <row r="5360" spans="1:18">
      <c r="A5360" s="158">
        <v>46054</v>
      </c>
      <c r="B5360" s="159" t="s">
        <v>43</v>
      </c>
      <c r="C5360" s="81" t="s">
        <v>1962</v>
      </c>
      <c r="D5360" s="161">
        <v>55</v>
      </c>
      <c r="E5360" s="161">
        <v>45</v>
      </c>
      <c r="F5360" s="76" t="s">
        <v>19</v>
      </c>
      <c r="G5360" s="86">
        <v>46235</v>
      </c>
      <c r="H5360" s="162" t="s">
        <v>3531</v>
      </c>
      <c r="I5360" s="163">
        <v>19050</v>
      </c>
      <c r="J5360" s="77">
        <v>5</v>
      </c>
      <c r="K5360" s="24"/>
      <c r="L5360" s="92">
        <v>0</v>
      </c>
      <c r="M5360" s="24"/>
      <c r="N5360" s="95">
        <f t="shared" si="215"/>
        <v>5</v>
      </c>
      <c r="O5360" s="156">
        <f t="shared" si="214"/>
        <v>95250</v>
      </c>
      <c r="P5360" s="10">
        <v>410</v>
      </c>
      <c r="Q5360" s="10" t="s">
        <v>1928</v>
      </c>
      <c r="R5360" s="157">
        <f>+テーブル1[[#This Row],[合計金額]]*テーブル1[[#This Row],[自社報酬率％]]/100</f>
        <v>42862.5</v>
      </c>
    </row>
    <row r="5361" spans="1:18">
      <c r="A5361" s="158">
        <v>46054</v>
      </c>
      <c r="B5361" s="159" t="s">
        <v>43</v>
      </c>
      <c r="C5361" s="79" t="s">
        <v>1962</v>
      </c>
      <c r="D5361" s="161">
        <v>55</v>
      </c>
      <c r="E5361" s="161">
        <v>45</v>
      </c>
      <c r="F5361" s="72" t="s">
        <v>19</v>
      </c>
      <c r="G5361" s="85">
        <v>46082</v>
      </c>
      <c r="H5361" s="162" t="s">
        <v>2006</v>
      </c>
      <c r="I5361" s="163">
        <v>19050</v>
      </c>
      <c r="J5361" s="73">
        <v>10</v>
      </c>
      <c r="K5361" s="24"/>
      <c r="L5361" s="90">
        <v>0</v>
      </c>
      <c r="M5361" s="24"/>
      <c r="N5361" s="93">
        <f t="shared" si="215"/>
        <v>10</v>
      </c>
      <c r="O5361" s="156">
        <f t="shared" si="214"/>
        <v>190500</v>
      </c>
      <c r="P5361" s="10">
        <v>411</v>
      </c>
      <c r="Q5361" s="10" t="s">
        <v>1928</v>
      </c>
      <c r="R5361" s="157">
        <f>+テーブル1[[#This Row],[合計金額]]*テーブル1[[#This Row],[自社報酬率％]]/100</f>
        <v>85725</v>
      </c>
    </row>
    <row r="5362" spans="1:18">
      <c r="A5362" s="158">
        <v>46054</v>
      </c>
      <c r="B5362" s="159" t="s">
        <v>43</v>
      </c>
      <c r="C5362" s="80" t="s">
        <v>1962</v>
      </c>
      <c r="D5362" s="161">
        <v>55</v>
      </c>
      <c r="E5362" s="161">
        <v>45</v>
      </c>
      <c r="F5362" s="164" t="s">
        <v>19</v>
      </c>
      <c r="G5362" s="165">
        <v>46113</v>
      </c>
      <c r="H5362" s="162" t="s">
        <v>2007</v>
      </c>
      <c r="I5362" s="163">
        <v>19050</v>
      </c>
      <c r="J5362" s="24">
        <v>10</v>
      </c>
      <c r="K5362" s="24"/>
      <c r="L5362" s="91">
        <v>0</v>
      </c>
      <c r="M5362" s="24"/>
      <c r="N5362" s="94">
        <f t="shared" si="215"/>
        <v>10</v>
      </c>
      <c r="O5362" s="156">
        <f t="shared" si="214"/>
        <v>190500</v>
      </c>
      <c r="P5362" s="10">
        <v>412</v>
      </c>
      <c r="Q5362" s="10" t="s">
        <v>1928</v>
      </c>
      <c r="R5362" s="157">
        <f>+テーブル1[[#This Row],[合計金額]]*テーブル1[[#This Row],[自社報酬率％]]/100</f>
        <v>85725</v>
      </c>
    </row>
    <row r="5363" spans="1:18">
      <c r="A5363" s="158">
        <v>46054</v>
      </c>
      <c r="B5363" s="159" t="s">
        <v>43</v>
      </c>
      <c r="C5363" s="80" t="s">
        <v>1962</v>
      </c>
      <c r="D5363" s="161">
        <v>55</v>
      </c>
      <c r="E5363" s="161">
        <v>45</v>
      </c>
      <c r="F5363" s="164" t="s">
        <v>19</v>
      </c>
      <c r="G5363" s="165">
        <v>46143</v>
      </c>
      <c r="H5363" s="162" t="s">
        <v>2008</v>
      </c>
      <c r="I5363" s="163">
        <v>19050</v>
      </c>
      <c r="J5363" s="24">
        <v>10</v>
      </c>
      <c r="K5363" s="24"/>
      <c r="L5363" s="91">
        <v>0</v>
      </c>
      <c r="M5363" s="24"/>
      <c r="N5363" s="94">
        <f t="shared" si="215"/>
        <v>10</v>
      </c>
      <c r="O5363" s="156">
        <f t="shared" ref="O5363:O5420" si="216">+I5363*N5363</f>
        <v>190500</v>
      </c>
      <c r="P5363" s="10">
        <v>413</v>
      </c>
      <c r="Q5363" s="10" t="s">
        <v>1928</v>
      </c>
      <c r="R5363" s="157">
        <f>+テーブル1[[#This Row],[合計金額]]*テーブル1[[#This Row],[自社報酬率％]]/100</f>
        <v>85725</v>
      </c>
    </row>
    <row r="5364" spans="1:18">
      <c r="A5364" s="158">
        <v>46054</v>
      </c>
      <c r="B5364" s="159" t="s">
        <v>43</v>
      </c>
      <c r="C5364" s="80" t="s">
        <v>1962</v>
      </c>
      <c r="D5364" s="161">
        <v>55</v>
      </c>
      <c r="E5364" s="161">
        <v>45</v>
      </c>
      <c r="F5364" s="164" t="s">
        <v>19</v>
      </c>
      <c r="G5364" s="165">
        <v>46174</v>
      </c>
      <c r="H5364" s="162" t="s">
        <v>2009</v>
      </c>
      <c r="I5364" s="163">
        <v>19050</v>
      </c>
      <c r="J5364" s="24">
        <v>10</v>
      </c>
      <c r="K5364" s="24"/>
      <c r="L5364" s="91">
        <v>0</v>
      </c>
      <c r="M5364" s="24"/>
      <c r="N5364" s="94">
        <f t="shared" si="215"/>
        <v>10</v>
      </c>
      <c r="O5364" s="156">
        <f t="shared" si="216"/>
        <v>190500</v>
      </c>
      <c r="P5364" s="10">
        <v>414</v>
      </c>
      <c r="Q5364" s="10" t="s">
        <v>1928</v>
      </c>
      <c r="R5364" s="157">
        <f>+テーブル1[[#This Row],[合計金額]]*テーブル1[[#This Row],[自社報酬率％]]/100</f>
        <v>85725</v>
      </c>
    </row>
    <row r="5365" spans="1:18">
      <c r="A5365" s="158">
        <v>46054</v>
      </c>
      <c r="B5365" s="159" t="s">
        <v>43</v>
      </c>
      <c r="C5365" s="80" t="s">
        <v>1962</v>
      </c>
      <c r="D5365" s="161">
        <v>55</v>
      </c>
      <c r="E5365" s="161">
        <v>45</v>
      </c>
      <c r="F5365" s="164" t="s">
        <v>19</v>
      </c>
      <c r="G5365" s="165">
        <v>46204</v>
      </c>
      <c r="H5365" s="162" t="s">
        <v>2010</v>
      </c>
      <c r="I5365" s="163">
        <v>19050</v>
      </c>
      <c r="J5365" s="24">
        <v>10</v>
      </c>
      <c r="K5365" s="24"/>
      <c r="L5365" s="91">
        <v>0</v>
      </c>
      <c r="M5365" s="24"/>
      <c r="N5365" s="94">
        <f t="shared" si="215"/>
        <v>10</v>
      </c>
      <c r="O5365" s="156">
        <f t="shared" si="216"/>
        <v>190500</v>
      </c>
      <c r="P5365" s="10">
        <v>415</v>
      </c>
      <c r="Q5365" s="10" t="s">
        <v>1928</v>
      </c>
      <c r="R5365" s="157">
        <f>+テーブル1[[#This Row],[合計金額]]*テーブル1[[#This Row],[自社報酬率％]]/100</f>
        <v>85725</v>
      </c>
    </row>
    <row r="5366" spans="1:18">
      <c r="A5366" s="158">
        <v>46054</v>
      </c>
      <c r="B5366" s="159" t="s">
        <v>43</v>
      </c>
      <c r="C5366" s="81" t="s">
        <v>1962</v>
      </c>
      <c r="D5366" s="161">
        <v>55</v>
      </c>
      <c r="E5366" s="161">
        <v>45</v>
      </c>
      <c r="F5366" s="76" t="s">
        <v>19</v>
      </c>
      <c r="G5366" s="86">
        <v>46235</v>
      </c>
      <c r="H5366" s="162" t="s">
        <v>2011</v>
      </c>
      <c r="I5366" s="163">
        <v>19050</v>
      </c>
      <c r="J5366" s="77">
        <v>10</v>
      </c>
      <c r="K5366" s="24"/>
      <c r="L5366" s="92">
        <v>0</v>
      </c>
      <c r="M5366" s="24"/>
      <c r="N5366" s="95">
        <f t="shared" si="215"/>
        <v>10</v>
      </c>
      <c r="O5366" s="156">
        <f t="shared" si="216"/>
        <v>190500</v>
      </c>
      <c r="P5366" s="10">
        <v>416</v>
      </c>
      <c r="Q5366" s="10" t="s">
        <v>1928</v>
      </c>
      <c r="R5366" s="157">
        <f>+テーブル1[[#This Row],[合計金額]]*テーブル1[[#This Row],[自社報酬率％]]/100</f>
        <v>85725</v>
      </c>
    </row>
    <row r="5367" spans="1:18">
      <c r="A5367" s="158">
        <v>46054</v>
      </c>
      <c r="B5367" s="159" t="s">
        <v>43</v>
      </c>
      <c r="C5367" s="164" t="s">
        <v>1962</v>
      </c>
      <c r="D5367" s="161">
        <v>55</v>
      </c>
      <c r="E5367" s="161">
        <v>45</v>
      </c>
      <c r="F5367" s="164" t="s">
        <v>16</v>
      </c>
      <c r="G5367" s="165">
        <v>46082</v>
      </c>
      <c r="H5367" s="162" t="s">
        <v>2018</v>
      </c>
      <c r="I5367" s="163">
        <v>10485</v>
      </c>
      <c r="J5367" s="24">
        <v>51</v>
      </c>
      <c r="K5367" s="24"/>
      <c r="L5367" s="91">
        <v>0</v>
      </c>
      <c r="M5367" s="24"/>
      <c r="N5367" s="12">
        <f t="shared" si="215"/>
        <v>51</v>
      </c>
      <c r="O5367" s="156">
        <f t="shared" si="216"/>
        <v>534735</v>
      </c>
      <c r="P5367" s="10">
        <v>417</v>
      </c>
      <c r="Q5367" s="10" t="s">
        <v>1928</v>
      </c>
      <c r="R5367" s="157">
        <f>+テーブル1[[#This Row],[合計金額]]*テーブル1[[#This Row],[自社報酬率％]]/100</f>
        <v>240630.75</v>
      </c>
    </row>
    <row r="5368" spans="1:18">
      <c r="A5368" s="158">
        <v>46054</v>
      </c>
      <c r="B5368" s="159" t="s">
        <v>43</v>
      </c>
      <c r="C5368" s="164" t="s">
        <v>1962</v>
      </c>
      <c r="D5368" s="161">
        <v>55</v>
      </c>
      <c r="E5368" s="161">
        <v>45</v>
      </c>
      <c r="F5368" s="164" t="s">
        <v>16</v>
      </c>
      <c r="G5368" s="165">
        <v>46082</v>
      </c>
      <c r="H5368" s="162" t="s">
        <v>2021</v>
      </c>
      <c r="I5368" s="163">
        <v>20970</v>
      </c>
      <c r="J5368" s="24">
        <v>75</v>
      </c>
      <c r="K5368" s="24"/>
      <c r="L5368" s="91">
        <v>0</v>
      </c>
      <c r="M5368" s="24"/>
      <c r="N5368" s="12">
        <f t="shared" si="215"/>
        <v>75</v>
      </c>
      <c r="O5368" s="156">
        <f t="shared" si="216"/>
        <v>1572750</v>
      </c>
      <c r="P5368" s="10">
        <v>418</v>
      </c>
      <c r="Q5368" s="10" t="s">
        <v>1928</v>
      </c>
      <c r="R5368" s="157">
        <f>+テーブル1[[#This Row],[合計金額]]*テーブル1[[#This Row],[自社報酬率％]]/100</f>
        <v>707737.5</v>
      </c>
    </row>
    <row r="5369" spans="1:18">
      <c r="A5369" s="158">
        <v>46054</v>
      </c>
      <c r="B5369" s="159" t="s">
        <v>43</v>
      </c>
      <c r="C5369" s="164" t="s">
        <v>1962</v>
      </c>
      <c r="D5369" s="161">
        <v>55</v>
      </c>
      <c r="E5369" s="161">
        <v>45</v>
      </c>
      <c r="F5369" s="164" t="s">
        <v>16</v>
      </c>
      <c r="G5369" s="165">
        <v>46082</v>
      </c>
      <c r="H5369" s="162" t="s">
        <v>2022</v>
      </c>
      <c r="I5369" s="163">
        <v>20970</v>
      </c>
      <c r="J5369" s="24">
        <v>4</v>
      </c>
      <c r="K5369" s="24"/>
      <c r="L5369" s="91">
        <v>0</v>
      </c>
      <c r="M5369" s="24"/>
      <c r="N5369" s="12">
        <f t="shared" si="215"/>
        <v>4</v>
      </c>
      <c r="O5369" s="156">
        <f t="shared" si="216"/>
        <v>83880</v>
      </c>
      <c r="P5369" s="10">
        <v>419</v>
      </c>
      <c r="Q5369" s="10" t="s">
        <v>1928</v>
      </c>
      <c r="R5369" s="157">
        <f>+テーブル1[[#This Row],[合計金額]]*テーブル1[[#This Row],[自社報酬率％]]/100</f>
        <v>37746</v>
      </c>
    </row>
    <row r="5370" spans="1:18">
      <c r="A5370" s="158">
        <v>46054</v>
      </c>
      <c r="B5370" s="159" t="s">
        <v>43</v>
      </c>
      <c r="C5370" s="166" t="s">
        <v>1962</v>
      </c>
      <c r="D5370" s="161">
        <v>55</v>
      </c>
      <c r="E5370" s="161">
        <v>45</v>
      </c>
      <c r="F5370" s="166" t="s">
        <v>20</v>
      </c>
      <c r="G5370" s="167">
        <v>46054</v>
      </c>
      <c r="H5370" s="162" t="s">
        <v>2323</v>
      </c>
      <c r="I5370" s="163">
        <v>0</v>
      </c>
      <c r="J5370" s="24">
        <v>80</v>
      </c>
      <c r="K5370" s="24"/>
      <c r="L5370" s="91">
        <v>0</v>
      </c>
      <c r="M5370" s="24"/>
      <c r="N5370" s="12">
        <f t="shared" si="215"/>
        <v>80</v>
      </c>
      <c r="O5370" s="156">
        <f t="shared" si="216"/>
        <v>0</v>
      </c>
      <c r="P5370" s="10">
        <v>420</v>
      </c>
      <c r="Q5370" s="10" t="s">
        <v>1928</v>
      </c>
      <c r="R5370" s="157">
        <f>+テーブル1[[#This Row],[合計金額]]*テーブル1[[#This Row],[自社報酬率％]]/100</f>
        <v>0</v>
      </c>
    </row>
    <row r="5371" spans="1:18">
      <c r="A5371" s="158">
        <v>46054</v>
      </c>
      <c r="B5371" s="159" t="s">
        <v>43</v>
      </c>
      <c r="C5371" s="166" t="s">
        <v>1962</v>
      </c>
      <c r="D5371" s="161">
        <v>55</v>
      </c>
      <c r="E5371" s="161">
        <v>45</v>
      </c>
      <c r="F5371" s="166" t="s">
        <v>20</v>
      </c>
      <c r="G5371" s="167">
        <v>46054</v>
      </c>
      <c r="H5371" s="162" t="s">
        <v>3532</v>
      </c>
      <c r="I5371" s="163">
        <v>0</v>
      </c>
      <c r="J5371" s="24">
        <v>1</v>
      </c>
      <c r="K5371" s="24"/>
      <c r="L5371" s="91">
        <v>0</v>
      </c>
      <c r="M5371" s="24"/>
      <c r="N5371" s="12">
        <f t="shared" si="215"/>
        <v>1</v>
      </c>
      <c r="O5371" s="156">
        <f t="shared" si="216"/>
        <v>0</v>
      </c>
      <c r="P5371" s="10">
        <v>421</v>
      </c>
      <c r="Q5371" s="10" t="s">
        <v>1928</v>
      </c>
      <c r="R5371" s="157">
        <f>+テーブル1[[#This Row],[合計金額]]*テーブル1[[#This Row],[自社報酬率％]]/100</f>
        <v>0</v>
      </c>
    </row>
    <row r="5372" spans="1:18">
      <c r="A5372" s="158">
        <v>46054</v>
      </c>
      <c r="B5372" s="159" t="s">
        <v>43</v>
      </c>
      <c r="C5372" s="166" t="s">
        <v>1962</v>
      </c>
      <c r="D5372" s="161">
        <v>55</v>
      </c>
      <c r="E5372" s="161">
        <v>45</v>
      </c>
      <c r="F5372" s="166" t="s">
        <v>20</v>
      </c>
      <c r="G5372" s="167">
        <v>46054</v>
      </c>
      <c r="H5372" s="162" t="s">
        <v>3533</v>
      </c>
      <c r="I5372" s="163">
        <v>0</v>
      </c>
      <c r="J5372" s="24">
        <v>1</v>
      </c>
      <c r="K5372" s="24"/>
      <c r="L5372" s="91">
        <v>0</v>
      </c>
      <c r="M5372" s="24"/>
      <c r="N5372" s="12">
        <f t="shared" si="215"/>
        <v>1</v>
      </c>
      <c r="O5372" s="156">
        <f t="shared" si="216"/>
        <v>0</v>
      </c>
      <c r="P5372" s="10">
        <v>422</v>
      </c>
      <c r="Q5372" s="10" t="s">
        <v>1928</v>
      </c>
      <c r="R5372" s="157">
        <f>+テーブル1[[#This Row],[合計金額]]*テーブル1[[#This Row],[自社報酬率％]]/100</f>
        <v>0</v>
      </c>
    </row>
    <row r="5373" spans="1:18">
      <c r="A5373" s="158">
        <v>46054</v>
      </c>
      <c r="B5373" s="159" t="s">
        <v>43</v>
      </c>
      <c r="C5373" s="166" t="s">
        <v>1962</v>
      </c>
      <c r="D5373" s="161">
        <v>80</v>
      </c>
      <c r="E5373" s="161">
        <v>20</v>
      </c>
      <c r="F5373" s="166" t="s">
        <v>19</v>
      </c>
      <c r="G5373" s="167">
        <v>46054</v>
      </c>
      <c r="H5373" s="162" t="s">
        <v>3504</v>
      </c>
      <c r="I5373" s="163">
        <v>21140</v>
      </c>
      <c r="J5373" s="24">
        <v>1</v>
      </c>
      <c r="K5373" s="24"/>
      <c r="L5373" s="91">
        <v>0</v>
      </c>
      <c r="M5373" s="24"/>
      <c r="N5373" s="12">
        <f t="shared" si="215"/>
        <v>1</v>
      </c>
      <c r="O5373" s="156">
        <f t="shared" si="216"/>
        <v>21140</v>
      </c>
      <c r="P5373" s="10">
        <v>423</v>
      </c>
      <c r="Q5373" s="10" t="s">
        <v>1928</v>
      </c>
      <c r="R5373" s="157">
        <f>+テーブル1[[#This Row],[合計金額]]*テーブル1[[#This Row],[自社報酬率％]]/100</f>
        <v>4228</v>
      </c>
    </row>
    <row r="5374" spans="1:18">
      <c r="A5374" s="158">
        <v>46054</v>
      </c>
      <c r="B5374" s="159" t="s">
        <v>43</v>
      </c>
      <c r="C5374" s="164" t="s">
        <v>1962</v>
      </c>
      <c r="D5374" s="161">
        <v>80</v>
      </c>
      <c r="E5374" s="161">
        <v>20</v>
      </c>
      <c r="F5374" s="164" t="s">
        <v>16</v>
      </c>
      <c r="G5374" s="165">
        <v>46082</v>
      </c>
      <c r="H5374" s="162" t="s">
        <v>2021</v>
      </c>
      <c r="I5374" s="163">
        <v>20970</v>
      </c>
      <c r="J5374" s="24">
        <v>1</v>
      </c>
      <c r="K5374" s="24"/>
      <c r="L5374" s="91">
        <v>0</v>
      </c>
      <c r="M5374" s="24"/>
      <c r="N5374" s="12">
        <f t="shared" si="215"/>
        <v>1</v>
      </c>
      <c r="O5374" s="156">
        <f t="shared" si="216"/>
        <v>20970</v>
      </c>
      <c r="P5374" s="10">
        <v>424</v>
      </c>
      <c r="Q5374" s="10" t="s">
        <v>1928</v>
      </c>
      <c r="R5374" s="157">
        <f>+テーブル1[[#This Row],[合計金額]]*テーブル1[[#This Row],[自社報酬率％]]/100</f>
        <v>4194</v>
      </c>
    </row>
    <row r="5375" spans="1:18">
      <c r="A5375" s="158">
        <v>46054</v>
      </c>
      <c r="B5375" s="159" t="s">
        <v>43</v>
      </c>
      <c r="C5375" s="79" t="s">
        <v>2023</v>
      </c>
      <c r="D5375" s="161">
        <v>50</v>
      </c>
      <c r="E5375" s="161">
        <v>50</v>
      </c>
      <c r="F5375" s="72" t="s">
        <v>17</v>
      </c>
      <c r="G5375" s="85">
        <v>46082</v>
      </c>
      <c r="H5375" s="162" t="s">
        <v>3534</v>
      </c>
      <c r="I5375" s="163">
        <v>2625</v>
      </c>
      <c r="J5375" s="73">
        <v>1</v>
      </c>
      <c r="K5375" s="24"/>
      <c r="L5375" s="90">
        <v>0</v>
      </c>
      <c r="M5375" s="24"/>
      <c r="N5375" s="93">
        <f t="shared" ref="N5375:N5413" si="217">J5375-L5375</f>
        <v>1</v>
      </c>
      <c r="O5375" s="156">
        <f t="shared" si="216"/>
        <v>2625</v>
      </c>
      <c r="P5375" s="10">
        <v>425</v>
      </c>
      <c r="Q5375" s="10" t="s">
        <v>1928</v>
      </c>
      <c r="R5375" s="157">
        <f>+テーブル1[[#This Row],[合計金額]]*テーブル1[[#This Row],[自社報酬率％]]/100</f>
        <v>1312.5</v>
      </c>
    </row>
    <row r="5376" spans="1:18">
      <c r="A5376" s="158">
        <v>46054</v>
      </c>
      <c r="B5376" s="159" t="s">
        <v>43</v>
      </c>
      <c r="C5376" s="80" t="s">
        <v>2023</v>
      </c>
      <c r="D5376" s="161">
        <v>50</v>
      </c>
      <c r="E5376" s="161">
        <v>50</v>
      </c>
      <c r="F5376" s="164" t="s">
        <v>17</v>
      </c>
      <c r="G5376" s="165">
        <v>46113</v>
      </c>
      <c r="H5376" s="162" t="s">
        <v>3535</v>
      </c>
      <c r="I5376" s="163">
        <v>2625</v>
      </c>
      <c r="J5376" s="24">
        <v>1</v>
      </c>
      <c r="K5376" s="24"/>
      <c r="L5376" s="91">
        <v>0</v>
      </c>
      <c r="M5376" s="24"/>
      <c r="N5376" s="94">
        <f t="shared" si="217"/>
        <v>1</v>
      </c>
      <c r="O5376" s="156">
        <f t="shared" si="216"/>
        <v>2625</v>
      </c>
      <c r="P5376" s="10">
        <v>426</v>
      </c>
      <c r="Q5376" s="10" t="s">
        <v>1928</v>
      </c>
      <c r="R5376" s="157">
        <f>+テーブル1[[#This Row],[合計金額]]*テーブル1[[#This Row],[自社報酬率％]]/100</f>
        <v>1312.5</v>
      </c>
    </row>
    <row r="5377" spans="1:18">
      <c r="A5377" s="158">
        <v>46054</v>
      </c>
      <c r="B5377" s="159" t="s">
        <v>43</v>
      </c>
      <c r="C5377" s="80" t="s">
        <v>2023</v>
      </c>
      <c r="D5377" s="161">
        <v>50</v>
      </c>
      <c r="E5377" s="161">
        <v>50</v>
      </c>
      <c r="F5377" s="164" t="s">
        <v>17</v>
      </c>
      <c r="G5377" s="165">
        <v>46143</v>
      </c>
      <c r="H5377" s="162" t="s">
        <v>3536</v>
      </c>
      <c r="I5377" s="163">
        <v>2625</v>
      </c>
      <c r="J5377" s="24">
        <v>1</v>
      </c>
      <c r="K5377" s="24"/>
      <c r="L5377" s="91">
        <v>0</v>
      </c>
      <c r="M5377" s="24"/>
      <c r="N5377" s="94">
        <f t="shared" si="217"/>
        <v>1</v>
      </c>
      <c r="O5377" s="156">
        <f t="shared" si="216"/>
        <v>2625</v>
      </c>
      <c r="P5377" s="10">
        <v>427</v>
      </c>
      <c r="Q5377" s="10" t="s">
        <v>1928</v>
      </c>
      <c r="R5377" s="157">
        <f>+テーブル1[[#This Row],[合計金額]]*テーブル1[[#This Row],[自社報酬率％]]/100</f>
        <v>1312.5</v>
      </c>
    </row>
    <row r="5378" spans="1:18">
      <c r="A5378" s="158">
        <v>46054</v>
      </c>
      <c r="B5378" s="159" t="s">
        <v>43</v>
      </c>
      <c r="C5378" s="80" t="s">
        <v>2023</v>
      </c>
      <c r="D5378" s="161">
        <v>50</v>
      </c>
      <c r="E5378" s="161">
        <v>50</v>
      </c>
      <c r="F5378" s="164" t="s">
        <v>17</v>
      </c>
      <c r="G5378" s="165">
        <v>46174</v>
      </c>
      <c r="H5378" s="162" t="s">
        <v>3537</v>
      </c>
      <c r="I5378" s="163">
        <v>2625</v>
      </c>
      <c r="J5378" s="24">
        <v>1</v>
      </c>
      <c r="K5378" s="24"/>
      <c r="L5378" s="91">
        <v>0</v>
      </c>
      <c r="M5378" s="24"/>
      <c r="N5378" s="94">
        <f t="shared" si="217"/>
        <v>1</v>
      </c>
      <c r="O5378" s="156">
        <f t="shared" si="216"/>
        <v>2625</v>
      </c>
      <c r="P5378" s="10">
        <v>428</v>
      </c>
      <c r="Q5378" s="10" t="s">
        <v>1928</v>
      </c>
      <c r="R5378" s="157">
        <f>+テーブル1[[#This Row],[合計金額]]*テーブル1[[#This Row],[自社報酬率％]]/100</f>
        <v>1312.5</v>
      </c>
    </row>
    <row r="5379" spans="1:18">
      <c r="A5379" s="158">
        <v>46054</v>
      </c>
      <c r="B5379" s="159" t="s">
        <v>43</v>
      </c>
      <c r="C5379" s="80" t="s">
        <v>2023</v>
      </c>
      <c r="D5379" s="161">
        <v>50</v>
      </c>
      <c r="E5379" s="161">
        <v>50</v>
      </c>
      <c r="F5379" s="164" t="s">
        <v>17</v>
      </c>
      <c r="G5379" s="165">
        <v>46204</v>
      </c>
      <c r="H5379" s="162" t="s">
        <v>3538</v>
      </c>
      <c r="I5379" s="163">
        <v>2625</v>
      </c>
      <c r="J5379" s="24">
        <v>1</v>
      </c>
      <c r="K5379" s="24"/>
      <c r="L5379" s="91">
        <v>0</v>
      </c>
      <c r="M5379" s="24"/>
      <c r="N5379" s="94">
        <f t="shared" si="217"/>
        <v>1</v>
      </c>
      <c r="O5379" s="156">
        <f t="shared" si="216"/>
        <v>2625</v>
      </c>
      <c r="P5379" s="10">
        <v>429</v>
      </c>
      <c r="Q5379" s="10" t="s">
        <v>1928</v>
      </c>
      <c r="R5379" s="157">
        <f>+テーブル1[[#This Row],[合計金額]]*テーブル1[[#This Row],[自社報酬率％]]/100</f>
        <v>1312.5</v>
      </c>
    </row>
    <row r="5380" spans="1:18">
      <c r="A5380" s="158">
        <v>46054</v>
      </c>
      <c r="B5380" s="159" t="s">
        <v>43</v>
      </c>
      <c r="C5380" s="80" t="s">
        <v>2023</v>
      </c>
      <c r="D5380" s="161">
        <v>50</v>
      </c>
      <c r="E5380" s="161">
        <v>50</v>
      </c>
      <c r="F5380" s="164" t="s">
        <v>17</v>
      </c>
      <c r="G5380" s="165">
        <v>46235</v>
      </c>
      <c r="H5380" s="162" t="s">
        <v>3539</v>
      </c>
      <c r="I5380" s="163">
        <v>2625</v>
      </c>
      <c r="J5380" s="24">
        <v>1</v>
      </c>
      <c r="K5380" s="24"/>
      <c r="L5380" s="91">
        <v>0</v>
      </c>
      <c r="M5380" s="24"/>
      <c r="N5380" s="94">
        <f t="shared" si="217"/>
        <v>1</v>
      </c>
      <c r="O5380" s="156">
        <f t="shared" si="216"/>
        <v>2625</v>
      </c>
      <c r="P5380" s="10">
        <v>430</v>
      </c>
      <c r="Q5380" s="10" t="s">
        <v>1928</v>
      </c>
      <c r="R5380" s="157">
        <f>+テーブル1[[#This Row],[合計金額]]*テーブル1[[#This Row],[自社報酬率％]]/100</f>
        <v>1312.5</v>
      </c>
    </row>
    <row r="5381" spans="1:18">
      <c r="A5381" s="158">
        <v>46054</v>
      </c>
      <c r="B5381" s="159" t="s">
        <v>43</v>
      </c>
      <c r="C5381" s="80" t="s">
        <v>2023</v>
      </c>
      <c r="D5381" s="161">
        <v>50</v>
      </c>
      <c r="E5381" s="161">
        <v>50</v>
      </c>
      <c r="F5381" s="164" t="s">
        <v>17</v>
      </c>
      <c r="G5381" s="165">
        <v>46266</v>
      </c>
      <c r="H5381" s="162" t="s">
        <v>3540</v>
      </c>
      <c r="I5381" s="163">
        <v>2625</v>
      </c>
      <c r="J5381" s="24">
        <v>1</v>
      </c>
      <c r="K5381" s="24"/>
      <c r="L5381" s="91">
        <v>0</v>
      </c>
      <c r="M5381" s="24"/>
      <c r="N5381" s="94">
        <f t="shared" si="217"/>
        <v>1</v>
      </c>
      <c r="O5381" s="156">
        <f t="shared" si="216"/>
        <v>2625</v>
      </c>
      <c r="P5381" s="10">
        <v>431</v>
      </c>
      <c r="Q5381" s="10" t="s">
        <v>1928</v>
      </c>
      <c r="R5381" s="157">
        <f>+テーブル1[[#This Row],[合計金額]]*テーブル1[[#This Row],[自社報酬率％]]/100</f>
        <v>1312.5</v>
      </c>
    </row>
    <row r="5382" spans="1:18">
      <c r="A5382" s="158">
        <v>46054</v>
      </c>
      <c r="B5382" s="159" t="s">
        <v>43</v>
      </c>
      <c r="C5382" s="80" t="s">
        <v>2023</v>
      </c>
      <c r="D5382" s="161">
        <v>50</v>
      </c>
      <c r="E5382" s="161">
        <v>50</v>
      </c>
      <c r="F5382" s="164" t="s">
        <v>17</v>
      </c>
      <c r="G5382" s="165">
        <v>46296</v>
      </c>
      <c r="H5382" s="162" t="s">
        <v>3541</v>
      </c>
      <c r="I5382" s="163">
        <v>2625</v>
      </c>
      <c r="J5382" s="24">
        <v>1</v>
      </c>
      <c r="K5382" s="24"/>
      <c r="L5382" s="91">
        <v>0</v>
      </c>
      <c r="M5382" s="24"/>
      <c r="N5382" s="94">
        <f t="shared" si="217"/>
        <v>1</v>
      </c>
      <c r="O5382" s="156">
        <f t="shared" si="216"/>
        <v>2625</v>
      </c>
      <c r="P5382" s="10">
        <v>432</v>
      </c>
      <c r="Q5382" s="10" t="s">
        <v>1928</v>
      </c>
      <c r="R5382" s="157">
        <f>+テーブル1[[#This Row],[合計金額]]*テーブル1[[#This Row],[自社報酬率％]]/100</f>
        <v>1312.5</v>
      </c>
    </row>
    <row r="5383" spans="1:18">
      <c r="A5383" s="158">
        <v>46054</v>
      </c>
      <c r="B5383" s="159" t="s">
        <v>43</v>
      </c>
      <c r="C5383" s="80" t="s">
        <v>2023</v>
      </c>
      <c r="D5383" s="161">
        <v>50</v>
      </c>
      <c r="E5383" s="161">
        <v>50</v>
      </c>
      <c r="F5383" s="164" t="s">
        <v>17</v>
      </c>
      <c r="G5383" s="165">
        <v>46327</v>
      </c>
      <c r="H5383" s="162" t="s">
        <v>3542</v>
      </c>
      <c r="I5383" s="163">
        <v>2625</v>
      </c>
      <c r="J5383" s="24">
        <v>1</v>
      </c>
      <c r="K5383" s="24"/>
      <c r="L5383" s="91">
        <v>0</v>
      </c>
      <c r="M5383" s="24"/>
      <c r="N5383" s="94">
        <f t="shared" si="217"/>
        <v>1</v>
      </c>
      <c r="O5383" s="156">
        <f t="shared" si="216"/>
        <v>2625</v>
      </c>
      <c r="P5383" s="10">
        <v>433</v>
      </c>
      <c r="Q5383" s="10" t="s">
        <v>1928</v>
      </c>
      <c r="R5383" s="157">
        <f>+テーブル1[[#This Row],[合計金額]]*テーブル1[[#This Row],[自社報酬率％]]/100</f>
        <v>1312.5</v>
      </c>
    </row>
    <row r="5384" spans="1:18">
      <c r="A5384" s="158">
        <v>46054</v>
      </c>
      <c r="B5384" s="159" t="s">
        <v>43</v>
      </c>
      <c r="C5384" s="80" t="s">
        <v>2023</v>
      </c>
      <c r="D5384" s="161">
        <v>50</v>
      </c>
      <c r="E5384" s="161">
        <v>50</v>
      </c>
      <c r="F5384" s="164" t="s">
        <v>17</v>
      </c>
      <c r="G5384" s="165">
        <v>46357</v>
      </c>
      <c r="H5384" s="162" t="s">
        <v>3543</v>
      </c>
      <c r="I5384" s="163">
        <v>2625</v>
      </c>
      <c r="J5384" s="24">
        <v>1</v>
      </c>
      <c r="K5384" s="24"/>
      <c r="L5384" s="91">
        <v>0</v>
      </c>
      <c r="M5384" s="24"/>
      <c r="N5384" s="94">
        <f t="shared" si="217"/>
        <v>1</v>
      </c>
      <c r="O5384" s="156">
        <f t="shared" si="216"/>
        <v>2625</v>
      </c>
      <c r="P5384" s="10">
        <v>434</v>
      </c>
      <c r="Q5384" s="10" t="s">
        <v>3188</v>
      </c>
      <c r="R5384" s="157">
        <f>+テーブル1[[#This Row],[合計金額]]*テーブル1[[#This Row],[自社報酬率％]]/100</f>
        <v>1312.5</v>
      </c>
    </row>
    <row r="5385" spans="1:18">
      <c r="A5385" s="158">
        <v>46054</v>
      </c>
      <c r="B5385" s="159" t="s">
        <v>43</v>
      </c>
      <c r="C5385" s="80" t="s">
        <v>2023</v>
      </c>
      <c r="D5385" s="161">
        <v>50</v>
      </c>
      <c r="E5385" s="161">
        <v>50</v>
      </c>
      <c r="F5385" s="164" t="s">
        <v>17</v>
      </c>
      <c r="G5385" s="165">
        <v>46388</v>
      </c>
      <c r="H5385" s="162" t="s">
        <v>3544</v>
      </c>
      <c r="I5385" s="163">
        <v>2625</v>
      </c>
      <c r="J5385" s="24">
        <v>1</v>
      </c>
      <c r="K5385" s="24"/>
      <c r="L5385" s="91">
        <v>0</v>
      </c>
      <c r="M5385" s="24"/>
      <c r="N5385" s="94">
        <f t="shared" si="217"/>
        <v>1</v>
      </c>
      <c r="O5385" s="156">
        <f t="shared" si="216"/>
        <v>2625</v>
      </c>
      <c r="P5385" s="10">
        <v>435</v>
      </c>
      <c r="Q5385" s="10" t="s">
        <v>3188</v>
      </c>
      <c r="R5385" s="157">
        <f>+テーブル1[[#This Row],[合計金額]]*テーブル1[[#This Row],[自社報酬率％]]/100</f>
        <v>1312.5</v>
      </c>
    </row>
    <row r="5386" spans="1:18">
      <c r="A5386" s="158">
        <v>46054</v>
      </c>
      <c r="B5386" s="159" t="s">
        <v>43</v>
      </c>
      <c r="C5386" s="81" t="s">
        <v>2023</v>
      </c>
      <c r="D5386" s="161">
        <v>50</v>
      </c>
      <c r="E5386" s="161">
        <v>50</v>
      </c>
      <c r="F5386" s="76" t="s">
        <v>17</v>
      </c>
      <c r="G5386" s="86">
        <v>46419</v>
      </c>
      <c r="H5386" s="162" t="s">
        <v>3545</v>
      </c>
      <c r="I5386" s="163">
        <v>2625</v>
      </c>
      <c r="J5386" s="77">
        <v>1</v>
      </c>
      <c r="K5386" s="24"/>
      <c r="L5386" s="92">
        <v>0</v>
      </c>
      <c r="M5386" s="24"/>
      <c r="N5386" s="95">
        <f t="shared" si="217"/>
        <v>1</v>
      </c>
      <c r="O5386" s="156">
        <f t="shared" si="216"/>
        <v>2625</v>
      </c>
      <c r="P5386" s="10">
        <v>436</v>
      </c>
      <c r="Q5386" s="10" t="s">
        <v>3188</v>
      </c>
      <c r="R5386" s="157">
        <f>+テーブル1[[#This Row],[合計金額]]*テーブル1[[#This Row],[自社報酬率％]]/100</f>
        <v>1312.5</v>
      </c>
    </row>
    <row r="5387" spans="1:18">
      <c r="A5387" s="158">
        <v>46054</v>
      </c>
      <c r="B5387" s="159" t="s">
        <v>43</v>
      </c>
      <c r="C5387" s="164" t="s">
        <v>2023</v>
      </c>
      <c r="D5387" s="161">
        <v>50</v>
      </c>
      <c r="E5387" s="161">
        <v>50</v>
      </c>
      <c r="F5387" s="164" t="s">
        <v>16</v>
      </c>
      <c r="G5387" s="165">
        <v>46082</v>
      </c>
      <c r="H5387" s="162" t="s">
        <v>2037</v>
      </c>
      <c r="I5387" s="163">
        <v>3150</v>
      </c>
      <c r="J5387" s="24">
        <v>16</v>
      </c>
      <c r="K5387" s="24"/>
      <c r="L5387" s="91">
        <v>0</v>
      </c>
      <c r="M5387" s="24"/>
      <c r="N5387" s="12">
        <f t="shared" si="217"/>
        <v>16</v>
      </c>
      <c r="O5387" s="156">
        <f t="shared" si="216"/>
        <v>50400</v>
      </c>
      <c r="P5387" s="10">
        <v>437</v>
      </c>
      <c r="Q5387" s="10" t="s">
        <v>1928</v>
      </c>
      <c r="R5387" s="157">
        <f>+テーブル1[[#This Row],[合計金額]]*テーブル1[[#This Row],[自社報酬率％]]/100</f>
        <v>25200</v>
      </c>
    </row>
    <row r="5388" spans="1:18">
      <c r="A5388" s="158">
        <v>46054</v>
      </c>
      <c r="B5388" s="159" t="s">
        <v>43</v>
      </c>
      <c r="C5388" s="166" t="s">
        <v>2375</v>
      </c>
      <c r="D5388" s="161">
        <v>50</v>
      </c>
      <c r="E5388" s="161">
        <v>50</v>
      </c>
      <c r="F5388" s="166" t="s">
        <v>17</v>
      </c>
      <c r="G5388" s="167">
        <v>46054</v>
      </c>
      <c r="H5388" s="162" t="s">
        <v>3546</v>
      </c>
      <c r="I5388" s="163">
        <v>363000</v>
      </c>
      <c r="J5388" s="24">
        <v>6</v>
      </c>
      <c r="K5388" s="24"/>
      <c r="L5388" s="91">
        <v>0</v>
      </c>
      <c r="M5388" s="24"/>
      <c r="N5388" s="12">
        <f t="shared" si="217"/>
        <v>6</v>
      </c>
      <c r="O5388" s="156">
        <f t="shared" si="216"/>
        <v>2178000</v>
      </c>
      <c r="P5388" s="10">
        <v>438</v>
      </c>
      <c r="Q5388" s="10" t="s">
        <v>1928</v>
      </c>
      <c r="R5388" s="157">
        <f>+テーブル1[[#This Row],[合計金額]]*テーブル1[[#This Row],[自社報酬率％]]/100</f>
        <v>1089000</v>
      </c>
    </row>
    <row r="5389" spans="1:18">
      <c r="A5389" s="158">
        <v>46054</v>
      </c>
      <c r="B5389" s="159" t="s">
        <v>43</v>
      </c>
      <c r="C5389" s="82" t="s">
        <v>2375</v>
      </c>
      <c r="D5389" s="161">
        <v>50</v>
      </c>
      <c r="E5389" s="161">
        <v>50</v>
      </c>
      <c r="F5389" s="82" t="s">
        <v>20</v>
      </c>
      <c r="G5389" s="87">
        <v>46054</v>
      </c>
      <c r="H5389" s="162" t="s">
        <v>3031</v>
      </c>
      <c r="I5389" s="163">
        <v>0</v>
      </c>
      <c r="J5389" s="77">
        <v>14</v>
      </c>
      <c r="K5389" s="24"/>
      <c r="L5389" s="92">
        <v>0</v>
      </c>
      <c r="M5389" s="24"/>
      <c r="N5389" s="96">
        <f t="shared" si="217"/>
        <v>14</v>
      </c>
      <c r="O5389" s="156">
        <f t="shared" si="216"/>
        <v>0</v>
      </c>
      <c r="P5389" s="10">
        <v>439</v>
      </c>
      <c r="Q5389" s="10" t="s">
        <v>1928</v>
      </c>
      <c r="R5389" s="157">
        <f>+テーブル1[[#This Row],[合計金額]]*テーブル1[[#This Row],[自社報酬率％]]/100</f>
        <v>0</v>
      </c>
    </row>
    <row r="5390" spans="1:18">
      <c r="A5390" s="158">
        <v>46054</v>
      </c>
      <c r="B5390" s="159" t="s">
        <v>46</v>
      </c>
      <c r="C5390" s="160" t="s">
        <v>15</v>
      </c>
      <c r="D5390" s="161">
        <v>100</v>
      </c>
      <c r="E5390" s="161">
        <v>100</v>
      </c>
      <c r="F5390" s="112" t="s">
        <v>17</v>
      </c>
      <c r="G5390" s="124">
        <v>46054</v>
      </c>
      <c r="H5390" s="162" t="s">
        <v>3475</v>
      </c>
      <c r="I5390" s="163">
        <v>3000</v>
      </c>
      <c r="J5390" s="73">
        <v>4</v>
      </c>
      <c r="K5390" s="24"/>
      <c r="L5390" s="90">
        <v>0</v>
      </c>
      <c r="M5390" s="24"/>
      <c r="N5390" s="146">
        <f t="shared" si="217"/>
        <v>4</v>
      </c>
      <c r="O5390" s="156">
        <f t="shared" si="216"/>
        <v>12000</v>
      </c>
      <c r="P5390" s="10">
        <v>440</v>
      </c>
      <c r="Q5390" s="10" t="s">
        <v>1928</v>
      </c>
      <c r="R5390" s="157">
        <f>+テーブル1[[#This Row],[合計金額]]*テーブル1[[#This Row],[自社報酬率％]]/100</f>
        <v>12000</v>
      </c>
    </row>
    <row r="5391" spans="1:18">
      <c r="A5391" s="158">
        <v>46054</v>
      </c>
      <c r="B5391" s="159" t="s">
        <v>46</v>
      </c>
      <c r="C5391" s="79" t="s">
        <v>1962</v>
      </c>
      <c r="D5391" s="161">
        <v>50</v>
      </c>
      <c r="E5391" s="161">
        <v>50</v>
      </c>
      <c r="F5391" s="72" t="s">
        <v>18</v>
      </c>
      <c r="G5391" s="85">
        <v>46082</v>
      </c>
      <c r="H5391" s="162" t="s">
        <v>2040</v>
      </c>
      <c r="I5391" s="163">
        <v>14500</v>
      </c>
      <c r="J5391" s="73">
        <v>1</v>
      </c>
      <c r="K5391" s="24"/>
      <c r="L5391" s="90">
        <v>0</v>
      </c>
      <c r="M5391" s="24"/>
      <c r="N5391" s="93">
        <f t="shared" si="217"/>
        <v>1</v>
      </c>
      <c r="O5391" s="156">
        <f t="shared" si="216"/>
        <v>14500</v>
      </c>
      <c r="P5391" s="10">
        <v>441</v>
      </c>
      <c r="Q5391" s="10" t="s">
        <v>1928</v>
      </c>
      <c r="R5391" s="157">
        <f>+テーブル1[[#This Row],[合計金額]]*テーブル1[[#This Row],[自社報酬率％]]/100</f>
        <v>7250</v>
      </c>
    </row>
    <row r="5392" spans="1:18">
      <c r="A5392" s="158">
        <v>46054</v>
      </c>
      <c r="B5392" s="159" t="s">
        <v>46</v>
      </c>
      <c r="C5392" s="80" t="s">
        <v>1962</v>
      </c>
      <c r="D5392" s="161">
        <v>50</v>
      </c>
      <c r="E5392" s="161">
        <v>50</v>
      </c>
      <c r="F5392" s="164" t="s">
        <v>18</v>
      </c>
      <c r="G5392" s="165">
        <v>46113</v>
      </c>
      <c r="H5392" s="162" t="s">
        <v>2041</v>
      </c>
      <c r="I5392" s="163">
        <v>14500</v>
      </c>
      <c r="J5392" s="24">
        <v>1</v>
      </c>
      <c r="K5392" s="24"/>
      <c r="L5392" s="91">
        <v>0</v>
      </c>
      <c r="M5392" s="24"/>
      <c r="N5392" s="94">
        <f t="shared" si="217"/>
        <v>1</v>
      </c>
      <c r="O5392" s="156">
        <f t="shared" si="216"/>
        <v>14500</v>
      </c>
      <c r="P5392" s="10">
        <v>442</v>
      </c>
      <c r="Q5392" s="10" t="s">
        <v>1928</v>
      </c>
      <c r="R5392" s="157">
        <f>+テーブル1[[#This Row],[合計金額]]*テーブル1[[#This Row],[自社報酬率％]]/100</f>
        <v>7250</v>
      </c>
    </row>
    <row r="5393" spans="1:18">
      <c r="A5393" s="158">
        <v>46054</v>
      </c>
      <c r="B5393" s="159" t="s">
        <v>46</v>
      </c>
      <c r="C5393" s="81" t="s">
        <v>1962</v>
      </c>
      <c r="D5393" s="161">
        <v>50</v>
      </c>
      <c r="E5393" s="161">
        <v>50</v>
      </c>
      <c r="F5393" s="76" t="s">
        <v>18</v>
      </c>
      <c r="G5393" s="86">
        <v>46143</v>
      </c>
      <c r="H5393" s="162" t="s">
        <v>2042</v>
      </c>
      <c r="I5393" s="163">
        <v>14500</v>
      </c>
      <c r="J5393" s="77">
        <v>1</v>
      </c>
      <c r="K5393" s="24"/>
      <c r="L5393" s="92">
        <v>0</v>
      </c>
      <c r="M5393" s="24"/>
      <c r="N5393" s="95">
        <f t="shared" si="217"/>
        <v>1</v>
      </c>
      <c r="O5393" s="156">
        <f t="shared" si="216"/>
        <v>14500</v>
      </c>
      <c r="P5393" s="10">
        <v>443</v>
      </c>
      <c r="Q5393" s="10" t="s">
        <v>1928</v>
      </c>
      <c r="R5393" s="157">
        <f>+テーブル1[[#This Row],[合計金額]]*テーブル1[[#This Row],[自社報酬率％]]/100</f>
        <v>7250</v>
      </c>
    </row>
    <row r="5394" spans="1:18">
      <c r="A5394" s="158">
        <v>46054</v>
      </c>
      <c r="B5394" s="159" t="s">
        <v>46</v>
      </c>
      <c r="C5394" s="166" t="s">
        <v>1962</v>
      </c>
      <c r="D5394" s="161">
        <v>50</v>
      </c>
      <c r="E5394" s="161">
        <v>50</v>
      </c>
      <c r="F5394" s="166" t="s">
        <v>19</v>
      </c>
      <c r="G5394" s="167">
        <v>46054</v>
      </c>
      <c r="H5394" s="162" t="s">
        <v>1975</v>
      </c>
      <c r="I5394" s="163">
        <v>432300</v>
      </c>
      <c r="J5394" s="24">
        <v>2</v>
      </c>
      <c r="K5394" s="24"/>
      <c r="L5394" s="91">
        <v>0</v>
      </c>
      <c r="M5394" s="24"/>
      <c r="N5394" s="12">
        <f t="shared" si="217"/>
        <v>2</v>
      </c>
      <c r="O5394" s="156">
        <f t="shared" si="216"/>
        <v>864600</v>
      </c>
      <c r="P5394" s="10">
        <v>444</v>
      </c>
      <c r="Q5394" s="10" t="s">
        <v>1928</v>
      </c>
      <c r="R5394" s="157">
        <f>+テーブル1[[#This Row],[合計金額]]*テーブル1[[#This Row],[自社報酬率％]]/100</f>
        <v>432300</v>
      </c>
    </row>
    <row r="5395" spans="1:18">
      <c r="A5395" s="158">
        <v>46054</v>
      </c>
      <c r="B5395" s="159" t="s">
        <v>46</v>
      </c>
      <c r="C5395" s="166" t="s">
        <v>1962</v>
      </c>
      <c r="D5395" s="161">
        <v>50</v>
      </c>
      <c r="E5395" s="161">
        <v>50</v>
      </c>
      <c r="F5395" s="166" t="s">
        <v>19</v>
      </c>
      <c r="G5395" s="167">
        <v>46054</v>
      </c>
      <c r="H5395" s="162" t="s">
        <v>1980</v>
      </c>
      <c r="I5395" s="163">
        <v>550000</v>
      </c>
      <c r="J5395" s="24">
        <v>1</v>
      </c>
      <c r="K5395" s="24"/>
      <c r="L5395" s="91">
        <v>0</v>
      </c>
      <c r="M5395" s="24"/>
      <c r="N5395" s="12">
        <f t="shared" si="217"/>
        <v>1</v>
      </c>
      <c r="O5395" s="156">
        <f t="shared" si="216"/>
        <v>550000</v>
      </c>
      <c r="P5395" s="10">
        <v>445</v>
      </c>
      <c r="Q5395" s="10" t="s">
        <v>1928</v>
      </c>
      <c r="R5395" s="157">
        <f>+テーブル1[[#This Row],[合計金額]]*テーブル1[[#This Row],[自社報酬率％]]/100</f>
        <v>275000</v>
      </c>
    </row>
    <row r="5396" spans="1:18">
      <c r="A5396" s="158">
        <v>46054</v>
      </c>
      <c r="B5396" s="159" t="s">
        <v>46</v>
      </c>
      <c r="C5396" s="166" t="s">
        <v>1962</v>
      </c>
      <c r="D5396" s="161">
        <v>50</v>
      </c>
      <c r="E5396" s="161">
        <v>50</v>
      </c>
      <c r="F5396" s="166" t="s">
        <v>19</v>
      </c>
      <c r="G5396" s="167">
        <v>46054</v>
      </c>
      <c r="H5396" s="162" t="s">
        <v>3489</v>
      </c>
      <c r="I5396" s="163">
        <v>432300</v>
      </c>
      <c r="J5396" s="24">
        <v>27</v>
      </c>
      <c r="K5396" s="24"/>
      <c r="L5396" s="91">
        <v>0</v>
      </c>
      <c r="M5396" s="24"/>
      <c r="N5396" s="12">
        <f t="shared" si="217"/>
        <v>27</v>
      </c>
      <c r="O5396" s="156">
        <f t="shared" si="216"/>
        <v>11672100</v>
      </c>
      <c r="P5396" s="10">
        <v>446</v>
      </c>
      <c r="Q5396" s="10" t="s">
        <v>1928</v>
      </c>
      <c r="R5396" s="157">
        <f>+テーブル1[[#This Row],[合計金額]]*テーブル1[[#This Row],[自社報酬率％]]/100</f>
        <v>5836050</v>
      </c>
    </row>
    <row r="5397" spans="1:18">
      <c r="A5397" s="158">
        <v>46054</v>
      </c>
      <c r="B5397" s="159" t="s">
        <v>46</v>
      </c>
      <c r="C5397" s="166" t="s">
        <v>1962</v>
      </c>
      <c r="D5397" s="161">
        <v>50</v>
      </c>
      <c r="E5397" s="161">
        <v>50</v>
      </c>
      <c r="F5397" s="166" t="s">
        <v>19</v>
      </c>
      <c r="G5397" s="167">
        <v>46054</v>
      </c>
      <c r="H5397" s="162" t="s">
        <v>3493</v>
      </c>
      <c r="I5397" s="163">
        <v>117700</v>
      </c>
      <c r="J5397" s="24">
        <v>1</v>
      </c>
      <c r="K5397" s="24"/>
      <c r="L5397" s="91">
        <v>0</v>
      </c>
      <c r="M5397" s="24"/>
      <c r="N5397" s="12">
        <f t="shared" si="217"/>
        <v>1</v>
      </c>
      <c r="O5397" s="156">
        <f t="shared" si="216"/>
        <v>117700</v>
      </c>
      <c r="P5397" s="10">
        <v>447</v>
      </c>
      <c r="Q5397" s="10" t="s">
        <v>1928</v>
      </c>
      <c r="R5397" s="157">
        <f>+テーブル1[[#This Row],[合計金額]]*テーブル1[[#This Row],[自社報酬率％]]/100</f>
        <v>58850</v>
      </c>
    </row>
    <row r="5398" spans="1:18">
      <c r="A5398" s="158">
        <v>46054</v>
      </c>
      <c r="B5398" s="159" t="s">
        <v>46</v>
      </c>
      <c r="C5398" s="166" t="s">
        <v>1962</v>
      </c>
      <c r="D5398" s="161">
        <v>50</v>
      </c>
      <c r="E5398" s="161">
        <v>50</v>
      </c>
      <c r="F5398" s="166" t="s">
        <v>19</v>
      </c>
      <c r="G5398" s="167">
        <v>46054</v>
      </c>
      <c r="H5398" s="162" t="s">
        <v>3496</v>
      </c>
      <c r="I5398" s="163">
        <v>550000</v>
      </c>
      <c r="J5398" s="24">
        <v>2</v>
      </c>
      <c r="K5398" s="24"/>
      <c r="L5398" s="91">
        <v>0</v>
      </c>
      <c r="M5398" s="24"/>
      <c r="N5398" s="12">
        <f t="shared" si="217"/>
        <v>2</v>
      </c>
      <c r="O5398" s="156">
        <f t="shared" si="216"/>
        <v>1100000</v>
      </c>
      <c r="P5398" s="10">
        <v>448</v>
      </c>
      <c r="Q5398" s="10" t="s">
        <v>1928</v>
      </c>
      <c r="R5398" s="157">
        <f>+テーブル1[[#This Row],[合計金額]]*テーブル1[[#This Row],[自社報酬率％]]/100</f>
        <v>550000</v>
      </c>
    </row>
    <row r="5399" spans="1:18">
      <c r="A5399" s="158">
        <v>46054</v>
      </c>
      <c r="B5399" s="159" t="s">
        <v>46</v>
      </c>
      <c r="C5399" s="166" t="s">
        <v>1962</v>
      </c>
      <c r="D5399" s="161">
        <v>50</v>
      </c>
      <c r="E5399" s="161">
        <v>50</v>
      </c>
      <c r="F5399" s="166" t="s">
        <v>19</v>
      </c>
      <c r="G5399" s="167">
        <v>46054</v>
      </c>
      <c r="H5399" s="162" t="s">
        <v>3500</v>
      </c>
      <c r="I5399" s="163">
        <v>1000</v>
      </c>
      <c r="J5399" s="24">
        <v>24</v>
      </c>
      <c r="K5399" s="24"/>
      <c r="L5399" s="91">
        <v>0</v>
      </c>
      <c r="M5399" s="24"/>
      <c r="N5399" s="12">
        <f t="shared" si="217"/>
        <v>24</v>
      </c>
      <c r="O5399" s="156">
        <f t="shared" si="216"/>
        <v>24000</v>
      </c>
      <c r="P5399" s="10">
        <v>449</v>
      </c>
      <c r="Q5399" s="10" t="s">
        <v>1928</v>
      </c>
      <c r="R5399" s="157">
        <f>+テーブル1[[#This Row],[合計金額]]*テーブル1[[#This Row],[自社報酬率％]]/100</f>
        <v>12000</v>
      </c>
    </row>
    <row r="5400" spans="1:18">
      <c r="A5400" s="158">
        <v>46054</v>
      </c>
      <c r="B5400" s="159" t="s">
        <v>46</v>
      </c>
      <c r="C5400" s="166" t="s">
        <v>1962</v>
      </c>
      <c r="D5400" s="161">
        <v>50</v>
      </c>
      <c r="E5400" s="161">
        <v>50</v>
      </c>
      <c r="F5400" s="166" t="s">
        <v>19</v>
      </c>
      <c r="G5400" s="167">
        <v>46054</v>
      </c>
      <c r="H5400" s="162" t="s">
        <v>3501</v>
      </c>
      <c r="I5400" s="163">
        <v>126820</v>
      </c>
      <c r="J5400" s="24">
        <v>2</v>
      </c>
      <c r="K5400" s="24"/>
      <c r="L5400" s="91">
        <v>0</v>
      </c>
      <c r="M5400" s="24"/>
      <c r="N5400" s="12">
        <f t="shared" si="217"/>
        <v>2</v>
      </c>
      <c r="O5400" s="156">
        <f t="shared" si="216"/>
        <v>253640</v>
      </c>
      <c r="P5400" s="10">
        <v>450</v>
      </c>
      <c r="Q5400" s="10" t="s">
        <v>1928</v>
      </c>
      <c r="R5400" s="157">
        <f>+テーブル1[[#This Row],[合計金額]]*テーブル1[[#This Row],[自社報酬率％]]/100</f>
        <v>126820</v>
      </c>
    </row>
    <row r="5401" spans="1:18">
      <c r="A5401" s="158">
        <v>46054</v>
      </c>
      <c r="B5401" s="159" t="s">
        <v>46</v>
      </c>
      <c r="C5401" s="166" t="s">
        <v>1962</v>
      </c>
      <c r="D5401" s="161">
        <v>50</v>
      </c>
      <c r="E5401" s="161">
        <v>50</v>
      </c>
      <c r="F5401" s="166" t="s">
        <v>20</v>
      </c>
      <c r="G5401" s="167">
        <v>46054</v>
      </c>
      <c r="H5401" s="162" t="s">
        <v>3506</v>
      </c>
      <c r="I5401" s="163">
        <v>41470</v>
      </c>
      <c r="J5401" s="24">
        <v>4</v>
      </c>
      <c r="K5401" s="24"/>
      <c r="L5401" s="91">
        <v>0</v>
      </c>
      <c r="M5401" s="24"/>
      <c r="N5401" s="12">
        <f t="shared" si="217"/>
        <v>4</v>
      </c>
      <c r="O5401" s="156">
        <f t="shared" si="216"/>
        <v>165880</v>
      </c>
      <c r="P5401" s="10">
        <v>451</v>
      </c>
      <c r="Q5401" s="10" t="s">
        <v>1928</v>
      </c>
      <c r="R5401" s="157">
        <f>+テーブル1[[#This Row],[合計金額]]*テーブル1[[#This Row],[自社報酬率％]]/100</f>
        <v>82940</v>
      </c>
    </row>
    <row r="5402" spans="1:18">
      <c r="A5402" s="158">
        <v>46054</v>
      </c>
      <c r="B5402" s="159" t="s">
        <v>46</v>
      </c>
      <c r="C5402" s="166" t="s">
        <v>1962</v>
      </c>
      <c r="D5402" s="161">
        <v>50</v>
      </c>
      <c r="E5402" s="161">
        <v>50</v>
      </c>
      <c r="F5402" s="166" t="s">
        <v>20</v>
      </c>
      <c r="G5402" s="167">
        <v>46054</v>
      </c>
      <c r="H5402" s="162" t="s">
        <v>3507</v>
      </c>
      <c r="I5402" s="163">
        <v>9800</v>
      </c>
      <c r="J5402" s="24">
        <v>2</v>
      </c>
      <c r="K5402" s="24"/>
      <c r="L5402" s="91">
        <v>0</v>
      </c>
      <c r="M5402" s="24"/>
      <c r="N5402" s="12">
        <f t="shared" si="217"/>
        <v>2</v>
      </c>
      <c r="O5402" s="156">
        <f t="shared" si="216"/>
        <v>19600</v>
      </c>
      <c r="P5402" s="10">
        <v>452</v>
      </c>
      <c r="Q5402" s="10" t="s">
        <v>1928</v>
      </c>
      <c r="R5402" s="157">
        <f>+テーブル1[[#This Row],[合計金額]]*テーブル1[[#This Row],[自社報酬率％]]/100</f>
        <v>9800</v>
      </c>
    </row>
    <row r="5403" spans="1:18">
      <c r="A5403" s="158">
        <v>46054</v>
      </c>
      <c r="B5403" s="159" t="s">
        <v>46</v>
      </c>
      <c r="C5403" s="79" t="s">
        <v>1962</v>
      </c>
      <c r="D5403" s="161">
        <v>55</v>
      </c>
      <c r="E5403" s="161">
        <v>45</v>
      </c>
      <c r="F5403" s="72" t="s">
        <v>19</v>
      </c>
      <c r="G5403" s="85">
        <v>46082</v>
      </c>
      <c r="H5403" s="162" t="s">
        <v>53</v>
      </c>
      <c r="I5403" s="163">
        <v>19050</v>
      </c>
      <c r="J5403" s="73">
        <v>4</v>
      </c>
      <c r="K5403" s="24"/>
      <c r="L5403" s="90">
        <v>0</v>
      </c>
      <c r="M5403" s="24"/>
      <c r="N5403" s="93">
        <f t="shared" si="217"/>
        <v>4</v>
      </c>
      <c r="O5403" s="156">
        <f t="shared" si="216"/>
        <v>76200</v>
      </c>
      <c r="P5403" s="10">
        <v>453</v>
      </c>
      <c r="Q5403" s="10" t="s">
        <v>1928</v>
      </c>
      <c r="R5403" s="157">
        <f>+テーブル1[[#This Row],[合計金額]]*テーブル1[[#This Row],[自社報酬率％]]/100</f>
        <v>34290</v>
      </c>
    </row>
    <row r="5404" spans="1:18">
      <c r="A5404" s="158">
        <v>46054</v>
      </c>
      <c r="B5404" s="159" t="s">
        <v>46</v>
      </c>
      <c r="C5404" s="80" t="s">
        <v>1962</v>
      </c>
      <c r="D5404" s="161">
        <v>55</v>
      </c>
      <c r="E5404" s="161">
        <v>45</v>
      </c>
      <c r="F5404" s="164" t="s">
        <v>19</v>
      </c>
      <c r="G5404" s="165">
        <v>46113</v>
      </c>
      <c r="H5404" s="162" t="s">
        <v>3547</v>
      </c>
      <c r="I5404" s="163">
        <v>19050</v>
      </c>
      <c r="J5404" s="24">
        <v>4</v>
      </c>
      <c r="K5404" s="24"/>
      <c r="L5404" s="91">
        <v>0</v>
      </c>
      <c r="M5404" s="24"/>
      <c r="N5404" s="94">
        <f t="shared" si="217"/>
        <v>4</v>
      </c>
      <c r="O5404" s="156">
        <f t="shared" si="216"/>
        <v>76200</v>
      </c>
      <c r="P5404" s="10">
        <v>454</v>
      </c>
      <c r="Q5404" s="10" t="s">
        <v>1928</v>
      </c>
      <c r="R5404" s="157">
        <f>+テーブル1[[#This Row],[合計金額]]*テーブル1[[#This Row],[自社報酬率％]]/100</f>
        <v>34290</v>
      </c>
    </row>
    <row r="5405" spans="1:18">
      <c r="A5405" s="158">
        <v>46054</v>
      </c>
      <c r="B5405" s="159" t="s">
        <v>46</v>
      </c>
      <c r="C5405" s="80" t="s">
        <v>1962</v>
      </c>
      <c r="D5405" s="161">
        <v>55</v>
      </c>
      <c r="E5405" s="161">
        <v>45</v>
      </c>
      <c r="F5405" s="164" t="s">
        <v>19</v>
      </c>
      <c r="G5405" s="165">
        <v>46143</v>
      </c>
      <c r="H5405" s="162" t="s">
        <v>3548</v>
      </c>
      <c r="I5405" s="163">
        <v>19050</v>
      </c>
      <c r="J5405" s="24">
        <v>4</v>
      </c>
      <c r="K5405" s="24"/>
      <c r="L5405" s="91">
        <v>0</v>
      </c>
      <c r="M5405" s="24"/>
      <c r="N5405" s="94">
        <f t="shared" si="217"/>
        <v>4</v>
      </c>
      <c r="O5405" s="156">
        <f t="shared" si="216"/>
        <v>76200</v>
      </c>
      <c r="P5405" s="10">
        <v>455</v>
      </c>
      <c r="Q5405" s="10" t="s">
        <v>1928</v>
      </c>
      <c r="R5405" s="157">
        <f>+テーブル1[[#This Row],[合計金額]]*テーブル1[[#This Row],[自社報酬率％]]/100</f>
        <v>34290</v>
      </c>
    </row>
    <row r="5406" spans="1:18">
      <c r="A5406" s="158">
        <v>46054</v>
      </c>
      <c r="B5406" s="159" t="s">
        <v>46</v>
      </c>
      <c r="C5406" s="80" t="s">
        <v>1962</v>
      </c>
      <c r="D5406" s="161">
        <v>55</v>
      </c>
      <c r="E5406" s="161">
        <v>45</v>
      </c>
      <c r="F5406" s="164" t="s">
        <v>19</v>
      </c>
      <c r="G5406" s="165">
        <v>46174</v>
      </c>
      <c r="H5406" s="162" t="s">
        <v>3549</v>
      </c>
      <c r="I5406" s="163">
        <v>19050</v>
      </c>
      <c r="J5406" s="24">
        <v>4</v>
      </c>
      <c r="K5406" s="24"/>
      <c r="L5406" s="91">
        <v>0</v>
      </c>
      <c r="M5406" s="24"/>
      <c r="N5406" s="94">
        <f t="shared" si="217"/>
        <v>4</v>
      </c>
      <c r="O5406" s="156">
        <f t="shared" si="216"/>
        <v>76200</v>
      </c>
      <c r="P5406" s="10">
        <v>456</v>
      </c>
      <c r="Q5406" s="10" t="s">
        <v>1928</v>
      </c>
      <c r="R5406" s="157">
        <f>+テーブル1[[#This Row],[合計金額]]*テーブル1[[#This Row],[自社報酬率％]]/100</f>
        <v>34290</v>
      </c>
    </row>
    <row r="5407" spans="1:18">
      <c r="A5407" s="158">
        <v>46054</v>
      </c>
      <c r="B5407" s="159" t="s">
        <v>46</v>
      </c>
      <c r="C5407" s="80" t="s">
        <v>1962</v>
      </c>
      <c r="D5407" s="161">
        <v>55</v>
      </c>
      <c r="E5407" s="161">
        <v>45</v>
      </c>
      <c r="F5407" s="164" t="s">
        <v>19</v>
      </c>
      <c r="G5407" s="165">
        <v>46204</v>
      </c>
      <c r="H5407" s="162" t="s">
        <v>3550</v>
      </c>
      <c r="I5407" s="163">
        <v>19050</v>
      </c>
      <c r="J5407" s="24">
        <v>4</v>
      </c>
      <c r="K5407" s="24"/>
      <c r="L5407" s="91">
        <v>0</v>
      </c>
      <c r="M5407" s="24"/>
      <c r="N5407" s="94">
        <f t="shared" si="217"/>
        <v>4</v>
      </c>
      <c r="O5407" s="156">
        <f t="shared" si="216"/>
        <v>76200</v>
      </c>
      <c r="P5407" s="10">
        <v>457</v>
      </c>
      <c r="Q5407" s="10" t="s">
        <v>1928</v>
      </c>
      <c r="R5407" s="157">
        <f>+テーブル1[[#This Row],[合計金額]]*テーブル1[[#This Row],[自社報酬率％]]/100</f>
        <v>34290</v>
      </c>
    </row>
    <row r="5408" spans="1:18">
      <c r="A5408" s="158">
        <v>46054</v>
      </c>
      <c r="B5408" s="159" t="s">
        <v>46</v>
      </c>
      <c r="C5408" s="81" t="s">
        <v>1962</v>
      </c>
      <c r="D5408" s="161">
        <v>55</v>
      </c>
      <c r="E5408" s="161">
        <v>45</v>
      </c>
      <c r="F5408" s="76" t="s">
        <v>19</v>
      </c>
      <c r="G5408" s="86">
        <v>46235</v>
      </c>
      <c r="H5408" s="162" t="s">
        <v>3551</v>
      </c>
      <c r="I5408" s="163">
        <v>19050</v>
      </c>
      <c r="J5408" s="77">
        <v>4</v>
      </c>
      <c r="K5408" s="24"/>
      <c r="L5408" s="92">
        <v>0</v>
      </c>
      <c r="M5408" s="24"/>
      <c r="N5408" s="95">
        <f t="shared" si="217"/>
        <v>4</v>
      </c>
      <c r="O5408" s="156">
        <f t="shared" si="216"/>
        <v>76200</v>
      </c>
      <c r="P5408" s="10">
        <v>458</v>
      </c>
      <c r="Q5408" s="10" t="s">
        <v>1928</v>
      </c>
      <c r="R5408" s="157">
        <f>+テーブル1[[#This Row],[合計金額]]*テーブル1[[#This Row],[自社報酬率％]]/100</f>
        <v>34290</v>
      </c>
    </row>
    <row r="5409" spans="1:18">
      <c r="A5409" s="158">
        <v>46054</v>
      </c>
      <c r="B5409" s="159" t="s">
        <v>46</v>
      </c>
      <c r="C5409" s="166" t="s">
        <v>1962</v>
      </c>
      <c r="D5409" s="161">
        <v>55</v>
      </c>
      <c r="E5409" s="161">
        <v>45</v>
      </c>
      <c r="F5409" s="166" t="s">
        <v>20</v>
      </c>
      <c r="G5409" s="167">
        <v>46054</v>
      </c>
      <c r="H5409" s="162" t="s">
        <v>2323</v>
      </c>
      <c r="I5409" s="163">
        <v>0</v>
      </c>
      <c r="J5409" s="24">
        <v>7</v>
      </c>
      <c r="K5409" s="24"/>
      <c r="L5409" s="91">
        <v>0</v>
      </c>
      <c r="M5409" s="24"/>
      <c r="N5409" s="12">
        <f t="shared" si="217"/>
        <v>7</v>
      </c>
      <c r="O5409" s="156">
        <f t="shared" si="216"/>
        <v>0</v>
      </c>
      <c r="P5409" s="10">
        <v>459</v>
      </c>
      <c r="Q5409" s="10" t="s">
        <v>1928</v>
      </c>
      <c r="R5409" s="157">
        <f>+テーブル1[[#This Row],[合計金額]]*テーブル1[[#This Row],[自社報酬率％]]/100</f>
        <v>0</v>
      </c>
    </row>
    <row r="5410" spans="1:18">
      <c r="A5410" s="158">
        <v>46054</v>
      </c>
      <c r="B5410" s="159" t="s">
        <v>46</v>
      </c>
      <c r="C5410" s="166" t="s">
        <v>1962</v>
      </c>
      <c r="D5410" s="161">
        <v>80</v>
      </c>
      <c r="E5410" s="161">
        <v>20</v>
      </c>
      <c r="F5410" s="166" t="s">
        <v>19</v>
      </c>
      <c r="G5410" s="167">
        <v>46054</v>
      </c>
      <c r="H5410" s="162" t="s">
        <v>3552</v>
      </c>
      <c r="I5410" s="163">
        <v>10000</v>
      </c>
      <c r="J5410" s="24">
        <v>1</v>
      </c>
      <c r="K5410" s="24"/>
      <c r="L5410" s="91">
        <v>0</v>
      </c>
      <c r="M5410" s="24"/>
      <c r="N5410" s="12">
        <f t="shared" si="217"/>
        <v>1</v>
      </c>
      <c r="O5410" s="156">
        <f t="shared" si="216"/>
        <v>10000</v>
      </c>
      <c r="P5410" s="10">
        <v>460</v>
      </c>
      <c r="Q5410" s="10" t="s">
        <v>1928</v>
      </c>
      <c r="R5410" s="157">
        <f>+テーブル1[[#This Row],[合計金額]]*テーブル1[[#This Row],[自社報酬率％]]/100</f>
        <v>2000</v>
      </c>
    </row>
    <row r="5411" spans="1:18">
      <c r="A5411" s="158">
        <v>46054</v>
      </c>
      <c r="B5411" s="159" t="s">
        <v>46</v>
      </c>
      <c r="C5411" s="82" t="s">
        <v>2375</v>
      </c>
      <c r="D5411" s="161">
        <v>50</v>
      </c>
      <c r="E5411" s="161">
        <v>50</v>
      </c>
      <c r="F5411" s="82" t="s">
        <v>20</v>
      </c>
      <c r="G5411" s="87">
        <v>46054</v>
      </c>
      <c r="H5411" s="162" t="s">
        <v>3031</v>
      </c>
      <c r="I5411" s="163">
        <v>0</v>
      </c>
      <c r="J5411" s="77">
        <v>1</v>
      </c>
      <c r="K5411" s="24"/>
      <c r="L5411" s="92">
        <v>0</v>
      </c>
      <c r="M5411" s="24"/>
      <c r="N5411" s="96">
        <f t="shared" si="217"/>
        <v>1</v>
      </c>
      <c r="O5411" s="156">
        <f t="shared" si="216"/>
        <v>0</v>
      </c>
      <c r="P5411" s="10">
        <v>461</v>
      </c>
      <c r="Q5411" s="10" t="s">
        <v>1928</v>
      </c>
      <c r="R5411" s="157">
        <f>+テーブル1[[#This Row],[合計金額]]*テーブル1[[#This Row],[自社報酬率％]]/100</f>
        <v>0</v>
      </c>
    </row>
    <row r="5412" spans="1:18">
      <c r="A5412" s="158">
        <v>46054</v>
      </c>
      <c r="B5412" s="159" t="s">
        <v>43</v>
      </c>
      <c r="C5412" s="164" t="s">
        <v>2043</v>
      </c>
      <c r="D5412" s="161">
        <v>60</v>
      </c>
      <c r="E5412" s="161">
        <v>40</v>
      </c>
      <c r="F5412" s="164" t="s">
        <v>16</v>
      </c>
      <c r="G5412" s="165">
        <v>46082</v>
      </c>
      <c r="H5412" s="162" t="s">
        <v>2044</v>
      </c>
      <c r="I5412" s="163">
        <v>10780</v>
      </c>
      <c r="J5412" s="24">
        <v>3</v>
      </c>
      <c r="K5412" s="24"/>
      <c r="L5412" s="91">
        <v>0</v>
      </c>
      <c r="M5412" s="24"/>
      <c r="N5412" s="12">
        <f t="shared" si="217"/>
        <v>3</v>
      </c>
      <c r="O5412" s="156">
        <f t="shared" si="216"/>
        <v>32340</v>
      </c>
      <c r="P5412" s="10">
        <v>462</v>
      </c>
      <c r="Q5412" s="10" t="s">
        <v>1928</v>
      </c>
      <c r="R5412" s="157">
        <f>+テーブル1[[#This Row],[合計金額]]*テーブル1[[#This Row],[自社報酬率％]]/100</f>
        <v>12936</v>
      </c>
    </row>
    <row r="5413" spans="1:18">
      <c r="A5413" s="158">
        <v>46054</v>
      </c>
      <c r="B5413" s="159" t="s">
        <v>43</v>
      </c>
      <c r="C5413" s="164" t="s">
        <v>2045</v>
      </c>
      <c r="D5413" s="161">
        <v>40</v>
      </c>
      <c r="E5413" s="161">
        <v>60</v>
      </c>
      <c r="F5413" s="168" t="s">
        <v>16</v>
      </c>
      <c r="G5413" s="165">
        <v>46082</v>
      </c>
      <c r="H5413" s="162" t="s">
        <v>2046</v>
      </c>
      <c r="I5413" s="163">
        <v>16500</v>
      </c>
      <c r="J5413" s="24">
        <v>3</v>
      </c>
      <c r="K5413" s="24"/>
      <c r="L5413" s="91">
        <v>0</v>
      </c>
      <c r="M5413" s="24"/>
      <c r="N5413" s="12">
        <f t="shared" si="217"/>
        <v>3</v>
      </c>
      <c r="O5413" s="156">
        <f t="shared" si="216"/>
        <v>49500</v>
      </c>
      <c r="P5413" s="10">
        <v>463</v>
      </c>
      <c r="Q5413" s="10" t="s">
        <v>1928</v>
      </c>
      <c r="R5413" s="157">
        <f>+テーブル1[[#This Row],[合計金額]]*テーブル1[[#This Row],[自社報酬率％]]/100</f>
        <v>29700</v>
      </c>
    </row>
    <row r="5414" spans="1:18">
      <c r="A5414" s="158">
        <v>46054</v>
      </c>
      <c r="B5414" s="159" t="s">
        <v>14</v>
      </c>
      <c r="C5414" s="164" t="s">
        <v>2043</v>
      </c>
      <c r="D5414" s="161">
        <v>60</v>
      </c>
      <c r="E5414" s="161">
        <v>40</v>
      </c>
      <c r="F5414" s="168" t="s">
        <v>16</v>
      </c>
      <c r="G5414" s="165">
        <v>46082</v>
      </c>
      <c r="H5414" s="162" t="s">
        <v>2047</v>
      </c>
      <c r="I5414" s="163">
        <v>10780</v>
      </c>
      <c r="J5414" s="24">
        <v>1</v>
      </c>
      <c r="K5414" s="24">
        <v>0</v>
      </c>
      <c r="L5414" s="91">
        <v>0</v>
      </c>
      <c r="M5414" s="24">
        <v>0</v>
      </c>
      <c r="N5414" s="12">
        <f t="shared" ref="N5414:N5477" si="218">J5414-K5414-L5414-M5414</f>
        <v>1</v>
      </c>
      <c r="O5414" s="156">
        <f t="shared" si="216"/>
        <v>10780</v>
      </c>
      <c r="P5414" s="10">
        <v>15</v>
      </c>
      <c r="Q5414" s="10" t="s">
        <v>1928</v>
      </c>
      <c r="R5414" s="157">
        <f>+テーブル1[[#This Row],[合計金額]]*テーブル1[[#This Row],[自社報酬率％]]/100</f>
        <v>4312</v>
      </c>
    </row>
    <row r="5415" spans="1:18">
      <c r="A5415" s="158">
        <v>46054</v>
      </c>
      <c r="B5415" s="159" t="s">
        <v>14</v>
      </c>
      <c r="C5415" s="164" t="s">
        <v>1962</v>
      </c>
      <c r="D5415" s="161">
        <v>50</v>
      </c>
      <c r="E5415" s="161">
        <v>50</v>
      </c>
      <c r="F5415" s="168" t="s">
        <v>16</v>
      </c>
      <c r="G5415" s="165">
        <v>46082</v>
      </c>
      <c r="H5415" s="162" t="s">
        <v>1985</v>
      </c>
      <c r="I5415" s="163">
        <v>13200</v>
      </c>
      <c r="J5415" s="24">
        <v>7</v>
      </c>
      <c r="K5415" s="24">
        <v>0</v>
      </c>
      <c r="L5415" s="91">
        <v>0</v>
      </c>
      <c r="M5415" s="24">
        <v>0</v>
      </c>
      <c r="N5415" s="12">
        <f t="shared" si="218"/>
        <v>7</v>
      </c>
      <c r="O5415" s="156">
        <f t="shared" si="216"/>
        <v>92400</v>
      </c>
      <c r="P5415" s="10">
        <v>16</v>
      </c>
      <c r="Q5415" s="10" t="s">
        <v>1928</v>
      </c>
      <c r="R5415" s="157">
        <f>+テーブル1[[#This Row],[合計金額]]*テーブル1[[#This Row],[自社報酬率％]]/100</f>
        <v>46200</v>
      </c>
    </row>
    <row r="5416" spans="1:18">
      <c r="A5416" s="158">
        <v>46054</v>
      </c>
      <c r="B5416" s="159" t="s">
        <v>14</v>
      </c>
      <c r="C5416" s="164" t="s">
        <v>1962</v>
      </c>
      <c r="D5416" s="161">
        <v>50</v>
      </c>
      <c r="E5416" s="161">
        <v>50</v>
      </c>
      <c r="F5416" s="169" t="s">
        <v>16</v>
      </c>
      <c r="G5416" s="165">
        <v>46082</v>
      </c>
      <c r="H5416" s="162" t="s">
        <v>1985</v>
      </c>
      <c r="I5416" s="163">
        <v>14500</v>
      </c>
      <c r="J5416" s="24">
        <v>9</v>
      </c>
      <c r="K5416" s="24">
        <v>0</v>
      </c>
      <c r="L5416" s="91">
        <v>0</v>
      </c>
      <c r="M5416" s="24">
        <v>0</v>
      </c>
      <c r="N5416" s="12">
        <f t="shared" si="218"/>
        <v>9</v>
      </c>
      <c r="O5416" s="156">
        <f t="shared" si="216"/>
        <v>130500</v>
      </c>
      <c r="P5416" s="10">
        <v>17</v>
      </c>
      <c r="Q5416" s="10" t="s">
        <v>1928</v>
      </c>
      <c r="R5416" s="157">
        <f>+テーブル1[[#This Row],[合計金額]]*テーブル1[[#This Row],[自社報酬率％]]/100</f>
        <v>65250</v>
      </c>
    </row>
    <row r="5417" spans="1:18">
      <c r="A5417" s="158">
        <v>46054</v>
      </c>
      <c r="B5417" s="159" t="s">
        <v>14</v>
      </c>
      <c r="C5417" s="164" t="s">
        <v>2023</v>
      </c>
      <c r="D5417" s="161">
        <v>50</v>
      </c>
      <c r="E5417" s="161">
        <v>50</v>
      </c>
      <c r="F5417" s="169" t="s">
        <v>16</v>
      </c>
      <c r="G5417" s="165">
        <v>46082</v>
      </c>
      <c r="H5417" s="162" t="s">
        <v>2037</v>
      </c>
      <c r="I5417" s="163">
        <v>3150</v>
      </c>
      <c r="J5417" s="24">
        <v>16</v>
      </c>
      <c r="K5417" s="24">
        <v>0</v>
      </c>
      <c r="L5417" s="91">
        <v>0</v>
      </c>
      <c r="M5417" s="24">
        <v>0</v>
      </c>
      <c r="N5417" s="12">
        <f t="shared" si="218"/>
        <v>16</v>
      </c>
      <c r="O5417" s="156">
        <f t="shared" si="216"/>
        <v>50400</v>
      </c>
      <c r="P5417" s="10">
        <v>18</v>
      </c>
      <c r="Q5417" s="10" t="s">
        <v>1928</v>
      </c>
      <c r="R5417" s="157">
        <f>+テーブル1[[#This Row],[合計金額]]*テーブル1[[#This Row],[自社報酬率％]]/100</f>
        <v>25200</v>
      </c>
    </row>
    <row r="5418" spans="1:18">
      <c r="A5418" s="158">
        <v>46054</v>
      </c>
      <c r="B5418" s="159" t="s">
        <v>14</v>
      </c>
      <c r="C5418" s="164" t="s">
        <v>2023</v>
      </c>
      <c r="D5418" s="161">
        <v>50</v>
      </c>
      <c r="E5418" s="161">
        <v>50</v>
      </c>
      <c r="F5418" s="169" t="s">
        <v>16</v>
      </c>
      <c r="G5418" s="165">
        <v>46082</v>
      </c>
      <c r="H5418" s="162" t="s">
        <v>2037</v>
      </c>
      <c r="I5418" s="163">
        <v>4980</v>
      </c>
      <c r="J5418" s="24">
        <v>2</v>
      </c>
      <c r="K5418" s="24">
        <v>0</v>
      </c>
      <c r="L5418" s="91">
        <v>0</v>
      </c>
      <c r="M5418" s="24">
        <v>0</v>
      </c>
      <c r="N5418" s="12">
        <f t="shared" si="218"/>
        <v>2</v>
      </c>
      <c r="O5418" s="156">
        <f t="shared" si="216"/>
        <v>9960</v>
      </c>
      <c r="P5418" s="10">
        <v>19</v>
      </c>
      <c r="Q5418" s="10" t="s">
        <v>1928</v>
      </c>
      <c r="R5418" s="157">
        <f>+テーブル1[[#This Row],[合計金額]]*テーブル1[[#This Row],[自社報酬率％]]/100</f>
        <v>4980</v>
      </c>
    </row>
    <row r="5419" spans="1:18">
      <c r="A5419" s="158">
        <v>46054</v>
      </c>
      <c r="B5419" s="159" t="s">
        <v>14</v>
      </c>
      <c r="C5419" s="164" t="s">
        <v>2045</v>
      </c>
      <c r="D5419" s="161">
        <v>40</v>
      </c>
      <c r="E5419" s="161">
        <v>60</v>
      </c>
      <c r="F5419" s="169" t="s">
        <v>16</v>
      </c>
      <c r="G5419" s="165">
        <v>46082</v>
      </c>
      <c r="H5419" s="162" t="s">
        <v>2046</v>
      </c>
      <c r="I5419" s="163">
        <v>16500</v>
      </c>
      <c r="J5419" s="24">
        <v>2</v>
      </c>
      <c r="K5419" s="24">
        <v>0</v>
      </c>
      <c r="L5419" s="91">
        <v>0</v>
      </c>
      <c r="M5419" s="24">
        <v>0</v>
      </c>
      <c r="N5419" s="12">
        <f t="shared" si="218"/>
        <v>2</v>
      </c>
      <c r="O5419" s="156">
        <f t="shared" si="216"/>
        <v>33000</v>
      </c>
      <c r="P5419" s="10">
        <v>20</v>
      </c>
      <c r="Q5419" s="10" t="s">
        <v>1928</v>
      </c>
      <c r="R5419" s="157">
        <f>+テーブル1[[#This Row],[合計金額]]*テーブル1[[#This Row],[自社報酬率％]]/100</f>
        <v>19800</v>
      </c>
    </row>
    <row r="5420" spans="1:18">
      <c r="A5420" s="158">
        <v>46054</v>
      </c>
      <c r="B5420" s="159" t="s">
        <v>14</v>
      </c>
      <c r="C5420" s="164" t="s">
        <v>2050</v>
      </c>
      <c r="D5420" s="161">
        <v>50</v>
      </c>
      <c r="E5420" s="161">
        <v>50</v>
      </c>
      <c r="F5420" s="169" t="s">
        <v>16</v>
      </c>
      <c r="G5420" s="165">
        <v>46082</v>
      </c>
      <c r="H5420" s="162" t="s">
        <v>2051</v>
      </c>
      <c r="I5420" s="163">
        <v>9800</v>
      </c>
      <c r="J5420" s="24">
        <v>2</v>
      </c>
      <c r="K5420" s="24">
        <v>0</v>
      </c>
      <c r="L5420" s="91">
        <v>0</v>
      </c>
      <c r="M5420" s="24">
        <v>0</v>
      </c>
      <c r="N5420" s="12">
        <f t="shared" si="218"/>
        <v>2</v>
      </c>
      <c r="O5420" s="156">
        <f t="shared" si="216"/>
        <v>19600</v>
      </c>
      <c r="P5420" s="10">
        <v>21</v>
      </c>
      <c r="Q5420" s="10" t="s">
        <v>1928</v>
      </c>
      <c r="R5420" s="157">
        <f>+テーブル1[[#This Row],[合計金額]]*テーブル1[[#This Row],[自社報酬率％]]/100</f>
        <v>9800</v>
      </c>
    </row>
    <row r="5421" spans="1:18">
      <c r="A5421" s="158">
        <v>46054</v>
      </c>
      <c r="B5421" s="159" t="s">
        <v>21</v>
      </c>
      <c r="C5421" s="71" t="s">
        <v>161</v>
      </c>
      <c r="D5421" s="161">
        <v>100</v>
      </c>
      <c r="E5421" s="161">
        <v>100</v>
      </c>
      <c r="F5421" s="159"/>
      <c r="G5421" s="124">
        <v>46054</v>
      </c>
      <c r="H5421" s="162" t="s">
        <v>3553</v>
      </c>
      <c r="I5421" s="163">
        <v>2700</v>
      </c>
      <c r="J5421" s="74">
        <v>1</v>
      </c>
      <c r="K5421" s="24"/>
      <c r="L5421" s="91"/>
      <c r="M5421" s="24"/>
      <c r="N5421" s="12">
        <f t="shared" si="218"/>
        <v>1</v>
      </c>
      <c r="O5421" s="156">
        <f t="shared" ref="O5421:O5441" si="219">+I5421*J5421</f>
        <v>2700</v>
      </c>
      <c r="P5421" s="10">
        <v>24</v>
      </c>
      <c r="Q5421" s="10" t="s">
        <v>1928</v>
      </c>
      <c r="R5421" s="157">
        <f>+テーブル1[[#This Row],[合計金額]]*テーブル1[[#This Row],[自社報酬率％]]/100</f>
        <v>2700</v>
      </c>
    </row>
    <row r="5422" spans="1:18">
      <c r="A5422" s="158">
        <v>46054</v>
      </c>
      <c r="B5422" s="159" t="s">
        <v>21</v>
      </c>
      <c r="C5422" s="80" t="s">
        <v>161</v>
      </c>
      <c r="D5422" s="161">
        <v>100</v>
      </c>
      <c r="E5422" s="161">
        <v>100</v>
      </c>
      <c r="F5422" s="159"/>
      <c r="G5422" s="165">
        <v>46082</v>
      </c>
      <c r="H5422" s="162" t="s">
        <v>3554</v>
      </c>
      <c r="I5422" s="163">
        <v>2700</v>
      </c>
      <c r="J5422" s="75">
        <v>1</v>
      </c>
      <c r="K5422" s="24"/>
      <c r="L5422" s="91"/>
      <c r="M5422" s="24"/>
      <c r="N5422" s="12">
        <f t="shared" si="218"/>
        <v>1</v>
      </c>
      <c r="O5422" s="156">
        <f t="shared" si="219"/>
        <v>2700</v>
      </c>
      <c r="P5422" s="10">
        <v>25</v>
      </c>
      <c r="Q5422" s="10" t="s">
        <v>1928</v>
      </c>
      <c r="R5422" s="157">
        <f>+テーブル1[[#This Row],[合計金額]]*テーブル1[[#This Row],[自社報酬率％]]/100</f>
        <v>2700</v>
      </c>
    </row>
    <row r="5423" spans="1:18">
      <c r="A5423" s="158">
        <v>46054</v>
      </c>
      <c r="B5423" s="159" t="s">
        <v>21</v>
      </c>
      <c r="C5423" s="80" t="s">
        <v>161</v>
      </c>
      <c r="D5423" s="161">
        <v>100</v>
      </c>
      <c r="E5423" s="161">
        <v>100</v>
      </c>
      <c r="F5423" s="159"/>
      <c r="G5423" s="165">
        <v>46113</v>
      </c>
      <c r="H5423" s="162" t="s">
        <v>3555</v>
      </c>
      <c r="I5423" s="163">
        <v>2700</v>
      </c>
      <c r="J5423" s="75">
        <v>1</v>
      </c>
      <c r="K5423" s="24"/>
      <c r="L5423" s="91"/>
      <c r="M5423" s="24"/>
      <c r="N5423" s="12">
        <f t="shared" si="218"/>
        <v>1</v>
      </c>
      <c r="O5423" s="156">
        <f t="shared" si="219"/>
        <v>2700</v>
      </c>
      <c r="P5423" s="10">
        <v>26</v>
      </c>
      <c r="Q5423" s="10" t="s">
        <v>1928</v>
      </c>
      <c r="R5423" s="157">
        <f>+テーブル1[[#This Row],[合計金額]]*テーブル1[[#This Row],[自社報酬率％]]/100</f>
        <v>2700</v>
      </c>
    </row>
    <row r="5424" spans="1:18">
      <c r="A5424" s="158">
        <v>46054</v>
      </c>
      <c r="B5424" s="159" t="s">
        <v>21</v>
      </c>
      <c r="C5424" s="80" t="s">
        <v>161</v>
      </c>
      <c r="D5424" s="161">
        <v>100</v>
      </c>
      <c r="E5424" s="161">
        <v>100</v>
      </c>
      <c r="F5424" s="159"/>
      <c r="G5424" s="165">
        <v>46143</v>
      </c>
      <c r="H5424" s="162" t="s">
        <v>3556</v>
      </c>
      <c r="I5424" s="163">
        <v>2700</v>
      </c>
      <c r="J5424" s="75">
        <v>1</v>
      </c>
      <c r="K5424" s="24"/>
      <c r="L5424" s="91"/>
      <c r="M5424" s="24"/>
      <c r="N5424" s="12">
        <f t="shared" si="218"/>
        <v>1</v>
      </c>
      <c r="O5424" s="156">
        <f t="shared" si="219"/>
        <v>2700</v>
      </c>
      <c r="P5424" s="10">
        <v>27</v>
      </c>
      <c r="Q5424" s="10" t="s">
        <v>1928</v>
      </c>
      <c r="R5424" s="157">
        <f>+テーブル1[[#This Row],[合計金額]]*テーブル1[[#This Row],[自社報酬率％]]/100</f>
        <v>2700</v>
      </c>
    </row>
    <row r="5425" spans="1:18">
      <c r="A5425" s="158">
        <v>46054</v>
      </c>
      <c r="B5425" s="159" t="s">
        <v>21</v>
      </c>
      <c r="C5425" s="80" t="s">
        <v>161</v>
      </c>
      <c r="D5425" s="161">
        <v>100</v>
      </c>
      <c r="E5425" s="161">
        <v>100</v>
      </c>
      <c r="F5425" s="159"/>
      <c r="G5425" s="165">
        <v>46174</v>
      </c>
      <c r="H5425" s="162" t="s">
        <v>3557</v>
      </c>
      <c r="I5425" s="163">
        <v>2700</v>
      </c>
      <c r="J5425" s="75">
        <v>1</v>
      </c>
      <c r="K5425" s="24"/>
      <c r="L5425" s="91"/>
      <c r="M5425" s="24"/>
      <c r="N5425" s="12">
        <f t="shared" si="218"/>
        <v>1</v>
      </c>
      <c r="O5425" s="156">
        <f t="shared" si="219"/>
        <v>2700</v>
      </c>
      <c r="P5425" s="10">
        <v>28</v>
      </c>
      <c r="Q5425" s="10" t="s">
        <v>1928</v>
      </c>
      <c r="R5425" s="157">
        <f>+テーブル1[[#This Row],[合計金額]]*テーブル1[[#This Row],[自社報酬率％]]/100</f>
        <v>2700</v>
      </c>
    </row>
    <row r="5426" spans="1:18">
      <c r="A5426" s="158">
        <v>46054</v>
      </c>
      <c r="B5426" s="159" t="s">
        <v>21</v>
      </c>
      <c r="C5426" s="80" t="s">
        <v>161</v>
      </c>
      <c r="D5426" s="161">
        <v>100</v>
      </c>
      <c r="E5426" s="161">
        <v>100</v>
      </c>
      <c r="F5426" s="159"/>
      <c r="G5426" s="165">
        <v>46204</v>
      </c>
      <c r="H5426" s="162" t="s">
        <v>3558</v>
      </c>
      <c r="I5426" s="163">
        <v>2700</v>
      </c>
      <c r="J5426" s="75">
        <v>1</v>
      </c>
      <c r="K5426" s="24"/>
      <c r="L5426" s="91"/>
      <c r="M5426" s="24"/>
      <c r="N5426" s="12">
        <f t="shared" si="218"/>
        <v>1</v>
      </c>
      <c r="O5426" s="156">
        <f t="shared" si="219"/>
        <v>2700</v>
      </c>
      <c r="P5426" s="10">
        <v>29</v>
      </c>
      <c r="Q5426" s="10" t="s">
        <v>1928</v>
      </c>
      <c r="R5426" s="157">
        <f>+テーブル1[[#This Row],[合計金額]]*テーブル1[[#This Row],[自社報酬率％]]/100</f>
        <v>2700</v>
      </c>
    </row>
    <row r="5427" spans="1:18">
      <c r="A5427" s="158">
        <v>46054</v>
      </c>
      <c r="B5427" s="159" t="s">
        <v>21</v>
      </c>
      <c r="C5427" s="80" t="s">
        <v>161</v>
      </c>
      <c r="D5427" s="161">
        <v>100</v>
      </c>
      <c r="E5427" s="161">
        <v>100</v>
      </c>
      <c r="F5427" s="159"/>
      <c r="G5427" s="165">
        <v>46235</v>
      </c>
      <c r="H5427" s="162" t="s">
        <v>3559</v>
      </c>
      <c r="I5427" s="163">
        <v>2700</v>
      </c>
      <c r="J5427" s="75">
        <v>1</v>
      </c>
      <c r="K5427" s="24"/>
      <c r="L5427" s="91"/>
      <c r="M5427" s="24"/>
      <c r="N5427" s="12">
        <f t="shared" si="218"/>
        <v>1</v>
      </c>
      <c r="O5427" s="156">
        <f t="shared" si="219"/>
        <v>2700</v>
      </c>
      <c r="P5427" s="10">
        <v>30</v>
      </c>
      <c r="Q5427" s="10" t="s">
        <v>1928</v>
      </c>
      <c r="R5427" s="157">
        <f>+テーブル1[[#This Row],[合計金額]]*テーブル1[[#This Row],[自社報酬率％]]/100</f>
        <v>2700</v>
      </c>
    </row>
    <row r="5428" spans="1:18">
      <c r="A5428" s="158">
        <v>46054</v>
      </c>
      <c r="B5428" s="159" t="s">
        <v>21</v>
      </c>
      <c r="C5428" s="80" t="s">
        <v>161</v>
      </c>
      <c r="D5428" s="161">
        <v>100</v>
      </c>
      <c r="E5428" s="161">
        <v>100</v>
      </c>
      <c r="F5428" s="159"/>
      <c r="G5428" s="165">
        <v>46266</v>
      </c>
      <c r="H5428" s="162" t="s">
        <v>3560</v>
      </c>
      <c r="I5428" s="163">
        <v>2700</v>
      </c>
      <c r="J5428" s="75">
        <v>1</v>
      </c>
      <c r="K5428" s="24"/>
      <c r="L5428" s="91"/>
      <c r="M5428" s="24"/>
      <c r="N5428" s="12">
        <f t="shared" si="218"/>
        <v>1</v>
      </c>
      <c r="O5428" s="156">
        <f t="shared" si="219"/>
        <v>2700</v>
      </c>
      <c r="P5428" s="10">
        <v>31</v>
      </c>
      <c r="Q5428" s="10" t="s">
        <v>1928</v>
      </c>
      <c r="R5428" s="157">
        <f>+テーブル1[[#This Row],[合計金額]]*テーブル1[[#This Row],[自社報酬率％]]/100</f>
        <v>2700</v>
      </c>
    </row>
    <row r="5429" spans="1:18">
      <c r="A5429" s="158">
        <v>46054</v>
      </c>
      <c r="B5429" s="159" t="s">
        <v>21</v>
      </c>
      <c r="C5429" s="80" t="s">
        <v>161</v>
      </c>
      <c r="D5429" s="161">
        <v>100</v>
      </c>
      <c r="E5429" s="161">
        <v>100</v>
      </c>
      <c r="F5429" s="159"/>
      <c r="G5429" s="165">
        <v>46296</v>
      </c>
      <c r="H5429" s="162" t="s">
        <v>3561</v>
      </c>
      <c r="I5429" s="163">
        <v>2700</v>
      </c>
      <c r="J5429" s="75">
        <v>1</v>
      </c>
      <c r="K5429" s="24"/>
      <c r="L5429" s="91"/>
      <c r="M5429" s="24"/>
      <c r="N5429" s="12">
        <f t="shared" si="218"/>
        <v>1</v>
      </c>
      <c r="O5429" s="156">
        <f t="shared" si="219"/>
        <v>2700</v>
      </c>
      <c r="P5429" s="10">
        <v>32</v>
      </c>
      <c r="Q5429" s="10" t="s">
        <v>1928</v>
      </c>
      <c r="R5429" s="157">
        <f>+テーブル1[[#This Row],[合計金額]]*テーブル1[[#This Row],[自社報酬率％]]/100</f>
        <v>2700</v>
      </c>
    </row>
    <row r="5430" spans="1:18">
      <c r="A5430" s="158">
        <v>46054</v>
      </c>
      <c r="B5430" s="159" t="s">
        <v>21</v>
      </c>
      <c r="C5430" s="80" t="s">
        <v>161</v>
      </c>
      <c r="D5430" s="161">
        <v>100</v>
      </c>
      <c r="E5430" s="161">
        <v>100</v>
      </c>
      <c r="F5430" s="159"/>
      <c r="G5430" s="165">
        <v>46327</v>
      </c>
      <c r="H5430" s="162" t="s">
        <v>3562</v>
      </c>
      <c r="I5430" s="163">
        <v>2700</v>
      </c>
      <c r="J5430" s="75">
        <v>1</v>
      </c>
      <c r="K5430" s="24"/>
      <c r="L5430" s="91"/>
      <c r="M5430" s="24"/>
      <c r="N5430" s="12">
        <f t="shared" si="218"/>
        <v>1</v>
      </c>
      <c r="O5430" s="156">
        <f t="shared" si="219"/>
        <v>2700</v>
      </c>
      <c r="P5430" s="10">
        <v>33</v>
      </c>
      <c r="Q5430" s="10" t="s">
        <v>1928</v>
      </c>
      <c r="R5430" s="157">
        <f>+テーブル1[[#This Row],[合計金額]]*テーブル1[[#This Row],[自社報酬率％]]/100</f>
        <v>2700</v>
      </c>
    </row>
    <row r="5431" spans="1:18">
      <c r="A5431" s="158">
        <v>46054</v>
      </c>
      <c r="B5431" s="159" t="s">
        <v>21</v>
      </c>
      <c r="C5431" s="80" t="s">
        <v>161</v>
      </c>
      <c r="D5431" s="161">
        <v>100</v>
      </c>
      <c r="E5431" s="161">
        <v>100</v>
      </c>
      <c r="F5431" s="159"/>
      <c r="G5431" s="165">
        <v>46357</v>
      </c>
      <c r="H5431" s="162" t="s">
        <v>3563</v>
      </c>
      <c r="I5431" s="163">
        <v>2700</v>
      </c>
      <c r="J5431" s="75">
        <v>1</v>
      </c>
      <c r="K5431" s="24"/>
      <c r="L5431" s="91"/>
      <c r="M5431" s="24"/>
      <c r="N5431" s="12">
        <f t="shared" si="218"/>
        <v>1</v>
      </c>
      <c r="O5431" s="156">
        <f t="shared" si="219"/>
        <v>2700</v>
      </c>
      <c r="P5431" s="10">
        <v>34</v>
      </c>
      <c r="Q5431" s="10" t="s">
        <v>3188</v>
      </c>
      <c r="R5431" s="157">
        <f>+テーブル1[[#This Row],[合計金額]]*テーブル1[[#This Row],[自社報酬率％]]/100</f>
        <v>2700</v>
      </c>
    </row>
    <row r="5432" spans="1:18">
      <c r="A5432" s="158">
        <v>46054</v>
      </c>
      <c r="B5432" s="159" t="s">
        <v>21</v>
      </c>
      <c r="C5432" s="81" t="s">
        <v>161</v>
      </c>
      <c r="D5432" s="161">
        <v>100</v>
      </c>
      <c r="E5432" s="161">
        <v>100</v>
      </c>
      <c r="F5432" s="159"/>
      <c r="G5432" s="86">
        <v>46388</v>
      </c>
      <c r="H5432" s="162" t="s">
        <v>3564</v>
      </c>
      <c r="I5432" s="163">
        <v>2700</v>
      </c>
      <c r="J5432" s="78">
        <v>1</v>
      </c>
      <c r="K5432" s="24"/>
      <c r="L5432" s="91"/>
      <c r="M5432" s="24"/>
      <c r="N5432" s="12">
        <f t="shared" si="218"/>
        <v>1</v>
      </c>
      <c r="O5432" s="156">
        <f t="shared" si="219"/>
        <v>2700</v>
      </c>
      <c r="P5432" s="10">
        <v>35</v>
      </c>
      <c r="Q5432" s="10" t="s">
        <v>3188</v>
      </c>
      <c r="R5432" s="157">
        <f>+テーブル1[[#This Row],[合計金額]]*テーブル1[[#This Row],[自社報酬率％]]/100</f>
        <v>2700</v>
      </c>
    </row>
    <row r="5433" spans="1:18">
      <c r="A5433" s="158">
        <v>46054</v>
      </c>
      <c r="B5433" s="159" t="s">
        <v>21</v>
      </c>
      <c r="C5433" s="82" t="s">
        <v>161</v>
      </c>
      <c r="D5433" s="161">
        <v>100</v>
      </c>
      <c r="E5433" s="161">
        <v>100</v>
      </c>
      <c r="F5433" s="159"/>
      <c r="G5433" s="87">
        <v>46054</v>
      </c>
      <c r="H5433" s="162" t="s">
        <v>2078</v>
      </c>
      <c r="I5433" s="163">
        <v>217800</v>
      </c>
      <c r="J5433" s="77">
        <v>2</v>
      </c>
      <c r="K5433" s="24"/>
      <c r="L5433" s="91"/>
      <c r="M5433" s="24"/>
      <c r="N5433" s="12">
        <f t="shared" si="218"/>
        <v>2</v>
      </c>
      <c r="O5433" s="156">
        <f t="shared" si="219"/>
        <v>435600</v>
      </c>
      <c r="P5433" s="10">
        <v>36</v>
      </c>
      <c r="Q5433" s="10" t="s">
        <v>1928</v>
      </c>
      <c r="R5433" s="157">
        <f>+テーブル1[[#This Row],[合計金額]]*テーブル1[[#This Row],[自社報酬率％]]/100</f>
        <v>435600</v>
      </c>
    </row>
    <row r="5434" spans="1:18">
      <c r="A5434" s="158">
        <v>46054</v>
      </c>
      <c r="B5434" s="159" t="s">
        <v>21</v>
      </c>
      <c r="C5434" s="112" t="s">
        <v>2043</v>
      </c>
      <c r="D5434" s="161">
        <v>60</v>
      </c>
      <c r="E5434" s="161">
        <v>40</v>
      </c>
      <c r="F5434" s="159"/>
      <c r="G5434" s="167">
        <v>46054</v>
      </c>
      <c r="H5434" s="162" t="s">
        <v>3565</v>
      </c>
      <c r="I5434" s="163">
        <v>349200</v>
      </c>
      <c r="J5434" s="73">
        <v>2</v>
      </c>
      <c r="K5434" s="24"/>
      <c r="L5434" s="91"/>
      <c r="M5434" s="24"/>
      <c r="N5434" s="12">
        <f t="shared" si="218"/>
        <v>2</v>
      </c>
      <c r="O5434" s="156">
        <f t="shared" si="219"/>
        <v>698400</v>
      </c>
      <c r="P5434" s="10">
        <v>37</v>
      </c>
      <c r="Q5434" s="10" t="s">
        <v>1928</v>
      </c>
      <c r="R5434" s="157">
        <f>+テーブル1[[#This Row],[合計金額]]*テーブル1[[#This Row],[自社報酬率％]]/100</f>
        <v>279360</v>
      </c>
    </row>
    <row r="5435" spans="1:18">
      <c r="A5435" s="158">
        <v>46054</v>
      </c>
      <c r="B5435" s="159" t="s">
        <v>21</v>
      </c>
      <c r="C5435" s="166" t="s">
        <v>2043</v>
      </c>
      <c r="D5435" s="161">
        <v>60</v>
      </c>
      <c r="E5435" s="161">
        <v>40</v>
      </c>
      <c r="F5435" s="159"/>
      <c r="G5435" s="167">
        <v>46054</v>
      </c>
      <c r="H5435" s="162" t="s">
        <v>3566</v>
      </c>
      <c r="I5435" s="163">
        <v>198000</v>
      </c>
      <c r="J5435" s="24">
        <v>1</v>
      </c>
      <c r="K5435" s="24"/>
      <c r="L5435" s="91"/>
      <c r="M5435" s="24"/>
      <c r="N5435" s="12">
        <f t="shared" si="218"/>
        <v>1</v>
      </c>
      <c r="O5435" s="156">
        <f t="shared" si="219"/>
        <v>198000</v>
      </c>
      <c r="P5435" s="10">
        <v>38</v>
      </c>
      <c r="Q5435" s="10" t="s">
        <v>1928</v>
      </c>
      <c r="R5435" s="157">
        <f>+テーブル1[[#This Row],[合計金額]]*テーブル1[[#This Row],[自社報酬率％]]/100</f>
        <v>79200</v>
      </c>
    </row>
    <row r="5436" spans="1:18">
      <c r="A5436" s="158">
        <v>46054</v>
      </c>
      <c r="B5436" s="159" t="s">
        <v>21</v>
      </c>
      <c r="C5436" s="166" t="s">
        <v>2043</v>
      </c>
      <c r="D5436" s="161">
        <v>60</v>
      </c>
      <c r="E5436" s="161">
        <v>40</v>
      </c>
      <c r="F5436" s="159"/>
      <c r="G5436" s="167">
        <v>46054</v>
      </c>
      <c r="H5436" s="162" t="s">
        <v>3567</v>
      </c>
      <c r="I5436" s="163">
        <v>98000</v>
      </c>
      <c r="J5436" s="24">
        <v>2</v>
      </c>
      <c r="K5436" s="24"/>
      <c r="L5436" s="91"/>
      <c r="M5436" s="24"/>
      <c r="N5436" s="12">
        <f t="shared" si="218"/>
        <v>2</v>
      </c>
      <c r="O5436" s="156">
        <f t="shared" si="219"/>
        <v>196000</v>
      </c>
      <c r="P5436" s="10">
        <v>39</v>
      </c>
      <c r="Q5436" s="10" t="s">
        <v>1928</v>
      </c>
      <c r="R5436" s="157">
        <f>+テーブル1[[#This Row],[合計金額]]*テーブル1[[#This Row],[自社報酬率％]]/100</f>
        <v>78400</v>
      </c>
    </row>
    <row r="5437" spans="1:18">
      <c r="A5437" s="158">
        <v>46054</v>
      </c>
      <c r="B5437" s="159" t="s">
        <v>21</v>
      </c>
      <c r="C5437" s="166" t="s">
        <v>2043</v>
      </c>
      <c r="D5437" s="161">
        <v>60</v>
      </c>
      <c r="E5437" s="161">
        <v>40</v>
      </c>
      <c r="F5437" s="159"/>
      <c r="G5437" s="167">
        <v>46054</v>
      </c>
      <c r="H5437" s="162" t="s">
        <v>3568</v>
      </c>
      <c r="I5437" s="163">
        <v>198000</v>
      </c>
      <c r="J5437" s="24">
        <v>1</v>
      </c>
      <c r="K5437" s="24"/>
      <c r="L5437" s="91"/>
      <c r="M5437" s="24"/>
      <c r="N5437" s="12">
        <f t="shared" si="218"/>
        <v>1</v>
      </c>
      <c r="O5437" s="156">
        <f t="shared" si="219"/>
        <v>198000</v>
      </c>
      <c r="P5437" s="10">
        <v>40</v>
      </c>
      <c r="Q5437" s="10" t="s">
        <v>1928</v>
      </c>
      <c r="R5437" s="157">
        <f>+テーブル1[[#This Row],[合計金額]]*テーブル1[[#This Row],[自社報酬率％]]/100</f>
        <v>79200</v>
      </c>
    </row>
    <row r="5438" spans="1:18">
      <c r="A5438" s="158">
        <v>46054</v>
      </c>
      <c r="B5438" s="159" t="s">
        <v>21</v>
      </c>
      <c r="C5438" s="166" t="s">
        <v>2045</v>
      </c>
      <c r="D5438" s="161">
        <v>30</v>
      </c>
      <c r="E5438" s="161">
        <v>70</v>
      </c>
      <c r="F5438" s="159"/>
      <c r="G5438" s="167">
        <v>46054</v>
      </c>
      <c r="H5438" s="162" t="s">
        <v>3569</v>
      </c>
      <c r="I5438" s="163">
        <v>98000</v>
      </c>
      <c r="J5438" s="24">
        <v>2</v>
      </c>
      <c r="K5438" s="24"/>
      <c r="L5438" s="91"/>
      <c r="M5438" s="24"/>
      <c r="N5438" s="12">
        <f t="shared" si="218"/>
        <v>2</v>
      </c>
      <c r="O5438" s="156">
        <f t="shared" si="219"/>
        <v>196000</v>
      </c>
      <c r="P5438" s="10">
        <v>41</v>
      </c>
      <c r="Q5438" s="10" t="s">
        <v>1928</v>
      </c>
      <c r="R5438" s="157">
        <f>+テーブル1[[#This Row],[合計金額]]*テーブル1[[#This Row],[自社報酬率％]]/100</f>
        <v>137200</v>
      </c>
    </row>
    <row r="5439" spans="1:18">
      <c r="A5439" s="158">
        <v>46054</v>
      </c>
      <c r="B5439" s="159" t="s">
        <v>21</v>
      </c>
      <c r="C5439" s="166" t="s">
        <v>2212</v>
      </c>
      <c r="D5439" s="161">
        <v>10</v>
      </c>
      <c r="E5439" s="161">
        <v>90</v>
      </c>
      <c r="F5439" s="159"/>
      <c r="G5439" s="167">
        <v>46054</v>
      </c>
      <c r="H5439" s="162" t="s">
        <v>3570</v>
      </c>
      <c r="I5439" s="163">
        <v>9800</v>
      </c>
      <c r="J5439" s="24">
        <v>1</v>
      </c>
      <c r="K5439" s="24"/>
      <c r="L5439" s="91"/>
      <c r="M5439" s="24"/>
      <c r="N5439" s="12">
        <f t="shared" si="218"/>
        <v>1</v>
      </c>
      <c r="O5439" s="156">
        <f t="shared" si="219"/>
        <v>9800</v>
      </c>
      <c r="P5439" s="10">
        <v>42</v>
      </c>
      <c r="Q5439" s="10" t="s">
        <v>1928</v>
      </c>
      <c r="R5439" s="157">
        <f>+テーブル1[[#This Row],[合計金額]]*テーブル1[[#This Row],[自社報酬率％]]/100</f>
        <v>8820</v>
      </c>
    </row>
    <row r="5440" spans="1:18">
      <c r="A5440" s="158">
        <v>46054</v>
      </c>
      <c r="B5440" s="159" t="s">
        <v>21</v>
      </c>
      <c r="C5440" s="166" t="s">
        <v>2212</v>
      </c>
      <c r="D5440" s="161">
        <v>10</v>
      </c>
      <c r="E5440" s="161">
        <v>90</v>
      </c>
      <c r="F5440" s="159"/>
      <c r="G5440" s="167">
        <v>46054</v>
      </c>
      <c r="H5440" s="162" t="s">
        <v>3439</v>
      </c>
      <c r="I5440" s="163">
        <v>14800</v>
      </c>
      <c r="J5440" s="24">
        <v>1</v>
      </c>
      <c r="K5440" s="24"/>
      <c r="L5440" s="91"/>
      <c r="M5440" s="24"/>
      <c r="N5440" s="12">
        <f t="shared" si="218"/>
        <v>1</v>
      </c>
      <c r="O5440" s="156">
        <f t="shared" si="219"/>
        <v>14800</v>
      </c>
      <c r="P5440" s="10">
        <v>43</v>
      </c>
      <c r="Q5440" s="10" t="s">
        <v>1928</v>
      </c>
      <c r="R5440" s="157">
        <f>+テーブル1[[#This Row],[合計金額]]*テーブル1[[#This Row],[自社報酬率％]]/100</f>
        <v>13320</v>
      </c>
    </row>
    <row r="5441" spans="1:18">
      <c r="A5441" s="158">
        <v>46054</v>
      </c>
      <c r="B5441" s="159" t="s">
        <v>21</v>
      </c>
      <c r="C5441" s="166" t="s">
        <v>2212</v>
      </c>
      <c r="D5441" s="161">
        <v>10</v>
      </c>
      <c r="E5441" s="161">
        <v>90</v>
      </c>
      <c r="F5441" s="159"/>
      <c r="G5441" s="167">
        <v>46054</v>
      </c>
      <c r="H5441" s="162" t="s">
        <v>3571</v>
      </c>
      <c r="I5441" s="163">
        <v>29700</v>
      </c>
      <c r="J5441" s="24">
        <v>1</v>
      </c>
      <c r="K5441" s="24"/>
      <c r="L5441" s="91"/>
      <c r="M5441" s="24"/>
      <c r="N5441" s="12">
        <f t="shared" si="218"/>
        <v>1</v>
      </c>
      <c r="O5441" s="156">
        <f t="shared" si="219"/>
        <v>29700</v>
      </c>
      <c r="P5441" s="10">
        <v>44</v>
      </c>
      <c r="Q5441" s="10" t="s">
        <v>1928</v>
      </c>
      <c r="R5441" s="157">
        <f>+テーブル1[[#This Row],[合計金額]]*テーブル1[[#This Row],[自社報酬率％]]/100</f>
        <v>26730</v>
      </c>
    </row>
    <row r="5442" spans="1:18">
      <c r="A5442" s="158">
        <v>46054</v>
      </c>
      <c r="B5442" s="159" t="s">
        <v>21</v>
      </c>
      <c r="C5442" s="166" t="s">
        <v>2045</v>
      </c>
      <c r="D5442" s="161">
        <v>40</v>
      </c>
      <c r="E5442" s="161">
        <v>60</v>
      </c>
      <c r="F5442" s="159"/>
      <c r="G5442" s="167">
        <v>46054</v>
      </c>
      <c r="H5442" s="162" t="s">
        <v>3438</v>
      </c>
      <c r="I5442" s="163">
        <v>-336450</v>
      </c>
      <c r="J5442" s="24">
        <v>1</v>
      </c>
      <c r="K5442" s="24"/>
      <c r="L5442" s="91"/>
      <c r="M5442" s="24"/>
      <c r="N5442" s="12">
        <f t="shared" si="218"/>
        <v>1</v>
      </c>
      <c r="O5442" s="156">
        <v>-336450</v>
      </c>
      <c r="P5442" s="10">
        <v>61</v>
      </c>
      <c r="Q5442" s="10" t="s">
        <v>1928</v>
      </c>
      <c r="R5442" s="157">
        <f>+テーブル1[[#This Row],[合計金額]]*テーブル1[[#This Row],[自社報酬率％]]/100</f>
        <v>-201870</v>
      </c>
    </row>
    <row r="5443" spans="1:18">
      <c r="A5443" s="158">
        <v>46054</v>
      </c>
      <c r="B5443" s="159" t="s">
        <v>21</v>
      </c>
      <c r="C5443" s="166" t="s">
        <v>3145</v>
      </c>
      <c r="D5443" s="161">
        <v>0</v>
      </c>
      <c r="E5443" s="161">
        <v>100</v>
      </c>
      <c r="F5443" s="159"/>
      <c r="G5443" s="167">
        <v>46054</v>
      </c>
      <c r="H5443" s="162"/>
      <c r="I5443" s="163">
        <v>-550</v>
      </c>
      <c r="J5443" s="24">
        <v>1</v>
      </c>
      <c r="K5443" s="24"/>
      <c r="L5443" s="91"/>
      <c r="M5443" s="24"/>
      <c r="N5443" s="12">
        <f t="shared" si="218"/>
        <v>1</v>
      </c>
      <c r="O5443" s="156">
        <v>-550</v>
      </c>
      <c r="P5443" s="10">
        <v>62</v>
      </c>
      <c r="Q5443" s="10" t="s">
        <v>1928</v>
      </c>
      <c r="R5443" s="157">
        <f>+テーブル1[[#This Row],[合計金額]]*テーブル1[[#This Row],[自社報酬率％]]/100</f>
        <v>-550</v>
      </c>
    </row>
    <row r="5444" spans="1:18">
      <c r="A5444" s="158">
        <v>46054</v>
      </c>
      <c r="B5444" s="159" t="s">
        <v>21</v>
      </c>
      <c r="C5444" s="166" t="s">
        <v>1962</v>
      </c>
      <c r="D5444" s="161">
        <v>50</v>
      </c>
      <c r="E5444" s="161">
        <v>50</v>
      </c>
      <c r="F5444" s="159"/>
      <c r="G5444" s="167">
        <v>46054</v>
      </c>
      <c r="H5444" s="162" t="s">
        <v>3489</v>
      </c>
      <c r="I5444" s="163">
        <v>-431750</v>
      </c>
      <c r="J5444" s="24">
        <v>1</v>
      </c>
      <c r="K5444" s="24"/>
      <c r="L5444" s="91"/>
      <c r="M5444" s="24"/>
      <c r="N5444" s="12">
        <f t="shared" si="218"/>
        <v>1</v>
      </c>
      <c r="O5444" s="156">
        <v>-431750</v>
      </c>
      <c r="P5444" s="10">
        <v>63</v>
      </c>
      <c r="Q5444" s="10" t="s">
        <v>1928</v>
      </c>
      <c r="R5444" s="157">
        <f>+テーブル1[[#This Row],[合計金額]]*テーブル1[[#This Row],[自社報酬率％]]/100</f>
        <v>-215875</v>
      </c>
    </row>
    <row r="5445" spans="1:18">
      <c r="A5445" s="158">
        <v>46054</v>
      </c>
      <c r="B5445" s="159" t="s">
        <v>21</v>
      </c>
      <c r="C5445" s="166" t="s">
        <v>3145</v>
      </c>
      <c r="D5445" s="161">
        <v>0</v>
      </c>
      <c r="E5445" s="161">
        <v>100</v>
      </c>
      <c r="F5445" s="159"/>
      <c r="G5445" s="167">
        <v>46054</v>
      </c>
      <c r="H5445" s="162"/>
      <c r="I5445" s="163">
        <v>-550</v>
      </c>
      <c r="J5445" s="24">
        <v>1</v>
      </c>
      <c r="K5445" s="24"/>
      <c r="L5445" s="91"/>
      <c r="M5445" s="24"/>
      <c r="N5445" s="12">
        <f t="shared" si="218"/>
        <v>1</v>
      </c>
      <c r="O5445" s="156">
        <v>-550</v>
      </c>
      <c r="P5445" s="10">
        <v>64</v>
      </c>
      <c r="Q5445" s="10" t="s">
        <v>1928</v>
      </c>
      <c r="R5445" s="157">
        <f>+テーブル1[[#This Row],[合計金額]]*テーブル1[[#This Row],[自社報酬率％]]/100</f>
        <v>-550</v>
      </c>
    </row>
    <row r="5446" spans="1:18">
      <c r="A5446" s="158">
        <v>46054</v>
      </c>
      <c r="B5446" s="159" t="s">
        <v>21</v>
      </c>
      <c r="C5446" s="166" t="s">
        <v>1962</v>
      </c>
      <c r="D5446" s="161">
        <v>50</v>
      </c>
      <c r="E5446" s="161">
        <v>50</v>
      </c>
      <c r="F5446" s="159"/>
      <c r="G5446" s="167">
        <v>46054</v>
      </c>
      <c r="H5446" s="162" t="s">
        <v>3501</v>
      </c>
      <c r="I5446" s="163">
        <v>-126820</v>
      </c>
      <c r="J5446" s="24">
        <v>1</v>
      </c>
      <c r="K5446" s="24"/>
      <c r="L5446" s="91"/>
      <c r="M5446" s="24"/>
      <c r="N5446" s="12">
        <f t="shared" si="218"/>
        <v>1</v>
      </c>
      <c r="O5446" s="156">
        <v>-126820</v>
      </c>
      <c r="P5446" s="10">
        <v>65</v>
      </c>
      <c r="Q5446" s="10" t="s">
        <v>1928</v>
      </c>
      <c r="R5446" s="157">
        <f>+テーブル1[[#This Row],[合計金額]]*テーブル1[[#This Row],[自社報酬率％]]/100</f>
        <v>-63410</v>
      </c>
    </row>
    <row r="5447" spans="1:18">
      <c r="A5447" s="158">
        <v>46054</v>
      </c>
      <c r="B5447" s="159" t="s">
        <v>21</v>
      </c>
      <c r="C5447" s="166" t="s">
        <v>3145</v>
      </c>
      <c r="D5447" s="161">
        <v>0</v>
      </c>
      <c r="E5447" s="161">
        <v>100</v>
      </c>
      <c r="F5447" s="159"/>
      <c r="G5447" s="167">
        <v>46054</v>
      </c>
      <c r="H5447" s="162"/>
      <c r="I5447" s="163">
        <v>-550</v>
      </c>
      <c r="J5447" s="24">
        <v>1</v>
      </c>
      <c r="K5447" s="24"/>
      <c r="L5447" s="91"/>
      <c r="M5447" s="24"/>
      <c r="N5447" s="12">
        <f t="shared" si="218"/>
        <v>1</v>
      </c>
      <c r="O5447" s="156">
        <v>-550</v>
      </c>
      <c r="P5447" s="10">
        <v>66</v>
      </c>
      <c r="Q5447" s="10" t="s">
        <v>1928</v>
      </c>
      <c r="R5447" s="157">
        <f>+テーブル1[[#This Row],[合計金額]]*テーブル1[[#This Row],[自社報酬率％]]/100</f>
        <v>-550</v>
      </c>
    </row>
    <row r="5448" spans="1:18">
      <c r="A5448" s="158">
        <v>46054</v>
      </c>
      <c r="B5448" s="159" t="s">
        <v>21</v>
      </c>
      <c r="C5448" s="166" t="s">
        <v>1962</v>
      </c>
      <c r="D5448" s="161">
        <v>50</v>
      </c>
      <c r="E5448" s="161">
        <v>50</v>
      </c>
      <c r="F5448" s="159"/>
      <c r="G5448" s="167">
        <v>46054</v>
      </c>
      <c r="H5448" s="162" t="s">
        <v>3501</v>
      </c>
      <c r="I5448" s="163">
        <v>-126820</v>
      </c>
      <c r="J5448" s="24">
        <v>1</v>
      </c>
      <c r="K5448" s="24"/>
      <c r="L5448" s="91"/>
      <c r="M5448" s="24"/>
      <c r="N5448" s="12">
        <f t="shared" si="218"/>
        <v>1</v>
      </c>
      <c r="O5448" s="156">
        <v>-126820</v>
      </c>
      <c r="P5448" s="10">
        <v>67</v>
      </c>
      <c r="Q5448" s="10" t="s">
        <v>1928</v>
      </c>
      <c r="R5448" s="157">
        <f>+テーブル1[[#This Row],[合計金額]]*テーブル1[[#This Row],[自社報酬率％]]/100</f>
        <v>-63410</v>
      </c>
    </row>
    <row r="5449" spans="1:18">
      <c r="A5449" s="158">
        <v>46054</v>
      </c>
      <c r="B5449" s="159" t="s">
        <v>21</v>
      </c>
      <c r="C5449" s="166" t="s">
        <v>3145</v>
      </c>
      <c r="D5449" s="161">
        <v>0</v>
      </c>
      <c r="E5449" s="161">
        <v>100</v>
      </c>
      <c r="F5449" s="159"/>
      <c r="G5449" s="167">
        <v>46054</v>
      </c>
      <c r="H5449" s="162"/>
      <c r="I5449" s="163">
        <v>-550</v>
      </c>
      <c r="J5449" s="24">
        <v>1</v>
      </c>
      <c r="K5449" s="24"/>
      <c r="L5449" s="91"/>
      <c r="M5449" s="24"/>
      <c r="N5449" s="12">
        <f t="shared" si="218"/>
        <v>1</v>
      </c>
      <c r="O5449" s="156">
        <v>-550</v>
      </c>
      <c r="P5449" s="10">
        <v>68</v>
      </c>
      <c r="Q5449" s="10" t="s">
        <v>1928</v>
      </c>
      <c r="R5449" s="157">
        <f>+テーブル1[[#This Row],[合計金額]]*テーブル1[[#This Row],[自社報酬率％]]/100</f>
        <v>-550</v>
      </c>
    </row>
    <row r="5450" spans="1:18">
      <c r="A5450" s="158">
        <v>46054</v>
      </c>
      <c r="B5450" s="159" t="s">
        <v>21</v>
      </c>
      <c r="C5450" s="166" t="s">
        <v>1962</v>
      </c>
      <c r="D5450" s="161">
        <v>50</v>
      </c>
      <c r="E5450" s="161">
        <v>50</v>
      </c>
      <c r="F5450" s="159"/>
      <c r="G5450" s="167">
        <v>46054</v>
      </c>
      <c r="H5450" s="162" t="s">
        <v>3506</v>
      </c>
      <c r="I5450" s="163">
        <v>-31670</v>
      </c>
      <c r="J5450" s="24">
        <v>1</v>
      </c>
      <c r="K5450" s="24"/>
      <c r="L5450" s="91"/>
      <c r="M5450" s="24"/>
      <c r="N5450" s="12">
        <f t="shared" si="218"/>
        <v>1</v>
      </c>
      <c r="O5450" s="156">
        <v>-31670</v>
      </c>
      <c r="P5450" s="10">
        <v>69</v>
      </c>
      <c r="Q5450" s="10" t="s">
        <v>1928</v>
      </c>
      <c r="R5450" s="157">
        <f>+テーブル1[[#This Row],[合計金額]]*テーブル1[[#This Row],[自社報酬率％]]/100</f>
        <v>-15835</v>
      </c>
    </row>
    <row r="5451" spans="1:18">
      <c r="A5451" s="158">
        <v>46054</v>
      </c>
      <c r="B5451" s="159" t="s">
        <v>21</v>
      </c>
      <c r="C5451" s="166" t="s">
        <v>3145</v>
      </c>
      <c r="D5451" s="161">
        <v>0</v>
      </c>
      <c r="E5451" s="161">
        <v>100</v>
      </c>
      <c r="F5451" s="159"/>
      <c r="G5451" s="167">
        <v>46054</v>
      </c>
      <c r="H5451" s="162"/>
      <c r="I5451" s="163">
        <v>-550</v>
      </c>
      <c r="J5451" s="24">
        <v>1</v>
      </c>
      <c r="K5451" s="24"/>
      <c r="L5451" s="91"/>
      <c r="M5451" s="24"/>
      <c r="N5451" s="12">
        <f t="shared" si="218"/>
        <v>1</v>
      </c>
      <c r="O5451" s="156">
        <v>-550</v>
      </c>
      <c r="P5451" s="10">
        <v>70</v>
      </c>
      <c r="Q5451" s="10" t="s">
        <v>1928</v>
      </c>
      <c r="R5451" s="157">
        <f>+テーブル1[[#This Row],[合計金額]]*テーブル1[[#This Row],[自社報酬率％]]/100</f>
        <v>-550</v>
      </c>
    </row>
    <row r="5452" spans="1:18">
      <c r="A5452" s="158">
        <v>46054</v>
      </c>
      <c r="B5452" s="159" t="s">
        <v>21</v>
      </c>
      <c r="C5452" s="166" t="s">
        <v>1962</v>
      </c>
      <c r="D5452" s="161">
        <v>55</v>
      </c>
      <c r="E5452" s="161">
        <v>45</v>
      </c>
      <c r="F5452" s="159"/>
      <c r="G5452" s="167">
        <v>46054</v>
      </c>
      <c r="H5452" s="162" t="s">
        <v>2323</v>
      </c>
      <c r="I5452" s="163">
        <v>0</v>
      </c>
      <c r="J5452" s="24">
        <v>1</v>
      </c>
      <c r="K5452" s="24"/>
      <c r="L5452" s="91"/>
      <c r="M5452" s="24"/>
      <c r="N5452" s="12">
        <f t="shared" si="218"/>
        <v>1</v>
      </c>
      <c r="O5452" s="156">
        <v>0</v>
      </c>
      <c r="P5452" s="10">
        <v>71</v>
      </c>
      <c r="Q5452" s="10" t="s">
        <v>1928</v>
      </c>
      <c r="R5452" s="157">
        <f>+テーブル1[[#This Row],[合計金額]]*テーブル1[[#This Row],[自社報酬率％]]/100</f>
        <v>0</v>
      </c>
    </row>
    <row r="5453" spans="1:18">
      <c r="A5453" s="158">
        <v>46054</v>
      </c>
      <c r="B5453" s="159" t="s">
        <v>21</v>
      </c>
      <c r="C5453" s="166" t="s">
        <v>3145</v>
      </c>
      <c r="D5453" s="161">
        <v>0</v>
      </c>
      <c r="E5453" s="161">
        <v>100</v>
      </c>
      <c r="F5453" s="159"/>
      <c r="G5453" s="167">
        <v>46054</v>
      </c>
      <c r="H5453" s="162"/>
      <c r="I5453" s="163">
        <v>-385</v>
      </c>
      <c r="J5453" s="24">
        <v>1</v>
      </c>
      <c r="K5453" s="24"/>
      <c r="L5453" s="91"/>
      <c r="M5453" s="24"/>
      <c r="N5453" s="12">
        <f t="shared" si="218"/>
        <v>1</v>
      </c>
      <c r="O5453" s="156">
        <v>-385</v>
      </c>
      <c r="P5453" s="10">
        <v>72</v>
      </c>
      <c r="Q5453" s="10" t="s">
        <v>1928</v>
      </c>
      <c r="R5453" s="157">
        <f>+テーブル1[[#This Row],[合計金額]]*テーブル1[[#This Row],[自社報酬率％]]/100</f>
        <v>-385</v>
      </c>
    </row>
    <row r="5454" spans="1:18">
      <c r="A5454" s="158">
        <v>46054</v>
      </c>
      <c r="B5454" s="159" t="s">
        <v>112</v>
      </c>
      <c r="C5454" s="116" t="s">
        <v>44</v>
      </c>
      <c r="D5454" s="161">
        <v>100</v>
      </c>
      <c r="E5454" s="161">
        <v>100</v>
      </c>
      <c r="F5454" s="152" t="s">
        <v>19</v>
      </c>
      <c r="G5454" s="85">
        <v>46082</v>
      </c>
      <c r="H5454" s="162" t="s">
        <v>3572</v>
      </c>
      <c r="I5454" s="163">
        <v>2850</v>
      </c>
      <c r="J5454" s="73">
        <v>1</v>
      </c>
      <c r="K5454" s="73">
        <v>0</v>
      </c>
      <c r="L5454" s="90">
        <v>0</v>
      </c>
      <c r="M5454" s="73">
        <v>0</v>
      </c>
      <c r="N5454" s="97">
        <f t="shared" si="218"/>
        <v>1</v>
      </c>
      <c r="O5454" s="156">
        <f t="shared" ref="O5454:O5510" si="220">+I5454*N5454</f>
        <v>2850</v>
      </c>
      <c r="P5454" s="10">
        <v>32</v>
      </c>
      <c r="Q5454" s="10" t="s">
        <v>1928</v>
      </c>
      <c r="R5454" s="157">
        <f>+テーブル1[[#This Row],[合計金額]]*テーブル1[[#This Row],[自社報酬率％]]/100</f>
        <v>2850</v>
      </c>
    </row>
    <row r="5455" spans="1:18">
      <c r="A5455" s="158">
        <v>46054</v>
      </c>
      <c r="B5455" s="159" t="s">
        <v>112</v>
      </c>
      <c r="C5455" s="116" t="s">
        <v>44</v>
      </c>
      <c r="D5455" s="161">
        <v>100</v>
      </c>
      <c r="E5455" s="161">
        <v>100</v>
      </c>
      <c r="F5455" s="170" t="s">
        <v>19</v>
      </c>
      <c r="G5455" s="165">
        <v>46113</v>
      </c>
      <c r="H5455" s="162" t="s">
        <v>3573</v>
      </c>
      <c r="I5455" s="163">
        <v>2850</v>
      </c>
      <c r="J5455" s="24">
        <v>1</v>
      </c>
      <c r="K5455" s="24">
        <v>0</v>
      </c>
      <c r="L5455" s="91">
        <v>0</v>
      </c>
      <c r="M5455" s="24">
        <v>0</v>
      </c>
      <c r="N5455" s="98">
        <f t="shared" si="218"/>
        <v>1</v>
      </c>
      <c r="O5455" s="156">
        <f t="shared" si="220"/>
        <v>2850</v>
      </c>
      <c r="P5455" s="10">
        <v>33</v>
      </c>
      <c r="Q5455" s="10" t="s">
        <v>1928</v>
      </c>
      <c r="R5455" s="157">
        <f>+テーブル1[[#This Row],[合計金額]]*テーブル1[[#This Row],[自社報酬率％]]/100</f>
        <v>2850</v>
      </c>
    </row>
    <row r="5456" spans="1:18">
      <c r="A5456" s="158">
        <v>46054</v>
      </c>
      <c r="B5456" s="159" t="s">
        <v>112</v>
      </c>
      <c r="C5456" s="116" t="s">
        <v>44</v>
      </c>
      <c r="D5456" s="161">
        <v>100</v>
      </c>
      <c r="E5456" s="161">
        <v>100</v>
      </c>
      <c r="F5456" s="170" t="s">
        <v>19</v>
      </c>
      <c r="G5456" s="165">
        <v>46143</v>
      </c>
      <c r="H5456" s="162" t="s">
        <v>3574</v>
      </c>
      <c r="I5456" s="163">
        <v>2850</v>
      </c>
      <c r="J5456" s="24">
        <v>1</v>
      </c>
      <c r="K5456" s="24">
        <v>0</v>
      </c>
      <c r="L5456" s="91">
        <v>0</v>
      </c>
      <c r="M5456" s="24">
        <v>0</v>
      </c>
      <c r="N5456" s="98">
        <f t="shared" si="218"/>
        <v>1</v>
      </c>
      <c r="O5456" s="156">
        <f t="shared" si="220"/>
        <v>2850</v>
      </c>
      <c r="P5456" s="10">
        <v>34</v>
      </c>
      <c r="Q5456" s="10" t="s">
        <v>1928</v>
      </c>
      <c r="R5456" s="157">
        <f>+テーブル1[[#This Row],[合計金額]]*テーブル1[[#This Row],[自社報酬率％]]/100</f>
        <v>2850</v>
      </c>
    </row>
    <row r="5457" spans="1:18">
      <c r="A5457" s="158">
        <v>46054</v>
      </c>
      <c r="B5457" s="159" t="s">
        <v>112</v>
      </c>
      <c r="C5457" s="116" t="s">
        <v>44</v>
      </c>
      <c r="D5457" s="161">
        <v>100</v>
      </c>
      <c r="E5457" s="161">
        <v>100</v>
      </c>
      <c r="F5457" s="170" t="s">
        <v>19</v>
      </c>
      <c r="G5457" s="165">
        <v>46174</v>
      </c>
      <c r="H5457" s="162" t="s">
        <v>3575</v>
      </c>
      <c r="I5457" s="163">
        <v>2850</v>
      </c>
      <c r="J5457" s="24">
        <v>1</v>
      </c>
      <c r="K5457" s="24">
        <v>0</v>
      </c>
      <c r="L5457" s="91">
        <v>0</v>
      </c>
      <c r="M5457" s="24">
        <v>0</v>
      </c>
      <c r="N5457" s="98">
        <f t="shared" si="218"/>
        <v>1</v>
      </c>
      <c r="O5457" s="156">
        <f t="shared" si="220"/>
        <v>2850</v>
      </c>
      <c r="P5457" s="10">
        <v>35</v>
      </c>
      <c r="Q5457" s="10" t="s">
        <v>1928</v>
      </c>
      <c r="R5457" s="157">
        <f>+テーブル1[[#This Row],[合計金額]]*テーブル1[[#This Row],[自社報酬率％]]/100</f>
        <v>2850</v>
      </c>
    </row>
    <row r="5458" spans="1:18">
      <c r="A5458" s="158">
        <v>46054</v>
      </c>
      <c r="B5458" s="159" t="s">
        <v>112</v>
      </c>
      <c r="C5458" s="116" t="s">
        <v>44</v>
      </c>
      <c r="D5458" s="161">
        <v>100</v>
      </c>
      <c r="E5458" s="161">
        <v>100</v>
      </c>
      <c r="F5458" s="170" t="s">
        <v>19</v>
      </c>
      <c r="G5458" s="165">
        <v>46204</v>
      </c>
      <c r="H5458" s="162" t="s">
        <v>3576</v>
      </c>
      <c r="I5458" s="163">
        <v>2850</v>
      </c>
      <c r="J5458" s="24">
        <v>1</v>
      </c>
      <c r="K5458" s="24">
        <v>0</v>
      </c>
      <c r="L5458" s="91">
        <v>0</v>
      </c>
      <c r="M5458" s="24">
        <v>0</v>
      </c>
      <c r="N5458" s="98">
        <f t="shared" si="218"/>
        <v>1</v>
      </c>
      <c r="O5458" s="156">
        <f t="shared" si="220"/>
        <v>2850</v>
      </c>
      <c r="P5458" s="10">
        <v>36</v>
      </c>
      <c r="Q5458" s="10" t="s">
        <v>1928</v>
      </c>
      <c r="R5458" s="157">
        <f>+テーブル1[[#This Row],[合計金額]]*テーブル1[[#This Row],[自社報酬率％]]/100</f>
        <v>2850</v>
      </c>
    </row>
    <row r="5459" spans="1:18">
      <c r="A5459" s="158">
        <v>46054</v>
      </c>
      <c r="B5459" s="159" t="s">
        <v>112</v>
      </c>
      <c r="C5459" s="116" t="s">
        <v>44</v>
      </c>
      <c r="D5459" s="161">
        <v>100</v>
      </c>
      <c r="E5459" s="161">
        <v>100</v>
      </c>
      <c r="F5459" s="153" t="s">
        <v>19</v>
      </c>
      <c r="G5459" s="86">
        <v>46235</v>
      </c>
      <c r="H5459" s="162" t="s">
        <v>3577</v>
      </c>
      <c r="I5459" s="163">
        <v>2850</v>
      </c>
      <c r="J5459" s="77">
        <v>1</v>
      </c>
      <c r="K5459" s="77">
        <v>0</v>
      </c>
      <c r="L5459" s="92">
        <v>0</v>
      </c>
      <c r="M5459" s="77">
        <v>0</v>
      </c>
      <c r="N5459" s="98">
        <f t="shared" si="218"/>
        <v>1</v>
      </c>
      <c r="O5459" s="156">
        <f t="shared" si="220"/>
        <v>2850</v>
      </c>
      <c r="P5459" s="10">
        <v>37</v>
      </c>
      <c r="Q5459" s="10" t="s">
        <v>1928</v>
      </c>
      <c r="R5459" s="157">
        <f>+テーブル1[[#This Row],[合計金額]]*テーブル1[[#This Row],[自社報酬率％]]/100</f>
        <v>2850</v>
      </c>
    </row>
    <row r="5460" spans="1:18">
      <c r="A5460" s="158">
        <v>46054</v>
      </c>
      <c r="B5460" s="159" t="s">
        <v>112</v>
      </c>
      <c r="C5460" s="116" t="s">
        <v>44</v>
      </c>
      <c r="D5460" s="161">
        <v>100</v>
      </c>
      <c r="E5460" s="161">
        <v>100</v>
      </c>
      <c r="F5460" s="152" t="s">
        <v>19</v>
      </c>
      <c r="G5460" s="85">
        <v>46082</v>
      </c>
      <c r="H5460" s="162" t="s">
        <v>3578</v>
      </c>
      <c r="I5460" s="163">
        <v>2850</v>
      </c>
      <c r="J5460" s="73">
        <v>1</v>
      </c>
      <c r="K5460" s="73">
        <v>0</v>
      </c>
      <c r="L5460" s="90">
        <v>0</v>
      </c>
      <c r="M5460" s="73">
        <v>0</v>
      </c>
      <c r="N5460" s="97">
        <f t="shared" si="218"/>
        <v>1</v>
      </c>
      <c r="O5460" s="156">
        <f t="shared" si="220"/>
        <v>2850</v>
      </c>
      <c r="P5460" s="10">
        <v>38</v>
      </c>
      <c r="Q5460" s="10" t="s">
        <v>1928</v>
      </c>
      <c r="R5460" s="157">
        <f>+テーブル1[[#This Row],[合計金額]]*テーブル1[[#This Row],[自社報酬率％]]/100</f>
        <v>2850</v>
      </c>
    </row>
    <row r="5461" spans="1:18">
      <c r="A5461" s="158">
        <v>46054</v>
      </c>
      <c r="B5461" s="159" t="s">
        <v>112</v>
      </c>
      <c r="C5461" s="116" t="s">
        <v>44</v>
      </c>
      <c r="D5461" s="161">
        <v>100</v>
      </c>
      <c r="E5461" s="161">
        <v>100</v>
      </c>
      <c r="F5461" s="170" t="s">
        <v>19</v>
      </c>
      <c r="G5461" s="165">
        <v>46113</v>
      </c>
      <c r="H5461" s="162" t="s">
        <v>3579</v>
      </c>
      <c r="I5461" s="163">
        <v>2850</v>
      </c>
      <c r="J5461" s="24">
        <v>1</v>
      </c>
      <c r="K5461" s="24">
        <v>0</v>
      </c>
      <c r="L5461" s="91">
        <v>0</v>
      </c>
      <c r="M5461" s="24">
        <v>0</v>
      </c>
      <c r="N5461" s="98">
        <f t="shared" si="218"/>
        <v>1</v>
      </c>
      <c r="O5461" s="156">
        <f t="shared" si="220"/>
        <v>2850</v>
      </c>
      <c r="P5461" s="10">
        <v>39</v>
      </c>
      <c r="Q5461" s="10" t="s">
        <v>1928</v>
      </c>
      <c r="R5461" s="157">
        <f>+テーブル1[[#This Row],[合計金額]]*テーブル1[[#This Row],[自社報酬率％]]/100</f>
        <v>2850</v>
      </c>
    </row>
    <row r="5462" spans="1:18">
      <c r="A5462" s="158">
        <v>46054</v>
      </c>
      <c r="B5462" s="159" t="s">
        <v>112</v>
      </c>
      <c r="C5462" s="116" t="s">
        <v>44</v>
      </c>
      <c r="D5462" s="161">
        <v>100</v>
      </c>
      <c r="E5462" s="161">
        <v>100</v>
      </c>
      <c r="F5462" s="170" t="s">
        <v>19</v>
      </c>
      <c r="G5462" s="165">
        <v>46143</v>
      </c>
      <c r="H5462" s="162" t="s">
        <v>3580</v>
      </c>
      <c r="I5462" s="163">
        <v>2850</v>
      </c>
      <c r="J5462" s="24">
        <v>1</v>
      </c>
      <c r="K5462" s="24">
        <v>0</v>
      </c>
      <c r="L5462" s="91">
        <v>0</v>
      </c>
      <c r="M5462" s="24">
        <v>0</v>
      </c>
      <c r="N5462" s="98">
        <f t="shared" si="218"/>
        <v>1</v>
      </c>
      <c r="O5462" s="156">
        <f t="shared" si="220"/>
        <v>2850</v>
      </c>
      <c r="P5462" s="10">
        <v>40</v>
      </c>
      <c r="Q5462" s="10" t="s">
        <v>1928</v>
      </c>
      <c r="R5462" s="157">
        <f>+テーブル1[[#This Row],[合計金額]]*テーブル1[[#This Row],[自社報酬率％]]/100</f>
        <v>2850</v>
      </c>
    </row>
    <row r="5463" spans="1:18">
      <c r="A5463" s="158">
        <v>46054</v>
      </c>
      <c r="B5463" s="159" t="s">
        <v>112</v>
      </c>
      <c r="C5463" s="116" t="s">
        <v>44</v>
      </c>
      <c r="D5463" s="161">
        <v>100</v>
      </c>
      <c r="E5463" s="161">
        <v>100</v>
      </c>
      <c r="F5463" s="170" t="s">
        <v>19</v>
      </c>
      <c r="G5463" s="165">
        <v>46174</v>
      </c>
      <c r="H5463" s="162" t="s">
        <v>3581</v>
      </c>
      <c r="I5463" s="163">
        <v>2850</v>
      </c>
      <c r="J5463" s="24">
        <v>1</v>
      </c>
      <c r="K5463" s="24">
        <v>0</v>
      </c>
      <c r="L5463" s="91">
        <v>0</v>
      </c>
      <c r="M5463" s="24">
        <v>0</v>
      </c>
      <c r="N5463" s="98">
        <f t="shared" si="218"/>
        <v>1</v>
      </c>
      <c r="O5463" s="156">
        <f t="shared" si="220"/>
        <v>2850</v>
      </c>
      <c r="P5463" s="10">
        <v>41</v>
      </c>
      <c r="Q5463" s="10" t="s">
        <v>1928</v>
      </c>
      <c r="R5463" s="157">
        <f>+テーブル1[[#This Row],[合計金額]]*テーブル1[[#This Row],[自社報酬率％]]/100</f>
        <v>2850</v>
      </c>
    </row>
    <row r="5464" spans="1:18">
      <c r="A5464" s="158">
        <v>46054</v>
      </c>
      <c r="B5464" s="159" t="s">
        <v>112</v>
      </c>
      <c r="C5464" s="116" t="s">
        <v>44</v>
      </c>
      <c r="D5464" s="161">
        <v>100</v>
      </c>
      <c r="E5464" s="161">
        <v>100</v>
      </c>
      <c r="F5464" s="170" t="s">
        <v>19</v>
      </c>
      <c r="G5464" s="165">
        <v>46204</v>
      </c>
      <c r="H5464" s="162" t="s">
        <v>3582</v>
      </c>
      <c r="I5464" s="163">
        <v>2850</v>
      </c>
      <c r="J5464" s="24">
        <v>1</v>
      </c>
      <c r="K5464" s="24">
        <v>0</v>
      </c>
      <c r="L5464" s="91">
        <v>0</v>
      </c>
      <c r="M5464" s="24">
        <v>0</v>
      </c>
      <c r="N5464" s="98">
        <f t="shared" si="218"/>
        <v>1</v>
      </c>
      <c r="O5464" s="156">
        <f t="shared" si="220"/>
        <v>2850</v>
      </c>
      <c r="P5464" s="10">
        <v>42</v>
      </c>
      <c r="Q5464" s="10" t="s">
        <v>1928</v>
      </c>
      <c r="R5464" s="157">
        <f>+テーブル1[[#This Row],[合計金額]]*テーブル1[[#This Row],[自社報酬率％]]/100</f>
        <v>2850</v>
      </c>
    </row>
    <row r="5465" spans="1:18">
      <c r="A5465" s="158">
        <v>46054</v>
      </c>
      <c r="B5465" s="159" t="s">
        <v>112</v>
      </c>
      <c r="C5465" s="116" t="s">
        <v>44</v>
      </c>
      <c r="D5465" s="161">
        <v>100</v>
      </c>
      <c r="E5465" s="161">
        <v>100</v>
      </c>
      <c r="F5465" s="153" t="s">
        <v>19</v>
      </c>
      <c r="G5465" s="86">
        <v>46235</v>
      </c>
      <c r="H5465" s="162" t="s">
        <v>3583</v>
      </c>
      <c r="I5465" s="163">
        <v>2850</v>
      </c>
      <c r="J5465" s="77">
        <v>1</v>
      </c>
      <c r="K5465" s="77">
        <v>0</v>
      </c>
      <c r="L5465" s="92">
        <v>0</v>
      </c>
      <c r="M5465" s="77">
        <v>0</v>
      </c>
      <c r="N5465" s="98">
        <f t="shared" si="218"/>
        <v>1</v>
      </c>
      <c r="O5465" s="156">
        <f t="shared" si="220"/>
        <v>2850</v>
      </c>
      <c r="P5465" s="10">
        <v>43</v>
      </c>
      <c r="Q5465" s="10" t="s">
        <v>1928</v>
      </c>
      <c r="R5465" s="157">
        <f>+テーブル1[[#This Row],[合計金額]]*テーブル1[[#This Row],[自社報酬率％]]/100</f>
        <v>2850</v>
      </c>
    </row>
    <row r="5466" spans="1:18">
      <c r="A5466" s="158">
        <v>46054</v>
      </c>
      <c r="B5466" s="159" t="s">
        <v>112</v>
      </c>
      <c r="C5466" s="116" t="s">
        <v>44</v>
      </c>
      <c r="D5466" s="161">
        <v>100</v>
      </c>
      <c r="E5466" s="161">
        <v>100</v>
      </c>
      <c r="F5466" s="152" t="s">
        <v>19</v>
      </c>
      <c r="G5466" s="85">
        <v>46082</v>
      </c>
      <c r="H5466" s="162" t="s">
        <v>3584</v>
      </c>
      <c r="I5466" s="163">
        <v>5670</v>
      </c>
      <c r="J5466" s="73">
        <v>1</v>
      </c>
      <c r="K5466" s="73">
        <v>0</v>
      </c>
      <c r="L5466" s="90">
        <v>0</v>
      </c>
      <c r="M5466" s="73">
        <v>0</v>
      </c>
      <c r="N5466" s="97">
        <f t="shared" si="218"/>
        <v>1</v>
      </c>
      <c r="O5466" s="156">
        <f t="shared" si="220"/>
        <v>5670</v>
      </c>
      <c r="P5466" s="10">
        <v>44</v>
      </c>
      <c r="Q5466" s="10" t="s">
        <v>1928</v>
      </c>
      <c r="R5466" s="157">
        <f>+テーブル1[[#This Row],[合計金額]]*テーブル1[[#This Row],[自社報酬率％]]/100</f>
        <v>5670</v>
      </c>
    </row>
    <row r="5467" spans="1:18">
      <c r="A5467" s="158">
        <v>46054</v>
      </c>
      <c r="B5467" s="159" t="s">
        <v>112</v>
      </c>
      <c r="C5467" s="116" t="s">
        <v>44</v>
      </c>
      <c r="D5467" s="161">
        <v>100</v>
      </c>
      <c r="E5467" s="161">
        <v>100</v>
      </c>
      <c r="F5467" s="170" t="s">
        <v>19</v>
      </c>
      <c r="G5467" s="165">
        <v>46113</v>
      </c>
      <c r="H5467" s="162" t="s">
        <v>3585</v>
      </c>
      <c r="I5467" s="163">
        <v>5666</v>
      </c>
      <c r="J5467" s="24">
        <v>1</v>
      </c>
      <c r="K5467" s="24">
        <v>0</v>
      </c>
      <c r="L5467" s="91">
        <v>0</v>
      </c>
      <c r="M5467" s="24">
        <v>0</v>
      </c>
      <c r="N5467" s="98">
        <f t="shared" si="218"/>
        <v>1</v>
      </c>
      <c r="O5467" s="156">
        <f t="shared" si="220"/>
        <v>5666</v>
      </c>
      <c r="P5467" s="10">
        <v>45</v>
      </c>
      <c r="Q5467" s="10" t="s">
        <v>1928</v>
      </c>
      <c r="R5467" s="157">
        <f>+テーブル1[[#This Row],[合計金額]]*テーブル1[[#This Row],[自社報酬率％]]/100</f>
        <v>5666</v>
      </c>
    </row>
    <row r="5468" spans="1:18">
      <c r="A5468" s="158">
        <v>46054</v>
      </c>
      <c r="B5468" s="159" t="s">
        <v>112</v>
      </c>
      <c r="C5468" s="116" t="s">
        <v>44</v>
      </c>
      <c r="D5468" s="161">
        <v>100</v>
      </c>
      <c r="E5468" s="161">
        <v>100</v>
      </c>
      <c r="F5468" s="170" t="s">
        <v>19</v>
      </c>
      <c r="G5468" s="165">
        <v>46143</v>
      </c>
      <c r="H5468" s="162" t="s">
        <v>3586</v>
      </c>
      <c r="I5468" s="163">
        <v>5666</v>
      </c>
      <c r="J5468" s="24">
        <v>1</v>
      </c>
      <c r="K5468" s="24">
        <v>0</v>
      </c>
      <c r="L5468" s="91">
        <v>0</v>
      </c>
      <c r="M5468" s="24">
        <v>0</v>
      </c>
      <c r="N5468" s="98">
        <f t="shared" si="218"/>
        <v>1</v>
      </c>
      <c r="O5468" s="156">
        <f t="shared" si="220"/>
        <v>5666</v>
      </c>
      <c r="P5468" s="10">
        <v>46</v>
      </c>
      <c r="Q5468" s="10" t="s">
        <v>1928</v>
      </c>
      <c r="R5468" s="157">
        <f>+テーブル1[[#This Row],[合計金額]]*テーブル1[[#This Row],[自社報酬率％]]/100</f>
        <v>5666</v>
      </c>
    </row>
    <row r="5469" spans="1:18">
      <c r="A5469" s="158">
        <v>46054</v>
      </c>
      <c r="B5469" s="159" t="s">
        <v>112</v>
      </c>
      <c r="C5469" s="116" t="s">
        <v>44</v>
      </c>
      <c r="D5469" s="161">
        <v>100</v>
      </c>
      <c r="E5469" s="161">
        <v>100</v>
      </c>
      <c r="F5469" s="170" t="s">
        <v>19</v>
      </c>
      <c r="G5469" s="165">
        <v>46174</v>
      </c>
      <c r="H5469" s="162" t="s">
        <v>3587</v>
      </c>
      <c r="I5469" s="163">
        <v>5666</v>
      </c>
      <c r="J5469" s="24">
        <v>1</v>
      </c>
      <c r="K5469" s="24">
        <v>0</v>
      </c>
      <c r="L5469" s="91">
        <v>0</v>
      </c>
      <c r="M5469" s="24">
        <v>0</v>
      </c>
      <c r="N5469" s="98">
        <f t="shared" si="218"/>
        <v>1</v>
      </c>
      <c r="O5469" s="156">
        <f t="shared" si="220"/>
        <v>5666</v>
      </c>
      <c r="P5469" s="10">
        <v>47</v>
      </c>
      <c r="Q5469" s="10" t="s">
        <v>1928</v>
      </c>
      <c r="R5469" s="157">
        <f>+テーブル1[[#This Row],[合計金額]]*テーブル1[[#This Row],[自社報酬率％]]/100</f>
        <v>5666</v>
      </c>
    </row>
    <row r="5470" spans="1:18">
      <c r="A5470" s="158">
        <v>46054</v>
      </c>
      <c r="B5470" s="159" t="s">
        <v>112</v>
      </c>
      <c r="C5470" s="116" t="s">
        <v>44</v>
      </c>
      <c r="D5470" s="161">
        <v>100</v>
      </c>
      <c r="E5470" s="161">
        <v>100</v>
      </c>
      <c r="F5470" s="170" t="s">
        <v>19</v>
      </c>
      <c r="G5470" s="165">
        <v>46204</v>
      </c>
      <c r="H5470" s="162" t="s">
        <v>3588</v>
      </c>
      <c r="I5470" s="163">
        <v>5666</v>
      </c>
      <c r="J5470" s="24">
        <v>1</v>
      </c>
      <c r="K5470" s="24">
        <v>0</v>
      </c>
      <c r="L5470" s="91">
        <v>0</v>
      </c>
      <c r="M5470" s="24">
        <v>0</v>
      </c>
      <c r="N5470" s="98">
        <f t="shared" si="218"/>
        <v>1</v>
      </c>
      <c r="O5470" s="156">
        <f t="shared" si="220"/>
        <v>5666</v>
      </c>
      <c r="P5470" s="10">
        <v>48</v>
      </c>
      <c r="Q5470" s="10" t="s">
        <v>1928</v>
      </c>
      <c r="R5470" s="157">
        <f>+テーブル1[[#This Row],[合計金額]]*テーブル1[[#This Row],[自社報酬率％]]/100</f>
        <v>5666</v>
      </c>
    </row>
    <row r="5471" spans="1:18">
      <c r="A5471" s="158">
        <v>46054</v>
      </c>
      <c r="B5471" s="159" t="s">
        <v>112</v>
      </c>
      <c r="C5471" s="116" t="s">
        <v>44</v>
      </c>
      <c r="D5471" s="161">
        <v>100</v>
      </c>
      <c r="E5471" s="161">
        <v>100</v>
      </c>
      <c r="F5471" s="153" t="s">
        <v>19</v>
      </c>
      <c r="G5471" s="86">
        <v>46235</v>
      </c>
      <c r="H5471" s="162" t="s">
        <v>3589</v>
      </c>
      <c r="I5471" s="163">
        <v>5666</v>
      </c>
      <c r="J5471" s="77">
        <v>1</v>
      </c>
      <c r="K5471" s="77">
        <v>0</v>
      </c>
      <c r="L5471" s="92">
        <v>0</v>
      </c>
      <c r="M5471" s="77">
        <v>0</v>
      </c>
      <c r="N5471" s="99">
        <f t="shared" si="218"/>
        <v>1</v>
      </c>
      <c r="O5471" s="156">
        <f t="shared" si="220"/>
        <v>5666</v>
      </c>
      <c r="P5471" s="10">
        <v>49</v>
      </c>
      <c r="Q5471" s="10" t="s">
        <v>1928</v>
      </c>
      <c r="R5471" s="157">
        <f>+テーブル1[[#This Row],[合計金額]]*テーブル1[[#This Row],[自社報酬率％]]/100</f>
        <v>5666</v>
      </c>
    </row>
    <row r="5472" spans="1:18">
      <c r="A5472" s="158">
        <v>46054</v>
      </c>
      <c r="B5472" s="159" t="s">
        <v>112</v>
      </c>
      <c r="C5472" s="116" t="s">
        <v>44</v>
      </c>
      <c r="D5472" s="161">
        <v>100</v>
      </c>
      <c r="E5472" s="161">
        <v>100</v>
      </c>
      <c r="F5472" s="170" t="s">
        <v>16</v>
      </c>
      <c r="G5472" s="165">
        <v>46082</v>
      </c>
      <c r="H5472" s="162" t="s">
        <v>2076</v>
      </c>
      <c r="I5472" s="163">
        <v>3000</v>
      </c>
      <c r="J5472" s="24">
        <v>2</v>
      </c>
      <c r="K5472" s="24">
        <v>0</v>
      </c>
      <c r="L5472" s="91">
        <v>0</v>
      </c>
      <c r="M5472" s="24">
        <v>0</v>
      </c>
      <c r="N5472" s="100">
        <f t="shared" si="218"/>
        <v>2</v>
      </c>
      <c r="O5472" s="156">
        <f t="shared" si="220"/>
        <v>6000</v>
      </c>
      <c r="P5472" s="10">
        <v>50</v>
      </c>
      <c r="Q5472" s="10" t="s">
        <v>1928</v>
      </c>
      <c r="R5472" s="157">
        <f>+テーブル1[[#This Row],[合計金額]]*テーブル1[[#This Row],[自社報酬率％]]/100</f>
        <v>6000</v>
      </c>
    </row>
    <row r="5473" spans="1:18">
      <c r="A5473" s="158">
        <v>46054</v>
      </c>
      <c r="B5473" s="159" t="s">
        <v>112</v>
      </c>
      <c r="C5473" s="116" t="s">
        <v>44</v>
      </c>
      <c r="D5473" s="161">
        <v>100</v>
      </c>
      <c r="E5473" s="161">
        <v>100</v>
      </c>
      <c r="F5473" s="170" t="s">
        <v>16</v>
      </c>
      <c r="G5473" s="165">
        <v>46082</v>
      </c>
      <c r="H5473" s="162" t="s">
        <v>1961</v>
      </c>
      <c r="I5473" s="163">
        <v>3000</v>
      </c>
      <c r="J5473" s="24">
        <v>6</v>
      </c>
      <c r="K5473" s="24">
        <v>0</v>
      </c>
      <c r="L5473" s="91">
        <v>0</v>
      </c>
      <c r="M5473" s="24">
        <v>0</v>
      </c>
      <c r="N5473" s="100">
        <f t="shared" si="218"/>
        <v>6</v>
      </c>
      <c r="O5473" s="156">
        <f t="shared" si="220"/>
        <v>18000</v>
      </c>
      <c r="P5473" s="10">
        <v>51</v>
      </c>
      <c r="Q5473" s="10" t="s">
        <v>1928</v>
      </c>
      <c r="R5473" s="157">
        <f>+テーブル1[[#This Row],[合計金額]]*テーブル1[[#This Row],[自社報酬率％]]/100</f>
        <v>18000</v>
      </c>
    </row>
    <row r="5474" spans="1:18">
      <c r="A5474" s="158">
        <v>46054</v>
      </c>
      <c r="B5474" s="159" t="s">
        <v>112</v>
      </c>
      <c r="C5474" s="116" t="s">
        <v>44</v>
      </c>
      <c r="D5474" s="161">
        <v>100</v>
      </c>
      <c r="E5474" s="161">
        <v>100</v>
      </c>
      <c r="F5474" s="171" t="s">
        <v>20</v>
      </c>
      <c r="G5474" s="167">
        <v>46054</v>
      </c>
      <c r="H5474" s="162" t="s">
        <v>2400</v>
      </c>
      <c r="I5474" s="163">
        <v>188000</v>
      </c>
      <c r="J5474" s="24">
        <v>1</v>
      </c>
      <c r="K5474" s="24">
        <v>0</v>
      </c>
      <c r="L5474" s="91">
        <v>0</v>
      </c>
      <c r="M5474" s="24">
        <v>0</v>
      </c>
      <c r="N5474" s="100">
        <f t="shared" si="218"/>
        <v>1</v>
      </c>
      <c r="O5474" s="156">
        <f t="shared" si="220"/>
        <v>188000</v>
      </c>
      <c r="P5474" s="10">
        <v>52</v>
      </c>
      <c r="Q5474" s="10" t="s">
        <v>1928</v>
      </c>
      <c r="R5474" s="157">
        <f>+テーブル1[[#This Row],[合計金額]]*テーブル1[[#This Row],[自社報酬率％]]/100</f>
        <v>188000</v>
      </c>
    </row>
    <row r="5475" spans="1:18">
      <c r="A5475" s="158">
        <v>46054</v>
      </c>
      <c r="B5475" s="159" t="s">
        <v>112</v>
      </c>
      <c r="C5475" s="116" t="s">
        <v>44</v>
      </c>
      <c r="D5475" s="161">
        <v>100</v>
      </c>
      <c r="E5475" s="161">
        <v>100</v>
      </c>
      <c r="F5475" s="171" t="s">
        <v>20</v>
      </c>
      <c r="G5475" s="167">
        <v>46054</v>
      </c>
      <c r="H5475" s="162" t="s">
        <v>2500</v>
      </c>
      <c r="I5475" s="163">
        <v>99800</v>
      </c>
      <c r="J5475" s="24">
        <v>1</v>
      </c>
      <c r="K5475" s="24">
        <v>0</v>
      </c>
      <c r="L5475" s="91">
        <v>0</v>
      </c>
      <c r="M5475" s="24">
        <v>0</v>
      </c>
      <c r="N5475" s="100">
        <f t="shared" si="218"/>
        <v>1</v>
      </c>
      <c r="O5475" s="156">
        <f t="shared" si="220"/>
        <v>99800</v>
      </c>
      <c r="P5475" s="10">
        <v>53</v>
      </c>
      <c r="Q5475" s="10" t="s">
        <v>1928</v>
      </c>
      <c r="R5475" s="157">
        <f>+テーブル1[[#This Row],[合計金額]]*テーブル1[[#This Row],[自社報酬率％]]/100</f>
        <v>99800</v>
      </c>
    </row>
    <row r="5476" spans="1:18">
      <c r="A5476" s="158">
        <v>46054</v>
      </c>
      <c r="B5476" s="159" t="s">
        <v>112</v>
      </c>
      <c r="C5476" s="166" t="s">
        <v>2043</v>
      </c>
      <c r="D5476" s="161">
        <v>60</v>
      </c>
      <c r="E5476" s="161">
        <v>40</v>
      </c>
      <c r="F5476" s="159" t="s">
        <v>17</v>
      </c>
      <c r="G5476" s="167">
        <v>46054</v>
      </c>
      <c r="H5476" s="162" t="s">
        <v>3590</v>
      </c>
      <c r="I5476" s="163">
        <v>349200</v>
      </c>
      <c r="J5476" s="24">
        <v>1</v>
      </c>
      <c r="K5476" s="24">
        <v>0</v>
      </c>
      <c r="L5476" s="91">
        <v>0</v>
      </c>
      <c r="M5476" s="24">
        <v>0</v>
      </c>
      <c r="N5476" s="12">
        <f t="shared" si="218"/>
        <v>1</v>
      </c>
      <c r="O5476" s="156">
        <f t="shared" si="220"/>
        <v>349200</v>
      </c>
      <c r="P5476" s="10">
        <v>54</v>
      </c>
      <c r="Q5476" s="10" t="s">
        <v>1928</v>
      </c>
      <c r="R5476" s="157">
        <f>+テーブル1[[#This Row],[合計金額]]*テーブル1[[#This Row],[自社報酬率％]]/100</f>
        <v>139680</v>
      </c>
    </row>
    <row r="5477" spans="1:18">
      <c r="A5477" s="158">
        <v>46054</v>
      </c>
      <c r="B5477" s="159" t="s">
        <v>112</v>
      </c>
      <c r="C5477" s="166" t="s">
        <v>2043</v>
      </c>
      <c r="D5477" s="161">
        <v>60</v>
      </c>
      <c r="E5477" s="161">
        <v>40</v>
      </c>
      <c r="F5477" s="159" t="s">
        <v>17</v>
      </c>
      <c r="G5477" s="167">
        <v>46054</v>
      </c>
      <c r="H5477" s="162" t="s">
        <v>3565</v>
      </c>
      <c r="I5477" s="163">
        <v>349200</v>
      </c>
      <c r="J5477" s="24">
        <v>1</v>
      </c>
      <c r="K5477" s="24">
        <v>0</v>
      </c>
      <c r="L5477" s="91">
        <v>0</v>
      </c>
      <c r="M5477" s="24">
        <v>0</v>
      </c>
      <c r="N5477" s="12">
        <f t="shared" si="218"/>
        <v>1</v>
      </c>
      <c r="O5477" s="156">
        <f t="shared" si="220"/>
        <v>349200</v>
      </c>
      <c r="P5477" s="10">
        <v>55</v>
      </c>
      <c r="Q5477" s="10" t="s">
        <v>1928</v>
      </c>
      <c r="R5477" s="157">
        <f>+テーブル1[[#This Row],[合計金額]]*テーブル1[[#This Row],[自社報酬率％]]/100</f>
        <v>139680</v>
      </c>
    </row>
    <row r="5478" spans="1:18">
      <c r="A5478" s="158">
        <v>46054</v>
      </c>
      <c r="B5478" s="159" t="s">
        <v>112</v>
      </c>
      <c r="C5478" s="166" t="s">
        <v>2043</v>
      </c>
      <c r="D5478" s="161">
        <v>60</v>
      </c>
      <c r="E5478" s="161">
        <v>40</v>
      </c>
      <c r="F5478" s="159" t="s">
        <v>113</v>
      </c>
      <c r="G5478" s="167">
        <v>46054</v>
      </c>
      <c r="H5478" s="162" t="s">
        <v>2086</v>
      </c>
      <c r="I5478" s="163">
        <v>49800</v>
      </c>
      <c r="J5478" s="24">
        <v>1</v>
      </c>
      <c r="K5478" s="24">
        <v>0</v>
      </c>
      <c r="L5478" s="91">
        <v>0</v>
      </c>
      <c r="M5478" s="24">
        <v>0</v>
      </c>
      <c r="N5478" s="12">
        <f t="shared" ref="N5478:N5510" si="221">J5478-K5478-L5478-M5478</f>
        <v>1</v>
      </c>
      <c r="O5478" s="156">
        <f t="shared" si="220"/>
        <v>49800</v>
      </c>
      <c r="P5478" s="10">
        <v>56</v>
      </c>
      <c r="Q5478" s="10" t="s">
        <v>1928</v>
      </c>
      <c r="R5478" s="157">
        <f>+テーブル1[[#This Row],[合計金額]]*テーブル1[[#This Row],[自社報酬率％]]/100</f>
        <v>19920</v>
      </c>
    </row>
    <row r="5479" spans="1:18">
      <c r="A5479" s="158">
        <v>46054</v>
      </c>
      <c r="B5479" s="159" t="s">
        <v>112</v>
      </c>
      <c r="C5479" s="166" t="s">
        <v>2043</v>
      </c>
      <c r="D5479" s="161">
        <v>60</v>
      </c>
      <c r="E5479" s="161">
        <v>40</v>
      </c>
      <c r="F5479" s="159" t="s">
        <v>18</v>
      </c>
      <c r="G5479" s="167">
        <v>46054</v>
      </c>
      <c r="H5479" s="162" t="s">
        <v>2089</v>
      </c>
      <c r="I5479" s="163">
        <v>29700</v>
      </c>
      <c r="J5479" s="24">
        <v>2</v>
      </c>
      <c r="K5479" s="24">
        <v>0</v>
      </c>
      <c r="L5479" s="91">
        <v>0</v>
      </c>
      <c r="M5479" s="24">
        <v>0</v>
      </c>
      <c r="N5479" s="12">
        <f t="shared" si="221"/>
        <v>2</v>
      </c>
      <c r="O5479" s="156">
        <f t="shared" si="220"/>
        <v>59400</v>
      </c>
      <c r="P5479" s="10">
        <v>57</v>
      </c>
      <c r="Q5479" s="10" t="s">
        <v>1928</v>
      </c>
      <c r="R5479" s="157">
        <f>+テーブル1[[#This Row],[合計金額]]*テーブル1[[#This Row],[自社報酬率％]]/100</f>
        <v>23760</v>
      </c>
    </row>
    <row r="5480" spans="1:18">
      <c r="A5480" s="158">
        <v>46054</v>
      </c>
      <c r="B5480" s="159" t="s">
        <v>112</v>
      </c>
      <c r="C5480" s="166" t="s">
        <v>2043</v>
      </c>
      <c r="D5480" s="161">
        <v>60</v>
      </c>
      <c r="E5480" s="161">
        <v>40</v>
      </c>
      <c r="F5480" s="159" t="s">
        <v>19</v>
      </c>
      <c r="G5480" s="167">
        <v>46054</v>
      </c>
      <c r="H5480" s="162" t="s">
        <v>3591</v>
      </c>
      <c r="I5480" s="163">
        <v>198000</v>
      </c>
      <c r="J5480" s="24">
        <v>1</v>
      </c>
      <c r="K5480" s="24">
        <v>0</v>
      </c>
      <c r="L5480" s="91">
        <v>0</v>
      </c>
      <c r="M5480" s="24">
        <v>0</v>
      </c>
      <c r="N5480" s="12">
        <f t="shared" si="221"/>
        <v>1</v>
      </c>
      <c r="O5480" s="156">
        <f t="shared" si="220"/>
        <v>198000</v>
      </c>
      <c r="P5480" s="10">
        <v>58</v>
      </c>
      <c r="Q5480" s="10" t="s">
        <v>1928</v>
      </c>
      <c r="R5480" s="157">
        <f>+テーブル1[[#This Row],[合計金額]]*テーブル1[[#This Row],[自社報酬率％]]/100</f>
        <v>79200</v>
      </c>
    </row>
    <row r="5481" spans="1:18">
      <c r="A5481" s="158">
        <v>46054</v>
      </c>
      <c r="B5481" s="159" t="s">
        <v>112</v>
      </c>
      <c r="C5481" s="166" t="s">
        <v>2043</v>
      </c>
      <c r="D5481" s="161">
        <v>60</v>
      </c>
      <c r="E5481" s="161">
        <v>40</v>
      </c>
      <c r="F5481" s="159" t="s">
        <v>19</v>
      </c>
      <c r="G5481" s="167">
        <v>46054</v>
      </c>
      <c r="H5481" s="162" t="s">
        <v>3567</v>
      </c>
      <c r="I5481" s="163">
        <v>98000</v>
      </c>
      <c r="J5481" s="24">
        <v>5</v>
      </c>
      <c r="K5481" s="24">
        <v>0</v>
      </c>
      <c r="L5481" s="91">
        <v>0</v>
      </c>
      <c r="M5481" s="24">
        <v>0</v>
      </c>
      <c r="N5481" s="12">
        <f t="shared" si="221"/>
        <v>5</v>
      </c>
      <c r="O5481" s="156">
        <f t="shared" si="220"/>
        <v>490000</v>
      </c>
      <c r="P5481" s="10">
        <v>59</v>
      </c>
      <c r="Q5481" s="10" t="s">
        <v>1928</v>
      </c>
      <c r="R5481" s="157">
        <f>+テーブル1[[#This Row],[合計金額]]*テーブル1[[#This Row],[自社報酬率％]]/100</f>
        <v>196000</v>
      </c>
    </row>
    <row r="5482" spans="1:18">
      <c r="A5482" s="158">
        <v>46054</v>
      </c>
      <c r="B5482" s="159" t="s">
        <v>112</v>
      </c>
      <c r="C5482" s="164" t="s">
        <v>2043</v>
      </c>
      <c r="D5482" s="161">
        <v>60</v>
      </c>
      <c r="E5482" s="161">
        <v>40</v>
      </c>
      <c r="F5482" s="169" t="s">
        <v>16</v>
      </c>
      <c r="G5482" s="165">
        <v>46082</v>
      </c>
      <c r="H5482" s="162" t="s">
        <v>2093</v>
      </c>
      <c r="I5482" s="163">
        <v>10780</v>
      </c>
      <c r="J5482" s="24">
        <v>1</v>
      </c>
      <c r="K5482" s="24">
        <v>0</v>
      </c>
      <c r="L5482" s="91">
        <v>0</v>
      </c>
      <c r="M5482" s="24">
        <v>0</v>
      </c>
      <c r="N5482" s="12">
        <f t="shared" si="221"/>
        <v>1</v>
      </c>
      <c r="O5482" s="156">
        <f t="shared" si="220"/>
        <v>10780</v>
      </c>
      <c r="P5482" s="10">
        <v>60</v>
      </c>
      <c r="Q5482" s="10" t="s">
        <v>1928</v>
      </c>
      <c r="R5482" s="157">
        <f>+テーブル1[[#This Row],[合計金額]]*テーブル1[[#This Row],[自社報酬率％]]/100</f>
        <v>4312</v>
      </c>
    </row>
    <row r="5483" spans="1:18">
      <c r="A5483" s="158">
        <v>46054</v>
      </c>
      <c r="B5483" s="159" t="s">
        <v>112</v>
      </c>
      <c r="C5483" s="164" t="s">
        <v>2043</v>
      </c>
      <c r="D5483" s="161">
        <v>60</v>
      </c>
      <c r="E5483" s="161">
        <v>40</v>
      </c>
      <c r="F5483" s="169" t="s">
        <v>16</v>
      </c>
      <c r="G5483" s="165">
        <v>46082</v>
      </c>
      <c r="H5483" s="162" t="s">
        <v>2092</v>
      </c>
      <c r="I5483" s="163">
        <v>10780</v>
      </c>
      <c r="J5483" s="24">
        <v>1</v>
      </c>
      <c r="K5483" s="24">
        <v>0</v>
      </c>
      <c r="L5483" s="91">
        <v>0</v>
      </c>
      <c r="M5483" s="24">
        <v>0</v>
      </c>
      <c r="N5483" s="12">
        <f t="shared" si="221"/>
        <v>1</v>
      </c>
      <c r="O5483" s="156">
        <f t="shared" si="220"/>
        <v>10780</v>
      </c>
      <c r="P5483" s="10">
        <v>61</v>
      </c>
      <c r="Q5483" s="10" t="s">
        <v>1928</v>
      </c>
      <c r="R5483" s="157">
        <f>+テーブル1[[#This Row],[合計金額]]*テーブル1[[#This Row],[自社報酬率％]]/100</f>
        <v>4312</v>
      </c>
    </row>
    <row r="5484" spans="1:18">
      <c r="A5484" s="158">
        <v>46054</v>
      </c>
      <c r="B5484" s="159" t="s">
        <v>112</v>
      </c>
      <c r="C5484" s="164" t="s">
        <v>2043</v>
      </c>
      <c r="D5484" s="161">
        <v>60</v>
      </c>
      <c r="E5484" s="161">
        <v>40</v>
      </c>
      <c r="F5484" s="169" t="s">
        <v>16</v>
      </c>
      <c r="G5484" s="165">
        <v>46082</v>
      </c>
      <c r="H5484" s="162" t="s">
        <v>2044</v>
      </c>
      <c r="I5484" s="163">
        <v>10780</v>
      </c>
      <c r="J5484" s="24">
        <v>5</v>
      </c>
      <c r="K5484" s="24">
        <v>0</v>
      </c>
      <c r="L5484" s="91">
        <v>0</v>
      </c>
      <c r="M5484" s="24">
        <v>0</v>
      </c>
      <c r="N5484" s="12">
        <f t="shared" si="221"/>
        <v>5</v>
      </c>
      <c r="O5484" s="156">
        <f t="shared" si="220"/>
        <v>53900</v>
      </c>
      <c r="P5484" s="10">
        <v>62</v>
      </c>
      <c r="Q5484" s="10" t="s">
        <v>1928</v>
      </c>
      <c r="R5484" s="157">
        <f>+テーブル1[[#This Row],[合計金額]]*テーブル1[[#This Row],[自社報酬率％]]/100</f>
        <v>21560</v>
      </c>
    </row>
    <row r="5485" spans="1:18">
      <c r="A5485" s="158">
        <v>46054</v>
      </c>
      <c r="B5485" s="159" t="s">
        <v>112</v>
      </c>
      <c r="C5485" s="164" t="s">
        <v>2043</v>
      </c>
      <c r="D5485" s="161">
        <v>60</v>
      </c>
      <c r="E5485" s="161">
        <v>40</v>
      </c>
      <c r="F5485" s="169" t="s">
        <v>16</v>
      </c>
      <c r="G5485" s="165">
        <v>46082</v>
      </c>
      <c r="H5485" s="162" t="s">
        <v>2047</v>
      </c>
      <c r="I5485" s="163">
        <v>10780</v>
      </c>
      <c r="J5485" s="24">
        <v>8</v>
      </c>
      <c r="K5485" s="24">
        <v>0</v>
      </c>
      <c r="L5485" s="91">
        <v>0</v>
      </c>
      <c r="M5485" s="24">
        <v>0</v>
      </c>
      <c r="N5485" s="12">
        <f t="shared" si="221"/>
        <v>8</v>
      </c>
      <c r="O5485" s="156">
        <f t="shared" si="220"/>
        <v>86240</v>
      </c>
      <c r="P5485" s="10">
        <v>63</v>
      </c>
      <c r="Q5485" s="10" t="s">
        <v>1928</v>
      </c>
      <c r="R5485" s="157">
        <f>+テーブル1[[#This Row],[合計金額]]*テーブル1[[#This Row],[自社報酬率％]]/100</f>
        <v>34496</v>
      </c>
    </row>
    <row r="5486" spans="1:18">
      <c r="A5486" s="158">
        <v>46054</v>
      </c>
      <c r="B5486" s="159" t="s">
        <v>112</v>
      </c>
      <c r="C5486" s="164" t="s">
        <v>2048</v>
      </c>
      <c r="D5486" s="161">
        <v>50</v>
      </c>
      <c r="E5486" s="161">
        <v>50</v>
      </c>
      <c r="F5486" s="169" t="s">
        <v>16</v>
      </c>
      <c r="G5486" s="165">
        <v>46082</v>
      </c>
      <c r="H5486" s="162" t="s">
        <v>2049</v>
      </c>
      <c r="I5486" s="163">
        <v>27000</v>
      </c>
      <c r="J5486" s="24">
        <v>1</v>
      </c>
      <c r="K5486" s="24">
        <v>0</v>
      </c>
      <c r="L5486" s="91">
        <v>0</v>
      </c>
      <c r="M5486" s="24">
        <v>0</v>
      </c>
      <c r="N5486" s="12">
        <f t="shared" si="221"/>
        <v>1</v>
      </c>
      <c r="O5486" s="156">
        <f t="shared" si="220"/>
        <v>27000</v>
      </c>
      <c r="P5486" s="10">
        <v>64</v>
      </c>
      <c r="Q5486" s="10" t="s">
        <v>1928</v>
      </c>
      <c r="R5486" s="157">
        <f>+テーブル1[[#This Row],[合計金額]]*テーブル1[[#This Row],[自社報酬率％]]/100</f>
        <v>13500</v>
      </c>
    </row>
    <row r="5487" spans="1:18">
      <c r="A5487" s="158">
        <v>46054</v>
      </c>
      <c r="B5487" s="159" t="s">
        <v>112</v>
      </c>
      <c r="C5487" s="166" t="s">
        <v>2045</v>
      </c>
      <c r="D5487" s="161">
        <v>30</v>
      </c>
      <c r="E5487" s="161">
        <v>70</v>
      </c>
      <c r="F5487" s="159" t="s">
        <v>18</v>
      </c>
      <c r="G5487" s="167">
        <v>46054</v>
      </c>
      <c r="H5487" s="162" t="s">
        <v>3569</v>
      </c>
      <c r="I5487" s="163">
        <v>98000</v>
      </c>
      <c r="J5487" s="24">
        <v>4</v>
      </c>
      <c r="K5487" s="24">
        <v>0</v>
      </c>
      <c r="L5487" s="91">
        <v>0</v>
      </c>
      <c r="M5487" s="24">
        <v>0</v>
      </c>
      <c r="N5487" s="12">
        <f t="shared" si="221"/>
        <v>4</v>
      </c>
      <c r="O5487" s="156">
        <f t="shared" si="220"/>
        <v>392000</v>
      </c>
      <c r="P5487" s="10">
        <v>65</v>
      </c>
      <c r="Q5487" s="10" t="s">
        <v>1928</v>
      </c>
      <c r="R5487" s="157">
        <f>+テーブル1[[#This Row],[合計金額]]*テーブル1[[#This Row],[自社報酬率％]]/100</f>
        <v>274400</v>
      </c>
    </row>
    <row r="5488" spans="1:18">
      <c r="A5488" s="158">
        <v>46054</v>
      </c>
      <c r="B5488" s="159" t="s">
        <v>112</v>
      </c>
      <c r="C5488" s="166" t="s">
        <v>2045</v>
      </c>
      <c r="D5488" s="161">
        <v>40</v>
      </c>
      <c r="E5488" s="161">
        <v>60</v>
      </c>
      <c r="F5488" s="159" t="s">
        <v>113</v>
      </c>
      <c r="G5488" s="167">
        <v>46054</v>
      </c>
      <c r="H5488" s="162" t="s">
        <v>3079</v>
      </c>
      <c r="I5488" s="163">
        <v>130000</v>
      </c>
      <c r="J5488" s="24">
        <v>1</v>
      </c>
      <c r="K5488" s="24">
        <v>0</v>
      </c>
      <c r="L5488" s="91">
        <v>0</v>
      </c>
      <c r="M5488" s="24">
        <v>0</v>
      </c>
      <c r="N5488" s="12">
        <f t="shared" si="221"/>
        <v>1</v>
      </c>
      <c r="O5488" s="156">
        <f t="shared" si="220"/>
        <v>130000</v>
      </c>
      <c r="P5488" s="10">
        <v>66</v>
      </c>
      <c r="Q5488" s="10" t="s">
        <v>1928</v>
      </c>
      <c r="R5488" s="157">
        <f>+テーブル1[[#This Row],[合計金額]]*テーブル1[[#This Row],[自社報酬率％]]/100</f>
        <v>78000</v>
      </c>
    </row>
    <row r="5489" spans="1:18">
      <c r="A5489" s="158">
        <v>46054</v>
      </c>
      <c r="B5489" s="159" t="s">
        <v>112</v>
      </c>
      <c r="C5489" s="166" t="s">
        <v>2045</v>
      </c>
      <c r="D5489" s="161">
        <v>40</v>
      </c>
      <c r="E5489" s="161">
        <v>60</v>
      </c>
      <c r="F5489" s="159" t="s">
        <v>27</v>
      </c>
      <c r="G5489" s="167">
        <v>46054</v>
      </c>
      <c r="H5489" s="162" t="s">
        <v>3438</v>
      </c>
      <c r="I5489" s="163">
        <v>337000</v>
      </c>
      <c r="J5489" s="24">
        <v>1</v>
      </c>
      <c r="K5489" s="24">
        <v>0</v>
      </c>
      <c r="L5489" s="91">
        <v>0</v>
      </c>
      <c r="M5489" s="24">
        <v>0</v>
      </c>
      <c r="N5489" s="12">
        <f t="shared" si="221"/>
        <v>1</v>
      </c>
      <c r="O5489" s="156">
        <f t="shared" si="220"/>
        <v>337000</v>
      </c>
      <c r="P5489" s="10">
        <v>67</v>
      </c>
      <c r="Q5489" s="10" t="s">
        <v>1928</v>
      </c>
      <c r="R5489" s="157">
        <f>+テーブル1[[#This Row],[合計金額]]*テーブル1[[#This Row],[自社報酬率％]]/100</f>
        <v>202200</v>
      </c>
    </row>
    <row r="5490" spans="1:18">
      <c r="A5490" s="158">
        <v>46054</v>
      </c>
      <c r="B5490" s="159" t="s">
        <v>112</v>
      </c>
      <c r="C5490" s="164" t="s">
        <v>2045</v>
      </c>
      <c r="D5490" s="161">
        <v>40</v>
      </c>
      <c r="E5490" s="161">
        <v>60</v>
      </c>
      <c r="F5490" s="169" t="s">
        <v>16</v>
      </c>
      <c r="G5490" s="165">
        <v>46082</v>
      </c>
      <c r="H5490" s="162" t="s">
        <v>2046</v>
      </c>
      <c r="I5490" s="163">
        <v>16500</v>
      </c>
      <c r="J5490" s="24">
        <v>2</v>
      </c>
      <c r="K5490" s="24">
        <v>0</v>
      </c>
      <c r="L5490" s="91">
        <v>0</v>
      </c>
      <c r="M5490" s="24">
        <v>0</v>
      </c>
      <c r="N5490" s="12">
        <f t="shared" si="221"/>
        <v>2</v>
      </c>
      <c r="O5490" s="156">
        <f t="shared" si="220"/>
        <v>33000</v>
      </c>
      <c r="P5490" s="10">
        <v>68</v>
      </c>
      <c r="Q5490" s="10" t="s">
        <v>1928</v>
      </c>
      <c r="R5490" s="157">
        <f>+テーブル1[[#This Row],[合計金額]]*テーブル1[[#This Row],[自社報酬率％]]/100</f>
        <v>19800</v>
      </c>
    </row>
    <row r="5491" spans="1:18">
      <c r="A5491" s="158">
        <v>46054</v>
      </c>
      <c r="B5491" s="159" t="s">
        <v>112</v>
      </c>
      <c r="C5491" s="79" t="s">
        <v>2094</v>
      </c>
      <c r="D5491" s="161">
        <v>40</v>
      </c>
      <c r="E5491" s="161">
        <v>60</v>
      </c>
      <c r="F5491" s="154" t="s">
        <v>17</v>
      </c>
      <c r="G5491" s="85">
        <v>46082</v>
      </c>
      <c r="H5491" s="162" t="s">
        <v>3592</v>
      </c>
      <c r="I5491" s="163">
        <v>9690</v>
      </c>
      <c r="J5491" s="73">
        <v>1</v>
      </c>
      <c r="K5491" s="73">
        <v>0</v>
      </c>
      <c r="L5491" s="90">
        <v>0</v>
      </c>
      <c r="M5491" s="73">
        <v>0</v>
      </c>
      <c r="N5491" s="93">
        <f t="shared" si="221"/>
        <v>1</v>
      </c>
      <c r="O5491" s="156">
        <f t="shared" si="220"/>
        <v>9690</v>
      </c>
      <c r="P5491" s="10">
        <v>69</v>
      </c>
      <c r="Q5491" s="10" t="s">
        <v>1928</v>
      </c>
      <c r="R5491" s="157">
        <f>+テーブル1[[#This Row],[合計金額]]*テーブル1[[#This Row],[自社報酬率％]]/100</f>
        <v>5814</v>
      </c>
    </row>
    <row r="5492" spans="1:18">
      <c r="A5492" s="158">
        <v>46054</v>
      </c>
      <c r="B5492" s="159" t="s">
        <v>112</v>
      </c>
      <c r="C5492" s="80" t="s">
        <v>2094</v>
      </c>
      <c r="D5492" s="161">
        <v>40</v>
      </c>
      <c r="E5492" s="161">
        <v>60</v>
      </c>
      <c r="F5492" s="169" t="s">
        <v>17</v>
      </c>
      <c r="G5492" s="165">
        <v>46113</v>
      </c>
      <c r="H5492" s="162" t="s">
        <v>3593</v>
      </c>
      <c r="I5492" s="163">
        <v>9690</v>
      </c>
      <c r="J5492" s="24">
        <v>1</v>
      </c>
      <c r="K5492" s="24">
        <v>0</v>
      </c>
      <c r="L5492" s="91">
        <v>0</v>
      </c>
      <c r="M5492" s="24">
        <v>0</v>
      </c>
      <c r="N5492" s="94">
        <f t="shared" si="221"/>
        <v>1</v>
      </c>
      <c r="O5492" s="156">
        <f t="shared" si="220"/>
        <v>9690</v>
      </c>
      <c r="P5492" s="10">
        <v>70</v>
      </c>
      <c r="Q5492" s="10" t="s">
        <v>1928</v>
      </c>
      <c r="R5492" s="157">
        <f>+テーブル1[[#This Row],[合計金額]]*テーブル1[[#This Row],[自社報酬率％]]/100</f>
        <v>5814</v>
      </c>
    </row>
    <row r="5493" spans="1:18">
      <c r="A5493" s="158">
        <v>46054</v>
      </c>
      <c r="B5493" s="159" t="s">
        <v>112</v>
      </c>
      <c r="C5493" s="80" t="s">
        <v>2094</v>
      </c>
      <c r="D5493" s="161">
        <v>40</v>
      </c>
      <c r="E5493" s="161">
        <v>60</v>
      </c>
      <c r="F5493" s="169" t="s">
        <v>17</v>
      </c>
      <c r="G5493" s="165">
        <v>46143</v>
      </c>
      <c r="H5493" s="162" t="s">
        <v>3594</v>
      </c>
      <c r="I5493" s="163">
        <v>9690</v>
      </c>
      <c r="J5493" s="24">
        <v>1</v>
      </c>
      <c r="K5493" s="24">
        <v>0</v>
      </c>
      <c r="L5493" s="91">
        <v>0</v>
      </c>
      <c r="M5493" s="24">
        <v>0</v>
      </c>
      <c r="N5493" s="94">
        <f t="shared" si="221"/>
        <v>1</v>
      </c>
      <c r="O5493" s="156">
        <f t="shared" si="220"/>
        <v>9690</v>
      </c>
      <c r="P5493" s="10">
        <v>71</v>
      </c>
      <c r="Q5493" s="10" t="s">
        <v>1928</v>
      </c>
      <c r="R5493" s="157">
        <f>+テーブル1[[#This Row],[合計金額]]*テーブル1[[#This Row],[自社報酬率％]]/100</f>
        <v>5814</v>
      </c>
    </row>
    <row r="5494" spans="1:18">
      <c r="A5494" s="158">
        <v>46054</v>
      </c>
      <c r="B5494" s="159" t="s">
        <v>112</v>
      </c>
      <c r="C5494" s="80" t="s">
        <v>2094</v>
      </c>
      <c r="D5494" s="161">
        <v>40</v>
      </c>
      <c r="E5494" s="161">
        <v>60</v>
      </c>
      <c r="F5494" s="169" t="s">
        <v>17</v>
      </c>
      <c r="G5494" s="165">
        <v>46174</v>
      </c>
      <c r="H5494" s="162" t="s">
        <v>3595</v>
      </c>
      <c r="I5494" s="163">
        <v>9690</v>
      </c>
      <c r="J5494" s="24">
        <v>1</v>
      </c>
      <c r="K5494" s="24">
        <v>0</v>
      </c>
      <c r="L5494" s="91">
        <v>0</v>
      </c>
      <c r="M5494" s="24">
        <v>0</v>
      </c>
      <c r="N5494" s="94">
        <f t="shared" si="221"/>
        <v>1</v>
      </c>
      <c r="O5494" s="156">
        <f t="shared" si="220"/>
        <v>9690</v>
      </c>
      <c r="P5494" s="10">
        <v>72</v>
      </c>
      <c r="Q5494" s="10" t="s">
        <v>1928</v>
      </c>
      <c r="R5494" s="157">
        <f>+テーブル1[[#This Row],[合計金額]]*テーブル1[[#This Row],[自社報酬率％]]/100</f>
        <v>5814</v>
      </c>
    </row>
    <row r="5495" spans="1:18">
      <c r="A5495" s="158">
        <v>46054</v>
      </c>
      <c r="B5495" s="159" t="s">
        <v>112</v>
      </c>
      <c r="C5495" s="80" t="s">
        <v>2094</v>
      </c>
      <c r="D5495" s="161">
        <v>40</v>
      </c>
      <c r="E5495" s="161">
        <v>60</v>
      </c>
      <c r="F5495" s="169" t="s">
        <v>17</v>
      </c>
      <c r="G5495" s="165">
        <v>46204</v>
      </c>
      <c r="H5495" s="162" t="s">
        <v>3596</v>
      </c>
      <c r="I5495" s="163">
        <v>9690</v>
      </c>
      <c r="J5495" s="24">
        <v>1</v>
      </c>
      <c r="K5495" s="24">
        <v>0</v>
      </c>
      <c r="L5495" s="91">
        <v>0</v>
      </c>
      <c r="M5495" s="24">
        <v>0</v>
      </c>
      <c r="N5495" s="94">
        <f t="shared" si="221"/>
        <v>1</v>
      </c>
      <c r="O5495" s="156">
        <f t="shared" si="220"/>
        <v>9690</v>
      </c>
      <c r="P5495" s="10">
        <v>73</v>
      </c>
      <c r="Q5495" s="10" t="s">
        <v>1928</v>
      </c>
      <c r="R5495" s="157">
        <f>+テーブル1[[#This Row],[合計金額]]*テーブル1[[#This Row],[自社報酬率％]]/100</f>
        <v>5814</v>
      </c>
    </row>
    <row r="5496" spans="1:18">
      <c r="A5496" s="158">
        <v>46054</v>
      </c>
      <c r="B5496" s="159" t="s">
        <v>112</v>
      </c>
      <c r="C5496" s="80" t="s">
        <v>2094</v>
      </c>
      <c r="D5496" s="161">
        <v>40</v>
      </c>
      <c r="E5496" s="161">
        <v>60</v>
      </c>
      <c r="F5496" s="169" t="s">
        <v>17</v>
      </c>
      <c r="G5496" s="165">
        <v>46235</v>
      </c>
      <c r="H5496" s="162" t="s">
        <v>3597</v>
      </c>
      <c r="I5496" s="163">
        <v>9690</v>
      </c>
      <c r="J5496" s="24">
        <v>1</v>
      </c>
      <c r="K5496" s="24">
        <v>0</v>
      </c>
      <c r="L5496" s="91">
        <v>0</v>
      </c>
      <c r="M5496" s="24">
        <v>0</v>
      </c>
      <c r="N5496" s="94">
        <f t="shared" si="221"/>
        <v>1</v>
      </c>
      <c r="O5496" s="156">
        <f t="shared" si="220"/>
        <v>9690</v>
      </c>
      <c r="P5496" s="10">
        <v>74</v>
      </c>
      <c r="Q5496" s="10" t="s">
        <v>1928</v>
      </c>
      <c r="R5496" s="157">
        <f>+テーブル1[[#This Row],[合計金額]]*テーブル1[[#This Row],[自社報酬率％]]/100</f>
        <v>5814</v>
      </c>
    </row>
    <row r="5497" spans="1:18">
      <c r="A5497" s="158">
        <v>46054</v>
      </c>
      <c r="B5497" s="159" t="s">
        <v>112</v>
      </c>
      <c r="C5497" s="80" t="s">
        <v>2094</v>
      </c>
      <c r="D5497" s="161">
        <v>40</v>
      </c>
      <c r="E5497" s="161">
        <v>60</v>
      </c>
      <c r="F5497" s="169" t="s">
        <v>17</v>
      </c>
      <c r="G5497" s="165">
        <v>46266</v>
      </c>
      <c r="H5497" s="162" t="s">
        <v>3598</v>
      </c>
      <c r="I5497" s="163">
        <v>9690</v>
      </c>
      <c r="J5497" s="24">
        <v>1</v>
      </c>
      <c r="K5497" s="24">
        <v>0</v>
      </c>
      <c r="L5497" s="91">
        <v>0</v>
      </c>
      <c r="M5497" s="24">
        <v>0</v>
      </c>
      <c r="N5497" s="94">
        <f t="shared" si="221"/>
        <v>1</v>
      </c>
      <c r="O5497" s="156">
        <f t="shared" si="220"/>
        <v>9690</v>
      </c>
      <c r="P5497" s="10">
        <v>75</v>
      </c>
      <c r="Q5497" s="10" t="s">
        <v>1928</v>
      </c>
      <c r="R5497" s="157">
        <f>+テーブル1[[#This Row],[合計金額]]*テーブル1[[#This Row],[自社報酬率％]]/100</f>
        <v>5814</v>
      </c>
    </row>
    <row r="5498" spans="1:18">
      <c r="A5498" s="158">
        <v>46054</v>
      </c>
      <c r="B5498" s="159" t="s">
        <v>112</v>
      </c>
      <c r="C5498" s="80" t="s">
        <v>2094</v>
      </c>
      <c r="D5498" s="161">
        <v>40</v>
      </c>
      <c r="E5498" s="161">
        <v>60</v>
      </c>
      <c r="F5498" s="169" t="s">
        <v>17</v>
      </c>
      <c r="G5498" s="165">
        <v>46296</v>
      </c>
      <c r="H5498" s="162" t="s">
        <v>3599</v>
      </c>
      <c r="I5498" s="163">
        <v>9690</v>
      </c>
      <c r="J5498" s="24">
        <v>1</v>
      </c>
      <c r="K5498" s="24">
        <v>0</v>
      </c>
      <c r="L5498" s="91">
        <v>0</v>
      </c>
      <c r="M5498" s="24">
        <v>0</v>
      </c>
      <c r="N5498" s="94">
        <f t="shared" si="221"/>
        <v>1</v>
      </c>
      <c r="O5498" s="156">
        <f t="shared" si="220"/>
        <v>9690</v>
      </c>
      <c r="P5498" s="10">
        <v>76</v>
      </c>
      <c r="Q5498" s="10" t="s">
        <v>1928</v>
      </c>
      <c r="R5498" s="157">
        <f>+テーブル1[[#This Row],[合計金額]]*テーブル1[[#This Row],[自社報酬率％]]/100</f>
        <v>5814</v>
      </c>
    </row>
    <row r="5499" spans="1:18">
      <c r="A5499" s="158">
        <v>46054</v>
      </c>
      <c r="B5499" s="159" t="s">
        <v>112</v>
      </c>
      <c r="C5499" s="80" t="s">
        <v>2094</v>
      </c>
      <c r="D5499" s="161">
        <v>40</v>
      </c>
      <c r="E5499" s="161">
        <v>60</v>
      </c>
      <c r="F5499" s="169" t="s">
        <v>17</v>
      </c>
      <c r="G5499" s="165">
        <v>46327</v>
      </c>
      <c r="H5499" s="162" t="s">
        <v>3600</v>
      </c>
      <c r="I5499" s="163">
        <v>9690</v>
      </c>
      <c r="J5499" s="24">
        <v>1</v>
      </c>
      <c r="K5499" s="24">
        <v>0</v>
      </c>
      <c r="L5499" s="91">
        <v>0</v>
      </c>
      <c r="M5499" s="24">
        <v>0</v>
      </c>
      <c r="N5499" s="94">
        <f t="shared" si="221"/>
        <v>1</v>
      </c>
      <c r="O5499" s="156">
        <f t="shared" si="220"/>
        <v>9690</v>
      </c>
      <c r="P5499" s="10">
        <v>77</v>
      </c>
      <c r="Q5499" s="10" t="s">
        <v>1928</v>
      </c>
      <c r="R5499" s="157">
        <f>+テーブル1[[#This Row],[合計金額]]*テーブル1[[#This Row],[自社報酬率％]]/100</f>
        <v>5814</v>
      </c>
    </row>
    <row r="5500" spans="1:18">
      <c r="A5500" s="158">
        <v>46054</v>
      </c>
      <c r="B5500" s="159" t="s">
        <v>112</v>
      </c>
      <c r="C5500" s="80" t="s">
        <v>2094</v>
      </c>
      <c r="D5500" s="161">
        <v>40</v>
      </c>
      <c r="E5500" s="161">
        <v>60</v>
      </c>
      <c r="F5500" s="169" t="s">
        <v>17</v>
      </c>
      <c r="G5500" s="165">
        <v>46357</v>
      </c>
      <c r="H5500" s="162" t="s">
        <v>3601</v>
      </c>
      <c r="I5500" s="163">
        <v>9690</v>
      </c>
      <c r="J5500" s="24">
        <v>1</v>
      </c>
      <c r="K5500" s="24">
        <v>0</v>
      </c>
      <c r="L5500" s="91">
        <v>0</v>
      </c>
      <c r="M5500" s="24">
        <v>0</v>
      </c>
      <c r="N5500" s="94">
        <f t="shared" si="221"/>
        <v>1</v>
      </c>
      <c r="O5500" s="156">
        <f t="shared" si="220"/>
        <v>9690</v>
      </c>
      <c r="P5500" s="10">
        <v>78</v>
      </c>
      <c r="Q5500" s="10" t="s">
        <v>3188</v>
      </c>
      <c r="R5500" s="157">
        <f>+テーブル1[[#This Row],[合計金額]]*テーブル1[[#This Row],[自社報酬率％]]/100</f>
        <v>5814</v>
      </c>
    </row>
    <row r="5501" spans="1:18">
      <c r="A5501" s="158">
        <v>46054</v>
      </c>
      <c r="B5501" s="159" t="s">
        <v>112</v>
      </c>
      <c r="C5501" s="80" t="s">
        <v>2094</v>
      </c>
      <c r="D5501" s="161">
        <v>40</v>
      </c>
      <c r="E5501" s="161">
        <v>60</v>
      </c>
      <c r="F5501" s="169" t="s">
        <v>17</v>
      </c>
      <c r="G5501" s="165">
        <v>46388</v>
      </c>
      <c r="H5501" s="162" t="s">
        <v>3602</v>
      </c>
      <c r="I5501" s="163">
        <v>9690</v>
      </c>
      <c r="J5501" s="24">
        <v>1</v>
      </c>
      <c r="K5501" s="24">
        <v>0</v>
      </c>
      <c r="L5501" s="91">
        <v>0</v>
      </c>
      <c r="M5501" s="24">
        <v>0</v>
      </c>
      <c r="N5501" s="94">
        <f t="shared" si="221"/>
        <v>1</v>
      </c>
      <c r="O5501" s="156">
        <f t="shared" si="220"/>
        <v>9690</v>
      </c>
      <c r="P5501" s="10">
        <v>79</v>
      </c>
      <c r="Q5501" s="10" t="s">
        <v>3188</v>
      </c>
      <c r="R5501" s="157">
        <f>+テーブル1[[#This Row],[合計金額]]*テーブル1[[#This Row],[自社報酬率％]]/100</f>
        <v>5814</v>
      </c>
    </row>
    <row r="5502" spans="1:18">
      <c r="A5502" s="158">
        <v>46054</v>
      </c>
      <c r="B5502" s="159" t="s">
        <v>112</v>
      </c>
      <c r="C5502" s="81" t="s">
        <v>2094</v>
      </c>
      <c r="D5502" s="161">
        <v>40</v>
      </c>
      <c r="E5502" s="161">
        <v>60</v>
      </c>
      <c r="F5502" s="155" t="s">
        <v>17</v>
      </c>
      <c r="G5502" s="86">
        <v>46419</v>
      </c>
      <c r="H5502" s="162" t="s">
        <v>3603</v>
      </c>
      <c r="I5502" s="163">
        <v>9690</v>
      </c>
      <c r="J5502" s="77">
        <v>1</v>
      </c>
      <c r="K5502" s="77">
        <v>0</v>
      </c>
      <c r="L5502" s="92">
        <v>0</v>
      </c>
      <c r="M5502" s="77">
        <v>0</v>
      </c>
      <c r="N5502" s="95">
        <f t="shared" si="221"/>
        <v>1</v>
      </c>
      <c r="O5502" s="156">
        <f t="shared" si="220"/>
        <v>9690</v>
      </c>
      <c r="P5502" s="10">
        <v>80</v>
      </c>
      <c r="Q5502" s="10" t="s">
        <v>3188</v>
      </c>
      <c r="R5502" s="157">
        <f>+テーブル1[[#This Row],[合計金額]]*テーブル1[[#This Row],[自社報酬率％]]/100</f>
        <v>5814</v>
      </c>
    </row>
    <row r="5503" spans="1:18">
      <c r="A5503" s="158">
        <v>46054</v>
      </c>
      <c r="B5503" s="159" t="s">
        <v>112</v>
      </c>
      <c r="C5503" s="164" t="s">
        <v>2050</v>
      </c>
      <c r="D5503" s="161">
        <v>50</v>
      </c>
      <c r="E5503" s="161">
        <v>50</v>
      </c>
      <c r="F5503" s="169" t="s">
        <v>16</v>
      </c>
      <c r="G5503" s="165">
        <v>46082</v>
      </c>
      <c r="H5503" s="162" t="s">
        <v>2051</v>
      </c>
      <c r="I5503" s="163">
        <v>9800</v>
      </c>
      <c r="J5503" s="24">
        <v>2</v>
      </c>
      <c r="K5503" s="24">
        <v>0</v>
      </c>
      <c r="L5503" s="91">
        <v>0</v>
      </c>
      <c r="M5503" s="24">
        <v>0</v>
      </c>
      <c r="N5503" s="12">
        <f t="shared" si="221"/>
        <v>2</v>
      </c>
      <c r="O5503" s="156">
        <f t="shared" si="220"/>
        <v>19600</v>
      </c>
      <c r="P5503" s="10">
        <v>81</v>
      </c>
      <c r="Q5503" s="10" t="s">
        <v>1928</v>
      </c>
      <c r="R5503" s="157">
        <f>+テーブル1[[#This Row],[合計金額]]*テーブル1[[#This Row],[自社報酬率％]]/100</f>
        <v>9800</v>
      </c>
    </row>
    <row r="5504" spans="1:18">
      <c r="A5504" s="158">
        <v>46054</v>
      </c>
      <c r="B5504" s="159" t="s">
        <v>112</v>
      </c>
      <c r="C5504" s="164" t="s">
        <v>2038</v>
      </c>
      <c r="D5504" s="161">
        <v>50</v>
      </c>
      <c r="E5504" s="161">
        <v>50</v>
      </c>
      <c r="F5504" s="169" t="s">
        <v>16</v>
      </c>
      <c r="G5504" s="165">
        <v>46082</v>
      </c>
      <c r="H5504" s="162" t="s">
        <v>3604</v>
      </c>
      <c r="I5504" s="163">
        <v>30000</v>
      </c>
      <c r="J5504" s="24">
        <v>1</v>
      </c>
      <c r="K5504" s="24">
        <v>0</v>
      </c>
      <c r="L5504" s="91">
        <v>0</v>
      </c>
      <c r="M5504" s="24">
        <v>0</v>
      </c>
      <c r="N5504" s="12">
        <f t="shared" si="221"/>
        <v>1</v>
      </c>
      <c r="O5504" s="156">
        <f t="shared" si="220"/>
        <v>30000</v>
      </c>
      <c r="P5504" s="10">
        <v>82</v>
      </c>
      <c r="Q5504" s="10" t="s">
        <v>1928</v>
      </c>
      <c r="R5504" s="157">
        <f>+テーブル1[[#This Row],[合計金額]]*テーブル1[[#This Row],[自社報酬率％]]/100</f>
        <v>15000</v>
      </c>
    </row>
    <row r="5505" spans="1:18">
      <c r="A5505" s="158">
        <v>46054</v>
      </c>
      <c r="B5505" s="159" t="s">
        <v>1929</v>
      </c>
      <c r="C5505" s="166" t="s">
        <v>2212</v>
      </c>
      <c r="D5505" s="161">
        <v>10</v>
      </c>
      <c r="E5505" s="161">
        <v>90</v>
      </c>
      <c r="F5505" s="159" t="s">
        <v>20</v>
      </c>
      <c r="G5505" s="167">
        <v>46054</v>
      </c>
      <c r="H5505" s="162" t="s">
        <v>3571</v>
      </c>
      <c r="I5505" s="163">
        <v>29700</v>
      </c>
      <c r="J5505" s="24">
        <v>2</v>
      </c>
      <c r="K5505" s="24">
        <v>0</v>
      </c>
      <c r="L5505" s="91">
        <v>0</v>
      </c>
      <c r="M5505" s="24">
        <v>0</v>
      </c>
      <c r="N5505" s="12">
        <f t="shared" si="221"/>
        <v>2</v>
      </c>
      <c r="O5505" s="156">
        <f t="shared" si="220"/>
        <v>59400</v>
      </c>
      <c r="P5505" s="10">
        <v>13</v>
      </c>
      <c r="Q5505" s="10" t="s">
        <v>1928</v>
      </c>
      <c r="R5505" s="157">
        <f>+テーブル1[[#This Row],[合計金額]]*テーブル1[[#This Row],[自社報酬率％]]/100</f>
        <v>53460</v>
      </c>
    </row>
    <row r="5506" spans="1:18">
      <c r="A5506" s="158">
        <v>46023</v>
      </c>
      <c r="B5506" s="159" t="s">
        <v>41</v>
      </c>
      <c r="C5506" s="166" t="s">
        <v>42</v>
      </c>
      <c r="D5506" s="161">
        <v>0</v>
      </c>
      <c r="E5506" s="161">
        <v>100</v>
      </c>
      <c r="F5506" s="159"/>
      <c r="G5506" s="167">
        <v>46023</v>
      </c>
      <c r="H5506" s="162" t="s">
        <v>1670</v>
      </c>
      <c r="I5506" s="172">
        <v>-924</v>
      </c>
      <c r="J5506" s="24">
        <v>1</v>
      </c>
      <c r="K5506" s="24"/>
      <c r="L5506" s="91"/>
      <c r="M5506" s="24"/>
      <c r="N5506" s="12">
        <f t="shared" si="221"/>
        <v>1</v>
      </c>
      <c r="O5506" s="156">
        <f t="shared" si="220"/>
        <v>-924</v>
      </c>
      <c r="P5506" s="10">
        <v>7</v>
      </c>
      <c r="Q5506" s="10" t="s">
        <v>1928</v>
      </c>
      <c r="R5506" s="157">
        <f>+テーブル1[[#This Row],[合計金額]]*テーブル1[[#This Row],[自社報酬率％]]/100</f>
        <v>-924</v>
      </c>
    </row>
    <row r="5507" spans="1:18">
      <c r="A5507" s="158">
        <v>46023</v>
      </c>
      <c r="B5507" s="159" t="s">
        <v>41</v>
      </c>
      <c r="C5507" s="166" t="s">
        <v>42</v>
      </c>
      <c r="D5507" s="161">
        <v>0</v>
      </c>
      <c r="E5507" s="161">
        <v>100</v>
      </c>
      <c r="F5507" s="159"/>
      <c r="G5507" s="167">
        <v>46023</v>
      </c>
      <c r="H5507" s="162" t="s">
        <v>1671</v>
      </c>
      <c r="I5507" s="172">
        <v>717365</v>
      </c>
      <c r="J5507" s="24">
        <v>1</v>
      </c>
      <c r="K5507" s="24"/>
      <c r="L5507" s="91"/>
      <c r="M5507" s="24"/>
      <c r="N5507" s="12">
        <f t="shared" si="221"/>
        <v>1</v>
      </c>
      <c r="O5507" s="156">
        <f t="shared" si="220"/>
        <v>717365</v>
      </c>
      <c r="P5507" s="10">
        <v>8</v>
      </c>
      <c r="Q5507" s="10" t="s">
        <v>1928</v>
      </c>
      <c r="R5507" s="157">
        <f>+テーブル1[[#This Row],[合計金額]]*テーブル1[[#This Row],[自社報酬率％]]/100</f>
        <v>717365</v>
      </c>
    </row>
    <row r="5508" spans="1:18">
      <c r="A5508" s="158">
        <v>46023</v>
      </c>
      <c r="B5508" s="159" t="s">
        <v>2770</v>
      </c>
      <c r="C5508" s="166" t="s">
        <v>24</v>
      </c>
      <c r="D5508" s="161">
        <v>100</v>
      </c>
      <c r="E5508" s="161">
        <v>100</v>
      </c>
      <c r="F5508" s="159"/>
      <c r="G5508" s="167">
        <v>46023</v>
      </c>
      <c r="H5508" s="162" t="s">
        <v>3605</v>
      </c>
      <c r="I5508" s="172">
        <v>9108</v>
      </c>
      <c r="J5508" s="24">
        <v>1</v>
      </c>
      <c r="K5508" s="24"/>
      <c r="L5508" s="91"/>
      <c r="M5508" s="24"/>
      <c r="N5508" s="12">
        <f t="shared" si="221"/>
        <v>1</v>
      </c>
      <c r="O5508" s="156">
        <f t="shared" si="220"/>
        <v>9108</v>
      </c>
      <c r="P5508" s="10">
        <v>9</v>
      </c>
      <c r="Q5508" s="10" t="s">
        <v>1928</v>
      </c>
      <c r="R5508" s="157">
        <f>+テーブル1[[#This Row],[合計金額]]*テーブル1[[#This Row],[自社報酬率％]]/100</f>
        <v>9108</v>
      </c>
    </row>
    <row r="5509" spans="1:18">
      <c r="A5509" s="158">
        <v>46023</v>
      </c>
      <c r="B5509" s="159" t="s">
        <v>2770</v>
      </c>
      <c r="C5509" s="166" t="s">
        <v>24</v>
      </c>
      <c r="D5509" s="161">
        <v>100</v>
      </c>
      <c r="E5509" s="161">
        <v>100</v>
      </c>
      <c r="F5509" s="159"/>
      <c r="G5509" s="167">
        <v>46023</v>
      </c>
      <c r="H5509" s="162" t="s">
        <v>3605</v>
      </c>
      <c r="I5509" s="172">
        <v>-12523</v>
      </c>
      <c r="J5509" s="24">
        <v>1</v>
      </c>
      <c r="K5509" s="24"/>
      <c r="L5509" s="91"/>
      <c r="M5509" s="24"/>
      <c r="N5509" s="12">
        <f t="shared" si="221"/>
        <v>1</v>
      </c>
      <c r="O5509" s="156">
        <f t="shared" si="220"/>
        <v>-12523</v>
      </c>
      <c r="P5509" s="10">
        <v>10</v>
      </c>
      <c r="Q5509" s="10" t="s">
        <v>1928</v>
      </c>
      <c r="R5509" s="157">
        <f>+テーブル1[[#This Row],[合計金額]]*テーブル1[[#This Row],[自社報酬率％]]/100</f>
        <v>-12523</v>
      </c>
    </row>
    <row r="5510" spans="1:18">
      <c r="A5510" s="158">
        <v>46023</v>
      </c>
      <c r="B5510" s="159" t="s">
        <v>2874</v>
      </c>
      <c r="C5510" s="166" t="s">
        <v>1918</v>
      </c>
      <c r="D5510" s="161">
        <v>40</v>
      </c>
      <c r="E5510" s="161">
        <v>60</v>
      </c>
      <c r="F5510" s="159"/>
      <c r="G5510" s="167">
        <v>46023</v>
      </c>
      <c r="H5510" s="162" t="s">
        <v>3606</v>
      </c>
      <c r="I5510" s="163">
        <v>166000</v>
      </c>
      <c r="J5510" s="24">
        <v>1</v>
      </c>
      <c r="K5510" s="24"/>
      <c r="L5510" s="91"/>
      <c r="M5510" s="24"/>
      <c r="N5510" s="12">
        <f t="shared" si="221"/>
        <v>1</v>
      </c>
      <c r="O5510" s="156">
        <f t="shared" si="220"/>
        <v>166000</v>
      </c>
      <c r="P5510" s="10">
        <v>11</v>
      </c>
      <c r="Q5510" s="10" t="s">
        <v>1928</v>
      </c>
      <c r="R5510" s="157">
        <f>+テーブル1[[#This Row],[合計金額]]*テーブル1[[#This Row],[自社報酬率％]]/100</f>
        <v>99600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2026-03-10T04:03:18Z</dcterms:modified>
</cp:coreProperties>
</file>