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38A58F18-FDC5-4C3F-AE2E-D93BE1B737B7}" xr6:coauthVersionLast="47" xr6:coauthVersionMax="47" xr10:uidLastSave="{00000000-0000-0000-0000-000000000000}"/>
  <bookViews>
    <workbookView xWindow="4260" yWindow="585" windowWidth="23295" windowHeight="13965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287" i="2" l="1"/>
  <c r="R4303" i="2"/>
  <c r="R4319" i="2"/>
  <c r="R4335" i="2"/>
  <c r="R4341" i="2"/>
  <c r="R4351" i="2"/>
  <c r="R4357" i="2"/>
  <c r="R4367" i="2"/>
  <c r="R4373" i="2"/>
  <c r="R4383" i="2"/>
  <c r="R4389" i="2"/>
  <c r="R4399" i="2"/>
  <c r="R4405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N4472" i="2"/>
  <c r="O4472" i="2" s="1"/>
  <c r="R4472" i="2" s="1"/>
  <c r="N4471" i="2"/>
  <c r="O4471" i="2" s="1"/>
  <c r="R4471" i="2" s="1"/>
  <c r="N4470" i="2"/>
  <c r="O4470" i="2" s="1"/>
  <c r="R4470" i="2" s="1"/>
  <c r="N4469" i="2"/>
  <c r="O4469" i="2" s="1"/>
  <c r="R4469" i="2" s="1"/>
  <c r="N4468" i="2"/>
  <c r="O4468" i="2" s="1"/>
  <c r="R4468" i="2" s="1"/>
  <c r="N4467" i="2"/>
  <c r="O4467" i="2" s="1"/>
  <c r="R4467" i="2" s="1"/>
  <c r="N4466" i="2"/>
  <c r="O4466" i="2" s="1"/>
  <c r="R4466" i="2" s="1"/>
  <c r="N4465" i="2"/>
  <c r="O4465" i="2" s="1"/>
  <c r="R4465" i="2" s="1"/>
  <c r="N4464" i="2"/>
  <c r="O4464" i="2" s="1"/>
  <c r="R4464" i="2" s="1"/>
  <c r="N4463" i="2"/>
  <c r="O4463" i="2" s="1"/>
  <c r="R4463" i="2" s="1"/>
  <c r="N4462" i="2"/>
  <c r="O4462" i="2" s="1"/>
  <c r="R4462" i="2" s="1"/>
  <c r="N4461" i="2"/>
  <c r="O4461" i="2" s="1"/>
  <c r="R4461" i="2" s="1"/>
  <c r="N4460" i="2"/>
  <c r="O4460" i="2" s="1"/>
  <c r="R4460" i="2" s="1"/>
  <c r="N4459" i="2"/>
  <c r="O4459" i="2" s="1"/>
  <c r="R4459" i="2" s="1"/>
  <c r="N4458" i="2"/>
  <c r="O4458" i="2" s="1"/>
  <c r="R4458" i="2" s="1"/>
  <c r="N4457" i="2"/>
  <c r="O4457" i="2" s="1"/>
  <c r="R4457" i="2" s="1"/>
  <c r="N4456" i="2"/>
  <c r="O4456" i="2" s="1"/>
  <c r="R4456" i="2" s="1"/>
  <c r="N4455" i="2"/>
  <c r="O4455" i="2" s="1"/>
  <c r="R4455" i="2" s="1"/>
  <c r="N4454" i="2"/>
  <c r="O4454" i="2" s="1"/>
  <c r="R4454" i="2" s="1"/>
  <c r="N4453" i="2"/>
  <c r="O4453" i="2" s="1"/>
  <c r="R4453" i="2" s="1"/>
  <c r="N4452" i="2"/>
  <c r="O4452" i="2" s="1"/>
  <c r="R4452" i="2" s="1"/>
  <c r="N4451" i="2"/>
  <c r="O4451" i="2" s="1"/>
  <c r="R4451" i="2" s="1"/>
  <c r="N4450" i="2"/>
  <c r="O4450" i="2" s="1"/>
  <c r="R4450" i="2" s="1"/>
  <c r="N4449" i="2"/>
  <c r="O4449" i="2" s="1"/>
  <c r="R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R4413" i="2" s="1"/>
  <c r="N4413" i="2"/>
  <c r="O4412" i="2"/>
  <c r="R4412" i="2" s="1"/>
  <c r="N4412" i="2"/>
  <c r="O4411" i="2"/>
  <c r="R4411" i="2" s="1"/>
  <c r="N4411" i="2"/>
  <c r="N4410" i="2"/>
  <c r="O4410" i="2" s="1"/>
  <c r="R4410" i="2" s="1"/>
  <c r="O4409" i="2"/>
  <c r="R4409" i="2" s="1"/>
  <c r="N4409" i="2"/>
  <c r="N4408" i="2"/>
  <c r="O4408" i="2" s="1"/>
  <c r="R4408" i="2" s="1"/>
  <c r="O4407" i="2"/>
  <c r="R4407" i="2" s="1"/>
  <c r="N4407" i="2"/>
  <c r="N4406" i="2"/>
  <c r="O4406" i="2" s="1"/>
  <c r="R4406" i="2" s="1"/>
  <c r="O4405" i="2"/>
  <c r="N4405" i="2"/>
  <c r="N4404" i="2"/>
  <c r="O4404" i="2" s="1"/>
  <c r="R4404" i="2" s="1"/>
  <c r="O4403" i="2"/>
  <c r="R4403" i="2" s="1"/>
  <c r="N4403" i="2"/>
  <c r="N4402" i="2"/>
  <c r="O4402" i="2" s="1"/>
  <c r="R4402" i="2" s="1"/>
  <c r="O4401" i="2"/>
  <c r="R4401" i="2" s="1"/>
  <c r="N4401" i="2"/>
  <c r="N4400" i="2"/>
  <c r="O4400" i="2" s="1"/>
  <c r="R4400" i="2" s="1"/>
  <c r="O4399" i="2"/>
  <c r="N4399" i="2"/>
  <c r="N4398" i="2"/>
  <c r="O4398" i="2" s="1"/>
  <c r="R4398" i="2" s="1"/>
  <c r="O4397" i="2"/>
  <c r="R4397" i="2" s="1"/>
  <c r="N4397" i="2"/>
  <c r="N4396" i="2"/>
  <c r="O4396" i="2" s="1"/>
  <c r="R4396" i="2" s="1"/>
  <c r="O4395" i="2"/>
  <c r="R4395" i="2" s="1"/>
  <c r="N4395" i="2"/>
  <c r="N4394" i="2"/>
  <c r="O4394" i="2" s="1"/>
  <c r="R4394" i="2" s="1"/>
  <c r="O4393" i="2"/>
  <c r="R4393" i="2" s="1"/>
  <c r="N4393" i="2"/>
  <c r="N4392" i="2"/>
  <c r="O4392" i="2" s="1"/>
  <c r="R4392" i="2" s="1"/>
  <c r="O4391" i="2"/>
  <c r="R4391" i="2" s="1"/>
  <c r="N4391" i="2"/>
  <c r="N4390" i="2"/>
  <c r="O4390" i="2" s="1"/>
  <c r="R4390" i="2" s="1"/>
  <c r="O4389" i="2"/>
  <c r="N4389" i="2"/>
  <c r="N4388" i="2"/>
  <c r="O4388" i="2" s="1"/>
  <c r="R4388" i="2" s="1"/>
  <c r="O4387" i="2"/>
  <c r="R4387" i="2" s="1"/>
  <c r="N4387" i="2"/>
  <c r="N4386" i="2"/>
  <c r="O4386" i="2" s="1"/>
  <c r="R4386" i="2" s="1"/>
  <c r="O4385" i="2"/>
  <c r="R4385" i="2" s="1"/>
  <c r="N4385" i="2"/>
  <c r="N4384" i="2"/>
  <c r="O4384" i="2" s="1"/>
  <c r="R4384" i="2" s="1"/>
  <c r="O4383" i="2"/>
  <c r="N4383" i="2"/>
  <c r="N4382" i="2"/>
  <c r="O4382" i="2" s="1"/>
  <c r="R4382" i="2" s="1"/>
  <c r="O4381" i="2"/>
  <c r="R4381" i="2" s="1"/>
  <c r="N4381" i="2"/>
  <c r="N4380" i="2"/>
  <c r="O4380" i="2" s="1"/>
  <c r="R4380" i="2" s="1"/>
  <c r="O4379" i="2"/>
  <c r="R4379" i="2" s="1"/>
  <c r="N4379" i="2"/>
  <c r="N4378" i="2"/>
  <c r="O4378" i="2" s="1"/>
  <c r="R4378" i="2" s="1"/>
  <c r="O4377" i="2"/>
  <c r="R4377" i="2" s="1"/>
  <c r="N4377" i="2"/>
  <c r="N4376" i="2"/>
  <c r="O4376" i="2" s="1"/>
  <c r="R4376" i="2" s="1"/>
  <c r="O4375" i="2"/>
  <c r="R4375" i="2" s="1"/>
  <c r="N4375" i="2"/>
  <c r="N4374" i="2"/>
  <c r="O4374" i="2" s="1"/>
  <c r="R4374" i="2" s="1"/>
  <c r="O4373" i="2"/>
  <c r="N4373" i="2"/>
  <c r="N4372" i="2"/>
  <c r="O4372" i="2" s="1"/>
  <c r="R4372" i="2" s="1"/>
  <c r="O4371" i="2"/>
  <c r="R4371" i="2" s="1"/>
  <c r="N4371" i="2"/>
  <c r="N4370" i="2"/>
  <c r="O4370" i="2" s="1"/>
  <c r="R4370" i="2" s="1"/>
  <c r="O4369" i="2"/>
  <c r="R4369" i="2" s="1"/>
  <c r="N4369" i="2"/>
  <c r="N4368" i="2"/>
  <c r="O4368" i="2" s="1"/>
  <c r="R4368" i="2" s="1"/>
  <c r="O4367" i="2"/>
  <c r="N4367" i="2"/>
  <c r="N4366" i="2"/>
  <c r="O4366" i="2" s="1"/>
  <c r="R4366" i="2" s="1"/>
  <c r="O4365" i="2"/>
  <c r="R4365" i="2" s="1"/>
  <c r="N4365" i="2"/>
  <c r="N4364" i="2"/>
  <c r="O4364" i="2" s="1"/>
  <c r="R4364" i="2" s="1"/>
  <c r="O4363" i="2"/>
  <c r="R4363" i="2" s="1"/>
  <c r="N4363" i="2"/>
  <c r="N4362" i="2"/>
  <c r="O4362" i="2" s="1"/>
  <c r="R4362" i="2" s="1"/>
  <c r="O4361" i="2"/>
  <c r="R4361" i="2" s="1"/>
  <c r="N4361" i="2"/>
  <c r="N4360" i="2"/>
  <c r="O4360" i="2" s="1"/>
  <c r="R4360" i="2" s="1"/>
  <c r="O4359" i="2"/>
  <c r="R4359" i="2" s="1"/>
  <c r="N4359" i="2"/>
  <c r="N4358" i="2"/>
  <c r="O4358" i="2" s="1"/>
  <c r="R4358" i="2" s="1"/>
  <c r="O4357" i="2"/>
  <c r="N4357" i="2"/>
  <c r="N4356" i="2"/>
  <c r="O4356" i="2" s="1"/>
  <c r="R4356" i="2" s="1"/>
  <c r="O4355" i="2"/>
  <c r="R4355" i="2" s="1"/>
  <c r="N4355" i="2"/>
  <c r="N4354" i="2"/>
  <c r="O4354" i="2" s="1"/>
  <c r="R4354" i="2" s="1"/>
  <c r="O4353" i="2"/>
  <c r="R4353" i="2" s="1"/>
  <c r="N4353" i="2"/>
  <c r="N4352" i="2"/>
  <c r="O4352" i="2" s="1"/>
  <c r="R4352" i="2" s="1"/>
  <c r="O4351" i="2"/>
  <c r="N4351" i="2"/>
  <c r="N4350" i="2"/>
  <c r="O4350" i="2" s="1"/>
  <c r="R4350" i="2" s="1"/>
  <c r="O4349" i="2"/>
  <c r="R4349" i="2" s="1"/>
  <c r="N4349" i="2"/>
  <c r="N4348" i="2"/>
  <c r="O4348" i="2" s="1"/>
  <c r="R4348" i="2" s="1"/>
  <c r="O4347" i="2"/>
  <c r="R4347" i="2" s="1"/>
  <c r="N4347" i="2"/>
  <c r="N4346" i="2"/>
  <c r="O4346" i="2" s="1"/>
  <c r="R4346" i="2" s="1"/>
  <c r="O4345" i="2"/>
  <c r="R4345" i="2" s="1"/>
  <c r="N4345" i="2"/>
  <c r="N4344" i="2"/>
  <c r="O4344" i="2" s="1"/>
  <c r="R4344" i="2" s="1"/>
  <c r="O4343" i="2"/>
  <c r="R4343" i="2" s="1"/>
  <c r="N4343" i="2"/>
  <c r="N4342" i="2"/>
  <c r="O4342" i="2" s="1"/>
  <c r="R4342" i="2" s="1"/>
  <c r="O4341" i="2"/>
  <c r="N4341" i="2"/>
  <c r="N4340" i="2"/>
  <c r="O4340" i="2" s="1"/>
  <c r="R4340" i="2" s="1"/>
  <c r="O4339" i="2"/>
  <c r="R4339" i="2" s="1"/>
  <c r="N4339" i="2"/>
  <c r="N4338" i="2"/>
  <c r="O4338" i="2" s="1"/>
  <c r="R4338" i="2" s="1"/>
  <c r="O4337" i="2"/>
  <c r="R4337" i="2" s="1"/>
  <c r="N4337" i="2"/>
  <c r="N4336" i="2"/>
  <c r="O4336" i="2" s="1"/>
  <c r="R4336" i="2" s="1"/>
  <c r="O4335" i="2"/>
  <c r="N4335" i="2"/>
  <c r="N4334" i="2"/>
  <c r="O4334" i="2" s="1"/>
  <c r="R4334" i="2" s="1"/>
  <c r="O4333" i="2"/>
  <c r="R4333" i="2" s="1"/>
  <c r="N4333" i="2"/>
  <c r="N4332" i="2"/>
  <c r="O4332" i="2" s="1"/>
  <c r="R4332" i="2" s="1"/>
  <c r="O4331" i="2"/>
  <c r="R4331" i="2" s="1"/>
  <c r="N4331" i="2"/>
  <c r="N4330" i="2"/>
  <c r="O4330" i="2" s="1"/>
  <c r="R4330" i="2" s="1"/>
  <c r="O4329" i="2"/>
  <c r="R4329" i="2" s="1"/>
  <c r="N4329" i="2"/>
  <c r="N4328" i="2"/>
  <c r="O4328" i="2" s="1"/>
  <c r="R4328" i="2" s="1"/>
  <c r="O4327" i="2"/>
  <c r="R4327" i="2" s="1"/>
  <c r="N4327" i="2"/>
  <c r="N4326" i="2"/>
  <c r="O4326" i="2" s="1"/>
  <c r="R4326" i="2" s="1"/>
  <c r="N4325" i="2"/>
  <c r="O4325" i="2" s="1"/>
  <c r="R4325" i="2" s="1"/>
  <c r="N4324" i="2"/>
  <c r="O4324" i="2" s="1"/>
  <c r="R4324" i="2" s="1"/>
  <c r="O4323" i="2"/>
  <c r="R4323" i="2" s="1"/>
  <c r="N4323" i="2"/>
  <c r="N4322" i="2"/>
  <c r="O4322" i="2" s="1"/>
  <c r="R4322" i="2" s="1"/>
  <c r="O4321" i="2"/>
  <c r="R4321" i="2" s="1"/>
  <c r="N4321" i="2"/>
  <c r="N4320" i="2"/>
  <c r="O4320" i="2" s="1"/>
  <c r="R4320" i="2" s="1"/>
  <c r="O4319" i="2"/>
  <c r="N4319" i="2"/>
  <c r="N4318" i="2"/>
  <c r="O4318" i="2" s="1"/>
  <c r="R4318" i="2" s="1"/>
  <c r="N4317" i="2"/>
  <c r="O4317" i="2" s="1"/>
  <c r="R4317" i="2" s="1"/>
  <c r="N4316" i="2"/>
  <c r="O4316" i="2" s="1"/>
  <c r="R4316" i="2" s="1"/>
  <c r="O4315" i="2"/>
  <c r="R4315" i="2" s="1"/>
  <c r="N4315" i="2"/>
  <c r="N4314" i="2"/>
  <c r="O4314" i="2" s="1"/>
  <c r="R4314" i="2" s="1"/>
  <c r="O4313" i="2"/>
  <c r="R4313" i="2" s="1"/>
  <c r="N4313" i="2"/>
  <c r="N4312" i="2"/>
  <c r="O4312" i="2" s="1"/>
  <c r="R4312" i="2" s="1"/>
  <c r="O4311" i="2"/>
  <c r="R4311" i="2" s="1"/>
  <c r="N4311" i="2"/>
  <c r="N4310" i="2"/>
  <c r="O4310" i="2" s="1"/>
  <c r="R4310" i="2" s="1"/>
  <c r="N4309" i="2"/>
  <c r="O4309" i="2" s="1"/>
  <c r="R4309" i="2" s="1"/>
  <c r="N4308" i="2"/>
  <c r="O4308" i="2" s="1"/>
  <c r="R4308" i="2" s="1"/>
  <c r="O4307" i="2"/>
  <c r="R4307" i="2" s="1"/>
  <c r="N4307" i="2"/>
  <c r="N4306" i="2"/>
  <c r="O4306" i="2" s="1"/>
  <c r="R4306" i="2" s="1"/>
  <c r="O4305" i="2"/>
  <c r="R4305" i="2" s="1"/>
  <c r="N4305" i="2"/>
  <c r="N4304" i="2"/>
  <c r="O4304" i="2" s="1"/>
  <c r="R4304" i="2" s="1"/>
  <c r="O4303" i="2"/>
  <c r="N4303" i="2"/>
  <c r="N4302" i="2"/>
  <c r="O4302" i="2" s="1"/>
  <c r="R4302" i="2" s="1"/>
  <c r="N4301" i="2"/>
  <c r="O4301" i="2" s="1"/>
  <c r="R4301" i="2" s="1"/>
  <c r="N4300" i="2"/>
  <c r="O4300" i="2" s="1"/>
  <c r="R4300" i="2" s="1"/>
  <c r="O4299" i="2"/>
  <c r="R4299" i="2" s="1"/>
  <c r="N4299" i="2"/>
  <c r="N4298" i="2"/>
  <c r="O4298" i="2" s="1"/>
  <c r="R4298" i="2" s="1"/>
  <c r="O4297" i="2"/>
  <c r="R4297" i="2" s="1"/>
  <c r="N4297" i="2"/>
  <c r="N4296" i="2"/>
  <c r="O4296" i="2" s="1"/>
  <c r="R4296" i="2" s="1"/>
  <c r="O4295" i="2"/>
  <c r="R4295" i="2" s="1"/>
  <c r="N4295" i="2"/>
  <c r="N4294" i="2"/>
  <c r="O4294" i="2" s="1"/>
  <c r="R4294" i="2" s="1"/>
  <c r="N4293" i="2"/>
  <c r="O4293" i="2" s="1"/>
  <c r="R4293" i="2" s="1"/>
  <c r="N4292" i="2"/>
  <c r="O4292" i="2" s="1"/>
  <c r="R4292" i="2" s="1"/>
  <c r="O4291" i="2"/>
  <c r="R4291" i="2" s="1"/>
  <c r="N4291" i="2"/>
  <c r="N4290" i="2"/>
  <c r="O4290" i="2" s="1"/>
  <c r="R4290" i="2" s="1"/>
  <c r="O4289" i="2"/>
  <c r="R4289" i="2" s="1"/>
  <c r="N4289" i="2"/>
  <c r="N4288" i="2"/>
  <c r="O4288" i="2" s="1"/>
  <c r="R4288" i="2" s="1"/>
  <c r="O4287" i="2"/>
  <c r="N4287" i="2"/>
  <c r="N4286" i="2"/>
  <c r="O4286" i="2" s="1"/>
  <c r="R4286" i="2" s="1"/>
  <c r="N4285" i="2"/>
  <c r="O4285" i="2" s="1"/>
  <c r="R4285" i="2" s="1"/>
  <c r="N4284" i="2"/>
  <c r="O4284" i="2" s="1"/>
  <c r="R4284" i="2" s="1"/>
  <c r="O4283" i="2"/>
  <c r="R4283" i="2" s="1"/>
  <c r="N4283" i="2"/>
  <c r="N4282" i="2"/>
  <c r="O4282" i="2" s="1"/>
  <c r="R4282" i="2" s="1"/>
  <c r="O4281" i="2"/>
  <c r="R4281" i="2" s="1"/>
  <c r="N4281" i="2"/>
  <c r="N4280" i="2"/>
  <c r="O4280" i="2" s="1"/>
  <c r="R4280" i="2" s="1"/>
  <c r="O4279" i="2"/>
  <c r="R4279" i="2" s="1"/>
  <c r="N4279" i="2"/>
  <c r="R4278" i="2" l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N4238" i="2"/>
  <c r="N4239" i="2"/>
  <c r="O4278" i="2"/>
  <c r="N4278" i="2"/>
  <c r="N4277" i="2"/>
  <c r="O4277" i="2" s="1"/>
  <c r="N4276" i="2"/>
  <c r="O4276" i="2" s="1"/>
  <c r="N4275" i="2"/>
  <c r="O4275" i="2" s="1"/>
  <c r="O4274" i="2"/>
  <c r="N4274" i="2"/>
  <c r="N4273" i="2"/>
  <c r="O4273" i="2" s="1"/>
  <c r="N4272" i="2"/>
  <c r="O4272" i="2" s="1"/>
  <c r="O4271" i="2"/>
  <c r="N4271" i="2"/>
  <c r="O4270" i="2"/>
  <c r="N4270" i="2"/>
  <c r="N4269" i="2"/>
  <c r="O4269" i="2" s="1"/>
  <c r="O4268" i="2"/>
  <c r="N4268" i="2"/>
  <c r="N4267" i="2"/>
  <c r="O4267" i="2" s="1"/>
  <c r="O4266" i="2"/>
  <c r="N4266" i="2"/>
  <c r="O4265" i="2"/>
  <c r="N4265" i="2"/>
  <c r="N4264" i="2"/>
  <c r="O4264" i="2" s="1"/>
  <c r="O4263" i="2"/>
  <c r="N4263" i="2"/>
  <c r="O4262" i="2"/>
  <c r="N4262" i="2"/>
  <c r="N4261" i="2"/>
  <c r="O4261" i="2" s="1"/>
  <c r="O4260" i="2"/>
  <c r="N4260" i="2"/>
  <c r="N4259" i="2"/>
  <c r="O4259" i="2" s="1"/>
  <c r="O4258" i="2"/>
  <c r="N4258" i="2"/>
  <c r="O4257" i="2"/>
  <c r="N4257" i="2"/>
  <c r="N4256" i="2"/>
  <c r="O4256" i="2" s="1"/>
  <c r="N4255" i="2"/>
  <c r="O4255" i="2" s="1"/>
  <c r="O4254" i="2"/>
  <c r="N4254" i="2"/>
  <c r="N4253" i="2"/>
  <c r="O4253" i="2" s="1"/>
  <c r="O4252" i="2"/>
  <c r="N4252" i="2"/>
  <c r="N4251" i="2"/>
  <c r="O4251" i="2" s="1"/>
  <c r="O4250" i="2"/>
  <c r="N4250" i="2"/>
  <c r="O4249" i="2"/>
  <c r="N4249" i="2"/>
  <c r="N4248" i="2"/>
  <c r="O4248" i="2" s="1"/>
  <c r="N4247" i="2"/>
  <c r="O4247" i="2" s="1"/>
  <c r="O4246" i="2"/>
  <c r="N4246" i="2"/>
  <c r="N4245" i="2"/>
  <c r="O4245" i="2" s="1"/>
  <c r="O4244" i="2"/>
  <c r="N4244" i="2"/>
  <c r="O4243" i="2"/>
  <c r="N4243" i="2"/>
  <c r="O4242" i="2"/>
  <c r="N4242" i="2"/>
  <c r="O4241" i="2"/>
  <c r="N4241" i="2"/>
  <c r="O4240" i="2"/>
  <c r="N4240" i="2"/>
  <c r="O4239" i="2"/>
  <c r="O4238" i="2"/>
  <c r="O4237" i="2"/>
  <c r="N4237" i="2"/>
  <c r="N4236" i="2"/>
  <c r="O4236" i="2" s="1"/>
  <c r="O4235" i="2"/>
  <c r="N4235" i="2"/>
  <c r="N4234" i="2"/>
  <c r="O4234" i="2" s="1"/>
  <c r="O4233" i="2"/>
  <c r="N4233" i="2"/>
  <c r="O4232" i="2"/>
  <c r="N4232" i="2"/>
  <c r="N4231" i="2"/>
  <c r="O4231" i="2" s="1"/>
  <c r="N4230" i="2"/>
  <c r="O4230" i="2" s="1"/>
  <c r="O4229" i="2"/>
  <c r="N4229" i="2"/>
  <c r="N4228" i="2"/>
  <c r="O4228" i="2" s="1"/>
  <c r="O4227" i="2"/>
  <c r="N4227" i="2"/>
  <c r="N4226" i="2"/>
  <c r="O4226" i="2" s="1"/>
  <c r="O4225" i="2"/>
  <c r="N4225" i="2"/>
  <c r="O4224" i="2"/>
  <c r="N4224" i="2"/>
  <c r="N4223" i="2"/>
  <c r="O4223" i="2" s="1"/>
  <c r="N4222" i="2"/>
  <c r="O4222" i="2" s="1"/>
  <c r="O4221" i="2"/>
  <c r="N4221" i="2"/>
  <c r="N4220" i="2"/>
  <c r="O4220" i="2" s="1"/>
  <c r="O4219" i="2"/>
  <c r="N4219" i="2"/>
  <c r="N4218" i="2"/>
  <c r="O4218" i="2" s="1"/>
  <c r="O4217" i="2"/>
  <c r="N4217" i="2"/>
  <c r="O4216" i="2"/>
  <c r="N4216" i="2"/>
  <c r="N4215" i="2"/>
  <c r="O4215" i="2" s="1"/>
  <c r="N4214" i="2"/>
  <c r="O4214" i="2" s="1"/>
  <c r="O4213" i="2"/>
  <c r="N4213" i="2"/>
  <c r="N4212" i="2"/>
  <c r="O4212" i="2" s="1"/>
  <c r="O4211" i="2"/>
  <c r="N4211" i="2"/>
  <c r="N4210" i="2"/>
  <c r="O4210" i="2" s="1"/>
  <c r="O4209" i="2"/>
  <c r="N4209" i="2"/>
  <c r="O4208" i="2"/>
  <c r="N4208" i="2"/>
  <c r="N4207" i="2"/>
  <c r="O4207" i="2" s="1"/>
  <c r="N4206" i="2"/>
  <c r="O4206" i="2" s="1"/>
  <c r="O4205" i="2"/>
  <c r="N4205" i="2"/>
  <c r="N4204" i="2"/>
  <c r="O4204" i="2" s="1"/>
  <c r="O4203" i="2"/>
  <c r="N4203" i="2"/>
  <c r="N4202" i="2"/>
  <c r="O4202" i="2" s="1"/>
  <c r="O4201" i="2"/>
  <c r="N4201" i="2"/>
  <c r="O4200" i="2"/>
  <c r="N4200" i="2"/>
  <c r="N4199" i="2"/>
  <c r="O4199" i="2" s="1"/>
  <c r="N4198" i="2"/>
  <c r="O4198" i="2" s="1"/>
  <c r="O4197" i="2"/>
  <c r="N4197" i="2"/>
  <c r="N4196" i="2"/>
  <c r="O4196" i="2" s="1"/>
  <c r="O4195" i="2"/>
  <c r="N4195" i="2"/>
  <c r="N4194" i="2"/>
  <c r="O4194" i="2" s="1"/>
  <c r="O4193" i="2"/>
  <c r="N4193" i="2"/>
  <c r="N4192" i="2"/>
  <c r="O4192" i="2" s="1"/>
  <c r="N4191" i="2"/>
  <c r="O4191" i="2" s="1"/>
  <c r="N4190" i="2"/>
  <c r="O4190" i="2" s="1"/>
  <c r="O4189" i="2"/>
  <c r="N4189" i="2"/>
  <c r="N4188" i="2"/>
  <c r="O4188" i="2" s="1"/>
  <c r="O4187" i="2"/>
  <c r="N4187" i="2"/>
  <c r="N4186" i="2"/>
  <c r="O4186" i="2" s="1"/>
  <c r="O4185" i="2"/>
  <c r="N4185" i="2"/>
  <c r="N4184" i="2"/>
  <c r="O4184" i="2" s="1"/>
  <c r="N4183" i="2"/>
  <c r="O4183" i="2" s="1"/>
  <c r="N4182" i="2"/>
  <c r="O4182" i="2" s="1"/>
  <c r="O4181" i="2"/>
  <c r="N4181" i="2"/>
  <c r="N4180" i="2"/>
  <c r="O4180" i="2" s="1"/>
  <c r="O4179" i="2"/>
  <c r="N4179" i="2"/>
  <c r="N4178" i="2"/>
  <c r="O4178" i="2" s="1"/>
  <c r="O4177" i="2"/>
  <c r="N4177" i="2"/>
  <c r="N4176" i="2"/>
  <c r="O4176" i="2" s="1"/>
  <c r="N4175" i="2"/>
  <c r="O4175" i="2" s="1"/>
  <c r="N4174" i="2"/>
  <c r="O4174" i="2" s="1"/>
  <c r="O4173" i="2"/>
  <c r="N4173" i="2"/>
  <c r="N4172" i="2"/>
  <c r="O4172" i="2" s="1"/>
  <c r="O4171" i="2"/>
  <c r="N4171" i="2"/>
  <c r="N4170" i="2"/>
  <c r="O4170" i="2" s="1"/>
  <c r="O4169" i="2"/>
  <c r="N4169" i="2"/>
  <c r="O4168" i="2"/>
  <c r="N4168" i="2"/>
  <c r="N4167" i="2"/>
  <c r="O4167" i="2" s="1"/>
  <c r="N4166" i="2"/>
  <c r="O4166" i="2" s="1"/>
  <c r="O4165" i="2"/>
  <c r="N4165" i="2"/>
  <c r="N4164" i="2"/>
  <c r="O4164" i="2" s="1"/>
  <c r="O4163" i="2"/>
  <c r="N4163" i="2"/>
  <c r="N4162" i="2"/>
  <c r="O4162" i="2" s="1"/>
  <c r="O4161" i="2"/>
  <c r="N4161" i="2"/>
  <c r="N4160" i="2"/>
  <c r="O4160" i="2" s="1"/>
  <c r="N4159" i="2"/>
  <c r="O4159" i="2" s="1"/>
  <c r="N4158" i="2"/>
  <c r="O4158" i="2" s="1"/>
  <c r="O4157" i="2"/>
  <c r="N4157" i="2"/>
  <c r="N4156" i="2"/>
  <c r="O4156" i="2" s="1"/>
  <c r="O4155" i="2"/>
  <c r="N4155" i="2"/>
  <c r="N4154" i="2"/>
  <c r="O4154" i="2" s="1"/>
  <c r="O4153" i="2"/>
  <c r="N4153" i="2"/>
  <c r="N4152" i="2"/>
  <c r="O4152" i="2" s="1"/>
  <c r="N4151" i="2"/>
  <c r="O4151" i="2" s="1"/>
  <c r="N4150" i="2"/>
  <c r="O4150" i="2" s="1"/>
  <c r="O4149" i="2"/>
  <c r="N4149" i="2"/>
  <c r="N4148" i="2"/>
  <c r="O4148" i="2" s="1"/>
  <c r="O4147" i="2"/>
  <c r="N4147" i="2"/>
  <c r="N4146" i="2"/>
  <c r="O4146" i="2" s="1"/>
  <c r="O4145" i="2"/>
  <c r="N4145" i="2"/>
  <c r="N4144" i="2"/>
  <c r="O4144" i="2" s="1"/>
  <c r="N4143" i="2"/>
  <c r="O4143" i="2" s="1"/>
  <c r="N4142" i="2"/>
  <c r="O4142" i="2" s="1"/>
  <c r="O4141" i="2"/>
  <c r="N4141" i="2"/>
  <c r="N4140" i="2"/>
  <c r="O4140" i="2" s="1"/>
  <c r="O4139" i="2"/>
  <c r="N4139" i="2"/>
  <c r="N4138" i="2"/>
  <c r="O4138" i="2" s="1"/>
  <c r="O4137" i="2"/>
  <c r="N4137" i="2"/>
  <c r="N4136" i="2"/>
  <c r="O4136" i="2" s="1"/>
  <c r="N4135" i="2"/>
  <c r="O4135" i="2" s="1"/>
  <c r="N4134" i="2"/>
  <c r="O4134" i="2" s="1"/>
  <c r="O4133" i="2"/>
  <c r="N4133" i="2"/>
  <c r="N4132" i="2"/>
  <c r="O4132" i="2" s="1"/>
  <c r="O4131" i="2"/>
  <c r="N4131" i="2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<sst xmlns="http://schemas.openxmlformats.org/spreadsheetml/2006/main" count="21503" uniqueCount="2985">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</sst>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55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0" borderId="0" xfId="1" applyNumberFormat="1" applyFont="1" applyFill="1" applyBorder="1">
      <alignment vertical="center"/>
    </xf>
    <xf numFmtId="38" fontId="0" fillId="8" borderId="0" xfId="1" applyNumberFormat="1" applyFont="1" applyFill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9" fillId="0" borderId="0" xfId="0" applyFont="1" applyBorder="1">
      <alignment vertical="center"/>
    </xf>
    <xf numFmtId="179" fontId="11" fillId="0" borderId="0" xfId="3" applyNumberFormat="1" applyFont="1" applyFill="1" applyBorder="1" applyAlignment="1">
      <alignment horizontal="right"/>
    </xf>
    <xf numFmtId="176" fontId="9" fillId="0" borderId="0" xfId="0" applyNumberFormat="1" applyFont="1" applyBorder="1" applyAlignment="1">
      <alignment horizontal="right" vertical="center"/>
    </xf>
    <xf numFmtId="49" fontId="11" fillId="0" borderId="0" xfId="3" applyNumberFormat="1" applyFont="1" applyFill="1" applyBorder="1" applyProtection="1">
      <protection locked="0"/>
    </xf>
    <xf numFmtId="179" fontId="11" fillId="0" borderId="0" xfId="3" quotePrefix="1" applyNumberFormat="1" applyFont="1" applyFill="1" applyBorder="1"/>
    <xf numFmtId="38" fontId="0" fillId="0" borderId="0" xfId="1" applyNumberFormat="1" applyFont="1" applyBorder="1">
      <alignment vertical="center"/>
    </xf>
    <xf numFmtId="179" fontId="11" fillId="0" borderId="0" xfId="3" applyNumberFormat="1" applyFont="1" applyFill="1" applyBorder="1"/>
    <xf numFmtId="0" fontId="9" fillId="5" borderId="0" xfId="0" applyFont="1" applyFill="1" applyBorder="1">
      <alignment vertical="center"/>
    </xf>
    <xf numFmtId="176" fontId="9" fillId="5" borderId="0" xfId="0" applyNumberFormat="1" applyFont="1" applyFill="1" applyBorder="1" applyAlignment="1">
      <alignment horizontal="right" vertical="center"/>
    </xf>
    <xf numFmtId="0" fontId="9" fillId="5" borderId="0" xfId="0" applyFont="1" applyFill="1" applyBorder="1" applyAlignment="1">
      <alignment horizontal="left" vertical="center" shrinkToFit="1"/>
    </xf>
    <xf numFmtId="0" fontId="9" fillId="0" borderId="0" xfId="0" applyFont="1" applyBorder="1" applyAlignment="1">
      <alignment horizontal="left" vertical="center" shrinkToFit="1"/>
    </xf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4472" totalsRowShown="0" headerRowDxfId="12" tableBorderDxfId="11" headerRowCellStyle="桁区切り">
  <autoFilter ref="A1:R4472" xr:uid="{E7F1C704-B22E-424D-AF86-5B8BDAAFA058}"/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4472"/>
  <sheetViews>
    <sheetView tabSelected="1" topLeftCell="A4439" zoomScale="70" zoomScaleNormal="70" workbookViewId="0">
      <selection activeCell="U4454" sqref="U4454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>
        <v>250</v>
      </c>
      <c r="L3849">
        <v>0</v>
      </c>
      <c r="N3849" s="64">
        <v>250</v>
      </c>
      <c r="O3849" s="25">
        <v>4762500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2143125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>
        <v>250</v>
      </c>
      <c r="L3850">
        <v>0</v>
      </c>
      <c r="N3850" s="64">
        <v>250</v>
      </c>
      <c r="O3850" s="25">
        <v>4762500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2143125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>
        <v>250</v>
      </c>
      <c r="L3851">
        <v>0</v>
      </c>
      <c r="N3851" s="64">
        <v>250</v>
      </c>
      <c r="O3851" s="25">
        <v>4762500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2143125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>
        <v>250</v>
      </c>
      <c r="L3852">
        <v>0</v>
      </c>
      <c r="N3852" s="64">
        <v>250</v>
      </c>
      <c r="O3852" s="25">
        <v>4762500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2143125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>
        <v>250</v>
      </c>
      <c r="L3853">
        <v>0</v>
      </c>
      <c r="N3853" s="64">
        <v>250</v>
      </c>
      <c r="O3853" s="25">
        <v>4762500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2143125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>
        <v>250</v>
      </c>
      <c r="L3854">
        <v>0</v>
      </c>
      <c r="N3854" s="64">
        <v>250</v>
      </c>
      <c r="O3854" s="25">
        <v>4762500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2143125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49">
        <v>-113750</v>
      </c>
      <c r="J4084" s="49">
        <v>1</v>
      </c>
      <c r="L4084">
        <v>0</v>
      </c>
      <c r="N4084" s="64">
        <v>1</v>
      </c>
      <c r="O4084" s="136">
        <v>-113750</v>
      </c>
      <c r="P4084" s="62">
        <v>88</v>
      </c>
      <c r="Q4084" s="62" t="s">
        <v>119</v>
      </c>
      <c r="R4084" s="25">
        <f>+テーブル1[[#This Row],[合計金額]]*テーブル1[[#This Row],[自社報酬率％]]/100</f>
        <v>-51187.5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49">
        <v>-550</v>
      </c>
      <c r="J4085" s="49">
        <v>1</v>
      </c>
      <c r="L4085">
        <v>0</v>
      </c>
      <c r="N4085" s="64">
        <v>1</v>
      </c>
      <c r="O4085" s="136">
        <v>-550</v>
      </c>
      <c r="P4085" s="62">
        <v>89</v>
      </c>
      <c r="Q4085" s="62" t="s">
        <v>119</v>
      </c>
      <c r="R4085" s="25">
        <f>+テーブル1[[#This Row],[合計金額]]*テーブル1[[#This Row],[自社報酬率％]]/100</f>
        <v>-550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57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142">
        <v>45870</v>
      </c>
      <c r="B4279" s="143" t="s">
        <v>2874</v>
      </c>
      <c r="C4279" s="144" t="s">
        <v>1918</v>
      </c>
      <c r="D4279" s="145">
        <v>40</v>
      </c>
      <c r="E4279" s="145">
        <v>60</v>
      </c>
      <c r="F4279" s="144"/>
      <c r="G4279" s="146">
        <v>45870</v>
      </c>
      <c r="H4279" s="147" t="s">
        <v>2875</v>
      </c>
      <c r="I4279" s="148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40">
        <f t="shared" si="165"/>
        <v>260000</v>
      </c>
      <c r="P4279" s="10">
        <v>20</v>
      </c>
      <c r="Q4279" s="10" t="s">
        <v>1935</v>
      </c>
      <c r="R4279" s="149">
        <f>+テーブル1[[#This Row],[合計金額]]*テーブル1[[#This Row],[自社報酬率％]]/100</f>
        <v>156000</v>
      </c>
    </row>
    <row r="4280" spans="1:18">
      <c r="A4280" s="142">
        <v>45901</v>
      </c>
      <c r="B4280" s="143" t="s">
        <v>43</v>
      </c>
      <c r="C4280" s="71" t="s">
        <v>24</v>
      </c>
      <c r="D4280" s="145">
        <v>100</v>
      </c>
      <c r="E4280" s="145">
        <v>100</v>
      </c>
      <c r="F4280" s="72" t="s">
        <v>17</v>
      </c>
      <c r="G4280" s="85">
        <v>45931</v>
      </c>
      <c r="H4280" s="147" t="s">
        <v>2876</v>
      </c>
      <c r="I4280" s="150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40">
        <f t="shared" si="165"/>
        <v>8074</v>
      </c>
      <c r="P4280" s="10">
        <v>1045</v>
      </c>
      <c r="Q4280" s="10" t="s">
        <v>1935</v>
      </c>
      <c r="R4280" s="149">
        <f>+テーブル1[[#This Row],[合計金額]]*テーブル1[[#This Row],[自社報酬率％]]/100</f>
        <v>8074</v>
      </c>
    </row>
    <row r="4281" spans="1:18">
      <c r="A4281" s="142">
        <v>45901</v>
      </c>
      <c r="B4281" s="143" t="s">
        <v>43</v>
      </c>
      <c r="C4281" s="71" t="s">
        <v>24</v>
      </c>
      <c r="D4281" s="145">
        <v>100</v>
      </c>
      <c r="E4281" s="145">
        <v>100</v>
      </c>
      <c r="F4281" s="151" t="s">
        <v>17</v>
      </c>
      <c r="G4281" s="152">
        <v>45962</v>
      </c>
      <c r="H4281" s="147" t="s">
        <v>2877</v>
      </c>
      <c r="I4281" s="150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40">
        <f t="shared" si="165"/>
        <v>8066</v>
      </c>
      <c r="P4281" s="10">
        <v>1046</v>
      </c>
      <c r="Q4281" s="10" t="s">
        <v>1935</v>
      </c>
      <c r="R4281" s="149">
        <f>+テーブル1[[#This Row],[合計金額]]*テーブル1[[#This Row],[自社報酬率％]]/100</f>
        <v>8066</v>
      </c>
    </row>
    <row r="4282" spans="1:18">
      <c r="A4282" s="142">
        <v>45901</v>
      </c>
      <c r="B4282" s="143" t="s">
        <v>43</v>
      </c>
      <c r="C4282" s="71" t="s">
        <v>24</v>
      </c>
      <c r="D4282" s="145">
        <v>100</v>
      </c>
      <c r="E4282" s="145">
        <v>100</v>
      </c>
      <c r="F4282" s="151" t="s">
        <v>17</v>
      </c>
      <c r="G4282" s="152">
        <v>45992</v>
      </c>
      <c r="H4282" s="147" t="s">
        <v>2878</v>
      </c>
      <c r="I4282" s="150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40">
        <f t="shared" si="165"/>
        <v>8066</v>
      </c>
      <c r="P4282" s="10">
        <v>1047</v>
      </c>
      <c r="Q4282" s="10" t="s">
        <v>1928</v>
      </c>
      <c r="R4282" s="149">
        <f>+テーブル1[[#This Row],[合計金額]]*テーブル1[[#This Row],[自社報酬率％]]/100</f>
        <v>8066</v>
      </c>
    </row>
    <row r="4283" spans="1:18">
      <c r="A4283" s="142">
        <v>45901</v>
      </c>
      <c r="B4283" s="143" t="s">
        <v>43</v>
      </c>
      <c r="C4283" s="71" t="s">
        <v>24</v>
      </c>
      <c r="D4283" s="145">
        <v>100</v>
      </c>
      <c r="E4283" s="145">
        <v>100</v>
      </c>
      <c r="F4283" s="151" t="s">
        <v>17</v>
      </c>
      <c r="G4283" s="152">
        <v>46023</v>
      </c>
      <c r="H4283" s="147" t="s">
        <v>2879</v>
      </c>
      <c r="I4283" s="150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40">
        <f t="shared" si="165"/>
        <v>8066</v>
      </c>
      <c r="P4283" s="10">
        <v>1048</v>
      </c>
      <c r="Q4283" s="10" t="s">
        <v>1928</v>
      </c>
      <c r="R4283" s="149">
        <f>+テーブル1[[#This Row],[合計金額]]*テーブル1[[#This Row],[自社報酬率％]]/100</f>
        <v>8066</v>
      </c>
    </row>
    <row r="4284" spans="1:18">
      <c r="A4284" s="142">
        <v>45901</v>
      </c>
      <c r="B4284" s="143" t="s">
        <v>43</v>
      </c>
      <c r="C4284" s="71" t="s">
        <v>24</v>
      </c>
      <c r="D4284" s="145">
        <v>100</v>
      </c>
      <c r="E4284" s="145">
        <v>100</v>
      </c>
      <c r="F4284" s="151" t="s">
        <v>17</v>
      </c>
      <c r="G4284" s="152">
        <v>46054</v>
      </c>
      <c r="H4284" s="147" t="s">
        <v>2880</v>
      </c>
      <c r="I4284" s="150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40">
        <f t="shared" si="165"/>
        <v>8066</v>
      </c>
      <c r="P4284" s="10">
        <v>1049</v>
      </c>
      <c r="Q4284" s="10" t="s">
        <v>1928</v>
      </c>
      <c r="R4284" s="149">
        <f>+テーブル1[[#This Row],[合計金額]]*テーブル1[[#This Row],[自社報酬率％]]/100</f>
        <v>8066</v>
      </c>
    </row>
    <row r="4285" spans="1:18">
      <c r="A4285" s="142">
        <v>45901</v>
      </c>
      <c r="B4285" s="143" t="s">
        <v>43</v>
      </c>
      <c r="C4285" s="71" t="s">
        <v>24</v>
      </c>
      <c r="D4285" s="145">
        <v>100</v>
      </c>
      <c r="E4285" s="145">
        <v>100</v>
      </c>
      <c r="F4285" s="151" t="s">
        <v>17</v>
      </c>
      <c r="G4285" s="152">
        <v>46082</v>
      </c>
      <c r="H4285" s="147" t="s">
        <v>2881</v>
      </c>
      <c r="I4285" s="150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40">
        <f t="shared" si="165"/>
        <v>8066</v>
      </c>
      <c r="P4285" s="10">
        <v>1050</v>
      </c>
      <c r="Q4285" s="10" t="s">
        <v>1928</v>
      </c>
      <c r="R4285" s="149">
        <f>+テーブル1[[#This Row],[合計金額]]*テーブル1[[#This Row],[自社報酬率％]]/100</f>
        <v>8066</v>
      </c>
    </row>
    <row r="4286" spans="1:18">
      <c r="A4286" s="142">
        <v>45901</v>
      </c>
      <c r="B4286" s="143" t="s">
        <v>43</v>
      </c>
      <c r="C4286" s="71" t="s">
        <v>24</v>
      </c>
      <c r="D4286" s="145">
        <v>100</v>
      </c>
      <c r="E4286" s="145">
        <v>100</v>
      </c>
      <c r="F4286" s="151" t="s">
        <v>17</v>
      </c>
      <c r="G4286" s="152">
        <v>46113</v>
      </c>
      <c r="H4286" s="147" t="s">
        <v>2882</v>
      </c>
      <c r="I4286" s="150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40">
        <f t="shared" si="165"/>
        <v>8066</v>
      </c>
      <c r="P4286" s="10">
        <v>1051</v>
      </c>
      <c r="Q4286" s="10" t="s">
        <v>1928</v>
      </c>
      <c r="R4286" s="149">
        <f>+テーブル1[[#This Row],[合計金額]]*テーブル1[[#This Row],[自社報酬率％]]/100</f>
        <v>8066</v>
      </c>
    </row>
    <row r="4287" spans="1:18">
      <c r="A4287" s="142">
        <v>45901</v>
      </c>
      <c r="B4287" s="143" t="s">
        <v>43</v>
      </c>
      <c r="C4287" s="71" t="s">
        <v>24</v>
      </c>
      <c r="D4287" s="145">
        <v>100</v>
      </c>
      <c r="E4287" s="145">
        <v>100</v>
      </c>
      <c r="F4287" s="151" t="s">
        <v>17</v>
      </c>
      <c r="G4287" s="152">
        <v>46143</v>
      </c>
      <c r="H4287" s="147" t="s">
        <v>2883</v>
      </c>
      <c r="I4287" s="150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40">
        <f t="shared" si="165"/>
        <v>8066</v>
      </c>
      <c r="P4287" s="10">
        <v>1052</v>
      </c>
      <c r="Q4287" s="10" t="s">
        <v>1928</v>
      </c>
      <c r="R4287" s="149">
        <f>+テーブル1[[#This Row],[合計金額]]*テーブル1[[#This Row],[自社報酬率％]]/100</f>
        <v>8066</v>
      </c>
    </row>
    <row r="4288" spans="1:18">
      <c r="A4288" s="142">
        <v>45901</v>
      </c>
      <c r="B4288" s="143" t="s">
        <v>43</v>
      </c>
      <c r="C4288" s="71" t="s">
        <v>24</v>
      </c>
      <c r="D4288" s="145">
        <v>100</v>
      </c>
      <c r="E4288" s="145">
        <v>100</v>
      </c>
      <c r="F4288" s="151" t="s">
        <v>17</v>
      </c>
      <c r="G4288" s="152">
        <v>46174</v>
      </c>
      <c r="H4288" s="147" t="s">
        <v>2884</v>
      </c>
      <c r="I4288" s="150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40">
        <f t="shared" si="165"/>
        <v>8066</v>
      </c>
      <c r="P4288" s="10">
        <v>1053</v>
      </c>
      <c r="Q4288" s="10" t="s">
        <v>1928</v>
      </c>
      <c r="R4288" s="149">
        <f>+テーブル1[[#This Row],[合計金額]]*テーブル1[[#This Row],[自社報酬率％]]/100</f>
        <v>8066</v>
      </c>
    </row>
    <row r="4289" spans="1:18">
      <c r="A4289" s="142">
        <v>45901</v>
      </c>
      <c r="B4289" s="143" t="s">
        <v>43</v>
      </c>
      <c r="C4289" s="71" t="s">
        <v>24</v>
      </c>
      <c r="D4289" s="145">
        <v>100</v>
      </c>
      <c r="E4289" s="145">
        <v>100</v>
      </c>
      <c r="F4289" s="151" t="s">
        <v>17</v>
      </c>
      <c r="G4289" s="152">
        <v>46204</v>
      </c>
      <c r="H4289" s="147" t="s">
        <v>2885</v>
      </c>
      <c r="I4289" s="150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40">
        <f t="shared" si="165"/>
        <v>8066</v>
      </c>
      <c r="P4289" s="10">
        <v>1054</v>
      </c>
      <c r="Q4289" s="10" t="s">
        <v>1928</v>
      </c>
      <c r="R4289" s="149">
        <f>+テーブル1[[#This Row],[合計金額]]*テーブル1[[#This Row],[自社報酬率％]]/100</f>
        <v>8066</v>
      </c>
    </row>
    <row r="4290" spans="1:18">
      <c r="A4290" s="142">
        <v>45901</v>
      </c>
      <c r="B4290" s="143" t="s">
        <v>43</v>
      </c>
      <c r="C4290" s="71" t="s">
        <v>24</v>
      </c>
      <c r="D4290" s="145">
        <v>100</v>
      </c>
      <c r="E4290" s="145">
        <v>100</v>
      </c>
      <c r="F4290" s="151" t="s">
        <v>17</v>
      </c>
      <c r="G4290" s="152">
        <v>46235</v>
      </c>
      <c r="H4290" s="147" t="s">
        <v>2886</v>
      </c>
      <c r="I4290" s="150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40">
        <f t="shared" si="165"/>
        <v>8066</v>
      </c>
      <c r="P4290" s="10">
        <v>1055</v>
      </c>
      <c r="Q4290" s="10" t="s">
        <v>1928</v>
      </c>
      <c r="R4290" s="149">
        <f>+テーブル1[[#This Row],[合計金額]]*テーブル1[[#This Row],[自社報酬率％]]/100</f>
        <v>8066</v>
      </c>
    </row>
    <row r="4291" spans="1:18">
      <c r="A4291" s="142">
        <v>45901</v>
      </c>
      <c r="B4291" s="143" t="s">
        <v>43</v>
      </c>
      <c r="C4291" s="71" t="s">
        <v>24</v>
      </c>
      <c r="D4291" s="145">
        <v>100</v>
      </c>
      <c r="E4291" s="145">
        <v>100</v>
      </c>
      <c r="F4291" s="76" t="s">
        <v>17</v>
      </c>
      <c r="G4291" s="86">
        <v>46266</v>
      </c>
      <c r="H4291" s="147" t="s">
        <v>2887</v>
      </c>
      <c r="I4291" s="150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40">
        <f t="shared" si="165"/>
        <v>8066</v>
      </c>
      <c r="P4291" s="10">
        <v>1056</v>
      </c>
      <c r="Q4291" s="10" t="s">
        <v>1928</v>
      </c>
      <c r="R4291" s="149">
        <f>+テーブル1[[#This Row],[合計金額]]*テーブル1[[#This Row],[自社報酬率％]]/100</f>
        <v>8066</v>
      </c>
    </row>
    <row r="4292" spans="1:18">
      <c r="A4292" s="142">
        <v>45901</v>
      </c>
      <c r="B4292" s="143" t="s">
        <v>43</v>
      </c>
      <c r="C4292" s="71" t="s">
        <v>24</v>
      </c>
      <c r="D4292" s="145">
        <v>100</v>
      </c>
      <c r="E4292" s="145">
        <v>100</v>
      </c>
      <c r="F4292" s="144" t="s">
        <v>17</v>
      </c>
      <c r="G4292" s="146">
        <v>45901</v>
      </c>
      <c r="H4292" s="147" t="s">
        <v>1946</v>
      </c>
      <c r="I4292" s="150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40">
        <f t="shared" si="165"/>
        <v>179850</v>
      </c>
      <c r="P4292" s="10">
        <v>1057</v>
      </c>
      <c r="Q4292" s="10" t="s">
        <v>1935</v>
      </c>
      <c r="R4292" s="149">
        <f>+テーブル1[[#This Row],[合計金額]]*テーブル1[[#This Row],[自社報酬率％]]/100</f>
        <v>179850</v>
      </c>
    </row>
    <row r="4293" spans="1:18">
      <c r="A4293" s="142">
        <v>45901</v>
      </c>
      <c r="B4293" s="143" t="s">
        <v>43</v>
      </c>
      <c r="C4293" s="71" t="s">
        <v>24</v>
      </c>
      <c r="D4293" s="145">
        <v>100</v>
      </c>
      <c r="E4293" s="145">
        <v>100</v>
      </c>
      <c r="F4293" s="144" t="s">
        <v>17</v>
      </c>
      <c r="G4293" s="146">
        <v>45901</v>
      </c>
      <c r="H4293" s="147" t="s">
        <v>2888</v>
      </c>
      <c r="I4293" s="150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40">
        <f t="shared" si="165"/>
        <v>29975</v>
      </c>
      <c r="P4293" s="10">
        <v>1058</v>
      </c>
      <c r="Q4293" s="10" t="s">
        <v>1935</v>
      </c>
      <c r="R4293" s="149">
        <f>+テーブル1[[#This Row],[合計金額]]*テーブル1[[#This Row],[自社報酬率％]]/100</f>
        <v>29975</v>
      </c>
    </row>
    <row r="4294" spans="1:18">
      <c r="A4294" s="142">
        <v>45901</v>
      </c>
      <c r="B4294" s="143" t="s">
        <v>43</v>
      </c>
      <c r="C4294" s="71" t="s">
        <v>24</v>
      </c>
      <c r="D4294" s="145">
        <v>100</v>
      </c>
      <c r="E4294" s="145">
        <v>100</v>
      </c>
      <c r="F4294" s="144" t="s">
        <v>17</v>
      </c>
      <c r="G4294" s="146">
        <v>45901</v>
      </c>
      <c r="H4294" s="147" t="s">
        <v>2889</v>
      </c>
      <c r="I4294" s="150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40">
        <f t="shared" si="165"/>
        <v>59950</v>
      </c>
      <c r="P4294" s="10">
        <v>1059</v>
      </c>
      <c r="Q4294" s="10" t="s">
        <v>1935</v>
      </c>
      <c r="R4294" s="149">
        <f>+テーブル1[[#This Row],[合計金額]]*テーブル1[[#This Row],[自社報酬率％]]/100</f>
        <v>59950</v>
      </c>
    </row>
    <row r="4295" spans="1:18">
      <c r="A4295" s="142">
        <v>45901</v>
      </c>
      <c r="B4295" s="143" t="s">
        <v>43</v>
      </c>
      <c r="C4295" s="71" t="s">
        <v>24</v>
      </c>
      <c r="D4295" s="145">
        <v>100</v>
      </c>
      <c r="E4295" s="145">
        <v>100</v>
      </c>
      <c r="F4295" s="144" t="s">
        <v>17</v>
      </c>
      <c r="G4295" s="146">
        <v>45901</v>
      </c>
      <c r="H4295" s="147" t="s">
        <v>2890</v>
      </c>
      <c r="I4295" s="150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40">
        <f t="shared" si="165"/>
        <v>27500</v>
      </c>
      <c r="P4295" s="10">
        <v>1060</v>
      </c>
      <c r="Q4295" s="10" t="s">
        <v>1935</v>
      </c>
      <c r="R4295" s="149">
        <f>+テーブル1[[#This Row],[合計金額]]*テーブル1[[#This Row],[自社報酬率％]]/100</f>
        <v>27500</v>
      </c>
    </row>
    <row r="4296" spans="1:18">
      <c r="A4296" s="142">
        <v>45901</v>
      </c>
      <c r="B4296" s="143" t="s">
        <v>43</v>
      </c>
      <c r="C4296" s="71" t="s">
        <v>24</v>
      </c>
      <c r="D4296" s="145">
        <v>100</v>
      </c>
      <c r="E4296" s="145">
        <v>100</v>
      </c>
      <c r="F4296" s="144" t="s">
        <v>17</v>
      </c>
      <c r="G4296" s="146">
        <v>45901</v>
      </c>
      <c r="H4296" s="147" t="s">
        <v>2142</v>
      </c>
      <c r="I4296" s="150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40">
        <f t="shared" si="165"/>
        <v>27500</v>
      </c>
      <c r="P4296" s="10">
        <v>1061</v>
      </c>
      <c r="Q4296" s="10" t="s">
        <v>1935</v>
      </c>
      <c r="R4296" s="149">
        <f>+テーブル1[[#This Row],[合計金額]]*テーブル1[[#This Row],[自社報酬率％]]/100</f>
        <v>27500</v>
      </c>
    </row>
    <row r="4297" spans="1:18">
      <c r="A4297" s="142">
        <v>45901</v>
      </c>
      <c r="B4297" s="143" t="s">
        <v>43</v>
      </c>
      <c r="C4297" s="71" t="s">
        <v>24</v>
      </c>
      <c r="D4297" s="145">
        <v>100</v>
      </c>
      <c r="E4297" s="145">
        <v>100</v>
      </c>
      <c r="F4297" s="144" t="s">
        <v>17</v>
      </c>
      <c r="G4297" s="146">
        <v>45901</v>
      </c>
      <c r="H4297" s="147" t="s">
        <v>2142</v>
      </c>
      <c r="I4297" s="150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40">
        <f t="shared" si="165"/>
        <v>119900</v>
      </c>
      <c r="P4297" s="10">
        <v>1062</v>
      </c>
      <c r="Q4297" s="10" t="s">
        <v>1935</v>
      </c>
      <c r="R4297" s="149">
        <f>+テーブル1[[#This Row],[合計金額]]*テーブル1[[#This Row],[自社報酬率％]]/100</f>
        <v>119900</v>
      </c>
    </row>
    <row r="4298" spans="1:18">
      <c r="A4298" s="142">
        <v>45901</v>
      </c>
      <c r="B4298" s="143" t="s">
        <v>43</v>
      </c>
      <c r="C4298" s="71" t="s">
        <v>24</v>
      </c>
      <c r="D4298" s="145">
        <v>100</v>
      </c>
      <c r="E4298" s="145">
        <v>100</v>
      </c>
      <c r="F4298" s="144" t="s">
        <v>17</v>
      </c>
      <c r="G4298" s="146">
        <v>45901</v>
      </c>
      <c r="H4298" s="147" t="s">
        <v>1947</v>
      </c>
      <c r="I4298" s="150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40">
        <f t="shared" si="165"/>
        <v>27500</v>
      </c>
      <c r="P4298" s="10">
        <v>1063</v>
      </c>
      <c r="Q4298" s="10" t="s">
        <v>1935</v>
      </c>
      <c r="R4298" s="149">
        <f>+テーブル1[[#This Row],[合計金額]]*テーブル1[[#This Row],[自社報酬率％]]/100</f>
        <v>27500</v>
      </c>
    </row>
    <row r="4299" spans="1:18">
      <c r="A4299" s="142">
        <v>45901</v>
      </c>
      <c r="B4299" s="143" t="s">
        <v>43</v>
      </c>
      <c r="C4299" s="71" t="s">
        <v>24</v>
      </c>
      <c r="D4299" s="145">
        <v>100</v>
      </c>
      <c r="E4299" s="145">
        <v>100</v>
      </c>
      <c r="F4299" s="144" t="s">
        <v>17</v>
      </c>
      <c r="G4299" s="146">
        <v>45901</v>
      </c>
      <c r="H4299" s="147" t="s">
        <v>2143</v>
      </c>
      <c r="I4299" s="150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40">
        <f t="shared" si="165"/>
        <v>149875</v>
      </c>
      <c r="P4299" s="10">
        <v>1064</v>
      </c>
      <c r="Q4299" s="10" t="s">
        <v>1935</v>
      </c>
      <c r="R4299" s="149">
        <f>+テーブル1[[#This Row],[合計金額]]*テーブル1[[#This Row],[自社報酬率％]]/100</f>
        <v>149875</v>
      </c>
    </row>
    <row r="4300" spans="1:18">
      <c r="A4300" s="142">
        <v>45901</v>
      </c>
      <c r="B4300" s="143" t="s">
        <v>43</v>
      </c>
      <c r="C4300" s="71" t="s">
        <v>24</v>
      </c>
      <c r="D4300" s="145">
        <v>100</v>
      </c>
      <c r="E4300" s="145">
        <v>100</v>
      </c>
      <c r="F4300" s="144" t="s">
        <v>17</v>
      </c>
      <c r="G4300" s="146">
        <v>45901</v>
      </c>
      <c r="H4300" s="147" t="s">
        <v>2296</v>
      </c>
      <c r="I4300" s="150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40">
        <f t="shared" si="165"/>
        <v>89925</v>
      </c>
      <c r="P4300" s="10">
        <v>1065</v>
      </c>
      <c r="Q4300" s="10" t="s">
        <v>1935</v>
      </c>
      <c r="R4300" s="149">
        <f>+テーブル1[[#This Row],[合計金額]]*テーブル1[[#This Row],[自社報酬率％]]/100</f>
        <v>89925</v>
      </c>
    </row>
    <row r="4301" spans="1:18">
      <c r="A4301" s="142">
        <v>45901</v>
      </c>
      <c r="B4301" s="143" t="s">
        <v>43</v>
      </c>
      <c r="C4301" s="71" t="s">
        <v>24</v>
      </c>
      <c r="D4301" s="145">
        <v>100</v>
      </c>
      <c r="E4301" s="145">
        <v>100</v>
      </c>
      <c r="F4301" s="144" t="s">
        <v>17</v>
      </c>
      <c r="G4301" s="146">
        <v>45901</v>
      </c>
      <c r="H4301" s="147" t="s">
        <v>2425</v>
      </c>
      <c r="I4301" s="150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40">
        <f t="shared" si="165"/>
        <v>27500</v>
      </c>
      <c r="P4301" s="10">
        <v>1066</v>
      </c>
      <c r="Q4301" s="10" t="s">
        <v>1935</v>
      </c>
      <c r="R4301" s="149">
        <f>+テーブル1[[#This Row],[合計金額]]*テーブル1[[#This Row],[自社報酬率％]]/100</f>
        <v>27500</v>
      </c>
    </row>
    <row r="4302" spans="1:18">
      <c r="A4302" s="142">
        <v>45901</v>
      </c>
      <c r="B4302" s="143" t="s">
        <v>43</v>
      </c>
      <c r="C4302" s="71" t="s">
        <v>24</v>
      </c>
      <c r="D4302" s="145">
        <v>100</v>
      </c>
      <c r="E4302" s="145">
        <v>100</v>
      </c>
      <c r="F4302" s="144" t="s">
        <v>17</v>
      </c>
      <c r="G4302" s="146">
        <v>45901</v>
      </c>
      <c r="H4302" s="147" t="s">
        <v>2425</v>
      </c>
      <c r="I4302" s="150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40">
        <f t="shared" si="165"/>
        <v>179850</v>
      </c>
      <c r="P4302" s="10">
        <v>1067</v>
      </c>
      <c r="Q4302" s="10" t="s">
        <v>1935</v>
      </c>
      <c r="R4302" s="149">
        <f>+テーブル1[[#This Row],[合計金額]]*テーブル1[[#This Row],[自社報酬率％]]/100</f>
        <v>179850</v>
      </c>
    </row>
    <row r="4303" spans="1:18">
      <c r="A4303" s="142">
        <v>45901</v>
      </c>
      <c r="B4303" s="143" t="s">
        <v>43</v>
      </c>
      <c r="C4303" s="71" t="s">
        <v>24</v>
      </c>
      <c r="D4303" s="145">
        <v>100</v>
      </c>
      <c r="E4303" s="145">
        <v>100</v>
      </c>
      <c r="F4303" s="144" t="s">
        <v>17</v>
      </c>
      <c r="G4303" s="146">
        <v>45901</v>
      </c>
      <c r="H4303" s="147" t="s">
        <v>2522</v>
      </c>
      <c r="I4303" s="150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40">
        <f t="shared" si="165"/>
        <v>29975</v>
      </c>
      <c r="P4303" s="10">
        <v>1068</v>
      </c>
      <c r="Q4303" s="10" t="s">
        <v>1935</v>
      </c>
      <c r="R4303" s="149">
        <f>+テーブル1[[#This Row],[合計金額]]*テーブル1[[#This Row],[自社報酬率％]]/100</f>
        <v>29975</v>
      </c>
    </row>
    <row r="4304" spans="1:18">
      <c r="A4304" s="142">
        <v>45901</v>
      </c>
      <c r="B4304" s="143" t="s">
        <v>43</v>
      </c>
      <c r="C4304" s="71" t="s">
        <v>24</v>
      </c>
      <c r="D4304" s="145">
        <v>100</v>
      </c>
      <c r="E4304" s="145">
        <v>100</v>
      </c>
      <c r="F4304" s="144" t="s">
        <v>17</v>
      </c>
      <c r="G4304" s="146">
        <v>45901</v>
      </c>
      <c r="H4304" s="147" t="s">
        <v>2676</v>
      </c>
      <c r="I4304" s="150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40">
        <f t="shared" si="165"/>
        <v>179850</v>
      </c>
      <c r="P4304" s="10">
        <v>1069</v>
      </c>
      <c r="Q4304" s="10" t="s">
        <v>1935</v>
      </c>
      <c r="R4304" s="149">
        <f>+テーブル1[[#This Row],[合計金額]]*テーブル1[[#This Row],[自社報酬率％]]/100</f>
        <v>179850</v>
      </c>
    </row>
    <row r="4305" spans="1:18">
      <c r="A4305" s="142">
        <v>45901</v>
      </c>
      <c r="B4305" s="143" t="s">
        <v>43</v>
      </c>
      <c r="C4305" s="71" t="s">
        <v>24</v>
      </c>
      <c r="D4305" s="145">
        <v>100</v>
      </c>
      <c r="E4305" s="145">
        <v>100</v>
      </c>
      <c r="F4305" s="72" t="s">
        <v>17</v>
      </c>
      <c r="G4305" s="85">
        <v>45931</v>
      </c>
      <c r="H4305" s="147" t="s">
        <v>2891</v>
      </c>
      <c r="I4305" s="150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40">
        <f t="shared" si="165"/>
        <v>8074</v>
      </c>
      <c r="P4305" s="10">
        <v>1070</v>
      </c>
      <c r="Q4305" s="10" t="s">
        <v>1935</v>
      </c>
      <c r="R4305" s="149">
        <f>+テーブル1[[#This Row],[合計金額]]*テーブル1[[#This Row],[自社報酬率％]]/100</f>
        <v>8074</v>
      </c>
    </row>
    <row r="4306" spans="1:18">
      <c r="A4306" s="142">
        <v>45901</v>
      </c>
      <c r="B4306" s="143" t="s">
        <v>43</v>
      </c>
      <c r="C4306" s="71" t="s">
        <v>24</v>
      </c>
      <c r="D4306" s="145">
        <v>100</v>
      </c>
      <c r="E4306" s="145">
        <v>100</v>
      </c>
      <c r="F4306" s="151" t="s">
        <v>17</v>
      </c>
      <c r="G4306" s="152">
        <v>45962</v>
      </c>
      <c r="H4306" s="147" t="s">
        <v>2892</v>
      </c>
      <c r="I4306" s="150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40">
        <f t="shared" si="165"/>
        <v>8066</v>
      </c>
      <c r="P4306" s="10">
        <v>1071</v>
      </c>
      <c r="Q4306" s="10" t="s">
        <v>1935</v>
      </c>
      <c r="R4306" s="149">
        <f>+テーブル1[[#This Row],[合計金額]]*テーブル1[[#This Row],[自社報酬率％]]/100</f>
        <v>8066</v>
      </c>
    </row>
    <row r="4307" spans="1:18">
      <c r="A4307" s="142">
        <v>45901</v>
      </c>
      <c r="B4307" s="143" t="s">
        <v>43</v>
      </c>
      <c r="C4307" s="71" t="s">
        <v>24</v>
      </c>
      <c r="D4307" s="145">
        <v>100</v>
      </c>
      <c r="E4307" s="145">
        <v>100</v>
      </c>
      <c r="F4307" s="151" t="s">
        <v>17</v>
      </c>
      <c r="G4307" s="152">
        <v>45992</v>
      </c>
      <c r="H4307" s="147" t="s">
        <v>2893</v>
      </c>
      <c r="I4307" s="150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40">
        <f t="shared" si="165"/>
        <v>8066</v>
      </c>
      <c r="P4307" s="10">
        <v>1072</v>
      </c>
      <c r="Q4307" s="10" t="s">
        <v>1928</v>
      </c>
      <c r="R4307" s="149">
        <f>+テーブル1[[#This Row],[合計金額]]*テーブル1[[#This Row],[自社報酬率％]]/100</f>
        <v>8066</v>
      </c>
    </row>
    <row r="4308" spans="1:18">
      <c r="A4308" s="142">
        <v>45901</v>
      </c>
      <c r="B4308" s="143" t="s">
        <v>43</v>
      </c>
      <c r="C4308" s="71" t="s">
        <v>24</v>
      </c>
      <c r="D4308" s="145">
        <v>100</v>
      </c>
      <c r="E4308" s="145">
        <v>100</v>
      </c>
      <c r="F4308" s="151" t="s">
        <v>17</v>
      </c>
      <c r="G4308" s="152">
        <v>46023</v>
      </c>
      <c r="H4308" s="147" t="s">
        <v>2894</v>
      </c>
      <c r="I4308" s="150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40">
        <f t="shared" ref="O4308:O4371" si="169">+I4308*N4308</f>
        <v>8066</v>
      </c>
      <c r="P4308" s="10">
        <v>1073</v>
      </c>
      <c r="Q4308" s="10" t="s">
        <v>1928</v>
      </c>
      <c r="R4308" s="149">
        <f>+テーブル1[[#This Row],[合計金額]]*テーブル1[[#This Row],[自社報酬率％]]/100</f>
        <v>8066</v>
      </c>
    </row>
    <row r="4309" spans="1:18">
      <c r="A4309" s="142">
        <v>45901</v>
      </c>
      <c r="B4309" s="143" t="s">
        <v>43</v>
      </c>
      <c r="C4309" s="71" t="s">
        <v>24</v>
      </c>
      <c r="D4309" s="145">
        <v>100</v>
      </c>
      <c r="E4309" s="145">
        <v>100</v>
      </c>
      <c r="F4309" s="151" t="s">
        <v>17</v>
      </c>
      <c r="G4309" s="152">
        <v>46054</v>
      </c>
      <c r="H4309" s="147" t="s">
        <v>2895</v>
      </c>
      <c r="I4309" s="150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40">
        <f t="shared" si="169"/>
        <v>8066</v>
      </c>
      <c r="P4309" s="10">
        <v>1074</v>
      </c>
      <c r="Q4309" s="10" t="s">
        <v>1928</v>
      </c>
      <c r="R4309" s="149">
        <f>+テーブル1[[#This Row],[合計金額]]*テーブル1[[#This Row],[自社報酬率％]]/100</f>
        <v>8066</v>
      </c>
    </row>
    <row r="4310" spans="1:18">
      <c r="A4310" s="142">
        <v>45901</v>
      </c>
      <c r="B4310" s="143" t="s">
        <v>43</v>
      </c>
      <c r="C4310" s="71" t="s">
        <v>24</v>
      </c>
      <c r="D4310" s="145">
        <v>100</v>
      </c>
      <c r="E4310" s="145">
        <v>100</v>
      </c>
      <c r="F4310" s="151" t="s">
        <v>17</v>
      </c>
      <c r="G4310" s="152">
        <v>46082</v>
      </c>
      <c r="H4310" s="147" t="s">
        <v>2896</v>
      </c>
      <c r="I4310" s="150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40">
        <f t="shared" si="169"/>
        <v>8066</v>
      </c>
      <c r="P4310" s="10">
        <v>1075</v>
      </c>
      <c r="Q4310" s="10" t="s">
        <v>1928</v>
      </c>
      <c r="R4310" s="149">
        <f>+テーブル1[[#This Row],[合計金額]]*テーブル1[[#This Row],[自社報酬率％]]/100</f>
        <v>8066</v>
      </c>
    </row>
    <row r="4311" spans="1:18">
      <c r="A4311" s="142">
        <v>45901</v>
      </c>
      <c r="B4311" s="143" t="s">
        <v>43</v>
      </c>
      <c r="C4311" s="71" t="s">
        <v>24</v>
      </c>
      <c r="D4311" s="145">
        <v>100</v>
      </c>
      <c r="E4311" s="145">
        <v>100</v>
      </c>
      <c r="F4311" s="151" t="s">
        <v>17</v>
      </c>
      <c r="G4311" s="152">
        <v>46113</v>
      </c>
      <c r="H4311" s="147" t="s">
        <v>2897</v>
      </c>
      <c r="I4311" s="150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40">
        <f t="shared" si="169"/>
        <v>8066</v>
      </c>
      <c r="P4311" s="10">
        <v>1076</v>
      </c>
      <c r="Q4311" s="10" t="s">
        <v>1928</v>
      </c>
      <c r="R4311" s="149">
        <f>+テーブル1[[#This Row],[合計金額]]*テーブル1[[#This Row],[自社報酬率％]]/100</f>
        <v>8066</v>
      </c>
    </row>
    <row r="4312" spans="1:18">
      <c r="A4312" s="142">
        <v>45901</v>
      </c>
      <c r="B4312" s="143" t="s">
        <v>43</v>
      </c>
      <c r="C4312" s="71" t="s">
        <v>24</v>
      </c>
      <c r="D4312" s="145">
        <v>100</v>
      </c>
      <c r="E4312" s="145">
        <v>100</v>
      </c>
      <c r="F4312" s="151" t="s">
        <v>17</v>
      </c>
      <c r="G4312" s="152">
        <v>46143</v>
      </c>
      <c r="H4312" s="147" t="s">
        <v>2898</v>
      </c>
      <c r="I4312" s="150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40">
        <f t="shared" si="169"/>
        <v>8066</v>
      </c>
      <c r="P4312" s="10">
        <v>1077</v>
      </c>
      <c r="Q4312" s="10" t="s">
        <v>1928</v>
      </c>
      <c r="R4312" s="149">
        <f>+テーブル1[[#This Row],[合計金額]]*テーブル1[[#This Row],[自社報酬率％]]/100</f>
        <v>8066</v>
      </c>
    </row>
    <row r="4313" spans="1:18">
      <c r="A4313" s="142">
        <v>45901</v>
      </c>
      <c r="B4313" s="143" t="s">
        <v>43</v>
      </c>
      <c r="C4313" s="71" t="s">
        <v>24</v>
      </c>
      <c r="D4313" s="145">
        <v>100</v>
      </c>
      <c r="E4313" s="145">
        <v>100</v>
      </c>
      <c r="F4313" s="151" t="s">
        <v>17</v>
      </c>
      <c r="G4313" s="152">
        <v>46174</v>
      </c>
      <c r="H4313" s="147" t="s">
        <v>2899</v>
      </c>
      <c r="I4313" s="150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40">
        <f t="shared" si="169"/>
        <v>8066</v>
      </c>
      <c r="P4313" s="10">
        <v>1078</v>
      </c>
      <c r="Q4313" s="10" t="s">
        <v>1928</v>
      </c>
      <c r="R4313" s="149">
        <f>+テーブル1[[#This Row],[合計金額]]*テーブル1[[#This Row],[自社報酬率％]]/100</f>
        <v>8066</v>
      </c>
    </row>
    <row r="4314" spans="1:18">
      <c r="A4314" s="142">
        <v>45901</v>
      </c>
      <c r="B4314" s="143" t="s">
        <v>43</v>
      </c>
      <c r="C4314" s="71" t="s">
        <v>24</v>
      </c>
      <c r="D4314" s="145">
        <v>100</v>
      </c>
      <c r="E4314" s="145">
        <v>100</v>
      </c>
      <c r="F4314" s="151" t="s">
        <v>17</v>
      </c>
      <c r="G4314" s="152">
        <v>46204</v>
      </c>
      <c r="H4314" s="147" t="s">
        <v>2900</v>
      </c>
      <c r="I4314" s="150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40">
        <f t="shared" si="169"/>
        <v>8066</v>
      </c>
      <c r="P4314" s="10">
        <v>1079</v>
      </c>
      <c r="Q4314" s="10" t="s">
        <v>1928</v>
      </c>
      <c r="R4314" s="149">
        <f>+テーブル1[[#This Row],[合計金額]]*テーブル1[[#This Row],[自社報酬率％]]/100</f>
        <v>8066</v>
      </c>
    </row>
    <row r="4315" spans="1:18">
      <c r="A4315" s="142">
        <v>45901</v>
      </c>
      <c r="B4315" s="143" t="s">
        <v>43</v>
      </c>
      <c r="C4315" s="71" t="s">
        <v>24</v>
      </c>
      <c r="D4315" s="145">
        <v>100</v>
      </c>
      <c r="E4315" s="145">
        <v>100</v>
      </c>
      <c r="F4315" s="151" t="s">
        <v>17</v>
      </c>
      <c r="G4315" s="152">
        <v>46235</v>
      </c>
      <c r="H4315" s="147" t="s">
        <v>2901</v>
      </c>
      <c r="I4315" s="150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40">
        <f t="shared" si="169"/>
        <v>8066</v>
      </c>
      <c r="P4315" s="10">
        <v>1080</v>
      </c>
      <c r="Q4315" s="10" t="s">
        <v>1928</v>
      </c>
      <c r="R4315" s="149">
        <f>+テーブル1[[#This Row],[合計金額]]*テーブル1[[#This Row],[自社報酬率％]]/100</f>
        <v>8066</v>
      </c>
    </row>
    <row r="4316" spans="1:18">
      <c r="A4316" s="142">
        <v>45901</v>
      </c>
      <c r="B4316" s="143" t="s">
        <v>43</v>
      </c>
      <c r="C4316" s="71" t="s">
        <v>24</v>
      </c>
      <c r="D4316" s="145">
        <v>100</v>
      </c>
      <c r="E4316" s="145">
        <v>100</v>
      </c>
      <c r="F4316" s="76" t="s">
        <v>17</v>
      </c>
      <c r="G4316" s="86">
        <v>46266</v>
      </c>
      <c r="H4316" s="147" t="s">
        <v>2902</v>
      </c>
      <c r="I4316" s="150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40">
        <f t="shared" si="169"/>
        <v>8066</v>
      </c>
      <c r="P4316" s="10">
        <v>1081</v>
      </c>
      <c r="Q4316" s="10" t="s">
        <v>1928</v>
      </c>
      <c r="R4316" s="149">
        <f>+テーブル1[[#This Row],[合計金額]]*テーブル1[[#This Row],[自社報酬率％]]/100</f>
        <v>8066</v>
      </c>
    </row>
    <row r="4317" spans="1:18">
      <c r="A4317" s="142">
        <v>45901</v>
      </c>
      <c r="B4317" s="143" t="s">
        <v>43</v>
      </c>
      <c r="C4317" s="71" t="s">
        <v>24</v>
      </c>
      <c r="D4317" s="145">
        <v>100</v>
      </c>
      <c r="E4317" s="145">
        <v>100</v>
      </c>
      <c r="F4317" s="72" t="s">
        <v>19</v>
      </c>
      <c r="G4317" s="85">
        <v>45931</v>
      </c>
      <c r="H4317" s="147" t="s">
        <v>219</v>
      </c>
      <c r="I4317" s="150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40">
        <f t="shared" si="169"/>
        <v>8900</v>
      </c>
      <c r="P4317" s="10">
        <v>1082</v>
      </c>
      <c r="Q4317" s="10" t="s">
        <v>1935</v>
      </c>
      <c r="R4317" s="149">
        <f>+テーブル1[[#This Row],[合計金額]]*テーブル1[[#This Row],[自社報酬率％]]/100</f>
        <v>8900</v>
      </c>
    </row>
    <row r="4318" spans="1:18">
      <c r="A4318" s="142">
        <v>45901</v>
      </c>
      <c r="B4318" s="143" t="s">
        <v>43</v>
      </c>
      <c r="C4318" s="71" t="s">
        <v>24</v>
      </c>
      <c r="D4318" s="145">
        <v>100</v>
      </c>
      <c r="E4318" s="145">
        <v>100</v>
      </c>
      <c r="F4318" s="151" t="s">
        <v>19</v>
      </c>
      <c r="G4318" s="152">
        <v>45962</v>
      </c>
      <c r="H4318" s="147" t="s">
        <v>2903</v>
      </c>
      <c r="I4318" s="150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40">
        <f t="shared" si="169"/>
        <v>8900</v>
      </c>
      <c r="P4318" s="10">
        <v>1083</v>
      </c>
      <c r="Q4318" s="10" t="s">
        <v>1935</v>
      </c>
      <c r="R4318" s="149">
        <f>+テーブル1[[#This Row],[合計金額]]*テーブル1[[#This Row],[自社報酬率％]]/100</f>
        <v>8900</v>
      </c>
    </row>
    <row r="4319" spans="1:18">
      <c r="A4319" s="142">
        <v>45901</v>
      </c>
      <c r="B4319" s="143" t="s">
        <v>43</v>
      </c>
      <c r="C4319" s="71" t="s">
        <v>24</v>
      </c>
      <c r="D4319" s="145">
        <v>100</v>
      </c>
      <c r="E4319" s="145">
        <v>100</v>
      </c>
      <c r="F4319" s="151" t="s">
        <v>19</v>
      </c>
      <c r="G4319" s="152">
        <v>45992</v>
      </c>
      <c r="H4319" s="147" t="s">
        <v>2904</v>
      </c>
      <c r="I4319" s="150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40">
        <f t="shared" si="169"/>
        <v>8900</v>
      </c>
      <c r="P4319" s="10">
        <v>1084</v>
      </c>
      <c r="Q4319" s="10" t="s">
        <v>1928</v>
      </c>
      <c r="R4319" s="149">
        <f>+テーブル1[[#This Row],[合計金額]]*テーブル1[[#This Row],[自社報酬率％]]/100</f>
        <v>8900</v>
      </c>
    </row>
    <row r="4320" spans="1:18">
      <c r="A4320" s="142">
        <v>45901</v>
      </c>
      <c r="B4320" s="143" t="s">
        <v>43</v>
      </c>
      <c r="C4320" s="71" t="s">
        <v>24</v>
      </c>
      <c r="D4320" s="145">
        <v>100</v>
      </c>
      <c r="E4320" s="145">
        <v>100</v>
      </c>
      <c r="F4320" s="151" t="s">
        <v>19</v>
      </c>
      <c r="G4320" s="152">
        <v>46023</v>
      </c>
      <c r="H4320" s="147" t="s">
        <v>2905</v>
      </c>
      <c r="I4320" s="150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40">
        <f t="shared" si="169"/>
        <v>8900</v>
      </c>
      <c r="P4320" s="10">
        <v>1085</v>
      </c>
      <c r="Q4320" s="10" t="s">
        <v>1928</v>
      </c>
      <c r="R4320" s="149">
        <f>+テーブル1[[#This Row],[合計金額]]*テーブル1[[#This Row],[自社報酬率％]]/100</f>
        <v>8900</v>
      </c>
    </row>
    <row r="4321" spans="1:18">
      <c r="A4321" s="142">
        <v>45901</v>
      </c>
      <c r="B4321" s="143" t="s">
        <v>43</v>
      </c>
      <c r="C4321" s="71" t="s">
        <v>24</v>
      </c>
      <c r="D4321" s="145">
        <v>100</v>
      </c>
      <c r="E4321" s="145">
        <v>100</v>
      </c>
      <c r="F4321" s="151" t="s">
        <v>19</v>
      </c>
      <c r="G4321" s="152">
        <v>46054</v>
      </c>
      <c r="H4321" s="147" t="s">
        <v>2906</v>
      </c>
      <c r="I4321" s="150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40">
        <f t="shared" si="169"/>
        <v>8900</v>
      </c>
      <c r="P4321" s="10">
        <v>1086</v>
      </c>
      <c r="Q4321" s="10" t="s">
        <v>1928</v>
      </c>
      <c r="R4321" s="149">
        <f>+テーブル1[[#This Row],[合計金額]]*テーブル1[[#This Row],[自社報酬率％]]/100</f>
        <v>8900</v>
      </c>
    </row>
    <row r="4322" spans="1:18">
      <c r="A4322" s="142">
        <v>45901</v>
      </c>
      <c r="B4322" s="143" t="s">
        <v>43</v>
      </c>
      <c r="C4322" s="71" t="s">
        <v>24</v>
      </c>
      <c r="D4322" s="145">
        <v>100</v>
      </c>
      <c r="E4322" s="145">
        <v>100</v>
      </c>
      <c r="F4322" s="76" t="s">
        <v>19</v>
      </c>
      <c r="G4322" s="86">
        <v>46082</v>
      </c>
      <c r="H4322" s="147" t="s">
        <v>2907</v>
      </c>
      <c r="I4322" s="150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40">
        <f t="shared" si="169"/>
        <v>8900</v>
      </c>
      <c r="P4322" s="10">
        <v>1087</v>
      </c>
      <c r="Q4322" s="10" t="s">
        <v>1928</v>
      </c>
      <c r="R4322" s="149">
        <f>+テーブル1[[#This Row],[合計金額]]*テーブル1[[#This Row],[自社報酬率％]]/100</f>
        <v>8900</v>
      </c>
    </row>
    <row r="4323" spans="1:18">
      <c r="A4323" s="142">
        <v>45901</v>
      </c>
      <c r="B4323" s="143" t="s">
        <v>43</v>
      </c>
      <c r="C4323" s="71" t="s">
        <v>24</v>
      </c>
      <c r="D4323" s="145">
        <v>100</v>
      </c>
      <c r="E4323" s="145">
        <v>100</v>
      </c>
      <c r="F4323" s="151" t="s">
        <v>16</v>
      </c>
      <c r="G4323" s="152">
        <v>45931</v>
      </c>
      <c r="H4323" s="147" t="s">
        <v>2908</v>
      </c>
      <c r="I4323" s="150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40">
        <f t="shared" si="169"/>
        <v>11000</v>
      </c>
      <c r="P4323" s="10">
        <v>1088</v>
      </c>
      <c r="Q4323" s="10" t="s">
        <v>1935</v>
      </c>
      <c r="R4323" s="149">
        <f>+テーブル1[[#This Row],[合計金額]]*テーブル1[[#This Row],[自社報酬率％]]/100</f>
        <v>11000</v>
      </c>
    </row>
    <row r="4324" spans="1:18">
      <c r="A4324" s="142">
        <v>45901</v>
      </c>
      <c r="B4324" s="143" t="s">
        <v>43</v>
      </c>
      <c r="C4324" s="71" t="s">
        <v>24</v>
      </c>
      <c r="D4324" s="145">
        <v>100</v>
      </c>
      <c r="E4324" s="145">
        <v>100</v>
      </c>
      <c r="F4324" s="151" t="s">
        <v>16</v>
      </c>
      <c r="G4324" s="152">
        <v>45931</v>
      </c>
      <c r="H4324" s="147" t="s">
        <v>2909</v>
      </c>
      <c r="I4324" s="150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40">
        <f t="shared" si="169"/>
        <v>33000</v>
      </c>
      <c r="P4324" s="10">
        <v>1089</v>
      </c>
      <c r="Q4324" s="10" t="s">
        <v>1935</v>
      </c>
      <c r="R4324" s="149">
        <f>+テーブル1[[#This Row],[合計金額]]*テーブル1[[#This Row],[自社報酬率％]]/100</f>
        <v>33000</v>
      </c>
    </row>
    <row r="4325" spans="1:18">
      <c r="A4325" s="142">
        <v>45901</v>
      </c>
      <c r="B4325" s="143" t="s">
        <v>43</v>
      </c>
      <c r="C4325" s="71" t="s">
        <v>24</v>
      </c>
      <c r="D4325" s="145">
        <v>100</v>
      </c>
      <c r="E4325" s="145">
        <v>100</v>
      </c>
      <c r="F4325" s="82" t="s">
        <v>20</v>
      </c>
      <c r="G4325" s="87">
        <v>45901</v>
      </c>
      <c r="H4325" s="147" t="s">
        <v>2782</v>
      </c>
      <c r="I4325" s="150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40">
        <f t="shared" si="169"/>
        <v>0</v>
      </c>
      <c r="P4325" s="10">
        <v>1090</v>
      </c>
      <c r="Q4325" s="10" t="s">
        <v>1935</v>
      </c>
      <c r="R4325" s="149">
        <f>+テーブル1[[#This Row],[合計金額]]*テーブル1[[#This Row],[自社報酬率％]]/100</f>
        <v>0</v>
      </c>
    </row>
    <row r="4326" spans="1:18">
      <c r="A4326" s="142">
        <v>45901</v>
      </c>
      <c r="B4326" s="143" t="s">
        <v>43</v>
      </c>
      <c r="C4326" s="144" t="s">
        <v>1962</v>
      </c>
      <c r="D4326" s="145">
        <v>50</v>
      </c>
      <c r="E4326" s="145">
        <v>50</v>
      </c>
      <c r="F4326" s="144" t="s">
        <v>19</v>
      </c>
      <c r="G4326" s="146">
        <v>45901</v>
      </c>
      <c r="H4326" s="147" t="s">
        <v>2910</v>
      </c>
      <c r="I4326" s="150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40">
        <f t="shared" si="169"/>
        <v>3890700</v>
      </c>
      <c r="P4326" s="10">
        <v>1091</v>
      </c>
      <c r="Q4326" s="10" t="s">
        <v>1935</v>
      </c>
      <c r="R4326" s="149">
        <f>+テーブル1[[#This Row],[合計金額]]*テーブル1[[#This Row],[自社報酬率％]]/100</f>
        <v>1945350</v>
      </c>
    </row>
    <row r="4327" spans="1:18">
      <c r="A4327" s="142">
        <v>45901</v>
      </c>
      <c r="B4327" s="143" t="s">
        <v>43</v>
      </c>
      <c r="C4327" s="144" t="s">
        <v>1962</v>
      </c>
      <c r="D4327" s="145">
        <v>50</v>
      </c>
      <c r="E4327" s="145">
        <v>50</v>
      </c>
      <c r="F4327" s="144" t="s">
        <v>19</v>
      </c>
      <c r="G4327" s="146">
        <v>45901</v>
      </c>
      <c r="H4327" s="147" t="s">
        <v>2911</v>
      </c>
      <c r="I4327" s="150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40">
        <f t="shared" si="169"/>
        <v>366800</v>
      </c>
      <c r="P4327" s="10">
        <v>1092</v>
      </c>
      <c r="Q4327" s="10" t="s">
        <v>1935</v>
      </c>
      <c r="R4327" s="149">
        <f>+テーブル1[[#This Row],[合計金額]]*テーブル1[[#This Row],[自社報酬率％]]/100</f>
        <v>183400</v>
      </c>
    </row>
    <row r="4328" spans="1:18">
      <c r="A4328" s="142">
        <v>45901</v>
      </c>
      <c r="B4328" s="143" t="s">
        <v>43</v>
      </c>
      <c r="C4328" s="144" t="s">
        <v>1962</v>
      </c>
      <c r="D4328" s="145">
        <v>50</v>
      </c>
      <c r="E4328" s="145">
        <v>50</v>
      </c>
      <c r="F4328" s="144" t="s">
        <v>19</v>
      </c>
      <c r="G4328" s="146">
        <v>45901</v>
      </c>
      <c r="H4328" s="147" t="s">
        <v>2158</v>
      </c>
      <c r="I4328" s="150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40">
        <f t="shared" si="169"/>
        <v>648450</v>
      </c>
      <c r="P4328" s="10">
        <v>1093</v>
      </c>
      <c r="Q4328" s="10" t="s">
        <v>1935</v>
      </c>
      <c r="R4328" s="149">
        <f>+テーブル1[[#This Row],[合計金額]]*テーブル1[[#This Row],[自社報酬率％]]/100</f>
        <v>324225</v>
      </c>
    </row>
    <row r="4329" spans="1:18">
      <c r="A4329" s="142">
        <v>45901</v>
      </c>
      <c r="B4329" s="143" t="s">
        <v>43</v>
      </c>
      <c r="C4329" s="144" t="s">
        <v>1962</v>
      </c>
      <c r="D4329" s="145">
        <v>50</v>
      </c>
      <c r="E4329" s="145">
        <v>50</v>
      </c>
      <c r="F4329" s="144" t="s">
        <v>19</v>
      </c>
      <c r="G4329" s="146">
        <v>45901</v>
      </c>
      <c r="H4329" s="147" t="s">
        <v>2159</v>
      </c>
      <c r="I4329" s="150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40">
        <f t="shared" si="169"/>
        <v>144100</v>
      </c>
      <c r="P4329" s="10">
        <v>1094</v>
      </c>
      <c r="Q4329" s="10" t="s">
        <v>1935</v>
      </c>
      <c r="R4329" s="149">
        <f>+テーブル1[[#This Row],[合計金額]]*テーブル1[[#This Row],[自社報酬率％]]/100</f>
        <v>72050</v>
      </c>
    </row>
    <row r="4330" spans="1:18">
      <c r="A4330" s="142">
        <v>45901</v>
      </c>
      <c r="B4330" s="143" t="s">
        <v>43</v>
      </c>
      <c r="C4330" s="144" t="s">
        <v>1962</v>
      </c>
      <c r="D4330" s="145">
        <v>50</v>
      </c>
      <c r="E4330" s="145">
        <v>50</v>
      </c>
      <c r="F4330" s="144" t="s">
        <v>19</v>
      </c>
      <c r="G4330" s="146">
        <v>45901</v>
      </c>
      <c r="H4330" s="147" t="s">
        <v>2160</v>
      </c>
      <c r="I4330" s="150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40">
        <f t="shared" si="169"/>
        <v>1513050</v>
      </c>
      <c r="P4330" s="10">
        <v>1095</v>
      </c>
      <c r="Q4330" s="10" t="s">
        <v>1935</v>
      </c>
      <c r="R4330" s="149">
        <f>+テーブル1[[#This Row],[合計金額]]*テーブル1[[#This Row],[自社報酬率％]]/100</f>
        <v>756525</v>
      </c>
    </row>
    <row r="4331" spans="1:18">
      <c r="A4331" s="142">
        <v>45901</v>
      </c>
      <c r="B4331" s="143" t="s">
        <v>43</v>
      </c>
      <c r="C4331" s="144" t="s">
        <v>1962</v>
      </c>
      <c r="D4331" s="145">
        <v>50</v>
      </c>
      <c r="E4331" s="145">
        <v>50</v>
      </c>
      <c r="F4331" s="144" t="s">
        <v>19</v>
      </c>
      <c r="G4331" s="146">
        <v>45901</v>
      </c>
      <c r="H4331" s="147" t="s">
        <v>2434</v>
      </c>
      <c r="I4331" s="150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40">
        <f t="shared" si="169"/>
        <v>432300</v>
      </c>
      <c r="P4331" s="10">
        <v>1096</v>
      </c>
      <c r="Q4331" s="10" t="s">
        <v>1935</v>
      </c>
      <c r="R4331" s="149">
        <f>+テーブル1[[#This Row],[合計金額]]*テーブル1[[#This Row],[自社報酬率％]]/100</f>
        <v>216150</v>
      </c>
    </row>
    <row r="4332" spans="1:18">
      <c r="A4332" s="142">
        <v>45901</v>
      </c>
      <c r="B4332" s="143" t="s">
        <v>43</v>
      </c>
      <c r="C4332" s="144" t="s">
        <v>1962</v>
      </c>
      <c r="D4332" s="145">
        <v>50</v>
      </c>
      <c r="E4332" s="145">
        <v>50</v>
      </c>
      <c r="F4332" s="144" t="s">
        <v>19</v>
      </c>
      <c r="G4332" s="146">
        <v>45901</v>
      </c>
      <c r="H4332" s="147" t="s">
        <v>2318</v>
      </c>
      <c r="I4332" s="150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40">
        <f t="shared" si="169"/>
        <v>275000</v>
      </c>
      <c r="P4332" s="10">
        <v>1097</v>
      </c>
      <c r="Q4332" s="10" t="s">
        <v>1935</v>
      </c>
      <c r="R4332" s="149">
        <f>+テーブル1[[#This Row],[合計金額]]*テーブル1[[#This Row],[自社報酬率％]]/100</f>
        <v>137500</v>
      </c>
    </row>
    <row r="4333" spans="1:18">
      <c r="A4333" s="142">
        <v>45901</v>
      </c>
      <c r="B4333" s="143" t="s">
        <v>43</v>
      </c>
      <c r="C4333" s="144" t="s">
        <v>1962</v>
      </c>
      <c r="D4333" s="145">
        <v>50</v>
      </c>
      <c r="E4333" s="145">
        <v>50</v>
      </c>
      <c r="F4333" s="144" t="s">
        <v>19</v>
      </c>
      <c r="G4333" s="146">
        <v>45901</v>
      </c>
      <c r="H4333" s="147" t="s">
        <v>2912</v>
      </c>
      <c r="I4333" s="150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40">
        <f t="shared" si="169"/>
        <v>19620</v>
      </c>
      <c r="P4333" s="10">
        <v>1098</v>
      </c>
      <c r="Q4333" s="10" t="s">
        <v>1935</v>
      </c>
      <c r="R4333" s="149">
        <f>+テーブル1[[#This Row],[合計金額]]*テーブル1[[#This Row],[自社報酬率％]]/100</f>
        <v>9810</v>
      </c>
    </row>
    <row r="4334" spans="1:18">
      <c r="A4334" s="142">
        <v>45901</v>
      </c>
      <c r="B4334" s="143" t="s">
        <v>43</v>
      </c>
      <c r="C4334" s="144" t="s">
        <v>1962</v>
      </c>
      <c r="D4334" s="145">
        <v>50</v>
      </c>
      <c r="E4334" s="145">
        <v>50</v>
      </c>
      <c r="F4334" s="144" t="s">
        <v>19</v>
      </c>
      <c r="G4334" s="146">
        <v>45901</v>
      </c>
      <c r="H4334" s="147" t="s">
        <v>2913</v>
      </c>
      <c r="I4334" s="150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40">
        <f t="shared" si="169"/>
        <v>211400</v>
      </c>
      <c r="P4334" s="10">
        <v>1099</v>
      </c>
      <c r="Q4334" s="10" t="s">
        <v>1935</v>
      </c>
      <c r="R4334" s="149">
        <f>+テーブル1[[#This Row],[合計金額]]*テーブル1[[#This Row],[自社報酬率％]]/100</f>
        <v>105700</v>
      </c>
    </row>
    <row r="4335" spans="1:18">
      <c r="A4335" s="142">
        <v>45901</v>
      </c>
      <c r="B4335" s="143" t="s">
        <v>43</v>
      </c>
      <c r="C4335" s="151" t="s">
        <v>1962</v>
      </c>
      <c r="D4335" s="145">
        <v>50</v>
      </c>
      <c r="E4335" s="145">
        <v>50</v>
      </c>
      <c r="F4335" s="151" t="s">
        <v>16</v>
      </c>
      <c r="G4335" s="152">
        <v>45931</v>
      </c>
      <c r="H4335" s="147" t="s">
        <v>2914</v>
      </c>
      <c r="I4335" s="150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40">
        <f t="shared" si="169"/>
        <v>79200</v>
      </c>
      <c r="P4335" s="10">
        <v>1100</v>
      </c>
      <c r="Q4335" s="10" t="s">
        <v>1935</v>
      </c>
      <c r="R4335" s="149">
        <f>+テーブル1[[#This Row],[合計金額]]*テーブル1[[#This Row],[自社報酬率％]]/100</f>
        <v>39600</v>
      </c>
    </row>
    <row r="4336" spans="1:18">
      <c r="A4336" s="142">
        <v>45901</v>
      </c>
      <c r="B4336" s="143" t="s">
        <v>43</v>
      </c>
      <c r="C4336" s="151" t="s">
        <v>1962</v>
      </c>
      <c r="D4336" s="145">
        <v>50</v>
      </c>
      <c r="E4336" s="145">
        <v>50</v>
      </c>
      <c r="F4336" s="151" t="s">
        <v>16</v>
      </c>
      <c r="G4336" s="152">
        <v>45931</v>
      </c>
      <c r="H4336" s="147" t="s">
        <v>2914</v>
      </c>
      <c r="I4336" s="150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40">
        <f t="shared" si="169"/>
        <v>391500</v>
      </c>
      <c r="P4336" s="10">
        <v>1101</v>
      </c>
      <c r="Q4336" s="10" t="s">
        <v>1935</v>
      </c>
      <c r="R4336" s="149">
        <f>+テーブル1[[#This Row],[合計金額]]*テーブル1[[#This Row],[自社報酬率％]]/100</f>
        <v>195750</v>
      </c>
    </row>
    <row r="4337" spans="1:18">
      <c r="A4337" s="142">
        <v>45901</v>
      </c>
      <c r="B4337" s="143" t="s">
        <v>43</v>
      </c>
      <c r="C4337" s="151" t="s">
        <v>1962</v>
      </c>
      <c r="D4337" s="145">
        <v>50</v>
      </c>
      <c r="E4337" s="145">
        <v>50</v>
      </c>
      <c r="F4337" s="151" t="s">
        <v>16</v>
      </c>
      <c r="G4337" s="152">
        <v>45931</v>
      </c>
      <c r="H4337" s="147" t="s">
        <v>2915</v>
      </c>
      <c r="I4337" s="150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40">
        <f t="shared" si="169"/>
        <v>9660</v>
      </c>
      <c r="P4337" s="10">
        <v>1102</v>
      </c>
      <c r="Q4337" s="10" t="s">
        <v>1935</v>
      </c>
      <c r="R4337" s="149">
        <f>+テーブル1[[#This Row],[合計金額]]*テーブル1[[#This Row],[自社報酬率％]]/100</f>
        <v>4830</v>
      </c>
    </row>
    <row r="4338" spans="1:18">
      <c r="A4338" s="142">
        <v>45901</v>
      </c>
      <c r="B4338" s="143" t="s">
        <v>43</v>
      </c>
      <c r="C4338" s="151" t="s">
        <v>1962</v>
      </c>
      <c r="D4338" s="145">
        <v>50</v>
      </c>
      <c r="E4338" s="145">
        <v>50</v>
      </c>
      <c r="F4338" s="151" t="s">
        <v>20</v>
      </c>
      <c r="G4338" s="152">
        <v>45931</v>
      </c>
      <c r="H4338" s="147" t="s">
        <v>2916</v>
      </c>
      <c r="I4338" s="150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40">
        <f t="shared" si="169"/>
        <v>1220100</v>
      </c>
      <c r="P4338" s="10">
        <v>1103</v>
      </c>
      <c r="Q4338" s="10" t="s">
        <v>1935</v>
      </c>
      <c r="R4338" s="149">
        <f>+テーブル1[[#This Row],[合計金額]]*テーブル1[[#This Row],[自社報酬率％]]/100</f>
        <v>610050</v>
      </c>
    </row>
    <row r="4339" spans="1:18">
      <c r="A4339" s="142">
        <v>45901</v>
      </c>
      <c r="B4339" s="143" t="s">
        <v>43</v>
      </c>
      <c r="C4339" s="151" t="s">
        <v>1962</v>
      </c>
      <c r="D4339" s="145">
        <v>50</v>
      </c>
      <c r="E4339" s="145">
        <v>50</v>
      </c>
      <c r="F4339" s="151" t="s">
        <v>20</v>
      </c>
      <c r="G4339" s="152">
        <v>45931</v>
      </c>
      <c r="H4339" s="147" t="s">
        <v>2917</v>
      </c>
      <c r="I4339" s="150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40">
        <f t="shared" si="169"/>
        <v>4900</v>
      </c>
      <c r="P4339" s="10">
        <v>1104</v>
      </c>
      <c r="Q4339" s="10" t="s">
        <v>1935</v>
      </c>
      <c r="R4339" s="149">
        <f>+テーブル1[[#This Row],[合計金額]]*テーブル1[[#This Row],[自社報酬率％]]/100</f>
        <v>2450</v>
      </c>
    </row>
    <row r="4340" spans="1:18">
      <c r="A4340" s="142">
        <v>45901</v>
      </c>
      <c r="B4340" s="143" t="s">
        <v>43</v>
      </c>
      <c r="C4340" s="144" t="s">
        <v>1962</v>
      </c>
      <c r="D4340" s="145">
        <v>50</v>
      </c>
      <c r="E4340" s="145">
        <v>50</v>
      </c>
      <c r="F4340" s="144" t="s">
        <v>20</v>
      </c>
      <c r="G4340" s="146">
        <v>45901</v>
      </c>
      <c r="H4340" s="147" t="s">
        <v>2792</v>
      </c>
      <c r="I4340" s="150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40">
        <f t="shared" si="169"/>
        <v>4800</v>
      </c>
      <c r="P4340" s="10">
        <v>1105</v>
      </c>
      <c r="Q4340" s="10" t="s">
        <v>1935</v>
      </c>
      <c r="R4340" s="149">
        <f>+テーブル1[[#This Row],[合計金額]]*テーブル1[[#This Row],[自社報酬率％]]/100</f>
        <v>2400</v>
      </c>
    </row>
    <row r="4341" spans="1:18">
      <c r="A4341" s="142">
        <v>45901</v>
      </c>
      <c r="B4341" s="143" t="s">
        <v>43</v>
      </c>
      <c r="C4341" s="144" t="s">
        <v>1962</v>
      </c>
      <c r="D4341" s="145">
        <v>50</v>
      </c>
      <c r="E4341" s="145">
        <v>50</v>
      </c>
      <c r="F4341" s="144" t="s">
        <v>20</v>
      </c>
      <c r="G4341" s="146">
        <v>45901</v>
      </c>
      <c r="H4341" s="147" t="s">
        <v>2918</v>
      </c>
      <c r="I4341" s="150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40">
        <f t="shared" si="169"/>
        <v>2400</v>
      </c>
      <c r="P4341" s="10">
        <v>1106</v>
      </c>
      <c r="Q4341" s="10" t="s">
        <v>1935</v>
      </c>
      <c r="R4341" s="149">
        <f>+テーブル1[[#This Row],[合計金額]]*テーブル1[[#This Row],[自社報酬率％]]/100</f>
        <v>1200</v>
      </c>
    </row>
    <row r="4342" spans="1:18">
      <c r="A4342" s="142">
        <v>45901</v>
      </c>
      <c r="B4342" s="143" t="s">
        <v>43</v>
      </c>
      <c r="C4342" s="144" t="s">
        <v>1962</v>
      </c>
      <c r="D4342" s="145">
        <v>50</v>
      </c>
      <c r="E4342" s="145">
        <v>50</v>
      </c>
      <c r="F4342" s="144" t="s">
        <v>20</v>
      </c>
      <c r="G4342" s="146">
        <v>45901</v>
      </c>
      <c r="H4342" s="147" t="s">
        <v>2326</v>
      </c>
      <c r="I4342" s="150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40">
        <f t="shared" si="169"/>
        <v>39120</v>
      </c>
      <c r="P4342" s="10">
        <v>1107</v>
      </c>
      <c r="Q4342" s="10" t="s">
        <v>1935</v>
      </c>
      <c r="R4342" s="149">
        <f>+テーブル1[[#This Row],[合計金額]]*テーブル1[[#This Row],[自社報酬率％]]/100</f>
        <v>19560</v>
      </c>
    </row>
    <row r="4343" spans="1:18">
      <c r="A4343" s="142">
        <v>45901</v>
      </c>
      <c r="B4343" s="143" t="s">
        <v>43</v>
      </c>
      <c r="C4343" s="144" t="s">
        <v>1962</v>
      </c>
      <c r="D4343" s="145">
        <v>50</v>
      </c>
      <c r="E4343" s="145">
        <v>50</v>
      </c>
      <c r="F4343" s="144" t="s">
        <v>20</v>
      </c>
      <c r="G4343" s="146">
        <v>45901</v>
      </c>
      <c r="H4343" s="147" t="s">
        <v>2542</v>
      </c>
      <c r="I4343" s="150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40">
        <f t="shared" si="169"/>
        <v>33176</v>
      </c>
      <c r="P4343" s="10">
        <v>1108</v>
      </c>
      <c r="Q4343" s="10" t="s">
        <v>1935</v>
      </c>
      <c r="R4343" s="149">
        <f>+テーブル1[[#This Row],[合計金額]]*テーブル1[[#This Row],[自社報酬率％]]/100</f>
        <v>16588</v>
      </c>
    </row>
    <row r="4344" spans="1:18">
      <c r="A4344" s="142">
        <v>45901</v>
      </c>
      <c r="B4344" s="143" t="s">
        <v>43</v>
      </c>
      <c r="C4344" s="79" t="s">
        <v>1962</v>
      </c>
      <c r="D4344" s="145">
        <v>55</v>
      </c>
      <c r="E4344" s="145">
        <v>45</v>
      </c>
      <c r="F4344" s="72" t="s">
        <v>17</v>
      </c>
      <c r="G4344" s="85">
        <v>45931</v>
      </c>
      <c r="H4344" s="147" t="s">
        <v>2919</v>
      </c>
      <c r="I4344" s="150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40">
        <f t="shared" si="169"/>
        <v>198135</v>
      </c>
      <c r="P4344" s="10">
        <v>1109</v>
      </c>
      <c r="Q4344" s="10" t="s">
        <v>1935</v>
      </c>
      <c r="R4344" s="149">
        <f>+テーブル1[[#This Row],[合計金額]]*テーブル1[[#This Row],[自社報酬率％]]/100</f>
        <v>89160.75</v>
      </c>
    </row>
    <row r="4345" spans="1:18">
      <c r="A4345" s="142">
        <v>45901</v>
      </c>
      <c r="B4345" s="143" t="s">
        <v>43</v>
      </c>
      <c r="C4345" s="80" t="s">
        <v>1962</v>
      </c>
      <c r="D4345" s="145">
        <v>55</v>
      </c>
      <c r="E4345" s="145">
        <v>45</v>
      </c>
      <c r="F4345" s="151" t="s">
        <v>17</v>
      </c>
      <c r="G4345" s="152">
        <v>45962</v>
      </c>
      <c r="H4345" s="147" t="s">
        <v>2920</v>
      </c>
      <c r="I4345" s="150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40">
        <f t="shared" si="169"/>
        <v>198135</v>
      </c>
      <c r="P4345" s="10">
        <v>1110</v>
      </c>
      <c r="Q4345" s="10" t="s">
        <v>1935</v>
      </c>
      <c r="R4345" s="149">
        <f>+テーブル1[[#This Row],[合計金額]]*テーブル1[[#This Row],[自社報酬率％]]/100</f>
        <v>89160.75</v>
      </c>
    </row>
    <row r="4346" spans="1:18">
      <c r="A4346" s="142">
        <v>45901</v>
      </c>
      <c r="B4346" s="143" t="s">
        <v>43</v>
      </c>
      <c r="C4346" s="80" t="s">
        <v>1962</v>
      </c>
      <c r="D4346" s="145">
        <v>55</v>
      </c>
      <c r="E4346" s="145">
        <v>45</v>
      </c>
      <c r="F4346" s="151" t="s">
        <v>17</v>
      </c>
      <c r="G4346" s="152">
        <v>45992</v>
      </c>
      <c r="H4346" s="147" t="s">
        <v>2921</v>
      </c>
      <c r="I4346" s="150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40">
        <f t="shared" si="169"/>
        <v>198135</v>
      </c>
      <c r="P4346" s="10">
        <v>1111</v>
      </c>
      <c r="Q4346" s="10" t="s">
        <v>1928</v>
      </c>
      <c r="R4346" s="149">
        <f>+テーブル1[[#This Row],[合計金額]]*テーブル1[[#This Row],[自社報酬率％]]/100</f>
        <v>89160.75</v>
      </c>
    </row>
    <row r="4347" spans="1:18">
      <c r="A4347" s="142">
        <v>45901</v>
      </c>
      <c r="B4347" s="143" t="s">
        <v>43</v>
      </c>
      <c r="C4347" s="80" t="s">
        <v>1962</v>
      </c>
      <c r="D4347" s="145">
        <v>55</v>
      </c>
      <c r="E4347" s="145">
        <v>45</v>
      </c>
      <c r="F4347" s="151" t="s">
        <v>17</v>
      </c>
      <c r="G4347" s="152">
        <v>46023</v>
      </c>
      <c r="H4347" s="147" t="s">
        <v>2922</v>
      </c>
      <c r="I4347" s="150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40">
        <f t="shared" si="169"/>
        <v>198135</v>
      </c>
      <c r="P4347" s="10">
        <v>1112</v>
      </c>
      <c r="Q4347" s="10" t="s">
        <v>1928</v>
      </c>
      <c r="R4347" s="149">
        <f>+テーブル1[[#This Row],[合計金額]]*テーブル1[[#This Row],[自社報酬率％]]/100</f>
        <v>89160.75</v>
      </c>
    </row>
    <row r="4348" spans="1:18">
      <c r="A4348" s="142">
        <v>45901</v>
      </c>
      <c r="B4348" s="143" t="s">
        <v>43</v>
      </c>
      <c r="C4348" s="80" t="s">
        <v>1962</v>
      </c>
      <c r="D4348" s="145">
        <v>55</v>
      </c>
      <c r="E4348" s="145">
        <v>45</v>
      </c>
      <c r="F4348" s="151" t="s">
        <v>17</v>
      </c>
      <c r="G4348" s="152">
        <v>46054</v>
      </c>
      <c r="H4348" s="147" t="s">
        <v>2923</v>
      </c>
      <c r="I4348" s="150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40">
        <f t="shared" si="169"/>
        <v>198135</v>
      </c>
      <c r="P4348" s="10">
        <v>1113</v>
      </c>
      <c r="Q4348" s="10" t="s">
        <v>1928</v>
      </c>
      <c r="R4348" s="149">
        <f>+テーブル1[[#This Row],[合計金額]]*テーブル1[[#This Row],[自社報酬率％]]/100</f>
        <v>89160.75</v>
      </c>
    </row>
    <row r="4349" spans="1:18">
      <c r="A4349" s="142">
        <v>45901</v>
      </c>
      <c r="B4349" s="143" t="s">
        <v>43</v>
      </c>
      <c r="C4349" s="80" t="s">
        <v>1962</v>
      </c>
      <c r="D4349" s="145">
        <v>55</v>
      </c>
      <c r="E4349" s="145">
        <v>45</v>
      </c>
      <c r="F4349" s="151" t="s">
        <v>17</v>
      </c>
      <c r="G4349" s="152">
        <v>46082</v>
      </c>
      <c r="H4349" s="147" t="s">
        <v>2924</v>
      </c>
      <c r="I4349" s="150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40">
        <f t="shared" si="169"/>
        <v>198135</v>
      </c>
      <c r="P4349" s="10">
        <v>1114</v>
      </c>
      <c r="Q4349" s="10" t="s">
        <v>1928</v>
      </c>
      <c r="R4349" s="149">
        <f>+テーブル1[[#This Row],[合計金額]]*テーブル1[[#This Row],[自社報酬率％]]/100</f>
        <v>89160.75</v>
      </c>
    </row>
    <row r="4350" spans="1:18">
      <c r="A4350" s="142">
        <v>45901</v>
      </c>
      <c r="B4350" s="143" t="s">
        <v>43</v>
      </c>
      <c r="C4350" s="80" t="s">
        <v>1962</v>
      </c>
      <c r="D4350" s="145">
        <v>55</v>
      </c>
      <c r="E4350" s="145">
        <v>45</v>
      </c>
      <c r="F4350" s="151" t="s">
        <v>17</v>
      </c>
      <c r="G4350" s="152">
        <v>46113</v>
      </c>
      <c r="H4350" s="147" t="s">
        <v>2925</v>
      </c>
      <c r="I4350" s="150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40">
        <f t="shared" si="169"/>
        <v>198135</v>
      </c>
      <c r="P4350" s="10">
        <v>1115</v>
      </c>
      <c r="Q4350" s="10" t="s">
        <v>1928</v>
      </c>
      <c r="R4350" s="149">
        <f>+テーブル1[[#This Row],[合計金額]]*テーブル1[[#This Row],[自社報酬率％]]/100</f>
        <v>89160.75</v>
      </c>
    </row>
    <row r="4351" spans="1:18">
      <c r="A4351" s="142">
        <v>45901</v>
      </c>
      <c r="B4351" s="143" t="s">
        <v>43</v>
      </c>
      <c r="C4351" s="80" t="s">
        <v>1962</v>
      </c>
      <c r="D4351" s="145">
        <v>55</v>
      </c>
      <c r="E4351" s="145">
        <v>45</v>
      </c>
      <c r="F4351" s="151" t="s">
        <v>17</v>
      </c>
      <c r="G4351" s="152">
        <v>46143</v>
      </c>
      <c r="H4351" s="147" t="s">
        <v>2926</v>
      </c>
      <c r="I4351" s="150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40">
        <f t="shared" si="169"/>
        <v>198135</v>
      </c>
      <c r="P4351" s="10">
        <v>1116</v>
      </c>
      <c r="Q4351" s="10" t="s">
        <v>1928</v>
      </c>
      <c r="R4351" s="149">
        <f>+テーブル1[[#This Row],[合計金額]]*テーブル1[[#This Row],[自社報酬率％]]/100</f>
        <v>89160.75</v>
      </c>
    </row>
    <row r="4352" spans="1:18">
      <c r="A4352" s="142">
        <v>45901</v>
      </c>
      <c r="B4352" s="143" t="s">
        <v>43</v>
      </c>
      <c r="C4352" s="80" t="s">
        <v>1962</v>
      </c>
      <c r="D4352" s="145">
        <v>55</v>
      </c>
      <c r="E4352" s="145">
        <v>45</v>
      </c>
      <c r="F4352" s="151" t="s">
        <v>17</v>
      </c>
      <c r="G4352" s="152">
        <v>46174</v>
      </c>
      <c r="H4352" s="147" t="s">
        <v>2927</v>
      </c>
      <c r="I4352" s="150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40">
        <f t="shared" si="169"/>
        <v>198135</v>
      </c>
      <c r="P4352" s="10">
        <v>1117</v>
      </c>
      <c r="Q4352" s="10" t="s">
        <v>1928</v>
      </c>
      <c r="R4352" s="149">
        <f>+テーブル1[[#This Row],[合計金額]]*テーブル1[[#This Row],[自社報酬率％]]/100</f>
        <v>89160.75</v>
      </c>
    </row>
    <row r="4353" spans="1:18">
      <c r="A4353" s="142">
        <v>45901</v>
      </c>
      <c r="B4353" s="143" t="s">
        <v>43</v>
      </c>
      <c r="C4353" s="80" t="s">
        <v>1962</v>
      </c>
      <c r="D4353" s="145">
        <v>55</v>
      </c>
      <c r="E4353" s="145">
        <v>45</v>
      </c>
      <c r="F4353" s="151" t="s">
        <v>17</v>
      </c>
      <c r="G4353" s="152">
        <v>46204</v>
      </c>
      <c r="H4353" s="147" t="s">
        <v>2928</v>
      </c>
      <c r="I4353" s="150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40">
        <f t="shared" si="169"/>
        <v>198135</v>
      </c>
      <c r="P4353" s="10">
        <v>1118</v>
      </c>
      <c r="Q4353" s="10" t="s">
        <v>1928</v>
      </c>
      <c r="R4353" s="149">
        <f>+テーブル1[[#This Row],[合計金額]]*テーブル1[[#This Row],[自社報酬率％]]/100</f>
        <v>89160.75</v>
      </c>
    </row>
    <row r="4354" spans="1:18">
      <c r="A4354" s="142">
        <v>45901</v>
      </c>
      <c r="B4354" s="143" t="s">
        <v>43</v>
      </c>
      <c r="C4354" s="80" t="s">
        <v>1962</v>
      </c>
      <c r="D4354" s="145">
        <v>55</v>
      </c>
      <c r="E4354" s="145">
        <v>45</v>
      </c>
      <c r="F4354" s="151" t="s">
        <v>17</v>
      </c>
      <c r="G4354" s="152">
        <v>46235</v>
      </c>
      <c r="H4354" s="147" t="s">
        <v>2929</v>
      </c>
      <c r="I4354" s="150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40">
        <f t="shared" si="169"/>
        <v>198135</v>
      </c>
      <c r="P4354" s="10">
        <v>1119</v>
      </c>
      <c r="Q4354" s="10" t="s">
        <v>1928</v>
      </c>
      <c r="R4354" s="149">
        <f>+テーブル1[[#This Row],[合計金額]]*テーブル1[[#This Row],[自社報酬率％]]/100</f>
        <v>89160.75</v>
      </c>
    </row>
    <row r="4355" spans="1:18">
      <c r="A4355" s="142">
        <v>45901</v>
      </c>
      <c r="B4355" s="143" t="s">
        <v>43</v>
      </c>
      <c r="C4355" s="81" t="s">
        <v>1962</v>
      </c>
      <c r="D4355" s="145">
        <v>55</v>
      </c>
      <c r="E4355" s="145">
        <v>45</v>
      </c>
      <c r="F4355" s="76" t="s">
        <v>17</v>
      </c>
      <c r="G4355" s="86">
        <v>46266</v>
      </c>
      <c r="H4355" s="147" t="s">
        <v>2930</v>
      </c>
      <c r="I4355" s="150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40">
        <f t="shared" si="169"/>
        <v>198135</v>
      </c>
      <c r="P4355" s="10">
        <v>1120</v>
      </c>
      <c r="Q4355" s="10" t="s">
        <v>1928</v>
      </c>
      <c r="R4355" s="149">
        <f>+テーブル1[[#This Row],[合計金額]]*テーブル1[[#This Row],[自社報酬率％]]/100</f>
        <v>89160.75</v>
      </c>
    </row>
    <row r="4356" spans="1:18">
      <c r="A4356" s="142">
        <v>45901</v>
      </c>
      <c r="B4356" s="143" t="s">
        <v>43</v>
      </c>
      <c r="C4356" s="79" t="s">
        <v>1962</v>
      </c>
      <c r="D4356" s="145">
        <v>55</v>
      </c>
      <c r="E4356" s="145">
        <v>45</v>
      </c>
      <c r="F4356" s="72" t="s">
        <v>18</v>
      </c>
      <c r="G4356" s="85">
        <v>45931</v>
      </c>
      <c r="H4356" s="147" t="s">
        <v>221</v>
      </c>
      <c r="I4356" s="150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40">
        <f t="shared" si="169"/>
        <v>910800</v>
      </c>
      <c r="P4356" s="10">
        <v>1121</v>
      </c>
      <c r="Q4356" s="10" t="s">
        <v>1935</v>
      </c>
      <c r="R4356" s="149">
        <f>+テーブル1[[#This Row],[合計金額]]*テーブル1[[#This Row],[自社報酬率％]]/100</f>
        <v>409860</v>
      </c>
    </row>
    <row r="4357" spans="1:18">
      <c r="A4357" s="142">
        <v>45901</v>
      </c>
      <c r="B4357" s="143" t="s">
        <v>43</v>
      </c>
      <c r="C4357" s="80" t="s">
        <v>1962</v>
      </c>
      <c r="D4357" s="145">
        <v>55</v>
      </c>
      <c r="E4357" s="145">
        <v>45</v>
      </c>
      <c r="F4357" s="151" t="s">
        <v>18</v>
      </c>
      <c r="G4357" s="152">
        <v>45962</v>
      </c>
      <c r="H4357" s="147" t="s">
        <v>2931</v>
      </c>
      <c r="I4357" s="150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40">
        <f t="shared" si="169"/>
        <v>910800</v>
      </c>
      <c r="P4357" s="10">
        <v>1122</v>
      </c>
      <c r="Q4357" s="10" t="s">
        <v>1935</v>
      </c>
      <c r="R4357" s="149">
        <f>+テーブル1[[#This Row],[合計金額]]*テーブル1[[#This Row],[自社報酬率％]]/100</f>
        <v>409860</v>
      </c>
    </row>
    <row r="4358" spans="1:18">
      <c r="A4358" s="142">
        <v>45901</v>
      </c>
      <c r="B4358" s="143" t="s">
        <v>43</v>
      </c>
      <c r="C4358" s="81" t="s">
        <v>1962</v>
      </c>
      <c r="D4358" s="145">
        <v>55</v>
      </c>
      <c r="E4358" s="145">
        <v>45</v>
      </c>
      <c r="F4358" s="76" t="s">
        <v>18</v>
      </c>
      <c r="G4358" s="86">
        <v>45992</v>
      </c>
      <c r="H4358" s="147" t="s">
        <v>2932</v>
      </c>
      <c r="I4358" s="150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40">
        <f t="shared" si="169"/>
        <v>910800</v>
      </c>
      <c r="P4358" s="10">
        <v>1123</v>
      </c>
      <c r="Q4358" s="10" t="s">
        <v>1928</v>
      </c>
      <c r="R4358" s="149">
        <f>+テーブル1[[#This Row],[合計金額]]*テーブル1[[#This Row],[自社報酬率％]]/100</f>
        <v>409860</v>
      </c>
    </row>
    <row r="4359" spans="1:18">
      <c r="A4359" s="142">
        <v>45901</v>
      </c>
      <c r="B4359" s="143" t="s">
        <v>43</v>
      </c>
      <c r="C4359" s="79" t="s">
        <v>1962</v>
      </c>
      <c r="D4359" s="145">
        <v>55</v>
      </c>
      <c r="E4359" s="145">
        <v>45</v>
      </c>
      <c r="F4359" s="72" t="s">
        <v>18</v>
      </c>
      <c r="G4359" s="85">
        <v>45931</v>
      </c>
      <c r="H4359" s="147" t="s">
        <v>2933</v>
      </c>
      <c r="I4359" s="150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40">
        <f t="shared" si="169"/>
        <v>59400</v>
      </c>
      <c r="P4359" s="10">
        <v>1124</v>
      </c>
      <c r="Q4359" s="10" t="s">
        <v>1935</v>
      </c>
      <c r="R4359" s="149">
        <f>+テーブル1[[#This Row],[合計金額]]*テーブル1[[#This Row],[自社報酬率％]]/100</f>
        <v>26730</v>
      </c>
    </row>
    <row r="4360" spans="1:18">
      <c r="A4360" s="142">
        <v>45901</v>
      </c>
      <c r="B4360" s="143" t="s">
        <v>43</v>
      </c>
      <c r="C4360" s="80" t="s">
        <v>1962</v>
      </c>
      <c r="D4360" s="145">
        <v>55</v>
      </c>
      <c r="E4360" s="145">
        <v>45</v>
      </c>
      <c r="F4360" s="151" t="s">
        <v>18</v>
      </c>
      <c r="G4360" s="152">
        <v>45962</v>
      </c>
      <c r="H4360" s="147" t="s">
        <v>2934</v>
      </c>
      <c r="I4360" s="150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40">
        <f t="shared" si="169"/>
        <v>59400</v>
      </c>
      <c r="P4360" s="10">
        <v>1125</v>
      </c>
      <c r="Q4360" s="10" t="s">
        <v>1935</v>
      </c>
      <c r="R4360" s="149">
        <f>+テーブル1[[#This Row],[合計金額]]*テーブル1[[#This Row],[自社報酬率％]]/100</f>
        <v>26730</v>
      </c>
    </row>
    <row r="4361" spans="1:18">
      <c r="A4361" s="142">
        <v>45901</v>
      </c>
      <c r="B4361" s="143" t="s">
        <v>43</v>
      </c>
      <c r="C4361" s="81" t="s">
        <v>1962</v>
      </c>
      <c r="D4361" s="145">
        <v>55</v>
      </c>
      <c r="E4361" s="145">
        <v>45</v>
      </c>
      <c r="F4361" s="76" t="s">
        <v>18</v>
      </c>
      <c r="G4361" s="86">
        <v>45992</v>
      </c>
      <c r="H4361" s="147" t="s">
        <v>2935</v>
      </c>
      <c r="I4361" s="150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40">
        <f t="shared" si="169"/>
        <v>59400</v>
      </c>
      <c r="P4361" s="10">
        <v>1126</v>
      </c>
      <c r="Q4361" s="10" t="s">
        <v>1928</v>
      </c>
      <c r="R4361" s="149">
        <f>+テーブル1[[#This Row],[合計金額]]*テーブル1[[#This Row],[自社報酬率％]]/100</f>
        <v>26730</v>
      </c>
    </row>
    <row r="4362" spans="1:18">
      <c r="A4362" s="142">
        <v>45901</v>
      </c>
      <c r="B4362" s="143" t="s">
        <v>43</v>
      </c>
      <c r="C4362" s="79" t="s">
        <v>1962</v>
      </c>
      <c r="D4362" s="145">
        <v>55</v>
      </c>
      <c r="E4362" s="145">
        <v>45</v>
      </c>
      <c r="F4362" s="72" t="s">
        <v>19</v>
      </c>
      <c r="G4362" s="85">
        <v>45931</v>
      </c>
      <c r="H4362" s="147" t="s">
        <v>222</v>
      </c>
      <c r="I4362" s="150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40">
        <f t="shared" si="169"/>
        <v>133350</v>
      </c>
      <c r="P4362" s="10">
        <v>1127</v>
      </c>
      <c r="Q4362" s="10" t="s">
        <v>1935</v>
      </c>
      <c r="R4362" s="149">
        <f>+テーブル1[[#This Row],[合計金額]]*テーブル1[[#This Row],[自社報酬率％]]/100</f>
        <v>60007.5</v>
      </c>
    </row>
    <row r="4363" spans="1:18">
      <c r="A4363" s="142">
        <v>45901</v>
      </c>
      <c r="B4363" s="143" t="s">
        <v>43</v>
      </c>
      <c r="C4363" s="80" t="s">
        <v>1962</v>
      </c>
      <c r="D4363" s="145">
        <v>55</v>
      </c>
      <c r="E4363" s="145">
        <v>45</v>
      </c>
      <c r="F4363" s="151" t="s">
        <v>19</v>
      </c>
      <c r="G4363" s="152">
        <v>45962</v>
      </c>
      <c r="H4363" s="147" t="s">
        <v>2936</v>
      </c>
      <c r="I4363" s="150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40">
        <f t="shared" si="169"/>
        <v>133350</v>
      </c>
      <c r="P4363" s="10">
        <v>1128</v>
      </c>
      <c r="Q4363" s="10" t="s">
        <v>1935</v>
      </c>
      <c r="R4363" s="149">
        <f>+テーブル1[[#This Row],[合計金額]]*テーブル1[[#This Row],[自社報酬率％]]/100</f>
        <v>60007.5</v>
      </c>
    </row>
    <row r="4364" spans="1:18">
      <c r="A4364" s="142">
        <v>45901</v>
      </c>
      <c r="B4364" s="143" t="s">
        <v>43</v>
      </c>
      <c r="C4364" s="80" t="s">
        <v>1962</v>
      </c>
      <c r="D4364" s="145">
        <v>55</v>
      </c>
      <c r="E4364" s="145">
        <v>45</v>
      </c>
      <c r="F4364" s="151" t="s">
        <v>19</v>
      </c>
      <c r="G4364" s="152">
        <v>45992</v>
      </c>
      <c r="H4364" s="147" t="s">
        <v>2937</v>
      </c>
      <c r="I4364" s="150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40">
        <f t="shared" si="169"/>
        <v>133350</v>
      </c>
      <c r="P4364" s="10">
        <v>1129</v>
      </c>
      <c r="Q4364" s="10" t="s">
        <v>1928</v>
      </c>
      <c r="R4364" s="149">
        <f>+テーブル1[[#This Row],[合計金額]]*テーブル1[[#This Row],[自社報酬率％]]/100</f>
        <v>60007.5</v>
      </c>
    </row>
    <row r="4365" spans="1:18">
      <c r="A4365" s="142">
        <v>45901</v>
      </c>
      <c r="B4365" s="143" t="s">
        <v>43</v>
      </c>
      <c r="C4365" s="80" t="s">
        <v>1962</v>
      </c>
      <c r="D4365" s="145">
        <v>55</v>
      </c>
      <c r="E4365" s="145">
        <v>45</v>
      </c>
      <c r="F4365" s="151" t="s">
        <v>19</v>
      </c>
      <c r="G4365" s="152">
        <v>46023</v>
      </c>
      <c r="H4365" s="147" t="s">
        <v>2938</v>
      </c>
      <c r="I4365" s="150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40">
        <f t="shared" si="169"/>
        <v>133350</v>
      </c>
      <c r="P4365" s="10">
        <v>1130</v>
      </c>
      <c r="Q4365" s="10" t="s">
        <v>1928</v>
      </c>
      <c r="R4365" s="149">
        <f>+テーブル1[[#This Row],[合計金額]]*テーブル1[[#This Row],[自社報酬率％]]/100</f>
        <v>60007.5</v>
      </c>
    </row>
    <row r="4366" spans="1:18">
      <c r="A4366" s="142">
        <v>45901</v>
      </c>
      <c r="B4366" s="143" t="s">
        <v>43</v>
      </c>
      <c r="C4366" s="80" t="s">
        <v>1962</v>
      </c>
      <c r="D4366" s="145">
        <v>55</v>
      </c>
      <c r="E4366" s="145">
        <v>45</v>
      </c>
      <c r="F4366" s="151" t="s">
        <v>19</v>
      </c>
      <c r="G4366" s="152">
        <v>46054</v>
      </c>
      <c r="H4366" s="147" t="s">
        <v>2939</v>
      </c>
      <c r="I4366" s="150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40">
        <f t="shared" si="169"/>
        <v>133350</v>
      </c>
      <c r="P4366" s="10">
        <v>1131</v>
      </c>
      <c r="Q4366" s="10" t="s">
        <v>1928</v>
      </c>
      <c r="R4366" s="149">
        <f>+テーブル1[[#This Row],[合計金額]]*テーブル1[[#This Row],[自社報酬率％]]/100</f>
        <v>60007.5</v>
      </c>
    </row>
    <row r="4367" spans="1:18">
      <c r="A4367" s="142">
        <v>45901</v>
      </c>
      <c r="B4367" s="143" t="s">
        <v>43</v>
      </c>
      <c r="C4367" s="81" t="s">
        <v>1962</v>
      </c>
      <c r="D4367" s="145">
        <v>55</v>
      </c>
      <c r="E4367" s="145">
        <v>45</v>
      </c>
      <c r="F4367" s="76" t="s">
        <v>19</v>
      </c>
      <c r="G4367" s="86">
        <v>46082</v>
      </c>
      <c r="H4367" s="147" t="s">
        <v>2940</v>
      </c>
      <c r="I4367" s="150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40">
        <f t="shared" si="169"/>
        <v>133350</v>
      </c>
      <c r="P4367" s="10">
        <v>1132</v>
      </c>
      <c r="Q4367" s="10" t="s">
        <v>1928</v>
      </c>
      <c r="R4367" s="149">
        <f>+テーブル1[[#This Row],[合計金額]]*テーブル1[[#This Row],[自社報酬率％]]/100</f>
        <v>60007.5</v>
      </c>
    </row>
    <row r="4368" spans="1:18">
      <c r="A4368" s="142">
        <v>45901</v>
      </c>
      <c r="B4368" s="143" t="s">
        <v>43</v>
      </c>
      <c r="C4368" s="79" t="s">
        <v>1962</v>
      </c>
      <c r="D4368" s="145">
        <v>55</v>
      </c>
      <c r="E4368" s="145">
        <v>45</v>
      </c>
      <c r="F4368" s="72" t="s">
        <v>19</v>
      </c>
      <c r="G4368" s="85">
        <v>45931</v>
      </c>
      <c r="H4368" s="147" t="s">
        <v>2941</v>
      </c>
      <c r="I4368" s="150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40">
        <f t="shared" si="169"/>
        <v>57150</v>
      </c>
      <c r="P4368" s="10">
        <v>1133</v>
      </c>
      <c r="Q4368" s="10" t="s">
        <v>1935</v>
      </c>
      <c r="R4368" s="149">
        <f>+テーブル1[[#This Row],[合計金額]]*テーブル1[[#This Row],[自社報酬率％]]/100</f>
        <v>25717.5</v>
      </c>
    </row>
    <row r="4369" spans="1:18">
      <c r="A4369" s="142">
        <v>45901</v>
      </c>
      <c r="B4369" s="143" t="s">
        <v>43</v>
      </c>
      <c r="C4369" s="80" t="s">
        <v>1962</v>
      </c>
      <c r="D4369" s="145">
        <v>55</v>
      </c>
      <c r="E4369" s="145">
        <v>45</v>
      </c>
      <c r="F4369" s="151" t="s">
        <v>19</v>
      </c>
      <c r="G4369" s="152">
        <v>45962</v>
      </c>
      <c r="H4369" s="147" t="s">
        <v>2942</v>
      </c>
      <c r="I4369" s="150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40">
        <f t="shared" si="169"/>
        <v>57150</v>
      </c>
      <c r="P4369" s="10">
        <v>1134</v>
      </c>
      <c r="Q4369" s="10" t="s">
        <v>1935</v>
      </c>
      <c r="R4369" s="149">
        <f>+テーブル1[[#This Row],[合計金額]]*テーブル1[[#This Row],[自社報酬率％]]/100</f>
        <v>25717.5</v>
      </c>
    </row>
    <row r="4370" spans="1:18">
      <c r="A4370" s="142">
        <v>45901</v>
      </c>
      <c r="B4370" s="143" t="s">
        <v>43</v>
      </c>
      <c r="C4370" s="80" t="s">
        <v>1962</v>
      </c>
      <c r="D4370" s="145">
        <v>55</v>
      </c>
      <c r="E4370" s="145">
        <v>45</v>
      </c>
      <c r="F4370" s="151" t="s">
        <v>19</v>
      </c>
      <c r="G4370" s="152">
        <v>45992</v>
      </c>
      <c r="H4370" s="147" t="s">
        <v>2943</v>
      </c>
      <c r="I4370" s="150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40">
        <f t="shared" si="169"/>
        <v>57150</v>
      </c>
      <c r="P4370" s="10">
        <v>1135</v>
      </c>
      <c r="Q4370" s="10" t="s">
        <v>1928</v>
      </c>
      <c r="R4370" s="149">
        <f>+テーブル1[[#This Row],[合計金額]]*テーブル1[[#This Row],[自社報酬率％]]/100</f>
        <v>25717.5</v>
      </c>
    </row>
    <row r="4371" spans="1:18">
      <c r="A4371" s="142">
        <v>45901</v>
      </c>
      <c r="B4371" s="143" t="s">
        <v>43</v>
      </c>
      <c r="C4371" s="80" t="s">
        <v>1962</v>
      </c>
      <c r="D4371" s="145">
        <v>55</v>
      </c>
      <c r="E4371" s="145">
        <v>45</v>
      </c>
      <c r="F4371" s="151" t="s">
        <v>19</v>
      </c>
      <c r="G4371" s="152">
        <v>46023</v>
      </c>
      <c r="H4371" s="147" t="s">
        <v>2944</v>
      </c>
      <c r="I4371" s="150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40">
        <f t="shared" si="169"/>
        <v>57150</v>
      </c>
      <c r="P4371" s="10">
        <v>1136</v>
      </c>
      <c r="Q4371" s="10" t="s">
        <v>1928</v>
      </c>
      <c r="R4371" s="149">
        <f>+テーブル1[[#This Row],[合計金額]]*テーブル1[[#This Row],[自社報酬率％]]/100</f>
        <v>25717.5</v>
      </c>
    </row>
    <row r="4372" spans="1:18">
      <c r="A4372" s="142">
        <v>45901</v>
      </c>
      <c r="B4372" s="143" t="s">
        <v>43</v>
      </c>
      <c r="C4372" s="80" t="s">
        <v>1962</v>
      </c>
      <c r="D4372" s="145">
        <v>55</v>
      </c>
      <c r="E4372" s="145">
        <v>45</v>
      </c>
      <c r="F4372" s="151" t="s">
        <v>19</v>
      </c>
      <c r="G4372" s="152">
        <v>46054</v>
      </c>
      <c r="H4372" s="147" t="s">
        <v>2945</v>
      </c>
      <c r="I4372" s="150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40">
        <f t="shared" ref="O4372:O4387" si="171">+I4372*N4372</f>
        <v>57150</v>
      </c>
      <c r="P4372" s="10">
        <v>1137</v>
      </c>
      <c r="Q4372" s="10" t="s">
        <v>1928</v>
      </c>
      <c r="R4372" s="149">
        <f>+テーブル1[[#This Row],[合計金額]]*テーブル1[[#This Row],[自社報酬率％]]/100</f>
        <v>25717.5</v>
      </c>
    </row>
    <row r="4373" spans="1:18">
      <c r="A4373" s="142">
        <v>45901</v>
      </c>
      <c r="B4373" s="143" t="s">
        <v>43</v>
      </c>
      <c r="C4373" s="81" t="s">
        <v>1962</v>
      </c>
      <c r="D4373" s="145">
        <v>55</v>
      </c>
      <c r="E4373" s="145">
        <v>45</v>
      </c>
      <c r="F4373" s="76" t="s">
        <v>19</v>
      </c>
      <c r="G4373" s="86">
        <v>46082</v>
      </c>
      <c r="H4373" s="147" t="s">
        <v>2946</v>
      </c>
      <c r="I4373" s="150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40">
        <f t="shared" si="171"/>
        <v>57150</v>
      </c>
      <c r="P4373" s="10">
        <v>1138</v>
      </c>
      <c r="Q4373" s="10" t="s">
        <v>1928</v>
      </c>
      <c r="R4373" s="149">
        <f>+テーブル1[[#This Row],[合計金額]]*テーブル1[[#This Row],[自社報酬率％]]/100</f>
        <v>25717.5</v>
      </c>
    </row>
    <row r="4374" spans="1:18">
      <c r="A4374" s="142">
        <v>45901</v>
      </c>
      <c r="B4374" s="143" t="s">
        <v>43</v>
      </c>
      <c r="C4374" s="151" t="s">
        <v>1962</v>
      </c>
      <c r="D4374" s="145">
        <v>55</v>
      </c>
      <c r="E4374" s="145">
        <v>45</v>
      </c>
      <c r="F4374" s="151" t="s">
        <v>16</v>
      </c>
      <c r="G4374" s="152">
        <v>45931</v>
      </c>
      <c r="H4374" s="147" t="s">
        <v>2947</v>
      </c>
      <c r="I4374" s="150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40">
        <f t="shared" si="171"/>
        <v>440370</v>
      </c>
      <c r="P4374" s="10">
        <v>1139</v>
      </c>
      <c r="Q4374" s="10" t="s">
        <v>1935</v>
      </c>
      <c r="R4374" s="149">
        <f>+テーブル1[[#This Row],[合計金額]]*テーブル1[[#This Row],[自社報酬率％]]/100</f>
        <v>198166.5</v>
      </c>
    </row>
    <row r="4375" spans="1:18">
      <c r="A4375" s="142">
        <v>45901</v>
      </c>
      <c r="B4375" s="143" t="s">
        <v>43</v>
      </c>
      <c r="C4375" s="151" t="s">
        <v>1962</v>
      </c>
      <c r="D4375" s="145">
        <v>55</v>
      </c>
      <c r="E4375" s="145">
        <v>45</v>
      </c>
      <c r="F4375" s="151" t="s">
        <v>16</v>
      </c>
      <c r="G4375" s="152">
        <v>45931</v>
      </c>
      <c r="H4375" s="147" t="s">
        <v>2948</v>
      </c>
      <c r="I4375" s="150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40">
        <f t="shared" si="171"/>
        <v>115335</v>
      </c>
      <c r="P4375" s="10">
        <v>1140</v>
      </c>
      <c r="Q4375" s="10" t="s">
        <v>1935</v>
      </c>
      <c r="R4375" s="149">
        <f>+テーブル1[[#This Row],[合計金額]]*テーブル1[[#This Row],[自社報酬率％]]/100</f>
        <v>51900.75</v>
      </c>
    </row>
    <row r="4376" spans="1:18">
      <c r="A4376" s="142">
        <v>45901</v>
      </c>
      <c r="B4376" s="143" t="s">
        <v>43</v>
      </c>
      <c r="C4376" s="151" t="s">
        <v>1962</v>
      </c>
      <c r="D4376" s="145">
        <v>55</v>
      </c>
      <c r="E4376" s="145">
        <v>45</v>
      </c>
      <c r="F4376" s="151" t="s">
        <v>16</v>
      </c>
      <c r="G4376" s="152">
        <v>45931</v>
      </c>
      <c r="H4376" s="147" t="s">
        <v>2949</v>
      </c>
      <c r="I4376" s="150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40">
        <f t="shared" si="171"/>
        <v>1237230</v>
      </c>
      <c r="P4376" s="10">
        <v>1141</v>
      </c>
      <c r="Q4376" s="10" t="s">
        <v>1935</v>
      </c>
      <c r="R4376" s="149">
        <f>+テーブル1[[#This Row],[合計金額]]*テーブル1[[#This Row],[自社報酬率％]]/100</f>
        <v>556753.5</v>
      </c>
    </row>
    <row r="4377" spans="1:18">
      <c r="A4377" s="142">
        <v>45901</v>
      </c>
      <c r="B4377" s="143" t="s">
        <v>43</v>
      </c>
      <c r="C4377" s="151" t="s">
        <v>1962</v>
      </c>
      <c r="D4377" s="145">
        <v>55</v>
      </c>
      <c r="E4377" s="145">
        <v>45</v>
      </c>
      <c r="F4377" s="151" t="s">
        <v>16</v>
      </c>
      <c r="G4377" s="152">
        <v>45931</v>
      </c>
      <c r="H4377" s="147" t="s">
        <v>2950</v>
      </c>
      <c r="I4377" s="150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40">
        <f t="shared" si="171"/>
        <v>20970</v>
      </c>
      <c r="P4377" s="10">
        <v>1142</v>
      </c>
      <c r="Q4377" s="10" t="s">
        <v>1935</v>
      </c>
      <c r="R4377" s="149">
        <f>+テーブル1[[#This Row],[合計金額]]*テーブル1[[#This Row],[自社報酬率％]]/100</f>
        <v>9436.5</v>
      </c>
    </row>
    <row r="4378" spans="1:18">
      <c r="A4378" s="142">
        <v>45901</v>
      </c>
      <c r="B4378" s="143" t="s">
        <v>43</v>
      </c>
      <c r="C4378" s="151" t="s">
        <v>1962</v>
      </c>
      <c r="D4378" s="145">
        <v>55</v>
      </c>
      <c r="E4378" s="145">
        <v>45</v>
      </c>
      <c r="F4378" s="151" t="s">
        <v>16</v>
      </c>
      <c r="G4378" s="152">
        <v>45931</v>
      </c>
      <c r="H4378" s="147" t="s">
        <v>2951</v>
      </c>
      <c r="I4378" s="150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40">
        <f t="shared" si="171"/>
        <v>41940</v>
      </c>
      <c r="P4378" s="10">
        <v>1143</v>
      </c>
      <c r="Q4378" s="10" t="s">
        <v>1935</v>
      </c>
      <c r="R4378" s="149">
        <f>+テーブル1[[#This Row],[合計金額]]*テーブル1[[#This Row],[自社報酬率％]]/100</f>
        <v>18873</v>
      </c>
    </row>
    <row r="4379" spans="1:18">
      <c r="A4379" s="142">
        <v>45901</v>
      </c>
      <c r="B4379" s="143" t="s">
        <v>43</v>
      </c>
      <c r="C4379" s="151" t="s">
        <v>2023</v>
      </c>
      <c r="D4379" s="145">
        <v>50</v>
      </c>
      <c r="E4379" s="145">
        <v>50</v>
      </c>
      <c r="F4379" s="151" t="s">
        <v>16</v>
      </c>
      <c r="G4379" s="152">
        <v>45931</v>
      </c>
      <c r="H4379" s="147" t="s">
        <v>2952</v>
      </c>
      <c r="I4379" s="150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40">
        <f t="shared" si="171"/>
        <v>63000</v>
      </c>
      <c r="P4379" s="10">
        <v>1144</v>
      </c>
      <c r="Q4379" s="10" t="s">
        <v>1935</v>
      </c>
      <c r="R4379" s="149">
        <f>+テーブル1[[#This Row],[合計金額]]*テーブル1[[#This Row],[自社報酬率％]]/100</f>
        <v>31500</v>
      </c>
    </row>
    <row r="4380" spans="1:18">
      <c r="A4380" s="142">
        <v>45901</v>
      </c>
      <c r="B4380" s="143" t="s">
        <v>43</v>
      </c>
      <c r="C4380" s="144" t="s">
        <v>2212</v>
      </c>
      <c r="D4380" s="145">
        <v>10</v>
      </c>
      <c r="E4380" s="145">
        <v>90</v>
      </c>
      <c r="F4380" s="144" t="s">
        <v>29</v>
      </c>
      <c r="G4380" s="146">
        <v>45901</v>
      </c>
      <c r="H4380" s="147" t="s">
        <v>2953</v>
      </c>
      <c r="I4380" s="150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40">
        <f t="shared" si="171"/>
        <v>186200</v>
      </c>
      <c r="P4380" s="10">
        <v>1145</v>
      </c>
      <c r="Q4380" s="10" t="s">
        <v>1935</v>
      </c>
      <c r="R4380" s="149">
        <f>+テーブル1[[#This Row],[合計金額]]*テーブル1[[#This Row],[自社報酬率％]]/100</f>
        <v>167580</v>
      </c>
    </row>
    <row r="4381" spans="1:18">
      <c r="A4381" s="142">
        <v>45901</v>
      </c>
      <c r="B4381" s="143" t="s">
        <v>43</v>
      </c>
      <c r="C4381" s="82" t="s">
        <v>2212</v>
      </c>
      <c r="D4381" s="145">
        <v>10</v>
      </c>
      <c r="E4381" s="145">
        <v>90</v>
      </c>
      <c r="F4381" s="82" t="s">
        <v>20</v>
      </c>
      <c r="G4381" s="87">
        <v>45901</v>
      </c>
      <c r="H4381" s="147" t="s">
        <v>2954</v>
      </c>
      <c r="I4381" s="150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40">
        <f t="shared" si="171"/>
        <v>504900</v>
      </c>
      <c r="P4381" s="10">
        <v>1146</v>
      </c>
      <c r="Q4381" s="10" t="s">
        <v>1935</v>
      </c>
      <c r="R4381" s="149">
        <f>+テーブル1[[#This Row],[合計金額]]*テーブル1[[#This Row],[自社報酬率％]]/100</f>
        <v>454410</v>
      </c>
    </row>
    <row r="4382" spans="1:18">
      <c r="A4382" s="142">
        <v>45901</v>
      </c>
      <c r="B4382" s="143" t="s">
        <v>46</v>
      </c>
      <c r="C4382" s="71" t="s">
        <v>24</v>
      </c>
      <c r="D4382" s="145">
        <v>100</v>
      </c>
      <c r="E4382" s="145">
        <v>100</v>
      </c>
      <c r="F4382" s="144" t="s">
        <v>17</v>
      </c>
      <c r="G4382" s="146">
        <v>45901</v>
      </c>
      <c r="H4382" s="147" t="s">
        <v>1930</v>
      </c>
      <c r="I4382" s="150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40">
        <f t="shared" si="171"/>
        <v>359700</v>
      </c>
      <c r="P4382" s="10">
        <v>1147</v>
      </c>
      <c r="Q4382" s="10" t="s">
        <v>1935</v>
      </c>
      <c r="R4382" s="149">
        <f>+テーブル1[[#This Row],[合計金額]]*テーブル1[[#This Row],[自社報酬率％]]/100</f>
        <v>359700</v>
      </c>
    </row>
    <row r="4383" spans="1:18">
      <c r="A4383" s="142">
        <v>45901</v>
      </c>
      <c r="B4383" s="143" t="s">
        <v>46</v>
      </c>
      <c r="C4383" s="71" t="s">
        <v>24</v>
      </c>
      <c r="D4383" s="145">
        <v>100</v>
      </c>
      <c r="E4383" s="145">
        <v>100</v>
      </c>
      <c r="F4383" s="82" t="s">
        <v>20</v>
      </c>
      <c r="G4383" s="87">
        <v>45901</v>
      </c>
      <c r="H4383" s="147" t="s">
        <v>2782</v>
      </c>
      <c r="I4383" s="150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40">
        <f t="shared" si="171"/>
        <v>0</v>
      </c>
      <c r="P4383" s="10">
        <v>1148</v>
      </c>
      <c r="Q4383" s="10" t="s">
        <v>1935</v>
      </c>
      <c r="R4383" s="149">
        <f>+テーブル1[[#This Row],[合計金額]]*テーブル1[[#This Row],[自社報酬率％]]/100</f>
        <v>0</v>
      </c>
    </row>
    <row r="4384" spans="1:18">
      <c r="A4384" s="142">
        <v>45901</v>
      </c>
      <c r="B4384" s="143" t="s">
        <v>46</v>
      </c>
      <c r="C4384" s="79" t="s">
        <v>1962</v>
      </c>
      <c r="D4384" s="145">
        <v>50</v>
      </c>
      <c r="E4384" s="145">
        <v>50</v>
      </c>
      <c r="F4384" s="72" t="s">
        <v>18</v>
      </c>
      <c r="G4384" s="85">
        <v>45931</v>
      </c>
      <c r="H4384" s="147" t="s">
        <v>2955</v>
      </c>
      <c r="I4384" s="150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40">
        <f t="shared" si="171"/>
        <v>14500</v>
      </c>
      <c r="P4384" s="10">
        <v>1149</v>
      </c>
      <c r="Q4384" s="10" t="s">
        <v>1935</v>
      </c>
      <c r="R4384" s="149">
        <f>+テーブル1[[#This Row],[合計金額]]*テーブル1[[#This Row],[自社報酬率％]]/100</f>
        <v>7250</v>
      </c>
    </row>
    <row r="4385" spans="1:18">
      <c r="A4385" s="142">
        <v>45901</v>
      </c>
      <c r="B4385" s="143" t="s">
        <v>46</v>
      </c>
      <c r="C4385" s="80" t="s">
        <v>1962</v>
      </c>
      <c r="D4385" s="145">
        <v>50</v>
      </c>
      <c r="E4385" s="145">
        <v>50</v>
      </c>
      <c r="F4385" s="151" t="s">
        <v>18</v>
      </c>
      <c r="G4385" s="152">
        <v>45962</v>
      </c>
      <c r="H4385" s="147" t="s">
        <v>2956</v>
      </c>
      <c r="I4385" s="150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40">
        <f t="shared" si="171"/>
        <v>14500</v>
      </c>
      <c r="P4385" s="10">
        <v>1150</v>
      </c>
      <c r="Q4385" s="10" t="s">
        <v>1935</v>
      </c>
      <c r="R4385" s="149">
        <f>+テーブル1[[#This Row],[合計金額]]*テーブル1[[#This Row],[自社報酬率％]]/100</f>
        <v>7250</v>
      </c>
    </row>
    <row r="4386" spans="1:18">
      <c r="A4386" s="142">
        <v>45901</v>
      </c>
      <c r="B4386" s="143" t="s">
        <v>46</v>
      </c>
      <c r="C4386" s="81" t="s">
        <v>1962</v>
      </c>
      <c r="D4386" s="145">
        <v>50</v>
      </c>
      <c r="E4386" s="145">
        <v>50</v>
      </c>
      <c r="F4386" s="76" t="s">
        <v>18</v>
      </c>
      <c r="G4386" s="86">
        <v>45992</v>
      </c>
      <c r="H4386" s="147" t="s">
        <v>2957</v>
      </c>
      <c r="I4386" s="150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40">
        <f t="shared" si="171"/>
        <v>14500</v>
      </c>
      <c r="P4386" s="10">
        <v>1151</v>
      </c>
      <c r="Q4386" s="10" t="s">
        <v>1928</v>
      </c>
      <c r="R4386" s="149">
        <f>+テーブル1[[#This Row],[合計金額]]*テーブル1[[#This Row],[自社報酬率％]]/100</f>
        <v>7250</v>
      </c>
    </row>
    <row r="4387" spans="1:18">
      <c r="A4387" s="142">
        <v>45901</v>
      </c>
      <c r="B4387" s="143" t="s">
        <v>46</v>
      </c>
      <c r="C4387" s="144" t="s">
        <v>1962</v>
      </c>
      <c r="D4387" s="145">
        <v>50</v>
      </c>
      <c r="E4387" s="145">
        <v>50</v>
      </c>
      <c r="F4387" s="144" t="s">
        <v>19</v>
      </c>
      <c r="G4387" s="146">
        <v>45901</v>
      </c>
      <c r="H4387" s="147" t="s">
        <v>1975</v>
      </c>
      <c r="I4387" s="150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40">
        <f t="shared" si="171"/>
        <v>864600</v>
      </c>
      <c r="P4387" s="10">
        <v>1152</v>
      </c>
      <c r="Q4387" s="10" t="s">
        <v>1935</v>
      </c>
      <c r="R4387" s="149">
        <f>+テーブル1[[#This Row],[合計金額]]*テーブル1[[#This Row],[自社報酬率％]]/100</f>
        <v>432300</v>
      </c>
    </row>
    <row r="4388" spans="1:18">
      <c r="A4388" s="142">
        <v>45901</v>
      </c>
      <c r="B4388" s="143" t="s">
        <v>46</v>
      </c>
      <c r="C4388" s="151" t="s">
        <v>1962</v>
      </c>
      <c r="D4388" s="145">
        <v>50</v>
      </c>
      <c r="E4388" s="145">
        <v>50</v>
      </c>
      <c r="F4388" s="151" t="s">
        <v>20</v>
      </c>
      <c r="G4388" s="152">
        <v>45931</v>
      </c>
      <c r="H4388" s="147" t="s">
        <v>2916</v>
      </c>
      <c r="I4388" s="150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1">
        <f>+I4388*N4388-5700</f>
        <v>229500</v>
      </c>
      <c r="P4388" s="10">
        <v>1153</v>
      </c>
      <c r="Q4388" s="10" t="s">
        <v>1935</v>
      </c>
      <c r="R4388" s="149">
        <f>+テーブル1[[#This Row],[合計金額]]*テーブル1[[#This Row],[自社報酬率％]]/100</f>
        <v>114750</v>
      </c>
    </row>
    <row r="4389" spans="1:18">
      <c r="A4389" s="142">
        <v>45901</v>
      </c>
      <c r="B4389" s="143" t="s">
        <v>46</v>
      </c>
      <c r="C4389" s="144" t="s">
        <v>1962</v>
      </c>
      <c r="D4389" s="145">
        <v>50</v>
      </c>
      <c r="E4389" s="145">
        <v>50</v>
      </c>
      <c r="F4389" s="144" t="s">
        <v>20</v>
      </c>
      <c r="G4389" s="146">
        <v>45901</v>
      </c>
      <c r="H4389" s="147" t="s">
        <v>2541</v>
      </c>
      <c r="I4389" s="150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40">
        <f t="shared" ref="O4389:O4410" si="172">+I4389*N4389</f>
        <v>97800</v>
      </c>
      <c r="P4389" s="10">
        <v>1154</v>
      </c>
      <c r="Q4389" s="10" t="s">
        <v>1935</v>
      </c>
      <c r="R4389" s="149">
        <f>+テーブル1[[#This Row],[合計金額]]*テーブル1[[#This Row],[自社報酬率％]]/100</f>
        <v>48900</v>
      </c>
    </row>
    <row r="4390" spans="1:18">
      <c r="A4390" s="142">
        <v>45901</v>
      </c>
      <c r="B4390" s="143" t="s">
        <v>46</v>
      </c>
      <c r="C4390" s="79" t="s">
        <v>1962</v>
      </c>
      <c r="D4390" s="145">
        <v>55</v>
      </c>
      <c r="E4390" s="145">
        <v>45</v>
      </c>
      <c r="F4390" s="72" t="s">
        <v>18</v>
      </c>
      <c r="G4390" s="85">
        <v>45931</v>
      </c>
      <c r="H4390" s="147" t="s">
        <v>2958</v>
      </c>
      <c r="I4390" s="150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40">
        <f t="shared" si="172"/>
        <v>39600</v>
      </c>
      <c r="P4390" s="10">
        <v>1155</v>
      </c>
      <c r="Q4390" s="10" t="s">
        <v>1935</v>
      </c>
      <c r="R4390" s="149">
        <f>+テーブル1[[#This Row],[合計金額]]*テーブル1[[#This Row],[自社報酬率％]]/100</f>
        <v>17820</v>
      </c>
    </row>
    <row r="4391" spans="1:18">
      <c r="A4391" s="142">
        <v>45901</v>
      </c>
      <c r="B4391" s="143" t="s">
        <v>46</v>
      </c>
      <c r="C4391" s="80" t="s">
        <v>1962</v>
      </c>
      <c r="D4391" s="145">
        <v>55</v>
      </c>
      <c r="E4391" s="145">
        <v>45</v>
      </c>
      <c r="F4391" s="151" t="s">
        <v>18</v>
      </c>
      <c r="G4391" s="152">
        <v>45962</v>
      </c>
      <c r="H4391" s="147" t="s">
        <v>2959</v>
      </c>
      <c r="I4391" s="150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40">
        <f t="shared" si="172"/>
        <v>39600</v>
      </c>
      <c r="P4391" s="10">
        <v>1156</v>
      </c>
      <c r="Q4391" s="10" t="s">
        <v>1935</v>
      </c>
      <c r="R4391" s="149">
        <f>+テーブル1[[#This Row],[合計金額]]*テーブル1[[#This Row],[自社報酬率％]]/100</f>
        <v>17820</v>
      </c>
    </row>
    <row r="4392" spans="1:18">
      <c r="A4392" s="142">
        <v>45901</v>
      </c>
      <c r="B4392" s="143" t="s">
        <v>46</v>
      </c>
      <c r="C4392" s="81" t="s">
        <v>1962</v>
      </c>
      <c r="D4392" s="145">
        <v>55</v>
      </c>
      <c r="E4392" s="145">
        <v>45</v>
      </c>
      <c r="F4392" s="76" t="s">
        <v>18</v>
      </c>
      <c r="G4392" s="86">
        <v>45992</v>
      </c>
      <c r="H4392" s="147" t="s">
        <v>2960</v>
      </c>
      <c r="I4392" s="150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40">
        <f t="shared" si="172"/>
        <v>39600</v>
      </c>
      <c r="P4392" s="10">
        <v>1157</v>
      </c>
      <c r="Q4392" s="10" t="s">
        <v>1928</v>
      </c>
      <c r="R4392" s="149">
        <f>+テーブル1[[#This Row],[合計金額]]*テーブル1[[#This Row],[自社報酬率％]]/100</f>
        <v>17820</v>
      </c>
    </row>
    <row r="4393" spans="1:18">
      <c r="A4393" s="142">
        <v>45901</v>
      </c>
      <c r="B4393" s="143" t="s">
        <v>46</v>
      </c>
      <c r="C4393" s="79" t="s">
        <v>1962</v>
      </c>
      <c r="D4393" s="145">
        <v>55</v>
      </c>
      <c r="E4393" s="145">
        <v>45</v>
      </c>
      <c r="F4393" s="72" t="s">
        <v>19</v>
      </c>
      <c r="G4393" s="85">
        <v>45931</v>
      </c>
      <c r="H4393" s="147" t="s">
        <v>2961</v>
      </c>
      <c r="I4393" s="150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40">
        <f t="shared" si="172"/>
        <v>19050</v>
      </c>
      <c r="P4393" s="10">
        <v>1158</v>
      </c>
      <c r="Q4393" s="10" t="s">
        <v>1935</v>
      </c>
      <c r="R4393" s="149">
        <f>+テーブル1[[#This Row],[合計金額]]*テーブル1[[#This Row],[自社報酬率％]]/100</f>
        <v>8572.5</v>
      </c>
    </row>
    <row r="4394" spans="1:18">
      <c r="A4394" s="142">
        <v>45901</v>
      </c>
      <c r="B4394" s="143" t="s">
        <v>46</v>
      </c>
      <c r="C4394" s="80" t="s">
        <v>1962</v>
      </c>
      <c r="D4394" s="145">
        <v>55</v>
      </c>
      <c r="E4394" s="145">
        <v>45</v>
      </c>
      <c r="F4394" s="151" t="s">
        <v>19</v>
      </c>
      <c r="G4394" s="152">
        <v>45962</v>
      </c>
      <c r="H4394" s="147" t="s">
        <v>2962</v>
      </c>
      <c r="I4394" s="150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40">
        <f t="shared" si="172"/>
        <v>19050</v>
      </c>
      <c r="P4394" s="10">
        <v>1159</v>
      </c>
      <c r="Q4394" s="10" t="s">
        <v>1935</v>
      </c>
      <c r="R4394" s="149">
        <f>+テーブル1[[#This Row],[合計金額]]*テーブル1[[#This Row],[自社報酬率％]]/100</f>
        <v>8572.5</v>
      </c>
    </row>
    <row r="4395" spans="1:18">
      <c r="A4395" s="142">
        <v>45901</v>
      </c>
      <c r="B4395" s="143" t="s">
        <v>46</v>
      </c>
      <c r="C4395" s="80" t="s">
        <v>1962</v>
      </c>
      <c r="D4395" s="145">
        <v>55</v>
      </c>
      <c r="E4395" s="145">
        <v>45</v>
      </c>
      <c r="F4395" s="151" t="s">
        <v>19</v>
      </c>
      <c r="G4395" s="152">
        <v>45992</v>
      </c>
      <c r="H4395" s="147" t="s">
        <v>2963</v>
      </c>
      <c r="I4395" s="150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40">
        <f t="shared" si="172"/>
        <v>19050</v>
      </c>
      <c r="P4395" s="10">
        <v>1160</v>
      </c>
      <c r="Q4395" s="10" t="s">
        <v>1928</v>
      </c>
      <c r="R4395" s="149">
        <f>+テーブル1[[#This Row],[合計金額]]*テーブル1[[#This Row],[自社報酬率％]]/100</f>
        <v>8572.5</v>
      </c>
    </row>
    <row r="4396" spans="1:18">
      <c r="A4396" s="142">
        <v>45901</v>
      </c>
      <c r="B4396" s="143" t="s">
        <v>46</v>
      </c>
      <c r="C4396" s="80" t="s">
        <v>1962</v>
      </c>
      <c r="D4396" s="145">
        <v>55</v>
      </c>
      <c r="E4396" s="145">
        <v>45</v>
      </c>
      <c r="F4396" s="151" t="s">
        <v>19</v>
      </c>
      <c r="G4396" s="152">
        <v>46023</v>
      </c>
      <c r="H4396" s="147" t="s">
        <v>2964</v>
      </c>
      <c r="I4396" s="150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40">
        <f t="shared" si="172"/>
        <v>19050</v>
      </c>
      <c r="P4396" s="10">
        <v>1161</v>
      </c>
      <c r="Q4396" s="10" t="s">
        <v>1928</v>
      </c>
      <c r="R4396" s="149">
        <f>+テーブル1[[#This Row],[合計金額]]*テーブル1[[#This Row],[自社報酬率％]]/100</f>
        <v>8572.5</v>
      </c>
    </row>
    <row r="4397" spans="1:18">
      <c r="A4397" s="142">
        <v>45901</v>
      </c>
      <c r="B4397" s="143" t="s">
        <v>46</v>
      </c>
      <c r="C4397" s="80" t="s">
        <v>1962</v>
      </c>
      <c r="D4397" s="145">
        <v>55</v>
      </c>
      <c r="E4397" s="145">
        <v>45</v>
      </c>
      <c r="F4397" s="151" t="s">
        <v>19</v>
      </c>
      <c r="G4397" s="152">
        <v>46054</v>
      </c>
      <c r="H4397" s="147" t="s">
        <v>2965</v>
      </c>
      <c r="I4397" s="150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40">
        <f t="shared" si="172"/>
        <v>19050</v>
      </c>
      <c r="P4397" s="10">
        <v>1162</v>
      </c>
      <c r="Q4397" s="10" t="s">
        <v>1928</v>
      </c>
      <c r="R4397" s="149">
        <f>+テーブル1[[#This Row],[合計金額]]*テーブル1[[#This Row],[自社報酬率％]]/100</f>
        <v>8572.5</v>
      </c>
    </row>
    <row r="4398" spans="1:18">
      <c r="A4398" s="142">
        <v>45901</v>
      </c>
      <c r="B4398" s="143" t="s">
        <v>46</v>
      </c>
      <c r="C4398" s="81" t="s">
        <v>1962</v>
      </c>
      <c r="D4398" s="145">
        <v>55</v>
      </c>
      <c r="E4398" s="145">
        <v>45</v>
      </c>
      <c r="F4398" s="76" t="s">
        <v>19</v>
      </c>
      <c r="G4398" s="86">
        <v>46082</v>
      </c>
      <c r="H4398" s="147" t="s">
        <v>2966</v>
      </c>
      <c r="I4398" s="150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40">
        <f t="shared" si="172"/>
        <v>19050</v>
      </c>
      <c r="P4398" s="10">
        <v>1163</v>
      </c>
      <c r="Q4398" s="10" t="s">
        <v>1928</v>
      </c>
      <c r="R4398" s="149">
        <f>+テーブル1[[#This Row],[合計金額]]*テーブル1[[#This Row],[自社報酬率％]]/100</f>
        <v>8572.5</v>
      </c>
    </row>
    <row r="4399" spans="1:18">
      <c r="A4399" s="142">
        <v>45901</v>
      </c>
      <c r="B4399" s="143" t="s">
        <v>46</v>
      </c>
      <c r="C4399" s="144" t="s">
        <v>2212</v>
      </c>
      <c r="D4399" s="145">
        <v>10</v>
      </c>
      <c r="E4399" s="145">
        <v>90</v>
      </c>
      <c r="F4399" s="144" t="s">
        <v>29</v>
      </c>
      <c r="G4399" s="146">
        <v>45901</v>
      </c>
      <c r="H4399" s="147" t="s">
        <v>2953</v>
      </c>
      <c r="I4399" s="150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40">
        <f t="shared" si="172"/>
        <v>58800</v>
      </c>
      <c r="P4399" s="10">
        <v>1164</v>
      </c>
      <c r="Q4399" s="10" t="s">
        <v>1935</v>
      </c>
      <c r="R4399" s="149">
        <f>+テーブル1[[#This Row],[合計金額]]*テーブル1[[#This Row],[自社報酬率％]]/100</f>
        <v>52920</v>
      </c>
    </row>
    <row r="4400" spans="1:18">
      <c r="A4400" s="142">
        <v>45901</v>
      </c>
      <c r="B4400" s="143" t="s">
        <v>46</v>
      </c>
      <c r="C4400" s="82" t="s">
        <v>2212</v>
      </c>
      <c r="D4400" s="145">
        <v>10</v>
      </c>
      <c r="E4400" s="145">
        <v>90</v>
      </c>
      <c r="F4400" s="82" t="s">
        <v>20</v>
      </c>
      <c r="G4400" s="87">
        <v>45901</v>
      </c>
      <c r="H4400" s="147" t="s">
        <v>2954</v>
      </c>
      <c r="I4400" s="150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40">
        <f t="shared" si="172"/>
        <v>118800</v>
      </c>
      <c r="P4400" s="10">
        <v>1165</v>
      </c>
      <c r="Q4400" s="10" t="s">
        <v>1935</v>
      </c>
      <c r="R4400" s="149">
        <f>+テーブル1[[#This Row],[合計金額]]*テーブル1[[#This Row],[自社報酬率％]]/100</f>
        <v>106920</v>
      </c>
    </row>
    <row r="4401" spans="1:18">
      <c r="A4401" s="142">
        <v>45901</v>
      </c>
      <c r="B4401" s="143" t="s">
        <v>43</v>
      </c>
      <c r="C4401" s="151" t="s">
        <v>2043</v>
      </c>
      <c r="D4401" s="145">
        <v>60</v>
      </c>
      <c r="E4401" s="145">
        <v>40</v>
      </c>
      <c r="F4401" s="151" t="s">
        <v>16</v>
      </c>
      <c r="G4401" s="152">
        <v>45931</v>
      </c>
      <c r="H4401" s="147" t="s">
        <v>2967</v>
      </c>
      <c r="I4401" s="150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40">
        <f t="shared" si="172"/>
        <v>43120</v>
      </c>
      <c r="P4401" s="10">
        <v>1166</v>
      </c>
      <c r="Q4401" s="10" t="s">
        <v>1935</v>
      </c>
      <c r="R4401" s="149">
        <f>+テーブル1[[#This Row],[合計金額]]*テーブル1[[#This Row],[自社報酬率％]]/100</f>
        <v>17248</v>
      </c>
    </row>
    <row r="4402" spans="1:18">
      <c r="A4402" s="142">
        <v>45901</v>
      </c>
      <c r="B4402" s="143" t="s">
        <v>43</v>
      </c>
      <c r="C4402" s="151" t="s">
        <v>2045</v>
      </c>
      <c r="D4402" s="145">
        <v>40</v>
      </c>
      <c r="E4402" s="145">
        <v>60</v>
      </c>
      <c r="F4402" s="151" t="s">
        <v>16</v>
      </c>
      <c r="G4402" s="152">
        <v>45931</v>
      </c>
      <c r="H4402" s="147" t="s">
        <v>2968</v>
      </c>
      <c r="I4402" s="150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40">
        <f t="shared" si="172"/>
        <v>49500</v>
      </c>
      <c r="P4402" s="10">
        <v>1167</v>
      </c>
      <c r="Q4402" s="10" t="s">
        <v>1935</v>
      </c>
      <c r="R4402" s="149">
        <f>+テーブル1[[#This Row],[合計金額]]*テーブル1[[#This Row],[自社報酬率％]]/100</f>
        <v>29700</v>
      </c>
    </row>
    <row r="4403" spans="1:18">
      <c r="A4403" s="142">
        <v>45901</v>
      </c>
      <c r="B4403" s="143" t="s">
        <v>14</v>
      </c>
      <c r="C4403" s="151" t="s">
        <v>2043</v>
      </c>
      <c r="D4403" s="145">
        <v>60</v>
      </c>
      <c r="E4403" s="145">
        <v>40</v>
      </c>
      <c r="F4403" s="151" t="s">
        <v>16</v>
      </c>
      <c r="G4403" s="152">
        <v>45931</v>
      </c>
      <c r="H4403" s="147" t="s">
        <v>2969</v>
      </c>
      <c r="I4403" s="150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40">
        <f t="shared" si="172"/>
        <v>10780</v>
      </c>
      <c r="P4403" s="10">
        <v>76</v>
      </c>
      <c r="Q4403" s="10" t="s">
        <v>1935</v>
      </c>
      <c r="R4403" s="149">
        <f>+テーブル1[[#This Row],[合計金額]]*テーブル1[[#This Row],[自社報酬率％]]/100</f>
        <v>4312</v>
      </c>
    </row>
    <row r="4404" spans="1:18">
      <c r="A4404" s="142">
        <v>45901</v>
      </c>
      <c r="B4404" s="143" t="s">
        <v>14</v>
      </c>
      <c r="C4404" s="151" t="s">
        <v>1962</v>
      </c>
      <c r="D4404" s="145">
        <v>50</v>
      </c>
      <c r="E4404" s="145">
        <v>50</v>
      </c>
      <c r="F4404" s="151" t="s">
        <v>16</v>
      </c>
      <c r="G4404" s="152">
        <v>45931</v>
      </c>
      <c r="H4404" s="147" t="s">
        <v>2914</v>
      </c>
      <c r="I4404" s="150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40">
        <f t="shared" si="172"/>
        <v>118800</v>
      </c>
      <c r="P4404" s="10">
        <v>77</v>
      </c>
      <c r="Q4404" s="10" t="s">
        <v>1935</v>
      </c>
      <c r="R4404" s="149">
        <f>+テーブル1[[#This Row],[合計金額]]*テーブル1[[#This Row],[自社報酬率％]]/100</f>
        <v>59400</v>
      </c>
    </row>
    <row r="4405" spans="1:18">
      <c r="A4405" s="142">
        <v>45901</v>
      </c>
      <c r="B4405" s="143" t="s">
        <v>14</v>
      </c>
      <c r="C4405" s="151" t="s">
        <v>1962</v>
      </c>
      <c r="D4405" s="145">
        <v>50</v>
      </c>
      <c r="E4405" s="145">
        <v>50</v>
      </c>
      <c r="F4405" s="151" t="s">
        <v>16</v>
      </c>
      <c r="G4405" s="152">
        <v>45931</v>
      </c>
      <c r="H4405" s="147" t="s">
        <v>2914</v>
      </c>
      <c r="I4405" s="150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40">
        <f t="shared" si="172"/>
        <v>145000</v>
      </c>
      <c r="P4405" s="10">
        <v>78</v>
      </c>
      <c r="Q4405" s="10" t="s">
        <v>1935</v>
      </c>
      <c r="R4405" s="149">
        <f>+テーブル1[[#This Row],[合計金額]]*テーブル1[[#This Row],[自社報酬率％]]/100</f>
        <v>72500</v>
      </c>
    </row>
    <row r="4406" spans="1:18">
      <c r="A4406" s="142">
        <v>45901</v>
      </c>
      <c r="B4406" s="143" t="s">
        <v>14</v>
      </c>
      <c r="C4406" s="151" t="s">
        <v>1962</v>
      </c>
      <c r="D4406" s="145">
        <v>55</v>
      </c>
      <c r="E4406" s="145">
        <v>45</v>
      </c>
      <c r="F4406" s="151" t="s">
        <v>16</v>
      </c>
      <c r="G4406" s="152">
        <v>45931</v>
      </c>
      <c r="H4406" s="147" t="s">
        <v>2949</v>
      </c>
      <c r="I4406" s="150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40">
        <f t="shared" si="172"/>
        <v>20970</v>
      </c>
      <c r="P4406" s="10">
        <v>79</v>
      </c>
      <c r="Q4406" s="10" t="s">
        <v>1935</v>
      </c>
      <c r="R4406" s="149">
        <f>+テーブル1[[#This Row],[合計金額]]*テーブル1[[#This Row],[自社報酬率％]]/100</f>
        <v>9436.5</v>
      </c>
    </row>
    <row r="4407" spans="1:18">
      <c r="A4407" s="142">
        <v>45901</v>
      </c>
      <c r="B4407" s="143" t="s">
        <v>14</v>
      </c>
      <c r="C4407" s="151" t="s">
        <v>2023</v>
      </c>
      <c r="D4407" s="145">
        <v>50</v>
      </c>
      <c r="E4407" s="145">
        <v>50</v>
      </c>
      <c r="F4407" s="151" t="s">
        <v>16</v>
      </c>
      <c r="G4407" s="152">
        <v>45931</v>
      </c>
      <c r="H4407" s="147" t="s">
        <v>2952</v>
      </c>
      <c r="I4407" s="150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40">
        <f t="shared" si="172"/>
        <v>59850</v>
      </c>
      <c r="P4407" s="10">
        <v>80</v>
      </c>
      <c r="Q4407" s="10" t="s">
        <v>1935</v>
      </c>
      <c r="R4407" s="149">
        <f>+テーブル1[[#This Row],[合計金額]]*テーブル1[[#This Row],[自社報酬率％]]/100</f>
        <v>29925</v>
      </c>
    </row>
    <row r="4408" spans="1:18">
      <c r="A4408" s="142">
        <v>45901</v>
      </c>
      <c r="B4408" s="143" t="s">
        <v>14</v>
      </c>
      <c r="C4408" s="151" t="s">
        <v>2023</v>
      </c>
      <c r="D4408" s="145">
        <v>50</v>
      </c>
      <c r="E4408" s="145">
        <v>50</v>
      </c>
      <c r="F4408" s="151" t="s">
        <v>16</v>
      </c>
      <c r="G4408" s="152">
        <v>45931</v>
      </c>
      <c r="H4408" s="147" t="s">
        <v>2952</v>
      </c>
      <c r="I4408" s="150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40">
        <f t="shared" si="172"/>
        <v>14940</v>
      </c>
      <c r="P4408" s="10">
        <v>81</v>
      </c>
      <c r="Q4408" s="10" t="s">
        <v>1935</v>
      </c>
      <c r="R4408" s="149">
        <f>+テーブル1[[#This Row],[合計金額]]*テーブル1[[#This Row],[自社報酬率％]]/100</f>
        <v>7470</v>
      </c>
    </row>
    <row r="4409" spans="1:18">
      <c r="A4409" s="142">
        <v>45901</v>
      </c>
      <c r="B4409" s="143" t="s">
        <v>14</v>
      </c>
      <c r="C4409" s="151" t="s">
        <v>2045</v>
      </c>
      <c r="D4409" s="145">
        <v>40</v>
      </c>
      <c r="E4409" s="145">
        <v>60</v>
      </c>
      <c r="F4409" s="151" t="s">
        <v>16</v>
      </c>
      <c r="G4409" s="152">
        <v>45931</v>
      </c>
      <c r="H4409" s="147" t="s">
        <v>2968</v>
      </c>
      <c r="I4409" s="150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40">
        <f t="shared" si="172"/>
        <v>33000</v>
      </c>
      <c r="P4409" s="10">
        <v>82</v>
      </c>
      <c r="Q4409" s="10" t="s">
        <v>1935</v>
      </c>
      <c r="R4409" s="149">
        <f>+テーブル1[[#This Row],[合計金額]]*テーブル1[[#This Row],[自社報酬率％]]/100</f>
        <v>19800</v>
      </c>
    </row>
    <row r="4410" spans="1:18">
      <c r="A4410" s="142">
        <v>45901</v>
      </c>
      <c r="B4410" s="143" t="s">
        <v>14</v>
      </c>
      <c r="C4410" s="151" t="s">
        <v>2050</v>
      </c>
      <c r="D4410" s="145">
        <v>50</v>
      </c>
      <c r="E4410" s="145">
        <v>50</v>
      </c>
      <c r="F4410" s="151" t="s">
        <v>16</v>
      </c>
      <c r="G4410" s="152">
        <v>45931</v>
      </c>
      <c r="H4410" s="147" t="s">
        <v>2970</v>
      </c>
      <c r="I4410" s="150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40">
        <f t="shared" si="172"/>
        <v>19600</v>
      </c>
      <c r="P4410" s="10">
        <v>83</v>
      </c>
      <c r="Q4410" s="10" t="s">
        <v>1935</v>
      </c>
      <c r="R4410" s="149">
        <f>+テーブル1[[#This Row],[合計金額]]*テーブル1[[#This Row],[自社報酬率％]]/100</f>
        <v>9800</v>
      </c>
    </row>
    <row r="4411" spans="1:18">
      <c r="A4411" s="142">
        <v>45901</v>
      </c>
      <c r="B4411" s="143" t="s">
        <v>21</v>
      </c>
      <c r="C4411" s="71" t="s">
        <v>24</v>
      </c>
      <c r="D4411" s="145">
        <v>100</v>
      </c>
      <c r="E4411" s="145">
        <v>100</v>
      </c>
      <c r="F4411" s="144"/>
      <c r="G4411" s="146">
        <v>45901</v>
      </c>
      <c r="H4411" s="147" t="s">
        <v>2400</v>
      </c>
      <c r="I4411" s="150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40">
        <f>+I4411*J4411</f>
        <v>217800</v>
      </c>
      <c r="P4411" s="10">
        <v>98</v>
      </c>
      <c r="Q4411" s="10" t="s">
        <v>1935</v>
      </c>
      <c r="R4411" s="149">
        <f>+テーブル1[[#This Row],[合計金額]]*テーブル1[[#This Row],[自社報酬率％]]/100</f>
        <v>217800</v>
      </c>
    </row>
    <row r="4412" spans="1:18">
      <c r="A4412" s="142">
        <v>45901</v>
      </c>
      <c r="B4412" s="143" t="s">
        <v>21</v>
      </c>
      <c r="C4412" s="112" t="s">
        <v>2043</v>
      </c>
      <c r="D4412" s="145">
        <v>60</v>
      </c>
      <c r="E4412" s="145">
        <v>40</v>
      </c>
      <c r="F4412" s="144"/>
      <c r="G4412" s="146">
        <v>45901</v>
      </c>
      <c r="H4412" s="147" t="s">
        <v>2743</v>
      </c>
      <c r="I4412" s="150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40">
        <f>+I4412*J4412</f>
        <v>349200</v>
      </c>
      <c r="P4412" s="10">
        <v>99</v>
      </c>
      <c r="Q4412" s="10" t="s">
        <v>1935</v>
      </c>
      <c r="R4412" s="149">
        <f>+テーブル1[[#This Row],[合計金額]]*テーブル1[[#This Row],[自社報酬率％]]/100</f>
        <v>139680</v>
      </c>
    </row>
    <row r="4413" spans="1:18">
      <c r="A4413" s="142">
        <v>45901</v>
      </c>
      <c r="B4413" s="143" t="s">
        <v>21</v>
      </c>
      <c r="C4413" s="144" t="s">
        <v>2043</v>
      </c>
      <c r="D4413" s="145">
        <v>60</v>
      </c>
      <c r="E4413" s="145">
        <v>40</v>
      </c>
      <c r="F4413" s="144"/>
      <c r="G4413" s="146">
        <v>45901</v>
      </c>
      <c r="H4413" s="147" t="s">
        <v>2971</v>
      </c>
      <c r="I4413" s="150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40">
        <f>+I4413*J4413</f>
        <v>29700</v>
      </c>
      <c r="P4413" s="10">
        <v>100</v>
      </c>
      <c r="Q4413" s="10" t="s">
        <v>1935</v>
      </c>
      <c r="R4413" s="149">
        <f>+テーブル1[[#This Row],[合計金額]]*テーブル1[[#This Row],[自社報酬率％]]/100</f>
        <v>11880</v>
      </c>
    </row>
    <row r="4414" spans="1:18">
      <c r="A4414" s="142">
        <v>45901</v>
      </c>
      <c r="B4414" s="143" t="s">
        <v>21</v>
      </c>
      <c r="C4414" s="144" t="s">
        <v>2043</v>
      </c>
      <c r="D4414" s="145">
        <v>60</v>
      </c>
      <c r="E4414" s="145">
        <v>40</v>
      </c>
      <c r="F4414" s="144"/>
      <c r="G4414" s="146">
        <v>45901</v>
      </c>
      <c r="H4414" s="147" t="s">
        <v>2972</v>
      </c>
      <c r="I4414" s="150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40">
        <f>+I4414*J4414</f>
        <v>249000</v>
      </c>
      <c r="P4414" s="10">
        <v>101</v>
      </c>
      <c r="Q4414" s="10" t="s">
        <v>1935</v>
      </c>
      <c r="R4414" s="149">
        <f>+テーブル1[[#This Row],[合計金額]]*テーブル1[[#This Row],[自社報酬率％]]/100</f>
        <v>99600</v>
      </c>
    </row>
    <row r="4415" spans="1:18">
      <c r="A4415" s="142">
        <v>45901</v>
      </c>
      <c r="B4415" s="143" t="s">
        <v>21</v>
      </c>
      <c r="C4415" s="144" t="s">
        <v>2050</v>
      </c>
      <c r="D4415" s="145">
        <v>50</v>
      </c>
      <c r="E4415" s="145">
        <v>50</v>
      </c>
      <c r="F4415" s="144"/>
      <c r="G4415" s="146">
        <v>45901</v>
      </c>
      <c r="H4415" s="147" t="s">
        <v>2422</v>
      </c>
      <c r="I4415" s="150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40">
        <f>+I4415*J4415</f>
        <v>1192000</v>
      </c>
      <c r="P4415" s="10">
        <v>102</v>
      </c>
      <c r="Q4415" s="10" t="s">
        <v>1935</v>
      </c>
      <c r="R4415" s="149">
        <f>+テーブル1[[#This Row],[合計金額]]*テーブル1[[#This Row],[自社報酬率％]]/100</f>
        <v>596000</v>
      </c>
    </row>
    <row r="4416" spans="1:18">
      <c r="A4416" s="142">
        <v>45901</v>
      </c>
      <c r="B4416" s="143" t="s">
        <v>21</v>
      </c>
      <c r="C4416" s="144" t="s">
        <v>1962</v>
      </c>
      <c r="D4416" s="145">
        <v>50</v>
      </c>
      <c r="E4416" s="145">
        <v>50</v>
      </c>
      <c r="F4416" s="144"/>
      <c r="G4416" s="146">
        <v>45901</v>
      </c>
      <c r="H4416" s="147" t="s">
        <v>2916</v>
      </c>
      <c r="I4416" s="150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40">
        <v>-4515</v>
      </c>
      <c r="P4416" s="10">
        <v>102</v>
      </c>
      <c r="Q4416" s="10" t="s">
        <v>1935</v>
      </c>
      <c r="R4416" s="149">
        <f>+テーブル1[[#This Row],[合計金額]]*テーブル1[[#This Row],[自社報酬率％]]/100</f>
        <v>-2257.5</v>
      </c>
    </row>
    <row r="4417" spans="1:18">
      <c r="A4417" s="142">
        <v>45901</v>
      </c>
      <c r="B4417" s="143" t="s">
        <v>21</v>
      </c>
      <c r="C4417" s="144" t="s">
        <v>22</v>
      </c>
      <c r="D4417" s="145">
        <v>0</v>
      </c>
      <c r="E4417" s="145">
        <v>100</v>
      </c>
      <c r="F4417" s="144"/>
      <c r="G4417" s="146">
        <v>45901</v>
      </c>
      <c r="H4417" s="147"/>
      <c r="I4417" s="150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40">
        <v>-385</v>
      </c>
      <c r="P4417" s="10">
        <v>103</v>
      </c>
      <c r="Q4417" s="10" t="s">
        <v>1935</v>
      </c>
      <c r="R4417" s="149">
        <f>+テーブル1[[#This Row],[合計金額]]*テーブル1[[#This Row],[自社報酬率％]]/100</f>
        <v>-385</v>
      </c>
    </row>
    <row r="4418" spans="1:18">
      <c r="A4418" s="142">
        <v>45901</v>
      </c>
      <c r="B4418" s="143" t="s">
        <v>21</v>
      </c>
      <c r="C4418" s="144" t="s">
        <v>1962</v>
      </c>
      <c r="D4418" s="145">
        <v>50</v>
      </c>
      <c r="E4418" s="145">
        <v>50</v>
      </c>
      <c r="F4418" s="144"/>
      <c r="G4418" s="146">
        <v>45901</v>
      </c>
      <c r="H4418" s="147" t="s">
        <v>2916</v>
      </c>
      <c r="I4418" s="150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40">
        <v>-4515</v>
      </c>
      <c r="P4418" s="10">
        <v>104</v>
      </c>
      <c r="Q4418" s="10" t="s">
        <v>1935</v>
      </c>
      <c r="R4418" s="149">
        <f>+テーブル1[[#This Row],[合計金額]]*テーブル1[[#This Row],[自社報酬率％]]/100</f>
        <v>-2257.5</v>
      </c>
    </row>
    <row r="4419" spans="1:18">
      <c r="A4419" s="142">
        <v>45901</v>
      </c>
      <c r="B4419" s="143" t="s">
        <v>21</v>
      </c>
      <c r="C4419" s="144" t="s">
        <v>22</v>
      </c>
      <c r="D4419" s="145">
        <v>0</v>
      </c>
      <c r="E4419" s="145">
        <v>100</v>
      </c>
      <c r="F4419" s="144"/>
      <c r="G4419" s="146">
        <v>45901</v>
      </c>
      <c r="H4419" s="147"/>
      <c r="I4419" s="150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40">
        <v>-385</v>
      </c>
      <c r="P4419" s="10">
        <v>105</v>
      </c>
      <c r="Q4419" s="10" t="s">
        <v>1935</v>
      </c>
      <c r="R4419" s="149">
        <f>+テーブル1[[#This Row],[合計金額]]*テーブル1[[#This Row],[自社報酬率％]]/100</f>
        <v>-385</v>
      </c>
    </row>
    <row r="4420" spans="1:18">
      <c r="A4420" s="142">
        <v>45901</v>
      </c>
      <c r="B4420" s="143" t="s">
        <v>21</v>
      </c>
      <c r="C4420" s="144" t="s">
        <v>1962</v>
      </c>
      <c r="D4420" s="145">
        <v>50</v>
      </c>
      <c r="E4420" s="145">
        <v>50</v>
      </c>
      <c r="F4420" s="144"/>
      <c r="G4420" s="146">
        <v>45901</v>
      </c>
      <c r="H4420" s="147" t="s">
        <v>2916</v>
      </c>
      <c r="I4420" s="150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40">
        <v>-4515</v>
      </c>
      <c r="P4420" s="10">
        <v>106</v>
      </c>
      <c r="Q4420" s="10" t="s">
        <v>1935</v>
      </c>
      <c r="R4420" s="149">
        <f>+テーブル1[[#This Row],[合計金額]]*テーブル1[[#This Row],[自社報酬率％]]/100</f>
        <v>-2257.5</v>
      </c>
    </row>
    <row r="4421" spans="1:18">
      <c r="A4421" s="142">
        <v>45901</v>
      </c>
      <c r="B4421" s="143" t="s">
        <v>21</v>
      </c>
      <c r="C4421" s="144" t="s">
        <v>22</v>
      </c>
      <c r="D4421" s="145">
        <v>0</v>
      </c>
      <c r="E4421" s="145">
        <v>100</v>
      </c>
      <c r="F4421" s="144"/>
      <c r="G4421" s="146">
        <v>45901</v>
      </c>
      <c r="H4421" s="147"/>
      <c r="I4421" s="150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40">
        <v>-385</v>
      </c>
      <c r="P4421" s="10">
        <v>107</v>
      </c>
      <c r="Q4421" s="10" t="s">
        <v>1935</v>
      </c>
      <c r="R4421" s="149">
        <f>+テーブル1[[#This Row],[合計金額]]*テーブル1[[#This Row],[自社報酬率％]]/100</f>
        <v>-385</v>
      </c>
    </row>
    <row r="4422" spans="1:18">
      <c r="A4422" s="142">
        <v>45901</v>
      </c>
      <c r="B4422" s="143" t="s">
        <v>21</v>
      </c>
      <c r="C4422" s="144" t="s">
        <v>1962</v>
      </c>
      <c r="D4422" s="145">
        <v>50</v>
      </c>
      <c r="E4422" s="145">
        <v>50</v>
      </c>
      <c r="F4422" s="144"/>
      <c r="G4422" s="146">
        <v>45901</v>
      </c>
      <c r="H4422" s="147" t="s">
        <v>2916</v>
      </c>
      <c r="I4422" s="150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40">
        <v>-4515</v>
      </c>
      <c r="P4422" s="10">
        <v>108</v>
      </c>
      <c r="Q4422" s="10" t="s">
        <v>1935</v>
      </c>
      <c r="R4422" s="149">
        <f>+テーブル1[[#This Row],[合計金額]]*テーブル1[[#This Row],[自社報酬率％]]/100</f>
        <v>-2257.5</v>
      </c>
    </row>
    <row r="4423" spans="1:18">
      <c r="A4423" s="142">
        <v>45901</v>
      </c>
      <c r="B4423" s="143" t="s">
        <v>21</v>
      </c>
      <c r="C4423" s="144" t="s">
        <v>22</v>
      </c>
      <c r="D4423" s="145">
        <v>0</v>
      </c>
      <c r="E4423" s="145">
        <v>100</v>
      </c>
      <c r="F4423" s="144"/>
      <c r="G4423" s="146">
        <v>45901</v>
      </c>
      <c r="H4423" s="147"/>
      <c r="I4423" s="150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40">
        <v>-385</v>
      </c>
      <c r="P4423" s="10">
        <v>109</v>
      </c>
      <c r="Q4423" s="10" t="s">
        <v>1935</v>
      </c>
      <c r="R4423" s="149">
        <f>+テーブル1[[#This Row],[合計金額]]*テーブル1[[#This Row],[自社報酬率％]]/100</f>
        <v>-385</v>
      </c>
    </row>
    <row r="4424" spans="1:18">
      <c r="A4424" s="142">
        <v>45901</v>
      </c>
      <c r="B4424" s="143" t="s">
        <v>21</v>
      </c>
      <c r="C4424" s="144" t="s">
        <v>2212</v>
      </c>
      <c r="D4424" s="145">
        <v>10</v>
      </c>
      <c r="E4424" s="145">
        <v>90</v>
      </c>
      <c r="F4424" s="144"/>
      <c r="G4424" s="146">
        <v>45901</v>
      </c>
      <c r="H4424" s="147" t="s">
        <v>2953</v>
      </c>
      <c r="I4424" s="150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40">
        <v>-9415</v>
      </c>
      <c r="P4424" s="10">
        <v>110</v>
      </c>
      <c r="Q4424" s="10" t="s">
        <v>1935</v>
      </c>
      <c r="R4424" s="149">
        <f>+テーブル1[[#This Row],[合計金額]]*テーブル1[[#This Row],[自社報酬率％]]/100</f>
        <v>-8473.5</v>
      </c>
    </row>
    <row r="4425" spans="1:18">
      <c r="A4425" s="142">
        <v>45901</v>
      </c>
      <c r="B4425" s="143" t="s">
        <v>21</v>
      </c>
      <c r="C4425" s="144" t="s">
        <v>22</v>
      </c>
      <c r="D4425" s="145">
        <v>0</v>
      </c>
      <c r="E4425" s="145">
        <v>100</v>
      </c>
      <c r="F4425" s="144"/>
      <c r="G4425" s="146">
        <v>45901</v>
      </c>
      <c r="H4425" s="147"/>
      <c r="I4425" s="150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40">
        <v>-385</v>
      </c>
      <c r="P4425" s="10">
        <v>111</v>
      </c>
      <c r="Q4425" s="10" t="s">
        <v>1935</v>
      </c>
      <c r="R4425" s="149">
        <f>+テーブル1[[#This Row],[合計金額]]*テーブル1[[#This Row],[自社報酬率％]]/100</f>
        <v>-385</v>
      </c>
    </row>
    <row r="4426" spans="1:18">
      <c r="A4426" s="142">
        <v>45901</v>
      </c>
      <c r="B4426" s="143" t="s">
        <v>21</v>
      </c>
      <c r="C4426" s="144" t="s">
        <v>1962</v>
      </c>
      <c r="D4426" s="145">
        <v>50</v>
      </c>
      <c r="E4426" s="145">
        <v>50</v>
      </c>
      <c r="F4426" s="144"/>
      <c r="G4426" s="146">
        <v>45901</v>
      </c>
      <c r="H4426" s="147" t="s">
        <v>2916</v>
      </c>
      <c r="I4426" s="150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40">
        <v>-4515</v>
      </c>
      <c r="P4426" s="10">
        <v>112</v>
      </c>
      <c r="Q4426" s="10" t="s">
        <v>1935</v>
      </c>
      <c r="R4426" s="149">
        <f>+テーブル1[[#This Row],[合計金額]]*テーブル1[[#This Row],[自社報酬率％]]/100</f>
        <v>-2257.5</v>
      </c>
    </row>
    <row r="4427" spans="1:18">
      <c r="A4427" s="142">
        <v>45901</v>
      </c>
      <c r="B4427" s="143" t="s">
        <v>21</v>
      </c>
      <c r="C4427" s="144" t="s">
        <v>22</v>
      </c>
      <c r="D4427" s="145">
        <v>0</v>
      </c>
      <c r="E4427" s="145">
        <v>100</v>
      </c>
      <c r="F4427" s="144"/>
      <c r="G4427" s="146">
        <v>45901</v>
      </c>
      <c r="H4427" s="147"/>
      <c r="I4427" s="150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40">
        <v>-385</v>
      </c>
      <c r="P4427" s="10">
        <v>113</v>
      </c>
      <c r="Q4427" s="10" t="s">
        <v>1935</v>
      </c>
      <c r="R4427" s="149">
        <f>+テーブル1[[#This Row],[合計金額]]*テーブル1[[#This Row],[自社報酬率％]]/100</f>
        <v>-385</v>
      </c>
    </row>
    <row r="4428" spans="1:18">
      <c r="A4428" s="142">
        <v>45901</v>
      </c>
      <c r="B4428" s="143" t="s">
        <v>21</v>
      </c>
      <c r="C4428" s="144" t="s">
        <v>1962</v>
      </c>
      <c r="D4428" s="145">
        <v>50</v>
      </c>
      <c r="E4428" s="145">
        <v>50</v>
      </c>
      <c r="F4428" s="144"/>
      <c r="G4428" s="146">
        <v>45901</v>
      </c>
      <c r="H4428" s="147" t="s">
        <v>2541</v>
      </c>
      <c r="I4428" s="150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40">
        <v>-48350</v>
      </c>
      <c r="P4428" s="10">
        <v>114</v>
      </c>
      <c r="Q4428" s="10" t="s">
        <v>1935</v>
      </c>
      <c r="R4428" s="149">
        <f>+テーブル1[[#This Row],[合計金額]]*テーブル1[[#This Row],[自社報酬率％]]/100</f>
        <v>-24175</v>
      </c>
    </row>
    <row r="4429" spans="1:18">
      <c r="A4429" s="142">
        <v>45901</v>
      </c>
      <c r="B4429" s="143" t="s">
        <v>21</v>
      </c>
      <c r="C4429" s="144" t="s">
        <v>1962</v>
      </c>
      <c r="D4429" s="145">
        <v>50</v>
      </c>
      <c r="E4429" s="145">
        <v>50</v>
      </c>
      <c r="F4429" s="144"/>
      <c r="G4429" s="146">
        <v>45901</v>
      </c>
      <c r="H4429" s="147" t="s">
        <v>2916</v>
      </c>
      <c r="I4429" s="150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40">
        <v>-4900</v>
      </c>
      <c r="P4429" s="10">
        <v>115</v>
      </c>
      <c r="Q4429" s="10" t="s">
        <v>1935</v>
      </c>
      <c r="R4429" s="149">
        <f>+テーブル1[[#This Row],[合計金額]]*テーブル1[[#This Row],[自社報酬率％]]/100</f>
        <v>-2450</v>
      </c>
    </row>
    <row r="4430" spans="1:18">
      <c r="A4430" s="142">
        <v>45901</v>
      </c>
      <c r="B4430" s="143" t="s">
        <v>21</v>
      </c>
      <c r="C4430" s="144" t="s">
        <v>22</v>
      </c>
      <c r="D4430" s="145">
        <v>0</v>
      </c>
      <c r="E4430" s="145">
        <v>100</v>
      </c>
      <c r="F4430" s="144"/>
      <c r="G4430" s="146">
        <v>45901</v>
      </c>
      <c r="H4430" s="147"/>
      <c r="I4430" s="150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40">
        <v>-550</v>
      </c>
      <c r="P4430" s="10">
        <v>116</v>
      </c>
      <c r="Q4430" s="10" t="s">
        <v>1935</v>
      </c>
      <c r="R4430" s="149">
        <f>+テーブル1[[#This Row],[合計金額]]*テーブル1[[#This Row],[自社報酬率％]]/100</f>
        <v>-550</v>
      </c>
    </row>
    <row r="4431" spans="1:18">
      <c r="A4431" s="142">
        <v>45901</v>
      </c>
      <c r="B4431" s="143" t="s">
        <v>21</v>
      </c>
      <c r="C4431" s="144" t="s">
        <v>2212</v>
      </c>
      <c r="D4431" s="145">
        <v>10</v>
      </c>
      <c r="E4431" s="145">
        <v>90</v>
      </c>
      <c r="F4431" s="144"/>
      <c r="G4431" s="146">
        <v>45901</v>
      </c>
      <c r="H4431" s="147" t="s">
        <v>2953</v>
      </c>
      <c r="I4431" s="150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40">
        <v>-9415</v>
      </c>
      <c r="P4431" s="10">
        <v>117</v>
      </c>
      <c r="Q4431" s="10" t="s">
        <v>1935</v>
      </c>
      <c r="R4431" s="149">
        <f>+テーブル1[[#This Row],[合計金額]]*テーブル1[[#This Row],[自社報酬率％]]/100</f>
        <v>-8473.5</v>
      </c>
    </row>
    <row r="4432" spans="1:18">
      <c r="A4432" s="142">
        <v>45901</v>
      </c>
      <c r="B4432" s="143" t="s">
        <v>21</v>
      </c>
      <c r="C4432" s="144" t="s">
        <v>22</v>
      </c>
      <c r="D4432" s="145">
        <v>0</v>
      </c>
      <c r="E4432" s="145">
        <v>100</v>
      </c>
      <c r="F4432" s="144"/>
      <c r="G4432" s="146">
        <v>45901</v>
      </c>
      <c r="H4432" s="147"/>
      <c r="I4432" s="150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40">
        <v>-385</v>
      </c>
      <c r="P4432" s="10">
        <v>118</v>
      </c>
      <c r="Q4432" s="10" t="s">
        <v>1935</v>
      </c>
      <c r="R4432" s="149">
        <f>+テーブル1[[#This Row],[合計金額]]*テーブル1[[#This Row],[自社報酬率％]]/100</f>
        <v>-385</v>
      </c>
    </row>
    <row r="4433" spans="1:18">
      <c r="A4433" s="142">
        <v>45901</v>
      </c>
      <c r="B4433" s="143" t="s">
        <v>21</v>
      </c>
      <c r="C4433" s="144" t="s">
        <v>1962</v>
      </c>
      <c r="D4433" s="145">
        <v>50</v>
      </c>
      <c r="E4433" s="145">
        <v>50</v>
      </c>
      <c r="F4433" s="144"/>
      <c r="G4433" s="146">
        <v>45901</v>
      </c>
      <c r="H4433" s="147" t="s">
        <v>2916</v>
      </c>
      <c r="I4433" s="150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40">
        <v>-4515</v>
      </c>
      <c r="P4433" s="10">
        <v>119</v>
      </c>
      <c r="Q4433" s="10" t="s">
        <v>1935</v>
      </c>
      <c r="R4433" s="149">
        <f>+テーブル1[[#This Row],[合計金額]]*テーブル1[[#This Row],[自社報酬率％]]/100</f>
        <v>-2257.5</v>
      </c>
    </row>
    <row r="4434" spans="1:18">
      <c r="A4434" s="142">
        <v>45901</v>
      </c>
      <c r="B4434" s="143" t="s">
        <v>21</v>
      </c>
      <c r="C4434" s="144" t="s">
        <v>22</v>
      </c>
      <c r="D4434" s="145">
        <v>0</v>
      </c>
      <c r="E4434" s="145">
        <v>100</v>
      </c>
      <c r="F4434" s="144"/>
      <c r="G4434" s="146">
        <v>45901</v>
      </c>
      <c r="H4434" s="147"/>
      <c r="I4434" s="150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40">
        <v>-385</v>
      </c>
      <c r="P4434" s="10">
        <v>120</v>
      </c>
      <c r="Q4434" s="10" t="s">
        <v>1935</v>
      </c>
      <c r="R4434" s="149">
        <f>+テーブル1[[#This Row],[合計金額]]*テーブル1[[#This Row],[自社報酬率％]]/100</f>
        <v>-385</v>
      </c>
    </row>
    <row r="4435" spans="1:18">
      <c r="A4435" s="142">
        <v>45901</v>
      </c>
      <c r="B4435" s="143" t="s">
        <v>21</v>
      </c>
      <c r="C4435" s="144" t="s">
        <v>1962</v>
      </c>
      <c r="D4435" s="145">
        <v>50</v>
      </c>
      <c r="E4435" s="145">
        <v>50</v>
      </c>
      <c r="F4435" s="144"/>
      <c r="G4435" s="146">
        <v>45901</v>
      </c>
      <c r="H4435" s="147" t="s">
        <v>2916</v>
      </c>
      <c r="I4435" s="150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40">
        <v>-4515</v>
      </c>
      <c r="P4435" s="10">
        <v>121</v>
      </c>
      <c r="Q4435" s="10" t="s">
        <v>1935</v>
      </c>
      <c r="R4435" s="149">
        <f>+テーブル1[[#This Row],[合計金額]]*テーブル1[[#This Row],[自社報酬率％]]/100</f>
        <v>-2257.5</v>
      </c>
    </row>
    <row r="4436" spans="1:18">
      <c r="A4436" s="142">
        <v>45901</v>
      </c>
      <c r="B4436" s="143" t="s">
        <v>21</v>
      </c>
      <c r="C4436" s="144" t="s">
        <v>22</v>
      </c>
      <c r="D4436" s="145">
        <v>0</v>
      </c>
      <c r="E4436" s="145">
        <v>100</v>
      </c>
      <c r="F4436" s="144"/>
      <c r="G4436" s="146">
        <v>45901</v>
      </c>
      <c r="H4436" s="147"/>
      <c r="I4436" s="150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40">
        <v>-385</v>
      </c>
      <c r="P4436" s="10">
        <v>122</v>
      </c>
      <c r="Q4436" s="10" t="s">
        <v>1935</v>
      </c>
      <c r="R4436" s="149">
        <f>+テーブル1[[#This Row],[合計金額]]*テーブル1[[#This Row],[自社報酬率％]]/100</f>
        <v>-385</v>
      </c>
    </row>
    <row r="4437" spans="1:18">
      <c r="A4437" s="142">
        <v>45901</v>
      </c>
      <c r="B4437" s="143" t="s">
        <v>21</v>
      </c>
      <c r="C4437" s="144" t="s">
        <v>1962</v>
      </c>
      <c r="D4437" s="145">
        <v>50</v>
      </c>
      <c r="E4437" s="145">
        <v>50</v>
      </c>
      <c r="F4437" s="144"/>
      <c r="G4437" s="146">
        <v>45901</v>
      </c>
      <c r="H4437" s="147" t="s">
        <v>2916</v>
      </c>
      <c r="I4437" s="150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40">
        <v>-4515</v>
      </c>
      <c r="P4437" s="10">
        <v>123</v>
      </c>
      <c r="Q4437" s="10" t="s">
        <v>1935</v>
      </c>
      <c r="R4437" s="149">
        <f>+テーブル1[[#This Row],[合計金額]]*テーブル1[[#This Row],[自社報酬率％]]/100</f>
        <v>-2257.5</v>
      </c>
    </row>
    <row r="4438" spans="1:18">
      <c r="A4438" s="142">
        <v>45901</v>
      </c>
      <c r="B4438" s="143" t="s">
        <v>21</v>
      </c>
      <c r="C4438" s="144" t="s">
        <v>22</v>
      </c>
      <c r="D4438" s="145">
        <v>0</v>
      </c>
      <c r="E4438" s="145">
        <v>100</v>
      </c>
      <c r="F4438" s="144"/>
      <c r="G4438" s="146">
        <v>45901</v>
      </c>
      <c r="H4438" s="147"/>
      <c r="I4438" s="150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40">
        <v>-385</v>
      </c>
      <c r="P4438" s="10">
        <v>124</v>
      </c>
      <c r="Q4438" s="10" t="s">
        <v>1935</v>
      </c>
      <c r="R4438" s="149">
        <f>+テーブル1[[#This Row],[合計金額]]*テーブル1[[#This Row],[自社報酬率％]]/100</f>
        <v>-385</v>
      </c>
    </row>
    <row r="4439" spans="1:18">
      <c r="A4439" s="142">
        <v>45901</v>
      </c>
      <c r="B4439" s="143" t="s">
        <v>21</v>
      </c>
      <c r="C4439" s="144" t="s">
        <v>2212</v>
      </c>
      <c r="D4439" s="145">
        <v>10</v>
      </c>
      <c r="E4439" s="145">
        <v>90</v>
      </c>
      <c r="F4439" s="144"/>
      <c r="G4439" s="146">
        <v>45901</v>
      </c>
      <c r="H4439" s="147" t="s">
        <v>2953</v>
      </c>
      <c r="I4439" s="150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40">
        <v>-9415</v>
      </c>
      <c r="P4439" s="10">
        <v>125</v>
      </c>
      <c r="Q4439" s="10" t="s">
        <v>1935</v>
      </c>
      <c r="R4439" s="149">
        <f>+テーブル1[[#This Row],[合計金額]]*テーブル1[[#This Row],[自社報酬率％]]/100</f>
        <v>-8473.5</v>
      </c>
    </row>
    <row r="4440" spans="1:18">
      <c r="A4440" s="142">
        <v>45901</v>
      </c>
      <c r="B4440" s="143" t="s">
        <v>21</v>
      </c>
      <c r="C4440" s="144" t="s">
        <v>22</v>
      </c>
      <c r="D4440" s="145">
        <v>0</v>
      </c>
      <c r="E4440" s="145">
        <v>100</v>
      </c>
      <c r="F4440" s="144"/>
      <c r="G4440" s="146">
        <v>45901</v>
      </c>
      <c r="H4440" s="147"/>
      <c r="I4440" s="150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40">
        <v>-385</v>
      </c>
      <c r="P4440" s="10">
        <v>126</v>
      </c>
      <c r="Q4440" s="10" t="s">
        <v>1935</v>
      </c>
      <c r="R4440" s="149">
        <f>+テーブル1[[#This Row],[合計金額]]*テーブル1[[#This Row],[自社報酬率％]]/100</f>
        <v>-385</v>
      </c>
    </row>
    <row r="4441" spans="1:18">
      <c r="A4441" s="142">
        <v>45901</v>
      </c>
      <c r="B4441" s="143" t="s">
        <v>21</v>
      </c>
      <c r="C4441" s="144" t="s">
        <v>2212</v>
      </c>
      <c r="D4441" s="145">
        <v>10</v>
      </c>
      <c r="E4441" s="145">
        <v>90</v>
      </c>
      <c r="F4441" s="144"/>
      <c r="G4441" s="146">
        <v>45901</v>
      </c>
      <c r="H4441" s="147" t="s">
        <v>2953</v>
      </c>
      <c r="I4441" s="150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40">
        <v>-9415</v>
      </c>
      <c r="P4441" s="10">
        <v>127</v>
      </c>
      <c r="Q4441" s="10" t="s">
        <v>1935</v>
      </c>
      <c r="R4441" s="149">
        <f>+テーブル1[[#This Row],[合計金額]]*テーブル1[[#This Row],[自社報酬率％]]/100</f>
        <v>-8473.5</v>
      </c>
    </row>
    <row r="4442" spans="1:18">
      <c r="A4442" s="142">
        <v>45901</v>
      </c>
      <c r="B4442" s="143" t="s">
        <v>21</v>
      </c>
      <c r="C4442" s="144" t="s">
        <v>22</v>
      </c>
      <c r="D4442" s="145">
        <v>0</v>
      </c>
      <c r="E4442" s="145">
        <v>100</v>
      </c>
      <c r="F4442" s="144"/>
      <c r="G4442" s="146">
        <v>45901</v>
      </c>
      <c r="H4442" s="147"/>
      <c r="I4442" s="150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40">
        <v>-385</v>
      </c>
      <c r="P4442" s="10">
        <v>128</v>
      </c>
      <c r="Q4442" s="10" t="s">
        <v>1935</v>
      </c>
      <c r="R4442" s="149">
        <f>+テーブル1[[#This Row],[合計金額]]*テーブル1[[#This Row],[自社報酬率％]]/100</f>
        <v>-385</v>
      </c>
    </row>
    <row r="4443" spans="1:18">
      <c r="A4443" s="142">
        <v>45901</v>
      </c>
      <c r="B4443" s="143" t="s">
        <v>21</v>
      </c>
      <c r="C4443" s="144" t="s">
        <v>1962</v>
      </c>
      <c r="D4443" s="145">
        <v>50</v>
      </c>
      <c r="E4443" s="145">
        <v>50</v>
      </c>
      <c r="F4443" s="144"/>
      <c r="G4443" s="146">
        <v>45901</v>
      </c>
      <c r="H4443" s="147" t="s">
        <v>2916</v>
      </c>
      <c r="I4443" s="150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40">
        <v>-4515</v>
      </c>
      <c r="P4443" s="10">
        <v>129</v>
      </c>
      <c r="Q4443" s="10" t="s">
        <v>1935</v>
      </c>
      <c r="R4443" s="149">
        <f>+テーブル1[[#This Row],[合計金額]]*テーブル1[[#This Row],[自社報酬率％]]/100</f>
        <v>-2257.5</v>
      </c>
    </row>
    <row r="4444" spans="1:18">
      <c r="A4444" s="142">
        <v>45901</v>
      </c>
      <c r="B4444" s="143" t="s">
        <v>21</v>
      </c>
      <c r="C4444" s="144" t="s">
        <v>22</v>
      </c>
      <c r="D4444" s="145">
        <v>0</v>
      </c>
      <c r="E4444" s="145">
        <v>100</v>
      </c>
      <c r="F4444" s="144"/>
      <c r="G4444" s="146">
        <v>45901</v>
      </c>
      <c r="H4444" s="147"/>
      <c r="I4444" s="150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40">
        <v>-385</v>
      </c>
      <c r="P4444" s="10">
        <v>130</v>
      </c>
      <c r="Q4444" s="10" t="s">
        <v>1935</v>
      </c>
      <c r="R4444" s="149">
        <f>+テーブル1[[#This Row],[合計金額]]*テーブル1[[#This Row],[自社報酬率％]]/100</f>
        <v>-385</v>
      </c>
    </row>
    <row r="4445" spans="1:18">
      <c r="A4445" s="142">
        <v>45901</v>
      </c>
      <c r="B4445" s="143" t="s">
        <v>21</v>
      </c>
      <c r="C4445" s="144" t="s">
        <v>1962</v>
      </c>
      <c r="D4445" s="145">
        <v>50</v>
      </c>
      <c r="E4445" s="145">
        <v>50</v>
      </c>
      <c r="F4445" s="144"/>
      <c r="G4445" s="146">
        <v>45901</v>
      </c>
      <c r="H4445" s="147" t="s">
        <v>2916</v>
      </c>
      <c r="I4445" s="150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40">
        <v>-4515</v>
      </c>
      <c r="P4445" s="10">
        <v>131</v>
      </c>
      <c r="Q4445" s="10" t="s">
        <v>1935</v>
      </c>
      <c r="R4445" s="149">
        <f>+テーブル1[[#This Row],[合計金額]]*テーブル1[[#This Row],[自社報酬率％]]/100</f>
        <v>-2257.5</v>
      </c>
    </row>
    <row r="4446" spans="1:18">
      <c r="A4446" s="142">
        <v>45901</v>
      </c>
      <c r="B4446" s="143" t="s">
        <v>21</v>
      </c>
      <c r="C4446" s="144" t="s">
        <v>22</v>
      </c>
      <c r="D4446" s="145">
        <v>0</v>
      </c>
      <c r="E4446" s="145">
        <v>100</v>
      </c>
      <c r="F4446" s="144"/>
      <c r="G4446" s="146">
        <v>45901</v>
      </c>
      <c r="H4446" s="147"/>
      <c r="I4446" s="150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40">
        <v>-385</v>
      </c>
      <c r="P4446" s="10">
        <v>132</v>
      </c>
      <c r="Q4446" s="10" t="s">
        <v>1935</v>
      </c>
      <c r="R4446" s="149">
        <f>+テーブル1[[#This Row],[合計金額]]*テーブル1[[#This Row],[自社報酬率％]]/100</f>
        <v>-385</v>
      </c>
    </row>
    <row r="4447" spans="1:18">
      <c r="A4447" s="142">
        <v>45901</v>
      </c>
      <c r="B4447" s="143" t="s">
        <v>21</v>
      </c>
      <c r="C4447" s="144" t="s">
        <v>1962</v>
      </c>
      <c r="D4447" s="145">
        <v>50</v>
      </c>
      <c r="E4447" s="145">
        <v>50</v>
      </c>
      <c r="F4447" s="144"/>
      <c r="G4447" s="146">
        <v>45901</v>
      </c>
      <c r="H4447" s="147" t="s">
        <v>2916</v>
      </c>
      <c r="I4447" s="150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40">
        <v>-4515</v>
      </c>
      <c r="P4447" s="10">
        <v>133</v>
      </c>
      <c r="Q4447" s="10" t="s">
        <v>1935</v>
      </c>
      <c r="R4447" s="149">
        <f>+テーブル1[[#This Row],[合計金額]]*テーブル1[[#This Row],[自社報酬率％]]/100</f>
        <v>-2257.5</v>
      </c>
    </row>
    <row r="4448" spans="1:18">
      <c r="A4448" s="142">
        <v>45901</v>
      </c>
      <c r="B4448" s="143" t="s">
        <v>21</v>
      </c>
      <c r="C4448" s="144" t="s">
        <v>22</v>
      </c>
      <c r="D4448" s="145">
        <v>0</v>
      </c>
      <c r="E4448" s="145">
        <v>100</v>
      </c>
      <c r="F4448" s="144"/>
      <c r="G4448" s="146">
        <v>45901</v>
      </c>
      <c r="H4448" s="147"/>
      <c r="I4448" s="150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40">
        <v>-385</v>
      </c>
      <c r="P4448" s="10">
        <v>134</v>
      </c>
      <c r="Q4448" s="10" t="s">
        <v>1935</v>
      </c>
      <c r="R4448" s="149">
        <f>+テーブル1[[#This Row],[合計金額]]*テーブル1[[#This Row],[自社報酬率％]]/100</f>
        <v>-385</v>
      </c>
    </row>
    <row r="4449" spans="1:18">
      <c r="A4449" s="142">
        <v>45901</v>
      </c>
      <c r="B4449" s="143" t="s">
        <v>112</v>
      </c>
      <c r="C4449" s="71" t="s">
        <v>24</v>
      </c>
      <c r="D4449" s="145">
        <v>100</v>
      </c>
      <c r="E4449" s="145">
        <v>100</v>
      </c>
      <c r="F4449" s="153" t="s">
        <v>16</v>
      </c>
      <c r="G4449" s="152">
        <v>45931</v>
      </c>
      <c r="H4449" s="147" t="s">
        <v>2909</v>
      </c>
      <c r="I4449" s="150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40">
        <f t="shared" ref="O4449:O4472" si="174">+I4449*N4449</f>
        <v>18000</v>
      </c>
      <c r="P4449" s="10">
        <v>266</v>
      </c>
      <c r="Q4449" s="10" t="s">
        <v>1935</v>
      </c>
      <c r="R4449" s="149">
        <f>+テーブル1[[#This Row],[合計金額]]*テーブル1[[#This Row],[自社報酬率％]]/100</f>
        <v>18000</v>
      </c>
    </row>
    <row r="4450" spans="1:18">
      <c r="A4450" s="142">
        <v>45901</v>
      </c>
      <c r="B4450" s="143" t="s">
        <v>112</v>
      </c>
      <c r="C4450" s="71" t="s">
        <v>24</v>
      </c>
      <c r="D4450" s="145">
        <v>100</v>
      </c>
      <c r="E4450" s="145">
        <v>100</v>
      </c>
      <c r="F4450" s="153" t="s">
        <v>16</v>
      </c>
      <c r="G4450" s="152">
        <v>45931</v>
      </c>
      <c r="H4450" s="147" t="s">
        <v>2973</v>
      </c>
      <c r="I4450" s="150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40">
        <f t="shared" si="174"/>
        <v>3000</v>
      </c>
      <c r="P4450" s="10">
        <v>267</v>
      </c>
      <c r="Q4450" s="10" t="s">
        <v>1935</v>
      </c>
      <c r="R4450" s="149">
        <f>+テーブル1[[#This Row],[合計金額]]*テーブル1[[#This Row],[自社報酬率％]]/100</f>
        <v>3000</v>
      </c>
    </row>
    <row r="4451" spans="1:18">
      <c r="A4451" s="142">
        <v>45901</v>
      </c>
      <c r="B4451" s="143" t="s">
        <v>112</v>
      </c>
      <c r="C4451" s="71" t="s">
        <v>24</v>
      </c>
      <c r="D4451" s="145">
        <v>100</v>
      </c>
      <c r="E4451" s="145">
        <v>100</v>
      </c>
      <c r="F4451" s="153" t="s">
        <v>16</v>
      </c>
      <c r="G4451" s="152">
        <v>45931</v>
      </c>
      <c r="H4451" s="147" t="s">
        <v>2974</v>
      </c>
      <c r="I4451" s="150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40">
        <f t="shared" si="174"/>
        <v>12600</v>
      </c>
      <c r="P4451" s="10">
        <v>268</v>
      </c>
      <c r="Q4451" s="10" t="s">
        <v>1935</v>
      </c>
      <c r="R4451" s="149">
        <f>+テーブル1[[#This Row],[合計金額]]*テーブル1[[#This Row],[自社報酬率％]]/100</f>
        <v>12600</v>
      </c>
    </row>
    <row r="4452" spans="1:18">
      <c r="A4452" s="142">
        <v>45901</v>
      </c>
      <c r="B4452" s="143" t="s">
        <v>112</v>
      </c>
      <c r="C4452" s="71" t="s">
        <v>24</v>
      </c>
      <c r="D4452" s="145">
        <v>100</v>
      </c>
      <c r="E4452" s="145">
        <v>100</v>
      </c>
      <c r="F4452" s="154" t="s">
        <v>20</v>
      </c>
      <c r="G4452" s="146">
        <v>45901</v>
      </c>
      <c r="H4452" s="147" t="s">
        <v>2400</v>
      </c>
      <c r="I4452" s="150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40">
        <f t="shared" si="174"/>
        <v>188000</v>
      </c>
      <c r="P4452" s="10">
        <v>269</v>
      </c>
      <c r="Q4452" s="10" t="s">
        <v>1935</v>
      </c>
      <c r="R4452" s="149">
        <f>+テーブル1[[#This Row],[合計金額]]*テーブル1[[#This Row],[自社報酬率％]]/100</f>
        <v>188000</v>
      </c>
    </row>
    <row r="4453" spans="1:18">
      <c r="A4453" s="142">
        <v>45901</v>
      </c>
      <c r="B4453" s="143" t="s">
        <v>112</v>
      </c>
      <c r="C4453" s="71" t="s">
        <v>24</v>
      </c>
      <c r="D4453" s="145">
        <v>100</v>
      </c>
      <c r="E4453" s="145">
        <v>100</v>
      </c>
      <c r="F4453" s="154" t="s">
        <v>20</v>
      </c>
      <c r="G4453" s="146">
        <v>45901</v>
      </c>
      <c r="H4453" s="147" t="s">
        <v>2078</v>
      </c>
      <c r="I4453" s="150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40">
        <f t="shared" si="174"/>
        <v>1089000</v>
      </c>
      <c r="P4453" s="10">
        <v>270</v>
      </c>
      <c r="Q4453" s="10" t="s">
        <v>1935</v>
      </c>
      <c r="R4453" s="149">
        <f>+テーブル1[[#This Row],[合計金額]]*テーブル1[[#This Row],[自社報酬率％]]/100</f>
        <v>1089000</v>
      </c>
    </row>
    <row r="4454" spans="1:18">
      <c r="A4454" s="142">
        <v>45901</v>
      </c>
      <c r="B4454" s="143" t="s">
        <v>112</v>
      </c>
      <c r="C4454" s="144" t="s">
        <v>2043</v>
      </c>
      <c r="D4454" s="145">
        <v>60</v>
      </c>
      <c r="E4454" s="145">
        <v>40</v>
      </c>
      <c r="F4454" s="144" t="s">
        <v>17</v>
      </c>
      <c r="G4454" s="146">
        <v>45901</v>
      </c>
      <c r="H4454" s="147" t="s">
        <v>2975</v>
      </c>
      <c r="I4454" s="150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40">
        <f t="shared" si="174"/>
        <v>698400</v>
      </c>
      <c r="P4454" s="10">
        <v>271</v>
      </c>
      <c r="Q4454" s="10" t="s">
        <v>1935</v>
      </c>
      <c r="R4454" s="149">
        <f>+テーブル1[[#This Row],[合計金額]]*テーブル1[[#This Row],[自社報酬率％]]/100</f>
        <v>279360</v>
      </c>
    </row>
    <row r="4455" spans="1:18">
      <c r="A4455" s="142">
        <v>45901</v>
      </c>
      <c r="B4455" s="143" t="s">
        <v>112</v>
      </c>
      <c r="C4455" s="144" t="s">
        <v>2043</v>
      </c>
      <c r="D4455" s="145">
        <v>60</v>
      </c>
      <c r="E4455" s="145">
        <v>40</v>
      </c>
      <c r="F4455" s="144" t="s">
        <v>17</v>
      </c>
      <c r="G4455" s="146">
        <v>45901</v>
      </c>
      <c r="H4455" s="147" t="s">
        <v>2976</v>
      </c>
      <c r="I4455" s="150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40">
        <f t="shared" si="174"/>
        <v>29100</v>
      </c>
      <c r="P4455" s="10">
        <v>272</v>
      </c>
      <c r="Q4455" s="10" t="s">
        <v>1935</v>
      </c>
      <c r="R4455" s="149">
        <f>+テーブル1[[#This Row],[合計金額]]*テーブル1[[#This Row],[自社報酬率％]]/100</f>
        <v>11640</v>
      </c>
    </row>
    <row r="4456" spans="1:18">
      <c r="A4456" s="142">
        <v>45901</v>
      </c>
      <c r="B4456" s="143" t="s">
        <v>112</v>
      </c>
      <c r="C4456" s="144" t="s">
        <v>2043</v>
      </c>
      <c r="D4456" s="145">
        <v>60</v>
      </c>
      <c r="E4456" s="145">
        <v>40</v>
      </c>
      <c r="F4456" s="144" t="s">
        <v>17</v>
      </c>
      <c r="G4456" s="146">
        <v>45901</v>
      </c>
      <c r="H4456" s="147" t="s">
        <v>2977</v>
      </c>
      <c r="I4456" s="150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40">
        <f t="shared" si="174"/>
        <v>349200</v>
      </c>
      <c r="P4456" s="10">
        <v>273</v>
      </c>
      <c r="Q4456" s="10" t="s">
        <v>1935</v>
      </c>
      <c r="R4456" s="149">
        <f>+テーブル1[[#This Row],[合計金額]]*テーブル1[[#This Row],[自社報酬率％]]/100</f>
        <v>139680</v>
      </c>
    </row>
    <row r="4457" spans="1:18">
      <c r="A4457" s="142">
        <v>45901</v>
      </c>
      <c r="B4457" s="143" t="s">
        <v>112</v>
      </c>
      <c r="C4457" s="144" t="s">
        <v>2043</v>
      </c>
      <c r="D4457" s="145">
        <v>60</v>
      </c>
      <c r="E4457" s="145">
        <v>40</v>
      </c>
      <c r="F4457" s="144" t="s">
        <v>17</v>
      </c>
      <c r="G4457" s="146">
        <v>45901</v>
      </c>
      <c r="H4457" s="147" t="s">
        <v>2978</v>
      </c>
      <c r="I4457" s="150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40">
        <f t="shared" si="174"/>
        <v>698400</v>
      </c>
      <c r="P4457" s="10">
        <v>274</v>
      </c>
      <c r="Q4457" s="10" t="s">
        <v>1935</v>
      </c>
      <c r="R4457" s="149">
        <f>+テーブル1[[#This Row],[合計金額]]*テーブル1[[#This Row],[自社報酬率％]]/100</f>
        <v>279360</v>
      </c>
    </row>
    <row r="4458" spans="1:18">
      <c r="A4458" s="142">
        <v>45901</v>
      </c>
      <c r="B4458" s="143" t="s">
        <v>112</v>
      </c>
      <c r="C4458" s="144" t="s">
        <v>2043</v>
      </c>
      <c r="D4458" s="145">
        <v>60</v>
      </c>
      <c r="E4458" s="145">
        <v>40</v>
      </c>
      <c r="F4458" s="144" t="s">
        <v>113</v>
      </c>
      <c r="G4458" s="146">
        <v>45901</v>
      </c>
      <c r="H4458" s="147" t="s">
        <v>2086</v>
      </c>
      <c r="I4458" s="150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40">
        <f t="shared" si="174"/>
        <v>49800</v>
      </c>
      <c r="P4458" s="10">
        <v>275</v>
      </c>
      <c r="Q4458" s="10" t="s">
        <v>1935</v>
      </c>
      <c r="R4458" s="149">
        <f>+テーブル1[[#This Row],[合計金額]]*テーブル1[[#This Row],[自社報酬率％]]/100</f>
        <v>19920</v>
      </c>
    </row>
    <row r="4459" spans="1:18">
      <c r="A4459" s="142">
        <v>45901</v>
      </c>
      <c r="B4459" s="143" t="s">
        <v>112</v>
      </c>
      <c r="C4459" s="144" t="s">
        <v>2043</v>
      </c>
      <c r="D4459" s="145">
        <v>60</v>
      </c>
      <c r="E4459" s="145">
        <v>40</v>
      </c>
      <c r="F4459" s="144" t="s">
        <v>19</v>
      </c>
      <c r="G4459" s="146">
        <v>45901</v>
      </c>
      <c r="H4459" s="147" t="s">
        <v>2979</v>
      </c>
      <c r="I4459" s="150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40">
        <f t="shared" si="174"/>
        <v>198000</v>
      </c>
      <c r="P4459" s="10">
        <v>276</v>
      </c>
      <c r="Q4459" s="10" t="s">
        <v>1935</v>
      </c>
      <c r="R4459" s="149">
        <f>+テーブル1[[#This Row],[合計金額]]*テーブル1[[#This Row],[自社報酬率％]]/100</f>
        <v>79200</v>
      </c>
    </row>
    <row r="4460" spans="1:18">
      <c r="A4460" s="142">
        <v>45901</v>
      </c>
      <c r="B4460" s="143" t="s">
        <v>112</v>
      </c>
      <c r="C4460" s="151" t="s">
        <v>2043</v>
      </c>
      <c r="D4460" s="145">
        <v>60</v>
      </c>
      <c r="E4460" s="145">
        <v>40</v>
      </c>
      <c r="F4460" s="151" t="s">
        <v>16</v>
      </c>
      <c r="G4460" s="152">
        <v>45931</v>
      </c>
      <c r="H4460" s="147" t="s">
        <v>2967</v>
      </c>
      <c r="I4460" s="150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40">
        <f t="shared" si="174"/>
        <v>64680</v>
      </c>
      <c r="P4460" s="10">
        <v>277</v>
      </c>
      <c r="Q4460" s="10" t="s">
        <v>1935</v>
      </c>
      <c r="R4460" s="149">
        <f>+テーブル1[[#This Row],[合計金額]]*テーブル1[[#This Row],[自社報酬率％]]/100</f>
        <v>25872</v>
      </c>
    </row>
    <row r="4461" spans="1:18">
      <c r="A4461" s="142">
        <v>45901</v>
      </c>
      <c r="B4461" s="143" t="s">
        <v>112</v>
      </c>
      <c r="C4461" s="151" t="s">
        <v>2043</v>
      </c>
      <c r="D4461" s="145">
        <v>60</v>
      </c>
      <c r="E4461" s="145">
        <v>40</v>
      </c>
      <c r="F4461" s="151" t="s">
        <v>16</v>
      </c>
      <c r="G4461" s="152">
        <v>45931</v>
      </c>
      <c r="H4461" s="147" t="s">
        <v>2980</v>
      </c>
      <c r="I4461" s="150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40">
        <f t="shared" si="174"/>
        <v>21560</v>
      </c>
      <c r="P4461" s="10">
        <v>278</v>
      </c>
      <c r="Q4461" s="10" t="s">
        <v>1935</v>
      </c>
      <c r="R4461" s="149">
        <f>+テーブル1[[#This Row],[合計金額]]*テーブル1[[#This Row],[自社報酬率％]]/100</f>
        <v>8624</v>
      </c>
    </row>
    <row r="4462" spans="1:18">
      <c r="A4462" s="142">
        <v>45901</v>
      </c>
      <c r="B4462" s="143" t="s">
        <v>112</v>
      </c>
      <c r="C4462" s="151" t="s">
        <v>2043</v>
      </c>
      <c r="D4462" s="145">
        <v>60</v>
      </c>
      <c r="E4462" s="145">
        <v>40</v>
      </c>
      <c r="F4462" s="151" t="s">
        <v>16</v>
      </c>
      <c r="G4462" s="152">
        <v>45931</v>
      </c>
      <c r="H4462" s="147" t="s">
        <v>2969</v>
      </c>
      <c r="I4462" s="150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40">
        <f t="shared" si="174"/>
        <v>64680</v>
      </c>
      <c r="P4462" s="10">
        <v>279</v>
      </c>
      <c r="Q4462" s="10" t="s">
        <v>1935</v>
      </c>
      <c r="R4462" s="149">
        <f>+テーブル1[[#This Row],[合計金額]]*テーブル1[[#This Row],[自社報酬率％]]/100</f>
        <v>25872</v>
      </c>
    </row>
    <row r="4463" spans="1:18">
      <c r="A4463" s="142">
        <v>45901</v>
      </c>
      <c r="B4463" s="143" t="s">
        <v>112</v>
      </c>
      <c r="C4463" s="151" t="s">
        <v>2048</v>
      </c>
      <c r="D4463" s="145">
        <v>50</v>
      </c>
      <c r="E4463" s="145">
        <v>50</v>
      </c>
      <c r="F4463" s="151" t="s">
        <v>16</v>
      </c>
      <c r="G4463" s="152">
        <v>45931</v>
      </c>
      <c r="H4463" s="147" t="s">
        <v>2981</v>
      </c>
      <c r="I4463" s="150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40">
        <f t="shared" si="174"/>
        <v>27000</v>
      </c>
      <c r="P4463" s="10">
        <v>280</v>
      </c>
      <c r="Q4463" s="10" t="s">
        <v>1935</v>
      </c>
      <c r="R4463" s="149">
        <f>+テーブル1[[#This Row],[合計金額]]*テーブル1[[#This Row],[自社報酬率％]]/100</f>
        <v>13500</v>
      </c>
    </row>
    <row r="4464" spans="1:18">
      <c r="A4464" s="142">
        <v>45901</v>
      </c>
      <c r="B4464" s="143" t="s">
        <v>112</v>
      </c>
      <c r="C4464" s="144" t="s">
        <v>2045</v>
      </c>
      <c r="D4464" s="145">
        <v>40</v>
      </c>
      <c r="E4464" s="145">
        <v>60</v>
      </c>
      <c r="F4464" s="144" t="s">
        <v>27</v>
      </c>
      <c r="G4464" s="146">
        <v>45901</v>
      </c>
      <c r="H4464" s="147" t="s">
        <v>2282</v>
      </c>
      <c r="I4464" s="150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40">
        <f t="shared" si="174"/>
        <v>1112000</v>
      </c>
      <c r="P4464" s="10">
        <v>281</v>
      </c>
      <c r="Q4464" s="10" t="s">
        <v>1935</v>
      </c>
      <c r="R4464" s="149">
        <f>+テーブル1[[#This Row],[合計金額]]*テーブル1[[#This Row],[自社報酬率％]]/100</f>
        <v>667200</v>
      </c>
    </row>
    <row r="4465" spans="1:18">
      <c r="A4465" s="142">
        <v>45901</v>
      </c>
      <c r="B4465" s="143" t="s">
        <v>112</v>
      </c>
      <c r="C4465" s="151" t="s">
        <v>2045</v>
      </c>
      <c r="D4465" s="145">
        <v>40</v>
      </c>
      <c r="E4465" s="145">
        <v>60</v>
      </c>
      <c r="F4465" s="151" t="s">
        <v>16</v>
      </c>
      <c r="G4465" s="152">
        <v>45931</v>
      </c>
      <c r="H4465" s="147" t="s">
        <v>2968</v>
      </c>
      <c r="I4465" s="150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40">
        <f t="shared" si="174"/>
        <v>33000</v>
      </c>
      <c r="P4465" s="10">
        <v>282</v>
      </c>
      <c r="Q4465" s="10" t="s">
        <v>1935</v>
      </c>
      <c r="R4465" s="149">
        <f>+テーブル1[[#This Row],[合計金額]]*テーブル1[[#This Row],[自社報酬率％]]/100</f>
        <v>19800</v>
      </c>
    </row>
    <row r="4466" spans="1:18">
      <c r="A4466" s="142">
        <v>45901</v>
      </c>
      <c r="B4466" s="143" t="s">
        <v>112</v>
      </c>
      <c r="C4466" s="144" t="s">
        <v>2094</v>
      </c>
      <c r="D4466" s="145">
        <v>40</v>
      </c>
      <c r="E4466" s="145">
        <v>60</v>
      </c>
      <c r="F4466" s="144" t="s">
        <v>27</v>
      </c>
      <c r="G4466" s="146">
        <v>45901</v>
      </c>
      <c r="H4466" s="147" t="s">
        <v>2418</v>
      </c>
      <c r="I4466" s="150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40">
        <f t="shared" si="174"/>
        <v>99600</v>
      </c>
      <c r="P4466" s="10">
        <v>283</v>
      </c>
      <c r="Q4466" s="10" t="s">
        <v>1935</v>
      </c>
      <c r="R4466" s="149">
        <f>+テーブル1[[#This Row],[合計金額]]*テーブル1[[#This Row],[自社報酬率％]]/100</f>
        <v>59760</v>
      </c>
    </row>
    <row r="4467" spans="1:18">
      <c r="A4467" s="142">
        <v>45901</v>
      </c>
      <c r="B4467" s="143" t="s">
        <v>112</v>
      </c>
      <c r="C4467" s="151" t="s">
        <v>2050</v>
      </c>
      <c r="D4467" s="145">
        <v>50</v>
      </c>
      <c r="E4467" s="145">
        <v>50</v>
      </c>
      <c r="F4467" s="151" t="s">
        <v>16</v>
      </c>
      <c r="G4467" s="152">
        <v>45931</v>
      </c>
      <c r="H4467" s="147" t="s">
        <v>2970</v>
      </c>
      <c r="I4467" s="150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40">
        <f t="shared" si="174"/>
        <v>19600</v>
      </c>
      <c r="P4467" s="10">
        <v>284</v>
      </c>
      <c r="Q4467" s="10" t="s">
        <v>1935</v>
      </c>
      <c r="R4467" s="149">
        <f>+テーブル1[[#This Row],[合計金額]]*テーブル1[[#This Row],[自社報酬率％]]/100</f>
        <v>9800</v>
      </c>
    </row>
    <row r="4468" spans="1:18">
      <c r="A4468" s="142">
        <v>45901</v>
      </c>
      <c r="B4468" s="143" t="s">
        <v>112</v>
      </c>
      <c r="C4468" s="151" t="s">
        <v>2038</v>
      </c>
      <c r="D4468" s="145">
        <v>50</v>
      </c>
      <c r="E4468" s="145">
        <v>50</v>
      </c>
      <c r="F4468" s="151" t="s">
        <v>16</v>
      </c>
      <c r="G4468" s="152">
        <v>45931</v>
      </c>
      <c r="H4468" s="147" t="s">
        <v>2982</v>
      </c>
      <c r="I4468" s="150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40">
        <f t="shared" si="174"/>
        <v>20000</v>
      </c>
      <c r="P4468" s="10">
        <v>285</v>
      </c>
      <c r="Q4468" s="10" t="s">
        <v>1935</v>
      </c>
      <c r="R4468" s="149">
        <f>+テーブル1[[#This Row],[合計金額]]*テーブル1[[#This Row],[自社報酬率％]]/100</f>
        <v>10000</v>
      </c>
    </row>
    <row r="4469" spans="1:18">
      <c r="A4469" s="142">
        <v>45901</v>
      </c>
      <c r="B4469" s="143" t="s">
        <v>112</v>
      </c>
      <c r="C4469" s="151" t="s">
        <v>2038</v>
      </c>
      <c r="D4469" s="145">
        <v>50</v>
      </c>
      <c r="E4469" s="145">
        <v>50</v>
      </c>
      <c r="F4469" s="151" t="s">
        <v>16</v>
      </c>
      <c r="G4469" s="152">
        <v>45931</v>
      </c>
      <c r="H4469" s="147" t="s">
        <v>2983</v>
      </c>
      <c r="I4469" s="150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40">
        <f t="shared" si="174"/>
        <v>30000</v>
      </c>
      <c r="P4469" s="10">
        <v>286</v>
      </c>
      <c r="Q4469" s="10" t="s">
        <v>1935</v>
      </c>
      <c r="R4469" s="149">
        <f>+テーブル1[[#This Row],[合計金額]]*テーブル1[[#This Row],[自社報酬率％]]/100</f>
        <v>15000</v>
      </c>
    </row>
    <row r="4470" spans="1:18">
      <c r="A4470" s="142">
        <v>45901</v>
      </c>
      <c r="B4470" s="143" t="s">
        <v>118</v>
      </c>
      <c r="C4470" s="144" t="s">
        <v>2050</v>
      </c>
      <c r="D4470" s="145">
        <v>50</v>
      </c>
      <c r="E4470" s="145">
        <v>50</v>
      </c>
      <c r="F4470" s="144" t="s">
        <v>20</v>
      </c>
      <c r="G4470" s="146">
        <v>45901</v>
      </c>
      <c r="H4470" s="147" t="s">
        <v>2422</v>
      </c>
      <c r="I4470" s="150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40">
        <f t="shared" si="174"/>
        <v>596000</v>
      </c>
      <c r="P4470" s="10">
        <v>12</v>
      </c>
      <c r="Q4470" s="10" t="s">
        <v>1935</v>
      </c>
      <c r="R4470" s="149">
        <f>+テーブル1[[#This Row],[合計金額]]*テーブル1[[#This Row],[自社報酬率％]]/100</f>
        <v>298000</v>
      </c>
    </row>
    <row r="4471" spans="1:18">
      <c r="A4471" s="142">
        <v>45901</v>
      </c>
      <c r="B4471" s="143" t="s">
        <v>1929</v>
      </c>
      <c r="C4471" s="71" t="s">
        <v>24</v>
      </c>
      <c r="D4471" s="145">
        <v>100</v>
      </c>
      <c r="E4471" s="145">
        <v>100</v>
      </c>
      <c r="F4471" s="154" t="s">
        <v>17</v>
      </c>
      <c r="G4471" s="146">
        <v>45901</v>
      </c>
      <c r="H4471" s="147" t="s">
        <v>1930</v>
      </c>
      <c r="I4471" s="150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40">
        <f t="shared" si="174"/>
        <v>1438800</v>
      </c>
      <c r="P4471" s="10">
        <v>19</v>
      </c>
      <c r="Q4471" s="10" t="s">
        <v>1935</v>
      </c>
      <c r="R4471" s="149">
        <f>+テーブル1[[#This Row],[合計金額]]*テーブル1[[#This Row],[自社報酬率％]]/100</f>
        <v>1438800</v>
      </c>
    </row>
    <row r="4472" spans="1:18">
      <c r="A4472" s="142">
        <v>45870</v>
      </c>
      <c r="B4472" s="143" t="s">
        <v>2770</v>
      </c>
      <c r="C4472" s="144" t="s">
        <v>24</v>
      </c>
      <c r="D4472" s="145">
        <v>100</v>
      </c>
      <c r="E4472" s="145">
        <v>100</v>
      </c>
      <c r="F4472" s="144"/>
      <c r="G4472" s="146">
        <v>45870</v>
      </c>
      <c r="H4472" s="147" t="s">
        <v>2984</v>
      </c>
      <c r="I4472" s="148">
        <v>47817</v>
      </c>
      <c r="J4472" s="24">
        <v>1</v>
      </c>
      <c r="K4472" s="24"/>
      <c r="L4472" s="91"/>
      <c r="M4472" s="24"/>
      <c r="N4472" s="12">
        <f t="shared" ref="N4472" si="176">J4472-K4472-L4472-M4472</f>
        <v>1</v>
      </c>
      <c r="O4472" s="140">
        <f t="shared" si="174"/>
        <v>47817</v>
      </c>
      <c r="P4472" s="10">
        <v>21</v>
      </c>
      <c r="Q4472" s="10" t="s">
        <v>1935</v>
      </c>
      <c r="R4472" s="149">
        <f>+テーブル1[[#This Row],[合計金額]]*テーブル1[[#This Row],[自社報酬率％]]/100</f>
        <v>47817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2025-10-10T01:11:24Z</dcterms:modified>
</cp:coreProperties>
</file>