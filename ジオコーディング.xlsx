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FA974F69-40F8-4AC9-831F-E767B99E1457}" xr6:coauthVersionLast="47" xr6:coauthVersionMax="47" xr10:uidLastSave="{00000000-0000-0000-0000-000000000000}"/>
  <bookViews>
    <workbookView xWindow="2730" yWindow="720" windowWidth="26010" windowHeight="15480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6" i="1" l="1" a="1"/>
  <c r="G1086" i="1" s="1"/>
  <c r="G1087" i="1" a="1"/>
  <c r="G1087" i="1" s="1"/>
  <c r="G1088" i="1" a="1"/>
  <c r="G1088" i="1" s="1"/>
  <c r="G1089" i="1" a="1"/>
  <c r="G1089" i="1" s="1"/>
  <c r="G1091" i="1" a="1"/>
  <c r="G1091" i="1" s="1"/>
  <c r="G1092" i="1" a="1"/>
  <c r="G1092" i="1" s="1"/>
  <c r="G1093" i="1" a="1"/>
  <c r="G1093" i="1" s="1"/>
  <c r="G1094" i="1" a="1"/>
  <c r="G1094" i="1" s="1"/>
  <c r="G1095" i="1" a="1"/>
  <c r="G1095" i="1" s="1"/>
  <c r="G1096" i="1" a="1"/>
  <c r="G1096" i="1" s="1"/>
  <c r="G1097" i="1" a="1"/>
  <c r="G1097" i="1" s="1"/>
  <c r="G1098" i="1" a="1"/>
  <c r="G1098" i="1" s="1"/>
  <c r="G1099" i="1" a="1"/>
  <c r="G1099" i="1" s="1"/>
  <c r="G1100" i="1" a="1"/>
  <c r="G1100" i="1" s="1"/>
  <c r="G1101" i="1" a="1"/>
  <c r="G1101" i="1" s="1"/>
  <c r="G1102" i="1" a="1"/>
  <c r="G1102" i="1" s="1"/>
  <c r="G1103" i="1" a="1"/>
  <c r="G1103" i="1" s="1"/>
  <c r="G1104" i="1" a="1"/>
  <c r="G1104" i="1" s="1"/>
  <c r="G1105" i="1" a="1"/>
  <c r="G1105" i="1" s="1"/>
  <c r="G1106" i="1" a="1"/>
  <c r="G1106" i="1" s="1"/>
  <c r="G1107" i="1" a="1"/>
  <c r="G1107" i="1" s="1"/>
  <c r="G1108" i="1" a="1"/>
  <c r="G1108" i="1" s="1"/>
  <c r="G1109" i="1" a="1"/>
  <c r="G1109" i="1" s="1"/>
  <c r="G1110" i="1" a="1"/>
  <c r="G1110" i="1" s="1"/>
  <c r="G1111" i="1" a="1"/>
  <c r="G1111" i="1" s="1"/>
  <c r="G1112" i="1" a="1"/>
  <c r="G1112" i="1" s="1"/>
  <c r="G1113" i="1" a="1"/>
  <c r="G1113" i="1" s="1"/>
  <c r="G1114" i="1" a="1"/>
  <c r="G1114" i="1" s="1"/>
  <c r="G1115" i="1" a="1"/>
  <c r="G1115" i="1" s="1"/>
  <c r="G1117" i="1" a="1"/>
  <c r="G1117" i="1" s="1"/>
  <c r="G1118" i="1" a="1"/>
  <c r="G1118" i="1" s="1"/>
  <c r="G1119" i="1" a="1"/>
  <c r="G1119" i="1" s="1"/>
  <c r="G1120" i="1" a="1"/>
  <c r="G1120" i="1" s="1"/>
  <c r="G1121" i="1" a="1"/>
  <c r="G1121" i="1" s="1"/>
  <c r="G1123" i="1" a="1"/>
  <c r="G1123" i="1" s="1"/>
  <c r="G1124" i="1" a="1"/>
  <c r="G1124" i="1" s="1"/>
  <c r="G1125" i="1" a="1"/>
  <c r="G1125" i="1" s="1"/>
  <c r="G1126" i="1" a="1"/>
  <c r="G1126" i="1" s="1"/>
  <c r="G1127" i="1" a="1"/>
  <c r="G1127" i="1" s="1"/>
  <c r="G1129" i="1" a="1"/>
  <c r="G1129" i="1" s="1"/>
  <c r="G1130" i="1" a="1"/>
  <c r="G1130" i="1" s="1"/>
  <c r="G1132" i="1" a="1"/>
  <c r="G1132" i="1" s="1"/>
  <c r="G1133" i="1" a="1"/>
  <c r="G1133" i="1" s="1"/>
  <c r="G1134" i="1" a="1"/>
  <c r="G1134" i="1" s="1"/>
  <c r="G1135" i="1" a="1"/>
  <c r="G1135" i="1" s="1"/>
  <c r="G1136" i="1" a="1"/>
  <c r="G1136" i="1" s="1"/>
  <c r="G1137" i="1" a="1"/>
  <c r="G1137" i="1" s="1"/>
  <c r="G1138" i="1" a="1"/>
  <c r="G1138" i="1" s="1"/>
  <c r="G1139" i="1" a="1"/>
  <c r="G1139" i="1" s="1"/>
  <c r="G1140" i="1" a="1"/>
  <c r="G1140" i="1" s="1"/>
  <c r="G1142" i="1" a="1"/>
  <c r="G1142" i="1" s="1"/>
  <c r="G1145" i="1" a="1"/>
  <c r="G1145" i="1" s="1"/>
  <c r="G1148" i="1" a="1"/>
  <c r="G1148" i="1" s="1"/>
  <c r="G1158" i="1" a="1"/>
  <c r="G1158" i="1" s="1"/>
  <c r="G1173" i="1" a="1"/>
  <c r="G1173" i="1" s="1"/>
  <c r="G1175" i="1" a="1"/>
  <c r="G1175" i="1" s="1"/>
  <c r="G1176" i="1" a="1"/>
  <c r="G1176" i="1" s="1"/>
  <c r="G1184" i="1" a="1"/>
  <c r="G1184" i="1" s="1"/>
  <c r="G1188" i="1" a="1"/>
  <c r="G1188" i="1" s="1"/>
  <c r="G1207" i="1" a="1"/>
  <c r="G1207" i="1" s="1"/>
  <c r="G1209" i="1" a="1"/>
  <c r="G1209" i="1" s="1"/>
  <c r="G1211" i="1" a="1"/>
  <c r="G1211" i="1" s="1"/>
  <c r="G1216" i="1" a="1"/>
  <c r="G1216" i="1" s="1"/>
  <c r="G1232" i="1" a="1"/>
  <c r="G1232" i="1" s="1"/>
  <c r="G1244" i="1" a="1"/>
  <c r="G1244" i="1" s="1"/>
  <c r="G1245" i="1" a="1"/>
  <c r="G1245" i="1" s="1"/>
  <c r="G1246" i="1" a="1"/>
  <c r="G1246" i="1" s="1"/>
  <c r="G1247" i="1" a="1"/>
  <c r="G1247" i="1" s="1"/>
  <c r="G1251" i="1" a="1"/>
  <c r="G1251" i="1" s="1"/>
  <c r="G1253" i="1" a="1"/>
  <c r="G1253" i="1" s="1"/>
  <c r="G1259" i="1" a="1"/>
  <c r="G1259" i="1" s="1"/>
  <c r="G1260" i="1" a="1"/>
  <c r="G1260" i="1" s="1"/>
  <c r="G1261" i="1" a="1"/>
  <c r="G1261" i="1" s="1"/>
  <c r="G1262" i="1" a="1"/>
  <c r="G1262" i="1" s="1"/>
  <c r="G1263" i="1" a="1"/>
  <c r="G1263" i="1" s="1"/>
  <c r="G1264" i="1" a="1"/>
  <c r="G1264" i="1" s="1"/>
  <c r="G1265" i="1" a="1"/>
  <c r="G1265" i="1" s="1"/>
  <c r="G1266" i="1" a="1"/>
  <c r="G1266" i="1" s="1"/>
  <c r="G1267" i="1" a="1"/>
  <c r="G1267" i="1" s="1"/>
  <c r="G1268" i="1" a="1"/>
  <c r="G1268" i="1" s="1"/>
  <c r="G1269" i="1" a="1"/>
  <c r="G1269" i="1" s="1"/>
  <c r="G1270" i="1" a="1"/>
  <c r="G1270" i="1" s="1"/>
  <c r="G1271" i="1" a="1"/>
  <c r="G1271" i="1" s="1"/>
  <c r="G1272" i="1" a="1"/>
  <c r="G1272" i="1" s="1"/>
  <c r="G1273" i="1" a="1"/>
  <c r="G1273" i="1" s="1"/>
  <c r="G1274" i="1" a="1"/>
  <c r="G1274" i="1" s="1"/>
  <c r="G1275" i="1" a="1"/>
  <c r="G1275" i="1" s="1"/>
  <c r="G1276" i="1" a="1"/>
  <c r="G1276" i="1" s="1"/>
  <c r="G1277" i="1" a="1"/>
  <c r="G1277" i="1" s="1"/>
  <c r="G1278" i="1" a="1"/>
  <c r="G1278" i="1" s="1"/>
  <c r="G1279" i="1" a="1"/>
  <c r="G1279" i="1" s="1"/>
  <c r="G1280" i="1" a="1"/>
  <c r="G1280" i="1" s="1"/>
  <c r="G1281" i="1" a="1"/>
  <c r="G1281" i="1" s="1"/>
  <c r="G1282" i="1" a="1"/>
  <c r="G1282" i="1" s="1"/>
  <c r="G1283" i="1" a="1"/>
  <c r="G1283" i="1" s="1"/>
  <c r="G1284" i="1" a="1"/>
  <c r="G1284" i="1" s="1"/>
  <c r="G1285" i="1" a="1"/>
  <c r="G1285" i="1" s="1"/>
  <c r="G1286" i="1" a="1"/>
  <c r="G1286" i="1" s="1"/>
  <c r="G1287" i="1" a="1"/>
  <c r="G1287" i="1" s="1"/>
  <c r="G1288" i="1" a="1"/>
  <c r="G1288" i="1" s="1"/>
  <c r="G1289" i="1" a="1"/>
  <c r="G1289" i="1" s="1"/>
  <c r="G1290" i="1" a="1"/>
  <c r="G1290" i="1" s="1"/>
  <c r="G1291" i="1" a="1"/>
  <c r="G1291" i="1" s="1"/>
  <c r="G1292" i="1" a="1"/>
  <c r="G1292" i="1" s="1"/>
  <c r="G1293" i="1" a="1"/>
  <c r="G1293" i="1" s="1"/>
  <c r="G1294" i="1" a="1"/>
  <c r="G1294" i="1" s="1"/>
  <c r="G1295" i="1" a="1"/>
  <c r="G1295" i="1" s="1"/>
  <c r="G1296" i="1" a="1"/>
  <c r="G1296" i="1" s="1"/>
  <c r="G1297" i="1" a="1"/>
  <c r="G1297" i="1" s="1"/>
  <c r="G1298" i="1" a="1"/>
  <c r="G1298" i="1" s="1"/>
  <c r="G1299" i="1" a="1"/>
  <c r="G1299" i="1" s="1"/>
  <c r="G1300" i="1" a="1"/>
  <c r="G1300" i="1" s="1"/>
  <c r="G1302" i="1" a="1"/>
  <c r="G1302" i="1" s="1"/>
  <c r="G1309" i="1" a="1"/>
  <c r="G1309" i="1" s="1"/>
  <c r="G1310" i="1" a="1"/>
  <c r="G1310" i="1" s="1"/>
  <c r="G1313" i="1" a="1"/>
  <c r="G1313" i="1" s="1"/>
  <c r="G1316" i="1" a="1"/>
  <c r="G1316" i="1" s="1"/>
  <c r="G1326" i="1" a="1"/>
  <c r="G1326" i="1" s="1"/>
  <c r="G1334" i="1" a="1"/>
  <c r="G1334" i="1" s="1"/>
  <c r="G1343" i="1" a="1"/>
  <c r="G1343" i="1" s="1"/>
  <c r="G1346" i="1" a="1"/>
  <c r="G1346" i="1" s="1"/>
  <c r="G1347" i="1" a="1"/>
  <c r="G1347" i="1" s="1"/>
  <c r="G1349" i="1" a="1"/>
  <c r="G1349" i="1" s="1"/>
  <c r="G1350" i="1" a="1"/>
  <c r="G1350" i="1" s="1"/>
  <c r="G1354" i="1" a="1"/>
  <c r="G1354" i="1" s="1"/>
  <c r="G1364" i="1" a="1"/>
  <c r="G1364" i="1" s="1"/>
  <c r="G1370" i="1" a="1"/>
  <c r="G1370" i="1" s="1"/>
  <c r="G1390" i="1" a="1"/>
  <c r="G1390" i="1" s="1"/>
  <c r="G1397" i="1" a="1"/>
  <c r="G1397" i="1" s="1"/>
  <c r="G1400" i="1" a="1"/>
  <c r="G1400" i="1" s="1"/>
  <c r="G1420" i="1" a="1"/>
  <c r="G1420" i="1" s="1"/>
  <c r="G1421" i="1" a="1"/>
  <c r="G1421" i="1" s="1"/>
  <c r="G1422" i="1" a="1"/>
  <c r="G1422" i="1" s="1"/>
  <c r="G1423" i="1" a="1"/>
  <c r="G1423" i="1" s="1"/>
  <c r="G1424" i="1" a="1"/>
  <c r="G1424" i="1" s="1"/>
  <c r="G1425" i="1" a="1"/>
  <c r="G1425" i="1" s="1"/>
  <c r="G1426" i="1" a="1"/>
  <c r="G1426" i="1" s="1"/>
  <c r="G1427" i="1" a="1"/>
  <c r="G1427" i="1" s="1"/>
  <c r="G1428" i="1" a="1"/>
  <c r="G1428" i="1" s="1"/>
  <c r="G1429" i="1" a="1"/>
  <c r="G1429" i="1" s="1"/>
  <c r="G1430" i="1" a="1"/>
  <c r="G1430" i="1" s="1"/>
  <c r="G1431" i="1" a="1"/>
  <c r="G1431" i="1" s="1"/>
  <c r="G1432" i="1" a="1"/>
  <c r="G1432" i="1" s="1"/>
  <c r="G1433" i="1" a="1"/>
  <c r="G1433" i="1" s="1"/>
  <c r="G1434" i="1" a="1"/>
  <c r="G1434" i="1" s="1"/>
  <c r="G1435" i="1" a="1"/>
  <c r="G1435" i="1" s="1"/>
  <c r="G1436" i="1" a="1"/>
  <c r="G1436" i="1" s="1"/>
  <c r="G1437" i="1" a="1"/>
  <c r="G1437" i="1" s="1"/>
  <c r="G1438" i="1" a="1"/>
  <c r="G1438" i="1" s="1"/>
  <c r="G1439" i="1" a="1"/>
  <c r="G1439" i="1" s="1"/>
  <c r="G1440" i="1" a="1"/>
  <c r="G1440" i="1" s="1"/>
  <c r="G1441" i="1" a="1"/>
  <c r="G1441" i="1" s="1"/>
  <c r="G1443" i="1" a="1"/>
  <c r="G1443" i="1" s="1"/>
  <c r="G1450" i="1" a="1"/>
  <c r="G1450" i="1" s="1"/>
  <c r="G1451" i="1" a="1"/>
  <c r="G1451" i="1" s="1"/>
  <c r="G1453" i="1" a="1"/>
  <c r="G1453" i="1" s="1"/>
  <c r="G1454" i="1" a="1"/>
  <c r="G1454" i="1" s="1"/>
  <c r="G1456" i="1" a="1"/>
  <c r="G1456" i="1" s="1"/>
  <c r="G1457" i="1" a="1"/>
  <c r="G1457" i="1" s="1"/>
  <c r="G1458" i="1" a="1"/>
  <c r="G1458" i="1" s="1"/>
  <c r="G1460" i="1" a="1"/>
  <c r="G1460" i="1" s="1"/>
  <c r="G1461" i="1" a="1"/>
  <c r="G1461" i="1" s="1"/>
  <c r="G1462" i="1" a="1"/>
  <c r="G1462" i="1" s="1"/>
  <c r="G1463" i="1" a="1"/>
  <c r="G1463" i="1" s="1"/>
  <c r="G1464" i="1" a="1"/>
  <c r="G1464" i="1" s="1"/>
  <c r="G1465" i="1" a="1"/>
  <c r="G1465" i="1" s="1"/>
  <c r="G1466" i="1" a="1"/>
  <c r="G1466" i="1" s="1"/>
  <c r="G1467" i="1" a="1"/>
  <c r="G1467" i="1" s="1"/>
  <c r="G1468" i="1" a="1"/>
  <c r="G1468" i="1" s="1"/>
  <c r="G1469" i="1" a="1"/>
  <c r="G1469" i="1" s="1"/>
  <c r="G1470" i="1" a="1"/>
  <c r="G1470" i="1" s="1"/>
  <c r="G1471" i="1" a="1"/>
  <c r="G1471" i="1" s="1"/>
  <c r="G1472" i="1" a="1"/>
  <c r="G1472" i="1" s="1"/>
  <c r="G1473" i="1" a="1"/>
  <c r="G1473" i="1" s="1"/>
  <c r="G1474" i="1" a="1"/>
  <c r="G1474" i="1" s="1"/>
  <c r="G1475" i="1" a="1"/>
  <c r="G1475" i="1" s="1"/>
  <c r="G1476" i="1" a="1"/>
  <c r="G1476" i="1" s="1"/>
  <c r="G1477" i="1" a="1"/>
  <c r="G1477" i="1" s="1"/>
  <c r="G1478" i="1" a="1"/>
  <c r="G1478" i="1" s="1"/>
  <c r="G1479" i="1" a="1"/>
  <c r="G1479" i="1" s="1"/>
  <c r="G1480" i="1" a="1"/>
  <c r="G1480" i="1" s="1"/>
  <c r="G1481" i="1" a="1"/>
  <c r="G1481" i="1" s="1"/>
  <c r="G1483" i="1" a="1"/>
  <c r="G1483" i="1" s="1"/>
  <c r="G1485" i="1" a="1"/>
  <c r="G1485" i="1" s="1"/>
  <c r="G1487" i="1" a="1"/>
  <c r="G1487" i="1" s="1"/>
  <c r="G1488" i="1" a="1"/>
  <c r="G1488" i="1" s="1"/>
  <c r="G1489" i="1" a="1"/>
  <c r="G1489" i="1" s="1"/>
  <c r="G1492" i="1" a="1"/>
  <c r="G1492" i="1" s="1"/>
  <c r="G1493" i="1" a="1"/>
  <c r="G1493" i="1" s="1"/>
  <c r="G1494" i="1" a="1"/>
  <c r="G1494" i="1" s="1"/>
  <c r="G1495" i="1" a="1"/>
  <c r="G1495" i="1" s="1"/>
  <c r="G1496" i="1" a="1"/>
  <c r="G1496" i="1" s="1"/>
  <c r="G1497" i="1" a="1"/>
  <c r="G1497" i="1" s="1"/>
  <c r="G1498" i="1" a="1"/>
  <c r="G1498" i="1" s="1"/>
  <c r="G1499" i="1" a="1"/>
  <c r="G1499" i="1" s="1"/>
  <c r="G1500" i="1" a="1"/>
  <c r="G1500" i="1" s="1"/>
  <c r="G1501" i="1" a="1"/>
  <c r="G1501" i="1" s="1"/>
  <c r="G1502" i="1" a="1"/>
  <c r="G1502" i="1" s="1"/>
  <c r="G1503" i="1" a="1"/>
  <c r="G1503" i="1" s="1"/>
  <c r="G1504" i="1" a="1"/>
  <c r="G1504" i="1" s="1"/>
  <c r="G1505" i="1" a="1"/>
  <c r="G1505" i="1" s="1"/>
  <c r="G1506" i="1" a="1"/>
  <c r="G1506" i="1" s="1"/>
  <c r="G1507" i="1" a="1"/>
  <c r="G1507" i="1" s="1"/>
  <c r="G1508" i="1" a="1"/>
  <c r="G1508" i="1" s="1"/>
  <c r="G1509" i="1" a="1"/>
  <c r="G1509" i="1" s="1"/>
  <c r="G1510" i="1" a="1"/>
  <c r="G1510" i="1" s="1"/>
  <c r="G1511" i="1" a="1"/>
  <c r="G1511" i="1" s="1"/>
  <c r="G1512" i="1" a="1"/>
  <c r="G1512" i="1" s="1"/>
  <c r="G1513" i="1" a="1"/>
  <c r="G1513" i="1" s="1"/>
  <c r="G1514" i="1" a="1"/>
  <c r="G1514" i="1" s="1"/>
  <c r="G1516" i="1" a="1"/>
  <c r="G1516" i="1" s="1"/>
  <c r="G1517" i="1" a="1"/>
  <c r="G1517" i="1" s="1"/>
  <c r="G1520" i="1" a="1"/>
  <c r="G1520" i="1" s="1"/>
  <c r="G1521" i="1" a="1"/>
  <c r="G1521" i="1" s="1"/>
  <c r="G1522" i="1" a="1"/>
  <c r="G1522" i="1" s="1"/>
  <c r="G1523" i="1" a="1"/>
  <c r="G1523" i="1" s="1"/>
  <c r="G1524" i="1" a="1"/>
  <c r="G1524" i="1" s="1"/>
  <c r="G1525" i="1" a="1"/>
  <c r="G1525" i="1" s="1"/>
  <c r="G1526" i="1" a="1"/>
  <c r="G1526" i="1" s="1"/>
  <c r="G1527" i="1" a="1"/>
  <c r="G1527" i="1" s="1"/>
  <c r="G1528" i="1" a="1"/>
  <c r="G1528" i="1" s="1"/>
  <c r="G1529" i="1" a="1"/>
  <c r="G1529" i="1" s="1"/>
  <c r="G1530" i="1" a="1"/>
  <c r="G1530" i="1" s="1"/>
  <c r="G1531" i="1" a="1"/>
  <c r="G1531" i="1" s="1"/>
  <c r="G1532" i="1" a="1"/>
  <c r="G1532" i="1" s="1"/>
  <c r="G1533" i="1" a="1"/>
  <c r="G1533" i="1" s="1"/>
  <c r="G1534" i="1" a="1"/>
  <c r="G1534" i="1" s="1"/>
  <c r="G1535" i="1" a="1"/>
  <c r="G1535" i="1" s="1"/>
  <c r="G1536" i="1" a="1"/>
  <c r="G1536" i="1" s="1"/>
  <c r="G1537" i="1" a="1"/>
  <c r="G1537" i="1" s="1"/>
  <c r="G1538" i="1" a="1"/>
  <c r="G1538" i="1" s="1"/>
  <c r="G1539" i="1" a="1"/>
  <c r="G1539" i="1" s="1"/>
  <c r="G1540" i="1" a="1"/>
  <c r="G1540" i="1" s="1"/>
  <c r="G1541" i="1" a="1"/>
  <c r="G1541" i="1" s="1"/>
  <c r="G1542" i="1" a="1"/>
  <c r="G1542" i="1" s="1"/>
  <c r="G1543" i="1" a="1"/>
  <c r="G1543" i="1" s="1"/>
  <c r="G1544" i="1" a="1"/>
  <c r="G1544" i="1" s="1"/>
  <c r="G1545" i="1" a="1"/>
  <c r="G1545" i="1" s="1"/>
  <c r="G1546" i="1" a="1"/>
  <c r="G1546" i="1" s="1"/>
  <c r="G1547" i="1" a="1"/>
  <c r="G1547" i="1" s="1"/>
  <c r="G1548" i="1" a="1"/>
  <c r="G1548" i="1" s="1"/>
  <c r="G1549" i="1" a="1"/>
  <c r="G1549" i="1" s="1"/>
  <c r="G1550" i="1" a="1"/>
  <c r="G1550" i="1" s="1"/>
  <c r="G1551" i="1" a="1"/>
  <c r="G1551" i="1" s="1"/>
  <c r="G1552" i="1" a="1"/>
  <c r="G1552" i="1" s="1"/>
  <c r="G1553" i="1" a="1"/>
  <c r="G1553" i="1" s="1"/>
  <c r="G1554" i="1" a="1"/>
  <c r="G1554" i="1" s="1"/>
  <c r="G1555" i="1" a="1"/>
  <c r="G1555" i="1" s="1"/>
  <c r="G1556" i="1" a="1"/>
  <c r="G1556" i="1" s="1"/>
  <c r="G1557" i="1" a="1"/>
  <c r="G1557" i="1" s="1"/>
  <c r="G1558" i="1" a="1"/>
  <c r="G1558" i="1" s="1"/>
  <c r="G1559" i="1" a="1"/>
  <c r="G1559" i="1" s="1"/>
  <c r="G1560" i="1" a="1"/>
  <c r="G1560" i="1" s="1"/>
  <c r="G1561" i="1" a="1"/>
  <c r="G1561" i="1" s="1"/>
  <c r="G1562" i="1" a="1"/>
  <c r="G1562" i="1" s="1"/>
  <c r="G1563" i="1" a="1"/>
  <c r="G1563" i="1" s="1"/>
  <c r="G1564" i="1" a="1"/>
  <c r="G1564" i="1" s="1"/>
  <c r="G1565" i="1" a="1"/>
  <c r="G1565" i="1" s="1"/>
  <c r="G1566" i="1" a="1"/>
  <c r="G1566" i="1" s="1"/>
  <c r="G1567" i="1" a="1"/>
  <c r="G1567" i="1" s="1"/>
  <c r="G1568" i="1" a="1"/>
  <c r="G1568" i="1" s="1"/>
  <c r="G1569" i="1" a="1"/>
  <c r="G1569" i="1" s="1"/>
  <c r="G1570" i="1" a="1"/>
  <c r="G1570" i="1" s="1"/>
  <c r="G1571" i="1" a="1"/>
  <c r="G1571" i="1" s="1"/>
  <c r="G1572" i="1" a="1"/>
  <c r="G1572" i="1" s="1"/>
  <c r="G1573" i="1" a="1"/>
  <c r="G1573" i="1" s="1"/>
  <c r="G1574" i="1" a="1"/>
  <c r="G1574" i="1" s="1"/>
  <c r="G1575" i="1" a="1"/>
  <c r="G1575" i="1" s="1"/>
  <c r="G1590" i="1" a="1"/>
  <c r="G1590" i="1" s="1"/>
  <c r="G1600" i="1" a="1"/>
  <c r="G1600" i="1" s="1"/>
  <c r="C719" i="1"/>
  <c r="D719" i="1"/>
  <c r="E719" i="1"/>
  <c r="F719" i="1" s="1" a="1"/>
  <c r="F719" i="1" s="1"/>
  <c r="C720" i="1"/>
  <c r="D720" i="1" s="1"/>
  <c r="E720" i="1" s="1"/>
  <c r="F720" i="1" s="1" a="1"/>
  <c r="F720" i="1" s="1"/>
  <c r="C721" i="1"/>
  <c r="D721" i="1" s="1"/>
  <c r="E721" i="1" s="1"/>
  <c r="F721" i="1" s="1" a="1"/>
  <c r="F721" i="1" s="1"/>
  <c r="C722" i="1"/>
  <c r="D722" i="1"/>
  <c r="E722" i="1" s="1"/>
  <c r="F722" i="1" s="1" a="1"/>
  <c r="F722" i="1" s="1"/>
  <c r="C723" i="1"/>
  <c r="D723" i="1" s="1"/>
  <c r="E723" i="1" s="1"/>
  <c r="F723" i="1" s="1" a="1"/>
  <c r="F723" i="1" s="1"/>
  <c r="C724" i="1"/>
  <c r="D724" i="1"/>
  <c r="E724" i="1" s="1"/>
  <c r="F724" i="1" s="1" a="1"/>
  <c r="F724" i="1" s="1"/>
  <c r="C725" i="1"/>
  <c r="D725" i="1"/>
  <c r="E725" i="1" s="1"/>
  <c r="F725" i="1" s="1" a="1"/>
  <c r="F725" i="1" s="1"/>
  <c r="C726" i="1"/>
  <c r="D726" i="1"/>
  <c r="E726" i="1" s="1"/>
  <c r="F726" i="1" s="1" a="1"/>
  <c r="F726" i="1" s="1"/>
  <c r="C727" i="1"/>
  <c r="D727" i="1" s="1"/>
  <c r="E727" i="1" s="1"/>
  <c r="F727" i="1" s="1" a="1"/>
  <c r="F727" i="1" s="1"/>
  <c r="C728" i="1"/>
  <c r="D728" i="1"/>
  <c r="E728" i="1" s="1"/>
  <c r="F728" i="1" s="1" a="1"/>
  <c r="F728" i="1" s="1"/>
  <c r="C729" i="1"/>
  <c r="D729" i="1" s="1"/>
  <c r="E729" i="1" s="1"/>
  <c r="F729" i="1" s="1" a="1"/>
  <c r="F729" i="1" s="1"/>
  <c r="C730" i="1"/>
  <c r="D730" i="1" s="1"/>
  <c r="E730" i="1" s="1"/>
  <c r="F730" i="1" s="1" a="1"/>
  <c r="F730" i="1" s="1"/>
  <c r="C731" i="1"/>
  <c r="D731" i="1" s="1"/>
  <c r="E731" i="1" s="1"/>
  <c r="F731" i="1" s="1" a="1"/>
  <c r="F731" i="1" s="1"/>
  <c r="C732" i="1"/>
  <c r="D732" i="1" s="1"/>
  <c r="E732" i="1" s="1"/>
  <c r="F732" i="1" s="1" a="1"/>
  <c r="F732" i="1" s="1"/>
  <c r="C733" i="1"/>
  <c r="D733" i="1" s="1"/>
  <c r="E733" i="1" s="1"/>
  <c r="F733" i="1" s="1" a="1"/>
  <c r="F733" i="1" s="1"/>
  <c r="C734" i="1"/>
  <c r="D734" i="1" s="1"/>
  <c r="E734" i="1" s="1"/>
  <c r="F734" i="1" s="1" a="1"/>
  <c r="F734" i="1" s="1"/>
  <c r="C735" i="1"/>
  <c r="D735" i="1" s="1"/>
  <c r="E735" i="1" s="1"/>
  <c r="F735" i="1" s="1" a="1"/>
  <c r="F735" i="1" s="1"/>
  <c r="C736" i="1"/>
  <c r="D736" i="1" s="1"/>
  <c r="E736" i="1" s="1"/>
  <c r="F736" i="1" s="1" a="1"/>
  <c r="F736" i="1" s="1"/>
  <c r="C737" i="1"/>
  <c r="D737" i="1" s="1"/>
  <c r="E737" i="1" s="1"/>
  <c r="F737" i="1" s="1" a="1"/>
  <c r="F737" i="1" s="1"/>
  <c r="C738" i="1"/>
  <c r="D738" i="1" s="1"/>
  <c r="E738" i="1" s="1"/>
  <c r="F738" i="1" s="1" a="1"/>
  <c r="F738" i="1" s="1"/>
  <c r="C739" i="1"/>
  <c r="D739" i="1"/>
  <c r="E739" i="1" s="1"/>
  <c r="F739" i="1" s="1" a="1"/>
  <c r="F739" i="1" s="1"/>
  <c r="C740" i="1"/>
  <c r="D740" i="1" s="1"/>
  <c r="E740" i="1" s="1"/>
  <c r="F740" i="1" s="1" a="1"/>
  <c r="F740" i="1" s="1"/>
  <c r="C741" i="1"/>
  <c r="D741" i="1"/>
  <c r="E741" i="1" s="1"/>
  <c r="F741" i="1" s="1" a="1"/>
  <c r="F741" i="1" s="1"/>
  <c r="C742" i="1"/>
  <c r="D742" i="1" s="1"/>
  <c r="E742" i="1" s="1"/>
  <c r="F742" i="1" s="1" a="1"/>
  <c r="F742" i="1" s="1"/>
  <c r="C743" i="1"/>
  <c r="D743" i="1" s="1"/>
  <c r="E743" i="1" s="1"/>
  <c r="F743" i="1" s="1" a="1"/>
  <c r="F743" i="1" s="1"/>
  <c r="C744" i="1"/>
  <c r="D744" i="1" s="1"/>
  <c r="E744" i="1" s="1"/>
  <c r="F744" i="1" s="1" a="1"/>
  <c r="F744" i="1" s="1"/>
  <c r="C745" i="1"/>
  <c r="D745" i="1" s="1"/>
  <c r="E745" i="1" s="1"/>
  <c r="F745" i="1" s="1" a="1"/>
  <c r="F745" i="1" s="1"/>
  <c r="C746" i="1"/>
  <c r="D746" i="1" s="1"/>
  <c r="E746" i="1" s="1"/>
  <c r="F746" i="1" s="1" a="1"/>
  <c r="F746" i="1" s="1"/>
  <c r="C747" i="1"/>
  <c r="D747" i="1" s="1"/>
  <c r="E747" i="1" s="1"/>
  <c r="F747" i="1" s="1" a="1"/>
  <c r="F747" i="1" s="1"/>
  <c r="C748" i="1"/>
  <c r="D748" i="1" s="1"/>
  <c r="E748" i="1" s="1"/>
  <c r="F748" i="1" s="1" a="1"/>
  <c r="F748" i="1" s="1"/>
  <c r="C749" i="1"/>
  <c r="D749" i="1" s="1"/>
  <c r="E749" i="1" s="1"/>
  <c r="F749" i="1" s="1" a="1"/>
  <c r="F749" i="1" s="1"/>
  <c r="C750" i="1"/>
  <c r="D750" i="1" s="1"/>
  <c r="E750" i="1" s="1"/>
  <c r="F750" i="1" s="1" a="1"/>
  <c r="F750" i="1" s="1"/>
  <c r="C751" i="1"/>
  <c r="D751" i="1" s="1"/>
  <c r="E751" i="1" s="1"/>
  <c r="F751" i="1" s="1" a="1"/>
  <c r="F751" i="1" s="1"/>
  <c r="C752" i="1"/>
  <c r="D752" i="1" s="1"/>
  <c r="E752" i="1" s="1"/>
  <c r="F752" i="1" s="1" a="1"/>
  <c r="F752" i="1" s="1"/>
  <c r="C753" i="1"/>
  <c r="D753" i="1"/>
  <c r="E753" i="1" s="1"/>
  <c r="F753" i="1" s="1" a="1"/>
  <c r="F753" i="1" s="1"/>
  <c r="C754" i="1"/>
  <c r="D754" i="1" s="1"/>
  <c r="E754" i="1" s="1"/>
  <c r="F754" i="1" s="1" a="1"/>
  <c r="F754" i="1" s="1"/>
  <c r="C755" i="1"/>
  <c r="D755" i="1" s="1"/>
  <c r="E755" i="1" s="1"/>
  <c r="F755" i="1" s="1" a="1"/>
  <c r="F755" i="1" s="1"/>
  <c r="C756" i="1"/>
  <c r="D756" i="1" s="1"/>
  <c r="E756" i="1" s="1"/>
  <c r="F756" i="1" s="1" a="1"/>
  <c r="F756" i="1" s="1"/>
  <c r="C757" i="1"/>
  <c r="D757" i="1" s="1"/>
  <c r="E757" i="1" s="1"/>
  <c r="F757" i="1" s="1" a="1"/>
  <c r="F757" i="1" s="1"/>
  <c r="C758" i="1"/>
  <c r="D758" i="1"/>
  <c r="E758" i="1" s="1"/>
  <c r="F758" i="1" s="1" a="1"/>
  <c r="F758" i="1" s="1"/>
  <c r="C759" i="1"/>
  <c r="D759" i="1" s="1"/>
  <c r="E759" i="1" s="1"/>
  <c r="F759" i="1" s="1" a="1"/>
  <c r="F759" i="1" s="1"/>
  <c r="C760" i="1"/>
  <c r="D760" i="1" s="1"/>
  <c r="E760" i="1" s="1"/>
  <c r="F760" i="1" s="1" a="1"/>
  <c r="F760" i="1" s="1"/>
  <c r="C761" i="1"/>
  <c r="D761" i="1" s="1"/>
  <c r="E761" i="1" s="1"/>
  <c r="F761" i="1" s="1" a="1"/>
  <c r="F761" i="1" s="1"/>
  <c r="C762" i="1"/>
  <c r="D762" i="1"/>
  <c r="E762" i="1" s="1"/>
  <c r="F762" i="1" s="1" a="1"/>
  <c r="F762" i="1" s="1"/>
  <c r="C763" i="1"/>
  <c r="D763" i="1" s="1"/>
  <c r="E763" i="1" s="1"/>
  <c r="F763" i="1" s="1" a="1"/>
  <c r="F763" i="1" s="1"/>
  <c r="C764" i="1"/>
  <c r="D764" i="1" s="1"/>
  <c r="E764" i="1" s="1"/>
  <c r="F764" i="1" s="1" a="1"/>
  <c r="F764" i="1" s="1"/>
  <c r="C765" i="1"/>
  <c r="D765" i="1" s="1"/>
  <c r="E765" i="1" s="1"/>
  <c r="F765" i="1" s="1" a="1"/>
  <c r="F765" i="1" s="1"/>
  <c r="C766" i="1"/>
  <c r="D766" i="1" s="1"/>
  <c r="E766" i="1" s="1"/>
  <c r="F766" i="1" s="1" a="1"/>
  <c r="F766" i="1" s="1"/>
  <c r="C767" i="1"/>
  <c r="D767" i="1" s="1"/>
  <c r="E767" i="1" s="1"/>
  <c r="F767" i="1" s="1" a="1"/>
  <c r="F767" i="1" s="1"/>
  <c r="C768" i="1"/>
  <c r="D768" i="1"/>
  <c r="E768" i="1" s="1"/>
  <c r="F768" i="1" s="1" a="1"/>
  <c r="F768" i="1" s="1"/>
  <c r="C769" i="1"/>
  <c r="D769" i="1" s="1"/>
  <c r="E769" i="1" s="1"/>
  <c r="F769" i="1" s="1" a="1"/>
  <c r="F769" i="1" s="1"/>
  <c r="C770" i="1"/>
  <c r="D770" i="1" s="1"/>
  <c r="E770" i="1" s="1"/>
  <c r="F770" i="1" s="1" a="1"/>
  <c r="F770" i="1" s="1"/>
  <c r="C771" i="1"/>
  <c r="D771" i="1" s="1"/>
  <c r="E771" i="1" s="1"/>
  <c r="F771" i="1" s="1" a="1"/>
  <c r="F771" i="1" s="1"/>
  <c r="C772" i="1"/>
  <c r="D772" i="1" s="1"/>
  <c r="E772" i="1" s="1"/>
  <c r="F772" i="1" s="1" a="1"/>
  <c r="F772" i="1" s="1"/>
  <c r="C773" i="1"/>
  <c r="D773" i="1" s="1"/>
  <c r="E773" i="1" s="1"/>
  <c r="F773" i="1" s="1" a="1"/>
  <c r="F773" i="1" s="1"/>
  <c r="C774" i="1"/>
  <c r="D774" i="1"/>
  <c r="E774" i="1" s="1"/>
  <c r="F774" i="1" s="1" a="1"/>
  <c r="F774" i="1" s="1"/>
  <c r="C775" i="1"/>
  <c r="D775" i="1" s="1"/>
  <c r="E775" i="1" s="1"/>
  <c r="F775" i="1" s="1" a="1"/>
  <c r="F775" i="1" s="1"/>
  <c r="C776" i="1"/>
  <c r="D776" i="1" s="1"/>
  <c r="E776" i="1" s="1"/>
  <c r="F776" i="1" s="1" a="1"/>
  <c r="F776" i="1" s="1"/>
  <c r="C777" i="1"/>
  <c r="D777" i="1"/>
  <c r="E777" i="1" s="1"/>
  <c r="F777" i="1" s="1" a="1"/>
  <c r="F777" i="1" s="1"/>
  <c r="C778" i="1"/>
  <c r="D778" i="1" s="1"/>
  <c r="E778" i="1" s="1"/>
  <c r="F778" i="1" s="1" a="1"/>
  <c r="F778" i="1" s="1"/>
  <c r="C779" i="1"/>
  <c r="D779" i="1" s="1"/>
  <c r="E779" i="1" s="1"/>
  <c r="F779" i="1" s="1" a="1"/>
  <c r="F779" i="1" s="1"/>
  <c r="C780" i="1"/>
  <c r="D780" i="1" s="1"/>
  <c r="E780" i="1" s="1"/>
  <c r="F780" i="1" s="1" a="1"/>
  <c r="F780" i="1" s="1"/>
  <c r="C781" i="1"/>
  <c r="D781" i="1" s="1"/>
  <c r="E781" i="1" s="1"/>
  <c r="F781" i="1" s="1" a="1"/>
  <c r="F781" i="1" s="1"/>
  <c r="C782" i="1"/>
  <c r="D782" i="1" s="1"/>
  <c r="E782" i="1" s="1"/>
  <c r="F782" i="1" s="1" a="1"/>
  <c r="F782" i="1" s="1"/>
  <c r="C783" i="1"/>
  <c r="D783" i="1" s="1"/>
  <c r="E783" i="1" s="1"/>
  <c r="F783" i="1" s="1" a="1"/>
  <c r="F783" i="1" s="1"/>
  <c r="C784" i="1"/>
  <c r="D784" i="1" s="1"/>
  <c r="E784" i="1" s="1"/>
  <c r="F784" i="1" s="1" a="1"/>
  <c r="F784" i="1" s="1"/>
  <c r="C785" i="1"/>
  <c r="D785" i="1" s="1"/>
  <c r="E785" i="1" s="1"/>
  <c r="F785" i="1" s="1" a="1"/>
  <c r="F785" i="1" s="1"/>
  <c r="C786" i="1"/>
  <c r="D786" i="1" s="1"/>
  <c r="E786" i="1" s="1"/>
  <c r="F786" i="1" s="1" a="1"/>
  <c r="F786" i="1" s="1"/>
  <c r="C787" i="1"/>
  <c r="D787" i="1"/>
  <c r="E787" i="1" s="1"/>
  <c r="F787" i="1" s="1" a="1"/>
  <c r="F787" i="1" s="1"/>
  <c r="C788" i="1"/>
  <c r="D788" i="1" s="1"/>
  <c r="E788" i="1" s="1"/>
  <c r="F788" i="1" s="1" a="1"/>
  <c r="F788" i="1" s="1"/>
  <c r="C789" i="1"/>
  <c r="D789" i="1" s="1"/>
  <c r="E789" i="1" s="1"/>
  <c r="F789" i="1" s="1" a="1"/>
  <c r="F789" i="1" s="1"/>
  <c r="C790" i="1"/>
  <c r="D790" i="1" s="1"/>
  <c r="E790" i="1" s="1"/>
  <c r="F790" i="1" s="1" a="1"/>
  <c r="F790" i="1" s="1"/>
  <c r="C791" i="1"/>
  <c r="D791" i="1" s="1"/>
  <c r="E791" i="1" s="1"/>
  <c r="F791" i="1" s="1" a="1"/>
  <c r="F791" i="1" s="1"/>
  <c r="C792" i="1"/>
  <c r="D792" i="1" s="1"/>
  <c r="E792" i="1" s="1"/>
  <c r="F792" i="1" s="1" a="1"/>
  <c r="F792" i="1" s="1"/>
  <c r="C793" i="1"/>
  <c r="D793" i="1" s="1"/>
  <c r="E793" i="1" s="1"/>
  <c r="F793" i="1" s="1" a="1"/>
  <c r="F793" i="1" s="1"/>
  <c r="C794" i="1"/>
  <c r="D794" i="1" s="1"/>
  <c r="E794" i="1" s="1"/>
  <c r="F794" i="1" s="1" a="1"/>
  <c r="F794" i="1" s="1"/>
  <c r="C795" i="1"/>
  <c r="D795" i="1" s="1"/>
  <c r="E795" i="1" s="1"/>
  <c r="F795" i="1" s="1" a="1"/>
  <c r="F795" i="1" s="1"/>
  <c r="C796" i="1"/>
  <c r="D796" i="1" s="1"/>
  <c r="E796" i="1" s="1"/>
  <c r="F796" i="1" s="1" a="1"/>
  <c r="F796" i="1" s="1"/>
  <c r="C797" i="1"/>
  <c r="D797" i="1"/>
  <c r="E797" i="1" s="1"/>
  <c r="F797" i="1" s="1" a="1"/>
  <c r="F797" i="1" s="1"/>
  <c r="C798" i="1"/>
  <c r="D798" i="1" s="1"/>
  <c r="E798" i="1" s="1"/>
  <c r="F798" i="1" s="1" a="1"/>
  <c r="F798" i="1" s="1"/>
  <c r="C799" i="1"/>
  <c r="D799" i="1" s="1"/>
  <c r="E799" i="1" s="1"/>
  <c r="F799" i="1" s="1" a="1"/>
  <c r="F799" i="1" s="1"/>
  <c r="C800" i="1"/>
  <c r="D800" i="1" s="1"/>
  <c r="E800" i="1" s="1"/>
  <c r="F800" i="1" s="1" a="1"/>
  <c r="F800" i="1" s="1"/>
  <c r="C801" i="1"/>
  <c r="D801" i="1" s="1"/>
  <c r="E801" i="1" s="1"/>
  <c r="F801" i="1" s="1" a="1"/>
  <c r="F801" i="1" s="1"/>
  <c r="C802" i="1"/>
  <c r="D802" i="1" s="1"/>
  <c r="E802" i="1" s="1"/>
  <c r="C803" i="1"/>
  <c r="D803" i="1" s="1"/>
  <c r="E803" i="1" s="1"/>
  <c r="F803" i="1" s="1" a="1"/>
  <c r="F803" i="1" s="1"/>
  <c r="C804" i="1"/>
  <c r="D804" i="1" s="1"/>
  <c r="E804" i="1" s="1"/>
  <c r="F804" i="1" s="1" a="1"/>
  <c r="F804" i="1" s="1"/>
  <c r="C805" i="1"/>
  <c r="D805" i="1" s="1"/>
  <c r="E805" i="1" s="1"/>
  <c r="F805" i="1" s="1" a="1"/>
  <c r="F805" i="1" s="1"/>
  <c r="C806" i="1"/>
  <c r="D806" i="1" s="1"/>
  <c r="E806" i="1" s="1"/>
  <c r="F806" i="1" s="1" a="1"/>
  <c r="F806" i="1" s="1"/>
  <c r="C807" i="1"/>
  <c r="D807" i="1" s="1"/>
  <c r="E807" i="1" s="1"/>
  <c r="F807" i="1" s="1" a="1"/>
  <c r="F807" i="1" s="1"/>
  <c r="C808" i="1"/>
  <c r="D808" i="1" s="1"/>
  <c r="E808" i="1" s="1"/>
  <c r="F808" i="1" s="1" a="1"/>
  <c r="F808" i="1" s="1"/>
  <c r="C809" i="1"/>
  <c r="D809" i="1" s="1"/>
  <c r="E809" i="1" s="1"/>
  <c r="F809" i="1" s="1" a="1"/>
  <c r="F809" i="1" s="1"/>
  <c r="C810" i="1"/>
  <c r="D810" i="1" s="1"/>
  <c r="E810" i="1" s="1"/>
  <c r="F810" i="1" s="1" a="1"/>
  <c r="F810" i="1" s="1"/>
  <c r="C811" i="1"/>
  <c r="D811" i="1" s="1"/>
  <c r="E811" i="1" s="1"/>
  <c r="F811" i="1" s="1" a="1"/>
  <c r="F811" i="1" s="1"/>
  <c r="C812" i="1"/>
  <c r="D812" i="1"/>
  <c r="E812" i="1" s="1"/>
  <c r="F812" i="1" s="1" a="1"/>
  <c r="F812" i="1" s="1"/>
  <c r="C813" i="1"/>
  <c r="D813" i="1" s="1"/>
  <c r="E813" i="1" s="1"/>
  <c r="F813" i="1" s="1" a="1"/>
  <c r="F813" i="1" s="1"/>
  <c r="C814" i="1"/>
  <c r="D814" i="1" s="1"/>
  <c r="E814" i="1" s="1"/>
  <c r="F814" i="1" s="1" a="1"/>
  <c r="F814" i="1" s="1"/>
  <c r="C815" i="1"/>
  <c r="D815" i="1" s="1"/>
  <c r="E815" i="1" s="1"/>
  <c r="F815" i="1" s="1" a="1"/>
  <c r="F815" i="1" s="1"/>
  <c r="C816" i="1"/>
  <c r="D816" i="1" s="1"/>
  <c r="E816" i="1" s="1"/>
  <c r="F816" i="1" s="1" a="1"/>
  <c r="F816" i="1" s="1"/>
  <c r="C817" i="1"/>
  <c r="D817" i="1" s="1"/>
  <c r="E817" i="1" s="1"/>
  <c r="F817" i="1" s="1" a="1"/>
  <c r="F817" i="1" s="1"/>
  <c r="C818" i="1"/>
  <c r="D818" i="1" s="1"/>
  <c r="E818" i="1" s="1"/>
  <c r="F818" i="1" s="1" a="1"/>
  <c r="F818" i="1" s="1"/>
  <c r="C819" i="1"/>
  <c r="D819" i="1" s="1"/>
  <c r="E819" i="1" s="1"/>
  <c r="F819" i="1" s="1" a="1"/>
  <c r="F819" i="1" s="1"/>
  <c r="C820" i="1"/>
  <c r="D820" i="1" s="1"/>
  <c r="E820" i="1" s="1"/>
  <c r="F820" i="1" s="1" a="1"/>
  <c r="F820" i="1" s="1"/>
  <c r="C821" i="1"/>
  <c r="D821" i="1" s="1"/>
  <c r="E821" i="1" s="1"/>
  <c r="F821" i="1" s="1" a="1"/>
  <c r="F821" i="1" s="1"/>
  <c r="C822" i="1"/>
  <c r="D822" i="1" s="1"/>
  <c r="E822" i="1" s="1"/>
  <c r="F822" i="1" s="1" a="1"/>
  <c r="F822" i="1" s="1"/>
  <c r="C823" i="1"/>
  <c r="D823" i="1" s="1"/>
  <c r="E823" i="1" s="1"/>
  <c r="F823" i="1" s="1" a="1"/>
  <c r="F823" i="1" s="1"/>
  <c r="C824" i="1"/>
  <c r="D824" i="1"/>
  <c r="E824" i="1" s="1"/>
  <c r="F824" i="1" s="1" a="1"/>
  <c r="F824" i="1" s="1"/>
  <c r="C825" i="1"/>
  <c r="D825" i="1" s="1"/>
  <c r="E825" i="1" s="1"/>
  <c r="F825" i="1" s="1" a="1"/>
  <c r="F825" i="1" s="1"/>
  <c r="C826" i="1"/>
  <c r="D826" i="1" s="1"/>
  <c r="E826" i="1" s="1"/>
  <c r="F826" i="1" s="1" a="1"/>
  <c r="F826" i="1" s="1"/>
  <c r="C827" i="1"/>
  <c r="D827" i="1" s="1"/>
  <c r="E827" i="1" s="1"/>
  <c r="F827" i="1" s="1" a="1"/>
  <c r="F827" i="1" s="1"/>
  <c r="C828" i="1"/>
  <c r="D828" i="1" s="1"/>
  <c r="E828" i="1" s="1"/>
  <c r="F828" i="1" s="1" a="1"/>
  <c r="F828" i="1" s="1"/>
  <c r="C829" i="1"/>
  <c r="D829" i="1" s="1"/>
  <c r="E829" i="1" s="1"/>
  <c r="F829" i="1" s="1" a="1"/>
  <c r="F829" i="1" s="1"/>
  <c r="C830" i="1"/>
  <c r="D830" i="1"/>
  <c r="E830" i="1" s="1"/>
  <c r="F830" i="1" s="1" a="1"/>
  <c r="F830" i="1" s="1"/>
  <c r="C831" i="1"/>
  <c r="D831" i="1" s="1"/>
  <c r="E831" i="1" s="1"/>
  <c r="F831" i="1" s="1" a="1"/>
  <c r="F831" i="1" s="1"/>
  <c r="C832" i="1"/>
  <c r="D832" i="1" s="1"/>
  <c r="E832" i="1" s="1"/>
  <c r="F832" i="1" s="1" a="1"/>
  <c r="F832" i="1" s="1"/>
  <c r="C833" i="1"/>
  <c r="D833" i="1" s="1"/>
  <c r="E833" i="1" s="1"/>
  <c r="F833" i="1" s="1" a="1"/>
  <c r="F833" i="1" s="1"/>
  <c r="C834" i="1"/>
  <c r="D834" i="1"/>
  <c r="E834" i="1" s="1"/>
  <c r="F834" i="1" s="1" a="1"/>
  <c r="F834" i="1" s="1"/>
  <c r="C835" i="1"/>
  <c r="D835" i="1" s="1"/>
  <c r="E835" i="1" s="1"/>
  <c r="F835" i="1" s="1" a="1"/>
  <c r="F835" i="1" s="1"/>
  <c r="C836" i="1"/>
  <c r="D836" i="1" s="1"/>
  <c r="E836" i="1" s="1"/>
  <c r="F836" i="1" s="1" a="1"/>
  <c r="F836" i="1" s="1"/>
  <c r="C837" i="1"/>
  <c r="D837" i="1" s="1"/>
  <c r="E837" i="1" s="1"/>
  <c r="F837" i="1" s="1" a="1"/>
  <c r="F837" i="1" s="1"/>
  <c r="C838" i="1"/>
  <c r="D838" i="1"/>
  <c r="E838" i="1" s="1"/>
  <c r="F838" i="1" s="1" a="1"/>
  <c r="F838" i="1" s="1"/>
  <c r="C839" i="1"/>
  <c r="D839" i="1" s="1"/>
  <c r="E839" i="1" s="1"/>
  <c r="F839" i="1" s="1" a="1"/>
  <c r="F839" i="1" s="1"/>
  <c r="C840" i="1"/>
  <c r="D840" i="1" s="1"/>
  <c r="E840" i="1" s="1"/>
  <c r="F840" i="1" s="1" a="1"/>
  <c r="F840" i="1" s="1"/>
  <c r="C841" i="1"/>
  <c r="D841" i="1" s="1"/>
  <c r="E841" i="1" s="1"/>
  <c r="F841" i="1" s="1" a="1"/>
  <c r="F841" i="1" s="1"/>
  <c r="C842" i="1"/>
  <c r="D842" i="1" s="1"/>
  <c r="E842" i="1" s="1"/>
  <c r="F842" i="1" s="1" a="1"/>
  <c r="F842" i="1" s="1"/>
  <c r="C843" i="1"/>
  <c r="D843" i="1" s="1"/>
  <c r="E843" i="1" s="1"/>
  <c r="F843" i="1" s="1" a="1"/>
  <c r="F843" i="1" s="1"/>
  <c r="C844" i="1"/>
  <c r="D844" i="1" s="1"/>
  <c r="E844" i="1" s="1"/>
  <c r="F844" i="1" s="1" a="1"/>
  <c r="F844" i="1" s="1"/>
  <c r="C845" i="1"/>
  <c r="D845" i="1"/>
  <c r="E845" i="1" s="1"/>
  <c r="F845" i="1" s="1" a="1"/>
  <c r="F845" i="1" s="1"/>
  <c r="C846" i="1"/>
  <c r="D846" i="1" s="1"/>
  <c r="E846" i="1" s="1"/>
  <c r="F846" i="1" s="1" a="1"/>
  <c r="F846" i="1" s="1"/>
  <c r="C847" i="1"/>
  <c r="D847" i="1" s="1"/>
  <c r="E847" i="1" s="1"/>
  <c r="F847" i="1" s="1" a="1"/>
  <c r="F847" i="1" s="1"/>
  <c r="C848" i="1"/>
  <c r="D848" i="1" s="1"/>
  <c r="E848" i="1" s="1"/>
  <c r="F848" i="1" s="1" a="1"/>
  <c r="F848" i="1" s="1"/>
  <c r="C849" i="1"/>
  <c r="D849" i="1" s="1"/>
  <c r="E849" i="1" s="1"/>
  <c r="F849" i="1" s="1" a="1"/>
  <c r="F849" i="1" s="1"/>
  <c r="C850" i="1"/>
  <c r="D850" i="1" s="1"/>
  <c r="E850" i="1" s="1"/>
  <c r="F850" i="1" s="1" a="1"/>
  <c r="F850" i="1" s="1"/>
  <c r="C851" i="1"/>
  <c r="D851" i="1" s="1"/>
  <c r="E851" i="1" s="1"/>
  <c r="F851" i="1" s="1" a="1"/>
  <c r="F851" i="1" s="1"/>
  <c r="C852" i="1"/>
  <c r="D852" i="1" s="1"/>
  <c r="E852" i="1" s="1"/>
  <c r="F852" i="1" s="1" a="1"/>
  <c r="F852" i="1" s="1"/>
  <c r="C853" i="1"/>
  <c r="D853" i="1" s="1"/>
  <c r="E853" i="1" s="1"/>
  <c r="F853" i="1" s="1" a="1"/>
  <c r="F853" i="1" s="1"/>
  <c r="C854" i="1"/>
  <c r="D854" i="1" s="1"/>
  <c r="E854" i="1" s="1"/>
  <c r="F854" i="1" s="1" a="1"/>
  <c r="F854" i="1" s="1"/>
  <c r="C855" i="1"/>
  <c r="D855" i="1" s="1"/>
  <c r="E855" i="1" s="1"/>
  <c r="F855" i="1" s="1" a="1"/>
  <c r="F855" i="1" s="1"/>
  <c r="C856" i="1"/>
  <c r="D856" i="1" s="1"/>
  <c r="E856" i="1" s="1"/>
  <c r="F856" i="1" s="1" a="1"/>
  <c r="F856" i="1" s="1"/>
  <c r="C857" i="1"/>
  <c r="D857" i="1" s="1"/>
  <c r="E857" i="1" s="1"/>
  <c r="C858" i="1"/>
  <c r="D858" i="1" s="1"/>
  <c r="E858" i="1" s="1"/>
  <c r="F858" i="1" s="1" a="1"/>
  <c r="F858" i="1" s="1"/>
  <c r="C859" i="1"/>
  <c r="D859" i="1" s="1"/>
  <c r="E859" i="1" s="1"/>
  <c r="F859" i="1" s="1" a="1"/>
  <c r="F859" i="1" s="1"/>
  <c r="C860" i="1"/>
  <c r="D860" i="1" s="1"/>
  <c r="E860" i="1" s="1"/>
  <c r="F860" i="1" s="1" a="1"/>
  <c r="F860" i="1" s="1"/>
  <c r="C861" i="1"/>
  <c r="D861" i="1"/>
  <c r="E861" i="1" s="1"/>
  <c r="F861" i="1" s="1" a="1"/>
  <c r="F861" i="1" s="1"/>
  <c r="C862" i="1"/>
  <c r="D862" i="1" s="1"/>
  <c r="E862" i="1" s="1"/>
  <c r="F862" i="1" s="1" a="1"/>
  <c r="F862" i="1" s="1"/>
  <c r="C863" i="1"/>
  <c r="D863" i="1" s="1"/>
  <c r="E863" i="1" s="1"/>
  <c r="F863" i="1" s="1" a="1"/>
  <c r="F863" i="1" s="1"/>
  <c r="C864" i="1"/>
  <c r="D864" i="1" s="1"/>
  <c r="E864" i="1" s="1"/>
  <c r="F864" i="1" s="1" a="1"/>
  <c r="F864" i="1" s="1"/>
  <c r="C865" i="1"/>
  <c r="D865" i="1" s="1"/>
  <c r="E865" i="1" s="1"/>
  <c r="F865" i="1" s="1" a="1"/>
  <c r="F865" i="1" s="1"/>
  <c r="C866" i="1"/>
  <c r="D866" i="1" s="1"/>
  <c r="E866" i="1" s="1"/>
  <c r="F866" i="1" s="1" a="1"/>
  <c r="F866" i="1" s="1"/>
  <c r="C867" i="1"/>
  <c r="D867" i="1"/>
  <c r="E867" i="1" s="1"/>
  <c r="F867" i="1" s="1" a="1"/>
  <c r="F867" i="1" s="1"/>
  <c r="C868" i="1"/>
  <c r="D868" i="1" s="1"/>
  <c r="E868" i="1" s="1"/>
  <c r="F868" i="1" s="1" a="1"/>
  <c r="F868" i="1" s="1"/>
  <c r="C869" i="1"/>
  <c r="D869" i="1" s="1"/>
  <c r="E869" i="1" s="1"/>
  <c r="F869" i="1" s="1" a="1"/>
  <c r="F869" i="1" s="1"/>
  <c r="C870" i="1"/>
  <c r="D870" i="1" s="1"/>
  <c r="E870" i="1" s="1"/>
  <c r="F870" i="1" s="1" a="1"/>
  <c r="F870" i="1" s="1"/>
  <c r="C871" i="1"/>
  <c r="D871" i="1" s="1"/>
  <c r="E871" i="1" s="1"/>
  <c r="F871" i="1" s="1" a="1"/>
  <c r="F871" i="1" s="1"/>
  <c r="C872" i="1"/>
  <c r="D872" i="1" s="1"/>
  <c r="E872" i="1" s="1"/>
  <c r="F872" i="1" s="1" a="1"/>
  <c r="F872" i="1" s="1"/>
  <c r="C873" i="1"/>
  <c r="D873" i="1" s="1"/>
  <c r="E873" i="1" s="1"/>
  <c r="F873" i="1" s="1" a="1"/>
  <c r="F873" i="1" s="1"/>
  <c r="C874" i="1"/>
  <c r="D874" i="1" s="1"/>
  <c r="E874" i="1" s="1"/>
  <c r="F874" i="1" s="1" a="1"/>
  <c r="F874" i="1" s="1"/>
  <c r="C875" i="1"/>
  <c r="D875" i="1" s="1"/>
  <c r="E875" i="1" s="1"/>
  <c r="F875" i="1" s="1" a="1"/>
  <c r="F875" i="1" s="1"/>
  <c r="C876" i="1"/>
  <c r="D876" i="1" s="1"/>
  <c r="E876" i="1" s="1"/>
  <c r="F876" i="1" s="1" a="1"/>
  <c r="F876" i="1" s="1"/>
  <c r="C877" i="1"/>
  <c r="D877" i="1" s="1"/>
  <c r="E877" i="1" s="1"/>
  <c r="F877" i="1" s="1" a="1"/>
  <c r="F877" i="1" s="1"/>
  <c r="C878" i="1"/>
  <c r="D878" i="1"/>
  <c r="E878" i="1" s="1"/>
  <c r="F878" i="1" s="1" a="1"/>
  <c r="F878" i="1" s="1"/>
  <c r="C879" i="1"/>
  <c r="D879" i="1"/>
  <c r="E879" i="1" s="1"/>
  <c r="F879" i="1" s="1" a="1"/>
  <c r="F879" i="1" s="1"/>
  <c r="C880" i="1"/>
  <c r="D880" i="1"/>
  <c r="E880" i="1" s="1"/>
  <c r="F880" i="1" s="1" a="1"/>
  <c r="F880" i="1" s="1"/>
  <c r="C881" i="1"/>
  <c r="D881" i="1" s="1"/>
  <c r="E881" i="1" s="1"/>
  <c r="F881" i="1" s="1" a="1"/>
  <c r="F881" i="1" s="1"/>
  <c r="C882" i="1"/>
  <c r="D882" i="1"/>
  <c r="E882" i="1" s="1"/>
  <c r="F882" i="1" s="1" a="1"/>
  <c r="F882" i="1" s="1"/>
  <c r="C883" i="1"/>
  <c r="D883" i="1" s="1"/>
  <c r="E883" i="1" s="1"/>
  <c r="F883" i="1" s="1" a="1"/>
  <c r="F883" i="1" s="1"/>
  <c r="C884" i="1"/>
  <c r="D884" i="1"/>
  <c r="E884" i="1" s="1"/>
  <c r="F884" i="1" s="1" a="1"/>
  <c r="F884" i="1" s="1"/>
  <c r="C885" i="1"/>
  <c r="D885" i="1" s="1"/>
  <c r="E885" i="1" s="1"/>
  <c r="F885" i="1" s="1" a="1"/>
  <c r="F885" i="1" s="1"/>
  <c r="C886" i="1"/>
  <c r="D886" i="1" s="1"/>
  <c r="E886" i="1" s="1"/>
  <c r="F886" i="1" s="1" a="1"/>
  <c r="F886" i="1" s="1"/>
  <c r="C887" i="1"/>
  <c r="D887" i="1"/>
  <c r="E887" i="1" s="1"/>
  <c r="F887" i="1" s="1" a="1"/>
  <c r="F887" i="1" s="1"/>
  <c r="C888" i="1"/>
  <c r="D888" i="1" s="1"/>
  <c r="E888" i="1" s="1"/>
  <c r="F888" i="1" s="1" a="1"/>
  <c r="F888" i="1" s="1"/>
  <c r="C889" i="1"/>
  <c r="D889" i="1" s="1"/>
  <c r="E889" i="1" s="1"/>
  <c r="F889" i="1" s="1" a="1"/>
  <c r="F889" i="1" s="1"/>
  <c r="C890" i="1"/>
  <c r="D890" i="1" s="1"/>
  <c r="E890" i="1" s="1"/>
  <c r="F890" i="1" s="1" a="1"/>
  <c r="F890" i="1" s="1"/>
  <c r="C891" i="1"/>
  <c r="D891" i="1" s="1"/>
  <c r="E891" i="1" s="1"/>
  <c r="C892" i="1"/>
  <c r="D892" i="1" s="1"/>
  <c r="E892" i="1" s="1"/>
  <c r="C893" i="1"/>
  <c r="D893" i="1" s="1"/>
  <c r="E893" i="1" s="1"/>
  <c r="F893" i="1" s="1" a="1"/>
  <c r="F893" i="1" s="1"/>
  <c r="C894" i="1"/>
  <c r="D894" i="1" s="1"/>
  <c r="E894" i="1" s="1"/>
  <c r="F894" i="1" s="1" a="1"/>
  <c r="F894" i="1" s="1"/>
  <c r="C895" i="1"/>
  <c r="D895" i="1"/>
  <c r="E895" i="1" s="1"/>
  <c r="F895" i="1" s="1" a="1"/>
  <c r="F895" i="1" s="1"/>
  <c r="C896" i="1"/>
  <c r="D896" i="1" s="1"/>
  <c r="E896" i="1" s="1"/>
  <c r="C897" i="1"/>
  <c r="D897" i="1" s="1"/>
  <c r="E897" i="1" s="1"/>
  <c r="F897" i="1" s="1" a="1"/>
  <c r="F897" i="1" s="1"/>
  <c r="C898" i="1"/>
  <c r="D898" i="1" s="1"/>
  <c r="E898" i="1" s="1"/>
  <c r="F898" i="1" s="1" a="1"/>
  <c r="F898" i="1" s="1"/>
  <c r="C899" i="1"/>
  <c r="D899" i="1" s="1"/>
  <c r="E899" i="1" s="1"/>
  <c r="F899" i="1" s="1" a="1"/>
  <c r="F899" i="1" s="1"/>
  <c r="C900" i="1"/>
  <c r="D900" i="1" s="1"/>
  <c r="E900" i="1" s="1"/>
  <c r="F900" i="1" s="1" a="1"/>
  <c r="F900" i="1" s="1"/>
  <c r="C901" i="1"/>
  <c r="D901" i="1" s="1"/>
  <c r="E901" i="1" s="1"/>
  <c r="F901" i="1" s="1" a="1"/>
  <c r="F901" i="1" s="1"/>
  <c r="C902" i="1"/>
  <c r="D902" i="1" s="1"/>
  <c r="E902" i="1" s="1"/>
  <c r="C903" i="1"/>
  <c r="D903" i="1" s="1"/>
  <c r="E903" i="1" s="1"/>
  <c r="F903" i="1" s="1" a="1"/>
  <c r="F903" i="1" s="1"/>
  <c r="C904" i="1"/>
  <c r="D904" i="1" s="1"/>
  <c r="E904" i="1" s="1"/>
  <c r="F904" i="1" s="1" a="1"/>
  <c r="F904" i="1" s="1"/>
  <c r="C905" i="1"/>
  <c r="D905" i="1" s="1"/>
  <c r="E905" i="1" s="1"/>
  <c r="F905" i="1" s="1" a="1"/>
  <c r="F905" i="1" s="1"/>
  <c r="C906" i="1"/>
  <c r="D906" i="1" s="1"/>
  <c r="E906" i="1" s="1"/>
  <c r="F906" i="1" s="1" a="1"/>
  <c r="F906" i="1" s="1"/>
  <c r="C907" i="1"/>
  <c r="D907" i="1" s="1"/>
  <c r="E907" i="1" s="1"/>
  <c r="F907" i="1" s="1" a="1"/>
  <c r="F907" i="1" s="1"/>
  <c r="C908" i="1"/>
  <c r="D908" i="1" s="1"/>
  <c r="E908" i="1" s="1"/>
  <c r="C909" i="1"/>
  <c r="D909" i="1" s="1"/>
  <c r="E909" i="1" s="1"/>
  <c r="F909" i="1" s="1" a="1"/>
  <c r="F909" i="1" s="1"/>
  <c r="C910" i="1"/>
  <c r="D910" i="1" s="1"/>
  <c r="E910" i="1" s="1"/>
  <c r="F910" i="1" s="1" a="1"/>
  <c r="F910" i="1" s="1"/>
  <c r="C911" i="1"/>
  <c r="D911" i="1" s="1"/>
  <c r="E911" i="1" s="1"/>
  <c r="F911" i="1" s="1" a="1"/>
  <c r="F911" i="1" s="1"/>
  <c r="C912" i="1"/>
  <c r="D912" i="1" s="1"/>
  <c r="E912" i="1" s="1"/>
  <c r="F912" i="1" s="1" a="1"/>
  <c r="F912" i="1" s="1"/>
  <c r="C913" i="1"/>
  <c r="D913" i="1" s="1"/>
  <c r="E913" i="1" s="1"/>
  <c r="F913" i="1" s="1" a="1"/>
  <c r="F913" i="1" s="1"/>
  <c r="C914" i="1"/>
  <c r="D914" i="1" s="1"/>
  <c r="E914" i="1" s="1"/>
  <c r="F914" i="1" s="1" a="1"/>
  <c r="F914" i="1" s="1"/>
  <c r="C915" i="1"/>
  <c r="D915" i="1" s="1"/>
  <c r="E915" i="1" s="1"/>
  <c r="F915" i="1" s="1" a="1"/>
  <c r="F915" i="1" s="1"/>
  <c r="C916" i="1"/>
  <c r="D916" i="1" s="1"/>
  <c r="E916" i="1" s="1"/>
  <c r="F916" i="1" s="1" a="1"/>
  <c r="F916" i="1" s="1"/>
  <c r="C917" i="1"/>
  <c r="D917" i="1" s="1"/>
  <c r="E917" i="1" s="1"/>
  <c r="F917" i="1" s="1" a="1"/>
  <c r="F917" i="1" s="1"/>
  <c r="C918" i="1"/>
  <c r="D918" i="1" s="1"/>
  <c r="E918" i="1" s="1"/>
  <c r="F918" i="1" s="1" a="1"/>
  <c r="F918" i="1" s="1"/>
  <c r="C919" i="1"/>
  <c r="D919" i="1" s="1"/>
  <c r="E919" i="1" s="1"/>
  <c r="F919" i="1" s="1" a="1"/>
  <c r="F919" i="1" s="1"/>
  <c r="C920" i="1"/>
  <c r="D920" i="1"/>
  <c r="E920" i="1" s="1"/>
  <c r="F920" i="1" s="1" a="1"/>
  <c r="F920" i="1" s="1"/>
  <c r="C921" i="1"/>
  <c r="D921" i="1" s="1"/>
  <c r="E921" i="1" s="1"/>
  <c r="F921" i="1" s="1" a="1"/>
  <c r="F921" i="1" s="1"/>
  <c r="C922" i="1"/>
  <c r="D922" i="1" s="1"/>
  <c r="E922" i="1" s="1"/>
  <c r="F922" i="1" s="1" a="1"/>
  <c r="F922" i="1" s="1"/>
  <c r="C923" i="1"/>
  <c r="D923" i="1" s="1"/>
  <c r="E923" i="1" s="1"/>
  <c r="F923" i="1" s="1" a="1"/>
  <c r="F923" i="1" s="1"/>
  <c r="C924" i="1"/>
  <c r="D924" i="1"/>
  <c r="E924" i="1" s="1"/>
  <c r="F924" i="1" s="1" a="1"/>
  <c r="F924" i="1" s="1"/>
  <c r="C925" i="1"/>
  <c r="D925" i="1" s="1"/>
  <c r="E925" i="1" s="1"/>
  <c r="F925" i="1" s="1" a="1"/>
  <c r="F925" i="1" s="1"/>
  <c r="C926" i="1"/>
  <c r="D926" i="1" s="1"/>
  <c r="E926" i="1" s="1"/>
  <c r="F926" i="1" s="1" a="1"/>
  <c r="F926" i="1" s="1"/>
  <c r="C927" i="1"/>
  <c r="D927" i="1"/>
  <c r="E927" i="1" s="1"/>
  <c r="F927" i="1" s="1" a="1"/>
  <c r="F927" i="1" s="1"/>
  <c r="C928" i="1"/>
  <c r="D928" i="1"/>
  <c r="E928" i="1" s="1"/>
  <c r="C929" i="1"/>
  <c r="D929" i="1"/>
  <c r="E929" i="1" s="1"/>
  <c r="C930" i="1"/>
  <c r="D930" i="1" s="1"/>
  <c r="E930" i="1" s="1"/>
  <c r="C931" i="1"/>
  <c r="D931" i="1"/>
  <c r="E931" i="1" s="1"/>
  <c r="F931" i="1" s="1" a="1"/>
  <c r="F931" i="1" s="1"/>
  <c r="C932" i="1"/>
  <c r="D932" i="1" s="1"/>
  <c r="E932" i="1" s="1"/>
  <c r="F932" i="1" s="1" a="1"/>
  <c r="F932" i="1" s="1"/>
  <c r="C933" i="1"/>
  <c r="D933" i="1" s="1"/>
  <c r="E933" i="1" s="1"/>
  <c r="F933" i="1" s="1" a="1"/>
  <c r="F933" i="1" s="1"/>
  <c r="C934" i="1"/>
  <c r="D934" i="1" s="1"/>
  <c r="E934" i="1" s="1"/>
  <c r="C935" i="1"/>
  <c r="D935" i="1"/>
  <c r="E935" i="1" s="1"/>
  <c r="F935" i="1" s="1" a="1"/>
  <c r="F935" i="1" s="1"/>
  <c r="C936" i="1"/>
  <c r="D936" i="1" s="1"/>
  <c r="E936" i="1" s="1"/>
  <c r="F936" i="1" s="1" a="1"/>
  <c r="F936" i="1" s="1"/>
  <c r="C937" i="1"/>
  <c r="D937" i="1" s="1"/>
  <c r="E937" i="1" s="1"/>
  <c r="F937" i="1" s="1" a="1"/>
  <c r="F937" i="1" s="1"/>
  <c r="C938" i="1"/>
  <c r="D938" i="1"/>
  <c r="E938" i="1" s="1"/>
  <c r="C939" i="1"/>
  <c r="D939" i="1" s="1"/>
  <c r="E939" i="1" s="1"/>
  <c r="C940" i="1"/>
  <c r="D940" i="1" s="1"/>
  <c r="E940" i="1" s="1"/>
  <c r="F940" i="1" s="1" a="1"/>
  <c r="F940" i="1" s="1"/>
  <c r="C941" i="1"/>
  <c r="D941" i="1" s="1"/>
  <c r="E941" i="1" s="1"/>
  <c r="F941" i="1" s="1" a="1"/>
  <c r="F941" i="1" s="1"/>
  <c r="C942" i="1"/>
  <c r="D942" i="1" s="1"/>
  <c r="E942" i="1" s="1"/>
  <c r="F942" i="1" s="1" a="1"/>
  <c r="F942" i="1" s="1"/>
  <c r="C943" i="1"/>
  <c r="D943" i="1" s="1"/>
  <c r="E943" i="1" s="1"/>
  <c r="F943" i="1" s="1" a="1"/>
  <c r="F943" i="1" s="1"/>
  <c r="C944" i="1"/>
  <c r="D944" i="1" s="1"/>
  <c r="E944" i="1" s="1"/>
  <c r="F944" i="1" s="1" a="1"/>
  <c r="F944" i="1" s="1"/>
  <c r="C945" i="1"/>
  <c r="D945" i="1" s="1"/>
  <c r="E945" i="1" s="1"/>
  <c r="F945" i="1" s="1" a="1"/>
  <c r="F945" i="1" s="1"/>
  <c r="C946" i="1"/>
  <c r="D946" i="1" s="1"/>
  <c r="E946" i="1" s="1"/>
  <c r="F946" i="1" s="1" a="1"/>
  <c r="F946" i="1" s="1"/>
  <c r="C947" i="1"/>
  <c r="D947" i="1" s="1"/>
  <c r="E947" i="1" s="1"/>
  <c r="F947" i="1" s="1" a="1"/>
  <c r="F947" i="1" s="1"/>
  <c r="C948" i="1"/>
  <c r="D948" i="1" s="1"/>
  <c r="E948" i="1" s="1"/>
  <c r="F948" i="1" s="1" a="1"/>
  <c r="F948" i="1" s="1"/>
  <c r="C949" i="1"/>
  <c r="D949" i="1" s="1"/>
  <c r="E949" i="1" s="1"/>
  <c r="F949" i="1" s="1" a="1"/>
  <c r="F949" i="1" s="1"/>
  <c r="C950" i="1"/>
  <c r="D950" i="1"/>
  <c r="E950" i="1" s="1"/>
  <c r="C951" i="1"/>
  <c r="D951" i="1"/>
  <c r="E951" i="1" s="1"/>
  <c r="F951" i="1" s="1" a="1"/>
  <c r="F951" i="1" s="1"/>
  <c r="C952" i="1"/>
  <c r="D952" i="1" s="1"/>
  <c r="E952" i="1" s="1"/>
  <c r="C953" i="1"/>
  <c r="D953" i="1" s="1"/>
  <c r="E953" i="1" s="1"/>
  <c r="F953" i="1" s="1" a="1"/>
  <c r="F953" i="1" s="1"/>
  <c r="C954" i="1"/>
  <c r="D954" i="1" s="1"/>
  <c r="E954" i="1" s="1"/>
  <c r="F954" i="1" s="1" a="1"/>
  <c r="F954" i="1" s="1"/>
  <c r="C955" i="1"/>
  <c r="D955" i="1" s="1"/>
  <c r="E955" i="1" s="1"/>
  <c r="F955" i="1" s="1" a="1"/>
  <c r="F955" i="1" s="1"/>
  <c r="C956" i="1"/>
  <c r="D956" i="1" s="1"/>
  <c r="E956" i="1" s="1"/>
  <c r="C957" i="1"/>
  <c r="D957" i="1" s="1"/>
  <c r="E957" i="1" s="1"/>
  <c r="F957" i="1" s="1" a="1"/>
  <c r="F957" i="1" s="1"/>
  <c r="C958" i="1"/>
  <c r="D958" i="1" s="1"/>
  <c r="E958" i="1" s="1"/>
  <c r="F958" i="1" s="1" a="1"/>
  <c r="F958" i="1" s="1"/>
  <c r="C959" i="1"/>
  <c r="D959" i="1" s="1"/>
  <c r="E959" i="1" s="1"/>
  <c r="F959" i="1" s="1" a="1"/>
  <c r="F959" i="1" s="1"/>
  <c r="C960" i="1"/>
  <c r="D960" i="1" s="1"/>
  <c r="E960" i="1" s="1"/>
  <c r="F960" i="1" s="1" a="1"/>
  <c r="F960" i="1" s="1"/>
  <c r="C961" i="1"/>
  <c r="D961" i="1" s="1"/>
  <c r="E961" i="1" s="1"/>
  <c r="C962" i="1"/>
  <c r="D962" i="1" s="1"/>
  <c r="E962" i="1" s="1"/>
  <c r="F962" i="1" s="1" a="1"/>
  <c r="F962" i="1" s="1"/>
  <c r="C963" i="1"/>
  <c r="D963" i="1" s="1"/>
  <c r="E963" i="1" s="1"/>
  <c r="F963" i="1" s="1" a="1"/>
  <c r="F963" i="1" s="1"/>
  <c r="C964" i="1"/>
  <c r="D964" i="1" s="1"/>
  <c r="E964" i="1" s="1"/>
  <c r="F964" i="1" s="1" a="1"/>
  <c r="F964" i="1" s="1"/>
  <c r="C965" i="1"/>
  <c r="D965" i="1" s="1"/>
  <c r="E965" i="1" s="1"/>
  <c r="F965" i="1" s="1" a="1"/>
  <c r="F965" i="1" s="1"/>
  <c r="C966" i="1"/>
  <c r="D966" i="1" s="1"/>
  <c r="E966" i="1" s="1"/>
  <c r="F966" i="1" s="1" a="1"/>
  <c r="F966" i="1" s="1"/>
  <c r="C967" i="1"/>
  <c r="D967" i="1" s="1"/>
  <c r="E967" i="1" s="1"/>
  <c r="F967" i="1" s="1" a="1"/>
  <c r="F967" i="1" s="1"/>
  <c r="C968" i="1"/>
  <c r="D968" i="1"/>
  <c r="E968" i="1" s="1"/>
  <c r="F968" i="1" s="1" a="1"/>
  <c r="F968" i="1" s="1"/>
  <c r="C969" i="1"/>
  <c r="D969" i="1" s="1"/>
  <c r="E969" i="1" s="1"/>
  <c r="F969" i="1" s="1" a="1"/>
  <c r="F969" i="1" s="1"/>
  <c r="C970" i="1"/>
  <c r="D970" i="1"/>
  <c r="E970" i="1" s="1"/>
  <c r="F970" i="1" s="1" a="1"/>
  <c r="F970" i="1" s="1"/>
  <c r="C971" i="1"/>
  <c r="D971" i="1" s="1"/>
  <c r="E971" i="1" s="1"/>
  <c r="F971" i="1" s="1" a="1"/>
  <c r="F971" i="1" s="1"/>
  <c r="C972" i="1"/>
  <c r="D972" i="1" s="1"/>
  <c r="E972" i="1" s="1"/>
  <c r="F972" i="1" s="1" a="1"/>
  <c r="F972" i="1" s="1"/>
  <c r="C973" i="1"/>
  <c r="D973" i="1" s="1"/>
  <c r="E973" i="1" s="1"/>
  <c r="F973" i="1" s="1" a="1"/>
  <c r="F973" i="1" s="1"/>
  <c r="C974" i="1"/>
  <c r="D974" i="1" s="1"/>
  <c r="E974" i="1" s="1"/>
  <c r="F974" i="1" s="1" a="1"/>
  <c r="F974" i="1" s="1"/>
  <c r="C975" i="1"/>
  <c r="D975" i="1" s="1"/>
  <c r="E975" i="1" s="1"/>
  <c r="F975" i="1" s="1" a="1"/>
  <c r="F975" i="1" s="1"/>
  <c r="C976" i="1"/>
  <c r="D976" i="1" s="1"/>
  <c r="E976" i="1" s="1"/>
  <c r="F976" i="1" s="1" a="1"/>
  <c r="F976" i="1" s="1"/>
  <c r="C977" i="1"/>
  <c r="D977" i="1" s="1"/>
  <c r="E977" i="1" s="1"/>
  <c r="C978" i="1"/>
  <c r="D978" i="1" s="1"/>
  <c r="E978" i="1" s="1"/>
  <c r="F978" i="1" s="1" a="1"/>
  <c r="F978" i="1" s="1"/>
  <c r="C979" i="1"/>
  <c r="D979" i="1" s="1"/>
  <c r="E979" i="1" s="1"/>
  <c r="F979" i="1" s="1" a="1"/>
  <c r="F979" i="1" s="1"/>
  <c r="C980" i="1"/>
  <c r="D980" i="1" s="1"/>
  <c r="E980" i="1" s="1"/>
  <c r="F980" i="1" s="1" a="1"/>
  <c r="F980" i="1" s="1"/>
  <c r="C981" i="1"/>
  <c r="D981" i="1" s="1"/>
  <c r="E981" i="1" s="1"/>
  <c r="F981" i="1" s="1" a="1"/>
  <c r="F981" i="1" s="1"/>
  <c r="C982" i="1"/>
  <c r="D982" i="1" s="1"/>
  <c r="E982" i="1" s="1"/>
  <c r="F982" i="1" s="1" a="1"/>
  <c r="F982" i="1" s="1"/>
  <c r="C983" i="1"/>
  <c r="D983" i="1" s="1"/>
  <c r="E983" i="1" s="1"/>
  <c r="F983" i="1" s="1" a="1"/>
  <c r="F983" i="1" s="1"/>
  <c r="C984" i="1"/>
  <c r="D984" i="1"/>
  <c r="E984" i="1" s="1"/>
  <c r="F984" i="1" s="1" a="1"/>
  <c r="F984" i="1" s="1"/>
  <c r="C985" i="1"/>
  <c r="D985" i="1" s="1"/>
  <c r="E985" i="1" s="1"/>
  <c r="F985" i="1" s="1" a="1"/>
  <c r="F985" i="1" s="1"/>
  <c r="C986" i="1"/>
  <c r="D986" i="1" s="1"/>
  <c r="E986" i="1" s="1"/>
  <c r="F986" i="1" s="1" a="1"/>
  <c r="F986" i="1" s="1"/>
  <c r="C987" i="1"/>
  <c r="D987" i="1" s="1"/>
  <c r="E987" i="1" s="1"/>
  <c r="F987" i="1" s="1" a="1"/>
  <c r="F987" i="1" s="1"/>
  <c r="C988" i="1"/>
  <c r="D988" i="1" s="1"/>
  <c r="E988" i="1" s="1"/>
  <c r="F988" i="1" s="1" a="1"/>
  <c r="F988" i="1" s="1"/>
  <c r="C989" i="1"/>
  <c r="D989" i="1" s="1"/>
  <c r="E989" i="1" s="1"/>
  <c r="F989" i="1" s="1" a="1"/>
  <c r="F989" i="1" s="1"/>
  <c r="C990" i="1"/>
  <c r="D990" i="1"/>
  <c r="E990" i="1" s="1"/>
  <c r="C991" i="1"/>
  <c r="D991" i="1" s="1"/>
  <c r="E991" i="1" s="1"/>
  <c r="F991" i="1" s="1" a="1"/>
  <c r="F991" i="1" s="1"/>
  <c r="C992" i="1"/>
  <c r="D992" i="1" s="1"/>
  <c r="E992" i="1" s="1"/>
  <c r="F992" i="1" s="1" a="1"/>
  <c r="F992" i="1" s="1"/>
  <c r="C993" i="1"/>
  <c r="D993" i="1" s="1"/>
  <c r="E993" i="1" s="1"/>
  <c r="C994" i="1"/>
  <c r="D994" i="1" s="1"/>
  <c r="E994" i="1" s="1"/>
  <c r="F994" i="1" s="1" a="1"/>
  <c r="F994" i="1" s="1"/>
  <c r="C995" i="1"/>
  <c r="D995" i="1" s="1"/>
  <c r="E995" i="1" s="1"/>
  <c r="F995" i="1" s="1" a="1"/>
  <c r="F995" i="1" s="1"/>
  <c r="C996" i="1"/>
  <c r="D996" i="1" s="1"/>
  <c r="E996" i="1" s="1"/>
  <c r="F996" i="1" s="1" a="1"/>
  <c r="F996" i="1" s="1"/>
  <c r="C997" i="1"/>
  <c r="D997" i="1"/>
  <c r="E997" i="1" s="1"/>
  <c r="F997" i="1" s="1" a="1"/>
  <c r="F997" i="1" s="1"/>
  <c r="C998" i="1"/>
  <c r="D998" i="1"/>
  <c r="E998" i="1" s="1"/>
  <c r="F998" i="1" s="1" a="1"/>
  <c r="F998" i="1" s="1"/>
  <c r="C999" i="1"/>
  <c r="D999" i="1"/>
  <c r="E999" i="1" s="1"/>
  <c r="F999" i="1" s="1" a="1"/>
  <c r="F999" i="1" s="1"/>
  <c r="C1000" i="1"/>
  <c r="D1000" i="1" s="1"/>
  <c r="E1000" i="1" s="1"/>
  <c r="F1000" i="1" s="1" a="1"/>
  <c r="F1000" i="1" s="1"/>
  <c r="C1001" i="1"/>
  <c r="D1001" i="1" s="1"/>
  <c r="E1001" i="1" s="1"/>
  <c r="F1001" i="1" s="1" a="1"/>
  <c r="F1001" i="1" s="1"/>
  <c r="C1002" i="1"/>
  <c r="D1002" i="1" s="1"/>
  <c r="E1002" i="1" s="1"/>
  <c r="F1002" i="1" s="1" a="1"/>
  <c r="F1002" i="1" s="1"/>
  <c r="C1003" i="1"/>
  <c r="D1003" i="1"/>
  <c r="E1003" i="1" s="1"/>
  <c r="F1003" i="1" s="1" a="1"/>
  <c r="F1003" i="1" s="1"/>
  <c r="C1004" i="1"/>
  <c r="D1004" i="1" s="1"/>
  <c r="E1004" i="1" s="1"/>
  <c r="F1004" i="1" s="1" a="1"/>
  <c r="F1004" i="1" s="1"/>
  <c r="C1005" i="1"/>
  <c r="D1005" i="1" s="1"/>
  <c r="E1005" i="1" s="1"/>
  <c r="F1005" i="1" s="1" a="1"/>
  <c r="F1005" i="1" s="1"/>
  <c r="C1006" i="1"/>
  <c r="D1006" i="1" s="1"/>
  <c r="E1006" i="1" s="1"/>
  <c r="C1007" i="1"/>
  <c r="D1007" i="1" s="1"/>
  <c r="E1007" i="1" s="1"/>
  <c r="F1007" i="1" s="1" a="1"/>
  <c r="F1007" i="1" s="1"/>
  <c r="C1008" i="1"/>
  <c r="D1008" i="1" s="1"/>
  <c r="E1008" i="1" s="1"/>
  <c r="F1008" i="1" s="1" a="1"/>
  <c r="F1008" i="1" s="1"/>
  <c r="C1009" i="1"/>
  <c r="D1009" i="1" s="1"/>
  <c r="E1009" i="1" s="1"/>
  <c r="F1009" i="1" s="1" a="1"/>
  <c r="F1009" i="1" s="1"/>
  <c r="C1010" i="1"/>
  <c r="D1010" i="1"/>
  <c r="E1010" i="1" s="1"/>
  <c r="C1011" i="1"/>
  <c r="D1011" i="1" s="1"/>
  <c r="E1011" i="1" s="1"/>
  <c r="F1011" i="1" s="1" a="1"/>
  <c r="F1011" i="1" s="1"/>
  <c r="C1012" i="1"/>
  <c r="D1012" i="1"/>
  <c r="E1012" i="1" s="1"/>
  <c r="F1012" i="1" s="1" a="1"/>
  <c r="F1012" i="1" s="1"/>
  <c r="C1013" i="1"/>
  <c r="D1013" i="1" s="1"/>
  <c r="E1013" i="1" s="1"/>
  <c r="F1013" i="1" s="1" a="1"/>
  <c r="F1013" i="1" s="1"/>
  <c r="C1014" i="1"/>
  <c r="D1014" i="1" s="1"/>
  <c r="E1014" i="1" s="1"/>
  <c r="C1015" i="1"/>
  <c r="D1015" i="1" s="1"/>
  <c r="E1015" i="1" s="1"/>
  <c r="F1015" i="1" s="1" a="1"/>
  <c r="F1015" i="1" s="1"/>
  <c r="C1016" i="1"/>
  <c r="D1016" i="1" s="1"/>
  <c r="E1016" i="1" s="1"/>
  <c r="F1016" i="1" s="1" a="1"/>
  <c r="F1016" i="1" s="1"/>
  <c r="C1017" i="1"/>
  <c r="D1017" i="1" s="1"/>
  <c r="E1017" i="1" s="1"/>
  <c r="F1017" i="1" s="1" a="1"/>
  <c r="F1017" i="1" s="1"/>
  <c r="C1018" i="1"/>
  <c r="D1018" i="1" s="1"/>
  <c r="E1018" i="1" s="1"/>
  <c r="F1018" i="1" s="1" a="1"/>
  <c r="F1018" i="1" s="1"/>
  <c r="C1019" i="1"/>
  <c r="D1019" i="1" s="1"/>
  <c r="E1019" i="1" s="1"/>
  <c r="C1020" i="1"/>
  <c r="D1020" i="1" s="1"/>
  <c r="E1020" i="1" s="1"/>
  <c r="F1020" i="1" s="1" a="1"/>
  <c r="F1020" i="1" s="1"/>
  <c r="C1021" i="1"/>
  <c r="D1021" i="1"/>
  <c r="E1021" i="1" s="1"/>
  <c r="F1021" i="1" s="1" a="1"/>
  <c r="F1021" i="1" s="1"/>
  <c r="C1022" i="1"/>
  <c r="D1022" i="1" s="1"/>
  <c r="E1022" i="1" s="1"/>
  <c r="F1022" i="1" s="1" a="1"/>
  <c r="F1022" i="1" s="1"/>
  <c r="C1023" i="1"/>
  <c r="D1023" i="1" s="1"/>
  <c r="E1023" i="1" s="1"/>
  <c r="F1023" i="1" s="1" a="1"/>
  <c r="F1023" i="1" s="1"/>
  <c r="C1024" i="1"/>
  <c r="D1024" i="1" s="1"/>
  <c r="E1024" i="1" s="1"/>
  <c r="F1024" i="1" s="1" a="1"/>
  <c r="F1024" i="1" s="1"/>
  <c r="C1025" i="1"/>
  <c r="D1025" i="1"/>
  <c r="E1025" i="1" s="1"/>
  <c r="C1026" i="1"/>
  <c r="D1026" i="1" s="1"/>
  <c r="E1026" i="1" s="1"/>
  <c r="C1027" i="1"/>
  <c r="D1027" i="1" s="1"/>
  <c r="E1027" i="1" s="1"/>
  <c r="F1027" i="1" s="1" a="1"/>
  <c r="F1027" i="1" s="1"/>
  <c r="C1028" i="1"/>
  <c r="D1028" i="1" s="1"/>
  <c r="E1028" i="1" s="1"/>
  <c r="F1028" i="1" s="1" a="1"/>
  <c r="F1028" i="1" s="1"/>
  <c r="C1029" i="1"/>
  <c r="D1029" i="1" s="1"/>
  <c r="E1029" i="1" s="1"/>
  <c r="F1029" i="1" s="1" a="1"/>
  <c r="F1029" i="1" s="1"/>
  <c r="C1030" i="1"/>
  <c r="D1030" i="1" s="1"/>
  <c r="E1030" i="1" s="1"/>
  <c r="F1030" i="1" s="1" a="1"/>
  <c r="F1030" i="1" s="1"/>
  <c r="C1031" i="1"/>
  <c r="D1031" i="1" s="1"/>
  <c r="E1031" i="1" s="1"/>
  <c r="F1031" i="1" s="1" a="1"/>
  <c r="F1031" i="1" s="1"/>
  <c r="C1032" i="1"/>
  <c r="D1032" i="1" s="1"/>
  <c r="E1032" i="1" s="1"/>
  <c r="F1032" i="1" s="1" a="1"/>
  <c r="F1032" i="1" s="1"/>
  <c r="C1033" i="1"/>
  <c r="D1033" i="1"/>
  <c r="E1033" i="1" s="1"/>
  <c r="F1033" i="1" s="1" a="1"/>
  <c r="F1033" i="1" s="1"/>
  <c r="C1034" i="1"/>
  <c r="D1034" i="1" s="1"/>
  <c r="E1034" i="1" s="1"/>
  <c r="C1035" i="1"/>
  <c r="D1035" i="1" s="1"/>
  <c r="E1035" i="1" s="1"/>
  <c r="F1035" i="1" s="1" a="1"/>
  <c r="F1035" i="1" s="1"/>
  <c r="C1036" i="1"/>
  <c r="D1036" i="1" s="1"/>
  <c r="E1036" i="1" s="1"/>
  <c r="F1036" i="1" s="1" a="1"/>
  <c r="F1036" i="1" s="1"/>
  <c r="C1037" i="1"/>
  <c r="D1037" i="1" s="1"/>
  <c r="E1037" i="1" s="1"/>
  <c r="F1037" i="1" s="1" a="1"/>
  <c r="F1037" i="1" s="1"/>
  <c r="C1038" i="1"/>
  <c r="D1038" i="1" s="1"/>
  <c r="E1038" i="1" s="1"/>
  <c r="F1038" i="1" s="1" a="1"/>
  <c r="F1038" i="1" s="1"/>
  <c r="C1039" i="1"/>
  <c r="D1039" i="1" s="1"/>
  <c r="E1039" i="1" s="1"/>
  <c r="F1039" i="1" s="1" a="1"/>
  <c r="F1039" i="1" s="1"/>
  <c r="C1040" i="1"/>
  <c r="D1040" i="1" s="1"/>
  <c r="E1040" i="1" s="1"/>
  <c r="F1040" i="1" s="1" a="1"/>
  <c r="F1040" i="1" s="1"/>
  <c r="C1041" i="1"/>
  <c r="D1041" i="1" s="1"/>
  <c r="E1041" i="1" s="1"/>
  <c r="F1041" i="1" s="1" a="1"/>
  <c r="F1041" i="1" s="1"/>
  <c r="C1042" i="1"/>
  <c r="D1042" i="1" s="1"/>
  <c r="E1042" i="1" s="1"/>
  <c r="F1042" i="1" s="1" a="1"/>
  <c r="F1042" i="1" s="1"/>
  <c r="C1043" i="1"/>
  <c r="D1043" i="1" s="1"/>
  <c r="E1043" i="1" s="1"/>
  <c r="F1043" i="1" s="1" a="1"/>
  <c r="F1043" i="1" s="1"/>
  <c r="C1044" i="1"/>
  <c r="D1044" i="1" s="1"/>
  <c r="E1044" i="1" s="1"/>
  <c r="C1045" i="1"/>
  <c r="D1045" i="1" s="1"/>
  <c r="E1045" i="1" s="1"/>
  <c r="C1046" i="1"/>
  <c r="D1046" i="1" s="1"/>
  <c r="E1046" i="1" s="1"/>
  <c r="F1046" i="1" s="1" a="1"/>
  <c r="F1046" i="1" s="1"/>
  <c r="C1047" i="1"/>
  <c r="D1047" i="1" s="1"/>
  <c r="E1047" i="1" s="1"/>
  <c r="F1047" i="1" s="1" a="1"/>
  <c r="F1047" i="1" s="1"/>
  <c r="C1048" i="1"/>
  <c r="D1048" i="1" s="1"/>
  <c r="E1048" i="1" s="1"/>
  <c r="F1048" i="1" s="1" a="1"/>
  <c r="F1048" i="1" s="1"/>
  <c r="C1049" i="1"/>
  <c r="D1049" i="1"/>
  <c r="E1049" i="1" s="1"/>
  <c r="F1049" i="1" s="1" a="1"/>
  <c r="F1049" i="1" s="1"/>
  <c r="C1050" i="1"/>
  <c r="D1050" i="1"/>
  <c r="E1050" i="1" s="1"/>
  <c r="F1050" i="1" s="1" a="1"/>
  <c r="F1050" i="1" s="1"/>
  <c r="C1051" i="1"/>
  <c r="D1051" i="1" s="1"/>
  <c r="E1051" i="1" s="1"/>
  <c r="C1052" i="1"/>
  <c r="D1052" i="1" s="1"/>
  <c r="E1052" i="1" s="1"/>
  <c r="F1052" i="1" s="1" a="1"/>
  <c r="F1052" i="1" s="1"/>
  <c r="C1053" i="1"/>
  <c r="D1053" i="1" s="1"/>
  <c r="E1053" i="1" s="1"/>
  <c r="F1053" i="1" s="1" a="1"/>
  <c r="F1053" i="1" s="1"/>
  <c r="C1054" i="1"/>
  <c r="D1054" i="1" s="1"/>
  <c r="E1054" i="1" s="1"/>
  <c r="C1055" i="1"/>
  <c r="D1055" i="1" s="1"/>
  <c r="E1055" i="1" s="1"/>
  <c r="F1055" i="1" s="1" a="1"/>
  <c r="F1055" i="1" s="1"/>
  <c r="C1056" i="1"/>
  <c r="D1056" i="1" s="1"/>
  <c r="E1056" i="1" s="1"/>
  <c r="C1057" i="1"/>
  <c r="D1057" i="1" s="1"/>
  <c r="E1057" i="1" s="1"/>
  <c r="F1057" i="1" s="1" a="1"/>
  <c r="F1057" i="1" s="1"/>
  <c r="C1058" i="1"/>
  <c r="D1058" i="1" s="1"/>
  <c r="E1058" i="1" s="1"/>
  <c r="F1058" i="1" s="1" a="1"/>
  <c r="F1058" i="1" s="1"/>
  <c r="C1059" i="1"/>
  <c r="D1059" i="1" s="1"/>
  <c r="E1059" i="1" s="1"/>
  <c r="F1059" i="1" s="1" a="1"/>
  <c r="F1059" i="1" s="1"/>
  <c r="C1060" i="1"/>
  <c r="D1060" i="1" s="1"/>
  <c r="E1060" i="1" s="1"/>
  <c r="C1061" i="1"/>
  <c r="D1061" i="1"/>
  <c r="E1061" i="1" s="1"/>
  <c r="F1061" i="1" s="1" a="1"/>
  <c r="F1061" i="1" s="1"/>
  <c r="C1062" i="1"/>
  <c r="D1062" i="1"/>
  <c r="E1062" i="1"/>
  <c r="F1062" i="1" s="1" a="1"/>
  <c r="F1062" i="1" s="1"/>
  <c r="C1063" i="1"/>
  <c r="D1063" i="1" s="1"/>
  <c r="E1063" i="1" s="1"/>
  <c r="F1063" i="1" s="1" a="1"/>
  <c r="F1063" i="1" s="1"/>
  <c r="C1064" i="1"/>
  <c r="D1064" i="1" s="1"/>
  <c r="E1064" i="1" s="1"/>
  <c r="C1065" i="1"/>
  <c r="D1065" i="1" s="1"/>
  <c r="E1065" i="1" s="1"/>
  <c r="C1066" i="1"/>
  <c r="D1066" i="1" s="1"/>
  <c r="E1066" i="1" s="1"/>
  <c r="F1066" i="1" s="1" a="1"/>
  <c r="F1066" i="1" s="1"/>
  <c r="C1067" i="1"/>
  <c r="D1067" i="1" s="1"/>
  <c r="E1067" i="1" s="1"/>
  <c r="F1067" i="1" s="1" a="1"/>
  <c r="F1067" i="1" s="1"/>
  <c r="C1068" i="1"/>
  <c r="D1068" i="1" s="1"/>
  <c r="E1068" i="1" s="1"/>
  <c r="F1068" i="1" s="1" a="1"/>
  <c r="F1068" i="1" s="1"/>
  <c r="C1069" i="1"/>
  <c r="D1069" i="1" s="1"/>
  <c r="E1069" i="1" s="1"/>
  <c r="F1069" i="1" s="1" a="1"/>
  <c r="F1069" i="1" s="1"/>
  <c r="C1070" i="1"/>
  <c r="D1070" i="1" s="1"/>
  <c r="E1070" i="1" s="1"/>
  <c r="F1070" i="1" s="1" a="1"/>
  <c r="F1070" i="1" s="1"/>
  <c r="C1071" i="1"/>
  <c r="D1071" i="1" s="1"/>
  <c r="E1071" i="1" s="1"/>
  <c r="F1071" i="1" s="1" a="1"/>
  <c r="F1071" i="1" s="1"/>
  <c r="C1072" i="1"/>
  <c r="D1072" i="1" s="1"/>
  <c r="E1072" i="1" s="1"/>
  <c r="C1073" i="1"/>
  <c r="D1073" i="1" s="1"/>
  <c r="E1073" i="1" s="1"/>
  <c r="F1073" i="1" s="1" a="1"/>
  <c r="F1073" i="1" s="1"/>
  <c r="C1074" i="1"/>
  <c r="D1074" i="1" s="1"/>
  <c r="E1074" i="1" s="1"/>
  <c r="F1074" i="1" s="1" a="1"/>
  <c r="F1074" i="1" s="1"/>
  <c r="C1075" i="1"/>
  <c r="D1075" i="1" s="1"/>
  <c r="E1075" i="1" s="1"/>
  <c r="F1075" i="1" s="1" a="1"/>
  <c r="F1075" i="1" s="1"/>
  <c r="C1076" i="1"/>
  <c r="D1076" i="1"/>
  <c r="E1076" i="1" s="1"/>
  <c r="F1076" i="1" s="1" a="1"/>
  <c r="F1076" i="1" s="1"/>
  <c r="C1077" i="1"/>
  <c r="D1077" i="1" s="1"/>
  <c r="E1077" i="1" s="1"/>
  <c r="C1078" i="1"/>
  <c r="D1078" i="1" s="1"/>
  <c r="E1078" i="1" s="1"/>
  <c r="F1078" i="1" s="1" a="1"/>
  <c r="F1078" i="1" s="1"/>
  <c r="C1079" i="1"/>
  <c r="D1079" i="1"/>
  <c r="E1079" i="1" s="1"/>
  <c r="F1079" i="1" s="1" a="1"/>
  <c r="F1079" i="1" s="1"/>
  <c r="C1080" i="1"/>
  <c r="D1080" i="1"/>
  <c r="E1080" i="1" s="1"/>
  <c r="F1080" i="1" s="1" a="1"/>
  <c r="F1080" i="1" s="1"/>
  <c r="C1081" i="1"/>
  <c r="D1081" i="1" s="1"/>
  <c r="E1081" i="1" s="1"/>
  <c r="C1082" i="1"/>
  <c r="D1082" i="1"/>
  <c r="E1082" i="1" s="1"/>
  <c r="C1083" i="1"/>
  <c r="D1083" i="1"/>
  <c r="E1083" i="1" s="1"/>
  <c r="F1083" i="1" s="1" a="1"/>
  <c r="F1083" i="1" s="1"/>
  <c r="C1084" i="1"/>
  <c r="D1084" i="1" s="1"/>
  <c r="E1084" i="1" s="1"/>
  <c r="C1085" i="1"/>
  <c r="D1085" i="1" s="1"/>
  <c r="E1085" i="1" s="1"/>
  <c r="F1085" i="1" s="1" a="1"/>
  <c r="F1085" i="1" s="1"/>
  <c r="C1086" i="1"/>
  <c r="D1086" i="1" s="1"/>
  <c r="E1086" i="1" s="1"/>
  <c r="F1086" i="1" s="1" a="1"/>
  <c r="F1086" i="1" s="1"/>
  <c r="C1087" i="1"/>
  <c r="D1087" i="1" s="1"/>
  <c r="E1087" i="1" s="1"/>
  <c r="F1087" i="1" s="1" a="1"/>
  <c r="F1087" i="1" s="1"/>
  <c r="C1088" i="1"/>
  <c r="D1088" i="1" s="1"/>
  <c r="E1088" i="1" s="1"/>
  <c r="F1088" i="1" s="1" a="1"/>
  <c r="F1088" i="1" s="1"/>
  <c r="C1089" i="1"/>
  <c r="D1089" i="1" s="1"/>
  <c r="E1089" i="1" s="1"/>
  <c r="F1089" i="1" s="1" a="1"/>
  <c r="F1089" i="1" s="1"/>
  <c r="C1090" i="1"/>
  <c r="D1090" i="1"/>
  <c r="E1090" i="1" s="1"/>
  <c r="C1091" i="1"/>
  <c r="D1091" i="1" s="1"/>
  <c r="E1091" i="1" s="1"/>
  <c r="F1091" i="1" s="1" a="1"/>
  <c r="F1091" i="1" s="1"/>
  <c r="C1092" i="1"/>
  <c r="D1092" i="1" s="1"/>
  <c r="E1092" i="1" s="1"/>
  <c r="F1092" i="1" s="1" a="1"/>
  <c r="F1092" i="1" s="1"/>
  <c r="C1093" i="1"/>
  <c r="D1093" i="1" s="1"/>
  <c r="E1093" i="1" s="1"/>
  <c r="F1093" i="1" s="1" a="1"/>
  <c r="F1093" i="1" s="1"/>
  <c r="C1094" i="1"/>
  <c r="D1094" i="1" s="1"/>
  <c r="E1094" i="1" s="1"/>
  <c r="F1094" i="1" s="1" a="1"/>
  <c r="F1094" i="1" s="1"/>
  <c r="C1095" i="1"/>
  <c r="D1095" i="1" s="1"/>
  <c r="E1095" i="1" s="1"/>
  <c r="F1095" i="1" s="1" a="1"/>
  <c r="F1095" i="1" s="1"/>
  <c r="C1096" i="1"/>
  <c r="D1096" i="1" s="1"/>
  <c r="E1096" i="1" s="1"/>
  <c r="F1096" i="1" s="1" a="1"/>
  <c r="F1096" i="1" s="1"/>
  <c r="C1097" i="1"/>
  <c r="D1097" i="1" s="1"/>
  <c r="E1097" i="1" s="1"/>
  <c r="F1097" i="1" s="1" a="1"/>
  <c r="F1097" i="1" s="1"/>
  <c r="C1098" i="1"/>
  <c r="D1098" i="1" s="1"/>
  <c r="E1098" i="1" s="1"/>
  <c r="F1098" i="1" s="1" a="1"/>
  <c r="F1098" i="1" s="1"/>
  <c r="C1099" i="1"/>
  <c r="D1099" i="1" s="1"/>
  <c r="E1099" i="1" s="1"/>
  <c r="F1099" i="1" s="1" a="1"/>
  <c r="F1099" i="1" s="1"/>
  <c r="C1100" i="1"/>
  <c r="D1100" i="1" s="1"/>
  <c r="E1100" i="1" s="1"/>
  <c r="F1100" i="1" s="1" a="1"/>
  <c r="F1100" i="1" s="1"/>
  <c r="C1101" i="1"/>
  <c r="D1101" i="1" s="1"/>
  <c r="E1101" i="1" s="1"/>
  <c r="F1101" i="1" s="1" a="1"/>
  <c r="F1101" i="1" s="1"/>
  <c r="C1102" i="1"/>
  <c r="D1102" i="1" s="1"/>
  <c r="E1102" i="1" s="1"/>
  <c r="F1102" i="1" s="1" a="1"/>
  <c r="F1102" i="1" s="1"/>
  <c r="C1103" i="1"/>
  <c r="D1103" i="1" s="1"/>
  <c r="E1103" i="1" s="1"/>
  <c r="F1103" i="1" s="1" a="1"/>
  <c r="F1103" i="1" s="1"/>
  <c r="C1104" i="1"/>
  <c r="D1104" i="1" s="1"/>
  <c r="E1104" i="1" s="1"/>
  <c r="F1104" i="1" s="1" a="1"/>
  <c r="F1104" i="1" s="1"/>
  <c r="C1105" i="1"/>
  <c r="D1105" i="1" s="1"/>
  <c r="E1105" i="1" s="1"/>
  <c r="F1105" i="1" s="1" a="1"/>
  <c r="F1105" i="1" s="1"/>
  <c r="C1106" i="1"/>
  <c r="D1106" i="1"/>
  <c r="E1106" i="1" s="1"/>
  <c r="F1106" i="1" s="1" a="1"/>
  <c r="F1106" i="1" s="1"/>
  <c r="C1107" i="1"/>
  <c r="D1107" i="1" s="1"/>
  <c r="E1107" i="1" s="1"/>
  <c r="F1107" i="1" s="1" a="1"/>
  <c r="F1107" i="1" s="1"/>
  <c r="C1108" i="1"/>
  <c r="D1108" i="1"/>
  <c r="E1108" i="1" s="1"/>
  <c r="F1108" i="1" s="1" a="1"/>
  <c r="F1108" i="1" s="1"/>
  <c r="C1109" i="1"/>
  <c r="D1109" i="1" s="1"/>
  <c r="E1109" i="1" s="1"/>
  <c r="F1109" i="1" s="1" a="1"/>
  <c r="F1109" i="1" s="1"/>
  <c r="C1110" i="1"/>
  <c r="D1110" i="1" s="1"/>
  <c r="E1110" i="1" s="1"/>
  <c r="F1110" i="1" s="1" a="1"/>
  <c r="F1110" i="1" s="1"/>
  <c r="C1111" i="1"/>
  <c r="D1111" i="1" s="1"/>
  <c r="E1111" i="1" s="1"/>
  <c r="F1111" i="1" s="1" a="1"/>
  <c r="F1111" i="1" s="1"/>
  <c r="C1112" i="1"/>
  <c r="D1112" i="1"/>
  <c r="E1112" i="1" s="1"/>
  <c r="F1112" i="1" s="1" a="1"/>
  <c r="F1112" i="1" s="1"/>
  <c r="C1113" i="1"/>
  <c r="D1113" i="1"/>
  <c r="E1113" i="1" s="1"/>
  <c r="F1113" i="1" s="1" a="1"/>
  <c r="F1113" i="1" s="1"/>
  <c r="C1114" i="1"/>
  <c r="D1114" i="1" s="1"/>
  <c r="E1114" i="1" s="1"/>
  <c r="F1114" i="1" s="1" a="1"/>
  <c r="F1114" i="1" s="1"/>
  <c r="C1115" i="1"/>
  <c r="D1115" i="1" s="1"/>
  <c r="E1115" i="1" s="1"/>
  <c r="F1115" i="1" s="1" a="1"/>
  <c r="F1115" i="1" s="1"/>
  <c r="C1116" i="1"/>
  <c r="D1116" i="1" s="1"/>
  <c r="E1116" i="1" s="1"/>
  <c r="C1117" i="1"/>
  <c r="D1117" i="1" s="1"/>
  <c r="E1117" i="1" s="1"/>
  <c r="F1117" i="1" s="1" a="1"/>
  <c r="F1117" i="1" s="1"/>
  <c r="C1118" i="1"/>
  <c r="D1118" i="1"/>
  <c r="E1118" i="1" s="1"/>
  <c r="F1118" i="1" s="1" a="1"/>
  <c r="F1118" i="1" s="1"/>
  <c r="C1119" i="1"/>
  <c r="D1119" i="1" s="1"/>
  <c r="E1119" i="1" s="1"/>
  <c r="F1119" i="1" s="1" a="1"/>
  <c r="F1119" i="1" s="1"/>
  <c r="C1120" i="1"/>
  <c r="D1120" i="1"/>
  <c r="E1120" i="1" s="1"/>
  <c r="F1120" i="1" s="1" a="1"/>
  <c r="F1120" i="1" s="1"/>
  <c r="C1121" i="1"/>
  <c r="D1121" i="1" s="1"/>
  <c r="E1121" i="1" s="1"/>
  <c r="F1121" i="1" s="1" a="1"/>
  <c r="F1121" i="1" s="1"/>
  <c r="C1122" i="1"/>
  <c r="D1122" i="1" s="1"/>
  <c r="E1122" i="1" s="1"/>
  <c r="C1123" i="1"/>
  <c r="D1123" i="1" s="1"/>
  <c r="E1123" i="1" s="1"/>
  <c r="F1123" i="1" s="1" a="1"/>
  <c r="F1123" i="1" s="1"/>
  <c r="C1124" i="1"/>
  <c r="D1124" i="1" s="1"/>
  <c r="E1124" i="1" s="1"/>
  <c r="F1124" i="1" s="1" a="1"/>
  <c r="F1124" i="1" s="1"/>
  <c r="C1125" i="1"/>
  <c r="D1125" i="1" s="1"/>
  <c r="E1125" i="1" s="1"/>
  <c r="F1125" i="1" s="1" a="1"/>
  <c r="F1125" i="1" s="1"/>
  <c r="C1126" i="1"/>
  <c r="D1126" i="1"/>
  <c r="E1126" i="1" s="1"/>
  <c r="F1126" i="1" s="1" a="1"/>
  <c r="F1126" i="1" s="1"/>
  <c r="C1127" i="1"/>
  <c r="D1127" i="1"/>
  <c r="E1127" i="1" s="1"/>
  <c r="F1127" i="1" s="1" a="1"/>
  <c r="F1127" i="1" s="1"/>
  <c r="C1128" i="1"/>
  <c r="D1128" i="1"/>
  <c r="E1128" i="1" s="1"/>
  <c r="C1129" i="1"/>
  <c r="D1129" i="1" s="1"/>
  <c r="E1129" i="1" s="1"/>
  <c r="F1129" i="1" s="1" a="1"/>
  <c r="F1129" i="1" s="1"/>
  <c r="C1130" i="1"/>
  <c r="D1130" i="1"/>
  <c r="E1130" i="1" s="1"/>
  <c r="F1130" i="1" s="1" a="1"/>
  <c r="F1130" i="1" s="1"/>
  <c r="C1131" i="1"/>
  <c r="D1131" i="1"/>
  <c r="E1131" i="1" s="1"/>
  <c r="C1132" i="1"/>
  <c r="D1132" i="1" s="1"/>
  <c r="E1132" i="1" s="1"/>
  <c r="F1132" i="1" s="1" a="1"/>
  <c r="F1132" i="1" s="1"/>
  <c r="C1133" i="1"/>
  <c r="D1133" i="1" s="1"/>
  <c r="E1133" i="1" s="1"/>
  <c r="F1133" i="1" s="1" a="1"/>
  <c r="F1133" i="1" s="1"/>
  <c r="C1134" i="1"/>
  <c r="D1134" i="1" s="1"/>
  <c r="E1134" i="1" s="1"/>
  <c r="F1134" i="1" s="1" a="1"/>
  <c r="F1134" i="1" s="1"/>
  <c r="C1135" i="1"/>
  <c r="D1135" i="1" s="1"/>
  <c r="E1135" i="1" s="1"/>
  <c r="F1135" i="1" s="1" a="1"/>
  <c r="F1135" i="1" s="1"/>
  <c r="C1136" i="1"/>
  <c r="D1136" i="1" s="1"/>
  <c r="E1136" i="1" s="1"/>
  <c r="F1136" i="1" s="1" a="1"/>
  <c r="F1136" i="1" s="1"/>
  <c r="C1137" i="1"/>
  <c r="D1137" i="1" s="1"/>
  <c r="E1137" i="1" s="1"/>
  <c r="F1137" i="1" s="1" a="1"/>
  <c r="F1137" i="1" s="1"/>
  <c r="C1138" i="1"/>
  <c r="D1138" i="1" s="1"/>
  <c r="E1138" i="1" s="1"/>
  <c r="F1138" i="1" s="1" a="1"/>
  <c r="F1138" i="1" s="1"/>
  <c r="C1139" i="1"/>
  <c r="D1139" i="1"/>
  <c r="E1139" i="1" s="1"/>
  <c r="F1139" i="1" s="1" a="1"/>
  <c r="F1139" i="1" s="1"/>
  <c r="C1140" i="1"/>
  <c r="D1140" i="1" s="1"/>
  <c r="E1140" i="1" s="1"/>
  <c r="F1140" i="1" s="1" a="1"/>
  <c r="F1140" i="1" s="1"/>
  <c r="C1141" i="1"/>
  <c r="D1141" i="1" s="1"/>
  <c r="E1141" i="1" s="1"/>
  <c r="C1142" i="1"/>
  <c r="D1142" i="1" s="1"/>
  <c r="E1142" i="1" s="1"/>
  <c r="F1142" i="1" s="1" a="1"/>
  <c r="F1142" i="1" s="1"/>
  <c r="C1143" i="1"/>
  <c r="D1143" i="1" s="1"/>
  <c r="E1143" i="1" s="1"/>
  <c r="C1144" i="1"/>
  <c r="D1144" i="1" s="1"/>
  <c r="E1144" i="1" s="1"/>
  <c r="C1145" i="1"/>
  <c r="D1145" i="1" s="1"/>
  <c r="E1145" i="1" s="1"/>
  <c r="F1145" i="1" s="1" a="1"/>
  <c r="F1145" i="1" s="1"/>
  <c r="C1146" i="1"/>
  <c r="D1146" i="1" s="1"/>
  <c r="E1146" i="1" s="1"/>
  <c r="C1147" i="1"/>
  <c r="D1147" i="1" s="1"/>
  <c r="E1147" i="1" s="1"/>
  <c r="C1148" i="1"/>
  <c r="D1148" i="1" s="1"/>
  <c r="E1148" i="1" s="1"/>
  <c r="F1148" i="1" s="1" a="1"/>
  <c r="F1148" i="1" s="1"/>
  <c r="C1149" i="1"/>
  <c r="D1149" i="1" s="1"/>
  <c r="E1149" i="1" s="1"/>
  <c r="C1150" i="1"/>
  <c r="D1150" i="1" s="1"/>
  <c r="E1150" i="1" s="1"/>
  <c r="C1151" i="1"/>
  <c r="D1151" i="1" s="1"/>
  <c r="E1151" i="1" s="1"/>
  <c r="C1152" i="1"/>
  <c r="D1152" i="1" s="1"/>
  <c r="E1152" i="1" s="1"/>
  <c r="C1153" i="1"/>
  <c r="D1153" i="1" s="1"/>
  <c r="E1153" i="1" s="1"/>
  <c r="C1154" i="1"/>
  <c r="D1154" i="1" s="1"/>
  <c r="E1154" i="1" s="1"/>
  <c r="C1155" i="1"/>
  <c r="D1155" i="1" s="1"/>
  <c r="E1155" i="1" s="1"/>
  <c r="C1156" i="1"/>
  <c r="D1156" i="1" s="1"/>
  <c r="E1156" i="1" s="1"/>
  <c r="C1157" i="1"/>
  <c r="D1157" i="1" s="1"/>
  <c r="E1157" i="1" s="1"/>
  <c r="C1158" i="1"/>
  <c r="D1158" i="1"/>
  <c r="E1158" i="1" s="1"/>
  <c r="F1158" i="1" s="1" a="1"/>
  <c r="F1158" i="1" s="1"/>
  <c r="C1159" i="1"/>
  <c r="D1159" i="1" s="1"/>
  <c r="E1159" i="1" s="1"/>
  <c r="C1160" i="1"/>
  <c r="D1160" i="1" s="1"/>
  <c r="E1160" i="1" s="1"/>
  <c r="C1161" i="1"/>
  <c r="D1161" i="1" s="1"/>
  <c r="E1161" i="1" s="1"/>
  <c r="C1162" i="1"/>
  <c r="D1162" i="1" s="1"/>
  <c r="E1162" i="1" s="1"/>
  <c r="C1163" i="1"/>
  <c r="D1163" i="1" s="1"/>
  <c r="E1163" i="1" s="1"/>
  <c r="C1164" i="1"/>
  <c r="D1164" i="1"/>
  <c r="E1164" i="1" s="1"/>
  <c r="C1165" i="1"/>
  <c r="D1165" i="1" s="1"/>
  <c r="E1165" i="1" s="1"/>
  <c r="C1166" i="1"/>
  <c r="D1166" i="1" s="1"/>
  <c r="E1166" i="1" s="1"/>
  <c r="C1167" i="1"/>
  <c r="D1167" i="1" s="1"/>
  <c r="E1167" i="1" s="1"/>
  <c r="C1168" i="1"/>
  <c r="D1168" i="1" s="1"/>
  <c r="E1168" i="1" s="1"/>
  <c r="C1169" i="1"/>
  <c r="D1169" i="1" s="1"/>
  <c r="E1169" i="1" s="1"/>
  <c r="C1170" i="1"/>
  <c r="D1170" i="1" s="1"/>
  <c r="E1170" i="1" s="1"/>
  <c r="C1171" i="1"/>
  <c r="D1171" i="1" s="1"/>
  <c r="E1171" i="1" s="1"/>
  <c r="C1172" i="1"/>
  <c r="D1172" i="1" s="1"/>
  <c r="E1172" i="1" s="1"/>
  <c r="C1173" i="1"/>
  <c r="D1173" i="1" s="1"/>
  <c r="E1173" i="1" s="1"/>
  <c r="F1173" i="1" s="1" a="1"/>
  <c r="F1173" i="1" s="1"/>
  <c r="C1174" i="1"/>
  <c r="D1174" i="1"/>
  <c r="E1174" i="1" s="1"/>
  <c r="C1175" i="1"/>
  <c r="D1175" i="1" s="1"/>
  <c r="E1175" i="1" s="1"/>
  <c r="F1175" i="1" s="1" a="1"/>
  <c r="F1175" i="1" s="1"/>
  <c r="C1176" i="1"/>
  <c r="D1176" i="1" s="1"/>
  <c r="E1176" i="1" s="1"/>
  <c r="F1176" i="1" s="1" a="1"/>
  <c r="F1176" i="1" s="1"/>
  <c r="C1177" i="1"/>
  <c r="D1177" i="1" s="1"/>
  <c r="E1177" i="1" s="1"/>
  <c r="C1178" i="1"/>
  <c r="D1178" i="1" s="1"/>
  <c r="E1178" i="1" s="1"/>
  <c r="C1179" i="1"/>
  <c r="D1179" i="1" s="1"/>
  <c r="E1179" i="1" s="1"/>
  <c r="C1180" i="1"/>
  <c r="D1180" i="1" s="1"/>
  <c r="E1180" i="1" s="1"/>
  <c r="C1181" i="1"/>
  <c r="D1181" i="1" s="1"/>
  <c r="E1181" i="1" s="1"/>
  <c r="C1182" i="1"/>
  <c r="D1182" i="1" s="1"/>
  <c r="E1182" i="1" s="1"/>
  <c r="C1183" i="1"/>
  <c r="D1183" i="1" s="1"/>
  <c r="E1183" i="1" s="1"/>
  <c r="C1184" i="1"/>
  <c r="D1184" i="1" s="1"/>
  <c r="E1184" i="1" s="1"/>
  <c r="F1184" i="1" s="1" a="1"/>
  <c r="F1184" i="1" s="1"/>
  <c r="C1185" i="1"/>
  <c r="D1185" i="1" s="1"/>
  <c r="E1185" i="1" s="1"/>
  <c r="C1186" i="1"/>
  <c r="D1186" i="1"/>
  <c r="E1186" i="1" s="1"/>
  <c r="C1187" i="1"/>
  <c r="D1187" i="1"/>
  <c r="E1187" i="1" s="1"/>
  <c r="C1188" i="1"/>
  <c r="D1188" i="1" s="1"/>
  <c r="E1188" i="1" s="1"/>
  <c r="F1188" i="1" s="1" a="1"/>
  <c r="F1188" i="1" s="1"/>
  <c r="C1189" i="1"/>
  <c r="D1189" i="1" s="1"/>
  <c r="E1189" i="1" s="1"/>
  <c r="C1190" i="1"/>
  <c r="D1190" i="1" s="1"/>
  <c r="E1190" i="1" s="1"/>
  <c r="C1191" i="1"/>
  <c r="D1191" i="1" s="1"/>
  <c r="E1191" i="1" s="1"/>
  <c r="C1192" i="1"/>
  <c r="D1192" i="1" s="1"/>
  <c r="E1192" i="1" s="1"/>
  <c r="C1193" i="1"/>
  <c r="D1193" i="1" s="1"/>
  <c r="E1193" i="1" s="1"/>
  <c r="C1194" i="1"/>
  <c r="D1194" i="1" s="1"/>
  <c r="E1194" i="1" s="1"/>
  <c r="C1195" i="1"/>
  <c r="D1195" i="1" s="1"/>
  <c r="E1195" i="1" s="1"/>
  <c r="C1196" i="1"/>
  <c r="D1196" i="1"/>
  <c r="E1196" i="1" s="1"/>
  <c r="C1197" i="1"/>
  <c r="D1197" i="1" s="1"/>
  <c r="E1197" i="1" s="1"/>
  <c r="C1198" i="1"/>
  <c r="D1198" i="1" s="1"/>
  <c r="E1198" i="1" s="1"/>
  <c r="C1199" i="1"/>
  <c r="D1199" i="1" s="1"/>
  <c r="E1199" i="1" s="1"/>
  <c r="C1200" i="1"/>
  <c r="D1200" i="1" s="1"/>
  <c r="E1200" i="1" s="1"/>
  <c r="C1201" i="1"/>
  <c r="D1201" i="1" s="1"/>
  <c r="E1201" i="1" s="1"/>
  <c r="C1202" i="1"/>
  <c r="D1202" i="1" s="1"/>
  <c r="E1202" i="1" s="1"/>
  <c r="C1203" i="1"/>
  <c r="D1203" i="1" s="1"/>
  <c r="E1203" i="1" s="1"/>
  <c r="C1204" i="1"/>
  <c r="D1204" i="1" s="1"/>
  <c r="E1204" i="1" s="1"/>
  <c r="C1205" i="1"/>
  <c r="D1205" i="1" s="1"/>
  <c r="E1205" i="1" s="1"/>
  <c r="C1206" i="1"/>
  <c r="D1206" i="1" s="1"/>
  <c r="E1206" i="1" s="1"/>
  <c r="C1207" i="1"/>
  <c r="D1207" i="1"/>
  <c r="E1207" i="1" s="1"/>
  <c r="F1207" i="1" s="1" a="1"/>
  <c r="F1207" i="1" s="1"/>
  <c r="C1208" i="1"/>
  <c r="D1208" i="1" s="1"/>
  <c r="E1208" i="1" s="1"/>
  <c r="C1209" i="1"/>
  <c r="D1209" i="1" s="1"/>
  <c r="E1209" i="1" s="1"/>
  <c r="F1209" i="1" s="1" a="1"/>
  <c r="F1209" i="1" s="1"/>
  <c r="C1210" i="1"/>
  <c r="D1210" i="1" s="1"/>
  <c r="E1210" i="1" s="1"/>
  <c r="C1211" i="1"/>
  <c r="D1211" i="1" s="1"/>
  <c r="E1211" i="1" s="1"/>
  <c r="F1211" i="1" s="1" a="1"/>
  <c r="F1211" i="1" s="1"/>
  <c r="C1212" i="1"/>
  <c r="D1212" i="1" s="1"/>
  <c r="E1212" i="1" s="1"/>
  <c r="C1213" i="1"/>
  <c r="D1213" i="1" s="1"/>
  <c r="E1213" i="1" s="1"/>
  <c r="C1214" i="1"/>
  <c r="D1214" i="1"/>
  <c r="E1214" i="1" s="1"/>
  <c r="C1215" i="1"/>
  <c r="D1215" i="1" s="1"/>
  <c r="E1215" i="1" s="1"/>
  <c r="C1216" i="1"/>
  <c r="D1216" i="1" s="1"/>
  <c r="E1216" i="1" s="1"/>
  <c r="F1216" i="1" s="1" a="1"/>
  <c r="F1216" i="1" s="1"/>
  <c r="C1217" i="1"/>
  <c r="D1217" i="1" s="1"/>
  <c r="E1217" i="1" s="1"/>
  <c r="C1218" i="1"/>
  <c r="D1218" i="1" s="1"/>
  <c r="E1218" i="1" s="1"/>
  <c r="C1219" i="1"/>
  <c r="D1219" i="1" s="1"/>
  <c r="E1219" i="1" s="1"/>
  <c r="C1220" i="1"/>
  <c r="D1220" i="1" s="1"/>
  <c r="E1220" i="1" s="1"/>
  <c r="C1221" i="1"/>
  <c r="D1221" i="1" s="1"/>
  <c r="E1221" i="1" s="1"/>
  <c r="C1222" i="1"/>
  <c r="D1222" i="1" s="1"/>
  <c r="E1222" i="1" s="1"/>
  <c r="C1223" i="1"/>
  <c r="D1223" i="1" s="1"/>
  <c r="E1223" i="1" s="1"/>
  <c r="C1224" i="1"/>
  <c r="D1224" i="1" s="1"/>
  <c r="E1224" i="1" s="1"/>
  <c r="C1225" i="1"/>
  <c r="D1225" i="1" s="1"/>
  <c r="E1225" i="1" s="1"/>
  <c r="C1226" i="1"/>
  <c r="D1226" i="1" s="1"/>
  <c r="E1226" i="1" s="1"/>
  <c r="C1227" i="1"/>
  <c r="D1227" i="1"/>
  <c r="E1227" i="1" s="1"/>
  <c r="C1228" i="1"/>
  <c r="D1228" i="1" s="1"/>
  <c r="E1228" i="1" s="1"/>
  <c r="C1229" i="1"/>
  <c r="D1229" i="1" s="1"/>
  <c r="E1229" i="1" s="1"/>
  <c r="C1230" i="1"/>
  <c r="D1230" i="1" s="1"/>
  <c r="E1230" i="1" s="1"/>
  <c r="C1231" i="1"/>
  <c r="D1231" i="1" s="1"/>
  <c r="E1231" i="1" s="1"/>
  <c r="C1232" i="1"/>
  <c r="D1232" i="1" s="1"/>
  <c r="E1232" i="1" s="1"/>
  <c r="F1232" i="1" s="1" a="1"/>
  <c r="F1232" i="1" s="1"/>
  <c r="C1233" i="1"/>
  <c r="D1233" i="1" s="1"/>
  <c r="E1233" i="1" s="1"/>
  <c r="C1234" i="1"/>
  <c r="D1234" i="1" s="1"/>
  <c r="E1234" i="1" s="1"/>
  <c r="C1235" i="1"/>
  <c r="D1235" i="1" s="1"/>
  <c r="E1235" i="1" s="1"/>
  <c r="C1236" i="1"/>
  <c r="D1236" i="1" s="1"/>
  <c r="E1236" i="1" s="1"/>
  <c r="C1237" i="1"/>
  <c r="D1237" i="1" s="1"/>
  <c r="E1237" i="1" s="1"/>
  <c r="C1238" i="1"/>
  <c r="D1238" i="1" s="1"/>
  <c r="E1238" i="1" s="1"/>
  <c r="C1239" i="1"/>
  <c r="D1239" i="1" s="1"/>
  <c r="E1239" i="1" s="1"/>
  <c r="C1240" i="1"/>
  <c r="D1240" i="1"/>
  <c r="E1240" i="1" s="1"/>
  <c r="C1241" i="1"/>
  <c r="D1241" i="1" s="1"/>
  <c r="E1241" i="1" s="1"/>
  <c r="C1242" i="1"/>
  <c r="D1242" i="1" s="1"/>
  <c r="E1242" i="1" s="1"/>
  <c r="C1243" i="1"/>
  <c r="D1243" i="1"/>
  <c r="E1243" i="1" s="1"/>
  <c r="C1244" i="1"/>
  <c r="D1244" i="1" s="1"/>
  <c r="E1244" i="1" s="1"/>
  <c r="F1244" i="1" s="1" a="1"/>
  <c r="F1244" i="1" s="1"/>
  <c r="C1245" i="1"/>
  <c r="D1245" i="1" s="1"/>
  <c r="E1245" i="1" s="1"/>
  <c r="F1245" i="1" s="1" a="1"/>
  <c r="F1245" i="1" s="1"/>
  <c r="C1246" i="1"/>
  <c r="D1246" i="1" s="1"/>
  <c r="E1246" i="1" s="1"/>
  <c r="F1246" i="1" s="1" a="1"/>
  <c r="F1246" i="1" s="1"/>
  <c r="C1247" i="1"/>
  <c r="D1247" i="1"/>
  <c r="E1247" i="1"/>
  <c r="F1247" i="1" s="1" a="1"/>
  <c r="F1247" i="1" s="1"/>
  <c r="C1248" i="1"/>
  <c r="D1248" i="1" s="1"/>
  <c r="E1248" i="1" s="1"/>
  <c r="C1249" i="1"/>
  <c r="D1249" i="1" s="1"/>
  <c r="E1249" i="1" s="1"/>
  <c r="C1250" i="1"/>
  <c r="D1250" i="1"/>
  <c r="E1250" i="1" s="1"/>
  <c r="C1251" i="1"/>
  <c r="D1251" i="1"/>
  <c r="E1251" i="1" s="1"/>
  <c r="F1251" i="1" s="1" a="1"/>
  <c r="F1251" i="1" s="1"/>
  <c r="C1252" i="1"/>
  <c r="D1252" i="1" s="1"/>
  <c r="E1252" i="1" s="1"/>
  <c r="C1253" i="1"/>
  <c r="D1253" i="1" s="1"/>
  <c r="E1253" i="1" s="1"/>
  <c r="F1253" i="1" s="1" a="1"/>
  <c r="F1253" i="1" s="1"/>
  <c r="C1254" i="1"/>
  <c r="D1254" i="1" s="1"/>
  <c r="E1254" i="1" s="1"/>
  <c r="C1255" i="1"/>
  <c r="D1255" i="1" s="1"/>
  <c r="E1255" i="1" s="1"/>
  <c r="C1256" i="1"/>
  <c r="D1256" i="1"/>
  <c r="E1256" i="1" s="1"/>
  <c r="C1257" i="1"/>
  <c r="D1257" i="1" s="1"/>
  <c r="E1257" i="1" s="1"/>
  <c r="C1258" i="1"/>
  <c r="D1258" i="1" s="1"/>
  <c r="E1258" i="1" s="1"/>
  <c r="C1259" i="1"/>
  <c r="D1259" i="1" s="1"/>
  <c r="E1259" i="1" s="1"/>
  <c r="F1259" i="1" s="1" a="1"/>
  <c r="F1259" i="1" s="1"/>
  <c r="C1260" i="1"/>
  <c r="D1260" i="1" s="1"/>
  <c r="E1260" i="1" s="1"/>
  <c r="F1260" i="1" s="1" a="1"/>
  <c r="F1260" i="1" s="1"/>
  <c r="C1261" i="1"/>
  <c r="D1261" i="1" s="1"/>
  <c r="E1261" i="1" s="1"/>
  <c r="F1261" i="1" s="1" a="1"/>
  <c r="F1261" i="1" s="1"/>
  <c r="C1262" i="1"/>
  <c r="D1262" i="1" s="1"/>
  <c r="E1262" i="1" s="1"/>
  <c r="F1262" i="1" s="1" a="1"/>
  <c r="F1262" i="1" s="1"/>
  <c r="C1263" i="1"/>
  <c r="D1263" i="1" s="1"/>
  <c r="E1263" i="1" s="1"/>
  <c r="F1263" i="1" s="1" a="1"/>
  <c r="F1263" i="1" s="1"/>
  <c r="C1264" i="1"/>
  <c r="D1264" i="1" s="1"/>
  <c r="E1264" i="1" s="1"/>
  <c r="F1264" i="1" s="1" a="1"/>
  <c r="F1264" i="1" s="1"/>
  <c r="C1265" i="1"/>
  <c r="D1265" i="1" s="1"/>
  <c r="E1265" i="1" s="1"/>
  <c r="F1265" i="1" s="1" a="1"/>
  <c r="F1265" i="1" s="1"/>
  <c r="C1266" i="1"/>
  <c r="D1266" i="1"/>
  <c r="E1266" i="1" s="1"/>
  <c r="F1266" i="1" s="1" a="1"/>
  <c r="F1266" i="1" s="1"/>
  <c r="C1267" i="1"/>
  <c r="D1267" i="1" s="1"/>
  <c r="E1267" i="1" s="1"/>
  <c r="F1267" i="1" s="1" a="1"/>
  <c r="F1267" i="1" s="1"/>
  <c r="C1268" i="1"/>
  <c r="D1268" i="1" s="1"/>
  <c r="E1268" i="1" s="1"/>
  <c r="F1268" i="1" s="1" a="1"/>
  <c r="F1268" i="1" s="1"/>
  <c r="C1269" i="1"/>
  <c r="D1269" i="1" s="1"/>
  <c r="E1269" i="1" s="1"/>
  <c r="F1269" i="1" s="1" a="1"/>
  <c r="F1269" i="1" s="1"/>
  <c r="C1270" i="1"/>
  <c r="D1270" i="1" s="1"/>
  <c r="E1270" i="1" s="1"/>
  <c r="F1270" i="1" s="1" a="1"/>
  <c r="F1270" i="1" s="1"/>
  <c r="C1271" i="1"/>
  <c r="D1271" i="1" s="1"/>
  <c r="E1271" i="1" s="1"/>
  <c r="F1271" i="1" s="1" a="1"/>
  <c r="F1271" i="1" s="1"/>
  <c r="C1272" i="1"/>
  <c r="D1272" i="1" s="1"/>
  <c r="E1272" i="1" s="1"/>
  <c r="F1272" i="1" s="1" a="1"/>
  <c r="F1272" i="1" s="1"/>
  <c r="C1273" i="1"/>
  <c r="D1273" i="1" s="1"/>
  <c r="E1273" i="1" s="1"/>
  <c r="F1273" i="1" s="1" a="1"/>
  <c r="F1273" i="1" s="1"/>
  <c r="C1274" i="1"/>
  <c r="D1274" i="1" s="1"/>
  <c r="E1274" i="1" s="1"/>
  <c r="F1274" i="1" s="1" a="1"/>
  <c r="F1274" i="1" s="1"/>
  <c r="C1275" i="1"/>
  <c r="D1275" i="1" s="1"/>
  <c r="E1275" i="1" s="1"/>
  <c r="F1275" i="1" s="1" a="1"/>
  <c r="F1275" i="1" s="1"/>
  <c r="C1276" i="1"/>
  <c r="D1276" i="1" s="1"/>
  <c r="E1276" i="1" s="1"/>
  <c r="F1276" i="1" s="1" a="1"/>
  <c r="F1276" i="1" s="1"/>
  <c r="C1277" i="1"/>
  <c r="D1277" i="1" s="1"/>
  <c r="E1277" i="1" s="1"/>
  <c r="F1277" i="1" s="1" a="1"/>
  <c r="F1277" i="1" s="1"/>
  <c r="C1278" i="1"/>
  <c r="D1278" i="1" s="1"/>
  <c r="E1278" i="1" s="1"/>
  <c r="F1278" i="1" s="1" a="1"/>
  <c r="F1278" i="1" s="1"/>
  <c r="C1279" i="1"/>
  <c r="D1279" i="1" s="1"/>
  <c r="E1279" i="1" s="1"/>
  <c r="F1279" i="1" s="1" a="1"/>
  <c r="F1279" i="1" s="1"/>
  <c r="C1280" i="1"/>
  <c r="D1280" i="1" s="1"/>
  <c r="E1280" i="1" s="1"/>
  <c r="F1280" i="1" s="1" a="1"/>
  <c r="F1280" i="1" s="1"/>
  <c r="C1281" i="1"/>
  <c r="D1281" i="1" s="1"/>
  <c r="E1281" i="1" s="1"/>
  <c r="F1281" i="1" s="1" a="1"/>
  <c r="F1281" i="1" s="1"/>
  <c r="C1282" i="1"/>
  <c r="D1282" i="1" s="1"/>
  <c r="E1282" i="1" s="1"/>
  <c r="F1282" i="1" s="1" a="1"/>
  <c r="F1282" i="1" s="1"/>
  <c r="C1283" i="1"/>
  <c r="D1283" i="1" s="1"/>
  <c r="E1283" i="1" s="1"/>
  <c r="F1283" i="1" s="1" a="1"/>
  <c r="F1283" i="1" s="1"/>
  <c r="C1284" i="1"/>
  <c r="D1284" i="1" s="1"/>
  <c r="E1284" i="1" s="1"/>
  <c r="F1284" i="1" s="1" a="1"/>
  <c r="F1284" i="1" s="1"/>
  <c r="C1285" i="1"/>
  <c r="D1285" i="1" s="1"/>
  <c r="E1285" i="1" s="1"/>
  <c r="F1285" i="1" s="1" a="1"/>
  <c r="F1285" i="1" s="1"/>
  <c r="C1286" i="1"/>
  <c r="D1286" i="1" s="1"/>
  <c r="E1286" i="1" s="1"/>
  <c r="F1286" i="1" s="1" a="1"/>
  <c r="F1286" i="1" s="1"/>
  <c r="C1287" i="1"/>
  <c r="D1287" i="1" s="1"/>
  <c r="E1287" i="1" s="1"/>
  <c r="F1287" i="1" s="1" a="1"/>
  <c r="F1287" i="1" s="1"/>
  <c r="C1288" i="1"/>
  <c r="D1288" i="1" s="1"/>
  <c r="E1288" i="1" s="1"/>
  <c r="F1288" i="1" s="1" a="1"/>
  <c r="F1288" i="1" s="1"/>
  <c r="C1289" i="1"/>
  <c r="D1289" i="1" s="1"/>
  <c r="E1289" i="1" s="1"/>
  <c r="F1289" i="1" s="1" a="1"/>
  <c r="F1289" i="1" s="1"/>
  <c r="C1290" i="1"/>
  <c r="D1290" i="1" s="1"/>
  <c r="E1290" i="1" s="1"/>
  <c r="F1290" i="1" s="1" a="1"/>
  <c r="F1290" i="1" s="1"/>
  <c r="C1291" i="1"/>
  <c r="D1291" i="1" s="1"/>
  <c r="E1291" i="1" s="1"/>
  <c r="F1291" i="1" s="1" a="1"/>
  <c r="F1291" i="1" s="1"/>
  <c r="C1292" i="1"/>
  <c r="D1292" i="1" s="1"/>
  <c r="E1292" i="1" s="1"/>
  <c r="F1292" i="1" s="1" a="1"/>
  <c r="F1292" i="1" s="1"/>
  <c r="C1293" i="1"/>
  <c r="D1293" i="1" s="1"/>
  <c r="E1293" i="1" s="1"/>
  <c r="F1293" i="1" s="1" a="1"/>
  <c r="F1293" i="1" s="1"/>
  <c r="C1294" i="1"/>
  <c r="D1294" i="1" s="1"/>
  <c r="E1294" i="1" s="1"/>
  <c r="F1294" i="1" s="1" a="1"/>
  <c r="F1294" i="1" s="1"/>
  <c r="C1295" i="1"/>
  <c r="D1295" i="1" s="1"/>
  <c r="E1295" i="1" s="1"/>
  <c r="F1295" i="1" s="1" a="1"/>
  <c r="F1295" i="1" s="1"/>
  <c r="C1296" i="1"/>
  <c r="D1296" i="1" s="1"/>
  <c r="E1296" i="1" s="1"/>
  <c r="F1296" i="1" s="1" a="1"/>
  <c r="F1296" i="1" s="1"/>
  <c r="C1297" i="1"/>
  <c r="D1297" i="1" s="1"/>
  <c r="E1297" i="1" s="1"/>
  <c r="F1297" i="1" s="1" a="1"/>
  <c r="F1297" i="1" s="1"/>
  <c r="C1298" i="1"/>
  <c r="D1298" i="1" s="1"/>
  <c r="E1298" i="1" s="1"/>
  <c r="F1298" i="1" s="1" a="1"/>
  <c r="F1298" i="1" s="1"/>
  <c r="C1299" i="1"/>
  <c r="D1299" i="1"/>
  <c r="E1299" i="1" s="1"/>
  <c r="F1299" i="1" s="1" a="1"/>
  <c r="F1299" i="1" s="1"/>
  <c r="C1300" i="1"/>
  <c r="D1300" i="1" s="1"/>
  <c r="E1300" i="1" s="1"/>
  <c r="F1300" i="1" s="1" a="1"/>
  <c r="F1300" i="1" s="1"/>
  <c r="C1301" i="1"/>
  <c r="D1301" i="1"/>
  <c r="E1301" i="1" s="1"/>
  <c r="C1302" i="1"/>
  <c r="D1302" i="1" s="1"/>
  <c r="E1302" i="1" s="1"/>
  <c r="F1302" i="1" s="1" a="1"/>
  <c r="F1302" i="1" s="1"/>
  <c r="C1303" i="1"/>
  <c r="D1303" i="1" s="1"/>
  <c r="E1303" i="1" s="1"/>
  <c r="C1304" i="1"/>
  <c r="D1304" i="1"/>
  <c r="E1304" i="1" s="1"/>
  <c r="C1305" i="1"/>
  <c r="D1305" i="1" s="1"/>
  <c r="E1305" i="1" s="1"/>
  <c r="C1306" i="1"/>
  <c r="D1306" i="1" s="1"/>
  <c r="E1306" i="1" s="1"/>
  <c r="C1307" i="1"/>
  <c r="D1307" i="1" s="1"/>
  <c r="E1307" i="1" s="1"/>
  <c r="C1308" i="1"/>
  <c r="D1308" i="1" s="1"/>
  <c r="E1308" i="1" s="1"/>
  <c r="C1309" i="1"/>
  <c r="D1309" i="1" s="1"/>
  <c r="E1309" i="1" s="1"/>
  <c r="F1309" i="1" s="1" a="1"/>
  <c r="F1309" i="1" s="1"/>
  <c r="C1310" i="1"/>
  <c r="D1310" i="1" s="1"/>
  <c r="E1310" i="1" s="1"/>
  <c r="F1310" i="1" s="1" a="1"/>
  <c r="F1310" i="1" s="1"/>
  <c r="C1311" i="1"/>
  <c r="D1311" i="1" s="1"/>
  <c r="E1311" i="1" s="1"/>
  <c r="C1312" i="1"/>
  <c r="D1312" i="1"/>
  <c r="E1312" i="1" s="1"/>
  <c r="C1313" i="1"/>
  <c r="D1313" i="1" s="1"/>
  <c r="E1313" i="1" s="1"/>
  <c r="F1313" i="1" s="1" a="1"/>
  <c r="F1313" i="1" s="1"/>
  <c r="C1314" i="1"/>
  <c r="D1314" i="1" s="1"/>
  <c r="E1314" i="1" s="1"/>
  <c r="C1315" i="1"/>
  <c r="D1315" i="1"/>
  <c r="E1315" i="1" s="1"/>
  <c r="C1316" i="1"/>
  <c r="D1316" i="1" s="1"/>
  <c r="E1316" i="1" s="1"/>
  <c r="F1316" i="1" s="1" a="1"/>
  <c r="F1316" i="1" s="1"/>
  <c r="C1317" i="1"/>
  <c r="D1317" i="1" s="1"/>
  <c r="E1317" i="1" s="1"/>
  <c r="C1318" i="1"/>
  <c r="D1318" i="1" s="1"/>
  <c r="E1318" i="1" s="1"/>
  <c r="C1319" i="1"/>
  <c r="D1319" i="1" s="1"/>
  <c r="E1319" i="1" s="1"/>
  <c r="C1320" i="1"/>
  <c r="D1320" i="1"/>
  <c r="E1320" i="1" s="1"/>
  <c r="C1321" i="1"/>
  <c r="D1321" i="1" s="1"/>
  <c r="E1321" i="1" s="1"/>
  <c r="C1322" i="1"/>
  <c r="D1322" i="1" s="1"/>
  <c r="E1322" i="1" s="1"/>
  <c r="C1323" i="1"/>
  <c r="D1323" i="1" s="1"/>
  <c r="E1323" i="1" s="1"/>
  <c r="C1324" i="1"/>
  <c r="D1324" i="1" s="1"/>
  <c r="E1324" i="1" s="1"/>
  <c r="C1325" i="1"/>
  <c r="D1325" i="1"/>
  <c r="E1325" i="1" s="1"/>
  <c r="C1326" i="1"/>
  <c r="D1326" i="1" s="1"/>
  <c r="E1326" i="1" s="1"/>
  <c r="F1326" i="1" s="1" a="1"/>
  <c r="F1326" i="1" s="1"/>
  <c r="C1327" i="1"/>
  <c r="D1327" i="1" s="1"/>
  <c r="E1327" i="1" s="1"/>
  <c r="C1328" i="1"/>
  <c r="D1328" i="1" s="1"/>
  <c r="E1328" i="1" s="1"/>
  <c r="C1329" i="1"/>
  <c r="D1329" i="1" s="1"/>
  <c r="E1329" i="1" s="1"/>
  <c r="C1330" i="1"/>
  <c r="D1330" i="1"/>
  <c r="E1330" i="1" s="1"/>
  <c r="C1331" i="1"/>
  <c r="D1331" i="1" s="1"/>
  <c r="E1331" i="1" s="1"/>
  <c r="C1332" i="1"/>
  <c r="D1332" i="1" s="1"/>
  <c r="E1332" i="1" s="1"/>
  <c r="C1333" i="1"/>
  <c r="D1333" i="1" s="1"/>
  <c r="E1333" i="1" s="1"/>
  <c r="C1334" i="1"/>
  <c r="D1334" i="1" s="1"/>
  <c r="E1334" i="1" s="1"/>
  <c r="F1334" i="1" s="1" a="1"/>
  <c r="F1334" i="1" s="1"/>
  <c r="C1335" i="1"/>
  <c r="D1335" i="1" s="1"/>
  <c r="E1335" i="1" s="1"/>
  <c r="C1336" i="1"/>
  <c r="D1336" i="1" s="1"/>
  <c r="E1336" i="1" s="1"/>
  <c r="C1337" i="1"/>
  <c r="D1337" i="1" s="1"/>
  <c r="E1337" i="1" s="1"/>
  <c r="C1338" i="1"/>
  <c r="D1338" i="1" s="1"/>
  <c r="E1338" i="1" s="1"/>
  <c r="C1339" i="1"/>
  <c r="D1339" i="1" s="1"/>
  <c r="E1339" i="1" s="1"/>
  <c r="C1340" i="1"/>
  <c r="D1340" i="1" s="1"/>
  <c r="E1340" i="1" s="1"/>
  <c r="C1341" i="1"/>
  <c r="D1341" i="1" s="1"/>
  <c r="E1341" i="1" s="1"/>
  <c r="C1342" i="1"/>
  <c r="D1342" i="1" s="1"/>
  <c r="E1342" i="1" s="1"/>
  <c r="C1343" i="1"/>
  <c r="D1343" i="1" s="1"/>
  <c r="E1343" i="1" s="1"/>
  <c r="F1343" i="1" s="1" a="1"/>
  <c r="F1343" i="1" s="1"/>
  <c r="C1344" i="1"/>
  <c r="D1344" i="1" s="1"/>
  <c r="E1344" i="1" s="1"/>
  <c r="C1345" i="1"/>
  <c r="D1345" i="1"/>
  <c r="E1345" i="1" s="1"/>
  <c r="C1346" i="1"/>
  <c r="D1346" i="1" s="1"/>
  <c r="E1346" i="1" s="1"/>
  <c r="F1346" i="1" s="1" a="1"/>
  <c r="F1346" i="1" s="1"/>
  <c r="C1347" i="1"/>
  <c r="D1347" i="1"/>
  <c r="E1347" i="1" s="1"/>
  <c r="F1347" i="1" s="1" a="1"/>
  <c r="F1347" i="1" s="1"/>
  <c r="C1348" i="1"/>
  <c r="D1348" i="1" s="1"/>
  <c r="E1348" i="1" s="1"/>
  <c r="C1349" i="1"/>
  <c r="D1349" i="1" s="1"/>
  <c r="E1349" i="1" s="1"/>
  <c r="F1349" i="1" s="1" a="1"/>
  <c r="F1349" i="1" s="1"/>
  <c r="C1350" i="1"/>
  <c r="D1350" i="1" s="1"/>
  <c r="E1350" i="1" s="1"/>
  <c r="F1350" i="1" s="1" a="1"/>
  <c r="F1350" i="1" s="1"/>
  <c r="C1351" i="1"/>
  <c r="D1351" i="1" s="1"/>
  <c r="E1351" i="1" s="1"/>
  <c r="C1352" i="1"/>
  <c r="D1352" i="1" s="1"/>
  <c r="E1352" i="1" s="1"/>
  <c r="C1353" i="1"/>
  <c r="D1353" i="1" s="1"/>
  <c r="E1353" i="1" s="1"/>
  <c r="C1354" i="1"/>
  <c r="D1354" i="1"/>
  <c r="E1354" i="1" s="1"/>
  <c r="F1354" i="1" s="1" a="1"/>
  <c r="F1354" i="1" s="1"/>
  <c r="C1355" i="1"/>
  <c r="D1355" i="1" s="1"/>
  <c r="E1355" i="1" s="1"/>
  <c r="C1356" i="1"/>
  <c r="D1356" i="1" s="1"/>
  <c r="E1356" i="1" s="1"/>
  <c r="C1357" i="1"/>
  <c r="D1357" i="1" s="1"/>
  <c r="E1357" i="1" s="1"/>
  <c r="C1358" i="1"/>
  <c r="D1358" i="1"/>
  <c r="E1358" i="1" s="1"/>
  <c r="C1359" i="1"/>
  <c r="D1359" i="1"/>
  <c r="E1359" i="1" s="1"/>
  <c r="C1360" i="1"/>
  <c r="D1360" i="1"/>
  <c r="E1360" i="1" s="1"/>
  <c r="C1361" i="1"/>
  <c r="D1361" i="1" s="1"/>
  <c r="E1361" i="1" s="1"/>
  <c r="C1362" i="1"/>
  <c r="D1362" i="1" s="1"/>
  <c r="E1362" i="1" s="1"/>
  <c r="C1363" i="1"/>
  <c r="D1363" i="1"/>
  <c r="E1363" i="1" s="1"/>
  <c r="C1364" i="1"/>
  <c r="D1364" i="1" s="1"/>
  <c r="E1364" i="1" s="1"/>
  <c r="F1364" i="1" s="1" a="1"/>
  <c r="F1364" i="1" s="1"/>
  <c r="C1365" i="1"/>
  <c r="D1365" i="1" s="1"/>
  <c r="E1365" i="1" s="1"/>
  <c r="C1366" i="1"/>
  <c r="D1366" i="1" s="1"/>
  <c r="E1366" i="1" s="1"/>
  <c r="C1367" i="1"/>
  <c r="D1367" i="1" s="1"/>
  <c r="E1367" i="1" s="1"/>
  <c r="C1368" i="1"/>
  <c r="D1368" i="1" s="1"/>
  <c r="E1368" i="1" s="1"/>
  <c r="C1369" i="1"/>
  <c r="D1369" i="1"/>
  <c r="E1369" i="1" s="1"/>
  <c r="C1370" i="1"/>
  <c r="D1370" i="1" s="1"/>
  <c r="E1370" i="1" s="1"/>
  <c r="F1370" i="1" s="1" a="1"/>
  <c r="F1370" i="1" s="1"/>
  <c r="C1371" i="1"/>
  <c r="D1371" i="1" s="1"/>
  <c r="E1371" i="1" s="1"/>
  <c r="C1372" i="1"/>
  <c r="D1372" i="1"/>
  <c r="E1372" i="1" s="1"/>
  <c r="C1373" i="1"/>
  <c r="D1373" i="1" s="1"/>
  <c r="E1373" i="1" s="1"/>
  <c r="C1374" i="1"/>
  <c r="D1374" i="1" s="1"/>
  <c r="E1374" i="1" s="1"/>
  <c r="C1375" i="1"/>
  <c r="D1375" i="1" s="1"/>
  <c r="E1375" i="1" s="1"/>
  <c r="C1376" i="1"/>
  <c r="D1376" i="1" s="1"/>
  <c r="E1376" i="1" s="1"/>
  <c r="C1377" i="1"/>
  <c r="D1377" i="1" s="1"/>
  <c r="E1377" i="1" s="1"/>
  <c r="C1378" i="1"/>
  <c r="D1378" i="1" s="1"/>
  <c r="E1378" i="1" s="1"/>
  <c r="C1379" i="1"/>
  <c r="D1379" i="1" s="1"/>
  <c r="E1379" i="1" s="1"/>
  <c r="C1380" i="1"/>
  <c r="D1380" i="1" s="1"/>
  <c r="E1380" i="1" s="1"/>
  <c r="C1381" i="1"/>
  <c r="D1381" i="1" s="1"/>
  <c r="E1381" i="1" s="1"/>
  <c r="C1382" i="1"/>
  <c r="D1382" i="1" s="1"/>
  <c r="E1382" i="1" s="1"/>
  <c r="C1383" i="1"/>
  <c r="D1383" i="1" s="1"/>
  <c r="E1383" i="1" s="1"/>
  <c r="C1384" i="1"/>
  <c r="D1384" i="1"/>
  <c r="E1384" i="1" s="1"/>
  <c r="C1385" i="1"/>
  <c r="D1385" i="1" s="1"/>
  <c r="E1385" i="1" s="1"/>
  <c r="C1386" i="1"/>
  <c r="D1386" i="1" s="1"/>
  <c r="E1386" i="1" s="1"/>
  <c r="C1387" i="1"/>
  <c r="D1387" i="1" s="1"/>
  <c r="E1387" i="1" s="1"/>
  <c r="C1388" i="1"/>
  <c r="D1388" i="1" s="1"/>
  <c r="E1388" i="1" s="1"/>
  <c r="C1389" i="1"/>
  <c r="D1389" i="1" s="1"/>
  <c r="E1389" i="1" s="1"/>
  <c r="C1390" i="1"/>
  <c r="D1390" i="1" s="1"/>
  <c r="E1390" i="1" s="1"/>
  <c r="F1390" i="1" s="1" a="1"/>
  <c r="F1390" i="1" s="1"/>
  <c r="C1391" i="1"/>
  <c r="D1391" i="1" s="1"/>
  <c r="E1391" i="1" s="1"/>
  <c r="C1392" i="1"/>
  <c r="D1392" i="1" s="1"/>
  <c r="E1392" i="1" s="1"/>
  <c r="C1393" i="1"/>
  <c r="D1393" i="1" s="1"/>
  <c r="E1393" i="1" s="1"/>
  <c r="C1394" i="1"/>
  <c r="D1394" i="1" s="1"/>
  <c r="E1394" i="1" s="1"/>
  <c r="C1395" i="1"/>
  <c r="D1395" i="1" s="1"/>
  <c r="E1395" i="1" s="1"/>
  <c r="C1396" i="1"/>
  <c r="D1396" i="1" s="1"/>
  <c r="E1396" i="1" s="1"/>
  <c r="C1397" i="1"/>
  <c r="D1397" i="1" s="1"/>
  <c r="E1397" i="1" s="1"/>
  <c r="F1397" i="1" s="1" a="1"/>
  <c r="F1397" i="1" s="1"/>
  <c r="C1398" i="1"/>
  <c r="D1398" i="1" s="1"/>
  <c r="E1398" i="1" s="1"/>
  <c r="C1399" i="1"/>
  <c r="D1399" i="1"/>
  <c r="E1399" i="1" s="1"/>
  <c r="C1400" i="1"/>
  <c r="D1400" i="1" s="1"/>
  <c r="E1400" i="1" s="1"/>
  <c r="F1400" i="1" s="1" a="1"/>
  <c r="F1400" i="1" s="1"/>
  <c r="C1401" i="1"/>
  <c r="D1401" i="1" s="1"/>
  <c r="E1401" i="1" s="1"/>
  <c r="C1402" i="1"/>
  <c r="D1402" i="1" s="1"/>
  <c r="E1402" i="1" s="1"/>
  <c r="C1403" i="1"/>
  <c r="D1403" i="1" s="1"/>
  <c r="E1403" i="1" s="1"/>
  <c r="C1404" i="1"/>
  <c r="D1404" i="1"/>
  <c r="E1404" i="1" s="1"/>
  <c r="C1405" i="1"/>
  <c r="D1405" i="1" s="1"/>
  <c r="E1405" i="1" s="1"/>
  <c r="C1406" i="1"/>
  <c r="D1406" i="1" s="1"/>
  <c r="E1406" i="1" s="1"/>
  <c r="C1407" i="1"/>
  <c r="D1407" i="1" s="1"/>
  <c r="E1407" i="1" s="1"/>
  <c r="C1408" i="1"/>
  <c r="D1408" i="1" s="1"/>
  <c r="E1408" i="1" s="1"/>
  <c r="C1409" i="1"/>
  <c r="D1409" i="1" s="1"/>
  <c r="E1409" i="1" s="1"/>
  <c r="C1410" i="1"/>
  <c r="D1410" i="1" s="1"/>
  <c r="E1410" i="1" s="1"/>
  <c r="C1411" i="1"/>
  <c r="D1411" i="1" s="1"/>
  <c r="E1411" i="1" s="1"/>
  <c r="C1412" i="1"/>
  <c r="D1412" i="1" s="1"/>
  <c r="E1412" i="1" s="1"/>
  <c r="C1413" i="1"/>
  <c r="D1413" i="1" s="1"/>
  <c r="E1413" i="1" s="1"/>
  <c r="C1414" i="1"/>
  <c r="D1414" i="1" s="1"/>
  <c r="E1414" i="1" s="1"/>
  <c r="C1415" i="1"/>
  <c r="D1415" i="1" s="1"/>
  <c r="E1415" i="1" s="1"/>
  <c r="C1416" i="1"/>
  <c r="D1416" i="1" s="1"/>
  <c r="E1416" i="1" s="1"/>
  <c r="C1417" i="1"/>
  <c r="D1417" i="1"/>
  <c r="E1417" i="1" s="1"/>
  <c r="C1418" i="1"/>
  <c r="D1418" i="1"/>
  <c r="E1418" i="1" s="1"/>
  <c r="C1419" i="1"/>
  <c r="D1419" i="1" s="1"/>
  <c r="E1419" i="1" s="1"/>
  <c r="C1420" i="1"/>
  <c r="D1420" i="1"/>
  <c r="E1420" i="1" s="1"/>
  <c r="F1420" i="1" s="1" a="1"/>
  <c r="F1420" i="1" s="1"/>
  <c r="C1421" i="1"/>
  <c r="D1421" i="1" s="1"/>
  <c r="E1421" i="1" s="1"/>
  <c r="F1421" i="1" s="1" a="1"/>
  <c r="F1421" i="1" s="1"/>
  <c r="C1422" i="1"/>
  <c r="D1422" i="1"/>
  <c r="E1422" i="1" s="1"/>
  <c r="F1422" i="1" s="1" a="1"/>
  <c r="F1422" i="1" s="1"/>
  <c r="C1423" i="1"/>
  <c r="D1423" i="1"/>
  <c r="E1423" i="1" s="1"/>
  <c r="F1423" i="1" s="1" a="1"/>
  <c r="F1423" i="1" s="1"/>
  <c r="C1424" i="1"/>
  <c r="D1424" i="1" s="1"/>
  <c r="E1424" i="1" s="1"/>
  <c r="F1424" i="1" s="1" a="1"/>
  <c r="F1424" i="1" s="1"/>
  <c r="C1425" i="1"/>
  <c r="D1425" i="1" s="1"/>
  <c r="E1425" i="1" s="1"/>
  <c r="F1425" i="1" s="1" a="1"/>
  <c r="F1425" i="1" s="1"/>
  <c r="C1426" i="1"/>
  <c r="D1426" i="1" s="1"/>
  <c r="E1426" i="1" s="1"/>
  <c r="F1426" i="1" s="1" a="1"/>
  <c r="F1426" i="1" s="1"/>
  <c r="C1427" i="1"/>
  <c r="D1427" i="1" s="1"/>
  <c r="E1427" i="1" s="1"/>
  <c r="F1427" i="1" s="1" a="1"/>
  <c r="F1427" i="1" s="1"/>
  <c r="C1428" i="1"/>
  <c r="D1428" i="1" s="1"/>
  <c r="E1428" i="1" s="1"/>
  <c r="F1428" i="1" s="1" a="1"/>
  <c r="F1428" i="1" s="1"/>
  <c r="C1429" i="1"/>
  <c r="D1429" i="1" s="1"/>
  <c r="E1429" i="1" s="1"/>
  <c r="F1429" i="1" s="1" a="1"/>
  <c r="F1429" i="1" s="1"/>
  <c r="C1430" i="1"/>
  <c r="D1430" i="1" s="1"/>
  <c r="E1430" i="1" s="1"/>
  <c r="F1430" i="1" s="1" a="1"/>
  <c r="F1430" i="1" s="1"/>
  <c r="C1431" i="1"/>
  <c r="D1431" i="1" s="1"/>
  <c r="E1431" i="1" s="1"/>
  <c r="F1431" i="1" s="1" a="1"/>
  <c r="F1431" i="1" s="1"/>
  <c r="C1432" i="1"/>
  <c r="D1432" i="1"/>
  <c r="E1432" i="1" s="1"/>
  <c r="F1432" i="1" s="1" a="1"/>
  <c r="F1432" i="1" s="1"/>
  <c r="C1433" i="1"/>
  <c r="D1433" i="1" s="1"/>
  <c r="E1433" i="1" s="1"/>
  <c r="F1433" i="1" s="1" a="1"/>
  <c r="F1433" i="1" s="1"/>
  <c r="C1434" i="1"/>
  <c r="D1434" i="1" s="1"/>
  <c r="E1434" i="1" s="1"/>
  <c r="F1434" i="1" s="1" a="1"/>
  <c r="F1434" i="1" s="1"/>
  <c r="C1435" i="1"/>
  <c r="D1435" i="1" s="1"/>
  <c r="E1435" i="1" s="1"/>
  <c r="F1435" i="1" s="1" a="1"/>
  <c r="F1435" i="1" s="1"/>
  <c r="C1436" i="1"/>
  <c r="D1436" i="1" s="1"/>
  <c r="E1436" i="1" s="1"/>
  <c r="F1436" i="1" s="1" a="1"/>
  <c r="F1436" i="1" s="1"/>
  <c r="C1437" i="1"/>
  <c r="D1437" i="1" s="1"/>
  <c r="E1437" i="1" s="1"/>
  <c r="F1437" i="1" s="1" a="1"/>
  <c r="F1437" i="1" s="1"/>
  <c r="C1438" i="1"/>
  <c r="D1438" i="1" s="1"/>
  <c r="E1438" i="1" s="1"/>
  <c r="F1438" i="1" s="1" a="1"/>
  <c r="F1438" i="1" s="1"/>
  <c r="C1439" i="1"/>
  <c r="D1439" i="1" s="1"/>
  <c r="E1439" i="1" s="1"/>
  <c r="F1439" i="1" s="1" a="1"/>
  <c r="F1439" i="1" s="1"/>
  <c r="C1440" i="1"/>
  <c r="D1440" i="1" s="1"/>
  <c r="E1440" i="1" s="1"/>
  <c r="F1440" i="1" s="1" a="1"/>
  <c r="F1440" i="1" s="1"/>
  <c r="C1441" i="1"/>
  <c r="D1441" i="1" s="1"/>
  <c r="E1441" i="1" s="1"/>
  <c r="F1441" i="1" s="1" a="1"/>
  <c r="F1441" i="1" s="1"/>
  <c r="C1442" i="1"/>
  <c r="D1442" i="1"/>
  <c r="E1442" i="1" s="1"/>
  <c r="C1443" i="1"/>
  <c r="D1443" i="1" s="1"/>
  <c r="E1443" i="1" s="1"/>
  <c r="F1443" i="1" s="1" a="1"/>
  <c r="F1443" i="1" s="1"/>
  <c r="C1444" i="1"/>
  <c r="D1444" i="1" s="1"/>
  <c r="E1444" i="1" s="1"/>
  <c r="C1445" i="1"/>
  <c r="D1445" i="1" s="1"/>
  <c r="E1445" i="1" s="1"/>
  <c r="C1446" i="1"/>
  <c r="D1446" i="1" s="1"/>
  <c r="E1446" i="1" s="1"/>
  <c r="C1447" i="1"/>
  <c r="D1447" i="1" s="1"/>
  <c r="E1447" i="1" s="1"/>
  <c r="C1448" i="1"/>
  <c r="D1448" i="1" s="1"/>
  <c r="E1448" i="1" s="1"/>
  <c r="C1449" i="1"/>
  <c r="D1449" i="1" s="1"/>
  <c r="E1449" i="1" s="1"/>
  <c r="C1450" i="1"/>
  <c r="D1450" i="1" s="1"/>
  <c r="E1450" i="1" s="1"/>
  <c r="F1450" i="1" s="1" a="1"/>
  <c r="F1450" i="1" s="1"/>
  <c r="C1451" i="1"/>
  <c r="D1451" i="1" s="1"/>
  <c r="E1451" i="1" s="1"/>
  <c r="F1451" i="1" s="1" a="1"/>
  <c r="F1451" i="1" s="1"/>
  <c r="C1452" i="1"/>
  <c r="D1452" i="1" s="1"/>
  <c r="E1452" i="1" s="1"/>
  <c r="C1453" i="1"/>
  <c r="D1453" i="1" s="1"/>
  <c r="E1453" i="1" s="1"/>
  <c r="F1453" i="1" s="1" a="1"/>
  <c r="F1453" i="1" s="1"/>
  <c r="C1454" i="1"/>
  <c r="D1454" i="1" s="1"/>
  <c r="E1454" i="1" s="1"/>
  <c r="F1454" i="1" s="1" a="1"/>
  <c r="F1454" i="1" s="1"/>
  <c r="C1455" i="1"/>
  <c r="D1455" i="1"/>
  <c r="E1455" i="1" s="1"/>
  <c r="C1456" i="1"/>
  <c r="D1456" i="1" s="1"/>
  <c r="E1456" i="1" s="1"/>
  <c r="F1456" i="1" s="1" a="1"/>
  <c r="F1456" i="1" s="1"/>
  <c r="C1457" i="1"/>
  <c r="D1457" i="1" s="1"/>
  <c r="E1457" i="1" s="1"/>
  <c r="F1457" i="1" s="1" a="1"/>
  <c r="F1457" i="1" s="1"/>
  <c r="C1458" i="1"/>
  <c r="D1458" i="1" s="1"/>
  <c r="E1458" i="1" s="1"/>
  <c r="F1458" i="1" s="1" a="1"/>
  <c r="F1458" i="1" s="1"/>
  <c r="C1459" i="1"/>
  <c r="D1459" i="1" s="1"/>
  <c r="E1459" i="1" s="1"/>
  <c r="C1460" i="1"/>
  <c r="D1460" i="1" s="1"/>
  <c r="E1460" i="1" s="1"/>
  <c r="F1460" i="1" s="1" a="1"/>
  <c r="F1460" i="1" s="1"/>
  <c r="C1461" i="1"/>
  <c r="D1461" i="1" s="1"/>
  <c r="E1461" i="1" s="1"/>
  <c r="F1461" i="1" s="1" a="1"/>
  <c r="F1461" i="1" s="1"/>
  <c r="C1462" i="1"/>
  <c r="D1462" i="1" s="1"/>
  <c r="E1462" i="1" s="1"/>
  <c r="F1462" i="1" s="1" a="1"/>
  <c r="F1462" i="1" s="1"/>
  <c r="C1463" i="1"/>
  <c r="D1463" i="1" s="1"/>
  <c r="E1463" i="1" s="1"/>
  <c r="F1463" i="1" s="1" a="1"/>
  <c r="F1463" i="1" s="1"/>
  <c r="C1464" i="1"/>
  <c r="D1464" i="1" s="1"/>
  <c r="E1464" i="1" s="1"/>
  <c r="F1464" i="1" s="1" a="1"/>
  <c r="F1464" i="1" s="1"/>
  <c r="C1465" i="1"/>
  <c r="D1465" i="1" s="1"/>
  <c r="E1465" i="1" s="1"/>
  <c r="F1465" i="1" s="1" a="1"/>
  <c r="F1465" i="1" s="1"/>
  <c r="C1466" i="1"/>
  <c r="D1466" i="1" s="1"/>
  <c r="E1466" i="1" s="1"/>
  <c r="F1466" i="1" s="1" a="1"/>
  <c r="F1466" i="1" s="1"/>
  <c r="C1467" i="1"/>
  <c r="D1467" i="1" s="1"/>
  <c r="E1467" i="1" s="1"/>
  <c r="F1467" i="1" s="1" a="1"/>
  <c r="F1467" i="1" s="1"/>
  <c r="C1468" i="1"/>
  <c r="D1468" i="1" s="1"/>
  <c r="E1468" i="1" s="1"/>
  <c r="F1468" i="1" s="1" a="1"/>
  <c r="F1468" i="1" s="1"/>
  <c r="C1469" i="1"/>
  <c r="D1469" i="1"/>
  <c r="E1469" i="1" s="1"/>
  <c r="F1469" i="1" s="1" a="1"/>
  <c r="F1469" i="1" s="1"/>
  <c r="C1470" i="1"/>
  <c r="D1470" i="1" s="1"/>
  <c r="E1470" i="1" s="1"/>
  <c r="F1470" i="1" s="1" a="1"/>
  <c r="F1470" i="1" s="1"/>
  <c r="C1471" i="1"/>
  <c r="D1471" i="1" s="1"/>
  <c r="E1471" i="1" s="1"/>
  <c r="F1471" i="1" s="1" a="1"/>
  <c r="F1471" i="1" s="1"/>
  <c r="C1472" i="1"/>
  <c r="D1472" i="1" s="1"/>
  <c r="E1472" i="1" s="1"/>
  <c r="F1472" i="1" s="1" a="1"/>
  <c r="F1472" i="1" s="1"/>
  <c r="C1473" i="1"/>
  <c r="D1473" i="1" s="1"/>
  <c r="E1473" i="1" s="1"/>
  <c r="F1473" i="1" s="1" a="1"/>
  <c r="F1473" i="1" s="1"/>
  <c r="C1474" i="1"/>
  <c r="D1474" i="1" s="1"/>
  <c r="E1474" i="1" s="1"/>
  <c r="F1474" i="1" s="1" a="1"/>
  <c r="F1474" i="1" s="1"/>
  <c r="C1475" i="1"/>
  <c r="D1475" i="1" s="1"/>
  <c r="E1475" i="1" s="1"/>
  <c r="F1475" i="1" s="1" a="1"/>
  <c r="F1475" i="1" s="1"/>
  <c r="C1476" i="1"/>
  <c r="D1476" i="1" s="1"/>
  <c r="E1476" i="1" s="1"/>
  <c r="F1476" i="1" s="1" a="1"/>
  <c r="F1476" i="1" s="1"/>
  <c r="C1477" i="1"/>
  <c r="D1477" i="1" s="1"/>
  <c r="E1477" i="1" s="1"/>
  <c r="F1477" i="1" s="1" a="1"/>
  <c r="F1477" i="1" s="1"/>
  <c r="C1478" i="1"/>
  <c r="D1478" i="1" s="1"/>
  <c r="E1478" i="1" s="1"/>
  <c r="F1478" i="1" s="1" a="1"/>
  <c r="F1478" i="1" s="1"/>
  <c r="C1479" i="1"/>
  <c r="D1479" i="1"/>
  <c r="E1479" i="1" s="1"/>
  <c r="F1479" i="1" s="1" a="1"/>
  <c r="F1479" i="1" s="1"/>
  <c r="C1480" i="1"/>
  <c r="D1480" i="1" s="1"/>
  <c r="E1480" i="1" s="1"/>
  <c r="F1480" i="1" s="1" a="1"/>
  <c r="F1480" i="1" s="1"/>
  <c r="C1481" i="1"/>
  <c r="D1481" i="1" s="1"/>
  <c r="E1481" i="1" s="1"/>
  <c r="F1481" i="1" s="1" a="1"/>
  <c r="F1481" i="1" s="1"/>
  <c r="C1482" i="1"/>
  <c r="D1482" i="1" s="1"/>
  <c r="E1482" i="1" s="1"/>
  <c r="C1483" i="1"/>
  <c r="D1483" i="1" s="1"/>
  <c r="E1483" i="1" s="1"/>
  <c r="F1483" i="1" s="1" a="1"/>
  <c r="F1483" i="1" s="1"/>
  <c r="C1484" i="1"/>
  <c r="D1484" i="1" s="1"/>
  <c r="E1484" i="1" s="1"/>
  <c r="C1485" i="1"/>
  <c r="D1485" i="1"/>
  <c r="E1485" i="1" s="1"/>
  <c r="F1485" i="1" s="1" a="1"/>
  <c r="F1485" i="1" s="1"/>
  <c r="C1486" i="1"/>
  <c r="D1486" i="1" s="1"/>
  <c r="E1486" i="1" s="1"/>
  <c r="C1487" i="1"/>
  <c r="D1487" i="1" s="1"/>
  <c r="E1487" i="1" s="1"/>
  <c r="F1487" i="1" s="1" a="1"/>
  <c r="F1487" i="1" s="1"/>
  <c r="C1488" i="1"/>
  <c r="D1488" i="1"/>
  <c r="E1488" i="1" s="1"/>
  <c r="F1488" i="1" s="1" a="1"/>
  <c r="F1488" i="1" s="1"/>
  <c r="C1489" i="1"/>
  <c r="D1489" i="1"/>
  <c r="E1489" i="1" s="1"/>
  <c r="F1489" i="1" s="1" a="1"/>
  <c r="F1489" i="1" s="1"/>
  <c r="C1490" i="1"/>
  <c r="D1490" i="1" s="1"/>
  <c r="E1490" i="1" s="1"/>
  <c r="C1491" i="1"/>
  <c r="D1491" i="1" s="1"/>
  <c r="E1491" i="1" s="1"/>
  <c r="C1492" i="1"/>
  <c r="D1492" i="1" s="1"/>
  <c r="E1492" i="1" s="1"/>
  <c r="F1492" i="1" s="1" a="1"/>
  <c r="F1492" i="1" s="1"/>
  <c r="C1493" i="1"/>
  <c r="D1493" i="1" s="1"/>
  <c r="E1493" i="1" s="1"/>
  <c r="F1493" i="1" s="1" a="1"/>
  <c r="F1493" i="1" s="1"/>
  <c r="C1494" i="1"/>
  <c r="D1494" i="1" s="1"/>
  <c r="E1494" i="1" s="1"/>
  <c r="F1494" i="1" s="1" a="1"/>
  <c r="F1494" i="1" s="1"/>
  <c r="C1495" i="1"/>
  <c r="D1495" i="1" s="1"/>
  <c r="E1495" i="1" s="1"/>
  <c r="F1495" i="1" s="1" a="1"/>
  <c r="F1495" i="1" s="1"/>
  <c r="C1496" i="1"/>
  <c r="D1496" i="1"/>
  <c r="E1496" i="1" s="1"/>
  <c r="F1496" i="1" s="1" a="1"/>
  <c r="F1496" i="1" s="1"/>
  <c r="C1497" i="1"/>
  <c r="D1497" i="1" s="1"/>
  <c r="E1497" i="1" s="1"/>
  <c r="F1497" i="1" s="1" a="1"/>
  <c r="F1497" i="1" s="1"/>
  <c r="C1498" i="1"/>
  <c r="D1498" i="1" s="1"/>
  <c r="E1498" i="1" s="1"/>
  <c r="F1498" i="1" s="1" a="1"/>
  <c r="F1498" i="1" s="1"/>
  <c r="C1499" i="1"/>
  <c r="D1499" i="1" s="1"/>
  <c r="E1499" i="1" s="1"/>
  <c r="F1499" i="1" s="1" a="1"/>
  <c r="F1499" i="1" s="1"/>
  <c r="C1500" i="1"/>
  <c r="D1500" i="1" s="1"/>
  <c r="E1500" i="1" s="1"/>
  <c r="F1500" i="1" s="1" a="1"/>
  <c r="F1500" i="1" s="1"/>
  <c r="C1501" i="1"/>
  <c r="D1501" i="1" s="1"/>
  <c r="E1501" i="1" s="1"/>
  <c r="F1501" i="1" s="1" a="1"/>
  <c r="F1501" i="1" s="1"/>
  <c r="C1502" i="1"/>
  <c r="D1502" i="1" s="1"/>
  <c r="E1502" i="1" s="1"/>
  <c r="F1502" i="1" s="1" a="1"/>
  <c r="F1502" i="1" s="1"/>
  <c r="C1503" i="1"/>
  <c r="D1503" i="1" s="1"/>
  <c r="E1503" i="1" s="1"/>
  <c r="F1503" i="1" s="1" a="1"/>
  <c r="F1503" i="1" s="1"/>
  <c r="C1504" i="1"/>
  <c r="D1504" i="1" s="1"/>
  <c r="E1504" i="1" s="1"/>
  <c r="F1504" i="1" s="1" a="1"/>
  <c r="F1504" i="1" s="1"/>
  <c r="C1505" i="1"/>
  <c r="D1505" i="1" s="1"/>
  <c r="E1505" i="1" s="1"/>
  <c r="F1505" i="1" s="1" a="1"/>
  <c r="F1505" i="1" s="1"/>
  <c r="C1506" i="1"/>
  <c r="D1506" i="1" s="1"/>
  <c r="E1506" i="1" s="1"/>
  <c r="F1506" i="1" s="1" a="1"/>
  <c r="F1506" i="1" s="1"/>
  <c r="C1507" i="1"/>
  <c r="D1507" i="1" s="1"/>
  <c r="E1507" i="1" s="1"/>
  <c r="F1507" i="1" s="1" a="1"/>
  <c r="F1507" i="1" s="1"/>
  <c r="C1508" i="1"/>
  <c r="D1508" i="1" s="1"/>
  <c r="E1508" i="1" s="1"/>
  <c r="F1508" i="1" s="1" a="1"/>
  <c r="F1508" i="1" s="1"/>
  <c r="C1509" i="1"/>
  <c r="D1509" i="1" s="1"/>
  <c r="E1509" i="1" s="1"/>
  <c r="F1509" i="1" s="1" a="1"/>
  <c r="F1509" i="1" s="1"/>
  <c r="C1510" i="1"/>
  <c r="D1510" i="1" s="1"/>
  <c r="E1510" i="1" s="1"/>
  <c r="F1510" i="1" s="1" a="1"/>
  <c r="F1510" i="1" s="1"/>
  <c r="C1511" i="1"/>
  <c r="D1511" i="1"/>
  <c r="E1511" i="1"/>
  <c r="F1511" i="1" s="1" a="1"/>
  <c r="F1511" i="1" s="1"/>
  <c r="C1512" i="1"/>
  <c r="D1512" i="1" s="1"/>
  <c r="E1512" i="1" s="1"/>
  <c r="F1512" i="1" s="1" a="1"/>
  <c r="F1512" i="1" s="1"/>
  <c r="C1513" i="1"/>
  <c r="D1513" i="1" s="1"/>
  <c r="E1513" i="1" s="1"/>
  <c r="F1513" i="1" s="1" a="1"/>
  <c r="F1513" i="1" s="1"/>
  <c r="C1514" i="1"/>
  <c r="D1514" i="1" s="1"/>
  <c r="E1514" i="1" s="1"/>
  <c r="F1514" i="1" s="1" a="1"/>
  <c r="F1514" i="1" s="1"/>
  <c r="C1515" i="1"/>
  <c r="D1515" i="1" s="1"/>
  <c r="E1515" i="1" s="1"/>
  <c r="C1516" i="1"/>
  <c r="D1516" i="1" s="1"/>
  <c r="E1516" i="1" s="1"/>
  <c r="F1516" i="1" s="1" a="1"/>
  <c r="F1516" i="1" s="1"/>
  <c r="C1517" i="1"/>
  <c r="D1517" i="1" s="1"/>
  <c r="E1517" i="1" s="1"/>
  <c r="F1517" i="1" s="1" a="1"/>
  <c r="F1517" i="1" s="1"/>
  <c r="C1518" i="1"/>
  <c r="D1518" i="1" s="1"/>
  <c r="E1518" i="1" s="1"/>
  <c r="C1519" i="1"/>
  <c r="D1519" i="1" s="1"/>
  <c r="E1519" i="1" s="1"/>
  <c r="C1520" i="1"/>
  <c r="D1520" i="1" s="1"/>
  <c r="E1520" i="1" s="1"/>
  <c r="F1520" i="1" s="1" a="1"/>
  <c r="F1520" i="1" s="1"/>
  <c r="C1521" i="1"/>
  <c r="D1521" i="1" s="1"/>
  <c r="E1521" i="1" s="1"/>
  <c r="F1521" i="1" s="1" a="1"/>
  <c r="F1521" i="1" s="1"/>
  <c r="C1522" i="1"/>
  <c r="D1522" i="1" s="1"/>
  <c r="E1522" i="1" s="1"/>
  <c r="F1522" i="1" s="1" a="1"/>
  <c r="F1522" i="1" s="1"/>
  <c r="C1523" i="1"/>
  <c r="D1523" i="1"/>
  <c r="E1523" i="1" s="1"/>
  <c r="F1523" i="1" s="1" a="1"/>
  <c r="F1523" i="1" s="1"/>
  <c r="C1524" i="1"/>
  <c r="D1524" i="1" s="1"/>
  <c r="E1524" i="1" s="1"/>
  <c r="F1524" i="1" s="1" a="1"/>
  <c r="F1524" i="1" s="1"/>
  <c r="C1525" i="1"/>
  <c r="D1525" i="1" s="1"/>
  <c r="E1525" i="1" s="1"/>
  <c r="F1525" i="1" s="1" a="1"/>
  <c r="F1525" i="1" s="1"/>
  <c r="C1526" i="1"/>
  <c r="D1526" i="1" s="1"/>
  <c r="E1526" i="1" s="1"/>
  <c r="F1526" i="1" s="1" a="1"/>
  <c r="F1526" i="1" s="1"/>
  <c r="C1527" i="1"/>
  <c r="D1527" i="1" s="1"/>
  <c r="E1527" i="1" s="1"/>
  <c r="F1527" i="1" s="1" a="1"/>
  <c r="F1527" i="1" s="1"/>
  <c r="C1528" i="1"/>
  <c r="D1528" i="1" s="1"/>
  <c r="E1528" i="1" s="1"/>
  <c r="F1528" i="1" s="1" a="1"/>
  <c r="F1528" i="1" s="1"/>
  <c r="C1529" i="1"/>
  <c r="D1529" i="1" s="1"/>
  <c r="E1529" i="1" s="1"/>
  <c r="F1529" i="1" s="1" a="1"/>
  <c r="F1529" i="1" s="1"/>
  <c r="C1530" i="1"/>
  <c r="D1530" i="1" s="1"/>
  <c r="E1530" i="1" s="1"/>
  <c r="F1530" i="1" s="1" a="1"/>
  <c r="F1530" i="1" s="1"/>
  <c r="C1531" i="1"/>
  <c r="D1531" i="1" s="1"/>
  <c r="E1531" i="1" s="1"/>
  <c r="F1531" i="1" s="1" a="1"/>
  <c r="F1531" i="1" s="1"/>
  <c r="C1532" i="1"/>
  <c r="D1532" i="1" s="1"/>
  <c r="E1532" i="1" s="1"/>
  <c r="F1532" i="1" s="1" a="1"/>
  <c r="F1532" i="1" s="1"/>
  <c r="C1533" i="1"/>
  <c r="D1533" i="1" s="1"/>
  <c r="E1533" i="1" s="1"/>
  <c r="F1533" i="1" s="1" a="1"/>
  <c r="F1533" i="1" s="1"/>
  <c r="C1534" i="1"/>
  <c r="D1534" i="1" s="1"/>
  <c r="E1534" i="1" s="1"/>
  <c r="F1534" i="1" s="1" a="1"/>
  <c r="F1534" i="1" s="1"/>
  <c r="C1535" i="1"/>
  <c r="D1535" i="1" s="1"/>
  <c r="E1535" i="1" s="1"/>
  <c r="F1535" i="1" s="1" a="1"/>
  <c r="F1535" i="1" s="1"/>
  <c r="C1536" i="1"/>
  <c r="D1536" i="1" s="1"/>
  <c r="E1536" i="1" s="1"/>
  <c r="F1536" i="1" s="1" a="1"/>
  <c r="F1536" i="1" s="1"/>
  <c r="C1537" i="1"/>
  <c r="D1537" i="1" s="1"/>
  <c r="E1537" i="1" s="1"/>
  <c r="F1537" i="1" s="1" a="1"/>
  <c r="F1537" i="1" s="1"/>
  <c r="C1538" i="1"/>
  <c r="D1538" i="1" s="1"/>
  <c r="E1538" i="1" s="1"/>
  <c r="F1538" i="1" s="1" a="1"/>
  <c r="F1538" i="1" s="1"/>
  <c r="C1539" i="1"/>
  <c r="D1539" i="1"/>
  <c r="E1539" i="1" s="1"/>
  <c r="F1539" i="1" s="1" a="1"/>
  <c r="F1539" i="1" s="1"/>
  <c r="C1540" i="1"/>
  <c r="D1540" i="1"/>
  <c r="E1540" i="1" s="1"/>
  <c r="F1540" i="1" s="1" a="1"/>
  <c r="F1540" i="1" s="1"/>
  <c r="C1541" i="1"/>
  <c r="D1541" i="1" s="1"/>
  <c r="E1541" i="1" s="1"/>
  <c r="F1541" i="1" s="1" a="1"/>
  <c r="F1541" i="1" s="1"/>
  <c r="C1542" i="1"/>
  <c r="D1542" i="1" s="1"/>
  <c r="E1542" i="1" s="1"/>
  <c r="F1542" i="1" s="1" a="1"/>
  <c r="F1542" i="1" s="1"/>
  <c r="C1543" i="1"/>
  <c r="D1543" i="1" s="1"/>
  <c r="E1543" i="1" s="1"/>
  <c r="F1543" i="1" s="1" a="1"/>
  <c r="F1543" i="1" s="1"/>
  <c r="C1544" i="1"/>
  <c r="D1544" i="1" s="1"/>
  <c r="E1544" i="1" s="1"/>
  <c r="F1544" i="1" s="1" a="1"/>
  <c r="F1544" i="1" s="1"/>
  <c r="C1545" i="1"/>
  <c r="D1545" i="1" s="1"/>
  <c r="E1545" i="1" s="1"/>
  <c r="F1545" i="1" s="1" a="1"/>
  <c r="F1545" i="1" s="1"/>
  <c r="C1546" i="1"/>
  <c r="D1546" i="1" s="1"/>
  <c r="E1546" i="1" s="1"/>
  <c r="F1546" i="1" s="1" a="1"/>
  <c r="F1546" i="1" s="1"/>
  <c r="C1547" i="1"/>
  <c r="D1547" i="1" s="1"/>
  <c r="E1547" i="1" s="1"/>
  <c r="F1547" i="1" s="1" a="1"/>
  <c r="F1547" i="1" s="1"/>
  <c r="C1548" i="1"/>
  <c r="D1548" i="1" s="1"/>
  <c r="E1548" i="1" s="1"/>
  <c r="F1548" i="1" s="1" a="1"/>
  <c r="F1548" i="1" s="1"/>
  <c r="C1549" i="1"/>
  <c r="D1549" i="1"/>
  <c r="E1549" i="1" s="1"/>
  <c r="F1549" i="1" s="1" a="1"/>
  <c r="F1549" i="1" s="1"/>
  <c r="C1550" i="1"/>
  <c r="D1550" i="1" s="1"/>
  <c r="E1550" i="1" s="1"/>
  <c r="F1550" i="1" s="1" a="1"/>
  <c r="F1550" i="1" s="1"/>
  <c r="C1551" i="1"/>
  <c r="D1551" i="1" s="1"/>
  <c r="E1551" i="1" s="1"/>
  <c r="F1551" i="1" s="1" a="1"/>
  <c r="F1551" i="1" s="1"/>
  <c r="C1552" i="1"/>
  <c r="D1552" i="1" s="1"/>
  <c r="E1552" i="1" s="1"/>
  <c r="F1552" i="1" s="1" a="1"/>
  <c r="F1552" i="1" s="1"/>
  <c r="C1553" i="1"/>
  <c r="D1553" i="1" s="1"/>
  <c r="E1553" i="1" s="1"/>
  <c r="F1553" i="1" s="1" a="1"/>
  <c r="F1553" i="1" s="1"/>
  <c r="C1554" i="1"/>
  <c r="D1554" i="1" s="1"/>
  <c r="E1554" i="1" s="1"/>
  <c r="F1554" i="1" s="1" a="1"/>
  <c r="F1554" i="1" s="1"/>
  <c r="C1555" i="1"/>
  <c r="D1555" i="1" s="1"/>
  <c r="E1555" i="1" s="1"/>
  <c r="F1555" i="1" s="1" a="1"/>
  <c r="F1555" i="1" s="1"/>
  <c r="C1556" i="1"/>
  <c r="D1556" i="1" s="1"/>
  <c r="E1556" i="1" s="1"/>
  <c r="F1556" i="1" s="1" a="1"/>
  <c r="F1556" i="1" s="1"/>
  <c r="C1557" i="1"/>
  <c r="D1557" i="1" s="1"/>
  <c r="E1557" i="1" s="1"/>
  <c r="F1557" i="1" s="1" a="1"/>
  <c r="F1557" i="1" s="1"/>
  <c r="C1558" i="1"/>
  <c r="D1558" i="1" s="1"/>
  <c r="E1558" i="1" s="1"/>
  <c r="F1558" i="1" s="1" a="1"/>
  <c r="F1558" i="1" s="1"/>
  <c r="C1559" i="1"/>
  <c r="D1559" i="1" s="1"/>
  <c r="E1559" i="1" s="1"/>
  <c r="F1559" i="1" s="1" a="1"/>
  <c r="F1559" i="1" s="1"/>
  <c r="C1560" i="1"/>
  <c r="D1560" i="1" s="1"/>
  <c r="E1560" i="1" s="1"/>
  <c r="F1560" i="1" s="1" a="1"/>
  <c r="F1560" i="1" s="1"/>
  <c r="C1561" i="1"/>
  <c r="D1561" i="1" s="1"/>
  <c r="E1561" i="1" s="1"/>
  <c r="F1561" i="1" s="1" a="1"/>
  <c r="F1561" i="1" s="1"/>
  <c r="C1562" i="1"/>
  <c r="D1562" i="1" s="1"/>
  <c r="E1562" i="1" s="1"/>
  <c r="F1562" i="1" s="1" a="1"/>
  <c r="F1562" i="1" s="1"/>
  <c r="C1563" i="1"/>
  <c r="D1563" i="1" s="1"/>
  <c r="E1563" i="1" s="1"/>
  <c r="F1563" i="1" s="1" a="1"/>
  <c r="F1563" i="1" s="1"/>
  <c r="C1564" i="1"/>
  <c r="D1564" i="1" s="1"/>
  <c r="E1564" i="1" s="1"/>
  <c r="F1564" i="1" s="1" a="1"/>
  <c r="F1564" i="1" s="1"/>
  <c r="C1565" i="1"/>
  <c r="D1565" i="1" s="1"/>
  <c r="E1565" i="1" s="1"/>
  <c r="F1565" i="1" s="1" a="1"/>
  <c r="F1565" i="1" s="1"/>
  <c r="C1566" i="1"/>
  <c r="D1566" i="1" s="1"/>
  <c r="E1566" i="1" s="1"/>
  <c r="F1566" i="1" s="1" a="1"/>
  <c r="F1566" i="1" s="1"/>
  <c r="C1567" i="1"/>
  <c r="D1567" i="1" s="1"/>
  <c r="E1567" i="1" s="1"/>
  <c r="F1567" i="1" s="1" a="1"/>
  <c r="F1567" i="1" s="1"/>
  <c r="C1568" i="1"/>
  <c r="D1568" i="1" s="1"/>
  <c r="E1568" i="1" s="1"/>
  <c r="F1568" i="1" s="1" a="1"/>
  <c r="F1568" i="1" s="1"/>
  <c r="C1569" i="1"/>
  <c r="D1569" i="1" s="1"/>
  <c r="E1569" i="1" s="1"/>
  <c r="F1569" i="1" s="1" a="1"/>
  <c r="F1569" i="1" s="1"/>
  <c r="C1570" i="1"/>
  <c r="D1570" i="1"/>
  <c r="E1570" i="1" s="1"/>
  <c r="F1570" i="1" s="1" a="1"/>
  <c r="F1570" i="1" s="1"/>
  <c r="C1571" i="1"/>
  <c r="D1571" i="1" s="1"/>
  <c r="E1571" i="1" s="1"/>
  <c r="F1571" i="1" s="1" a="1"/>
  <c r="F1571" i="1" s="1"/>
  <c r="C1572" i="1"/>
  <c r="D1572" i="1"/>
  <c r="E1572" i="1" s="1"/>
  <c r="F1572" i="1" s="1" a="1"/>
  <c r="F1572" i="1" s="1"/>
  <c r="C1573" i="1"/>
  <c r="D1573" i="1" s="1"/>
  <c r="E1573" i="1" s="1"/>
  <c r="F1573" i="1" s="1" a="1"/>
  <c r="F1573" i="1" s="1"/>
  <c r="C1574" i="1"/>
  <c r="D1574" i="1"/>
  <c r="E1574" i="1" s="1"/>
  <c r="F1574" i="1" s="1" a="1"/>
  <c r="F1574" i="1" s="1"/>
  <c r="C1575" i="1"/>
  <c r="D1575" i="1" s="1"/>
  <c r="E1575" i="1" s="1"/>
  <c r="F1575" i="1" s="1" a="1"/>
  <c r="F1575" i="1" s="1"/>
  <c r="C1576" i="1"/>
  <c r="D1576" i="1" s="1"/>
  <c r="E1576" i="1" s="1"/>
  <c r="C1577" i="1"/>
  <c r="D1577" i="1" s="1"/>
  <c r="E1577" i="1" s="1"/>
  <c r="C1578" i="1"/>
  <c r="D1578" i="1" s="1"/>
  <c r="E1578" i="1" s="1"/>
  <c r="C1579" i="1"/>
  <c r="D1579" i="1" s="1"/>
  <c r="E1579" i="1" s="1"/>
  <c r="C1580" i="1"/>
  <c r="D1580" i="1" s="1"/>
  <c r="E1580" i="1" s="1"/>
  <c r="C1581" i="1"/>
  <c r="D1581" i="1" s="1"/>
  <c r="E1581" i="1" s="1"/>
  <c r="C1582" i="1"/>
  <c r="D1582" i="1" s="1"/>
  <c r="E1582" i="1" s="1"/>
  <c r="C1583" i="1"/>
  <c r="D1583" i="1" s="1"/>
  <c r="E1583" i="1" s="1"/>
  <c r="C1584" i="1"/>
  <c r="D1584" i="1" s="1"/>
  <c r="E1584" i="1" s="1"/>
  <c r="C1585" i="1"/>
  <c r="D1585" i="1"/>
  <c r="E1585" i="1" s="1"/>
  <c r="C1586" i="1"/>
  <c r="D1586" i="1" s="1"/>
  <c r="E1586" i="1" s="1"/>
  <c r="C1587" i="1"/>
  <c r="D1587" i="1" s="1"/>
  <c r="E1587" i="1" s="1"/>
  <c r="C1588" i="1"/>
  <c r="D1588" i="1" s="1"/>
  <c r="E1588" i="1" s="1"/>
  <c r="C1589" i="1"/>
  <c r="D1589" i="1" s="1"/>
  <c r="E1589" i="1" s="1"/>
  <c r="C1590" i="1"/>
  <c r="D1590" i="1" s="1"/>
  <c r="E1590" i="1" s="1"/>
  <c r="F1590" i="1" s="1" a="1"/>
  <c r="F1590" i="1" s="1"/>
  <c r="C1591" i="1"/>
  <c r="D1591" i="1" s="1"/>
  <c r="E1591" i="1" s="1"/>
  <c r="C1592" i="1"/>
  <c r="D1592" i="1" s="1"/>
  <c r="E1592" i="1" s="1"/>
  <c r="C1593" i="1"/>
  <c r="D1593" i="1" s="1"/>
  <c r="E1593" i="1" s="1"/>
  <c r="C1594" i="1"/>
  <c r="D1594" i="1" s="1"/>
  <c r="E1594" i="1" s="1"/>
  <c r="C1595" i="1"/>
  <c r="D1595" i="1" s="1"/>
  <c r="E1595" i="1" s="1"/>
  <c r="C1596" i="1"/>
  <c r="D1596" i="1" s="1"/>
  <c r="E1596" i="1" s="1"/>
  <c r="C1597" i="1"/>
  <c r="D1597" i="1" s="1"/>
  <c r="E1597" i="1" s="1"/>
  <c r="C1598" i="1"/>
  <c r="D1598" i="1" s="1"/>
  <c r="E1598" i="1" s="1"/>
  <c r="C1599" i="1"/>
  <c r="D1599" i="1" s="1"/>
  <c r="E1599" i="1" s="1"/>
  <c r="C1600" i="1"/>
  <c r="D1600" i="1" s="1"/>
  <c r="E1600" i="1" s="1"/>
  <c r="F1600" i="1" s="1" a="1"/>
  <c r="F1600" i="1" s="1"/>
  <c r="C1601" i="1"/>
  <c r="D1601" i="1" s="1"/>
  <c r="E1601" i="1" s="1"/>
  <c r="C1602" i="1"/>
  <c r="D1602" i="1" s="1"/>
  <c r="E1602" i="1" s="1"/>
  <c r="C1603" i="1"/>
  <c r="D1603" i="1" s="1"/>
  <c r="E1603" i="1" s="1"/>
  <c r="C1604" i="1"/>
  <c r="D1604" i="1"/>
  <c r="E1604" i="1" s="1"/>
  <c r="C1605" i="1"/>
  <c r="D1605" i="1"/>
  <c r="E1605" i="1" s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F1090" i="1" l="1" a="1"/>
  <c r="F1090" i="1" s="1"/>
  <c r="G1090" i="1" a="1"/>
  <c r="G1090" i="1" s="1"/>
  <c r="F1116" i="1" a="1"/>
  <c r="F1116" i="1" s="1"/>
  <c r="G1116" i="1" a="1"/>
  <c r="G1116" i="1" s="1"/>
  <c r="F1122" i="1" a="1"/>
  <c r="F1122" i="1" s="1"/>
  <c r="G1122" i="1" a="1"/>
  <c r="G1122" i="1" s="1"/>
  <c r="F1128" i="1" a="1"/>
  <c r="F1128" i="1" s="1"/>
  <c r="G1128" i="1" a="1"/>
  <c r="G1128" i="1" s="1"/>
  <c r="F1131" i="1" a="1"/>
  <c r="F1131" i="1" s="1"/>
  <c r="G1131" i="1" a="1"/>
  <c r="G1131" i="1" s="1"/>
  <c r="F1141" i="1" a="1"/>
  <c r="F1141" i="1" s="1"/>
  <c r="G1141" i="1" a="1"/>
  <c r="G1141" i="1" s="1"/>
  <c r="F1143" i="1" a="1"/>
  <c r="F1143" i="1" s="1"/>
  <c r="G1143" i="1" a="1"/>
  <c r="G1143" i="1" s="1"/>
  <c r="F1144" i="1" a="1"/>
  <c r="F1144" i="1" s="1"/>
  <c r="G1144" i="1" a="1"/>
  <c r="G1144" i="1" s="1"/>
  <c r="F1146" i="1" a="1"/>
  <c r="F1146" i="1" s="1"/>
  <c r="G1146" i="1" a="1"/>
  <c r="G1146" i="1" s="1"/>
  <c r="F1147" i="1" a="1"/>
  <c r="F1147" i="1" s="1"/>
  <c r="G1147" i="1" a="1"/>
  <c r="G1147" i="1" s="1"/>
  <c r="F1149" i="1" a="1"/>
  <c r="F1149" i="1" s="1"/>
  <c r="G1149" i="1" a="1"/>
  <c r="G1149" i="1" s="1"/>
  <c r="F1150" i="1" a="1"/>
  <c r="F1150" i="1" s="1"/>
  <c r="G1150" i="1" a="1"/>
  <c r="G1150" i="1" s="1"/>
  <c r="F1151" i="1" a="1"/>
  <c r="F1151" i="1" s="1"/>
  <c r="G1151" i="1" a="1"/>
  <c r="G1151" i="1" s="1"/>
  <c r="F1152" i="1" a="1"/>
  <c r="F1152" i="1" s="1"/>
  <c r="G1152" i="1" a="1"/>
  <c r="G1152" i="1" s="1"/>
  <c r="F1153" i="1" a="1"/>
  <c r="F1153" i="1" s="1"/>
  <c r="G1153" i="1" a="1"/>
  <c r="G1153" i="1" s="1"/>
  <c r="F1154" i="1" a="1"/>
  <c r="F1154" i="1" s="1"/>
  <c r="G1154" i="1" a="1"/>
  <c r="G1154" i="1" s="1"/>
  <c r="F1155" i="1" a="1"/>
  <c r="F1155" i="1" s="1"/>
  <c r="G1155" i="1" a="1"/>
  <c r="G1155" i="1" s="1"/>
  <c r="F1156" i="1" a="1"/>
  <c r="F1156" i="1" s="1"/>
  <c r="G1156" i="1" a="1"/>
  <c r="G1156" i="1" s="1"/>
  <c r="F1157" i="1" a="1"/>
  <c r="F1157" i="1" s="1"/>
  <c r="G1157" i="1" a="1"/>
  <c r="G1157" i="1" s="1"/>
  <c r="F1159" i="1" a="1"/>
  <c r="F1159" i="1" s="1"/>
  <c r="G1159" i="1" a="1"/>
  <c r="G1159" i="1" s="1"/>
  <c r="F1160" i="1" a="1"/>
  <c r="F1160" i="1" s="1"/>
  <c r="G1160" i="1" a="1"/>
  <c r="G1160" i="1" s="1"/>
  <c r="F1161" i="1" a="1"/>
  <c r="F1161" i="1" s="1"/>
  <c r="G1161" i="1" a="1"/>
  <c r="G1161" i="1" s="1"/>
  <c r="F1162" i="1" a="1"/>
  <c r="F1162" i="1" s="1"/>
  <c r="G1162" i="1" a="1"/>
  <c r="G1162" i="1" s="1"/>
  <c r="F1163" i="1" a="1"/>
  <c r="F1163" i="1" s="1"/>
  <c r="G1163" i="1" a="1"/>
  <c r="G1163" i="1" s="1"/>
  <c r="F1164" i="1" a="1"/>
  <c r="F1164" i="1" s="1"/>
  <c r="G1164" i="1" a="1"/>
  <c r="G1164" i="1" s="1"/>
  <c r="F1165" i="1" a="1"/>
  <c r="F1165" i="1" s="1"/>
  <c r="G1165" i="1" a="1"/>
  <c r="G1165" i="1" s="1"/>
  <c r="F1166" i="1" a="1"/>
  <c r="F1166" i="1" s="1"/>
  <c r="G1166" i="1" a="1"/>
  <c r="G1166" i="1" s="1"/>
  <c r="F1167" i="1" a="1"/>
  <c r="F1167" i="1" s="1"/>
  <c r="G1167" i="1" a="1"/>
  <c r="G1167" i="1" s="1"/>
  <c r="F1168" i="1" a="1"/>
  <c r="F1168" i="1" s="1"/>
  <c r="G1168" i="1" a="1"/>
  <c r="G1168" i="1" s="1"/>
  <c r="F1169" i="1" a="1"/>
  <c r="F1169" i="1" s="1"/>
  <c r="G1169" i="1" a="1"/>
  <c r="G1169" i="1" s="1"/>
  <c r="F1170" i="1" a="1"/>
  <c r="F1170" i="1" s="1"/>
  <c r="G1170" i="1" a="1"/>
  <c r="G1170" i="1" s="1"/>
  <c r="F1171" i="1" a="1"/>
  <c r="F1171" i="1" s="1"/>
  <c r="G1171" i="1" a="1"/>
  <c r="G1171" i="1" s="1"/>
  <c r="F1172" i="1" a="1"/>
  <c r="F1172" i="1" s="1"/>
  <c r="G1172" i="1" a="1"/>
  <c r="G1172" i="1" s="1"/>
  <c r="F1174" i="1" a="1"/>
  <c r="F1174" i="1" s="1"/>
  <c r="G1174" i="1" a="1"/>
  <c r="G1174" i="1" s="1"/>
  <c r="F1177" i="1" a="1"/>
  <c r="F1177" i="1" s="1"/>
  <c r="G1177" i="1" a="1"/>
  <c r="G1177" i="1" s="1"/>
  <c r="F1178" i="1" a="1"/>
  <c r="F1178" i="1" s="1"/>
  <c r="G1178" i="1" a="1"/>
  <c r="G1178" i="1" s="1"/>
  <c r="F1179" i="1" a="1"/>
  <c r="F1179" i="1" s="1"/>
  <c r="G1179" i="1" a="1"/>
  <c r="G1179" i="1" s="1"/>
  <c r="F1180" i="1" a="1"/>
  <c r="F1180" i="1" s="1"/>
  <c r="G1180" i="1" a="1"/>
  <c r="G1180" i="1" s="1"/>
  <c r="F1181" i="1" a="1"/>
  <c r="F1181" i="1" s="1"/>
  <c r="G1181" i="1" a="1"/>
  <c r="G1181" i="1" s="1"/>
  <c r="F1182" i="1" a="1"/>
  <c r="F1182" i="1" s="1"/>
  <c r="G1182" i="1" a="1"/>
  <c r="G1182" i="1" s="1"/>
  <c r="F1183" i="1" a="1"/>
  <c r="F1183" i="1" s="1"/>
  <c r="G1183" i="1" a="1"/>
  <c r="G1183" i="1" s="1"/>
  <c r="F1185" i="1" a="1"/>
  <c r="F1185" i="1" s="1"/>
  <c r="G1185" i="1" a="1"/>
  <c r="G1185" i="1" s="1"/>
  <c r="F1186" i="1" a="1"/>
  <c r="F1186" i="1" s="1"/>
  <c r="G1186" i="1" a="1"/>
  <c r="G1186" i="1" s="1"/>
  <c r="F1187" i="1" a="1"/>
  <c r="F1187" i="1" s="1"/>
  <c r="G1187" i="1" a="1"/>
  <c r="G1187" i="1" s="1"/>
  <c r="F1189" i="1" a="1"/>
  <c r="F1189" i="1" s="1"/>
  <c r="G1189" i="1" a="1"/>
  <c r="G1189" i="1" s="1"/>
  <c r="F1190" i="1" a="1"/>
  <c r="F1190" i="1" s="1"/>
  <c r="G1190" i="1" a="1"/>
  <c r="G1190" i="1" s="1"/>
  <c r="F1191" i="1" a="1"/>
  <c r="F1191" i="1" s="1"/>
  <c r="G1191" i="1" a="1"/>
  <c r="G1191" i="1" s="1"/>
  <c r="F1192" i="1" a="1"/>
  <c r="F1192" i="1" s="1"/>
  <c r="G1192" i="1" a="1"/>
  <c r="G1192" i="1" s="1"/>
  <c r="F1193" i="1" a="1"/>
  <c r="F1193" i="1" s="1"/>
  <c r="G1193" i="1" a="1"/>
  <c r="G1193" i="1" s="1"/>
  <c r="F1194" i="1" a="1"/>
  <c r="F1194" i="1" s="1"/>
  <c r="G1194" i="1" a="1"/>
  <c r="G1194" i="1" s="1"/>
  <c r="F1195" i="1" a="1"/>
  <c r="F1195" i="1" s="1"/>
  <c r="G1195" i="1" a="1"/>
  <c r="G1195" i="1" s="1"/>
  <c r="F1196" i="1" a="1"/>
  <c r="F1196" i="1" s="1"/>
  <c r="G1196" i="1" a="1"/>
  <c r="G1196" i="1" s="1"/>
  <c r="F1197" i="1" a="1"/>
  <c r="F1197" i="1" s="1"/>
  <c r="G1197" i="1" a="1"/>
  <c r="G1197" i="1" s="1"/>
  <c r="F1198" i="1" a="1"/>
  <c r="F1198" i="1" s="1"/>
  <c r="G1198" i="1" a="1"/>
  <c r="G1198" i="1" s="1"/>
  <c r="F1199" i="1" a="1"/>
  <c r="F1199" i="1" s="1"/>
  <c r="G1199" i="1" a="1"/>
  <c r="G1199" i="1" s="1"/>
  <c r="F1200" i="1" a="1"/>
  <c r="F1200" i="1" s="1"/>
  <c r="G1200" i="1" a="1"/>
  <c r="G1200" i="1" s="1"/>
  <c r="F1201" i="1" a="1"/>
  <c r="F1201" i="1" s="1"/>
  <c r="G1201" i="1" a="1"/>
  <c r="G1201" i="1" s="1"/>
  <c r="F1202" i="1" a="1"/>
  <c r="F1202" i="1" s="1"/>
  <c r="G1202" i="1" a="1"/>
  <c r="G1202" i="1" s="1"/>
  <c r="F1203" i="1" a="1"/>
  <c r="F1203" i="1" s="1"/>
  <c r="G1203" i="1" a="1"/>
  <c r="G1203" i="1" s="1"/>
  <c r="F1204" i="1" a="1"/>
  <c r="F1204" i="1" s="1"/>
  <c r="G1204" i="1" a="1"/>
  <c r="G1204" i="1" s="1"/>
  <c r="F1205" i="1" a="1"/>
  <c r="F1205" i="1" s="1"/>
  <c r="G1205" i="1" a="1"/>
  <c r="G1205" i="1" s="1"/>
  <c r="F1206" i="1" a="1"/>
  <c r="F1206" i="1" s="1"/>
  <c r="G1206" i="1" a="1"/>
  <c r="G1206" i="1" s="1"/>
  <c r="F1208" i="1" a="1"/>
  <c r="F1208" i="1" s="1"/>
  <c r="G1208" i="1" a="1"/>
  <c r="G1208" i="1" s="1"/>
  <c r="F1210" i="1" a="1"/>
  <c r="F1210" i="1" s="1"/>
  <c r="G1210" i="1" a="1"/>
  <c r="G1210" i="1" s="1"/>
  <c r="F1212" i="1" a="1"/>
  <c r="F1212" i="1" s="1"/>
  <c r="G1212" i="1" a="1"/>
  <c r="G1212" i="1" s="1"/>
  <c r="F1213" i="1" a="1"/>
  <c r="F1213" i="1" s="1"/>
  <c r="G1213" i="1" a="1"/>
  <c r="G1213" i="1" s="1"/>
  <c r="F1214" i="1" a="1"/>
  <c r="F1214" i="1" s="1"/>
  <c r="G1214" i="1" a="1"/>
  <c r="G1214" i="1" s="1"/>
  <c r="F1215" i="1" a="1"/>
  <c r="F1215" i="1" s="1"/>
  <c r="G1215" i="1" a="1"/>
  <c r="G1215" i="1" s="1"/>
  <c r="F1217" i="1" a="1"/>
  <c r="F1217" i="1" s="1"/>
  <c r="G1217" i="1" a="1"/>
  <c r="G1217" i="1" s="1"/>
  <c r="F1218" i="1" a="1"/>
  <c r="F1218" i="1" s="1"/>
  <c r="G1218" i="1" a="1"/>
  <c r="G1218" i="1" s="1"/>
  <c r="F1219" i="1" a="1"/>
  <c r="F1219" i="1" s="1"/>
  <c r="G1219" i="1" a="1"/>
  <c r="G1219" i="1" s="1"/>
  <c r="F1220" i="1" a="1"/>
  <c r="F1220" i="1" s="1"/>
  <c r="G1220" i="1" a="1"/>
  <c r="G1220" i="1" s="1"/>
  <c r="F1221" i="1" a="1"/>
  <c r="F1221" i="1" s="1"/>
  <c r="G1221" i="1" a="1"/>
  <c r="G1221" i="1" s="1"/>
  <c r="F1222" i="1" a="1"/>
  <c r="F1222" i="1" s="1"/>
  <c r="G1222" i="1" a="1"/>
  <c r="G1222" i="1" s="1"/>
  <c r="F1223" i="1" a="1"/>
  <c r="F1223" i="1" s="1"/>
  <c r="G1223" i="1" a="1"/>
  <c r="G1223" i="1" s="1"/>
  <c r="F1224" i="1" a="1"/>
  <c r="F1224" i="1" s="1"/>
  <c r="G1224" i="1" a="1"/>
  <c r="G1224" i="1" s="1"/>
  <c r="F1225" i="1" a="1"/>
  <c r="F1225" i="1" s="1"/>
  <c r="G1225" i="1" a="1"/>
  <c r="G1225" i="1" s="1"/>
  <c r="F1226" i="1" a="1"/>
  <c r="F1226" i="1" s="1"/>
  <c r="G1226" i="1" a="1"/>
  <c r="G1226" i="1" s="1"/>
  <c r="F1227" i="1" a="1"/>
  <c r="F1227" i="1" s="1"/>
  <c r="G1227" i="1" a="1"/>
  <c r="G1227" i="1" s="1"/>
  <c r="F1228" i="1" a="1"/>
  <c r="F1228" i="1" s="1"/>
  <c r="G1228" i="1" a="1"/>
  <c r="G1228" i="1" s="1"/>
  <c r="F1229" i="1" a="1"/>
  <c r="F1229" i="1" s="1"/>
  <c r="G1229" i="1" a="1"/>
  <c r="G1229" i="1" s="1"/>
  <c r="F1230" i="1" a="1"/>
  <c r="F1230" i="1" s="1"/>
  <c r="G1230" i="1" a="1"/>
  <c r="G1230" i="1" s="1"/>
  <c r="F1231" i="1" a="1"/>
  <c r="F1231" i="1" s="1"/>
  <c r="G1231" i="1" a="1"/>
  <c r="G1231" i="1" s="1"/>
  <c r="F1233" i="1" a="1"/>
  <c r="F1233" i="1" s="1"/>
  <c r="G1233" i="1" a="1"/>
  <c r="G1233" i="1" s="1"/>
  <c r="F1234" i="1" a="1"/>
  <c r="F1234" i="1" s="1"/>
  <c r="G1234" i="1" a="1"/>
  <c r="G1234" i="1" s="1"/>
  <c r="F1235" i="1" a="1"/>
  <c r="F1235" i="1" s="1"/>
  <c r="G1235" i="1" a="1"/>
  <c r="G1235" i="1" s="1"/>
  <c r="F1236" i="1" a="1"/>
  <c r="F1236" i="1" s="1"/>
  <c r="G1236" i="1" a="1"/>
  <c r="G1236" i="1" s="1"/>
  <c r="F1237" i="1" a="1"/>
  <c r="F1237" i="1" s="1"/>
  <c r="G1237" i="1" a="1"/>
  <c r="G1237" i="1" s="1"/>
  <c r="F1238" i="1" a="1"/>
  <c r="F1238" i="1" s="1"/>
  <c r="G1238" i="1" a="1"/>
  <c r="G1238" i="1" s="1"/>
  <c r="F1239" i="1" a="1"/>
  <c r="F1239" i="1" s="1"/>
  <c r="G1239" i="1" a="1"/>
  <c r="G1239" i="1" s="1"/>
  <c r="F1240" i="1" a="1"/>
  <c r="F1240" i="1" s="1"/>
  <c r="G1240" i="1" a="1"/>
  <c r="G1240" i="1" s="1"/>
  <c r="F1241" i="1" a="1"/>
  <c r="F1241" i="1" s="1"/>
  <c r="G1241" i="1" a="1"/>
  <c r="G1241" i="1" s="1"/>
  <c r="F1242" i="1" a="1"/>
  <c r="F1242" i="1" s="1"/>
  <c r="G1242" i="1" a="1"/>
  <c r="G1242" i="1" s="1"/>
  <c r="F1243" i="1" a="1"/>
  <c r="F1243" i="1" s="1"/>
  <c r="G1243" i="1" a="1"/>
  <c r="G1243" i="1" s="1"/>
  <c r="F1248" i="1" a="1"/>
  <c r="F1248" i="1" s="1"/>
  <c r="G1248" i="1" a="1"/>
  <c r="G1248" i="1" s="1"/>
  <c r="F1249" i="1" a="1"/>
  <c r="F1249" i="1" s="1"/>
  <c r="G1249" i="1" a="1"/>
  <c r="G1249" i="1" s="1"/>
  <c r="F1250" i="1" a="1"/>
  <c r="F1250" i="1" s="1"/>
  <c r="G1250" i="1" a="1"/>
  <c r="G1250" i="1" s="1"/>
  <c r="F1252" i="1" a="1"/>
  <c r="F1252" i="1" s="1"/>
  <c r="G1252" i="1" a="1"/>
  <c r="G1252" i="1" s="1"/>
  <c r="F1254" i="1" a="1"/>
  <c r="F1254" i="1" s="1"/>
  <c r="G1254" i="1" a="1"/>
  <c r="G1254" i="1" s="1"/>
  <c r="F1255" i="1" a="1"/>
  <c r="F1255" i="1" s="1"/>
  <c r="G1255" i="1" a="1"/>
  <c r="G1255" i="1" s="1"/>
  <c r="F1256" i="1" a="1"/>
  <c r="F1256" i="1" s="1"/>
  <c r="G1256" i="1" a="1"/>
  <c r="G1256" i="1" s="1"/>
  <c r="F1257" i="1" a="1"/>
  <c r="F1257" i="1" s="1"/>
  <c r="G1257" i="1" a="1"/>
  <c r="G1257" i="1" s="1"/>
  <c r="F1258" i="1" a="1"/>
  <c r="F1258" i="1" s="1"/>
  <c r="G1258" i="1" a="1"/>
  <c r="G1258" i="1" s="1"/>
  <c r="F1301" i="1" a="1"/>
  <c r="F1301" i="1" s="1"/>
  <c r="G1301" i="1" a="1"/>
  <c r="G1301" i="1" s="1"/>
  <c r="F1303" i="1" a="1"/>
  <c r="F1303" i="1" s="1"/>
  <c r="G1303" i="1" a="1"/>
  <c r="G1303" i="1" s="1"/>
  <c r="F1304" i="1" a="1"/>
  <c r="F1304" i="1" s="1"/>
  <c r="G1304" i="1" a="1"/>
  <c r="G1304" i="1" s="1"/>
  <c r="F1305" i="1" a="1"/>
  <c r="F1305" i="1" s="1"/>
  <c r="G1305" i="1" a="1"/>
  <c r="G1305" i="1" s="1"/>
  <c r="F1306" i="1" a="1"/>
  <c r="F1306" i="1" s="1"/>
  <c r="G1306" i="1" a="1"/>
  <c r="G1306" i="1" s="1"/>
  <c r="F1307" i="1" a="1"/>
  <c r="F1307" i="1" s="1"/>
  <c r="G1307" i="1" a="1"/>
  <c r="G1307" i="1" s="1"/>
  <c r="F1308" i="1" a="1"/>
  <c r="F1308" i="1" s="1"/>
  <c r="G1308" i="1" a="1"/>
  <c r="G1308" i="1" s="1"/>
  <c r="F1311" i="1" a="1"/>
  <c r="F1311" i="1" s="1"/>
  <c r="G1311" i="1" a="1"/>
  <c r="G1311" i="1" s="1"/>
  <c r="F1312" i="1" a="1"/>
  <c r="F1312" i="1" s="1"/>
  <c r="G1312" i="1" a="1"/>
  <c r="G1312" i="1" s="1"/>
  <c r="F1314" i="1" a="1"/>
  <c r="F1314" i="1" s="1"/>
  <c r="G1314" i="1" a="1"/>
  <c r="G1314" i="1" s="1"/>
  <c r="F1315" i="1" a="1"/>
  <c r="F1315" i="1" s="1"/>
  <c r="G1315" i="1" a="1"/>
  <c r="G1315" i="1" s="1"/>
  <c r="F1317" i="1" a="1"/>
  <c r="F1317" i="1" s="1"/>
  <c r="G1317" i="1" a="1"/>
  <c r="G1317" i="1" s="1"/>
  <c r="F1318" i="1" a="1"/>
  <c r="F1318" i="1" s="1"/>
  <c r="G1318" i="1" a="1"/>
  <c r="G1318" i="1" s="1"/>
  <c r="F1319" i="1" a="1"/>
  <c r="F1319" i="1" s="1"/>
  <c r="G1319" i="1" a="1"/>
  <c r="G1319" i="1" s="1"/>
  <c r="F1320" i="1" a="1"/>
  <c r="F1320" i="1" s="1"/>
  <c r="G1320" i="1" a="1"/>
  <c r="G1320" i="1" s="1"/>
  <c r="F1321" i="1" a="1"/>
  <c r="F1321" i="1" s="1"/>
  <c r="G1321" i="1" a="1"/>
  <c r="G1321" i="1" s="1"/>
  <c r="F1322" i="1" a="1"/>
  <c r="F1322" i="1" s="1"/>
  <c r="G1322" i="1" a="1"/>
  <c r="G1322" i="1" s="1"/>
  <c r="F1323" i="1" a="1"/>
  <c r="F1323" i="1" s="1"/>
  <c r="G1323" i="1" a="1"/>
  <c r="G1323" i="1" s="1"/>
  <c r="F1324" i="1" a="1"/>
  <c r="F1324" i="1" s="1"/>
  <c r="G1324" i="1" a="1"/>
  <c r="G1324" i="1" s="1"/>
  <c r="F1325" i="1" a="1"/>
  <c r="F1325" i="1" s="1"/>
  <c r="G1325" i="1" a="1"/>
  <c r="G1325" i="1" s="1"/>
  <c r="F1327" i="1" a="1"/>
  <c r="F1327" i="1" s="1"/>
  <c r="G1327" i="1" a="1"/>
  <c r="G1327" i="1" s="1"/>
  <c r="F1328" i="1" a="1"/>
  <c r="F1328" i="1" s="1"/>
  <c r="G1328" i="1" a="1"/>
  <c r="G1328" i="1" s="1"/>
  <c r="F1329" i="1" a="1"/>
  <c r="F1329" i="1" s="1"/>
  <c r="G1329" i="1" a="1"/>
  <c r="G1329" i="1" s="1"/>
  <c r="F1330" i="1" a="1"/>
  <c r="F1330" i="1" s="1"/>
  <c r="G1330" i="1" a="1"/>
  <c r="G1330" i="1" s="1"/>
  <c r="F1331" i="1" a="1"/>
  <c r="F1331" i="1" s="1"/>
  <c r="G1331" i="1" a="1"/>
  <c r="G1331" i="1" s="1"/>
  <c r="F1332" i="1" a="1"/>
  <c r="F1332" i="1" s="1"/>
  <c r="G1332" i="1" a="1"/>
  <c r="G1332" i="1" s="1"/>
  <c r="F1333" i="1" a="1"/>
  <c r="F1333" i="1" s="1"/>
  <c r="G1333" i="1" a="1"/>
  <c r="G1333" i="1" s="1"/>
  <c r="F1335" i="1" a="1"/>
  <c r="F1335" i="1" s="1"/>
  <c r="G1335" i="1" a="1"/>
  <c r="G1335" i="1" s="1"/>
  <c r="F1336" i="1" a="1"/>
  <c r="F1336" i="1" s="1"/>
  <c r="G1336" i="1" a="1"/>
  <c r="G1336" i="1" s="1"/>
  <c r="F1337" i="1" a="1"/>
  <c r="F1337" i="1" s="1"/>
  <c r="G1337" i="1" a="1"/>
  <c r="G1337" i="1" s="1"/>
  <c r="F1338" i="1" a="1"/>
  <c r="F1338" i="1" s="1"/>
  <c r="G1338" i="1" a="1"/>
  <c r="G1338" i="1" s="1"/>
  <c r="F1339" i="1" a="1"/>
  <c r="F1339" i="1" s="1"/>
  <c r="G1339" i="1" a="1"/>
  <c r="G1339" i="1" s="1"/>
  <c r="F1340" i="1" a="1"/>
  <c r="F1340" i="1" s="1"/>
  <c r="G1340" i="1" a="1"/>
  <c r="G1340" i="1" s="1"/>
  <c r="F1341" i="1" a="1"/>
  <c r="F1341" i="1" s="1"/>
  <c r="G1341" i="1" a="1"/>
  <c r="G1341" i="1" s="1"/>
  <c r="F1342" i="1" a="1"/>
  <c r="F1342" i="1" s="1"/>
  <c r="G1342" i="1" a="1"/>
  <c r="G1342" i="1" s="1"/>
  <c r="F1344" i="1" a="1"/>
  <c r="F1344" i="1" s="1"/>
  <c r="G1344" i="1" a="1"/>
  <c r="G1344" i="1" s="1"/>
  <c r="F1345" i="1" a="1"/>
  <c r="F1345" i="1" s="1"/>
  <c r="G1345" i="1" a="1"/>
  <c r="G1345" i="1" s="1"/>
  <c r="F1348" i="1" a="1"/>
  <c r="F1348" i="1" s="1"/>
  <c r="G1348" i="1" a="1"/>
  <c r="G1348" i="1" s="1"/>
  <c r="F1351" i="1" a="1"/>
  <c r="F1351" i="1" s="1"/>
  <c r="G1351" i="1" a="1"/>
  <c r="G1351" i="1" s="1"/>
  <c r="F1352" i="1" a="1"/>
  <c r="F1352" i="1" s="1"/>
  <c r="G1352" i="1" a="1"/>
  <c r="G1352" i="1" s="1"/>
  <c r="F1353" i="1" a="1"/>
  <c r="F1353" i="1" s="1"/>
  <c r="G1353" i="1" a="1"/>
  <c r="G1353" i="1" s="1"/>
  <c r="F1355" i="1" a="1"/>
  <c r="F1355" i="1" s="1"/>
  <c r="G1355" i="1" a="1"/>
  <c r="G1355" i="1" s="1"/>
  <c r="F1356" i="1" a="1"/>
  <c r="F1356" i="1" s="1"/>
  <c r="G1356" i="1" a="1"/>
  <c r="G1356" i="1" s="1"/>
  <c r="F1357" i="1" a="1"/>
  <c r="F1357" i="1" s="1"/>
  <c r="G1357" i="1" a="1"/>
  <c r="G1357" i="1" s="1"/>
  <c r="F1358" i="1" a="1"/>
  <c r="F1358" i="1" s="1"/>
  <c r="G1358" i="1" a="1"/>
  <c r="G1358" i="1" s="1"/>
  <c r="F1359" i="1" a="1"/>
  <c r="F1359" i="1" s="1"/>
  <c r="G1359" i="1" a="1"/>
  <c r="G1359" i="1" s="1"/>
  <c r="F1360" i="1" a="1"/>
  <c r="F1360" i="1" s="1"/>
  <c r="G1360" i="1" a="1"/>
  <c r="G1360" i="1" s="1"/>
  <c r="F1361" i="1" a="1"/>
  <c r="F1361" i="1" s="1"/>
  <c r="G1361" i="1" a="1"/>
  <c r="G1361" i="1" s="1"/>
  <c r="F1362" i="1" a="1"/>
  <c r="F1362" i="1" s="1"/>
  <c r="G1362" i="1" a="1"/>
  <c r="G1362" i="1" s="1"/>
  <c r="F1363" i="1" a="1"/>
  <c r="F1363" i="1" s="1"/>
  <c r="G1363" i="1" a="1"/>
  <c r="G1363" i="1" s="1"/>
  <c r="F1365" i="1" a="1"/>
  <c r="F1365" i="1" s="1"/>
  <c r="G1365" i="1" a="1"/>
  <c r="G1365" i="1" s="1"/>
  <c r="F1366" i="1" a="1"/>
  <c r="F1366" i="1" s="1"/>
  <c r="G1366" i="1" a="1"/>
  <c r="G1366" i="1" s="1"/>
  <c r="F1367" i="1" a="1"/>
  <c r="F1367" i="1" s="1"/>
  <c r="G1367" i="1" a="1"/>
  <c r="G1367" i="1" s="1"/>
  <c r="F1368" i="1" a="1"/>
  <c r="F1368" i="1" s="1"/>
  <c r="G1368" i="1" a="1"/>
  <c r="G1368" i="1" s="1"/>
  <c r="F1369" i="1" a="1"/>
  <c r="F1369" i="1" s="1"/>
  <c r="G1369" i="1" a="1"/>
  <c r="G1369" i="1" s="1"/>
  <c r="F1371" i="1" a="1"/>
  <c r="F1371" i="1" s="1"/>
  <c r="G1371" i="1" a="1"/>
  <c r="G1371" i="1" s="1"/>
  <c r="F1372" i="1" a="1"/>
  <c r="F1372" i="1" s="1"/>
  <c r="G1372" i="1" a="1"/>
  <c r="G1372" i="1" s="1"/>
  <c r="F1373" i="1" a="1"/>
  <c r="F1373" i="1" s="1"/>
  <c r="G1373" i="1" a="1"/>
  <c r="G1373" i="1" s="1"/>
  <c r="F1374" i="1" a="1"/>
  <c r="F1374" i="1" s="1"/>
  <c r="G1374" i="1" a="1"/>
  <c r="G1374" i="1" s="1"/>
  <c r="F1375" i="1" a="1"/>
  <c r="F1375" i="1" s="1"/>
  <c r="G1375" i="1" a="1"/>
  <c r="G1375" i="1" s="1"/>
  <c r="F1376" i="1" a="1"/>
  <c r="F1376" i="1" s="1"/>
  <c r="G1376" i="1" a="1"/>
  <c r="G1376" i="1" s="1"/>
  <c r="F1377" i="1" a="1"/>
  <c r="F1377" i="1" s="1"/>
  <c r="G1377" i="1" a="1"/>
  <c r="G1377" i="1" s="1"/>
  <c r="F1378" i="1" a="1"/>
  <c r="F1378" i="1" s="1"/>
  <c r="G1378" i="1" a="1"/>
  <c r="G1378" i="1" s="1"/>
  <c r="F1379" i="1" a="1"/>
  <c r="F1379" i="1" s="1"/>
  <c r="G1379" i="1" a="1"/>
  <c r="G1379" i="1" s="1"/>
  <c r="F1380" i="1" a="1"/>
  <c r="F1380" i="1" s="1"/>
  <c r="G1380" i="1" a="1"/>
  <c r="G1380" i="1" s="1"/>
  <c r="F1381" i="1" a="1"/>
  <c r="F1381" i="1" s="1"/>
  <c r="G1381" i="1" a="1"/>
  <c r="G1381" i="1" s="1"/>
  <c r="F1382" i="1" a="1"/>
  <c r="F1382" i="1" s="1"/>
  <c r="G1382" i="1" a="1"/>
  <c r="G1382" i="1" s="1"/>
  <c r="F1383" i="1" a="1"/>
  <c r="F1383" i="1" s="1"/>
  <c r="G1383" i="1" a="1"/>
  <c r="G1383" i="1" s="1"/>
  <c r="F1384" i="1" a="1"/>
  <c r="F1384" i="1" s="1"/>
  <c r="G1384" i="1" a="1"/>
  <c r="G1384" i="1" s="1"/>
  <c r="F1385" i="1" a="1"/>
  <c r="F1385" i="1" s="1"/>
  <c r="G1385" i="1" a="1"/>
  <c r="G1385" i="1" s="1"/>
  <c r="F1386" i="1" a="1"/>
  <c r="F1386" i="1" s="1"/>
  <c r="G1386" i="1" a="1"/>
  <c r="G1386" i="1" s="1"/>
  <c r="F1387" i="1" a="1"/>
  <c r="F1387" i="1" s="1"/>
  <c r="G1387" i="1" a="1"/>
  <c r="G1387" i="1" s="1"/>
  <c r="F1388" i="1" a="1"/>
  <c r="F1388" i="1" s="1"/>
  <c r="G1388" i="1" a="1"/>
  <c r="G1388" i="1" s="1"/>
  <c r="F1389" i="1" a="1"/>
  <c r="F1389" i="1" s="1"/>
  <c r="G1389" i="1" a="1"/>
  <c r="G1389" i="1" s="1"/>
  <c r="F1391" i="1" a="1"/>
  <c r="F1391" i="1" s="1"/>
  <c r="G1391" i="1" a="1"/>
  <c r="G1391" i="1" s="1"/>
  <c r="F1392" i="1" a="1"/>
  <c r="F1392" i="1" s="1"/>
  <c r="G1392" i="1" a="1"/>
  <c r="G1392" i="1" s="1"/>
  <c r="F1393" i="1" a="1"/>
  <c r="F1393" i="1" s="1"/>
  <c r="G1393" i="1" a="1"/>
  <c r="G1393" i="1" s="1"/>
  <c r="F1394" i="1" a="1"/>
  <c r="F1394" i="1" s="1"/>
  <c r="G1394" i="1" a="1"/>
  <c r="G1394" i="1" s="1"/>
  <c r="F1395" i="1" a="1"/>
  <c r="F1395" i="1" s="1"/>
  <c r="G1395" i="1" a="1"/>
  <c r="G1395" i="1" s="1"/>
  <c r="F1396" i="1" a="1"/>
  <c r="F1396" i="1" s="1"/>
  <c r="G1396" i="1" a="1"/>
  <c r="G1396" i="1" s="1"/>
  <c r="F1398" i="1" a="1"/>
  <c r="F1398" i="1" s="1"/>
  <c r="G1398" i="1" a="1"/>
  <c r="G1398" i="1" s="1"/>
  <c r="F1399" i="1" a="1"/>
  <c r="F1399" i="1" s="1"/>
  <c r="G1399" i="1" a="1"/>
  <c r="G1399" i="1" s="1"/>
  <c r="F1401" i="1" a="1"/>
  <c r="F1401" i="1" s="1"/>
  <c r="G1401" i="1" a="1"/>
  <c r="G1401" i="1" s="1"/>
  <c r="F1402" i="1" a="1"/>
  <c r="F1402" i="1" s="1"/>
  <c r="G1402" i="1" a="1"/>
  <c r="G1402" i="1" s="1"/>
  <c r="F1403" i="1" a="1"/>
  <c r="F1403" i="1" s="1"/>
  <c r="G1403" i="1" a="1"/>
  <c r="G1403" i="1" s="1"/>
  <c r="F1404" i="1" a="1"/>
  <c r="F1404" i="1" s="1"/>
  <c r="G1404" i="1" a="1"/>
  <c r="G1404" i="1" s="1"/>
  <c r="F1405" i="1" a="1"/>
  <c r="F1405" i="1" s="1"/>
  <c r="G1405" i="1" a="1"/>
  <c r="G1405" i="1" s="1"/>
  <c r="F1406" i="1" a="1"/>
  <c r="F1406" i="1" s="1"/>
  <c r="G1406" i="1" a="1"/>
  <c r="G1406" i="1" s="1"/>
  <c r="F1407" i="1" a="1"/>
  <c r="F1407" i="1" s="1"/>
  <c r="G1407" i="1" a="1"/>
  <c r="G1407" i="1" s="1"/>
  <c r="F1408" i="1" a="1"/>
  <c r="F1408" i="1" s="1"/>
  <c r="G1408" i="1" a="1"/>
  <c r="G1408" i="1" s="1"/>
  <c r="F1409" i="1" a="1"/>
  <c r="F1409" i="1" s="1"/>
  <c r="G1409" i="1" a="1"/>
  <c r="G1409" i="1" s="1"/>
  <c r="F1410" i="1" a="1"/>
  <c r="F1410" i="1" s="1"/>
  <c r="G1410" i="1" a="1"/>
  <c r="G1410" i="1" s="1"/>
  <c r="F1411" i="1" a="1"/>
  <c r="F1411" i="1" s="1"/>
  <c r="G1411" i="1" a="1"/>
  <c r="G1411" i="1" s="1"/>
  <c r="F1412" i="1" a="1"/>
  <c r="F1412" i="1" s="1"/>
  <c r="G1412" i="1" a="1"/>
  <c r="G1412" i="1" s="1"/>
  <c r="F1413" i="1" a="1"/>
  <c r="F1413" i="1" s="1"/>
  <c r="G1413" i="1" a="1"/>
  <c r="G1413" i="1" s="1"/>
  <c r="F1414" i="1" a="1"/>
  <c r="F1414" i="1" s="1"/>
  <c r="G1414" i="1" a="1"/>
  <c r="G1414" i="1" s="1"/>
  <c r="F1415" i="1" a="1"/>
  <c r="F1415" i="1" s="1"/>
  <c r="G1415" i="1" a="1"/>
  <c r="G1415" i="1" s="1"/>
  <c r="F1416" i="1" a="1"/>
  <c r="F1416" i="1" s="1"/>
  <c r="G1416" i="1" a="1"/>
  <c r="G1416" i="1" s="1"/>
  <c r="F1417" i="1" a="1"/>
  <c r="F1417" i="1" s="1"/>
  <c r="G1417" i="1" a="1"/>
  <c r="G1417" i="1" s="1"/>
  <c r="F1418" i="1" a="1"/>
  <c r="F1418" i="1" s="1"/>
  <c r="G1418" i="1" a="1"/>
  <c r="G1418" i="1" s="1"/>
  <c r="F1419" i="1" a="1"/>
  <c r="F1419" i="1" s="1"/>
  <c r="G1419" i="1" a="1"/>
  <c r="G1419" i="1" s="1"/>
  <c r="F1442" i="1" a="1"/>
  <c r="F1442" i="1" s="1"/>
  <c r="G1442" i="1" a="1"/>
  <c r="G1442" i="1" s="1"/>
  <c r="F1444" i="1" a="1"/>
  <c r="F1444" i="1" s="1"/>
  <c r="G1444" i="1" a="1"/>
  <c r="G1444" i="1" s="1"/>
  <c r="F1445" i="1" a="1"/>
  <c r="F1445" i="1" s="1"/>
  <c r="G1445" i="1" a="1"/>
  <c r="G1445" i="1" s="1"/>
  <c r="F1446" i="1" a="1"/>
  <c r="F1446" i="1" s="1"/>
  <c r="G1446" i="1" a="1"/>
  <c r="G1446" i="1" s="1"/>
  <c r="F1447" i="1" a="1"/>
  <c r="F1447" i="1" s="1"/>
  <c r="G1447" i="1" a="1"/>
  <c r="G1447" i="1" s="1"/>
  <c r="F1448" i="1" a="1"/>
  <c r="F1448" i="1" s="1"/>
  <c r="G1448" i="1" a="1"/>
  <c r="G1448" i="1" s="1"/>
  <c r="F1449" i="1" a="1"/>
  <c r="F1449" i="1" s="1"/>
  <c r="G1449" i="1" a="1"/>
  <c r="G1449" i="1" s="1"/>
  <c r="F1452" i="1" a="1"/>
  <c r="F1452" i="1" s="1"/>
  <c r="G1452" i="1" a="1"/>
  <c r="G1452" i="1" s="1"/>
  <c r="F1455" i="1" a="1"/>
  <c r="F1455" i="1" s="1"/>
  <c r="G1455" i="1" a="1"/>
  <c r="G1455" i="1" s="1"/>
  <c r="F1459" i="1" a="1"/>
  <c r="F1459" i="1" s="1"/>
  <c r="G1459" i="1" a="1"/>
  <c r="G1459" i="1" s="1"/>
  <c r="F1482" i="1" a="1"/>
  <c r="F1482" i="1" s="1"/>
  <c r="G1482" i="1" a="1"/>
  <c r="G1482" i="1" s="1"/>
  <c r="F1484" i="1" a="1"/>
  <c r="F1484" i="1" s="1"/>
  <c r="G1484" i="1" a="1"/>
  <c r="G1484" i="1" s="1"/>
  <c r="F1486" i="1" a="1"/>
  <c r="F1486" i="1" s="1"/>
  <c r="G1486" i="1" a="1"/>
  <c r="G1486" i="1" s="1"/>
  <c r="F1490" i="1" a="1"/>
  <c r="F1490" i="1" s="1"/>
  <c r="G1490" i="1" a="1"/>
  <c r="G1490" i="1" s="1"/>
  <c r="F1491" i="1" a="1"/>
  <c r="F1491" i="1" s="1"/>
  <c r="G1491" i="1" a="1"/>
  <c r="G1491" i="1" s="1"/>
  <c r="F1515" i="1" a="1"/>
  <c r="F1515" i="1" s="1"/>
  <c r="G1515" i="1" a="1"/>
  <c r="G1515" i="1" s="1"/>
  <c r="F1518" i="1" a="1"/>
  <c r="F1518" i="1" s="1"/>
  <c r="G1518" i="1" a="1"/>
  <c r="G1518" i="1" s="1"/>
  <c r="F1519" i="1" a="1"/>
  <c r="F1519" i="1" s="1"/>
  <c r="G1519" i="1" a="1"/>
  <c r="G1519" i="1" s="1"/>
  <c r="F1576" i="1" a="1"/>
  <c r="F1576" i="1" s="1"/>
  <c r="G1576" i="1" a="1"/>
  <c r="G1576" i="1" s="1"/>
  <c r="F1577" i="1" a="1"/>
  <c r="F1577" i="1" s="1"/>
  <c r="G1577" i="1" a="1"/>
  <c r="G1577" i="1" s="1"/>
  <c r="F1578" i="1" a="1"/>
  <c r="F1578" i="1" s="1"/>
  <c r="G1578" i="1" a="1"/>
  <c r="G1578" i="1" s="1"/>
  <c r="F1579" i="1" a="1"/>
  <c r="F1579" i="1" s="1"/>
  <c r="G1579" i="1" a="1"/>
  <c r="G1579" i="1" s="1"/>
  <c r="F1580" i="1" a="1"/>
  <c r="F1580" i="1" s="1"/>
  <c r="G1580" i="1" a="1"/>
  <c r="G1580" i="1" s="1"/>
  <c r="F1581" i="1" a="1"/>
  <c r="F1581" i="1" s="1"/>
  <c r="G1581" i="1" a="1"/>
  <c r="G1581" i="1" s="1"/>
  <c r="F1582" i="1" a="1"/>
  <c r="F1582" i="1" s="1"/>
  <c r="G1582" i="1" a="1"/>
  <c r="G1582" i="1" s="1"/>
  <c r="F1583" i="1" a="1"/>
  <c r="F1583" i="1" s="1"/>
  <c r="G1583" i="1" a="1"/>
  <c r="G1583" i="1" s="1"/>
  <c r="F1584" i="1" a="1"/>
  <c r="F1584" i="1" s="1"/>
  <c r="G1584" i="1" a="1"/>
  <c r="G1584" i="1" s="1"/>
  <c r="F1585" i="1" a="1"/>
  <c r="F1585" i="1" s="1"/>
  <c r="G1585" i="1" a="1"/>
  <c r="G1585" i="1" s="1"/>
  <c r="F1586" i="1" a="1"/>
  <c r="F1586" i="1" s="1"/>
  <c r="G1586" i="1" a="1"/>
  <c r="G1586" i="1" s="1"/>
  <c r="F1587" i="1" a="1"/>
  <c r="F1587" i="1" s="1"/>
  <c r="G1587" i="1" a="1"/>
  <c r="G1587" i="1" s="1"/>
  <c r="F1588" i="1" a="1"/>
  <c r="F1588" i="1" s="1"/>
  <c r="G1588" i="1" a="1"/>
  <c r="G1588" i="1" s="1"/>
  <c r="F1589" i="1" a="1"/>
  <c r="F1589" i="1" s="1"/>
  <c r="G1589" i="1" a="1"/>
  <c r="G1589" i="1" s="1"/>
  <c r="F1591" i="1" a="1"/>
  <c r="F1591" i="1" s="1"/>
  <c r="G1591" i="1" a="1"/>
  <c r="G1591" i="1" s="1"/>
  <c r="F1592" i="1" a="1"/>
  <c r="F1592" i="1" s="1"/>
  <c r="G1592" i="1" a="1"/>
  <c r="G1592" i="1" s="1"/>
  <c r="F1593" i="1" a="1"/>
  <c r="F1593" i="1" s="1"/>
  <c r="G1593" i="1" a="1"/>
  <c r="G1593" i="1" s="1"/>
  <c r="F1594" i="1" a="1"/>
  <c r="F1594" i="1" s="1"/>
  <c r="G1594" i="1" a="1"/>
  <c r="G1594" i="1" s="1"/>
  <c r="F1595" i="1" a="1"/>
  <c r="F1595" i="1" s="1"/>
  <c r="G1595" i="1" a="1"/>
  <c r="G1595" i="1" s="1"/>
  <c r="F1596" i="1" a="1"/>
  <c r="F1596" i="1" s="1"/>
  <c r="G1596" i="1" a="1"/>
  <c r="G1596" i="1" s="1"/>
  <c r="F1597" i="1" a="1"/>
  <c r="F1597" i="1" s="1"/>
  <c r="G1597" i="1" a="1"/>
  <c r="G1597" i="1" s="1"/>
  <c r="F1598" i="1" a="1"/>
  <c r="F1598" i="1" s="1"/>
  <c r="G1598" i="1" a="1"/>
  <c r="G1598" i="1" s="1"/>
  <c r="F1599" i="1" a="1"/>
  <c r="F1599" i="1" s="1"/>
  <c r="G1599" i="1" a="1"/>
  <c r="G1599" i="1" s="1"/>
  <c r="F1601" i="1" a="1"/>
  <c r="F1601" i="1" s="1"/>
  <c r="G1601" i="1" a="1"/>
  <c r="G1601" i="1" s="1"/>
  <c r="F1602" i="1" a="1"/>
  <c r="F1602" i="1" s="1"/>
  <c r="G1602" i="1" a="1"/>
  <c r="G1602" i="1" s="1"/>
  <c r="F1603" i="1" a="1"/>
  <c r="F1603" i="1" s="1"/>
  <c r="G1603" i="1" a="1"/>
  <c r="G1603" i="1" s="1"/>
  <c r="F1604" i="1" a="1"/>
  <c r="F1604" i="1" s="1"/>
  <c r="G1604" i="1" a="1"/>
  <c r="G1604" i="1" s="1"/>
  <c r="F1605" i="1" a="1"/>
  <c r="F1605" i="1" s="1"/>
  <c r="G1605" i="1" a="1"/>
  <c r="G1605" i="1" s="1"/>
  <c r="G802" i="1" a="1"/>
  <c r="G802" i="1" s="1"/>
  <c r="F802" i="1" a="1"/>
  <c r="F802" i="1" s="1"/>
  <c r="F857" i="1" a="1"/>
  <c r="F857" i="1" s="1"/>
  <c r="G857" i="1" a="1"/>
  <c r="G857" i="1" s="1"/>
  <c r="F891" i="1" a="1"/>
  <c r="F891" i="1" s="1"/>
  <c r="G891" i="1" a="1"/>
  <c r="G891" i="1" s="1"/>
  <c r="F892" i="1" a="1"/>
  <c r="F892" i="1" s="1"/>
  <c r="G892" i="1" a="1"/>
  <c r="G892" i="1" s="1"/>
  <c r="F896" i="1" a="1"/>
  <c r="F896" i="1" s="1"/>
  <c r="G896" i="1" a="1"/>
  <c r="G896" i="1" s="1"/>
  <c r="G902" i="1" a="1"/>
  <c r="G902" i="1" s="1"/>
  <c r="F902" i="1" a="1"/>
  <c r="F902" i="1" s="1"/>
  <c r="F908" i="1" a="1"/>
  <c r="F908" i="1" s="1"/>
  <c r="G908" i="1" a="1"/>
  <c r="G908" i="1" s="1"/>
  <c r="F928" i="1" a="1"/>
  <c r="F928" i="1" s="1"/>
  <c r="G928" i="1" a="1"/>
  <c r="G928" i="1" s="1"/>
  <c r="F929" i="1" a="1"/>
  <c r="F929" i="1" s="1"/>
  <c r="G929" i="1" a="1"/>
  <c r="G929" i="1" s="1"/>
  <c r="G930" i="1" a="1"/>
  <c r="G930" i="1" s="1"/>
  <c r="F930" i="1" a="1"/>
  <c r="F930" i="1" s="1"/>
  <c r="G934" i="1" a="1"/>
  <c r="G934" i="1" s="1"/>
  <c r="F934" i="1" a="1"/>
  <c r="F934" i="1" s="1"/>
  <c r="G938" i="1" a="1"/>
  <c r="G938" i="1" s="1"/>
  <c r="F938" i="1" a="1"/>
  <c r="F938" i="1" s="1"/>
  <c r="F939" i="1" a="1"/>
  <c r="F939" i="1" s="1"/>
  <c r="G939" i="1" a="1"/>
  <c r="G939" i="1" s="1"/>
  <c r="G950" i="1" a="1"/>
  <c r="G950" i="1" s="1"/>
  <c r="F950" i="1" a="1"/>
  <c r="F950" i="1" s="1"/>
  <c r="F952" i="1" a="1"/>
  <c r="F952" i="1" s="1"/>
  <c r="G952" i="1" a="1"/>
  <c r="G952" i="1" s="1"/>
  <c r="G956" i="1" a="1"/>
  <c r="G956" i="1" s="1"/>
  <c r="F956" i="1" a="1"/>
  <c r="F956" i="1" s="1"/>
  <c r="G961" i="1" a="1"/>
  <c r="G961" i="1" s="1"/>
  <c r="F961" i="1" a="1"/>
  <c r="F961" i="1" s="1"/>
  <c r="G977" i="1" a="1"/>
  <c r="G977" i="1" s="1"/>
  <c r="F977" i="1" a="1"/>
  <c r="F977" i="1" s="1"/>
  <c r="G990" i="1" a="1"/>
  <c r="G990" i="1" s="1"/>
  <c r="F990" i="1" a="1"/>
  <c r="F990" i="1" s="1"/>
  <c r="F993" i="1" a="1"/>
  <c r="F993" i="1" s="1"/>
  <c r="G993" i="1" a="1"/>
  <c r="G993" i="1" s="1"/>
  <c r="F1006" i="1" a="1"/>
  <c r="F1006" i="1" s="1"/>
  <c r="G1006" i="1" a="1"/>
  <c r="G1006" i="1" s="1"/>
  <c r="G1010" i="1" a="1"/>
  <c r="G1010" i="1" s="1"/>
  <c r="F1010" i="1" a="1"/>
  <c r="F1010" i="1" s="1"/>
  <c r="F1014" i="1" a="1"/>
  <c r="F1014" i="1" s="1"/>
  <c r="G1014" i="1" a="1"/>
  <c r="G1014" i="1" s="1"/>
  <c r="G1019" i="1" a="1"/>
  <c r="G1019" i="1" s="1"/>
  <c r="F1019" i="1" a="1"/>
  <c r="F1019" i="1" s="1"/>
  <c r="F1025" i="1" a="1"/>
  <c r="F1025" i="1" s="1"/>
  <c r="G1025" i="1" a="1"/>
  <c r="G1025" i="1" s="1"/>
  <c r="F1026" i="1" a="1"/>
  <c r="F1026" i="1" s="1"/>
  <c r="G1026" i="1" a="1"/>
  <c r="G1026" i="1" s="1"/>
  <c r="G1034" i="1" a="1"/>
  <c r="G1034" i="1" s="1"/>
  <c r="F1034" i="1" a="1"/>
  <c r="F1034" i="1" s="1"/>
  <c r="F1044" i="1" a="1"/>
  <c r="F1044" i="1" s="1"/>
  <c r="G1044" i="1" a="1"/>
  <c r="G1044" i="1" s="1"/>
  <c r="F1045" i="1" a="1"/>
  <c r="F1045" i="1" s="1"/>
  <c r="G1045" i="1" a="1"/>
  <c r="G1045" i="1" s="1"/>
  <c r="F1051" i="1" a="1"/>
  <c r="F1051" i="1" s="1"/>
  <c r="G1051" i="1" a="1"/>
  <c r="G1051" i="1" s="1"/>
  <c r="F1054" i="1" a="1"/>
  <c r="F1054" i="1" s="1"/>
  <c r="G1054" i="1" a="1"/>
  <c r="G1054" i="1" s="1"/>
  <c r="G1056" i="1" a="1"/>
  <c r="G1056" i="1" s="1"/>
  <c r="F1056" i="1" a="1"/>
  <c r="F1056" i="1" s="1"/>
  <c r="F1060" i="1" a="1"/>
  <c r="F1060" i="1" s="1"/>
  <c r="G1060" i="1" a="1"/>
  <c r="G1060" i="1" s="1"/>
  <c r="G1064" i="1" a="1"/>
  <c r="G1064" i="1" s="1"/>
  <c r="F1064" i="1" a="1"/>
  <c r="F1064" i="1" s="1"/>
  <c r="G1065" i="1" a="1"/>
  <c r="G1065" i="1" s="1"/>
  <c r="F1065" i="1" a="1"/>
  <c r="F1065" i="1" s="1"/>
  <c r="F1072" i="1" a="1"/>
  <c r="F1072" i="1" s="1"/>
  <c r="G1072" i="1" a="1"/>
  <c r="G1072" i="1" s="1"/>
  <c r="G1077" i="1" a="1"/>
  <c r="G1077" i="1" s="1"/>
  <c r="F1077" i="1" a="1"/>
  <c r="F1077" i="1" s="1"/>
  <c r="F1081" i="1" a="1"/>
  <c r="F1081" i="1" s="1"/>
  <c r="G1081" i="1" a="1"/>
  <c r="G1081" i="1" s="1"/>
  <c r="F1082" i="1" a="1"/>
  <c r="F1082" i="1" s="1"/>
  <c r="G1082" i="1" a="1"/>
  <c r="G1082" i="1" s="1"/>
  <c r="F1084" i="1" a="1"/>
  <c r="F1084" i="1" s="1"/>
  <c r="G1084" i="1" a="1"/>
  <c r="G1084" i="1" s="1"/>
  <c r="G1078" i="1" a="1"/>
  <c r="G1078" i="1" s="1"/>
  <c r="G976" i="1" a="1"/>
  <c r="G976" i="1" s="1"/>
  <c r="G924" i="1" a="1"/>
  <c r="G924" i="1" s="1"/>
  <c r="G1068" i="1" a="1"/>
  <c r="G1068" i="1" s="1"/>
  <c r="G1052" i="1" a="1"/>
  <c r="G1052" i="1" s="1"/>
  <c r="G988" i="1" a="1"/>
  <c r="G988" i="1" s="1"/>
  <c r="G1083" i="1" a="1"/>
  <c r="G1083" i="1" s="1"/>
  <c r="G1007" i="1" a="1"/>
  <c r="G1007" i="1" s="1"/>
  <c r="G1070" i="1" a="1"/>
  <c r="G1070" i="1" s="1"/>
  <c r="G1080" i="1" a="1"/>
  <c r="G1080" i="1" s="1"/>
  <c r="G1004" i="1" a="1"/>
  <c r="G1004" i="1" s="1"/>
  <c r="G1021" i="1" a="1"/>
  <c r="G1021" i="1" s="1"/>
  <c r="G1005" i="1" a="1"/>
  <c r="G1005" i="1" s="1"/>
  <c r="G972" i="1" a="1"/>
  <c r="G972" i="1" s="1"/>
  <c r="G982" i="1" a="1"/>
  <c r="G982" i="1" s="1"/>
  <c r="G1023" i="1" a="1"/>
  <c r="G1023" i="1" s="1"/>
  <c r="G957" i="1" a="1"/>
  <c r="G957" i="1" s="1"/>
  <c r="G947" i="1" a="1"/>
  <c r="G947" i="1" s="1"/>
  <c r="G1015" i="1" a="1"/>
  <c r="G1015" i="1" s="1"/>
  <c r="G954" i="1" a="1"/>
  <c r="G954" i="1" s="1"/>
  <c r="G942" i="1" a="1"/>
  <c r="G942" i="1" s="1"/>
  <c r="G917" i="1" a="1"/>
  <c r="G917" i="1" s="1"/>
  <c r="G893" i="1" a="1"/>
  <c r="G893" i="1" s="1"/>
  <c r="G916" i="1" a="1"/>
  <c r="G916" i="1" s="1"/>
  <c r="G911" i="1" a="1"/>
  <c r="G911" i="1" s="1"/>
  <c r="G958" i="1" a="1"/>
  <c r="G958" i="1" s="1"/>
  <c r="G895" i="1" a="1"/>
  <c r="G895" i="1" s="1"/>
  <c r="G894" i="1" a="1"/>
  <c r="G894" i="1" s="1"/>
  <c r="G987" i="1" a="1"/>
  <c r="G987" i="1" s="1"/>
  <c r="G1074" i="1" a="1"/>
  <c r="G1074" i="1" s="1"/>
  <c r="G1049" i="1" a="1"/>
  <c r="G1049" i="1" s="1"/>
  <c r="G1046" i="1" a="1"/>
  <c r="G1046" i="1" s="1"/>
  <c r="G1020" i="1" a="1"/>
  <c r="G1020" i="1" s="1"/>
  <c r="G959" i="1" a="1"/>
  <c r="G959" i="1" s="1"/>
  <c r="G1063" i="1" a="1"/>
  <c r="G1063" i="1" s="1"/>
  <c r="G1057" i="1" a="1"/>
  <c r="G1057" i="1" s="1"/>
  <c r="G1038" i="1" a="1"/>
  <c r="G1038" i="1" s="1"/>
  <c r="G986" i="1" a="1"/>
  <c r="G986" i="1" s="1"/>
  <c r="G1031" i="1" a="1"/>
  <c r="G1031" i="1" s="1"/>
  <c r="G1024" i="1" a="1"/>
  <c r="G1024" i="1" s="1"/>
  <c r="G1062" i="1" a="1"/>
  <c r="G1062" i="1" s="1"/>
  <c r="G1050" i="1" a="1"/>
  <c r="G1050" i="1" s="1"/>
  <c r="G1043" i="1" a="1"/>
  <c r="G1043" i="1" s="1"/>
  <c r="G1037" i="1" a="1"/>
  <c r="G1037" i="1" s="1"/>
  <c r="G1030" i="1" a="1"/>
  <c r="G1030" i="1" s="1"/>
  <c r="G1000" i="1" a="1"/>
  <c r="G1000" i="1" s="1"/>
  <c r="G966" i="1" a="1"/>
  <c r="G966" i="1" s="1"/>
  <c r="G1079" i="1" a="1"/>
  <c r="G1079" i="1" s="1"/>
  <c r="G1067" i="1" a="1"/>
  <c r="G1067" i="1" s="1"/>
  <c r="G1061" i="1" a="1"/>
  <c r="G1061" i="1" s="1"/>
  <c r="G984" i="1" a="1"/>
  <c r="G984" i="1" s="1"/>
  <c r="G1073" i="1" a="1"/>
  <c r="G1073" i="1" s="1"/>
  <c r="G1029" i="1" a="1"/>
  <c r="G1029" i="1" s="1"/>
  <c r="G1066" i="1" a="1"/>
  <c r="G1066" i="1" s="1"/>
  <c r="G1028" i="1" a="1"/>
  <c r="G1028" i="1" s="1"/>
  <c r="G1012" i="1" a="1"/>
  <c r="G1012" i="1" s="1"/>
  <c r="G975" i="1" a="1"/>
  <c r="G975" i="1" s="1"/>
  <c r="G1055" i="1" a="1"/>
  <c r="G1055" i="1" s="1"/>
  <c r="G1048" i="1" a="1"/>
  <c r="G1048" i="1" s="1"/>
  <c r="G1042" i="1" a="1"/>
  <c r="G1042" i="1" s="1"/>
  <c r="G1035" i="1" a="1"/>
  <c r="G1035" i="1" s="1"/>
  <c r="G1071" i="1" a="1"/>
  <c r="G1071" i="1" s="1"/>
  <c r="G1017" i="1" a="1"/>
  <c r="G1017" i="1" s="1"/>
  <c r="G1011" i="1" a="1"/>
  <c r="G1011" i="1" s="1"/>
  <c r="G997" i="1" a="1"/>
  <c r="G997" i="1" s="1"/>
  <c r="G1047" i="1" a="1"/>
  <c r="G1047" i="1" s="1"/>
  <c r="G1041" i="1" a="1"/>
  <c r="G1041" i="1" s="1"/>
  <c r="G1027" i="1" a="1"/>
  <c r="G1027" i="1" s="1"/>
  <c r="G973" i="1" a="1"/>
  <c r="G973" i="1" s="1"/>
  <c r="G1076" i="1" a="1"/>
  <c r="G1076" i="1" s="1"/>
  <c r="G1016" i="1" a="1"/>
  <c r="G1016" i="1" s="1"/>
  <c r="G1059" i="1" a="1"/>
  <c r="G1059" i="1" s="1"/>
  <c r="G1040" i="1" a="1"/>
  <c r="G1040" i="1" s="1"/>
  <c r="G1009" i="1" a="1"/>
  <c r="G1009" i="1" s="1"/>
  <c r="G995" i="1" a="1"/>
  <c r="G995" i="1" s="1"/>
  <c r="G1085" i="1" a="1"/>
  <c r="G1085" i="1" s="1"/>
  <c r="G1053" i="1" a="1"/>
  <c r="G1053" i="1" s="1"/>
  <c r="G1039" i="1" a="1"/>
  <c r="G1039" i="1" s="1"/>
  <c r="G1003" i="1" a="1"/>
  <c r="G1003" i="1" s="1"/>
  <c r="G1058" i="1" a="1"/>
  <c r="G1058" i="1" s="1"/>
  <c r="G1075" i="1" a="1"/>
  <c r="G1075" i="1" s="1"/>
  <c r="G1033" i="1" a="1"/>
  <c r="G1033" i="1" s="1"/>
  <c r="G999" i="1" a="1"/>
  <c r="G999" i="1" s="1"/>
  <c r="G983" i="1" a="1"/>
  <c r="G983" i="1" s="1"/>
  <c r="G963" i="1" a="1"/>
  <c r="G963" i="1" s="1"/>
  <c r="G945" i="1" a="1"/>
  <c r="G945" i="1" s="1"/>
  <c r="G998" i="1" a="1"/>
  <c r="G998" i="1" s="1"/>
  <c r="G971" i="1" a="1"/>
  <c r="G971" i="1" s="1"/>
  <c r="G962" i="1" a="1"/>
  <c r="G962" i="1" s="1"/>
  <c r="G933" i="1" a="1"/>
  <c r="G933" i="1" s="1"/>
  <c r="G970" i="1" a="1"/>
  <c r="G970" i="1" s="1"/>
  <c r="G925" i="1" a="1"/>
  <c r="G925" i="1" s="1"/>
  <c r="G992" i="1" a="1"/>
  <c r="G992" i="1" s="1"/>
  <c r="G1018" i="1" a="1"/>
  <c r="G1018" i="1" s="1"/>
  <c r="G1002" i="1" a="1"/>
  <c r="G1002" i="1" s="1"/>
  <c r="G996" i="1" a="1"/>
  <c r="G996" i="1" s="1"/>
  <c r="G981" i="1" a="1"/>
  <c r="G981" i="1" s="1"/>
  <c r="G969" i="1" a="1"/>
  <c r="G969" i="1" s="1"/>
  <c r="G991" i="1" a="1"/>
  <c r="G991" i="1" s="1"/>
  <c r="G949" i="1" a="1"/>
  <c r="G949" i="1" s="1"/>
  <c r="G980" i="1" a="1"/>
  <c r="G980" i="1" s="1"/>
  <c r="G968" i="1" a="1"/>
  <c r="G968" i="1" s="1"/>
  <c r="G1001" i="1" a="1"/>
  <c r="G1001" i="1" s="1"/>
  <c r="G967" i="1" a="1"/>
  <c r="G967" i="1" s="1"/>
  <c r="G955" i="1" a="1"/>
  <c r="G955" i="1" s="1"/>
  <c r="G948" i="1" a="1"/>
  <c r="G948" i="1" s="1"/>
  <c r="G923" i="1" a="1"/>
  <c r="G923" i="1" s="1"/>
  <c r="G937" i="1" a="1"/>
  <c r="G937" i="1" s="1"/>
  <c r="G922" i="1" a="1"/>
  <c r="G922" i="1" s="1"/>
  <c r="G914" i="1" a="1"/>
  <c r="G914" i="1" s="1"/>
  <c r="G1032" i="1" a="1"/>
  <c r="G1032" i="1" s="1"/>
  <c r="G1013" i="1" a="1"/>
  <c r="G1013" i="1" s="1"/>
  <c r="G936" i="1" a="1"/>
  <c r="G936" i="1" s="1"/>
  <c r="G1036" i="1" a="1"/>
  <c r="G1036" i="1" s="1"/>
  <c r="G989" i="1" a="1"/>
  <c r="G989" i="1" s="1"/>
  <c r="G1069" i="1" a="1"/>
  <c r="G1069" i="1" s="1"/>
  <c r="G1008" i="1" a="1"/>
  <c r="G1008" i="1" s="1"/>
  <c r="G994" i="1" a="1"/>
  <c r="G994" i="1" s="1"/>
  <c r="G978" i="1" a="1"/>
  <c r="G978" i="1" s="1"/>
  <c r="G964" i="1" a="1"/>
  <c r="G964" i="1" s="1"/>
  <c r="G946" i="1" a="1"/>
  <c r="G946" i="1" s="1"/>
  <c r="G953" i="1" a="1"/>
  <c r="G953" i="1" s="1"/>
  <c r="G921" i="1" a="1"/>
  <c r="G921" i="1" s="1"/>
  <c r="G899" i="1" a="1"/>
  <c r="G899" i="1" s="1"/>
  <c r="G941" i="1" a="1"/>
  <c r="G941" i="1" s="1"/>
  <c r="G915" i="1" a="1"/>
  <c r="G915" i="1" s="1"/>
  <c r="G907" i="1" a="1"/>
  <c r="G907" i="1" s="1"/>
  <c r="G898" i="1" a="1"/>
  <c r="G898" i="1" s="1"/>
  <c r="G965" i="1" a="1"/>
  <c r="G965" i="1" s="1"/>
  <c r="G979" i="1" a="1"/>
  <c r="G979" i="1" s="1"/>
  <c r="G944" i="1" a="1"/>
  <c r="G944" i="1" s="1"/>
  <c r="G940" i="1" a="1"/>
  <c r="G940" i="1" s="1"/>
  <c r="G913" i="1" a="1"/>
  <c r="G913" i="1" s="1"/>
  <c r="G905" i="1" a="1"/>
  <c r="G905" i="1" s="1"/>
  <c r="G932" i="1" a="1"/>
  <c r="G932" i="1" s="1"/>
  <c r="G912" i="1" a="1"/>
  <c r="G912" i="1" s="1"/>
  <c r="G951" i="1" a="1"/>
  <c r="G951" i="1" s="1"/>
  <c r="G943" i="1" a="1"/>
  <c r="G943" i="1" s="1"/>
  <c r="G927" i="1" a="1"/>
  <c r="G927" i="1" s="1"/>
  <c r="G985" i="1" a="1"/>
  <c r="G985" i="1" s="1"/>
  <c r="G974" i="1" a="1"/>
  <c r="G974" i="1" s="1"/>
  <c r="G931" i="1" a="1"/>
  <c r="G931" i="1" s="1"/>
  <c r="G1022" i="1" a="1"/>
  <c r="G1022" i="1" s="1"/>
  <c r="G960" i="1" a="1"/>
  <c r="G960" i="1" s="1"/>
  <c r="G910" i="1" a="1"/>
  <c r="G910" i="1" s="1"/>
  <c r="G926" i="1" a="1"/>
  <c r="G926" i="1" s="1"/>
  <c r="G935" i="1" a="1"/>
  <c r="G935" i="1" s="1"/>
  <c r="G909" i="1" a="1"/>
  <c r="G909" i="1" s="1"/>
  <c r="G919" i="1" a="1"/>
  <c r="G919" i="1" s="1"/>
  <c r="G904" i="1" a="1"/>
  <c r="G904" i="1" s="1"/>
  <c r="G897" i="1" a="1"/>
  <c r="G897" i="1" s="1"/>
  <c r="G903" i="1" a="1"/>
  <c r="G903" i="1" s="1"/>
  <c r="G918" i="1" a="1"/>
  <c r="G918" i="1" s="1"/>
  <c r="G901" i="1" a="1"/>
  <c r="G901" i="1" s="1"/>
  <c r="G906" i="1" a="1"/>
  <c r="G906" i="1" s="1"/>
  <c r="G900" i="1" a="1"/>
  <c r="G900" i="1" s="1"/>
  <c r="G920" i="1" a="1"/>
  <c r="G920" i="1" s="1"/>
  <c r="G890" i="1" a="1"/>
  <c r="G890" i="1" s="1"/>
  <c r="G889" i="1" a="1"/>
  <c r="G889" i="1" s="1"/>
  <c r="G888" i="1" a="1"/>
  <c r="G888" i="1" s="1"/>
  <c r="G887" i="1" a="1"/>
  <c r="G887" i="1" s="1"/>
  <c r="G886" i="1" a="1"/>
  <c r="G886" i="1" s="1"/>
  <c r="G885" i="1" a="1"/>
  <c r="G885" i="1" s="1"/>
  <c r="G884" i="1" a="1"/>
  <c r="G884" i="1" s="1"/>
  <c r="G850" i="1" a="1"/>
  <c r="G850" i="1" s="1"/>
  <c r="G803" i="1" a="1"/>
  <c r="G803" i="1" s="1"/>
  <c r="G780" i="1" a="1"/>
  <c r="G780" i="1" s="1"/>
  <c r="G767" i="1" a="1"/>
  <c r="G767" i="1" s="1"/>
  <c r="G829" i="1" a="1"/>
  <c r="G829" i="1" s="1"/>
  <c r="G816" i="1" a="1"/>
  <c r="G816" i="1" s="1"/>
  <c r="G828" i="1" a="1"/>
  <c r="G828" i="1" s="1"/>
  <c r="G861" i="1" a="1"/>
  <c r="G861" i="1" s="1"/>
  <c r="G870" i="1" a="1"/>
  <c r="G870" i="1" s="1"/>
  <c r="G858" i="1" a="1"/>
  <c r="G858" i="1" s="1"/>
  <c r="G826" i="1" a="1"/>
  <c r="G826" i="1" s="1"/>
  <c r="G766" i="1" a="1"/>
  <c r="G766" i="1" s="1"/>
  <c r="G825" i="1" a="1"/>
  <c r="G825" i="1" s="1"/>
  <c r="G765" i="1" a="1"/>
  <c r="G765" i="1" s="1"/>
  <c r="G879" i="1" a="1"/>
  <c r="G879" i="1" s="1"/>
  <c r="G836" i="1" a="1"/>
  <c r="G836" i="1" s="1"/>
  <c r="G824" i="1" a="1"/>
  <c r="G824" i="1" s="1"/>
  <c r="G813" i="1" a="1"/>
  <c r="G813" i="1" s="1"/>
  <c r="G776" i="1" a="1"/>
  <c r="G776" i="1" s="1"/>
  <c r="G764" i="1" a="1"/>
  <c r="G764" i="1" s="1"/>
  <c r="G868" i="1" a="1"/>
  <c r="G868" i="1" s="1"/>
  <c r="G812" i="1" a="1"/>
  <c r="G812" i="1" s="1"/>
  <c r="G847" i="1" a="1"/>
  <c r="G847" i="1" s="1"/>
  <c r="G799" i="1" a="1"/>
  <c r="G799" i="1" s="1"/>
  <c r="G788" i="1" a="1"/>
  <c r="G788" i="1" s="1"/>
  <c r="G866" i="1" a="1"/>
  <c r="G866" i="1" s="1"/>
  <c r="G845" i="1" a="1"/>
  <c r="G845" i="1" s="1"/>
  <c r="G798" i="1" a="1"/>
  <c r="G798" i="1" s="1"/>
  <c r="G787" i="1" a="1"/>
  <c r="G787" i="1" s="1"/>
  <c r="G773" i="1" a="1"/>
  <c r="G773" i="1" s="1"/>
  <c r="G761" i="1" a="1"/>
  <c r="G761" i="1" s="1"/>
  <c r="G865" i="1" a="1"/>
  <c r="G865" i="1" s="1"/>
  <c r="G808" i="1" a="1"/>
  <c r="G808" i="1" s="1"/>
  <c r="G760" i="1" a="1"/>
  <c r="G760" i="1" s="1"/>
  <c r="G844" i="1" a="1"/>
  <c r="G844" i="1" s="1"/>
  <c r="G809" i="1" a="1"/>
  <c r="G809" i="1" s="1"/>
  <c r="G797" i="1" a="1"/>
  <c r="G797" i="1" s="1"/>
  <c r="G820" i="1" a="1"/>
  <c r="G820" i="1" s="1"/>
  <c r="G785" i="1" a="1"/>
  <c r="G785" i="1" s="1"/>
  <c r="G772" i="1" a="1"/>
  <c r="G772" i="1" s="1"/>
  <c r="G796" i="1" a="1"/>
  <c r="G796" i="1" s="1"/>
  <c r="G819" i="1" a="1"/>
  <c r="G819" i="1" s="1"/>
  <c r="G783" i="1" a="1"/>
  <c r="G783" i="1" s="1"/>
  <c r="G771" i="1" a="1"/>
  <c r="G771" i="1" s="1"/>
  <c r="G821" i="1" a="1"/>
  <c r="G821" i="1" s="1"/>
  <c r="G853" i="1" a="1"/>
  <c r="G853" i="1" s="1"/>
  <c r="G831" i="1" a="1"/>
  <c r="G831" i="1" s="1"/>
  <c r="G805" i="1" a="1"/>
  <c r="G805" i="1" s="1"/>
  <c r="G794" i="1" a="1"/>
  <c r="G794" i="1" s="1"/>
  <c r="G852" i="1" a="1"/>
  <c r="G852" i="1" s="1"/>
  <c r="G804" i="1" a="1"/>
  <c r="G804" i="1" s="1"/>
  <c r="G757" i="1" a="1"/>
  <c r="G757" i="1" s="1"/>
  <c r="G817" i="1" a="1"/>
  <c r="G817" i="1" s="1"/>
  <c r="G769" i="1" a="1"/>
  <c r="G769" i="1" s="1"/>
  <c r="G883" i="1" a="1"/>
  <c r="G883" i="1" s="1"/>
  <c r="G862" i="1" a="1"/>
  <c r="G862" i="1" s="1"/>
  <c r="G781" i="1" a="1"/>
  <c r="G781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G733" i="1" a="1"/>
  <c r="G733" i="1" s="1"/>
  <c r="G749" i="1" a="1"/>
  <c r="G749" i="1" s="1"/>
  <c r="G750" i="1" a="1"/>
  <c r="G750" i="1" s="1"/>
  <c r="G753" i="1" a="1"/>
  <c r="G753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G720" i="1" a="1"/>
  <c r="G720" i="1" s="1"/>
  <c r="G752" i="1" a="1"/>
  <c r="G752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G748" i="1" a="1"/>
  <c r="G748" i="1" s="1"/>
  <c r="G744" i="1" a="1"/>
  <c r="G744" i="1" s="1"/>
  <c r="G686" i="1" a="1"/>
  <c r="G686" i="1" s="1"/>
  <c r="F686" i="1" a="1"/>
  <c r="F686" i="1" s="1"/>
  <c r="G539" i="1" a="1"/>
  <c r="G539" i="1" s="1"/>
  <c r="F539" i="1" a="1"/>
  <c r="F539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G742" i="1" a="1"/>
  <c r="G742" i="1" s="1"/>
  <c r="G727" i="1" a="1"/>
  <c r="G727" i="1" s="1"/>
  <c r="G665" i="1" a="1"/>
  <c r="G665" i="1" s="1"/>
  <c r="F665" i="1" a="1"/>
  <c r="F665" i="1" s="1"/>
  <c r="G735" i="1" a="1"/>
  <c r="G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<sst xmlns="http://schemas.openxmlformats.org/spreadsheetml/2006/main" count="3217" uniqueCount="1190">
  <si>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</si>
  <si>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</si>
  <si>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</si>
  <si>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</si>
  <si>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</si>
  <si>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</si>
  <si>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</si>
  <si>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</si>
  <si>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</si>
  <si>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</si>
  <si>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</si>
  <si>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</si>
  <si>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</si>
  <si>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</si>
  <si>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</si>
  <si>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</si>
  <si>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</si>
  <si>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</si>
  <si>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</si>
  <si>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</si>
  <si>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</si>
  <si>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</si>
  <si>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</si>
  <si>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</si>
  <si>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</si>
  <si>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</si>
  <si>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</si>
  <si>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宇都宮市</t>
  </si>
  <si>
    <t>沖縄県</t>
  </si>
  <si>
    <t>静岡県</t>
  </si>
  <si>
    <t>中野区</t>
  </si>
  <si>
    <t>熊本県</t>
  </si>
  <si>
    <t>佐賀県</t>
  </si>
  <si>
    <t>岩手県</t>
  </si>
  <si>
    <t>岐阜県</t>
  </si>
  <si>
    <t>宮崎県</t>
  </si>
  <si>
    <t>吉野郡大淀町福神</t>
  </si>
  <si>
    <t>三重県</t>
  </si>
  <si>
    <t>新潟県</t>
  </si>
  <si>
    <t>愛媛県</t>
  </si>
  <si>
    <t>松山市</t>
  </si>
  <si>
    <t>豊中市</t>
  </si>
  <si>
    <t>富山県</t>
  </si>
  <si>
    <t>大分県</t>
  </si>
  <si>
    <t>池田市</t>
  </si>
  <si>
    <t>品川区</t>
  </si>
  <si>
    <t>山口県</t>
  </si>
  <si>
    <t>上尾市</t>
  </si>
  <si>
    <t>石川県</t>
  </si>
  <si>
    <t>新座市</t>
  </si>
  <si>
    <t>名古屋市西区鳥見町</t>
  </si>
  <si>
    <t>福井県</t>
  </si>
  <si>
    <t>徳島県</t>
  </si>
  <si>
    <t>川崎市中原区</t>
  </si>
  <si>
    <t>町田市三輪町</t>
  </si>
  <si>
    <t>横須賀市佐島の丘1丁目</t>
  </si>
  <si>
    <t>板橋区桜川2-17-2</t>
  </si>
  <si>
    <t>宮崎市吉村町中原甲</t>
  </si>
  <si>
    <t>四日市市</t>
  </si>
  <si>
    <t>横浜市港北区大倉山</t>
  </si>
  <si>
    <t>浦安市</t>
  </si>
  <si>
    <t>泉大津市豊中町</t>
  </si>
  <si>
    <t>西宮市甲陽園若江町</t>
  </si>
  <si>
    <t>瀬戸市</t>
  </si>
  <si>
    <t>横浜市瀬谷区瀬谷5丁目</t>
  </si>
  <si>
    <t>豊能郡豊能町ときわ台４丁目</t>
  </si>
  <si>
    <t>板野郡上板町神宅字滝ノ宮西</t>
  </si>
  <si>
    <t>豊橋市北山町</t>
  </si>
  <si>
    <t>神戸市垂水区舞多聞東</t>
  </si>
  <si>
    <t>茨木市</t>
  </si>
  <si>
    <t>長野市川中島町上氷鉋</t>
  </si>
  <si>
    <t>君津市南子安</t>
  </si>
  <si>
    <t>彦根市西沼波町</t>
  </si>
  <si>
    <t>柏市</t>
  </si>
  <si>
    <t>藤枝市大東町</t>
  </si>
  <si>
    <t>横浜市都筑区川和台</t>
  </si>
  <si>
    <t>東海市富貴ノ台</t>
  </si>
  <si>
    <t>台東区池之端</t>
  </si>
  <si>
    <t>宮若市</t>
  </si>
  <si>
    <t>練馬区石神井町</t>
  </si>
  <si>
    <t>宇都宮市下岡本町</t>
  </si>
  <si>
    <t>岐阜市</t>
  </si>
  <si>
    <t>厚木市</t>
  </si>
  <si>
    <t>沼津市原町中</t>
  </si>
  <si>
    <t>横浜市港北区新横浜1-14-8</t>
  </si>
  <si>
    <t>港区南青山</t>
  </si>
  <si>
    <t>飯田市</t>
  </si>
  <si>
    <t>川崎市幸区堀川町</t>
  </si>
  <si>
    <t>土浦市神立町</t>
  </si>
  <si>
    <t>川越市</t>
  </si>
  <si>
    <t>逗子市久木</t>
  </si>
  <si>
    <t>大分市下郡東</t>
  </si>
  <si>
    <t>豊橋市曙町字若松</t>
  </si>
  <si>
    <t>品川区八潮5-2-7-1007</t>
  </si>
  <si>
    <t>相模原市南区若松</t>
  </si>
  <si>
    <t>旭市</t>
  </si>
  <si>
    <t>宇部市</t>
  </si>
  <si>
    <t>駒ヶ根市</t>
  </si>
  <si>
    <t>新宿区</t>
  </si>
  <si>
    <t>品川区東五反田</t>
  </si>
  <si>
    <t>横浜市</t>
  </si>
  <si>
    <t>大津市</t>
  </si>
  <si>
    <t>名張市東町</t>
  </si>
  <si>
    <t>川崎市宮前区</t>
  </si>
  <si>
    <t>佐賀市新生町</t>
  </si>
  <si>
    <t>豊橋市向山東町</t>
  </si>
  <si>
    <t>京都市伏見区深草大亀谷大山町</t>
  </si>
  <si>
    <t>川崎市幸区小倉</t>
  </si>
  <si>
    <t>船橋市海神</t>
  </si>
  <si>
    <t>宇治市小倉町</t>
  </si>
  <si>
    <t>静岡市駿河区八幡４丁目</t>
  </si>
  <si>
    <t>前橋市上佐鳥町</t>
  </si>
  <si>
    <t>市川市</t>
  </si>
  <si>
    <t>岡山県</t>
  </si>
  <si>
    <t>福島県</t>
  </si>
  <si>
    <t>長崎県</t>
  </si>
  <si>
    <t>川崎市麻生区王禅寺西</t>
  </si>
  <si>
    <t>平塚市</t>
  </si>
  <si>
    <t>北海道</t>
  </si>
  <si>
    <t>揖斐郡池田町下東野</t>
  </si>
  <si>
    <t>つくば市</t>
  </si>
  <si>
    <t>山梨県</t>
  </si>
  <si>
    <t>大阪市</t>
  </si>
  <si>
    <t>和歌山県</t>
  </si>
  <si>
    <t>紀の川市田中馬場</t>
  </si>
  <si>
    <t>広島市南区翠</t>
  </si>
  <si>
    <t>世田谷区船橋</t>
  </si>
  <si>
    <t>水戸市吉沢町</t>
  </si>
  <si>
    <t>山形県</t>
  </si>
  <si>
    <t>江東区亀戸</t>
  </si>
  <si>
    <t>伊賀市北山</t>
  </si>
  <si>
    <t>東海市加木屋町北平井３８－１</t>
  </si>
  <si>
    <t>高知県</t>
  </si>
  <si>
    <t>京都市左京区岩倉花園町</t>
  </si>
  <si>
    <t>奈良市西大寺赤田町</t>
  </si>
  <si>
    <t>長久手市</t>
  </si>
  <si>
    <t>横浜市港北区綱島東</t>
  </si>
  <si>
    <t>吹田市</t>
  </si>
  <si>
    <t>西宮市神呪町</t>
  </si>
  <si>
    <t>名古屋市西区枇杷島</t>
  </si>
  <si>
    <t>清瀬市松山</t>
  </si>
  <si>
    <t>文京区向丘2-34-1</t>
  </si>
  <si>
    <t>袋井市豊沢</t>
  </si>
  <si>
    <t>大阪市中央区東心斎橋</t>
  </si>
  <si>
    <t>秋田県</t>
  </si>
  <si>
    <t>船橋市</t>
  </si>
  <si>
    <t>吹田市新芦屋上</t>
  </si>
  <si>
    <t>葛飾区白鳥</t>
  </si>
  <si>
    <t>吉川市きよみ野</t>
  </si>
  <si>
    <t>さいたま市西区内野本郷</t>
  </si>
  <si>
    <t>蕨市</t>
  </si>
  <si>
    <t>市川市新田</t>
  </si>
  <si>
    <t>焼津市柳新屋</t>
  </si>
  <si>
    <t>加古川市尾上町長田</t>
  </si>
  <si>
    <t>三鷹市下連雀３丁目38-1</t>
  </si>
  <si>
    <t>港区高輪</t>
  </si>
  <si>
    <t>松戸市</t>
  </si>
  <si>
    <t>横浜市青葉区美しが丘</t>
  </si>
  <si>
    <t>掛川市初馬</t>
  </si>
  <si>
    <t>つくば市吾妻1丁目</t>
  </si>
  <si>
    <t>鳥取県</t>
  </si>
  <si>
    <t>太田市西矢島町</t>
  </si>
  <si>
    <t>文京区本駒込</t>
  </si>
  <si>
    <t>那須塩原市</t>
  </si>
  <si>
    <t>三島市富士見台</t>
  </si>
  <si>
    <t>大田区仲六郷</t>
  </si>
  <si>
    <t>横浜市瀬谷区二ツ橋町</t>
  </si>
  <si>
    <t>前橋市下新田町</t>
  </si>
  <si>
    <t>名古屋市名東区神丘町</t>
  </si>
  <si>
    <t>港区</t>
  </si>
  <si>
    <t>倉敷市</t>
  </si>
  <si>
    <t>加古川市市平岡町</t>
  </si>
  <si>
    <t>那覇市</t>
  </si>
  <si>
    <t>日野市日野</t>
  </si>
  <si>
    <t>長崎市深堀町</t>
  </si>
  <si>
    <t>水戸市米沢町</t>
  </si>
  <si>
    <t>山武市成東</t>
  </si>
  <si>
    <t>板橋区</t>
  </si>
  <si>
    <t>福岡市東区</t>
  </si>
  <si>
    <t>国立市</t>
  </si>
  <si>
    <t>神戸市北区緑町</t>
  </si>
  <si>
    <t>渋川市半田</t>
  </si>
  <si>
    <t>男鹿市船越字本町</t>
  </si>
  <si>
    <t>札幌市豊平区月寒東5条16丁目</t>
  </si>
  <si>
    <t>武蔵野市西久保</t>
  </si>
  <si>
    <t>古賀市花見東</t>
  </si>
  <si>
    <t>大和高田市旭北町</t>
  </si>
  <si>
    <t>川崎市多摩区三田</t>
  </si>
  <si>
    <t>大垣市木戸町</t>
  </si>
  <si>
    <t>板橋区加賀</t>
  </si>
  <si>
    <t>調布市飛田給</t>
  </si>
  <si>
    <t>姫路市</t>
  </si>
  <si>
    <t>姫路市広畑区才</t>
  </si>
  <si>
    <t>島根県</t>
  </si>
  <si>
    <t>神戸市垂水区川原</t>
  </si>
  <si>
    <t>名古屋市港区入場1丁目</t>
  </si>
  <si>
    <t>島原市</t>
  </si>
  <si>
    <t>さいたま市南区神明</t>
  </si>
  <si>
    <t>鹿児島県</t>
  </si>
  <si>
    <t>福山市久松台一丁目</t>
  </si>
  <si>
    <t>柏市松葉町</t>
  </si>
  <si>
    <t>八幡浜市</t>
  </si>
  <si>
    <t>富士市</t>
  </si>
  <si>
    <t>柳川市三橋町棚町</t>
  </si>
  <si>
    <t>青森県</t>
  </si>
  <si>
    <t>杉並区</t>
  </si>
  <si>
    <t>横浜市金沢区富岡西</t>
  </si>
  <si>
    <t>芳賀郡益子町七井中央</t>
  </si>
  <si>
    <t>川西市</t>
  </si>
  <si>
    <t>岡山市北区西古松</t>
  </si>
  <si>
    <t>秋田市</t>
  </si>
  <si>
    <t>岡崎市</t>
  </si>
  <si>
    <t>鹿児島市天保山町</t>
  </si>
  <si>
    <t>調布市国領町</t>
  </si>
  <si>
    <t>太田市藤久良町</t>
  </si>
  <si>
    <t>川崎市幸区戸手</t>
  </si>
  <si>
    <t>茅ヶ崎市</t>
  </si>
  <si>
    <t>川崎市多摩区東三田</t>
  </si>
  <si>
    <t>練馬区</t>
  </si>
  <si>
    <t>須坂市大字福島</t>
  </si>
  <si>
    <t>港区芝浦</t>
  </si>
  <si>
    <t>甲賀市信楽町田代</t>
  </si>
  <si>
    <t>浜松市浜名区新原</t>
  </si>
  <si>
    <t>世田谷区</t>
  </si>
  <si>
    <t>北葛飾郡松伏町魚沼</t>
  </si>
  <si>
    <t>横浜市青葉区つつじヶ丘</t>
  </si>
  <si>
    <t>鹿屋市川西町</t>
  </si>
  <si>
    <t>港区港南</t>
  </si>
  <si>
    <t>逗子市</t>
  </si>
  <si>
    <t>横浜市港北区新羽町</t>
  </si>
  <si>
    <t>岡山市北区御津野々口</t>
  </si>
  <si>
    <t>川西市大和東</t>
  </si>
  <si>
    <t>町田市西成瀬</t>
  </si>
  <si>
    <t>北区</t>
  </si>
  <si>
    <t>北秋田市鷹巣字下家下</t>
  </si>
  <si>
    <t>上水内郡信濃町大字柏原</t>
  </si>
  <si>
    <t>吹田市桃山台</t>
  </si>
  <si>
    <t>松本市</t>
  </si>
  <si>
    <t>習志野市津田沼</t>
  </si>
  <si>
    <t>大和市中央林間</t>
  </si>
  <si>
    <t>十和田市</t>
  </si>
  <si>
    <t>岐阜市日野南</t>
  </si>
  <si>
    <t>神戸市須磨区白川字不計</t>
  </si>
  <si>
    <t>立川市柴崎町</t>
  </si>
  <si>
    <t>西宮市</t>
  </si>
  <si>
    <t>長浜市三ツ矢元町</t>
  </si>
  <si>
    <t>佐渡市</t>
  </si>
  <si>
    <t>大阪市浪速区湊町</t>
  </si>
  <si>
    <t>八王子市中野町</t>
  </si>
  <si>
    <t>横浜市青葉区藤が丘</t>
  </si>
  <si>
    <t>長野市鶴賀上千歳町</t>
  </si>
  <si>
    <t>葛飾区宝町</t>
  </si>
  <si>
    <t>渋谷区代々木</t>
  </si>
  <si>
    <t>清瀬市</t>
  </si>
  <si>
    <t>杉並区上井草</t>
  </si>
  <si>
    <t>白山市田中町</t>
  </si>
  <si>
    <t>山口市小郡高砂町</t>
  </si>
  <si>
    <t>土浦市右籾</t>
  </si>
  <si>
    <t>ひたちなか市中根</t>
  </si>
  <si>
    <t>京都市中京区壬生天池町</t>
  </si>
  <si>
    <t>川崎市麻生区東百合丘</t>
  </si>
  <si>
    <t>富士宮市万野原新田</t>
  </si>
  <si>
    <t>京都市中京区壬生松原町</t>
  </si>
  <si>
    <t>大阪市福島区福島</t>
  </si>
  <si>
    <t>栗東市小柿</t>
  </si>
  <si>
    <t>宝塚市</t>
  </si>
  <si>
    <t>松本市渚</t>
  </si>
  <si>
    <t>宇治市木幡平尾</t>
  </si>
  <si>
    <t>能美市福島町</t>
  </si>
  <si>
    <t>松本市笹賀</t>
  </si>
  <si>
    <t>枚方市枚方元町</t>
  </si>
  <si>
    <t>小野市</t>
  </si>
  <si>
    <t>大和田</t>
  </si>
  <si>
    <t>春日部市</t>
  </si>
  <si>
    <t>津市河芸町千里ケ丘</t>
  </si>
  <si>
    <t>名古屋市東区前浪町</t>
  </si>
  <si>
    <t>飯田市丸山町</t>
  </si>
  <si>
    <t>観音寺市柞田町甲</t>
  </si>
  <si>
    <t>伊勢市宮後</t>
  </si>
  <si>
    <t>秦野市水神町</t>
  </si>
  <si>
    <t>下妻市</t>
  </si>
  <si>
    <t>関市山田</t>
  </si>
  <si>
    <t>練馬区羽沢</t>
  </si>
  <si>
    <t>東大阪市鴻池町</t>
  </si>
  <si>
    <t>二戸市上斗米字上川代</t>
  </si>
  <si>
    <t>豊川市伊奈町</t>
  </si>
  <si>
    <t>岡崎市真伝町亀山</t>
  </si>
  <si>
    <t>大阪市淀川区三国本町</t>
  </si>
  <si>
    <t>藤沢市大庭</t>
  </si>
  <si>
    <t>川崎市多摩区長尾</t>
  </si>
  <si>
    <t>掛川市紅葉台</t>
  </si>
  <si>
    <t>弥富市平島東三丁目</t>
  </si>
  <si>
    <t>掛川市大坪台</t>
  </si>
  <si>
    <t>那珂市本米崎</t>
  </si>
  <si>
    <t>茅ケ崎市元町</t>
  </si>
  <si>
    <t>四国中央市金生町山田井</t>
  </si>
  <si>
    <t>宇治市伊勢田町名木1丁目</t>
  </si>
  <si>
    <t>熊本市中央区帯山</t>
  </si>
  <si>
    <t>津島市唐臼町囲外</t>
  </si>
  <si>
    <t>荒川区</t>
  </si>
  <si>
    <t>長野市平林</t>
  </si>
  <si>
    <t>北葛城郡広陵町</t>
  </si>
  <si>
    <t>川崎市麻生区万福寺３－１２－１－１４１１</t>
  </si>
  <si>
    <t>大阪市平野区長吉長原西</t>
  </si>
  <si>
    <t>目黒区鷹番</t>
  </si>
  <si>
    <t>神戸市東灘区本庄町2丁目</t>
  </si>
  <si>
    <t>上川郡東川町</t>
  </si>
  <si>
    <t>枚方市東香里</t>
  </si>
  <si>
    <t>所沢市向陽町</t>
  </si>
  <si>
    <t>京都市伏見区醍醐下端山町</t>
  </si>
  <si>
    <t>大阪市都島区中野町</t>
  </si>
  <si>
    <t>滑川市</t>
  </si>
  <si>
    <t>三田市けやき台</t>
  </si>
  <si>
    <t>宝塚市すみれが丘3-6-1-112</t>
  </si>
  <si>
    <t>八王子市鑓水</t>
  </si>
  <si>
    <t>都島区都島北通２丁目</t>
  </si>
  <si>
    <t>西東京市下保谷</t>
  </si>
  <si>
    <t>千葉市中央区神明町205-1</t>
  </si>
  <si>
    <t>交野市倉治</t>
  </si>
  <si>
    <t>文京区</t>
  </si>
  <si>
    <t>川崎市宮前区けやき平</t>
  </si>
  <si>
    <t>大阪市北区鶴野町</t>
  </si>
  <si>
    <t>青森市浜田</t>
  </si>
  <si>
    <t>八女郡広川町</t>
  </si>
  <si>
    <t>横浜市神奈川区</t>
  </si>
  <si>
    <t>戸田市川岸</t>
  </si>
  <si>
    <t>生駒郡三郷町</t>
  </si>
  <si>
    <t>川西市小戸</t>
  </si>
  <si>
    <t>狭山市</t>
  </si>
  <si>
    <t>中央区勝どき</t>
  </si>
  <si>
    <t>大田区南千束</t>
  </si>
  <si>
    <t>調布市</t>
  </si>
  <si>
    <t>越谷市新越谷</t>
  </si>
  <si>
    <t>横浜市西区平沼</t>
  </si>
  <si>
    <t>和光市</t>
  </si>
  <si>
    <t>川口市南鳩ヶ谷4-7-20</t>
  </si>
  <si>
    <t>三原市</t>
  </si>
  <si>
    <t>世田谷区上野毛</t>
  </si>
  <si>
    <t>美馬市脇町字小星</t>
  </si>
  <si>
    <t>横浜市緑区霧が丘</t>
  </si>
  <si>
    <t>豊島区西巣鴨</t>
  </si>
  <si>
    <t>山武市横田</t>
  </si>
  <si>
    <t>出雲市上塩冶町</t>
  </si>
  <si>
    <t>福岡市西区今宿駅前</t>
  </si>
  <si>
    <t>海老名市東柏ヶ谷</t>
  </si>
  <si>
    <t>吹田市千里丘下</t>
  </si>
  <si>
    <t>豊川市平尾町</t>
  </si>
  <si>
    <t>熱海市熱海</t>
  </si>
  <si>
    <t>横浜市中区本牧原</t>
  </si>
  <si>
    <t>交野市</t>
  </si>
  <si>
    <t>名古屋市北区憧旛町3丁目</t>
  </si>
  <si>
    <t>豊中市宮山町</t>
  </si>
  <si>
    <t>大田原市実取</t>
  </si>
  <si>
    <t>横浜市金沢区能見台</t>
  </si>
  <si>
    <t>東近江市五個荘山本町</t>
  </si>
  <si>
    <t>羽咋市菅池町</t>
  </si>
  <si>
    <t>高知市越前町１丁目</t>
  </si>
  <si>
    <t>熊本市西区高橋町</t>
  </si>
  <si>
    <t>目黒区目黒本町3-15-2</t>
  </si>
  <si>
    <t>綾瀬市</t>
  </si>
  <si>
    <t>西宮市　松ヶ丘町</t>
  </si>
  <si>
    <t>狛江市和泉本町1-9-6</t>
  </si>
  <si>
    <t>宇治市五ケ庄三番割</t>
  </si>
  <si>
    <t>伊丹市北野</t>
  </si>
  <si>
    <t>岩倉市神野町平久田</t>
  </si>
  <si>
    <t>仙台市青葉区五橋2－10－6</t>
  </si>
  <si>
    <t>名古屋市緑区大清水</t>
  </si>
  <si>
    <t>津市</t>
  </si>
  <si>
    <t>姫路市飾磨区上野田</t>
  </si>
  <si>
    <t>広島市中区舟入南三丁目</t>
  </si>
  <si>
    <t>津市一身田上津部田</t>
  </si>
  <si>
    <t>吹田市古江台３丁目</t>
  </si>
  <si>
    <t>東根市泉郷乙</t>
  </si>
  <si>
    <t>一宮市</t>
  </si>
  <si>
    <t>名古屋市千種区茶屋坂通</t>
  </si>
  <si>
    <t>三木市志染町西自由が丘</t>
  </si>
  <si>
    <t>春日部市粕壁東</t>
  </si>
  <si>
    <t>大和高田市</t>
  </si>
  <si>
    <t>豊島区</t>
  </si>
  <si>
    <t>鈴鹿市</t>
  </si>
  <si>
    <t>富山市高屋敷</t>
  </si>
  <si>
    <t>大阪市東淀川区北江口</t>
  </si>
  <si>
    <t>大田区大森東</t>
  </si>
  <si>
    <t>加須市土手１丁目</t>
  </si>
  <si>
    <t>いわき市小名浜玉川町南</t>
  </si>
  <si>
    <t>福岡市中央区小笹</t>
  </si>
  <si>
    <t>札幌市中央区</t>
  </si>
  <si>
    <t>横浜市保土ケ谷区</t>
  </si>
  <si>
    <t>福島市</t>
  </si>
  <si>
    <t>南丹市園部町横田7号</t>
  </si>
  <si>
    <t>神戸市東灘区本山南町</t>
  </si>
  <si>
    <t>大阪市東成区大今里</t>
  </si>
  <si>
    <t>河内郡上三川町</t>
  </si>
  <si>
    <t>富谷市明石台</t>
  </si>
  <si>
    <t>横浜市栄区桂台西</t>
  </si>
  <si>
    <t>箕面市西小路</t>
  </si>
  <si>
    <t>流山市南流山</t>
  </si>
  <si>
    <t>阿南市津乃峰町</t>
  </si>
  <si>
    <t>小牧市東田中</t>
  </si>
  <si>
    <t>東村山市廻田町２－２９－４４</t>
  </si>
  <si>
    <t>安城市二本木新町</t>
  </si>
  <si>
    <t>多賀城市東田中2-40-29</t>
  </si>
  <si>
    <t>相模原市南区東林間</t>
  </si>
  <si>
    <t>芦屋市三条町</t>
  </si>
  <si>
    <t>横浜市神奈川区神大寺</t>
  </si>
  <si>
    <t>可児市若葉台1丁目</t>
  </si>
  <si>
    <t>生駒市西白庭台</t>
  </si>
  <si>
    <t>厚木市森の里</t>
  </si>
  <si>
    <t>市原市東国分寺台</t>
  </si>
  <si>
    <t>吹田市江の木町</t>
  </si>
  <si>
    <t>福岡市東区香椎照葉6-2-52</t>
  </si>
  <si>
    <t>千葉市美浜区磯辺</t>
  </si>
  <si>
    <t>日野市万願寺</t>
  </si>
  <si>
    <t>草加市氷川町</t>
  </si>
  <si>
    <t>戸田市喜沢</t>
  </si>
  <si>
    <t>品川区西中延</t>
  </si>
  <si>
    <t>佐倉市</t>
  </si>
  <si>
    <t>日立市久慈町</t>
  </si>
  <si>
    <t>京都市南区西九条大国町6-1</t>
  </si>
  <si>
    <t>札幌市西区八軒7条東3丁目</t>
  </si>
  <si>
    <t>鳥取市片原１丁目１１５番地</t>
  </si>
  <si>
    <t>高松市屋島西町</t>
  </si>
  <si>
    <t>新宿区新宿</t>
  </si>
  <si>
    <t>鳴門市撫養町</t>
  </si>
  <si>
    <t>摂津市</t>
  </si>
  <si>
    <t>新居浜市土橋</t>
  </si>
  <si>
    <t>所沢市緑町</t>
  </si>
  <si>
    <t>尼崎市東園田町</t>
  </si>
  <si>
    <t>杉並区堀ノ内</t>
  </si>
  <si>
    <t>西白河郡西郷村小田倉前山</t>
  </si>
  <si>
    <t>福岡市中央区平尾浄水町</t>
  </si>
  <si>
    <t>名古屋市緑区滝ノ水1-909</t>
  </si>
  <si>
    <t>東伯郡琴浦町中尾</t>
  </si>
  <si>
    <t>坂井市春江町</t>
  </si>
  <si>
    <t>南都留郡富士河口湖町河口</t>
  </si>
  <si>
    <t>熊谷市本町</t>
  </si>
  <si>
    <t>江南市五明町当光地</t>
  </si>
  <si>
    <t>藤沢市本町</t>
  </si>
  <si>
    <t>坂井市春江町随応寺</t>
  </si>
  <si>
    <t>桑名市</t>
  </si>
  <si>
    <t>大阪市鶴見区</t>
  </si>
  <si>
    <t>阿南市日開野町中居内</t>
  </si>
  <si>
    <t>小山市大字立木</t>
  </si>
  <si>
    <t>北九州市小倉南区下城野</t>
  </si>
  <si>
    <t>さいたま市見沼区</t>
  </si>
  <si>
    <t>熊本市東区</t>
  </si>
  <si>
    <t>鉾田市</t>
  </si>
  <si>
    <t>福岡市南区向野</t>
  </si>
  <si>
    <t>東伯郡湯梨浜町水下</t>
  </si>
  <si>
    <t>広島市南区西蟹屋</t>
  </si>
  <si>
    <t>大阪市城東区古市3-17-26</t>
  </si>
  <si>
    <t>日立市日高町</t>
  </si>
  <si>
    <t>京都市南区久世高田町３７３－１</t>
  </si>
  <si>
    <t>横浜市港南区最戸</t>
  </si>
  <si>
    <t>潮来市日の出</t>
  </si>
  <si>
    <t>市川市原木</t>
  </si>
  <si>
    <t>豊中市城山町3-4-45</t>
  </si>
  <si>
    <t>藤枝市青葉町4丁目４－１４</t>
  </si>
  <si>
    <t>国立市西</t>
  </si>
  <si>
    <t>世田谷区千歳台</t>
  </si>
  <si>
    <t>磐田市</t>
  </si>
  <si>
    <t>福山市紅葉町</t>
  </si>
  <si>
    <t>仲多度郡多度津町若葉町</t>
  </si>
  <si>
    <t>富山市開</t>
  </si>
  <si>
    <t>御所市大橋通</t>
  </si>
  <si>
    <t>府中市分梅町</t>
  </si>
  <si>
    <t>蓮田市東4丁目</t>
  </si>
  <si>
    <t>黒川郡大和町鶴巣北目大崎字宮ノ沢二番</t>
  </si>
  <si>
    <t>熊本市中央区京町</t>
  </si>
  <si>
    <t>長浜市高月町片山</t>
  </si>
  <si>
    <t>広島市佐伯区</t>
  </si>
  <si>
    <t>市川市市川</t>
  </si>
  <si>
    <t>伊賀市上野忍町</t>
  </si>
  <si>
    <t>世田谷区東玉川</t>
  </si>
  <si>
    <t>仙台市宮城野区新田東</t>
  </si>
  <si>
    <t>広島市安佐南区山本新町</t>
  </si>
  <si>
    <t>横浜市青葉区荏田西</t>
  </si>
  <si>
    <t>鎌倉市今泉台</t>
  </si>
  <si>
    <t>さいたま市西区指扇106-11</t>
  </si>
  <si>
    <t>練馬区平和台</t>
  </si>
  <si>
    <t>伊賀市上野丸の内</t>
  </si>
  <si>
    <t>海老名市</t>
  </si>
  <si>
    <t>高知市朝倉西町</t>
  </si>
  <si>
    <t>焼津市</t>
  </si>
  <si>
    <t>横須賀市</t>
  </si>
  <si>
    <t>神戸市垂水区清水ヶ丘1</t>
  </si>
  <si>
    <t>長岡市寿</t>
  </si>
  <si>
    <t>船橋市前原西</t>
  </si>
  <si>
    <t>名古屋市熱田区一番2丁目</t>
  </si>
  <si>
    <t>札幌市白石区</t>
  </si>
  <si>
    <t>世田谷区深沢</t>
  </si>
  <si>
    <t>名古屋市南区駈上</t>
  </si>
  <si>
    <t>吹田市竹見台</t>
  </si>
  <si>
    <t>さいたま市浦和区東仲町</t>
  </si>
  <si>
    <t>大田区3丁目</t>
  </si>
  <si>
    <t>Shibuyaku</t>
  </si>
  <si>
    <t>桜川市</t>
  </si>
  <si>
    <t>渋谷区渋谷</t>
  </si>
  <si>
    <t>横浜市鶴見区</t>
  </si>
  <si>
    <t>福岡市早良区</t>
  </si>
  <si>
    <t>松戸市大谷口</t>
  </si>
  <si>
    <t>幸手市香日向</t>
  </si>
  <si>
    <t>西条市野々市</t>
  </si>
  <si>
    <t>小石木町</t>
  </si>
  <si>
    <t>横浜市南区庚台13-7</t>
  </si>
  <si>
    <t>大阪市中央区森ノ宮中央1-7-6</t>
  </si>
  <si>
    <t>仙北市</t>
  </si>
  <si>
    <t>久御山町市田</t>
  </si>
  <si>
    <t>春日市須玖北</t>
  </si>
  <si>
    <t>横浜市港北区</t>
  </si>
  <si>
    <t>横浜市南区日枝町</t>
  </si>
  <si>
    <t>川崎市川崎区港町5-1</t>
  </si>
  <si>
    <t>新宿区西早稲田</t>
  </si>
  <si>
    <t>足立東綾瀬</t>
  </si>
  <si>
    <t>下伊那郡松川町元大島</t>
  </si>
  <si>
    <t>宮崎市出来島町</t>
  </si>
  <si>
    <t>沼津市東椎路</t>
  </si>
  <si>
    <t>静岡市駿河区西島</t>
  </si>
  <si>
    <t>中津川市</t>
  </si>
  <si>
    <t>可児市</t>
  </si>
  <si>
    <t>相模原市緑区</t>
  </si>
  <si>
    <t>名古屋市昭和区松風町</t>
  </si>
  <si>
    <t>能代市</t>
  </si>
  <si>
    <t>ふじみ野市桜ケ丘</t>
  </si>
  <si>
    <t>さいたま市見沼区御蔵</t>
  </si>
  <si>
    <t>和泉市緑ヶ丘</t>
  </si>
  <si>
    <t>名古屋市中区</t>
  </si>
  <si>
    <t>高浜市論地町</t>
  </si>
  <si>
    <t>大阪市城東区</t>
  </si>
  <si>
    <t>練馬区上石神井</t>
  </si>
  <si>
    <t>流山市</t>
  </si>
  <si>
    <t>川口市弥平</t>
  </si>
  <si>
    <t>恵那市武並町藤</t>
  </si>
  <si>
    <t>堺市西区浜寺南町</t>
  </si>
  <si>
    <t>広島市中区東千田町</t>
  </si>
  <si>
    <t>荷山町</t>
  </si>
  <si>
    <t>前橋市樋越町</t>
  </si>
  <si>
    <t>春日井市八幡町5-1</t>
  </si>
  <si>
    <t>世田谷区成城</t>
  </si>
  <si>
    <t>大分市上野丘東</t>
  </si>
  <si>
    <t>大阪市中央区内久宝寺</t>
  </si>
  <si>
    <t>名古屋市千種区希望ヶ丘3丁目</t>
  </si>
  <si>
    <t>札幌市西区発寒十条</t>
  </si>
  <si>
    <t>目黒区上目黒</t>
  </si>
  <si>
    <t>富山市下新本町</t>
  </si>
  <si>
    <t>岸和田市南町</t>
  </si>
  <si>
    <t>名古屋市東区矢田南二丁目</t>
  </si>
  <si>
    <t>港区虎ノ門</t>
  </si>
  <si>
    <t>野田市　野田</t>
  </si>
  <si>
    <t>藤沢市片瀬海岸</t>
  </si>
  <si>
    <t>田辺市</t>
  </si>
  <si>
    <t>さいたま市見沼区春野</t>
  </si>
  <si>
    <t>久留米市国分町</t>
  </si>
  <si>
    <t>札幌市西区山の手</t>
  </si>
  <si>
    <t>習志野市東習志野</t>
  </si>
  <si>
    <t>習志野市</t>
  </si>
  <si>
    <t>岩沼市</t>
  </si>
  <si>
    <t>宮崎市</t>
  </si>
  <si>
    <t>尼崎市南武庫之荘</t>
  </si>
  <si>
    <t>桶川市川田谷</t>
  </si>
  <si>
    <t>吹田市千里山東</t>
  </si>
  <si>
    <t>大田区南馬込</t>
  </si>
  <si>
    <t>大阪市西区新町</t>
  </si>
  <si>
    <t>日進市藤塚</t>
  </si>
  <si>
    <t>国頭郡東村字有銘</t>
  </si>
  <si>
    <t>文京区白山</t>
  </si>
  <si>
    <t>浪速区</t>
  </si>
  <si>
    <t>気仙沼市</t>
  </si>
  <si>
    <t>世田谷区野沢</t>
  </si>
  <si>
    <t>彦根市鳥居本町</t>
  </si>
  <si>
    <t>寝屋川市御幸東町</t>
  </si>
  <si>
    <t>吹田市古江台</t>
  </si>
  <si>
    <t>白山市中成1-34</t>
  </si>
  <si>
    <t>千代田区</t>
  </si>
  <si>
    <t>春日部市中央1丁目</t>
  </si>
  <si>
    <t>西宮市深谷町</t>
  </si>
  <si>
    <t>函館市西桔梗町</t>
  </si>
  <si>
    <t>豊中市緑丘</t>
  </si>
  <si>
    <t>名古屋中村区名駅</t>
  </si>
  <si>
    <t>守口市外島町</t>
  </si>
  <si>
    <t>大阪市東淀川区淡路</t>
  </si>
  <si>
    <t>神戸市中央区元町通り</t>
  </si>
  <si>
    <t>呉市阿賀北</t>
  </si>
  <si>
    <t>名古屋市</t>
  </si>
  <si>
    <t>中央区</t>
  </si>
  <si>
    <t>三鷹市深大寺</t>
  </si>
  <si>
    <t>武蔵村山市中原</t>
  </si>
  <si>
    <t>静岡市駿河区国吉田</t>
  </si>
  <si>
    <t>大阪市福島区鷺洲</t>
  </si>
  <si>
    <t>安来市佐久保町</t>
  </si>
  <si>
    <t>所沢市東町12-8-912</t>
  </si>
  <si>
    <t>高山市西之一色町１丁目</t>
  </si>
  <si>
    <t>守口市</t>
  </si>
  <si>
    <t>西区浜寺昭和町</t>
  </si>
  <si>
    <t>川崎市宮前区土橋</t>
  </si>
  <si>
    <t>神戸市垂水区</t>
  </si>
  <si>
    <t>有田川町庄</t>
  </si>
  <si>
    <t>各務原市</t>
  </si>
  <si>
    <t>半田市前田町</t>
  </si>
  <si>
    <t>松戸市河原塚</t>
  </si>
  <si>
    <t>横浜市旭区南希望が丘</t>
  </si>
  <si>
    <t>町田市つくし野</t>
  </si>
  <si>
    <t>春日井市上条町</t>
  </si>
  <si>
    <t>さいたま市南区四谷</t>
  </si>
  <si>
    <t>台東区</t>
  </si>
  <si>
    <t>牛久市ひたち野西2丁目</t>
  </si>
  <si>
    <t>守口市金田町</t>
  </si>
  <si>
    <t>半田市大池町</t>
  </si>
  <si>
    <t>武蔵野市吉祥寺本町</t>
  </si>
  <si>
    <t>千葉市中央区東千葉</t>
  </si>
  <si>
    <t>出雲市斐川町上直江</t>
  </si>
  <si>
    <t>東大阪市新池島町</t>
  </si>
  <si>
    <t>知多郡東浦町大字森岡字祖母懐</t>
  </si>
  <si>
    <t>豊田市若宮町</t>
  </si>
  <si>
    <t>府中市東芝町1-64</t>
  </si>
  <si>
    <t>八王子市みつい台</t>
  </si>
  <si>
    <t>徳島市</t>
  </si>
  <si>
    <t>魚津市経田西町</t>
  </si>
  <si>
    <t>奈良市あやめ池南5丁目</t>
  </si>
  <si>
    <t>会津若松市</t>
  </si>
  <si>
    <t>板橋区前野町4丁目</t>
  </si>
  <si>
    <t>札幌市東区</t>
  </si>
  <si>
    <t>小金井貫井南町</t>
  </si>
  <si>
    <t>都城市郡元町</t>
  </si>
  <si>
    <t>小松市</t>
  </si>
  <si>
    <t>足立区</t>
  </si>
  <si>
    <t>大和郡山市小泉町</t>
  </si>
  <si>
    <t>大阪狭山市池之原</t>
  </si>
  <si>
    <t>北区赤羽</t>
  </si>
  <si>
    <t>杉並区和泉</t>
  </si>
  <si>
    <t>行方市</t>
  </si>
  <si>
    <t>上田市</t>
  </si>
  <si>
    <t>横浜市西区中央一丁目</t>
  </si>
  <si>
    <t>横浜市港北区綱島上町</t>
  </si>
  <si>
    <t>横浜市金沢区東朝比奈</t>
  </si>
  <si>
    <t>柳井市</t>
  </si>
  <si>
    <t>人吉市下林町</t>
  </si>
  <si>
    <t>糟屋郡宇美町宇美中央</t>
  </si>
  <si>
    <t>横浜市　旭区　東希望が丘</t>
  </si>
  <si>
    <t>知多郡東浦町緒川</t>
  </si>
  <si>
    <t>名古屋市西区則武新町三丁目</t>
  </si>
  <si>
    <t>小金井市桜町</t>
  </si>
  <si>
    <t>京都市山科区東野舞台町</t>
  </si>
  <si>
    <t>秩父市山田</t>
  </si>
  <si>
    <t>日光市今市</t>
  </si>
  <si>
    <t>金沢市大手町</t>
  </si>
  <si>
    <t>うきは市吉井町新治</t>
  </si>
  <si>
    <t>さいたま市宮原町</t>
  </si>
  <si>
    <t>姫路市広畑区吾妻町</t>
  </si>
  <si>
    <t>瀬戸市窯町</t>
  </si>
  <si>
    <t>松阪市末広町一丁目</t>
  </si>
  <si>
    <t>恵庭市</t>
  </si>
  <si>
    <t>堺市北区長曾根町</t>
  </si>
  <si>
    <t>世田谷区太子堂</t>
  </si>
  <si>
    <t>名古屋市天白区</t>
  </si>
  <si>
    <t>瀬戸市西松山町</t>
  </si>
  <si>
    <t>枚方市</t>
  </si>
  <si>
    <t>八王子市</t>
  </si>
  <si>
    <t>東彼杵郡波佐見町</t>
  </si>
  <si>
    <t>世田谷区弦巻</t>
  </si>
  <si>
    <t>浜松市中央区西伊場町</t>
  </si>
  <si>
    <t>品川区西五反田</t>
  </si>
  <si>
    <t>世田谷区深</t>
  </si>
  <si>
    <t>川口市</t>
  </si>
  <si>
    <t>豊中市東豊中町</t>
  </si>
  <si>
    <t>広島市安佐南区川内</t>
  </si>
  <si>
    <t>豊見城市</t>
  </si>
  <si>
    <t>名古屋市東区徳川町</t>
  </si>
  <si>
    <t>福岡市東区香住ヶ丘</t>
  </si>
  <si>
    <t>横浜市青葉区青葉台1-2-1</t>
  </si>
  <si>
    <t>渋谷区恵比寿南1丁目</t>
  </si>
  <si>
    <t>鈴鹿市若松西</t>
  </si>
  <si>
    <t>江戸川区平井</t>
  </si>
  <si>
    <t>郡山市安積</t>
  </si>
  <si>
    <t>郡山市</t>
  </si>
  <si>
    <t>日向市</t>
  </si>
  <si>
    <t>宝塚市千種</t>
  </si>
  <si>
    <t>刈谷市松坂町</t>
  </si>
  <si>
    <t>岡山市南区浜野</t>
  </si>
  <si>
    <t>羽生市三田ケ谷</t>
  </si>
  <si>
    <t>川口市坂下町</t>
  </si>
  <si>
    <t>小浜市水取</t>
  </si>
  <si>
    <t>大阪市浪速区桜川</t>
  </si>
  <si>
    <t>尼崎市南武庫之荘5丁目</t>
  </si>
  <si>
    <t>世田谷区北沢</t>
  </si>
  <si>
    <t>入間市新光</t>
  </si>
  <si>
    <t>高崎市菅谷町</t>
  </si>
  <si>
    <t>前橋市大手町</t>
  </si>
  <si>
    <t>生駒郡三郷町勢野北</t>
  </si>
  <si>
    <t>諫早市多良見町化屋</t>
  </si>
  <si>
    <t>宮古島市平良字下里</t>
  </si>
  <si>
    <t>大阪市西区南堀江１丁目</t>
  </si>
  <si>
    <t>品川区荏原</t>
  </si>
  <si>
    <t>南足柄市狩野</t>
  </si>
  <si>
    <t>岩国市天尾</t>
  </si>
  <si>
    <t>久世郡久御山町栄2丁目</t>
  </si>
  <si>
    <t>札幌市中央区宮の森三条</t>
  </si>
  <si>
    <t>横浜市西区浅間台</t>
  </si>
  <si>
    <t>静岡市駿河区</t>
  </si>
  <si>
    <t>犬山市大字羽黒字堂ヶ洞</t>
  </si>
  <si>
    <t>板橋区南町</t>
  </si>
  <si>
    <t>京丹後市峰山町菅</t>
  </si>
  <si>
    <t>名古屋市中川区高畑</t>
  </si>
  <si>
    <t>箕面市箕面</t>
  </si>
  <si>
    <t>横浜市都筑区佐江戸町</t>
  </si>
  <si>
    <t>墨田区両国2－2－6</t>
  </si>
  <si>
    <t>つくば市学園南</t>
  </si>
  <si>
    <t>沼津市</t>
  </si>
  <si>
    <t>菊川市堀之内</t>
  </si>
  <si>
    <t>帯広市西17条南31丁目</t>
  </si>
  <si>
    <t>中野区弥生町3-6-12</t>
  </si>
  <si>
    <t>小牧市岩崎</t>
  </si>
  <si>
    <t>世田谷区桜上水</t>
  </si>
  <si>
    <t>横浜市磯子区洋光台</t>
  </si>
  <si>
    <t>品川区北品川</t>
  </si>
  <si>
    <t>大田区上池台三丁目</t>
  </si>
  <si>
    <t>柏市永楽台</t>
  </si>
  <si>
    <t>江東区東雲</t>
  </si>
  <si>
    <t>川崎市高津区溝口</t>
  </si>
  <si>
    <t>金沢市</t>
  </si>
  <si>
    <t>足立区綾瀬</t>
  </si>
  <si>
    <t>東松山市大字下唐子</t>
  </si>
  <si>
    <t>東広島市黒瀬町乃美尾</t>
  </si>
  <si>
    <t>倉敷市連島中央</t>
  </si>
  <si>
    <t>千代田区麹町1丁目</t>
  </si>
  <si>
    <t>名古屋市瑞穂区亀城町</t>
  </si>
  <si>
    <t>日野市</t>
  </si>
  <si>
    <t>羽島市上中町長間</t>
  </si>
  <si>
    <t>浜松市中央区蜆塚</t>
  </si>
  <si>
    <t>福岡市南区若久</t>
  </si>
  <si>
    <t>福岡市早良区百道浜</t>
  </si>
  <si>
    <t>神戸市兵庫区梅元町</t>
  </si>
  <si>
    <t>静岡市駿河区下川原南</t>
  </si>
  <si>
    <t>川西市多田1-1-1</t>
  </si>
  <si>
    <t>城陽市市辺</t>
  </si>
  <si>
    <t>相模原市南区古淵</t>
  </si>
  <si>
    <t>横浜市港北区箕輪町</t>
  </si>
  <si>
    <t>南都留郡忍野村忍草</t>
  </si>
  <si>
    <t>牛久市</t>
  </si>
  <si>
    <t>小金井市前原町</t>
  </si>
  <si>
    <t>吹田市広芝町</t>
  </si>
  <si>
    <t>札幌市北区屯田2条１丁目</t>
  </si>
  <si>
    <t>横浜市港北区新吉田東</t>
  </si>
  <si>
    <t>福生市熊川</t>
  </si>
  <si>
    <t>南箕輪村</t>
  </si>
  <si>
    <t>札幌市中央区北1条西22丁目</t>
  </si>
  <si>
    <t>東京都大田区南千束</t>
  </si>
  <si>
    <t>福岡市東区美和台</t>
  </si>
  <si>
    <t>横浜市旭区四季美台</t>
  </si>
  <si>
    <t>室蘭市</t>
  </si>
  <si>
    <t>草津市</t>
  </si>
  <si>
    <t>昭島市</t>
  </si>
  <si>
    <t>福山市川口町</t>
  </si>
  <si>
    <t>豊田市</t>
  </si>
  <si>
    <t>常滑市西之口6丁目</t>
  </si>
  <si>
    <t>荒川区荒川５丁目</t>
  </si>
  <si>
    <t>杉並区成田西</t>
  </si>
  <si>
    <t>日立市東大沼町</t>
  </si>
  <si>
    <t>横浜市中区新山下3丁目</t>
  </si>
  <si>
    <t>中野区本町</t>
  </si>
  <si>
    <t>尼崎市</t>
  </si>
  <si>
    <t>酒田市北新町</t>
  </si>
  <si>
    <t>岐阜市江崎南</t>
  </si>
  <si>
    <t>南砺市福光</t>
  </si>
  <si>
    <t>芦屋市岩園町</t>
  </si>
  <si>
    <t>和歌山市太田</t>
  </si>
  <si>
    <t>泉南郡熊取町つばさが丘西</t>
  </si>
  <si>
    <t>大阪市北区東天満</t>
  </si>
  <si>
    <t>香取市</t>
  </si>
  <si>
    <t>湖南市下田</t>
  </si>
  <si>
    <t>西脇市</t>
  </si>
  <si>
    <t>橋本市</t>
  </si>
  <si>
    <t>三浦郡葉山町長柄</t>
  </si>
  <si>
    <t>大島郡　龍郷町</t>
  </si>
  <si>
    <t>大分市公園通り</t>
  </si>
  <si>
    <t>青森市羽白字沢田</t>
  </si>
  <si>
    <t>江戸川区西瑞江</t>
  </si>
  <si>
    <t>杉並区浜田山</t>
  </si>
  <si>
    <t>宝塚市中筋山手4丁目</t>
  </si>
  <si>
    <t>横浜市神奈川区反町</t>
  </si>
  <si>
    <t>芦屋市</t>
  </si>
  <si>
    <t>江東区大島</t>
  </si>
  <si>
    <t>名古屋市中川区愛知町</t>
  </si>
  <si>
    <t>川崎市宮前区菅生</t>
  </si>
  <si>
    <t>札幌市中央区北４条西30丁目1-17</t>
  </si>
  <si>
    <t>さいたま市見沼区蓮沼５７４－１</t>
  </si>
  <si>
    <t>岡山市南区大福</t>
  </si>
  <si>
    <t>中野区中央</t>
  </si>
  <si>
    <t>日立市大みか町</t>
  </si>
  <si>
    <t>練馬区中村北</t>
  </si>
  <si>
    <t>品川区八潮</t>
  </si>
  <si>
    <t>中郡二宮町山西</t>
  </si>
  <si>
    <t>志木市柏町</t>
  </si>
  <si>
    <t>西宮市段上町</t>
  </si>
  <si>
    <t>山形市十日町</t>
  </si>
  <si>
    <t>京田辺市</t>
  </si>
  <si>
    <t>高槻市別所中の町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</si>
  <si>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</si>
  <si>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</si>
  <si>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</si>
  <si>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</si>
  <si>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</si>
  <si>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</si>
  <si>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</si>
  <si>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札幌市中央区北2条西21丁目</t>
  </si>
  <si>
    <t>足立区加平</t>
  </si>
  <si>
    <t>海南市</t>
  </si>
  <si>
    <t>鳥取市西町</t>
  </si>
  <si>
    <t>大田区</t>
  </si>
  <si>
    <t>大阪市旭区太子橋</t>
  </si>
  <si>
    <t>横須賀市上町</t>
  </si>
  <si>
    <t>岡谷市本町</t>
  </si>
  <si>
    <t>京都市伏見区深草鞍ヶ谷</t>
  </si>
  <si>
    <t>茨木市南春日丘</t>
  </si>
  <si>
    <t>花巻市</t>
  </si>
  <si>
    <t>品川区東品川４－１３－２４</t>
  </si>
  <si>
    <t>小牧市上末</t>
  </si>
  <si>
    <t>札幌市厚別区厚別中央2条6丁目</t>
  </si>
  <si>
    <t>福岡市博多区住吉4丁目</t>
  </si>
  <si>
    <t>川越市山田</t>
  </si>
  <si>
    <t>中央区佃</t>
  </si>
  <si>
    <t>江戸川区</t>
  </si>
  <si>
    <t>長門市三隅下</t>
  </si>
  <si>
    <t>八尾市南久宝寺</t>
  </si>
  <si>
    <t>みやま市高田町濃施</t>
  </si>
  <si>
    <t>津市柳山津興</t>
  </si>
  <si>
    <t>名古屋市中川区二女子町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</si>
  <si>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</si>
  <si>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</si>
  <si>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</si>
  <si>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</si>
  <si>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</si>
  <si>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</si>
  <si>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印西市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</si>
  <si>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</si>
  <si>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</si>
  <si>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</si>
  <si>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</si>
  <si>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</si>
  <si>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</si>
  <si>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</si>
  <si>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</si>
  <si>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新城市庭野松本</t>
  </si>
  <si>
    <t>姫路市林田町下伊勢</t>
  </si>
  <si>
    <t>浜松市中区神田町</t>
  </si>
  <si>
    <t>中央区晴海</t>
  </si>
  <si>
    <t>野田市花井</t>
  </si>
  <si>
    <t>西宮市津門宝津町</t>
  </si>
  <si>
    <t>世田谷区粕谷</t>
  </si>
  <si>
    <t>仙台市</t>
  </si>
  <si>
    <t>小金井市貫井南町</t>
  </si>
  <si>
    <t>横浜市青葉区</t>
  </si>
  <si>
    <t>福生市</t>
  </si>
  <si>
    <t>岡山市南区立川町</t>
  </si>
  <si>
    <t>広島市中区富士見町9-15-1301</t>
  </si>
  <si>
    <t>千代田区富士見</t>
  </si>
  <si>
    <t>大垣市上石津町下山</t>
  </si>
  <si>
    <t>横浜市南区永田東</t>
  </si>
  <si>
    <t>札幌市中央区北六条西12丁目</t>
  </si>
  <si>
    <t>名古屋市緑区鏡田</t>
  </si>
  <si>
    <t>港区三田５ー2－22</t>
  </si>
  <si>
    <t>板橋区徳丸</t>
  </si>
  <si>
    <t>岸和田市並松町</t>
  </si>
  <si>
    <t>西宮市津門大塚町</t>
  </si>
  <si>
    <t>金沢市小坂町</t>
  </si>
  <si>
    <t>大阪市天王寺区北河堀町</t>
  </si>
  <si>
    <t>横浜市青葉区奈良町1566-123</t>
  </si>
  <si>
    <t>伊達市元町</t>
  </si>
  <si>
    <t>練馬区早宮</t>
  </si>
  <si>
    <t>横浜市南区蒔田町</t>
  </si>
  <si>
    <t>金沢市泉が丘２－９－１７</t>
  </si>
  <si>
    <t>堺市西区浜寺石津町中</t>
  </si>
  <si>
    <t>高市郡高取町丹生谷</t>
  </si>
  <si>
    <t>大阪市北区</t>
  </si>
  <si>
    <t>安中市古屋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</si>
  <si>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</si>
  <si>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</si>
  <si>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</si>
  <si>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</si>
  <si>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</si>
  <si>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</si>
  <si>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知多郡南知多町</t>
  </si>
  <si>
    <t>横浜市青葉区新石川</t>
  </si>
  <si>
    <t>世田谷区松原</t>
  </si>
  <si>
    <t>東海市荒尾町</t>
  </si>
  <si>
    <t>大田区西六郷</t>
  </si>
  <si>
    <t>神戸市垂水区東舞子町</t>
  </si>
  <si>
    <t>船橋市三咲</t>
  </si>
  <si>
    <t>大阪市東住吉区西今川</t>
  </si>
  <si>
    <t>さいたま市南区文蔵５丁目</t>
  </si>
  <si>
    <t>富山市婦中町砂子田</t>
  </si>
  <si>
    <t>船橋市金杉台</t>
  </si>
  <si>
    <t>横浜市鶴見区東寺尾</t>
  </si>
  <si>
    <t>武蔵野市八幡町</t>
  </si>
  <si>
    <t>松本市島内</t>
  </si>
  <si>
    <t>中郡大磯町東小磯</t>
  </si>
  <si>
    <t>福岡市早良区高取1丁目</t>
  </si>
  <si>
    <t>横浜市保土ケ谷区星川</t>
  </si>
  <si>
    <t>中野区南台</t>
  </si>
  <si>
    <t>稲沢市祖父江町山崎中屋敷</t>
  </si>
  <si>
    <t>新宿区高田馬場</t>
  </si>
  <si>
    <t>八幡市男山金振</t>
  </si>
  <si>
    <t>名古屋市中川区富永３丁目</t>
  </si>
  <si>
    <t>東大和市狭山</t>
  </si>
  <si>
    <t>四日市市室山町</t>
  </si>
  <si>
    <t>相模原市緑区橋本3-22-10</t>
  </si>
  <si>
    <t>大和市上草柳</t>
  </si>
  <si>
    <t>神戸市西区玉津町西河原</t>
  </si>
  <si>
    <t>清瀬市上清戸</t>
  </si>
  <si>
    <t>三島市西本町</t>
  </si>
  <si>
    <t>高槻市上土室</t>
  </si>
  <si>
    <t>横浜市金沢区柴町391</t>
  </si>
  <si>
    <t>横浜市港北区仲手原</t>
  </si>
  <si>
    <t>宇都宮市砥上町</t>
  </si>
  <si>
    <t>市川市本北方</t>
  </si>
  <si>
    <t>中頭郡読谷村喜名</t>
  </si>
  <si>
    <t>吾川郡いの町</t>
  </si>
  <si>
    <t>三田市学園</t>
  </si>
  <si>
    <t>南相馬市原町区馬場字薬師前</t>
  </si>
  <si>
    <t>さいたま市大宮区</t>
  </si>
  <si>
    <t>Yokohama</t>
  </si>
  <si>
    <t>小田原市南町</t>
  </si>
  <si>
    <t>大和市</t>
  </si>
  <si>
    <t>京都市東山区五条橋東</t>
  </si>
  <si>
    <t>岡崎市保母町字下屋敷</t>
  </si>
  <si>
    <t>藤沢市辻堂新町</t>
  </si>
  <si>
    <t>川西市南花屋敷1丁目</t>
  </si>
  <si>
    <t>宮津市京街道</t>
  </si>
  <si>
    <t>日進市梅森町新田</t>
  </si>
  <si>
    <t>那覇市壺屋</t>
  </si>
  <si>
    <t>那覇市首里石嶺町</t>
  </si>
  <si>
    <t>沖縄市美里仲原町</t>
  </si>
  <si>
    <t>秩父市熊木町</t>
  </si>
  <si>
    <t>南城市佐敷新開</t>
  </si>
  <si>
    <t>札幌市南区澄川4条</t>
  </si>
  <si>
    <t>調布市仙川町</t>
  </si>
  <si>
    <t>中頭郡北谷町上勢頭</t>
  </si>
  <si>
    <t>取手市</t>
  </si>
  <si>
    <t>京都市左京区松ケ崎木ノ本町</t>
  </si>
  <si>
    <t>神戸市東灘区住吉山手</t>
  </si>
  <si>
    <t>江南市赤童子町福住</t>
  </si>
  <si>
    <t>島尻郡南風原町宮平</t>
  </si>
  <si>
    <t>伊勢原市串橋</t>
  </si>
  <si>
    <t>和歌山市西高松</t>
  </si>
  <si>
    <t>岐阜市芥見中野畑</t>
  </si>
  <si>
    <t>千葉市美浜区</t>
  </si>
  <si>
    <t>旭市萩園</t>
  </si>
  <si>
    <t>相模原市南区下溝</t>
  </si>
  <si>
    <t>松戸市東松戸</t>
  </si>
  <si>
    <t>金沢市中央通町</t>
  </si>
  <si>
    <t>東久留米市幸町</t>
  </si>
  <si>
    <t>姫路市十二所前町</t>
  </si>
  <si>
    <t>相模原市南区相武台</t>
  </si>
  <si>
    <t>西東京市中町</t>
  </si>
  <si>
    <t>鴨川市</t>
  </si>
  <si>
    <t>善通寺市下吉田町</t>
  </si>
  <si>
    <t>浜松市中央区上西町</t>
  </si>
  <si>
    <t>堀溝2丁目</t>
  </si>
  <si>
    <t>豊明市前後町</t>
  </si>
  <si>
    <t>神戸市東灘区田中町</t>
  </si>
  <si>
    <t>仙台市宮城野区榴岡</t>
  </si>
  <si>
    <t>町田市</t>
  </si>
  <si>
    <t>神戸市北区東有野台1丁目</t>
  </si>
  <si>
    <t>各務原市松が丘</t>
  </si>
  <si>
    <t>海部郡飛島村</t>
  </si>
  <si>
    <t>新潟市江南区東船場</t>
  </si>
  <si>
    <t>荒川区東日暮里</t>
  </si>
  <si>
    <t>長井市</t>
  </si>
  <si>
    <t>相模原市南区</t>
  </si>
  <si>
    <t>伊勢　二見町　松下</t>
  </si>
  <si>
    <t>守谷市本町</t>
  </si>
  <si>
    <t>徳島市佐古一番町</t>
  </si>
  <si>
    <t>横浜市都筑区荏田南2-12</t>
  </si>
  <si>
    <t>豊島区南大塚</t>
  </si>
  <si>
    <t>倉敷市連島町連島</t>
  </si>
  <si>
    <t>西原町上原</t>
  </si>
  <si>
    <t>湖西市大知波</t>
  </si>
  <si>
    <t>鎌倉市岡本</t>
  </si>
  <si>
    <t>川口市戸塚東</t>
  </si>
  <si>
    <t>東京都墨田区吾妻橋</t>
  </si>
  <si>
    <t>世田谷区等々力</t>
  </si>
  <si>
    <t>宝塚市川面</t>
  </si>
  <si>
    <t>松本市内田</t>
  </si>
  <si>
    <t>市川市相之川</t>
  </si>
  <si>
    <t>大阪市平野区</t>
  </si>
  <si>
    <t>深谷市東方</t>
  </si>
  <si>
    <t>半田市板山町</t>
  </si>
  <si>
    <t>名古屋市西区山木</t>
  </si>
  <si>
    <t>吹田市山田西</t>
  </si>
  <si>
    <t>香芝市鎌田</t>
  </si>
  <si>
    <t>泉北郡忠岡町忠岡南</t>
  </si>
  <si>
    <t>札幌市豊平区</t>
  </si>
  <si>
    <t>文京区白山２丁目</t>
  </si>
  <si>
    <t>いなべ市藤原町大貝戸</t>
  </si>
  <si>
    <t>小郡市小郡</t>
  </si>
  <si>
    <t>堺市堺区綾之町西</t>
  </si>
  <si>
    <t>羽島郡笠松町田代</t>
  </si>
  <si>
    <t>台東区谷中 3-1-13</t>
  </si>
  <si>
    <t>京都市山科区</t>
  </si>
  <si>
    <t>鶴岡市日枝字鳥居上</t>
  </si>
  <si>
    <t>東久留米市八幡町</t>
  </si>
  <si>
    <t>横浜市磯子区上町</t>
  </si>
  <si>
    <t>館林市赤土町</t>
  </si>
  <si>
    <t>足立区竹ノ塚</t>
  </si>
  <si>
    <t>伊東市玖須美元和田</t>
  </si>
  <si>
    <t>板橋区赤塚</t>
  </si>
  <si>
    <t>田方郡函南町間宮</t>
  </si>
  <si>
    <t>大町市常盤</t>
  </si>
  <si>
    <t>広島市西区己斐上4丁目</t>
  </si>
  <si>
    <t>砺波市太郎丸</t>
  </si>
  <si>
    <t>大竹市西栄</t>
  </si>
  <si>
    <t>岡崎市明大寺町</t>
  </si>
  <si>
    <t>湯沢町三俣</t>
  </si>
  <si>
    <t>宇部市西岐波</t>
  </si>
  <si>
    <t>桑名市松ノ木</t>
  </si>
  <si>
    <t>下野市</t>
  </si>
  <si>
    <t>横浜市戸塚区川上町</t>
  </si>
  <si>
    <t>金沢市小坂町西49</t>
  </si>
  <si>
    <t>船橋市咲が丘</t>
  </si>
  <si>
    <t>新潟市中央区弁天</t>
  </si>
  <si>
    <t>文京区大塚</t>
  </si>
  <si>
    <t>豊川市為当町</t>
  </si>
  <si>
    <t>名古屋市東区代官町30-1</t>
  </si>
  <si>
    <t>安芸郡海田町南つくも町</t>
  </si>
  <si>
    <t>大津市月輪五丁目</t>
  </si>
  <si>
    <t>春日市伯玄町2丁目51</t>
  </si>
  <si>
    <t>西東京市</t>
  </si>
  <si>
    <t>東白川郡棚倉町大字棚倉字広畑</t>
  </si>
  <si>
    <t>板橋区志村</t>
  </si>
  <si>
    <t>伊東市</t>
  </si>
  <si>
    <t>富田林市</t>
  </si>
  <si>
    <t>練馬区　東大泉5丁目</t>
  </si>
  <si>
    <t>高松市多肥上町</t>
  </si>
  <si>
    <t>岡山市北区桑田町</t>
  </si>
  <si>
    <t>目黒区</t>
  </si>
  <si>
    <t>長野市小島田町</t>
  </si>
  <si>
    <t>津市阿漕町津興</t>
  </si>
  <si>
    <t>川越市東田町</t>
  </si>
  <si>
    <t>福岡市博多区那珂</t>
  </si>
  <si>
    <t>奈良市南登美ケ丘</t>
  </si>
  <si>
    <t>小金井市本町</t>
  </si>
  <si>
    <t>柴田郡大河原町南桜町</t>
  </si>
  <si>
    <t>名古屋市東区</t>
  </si>
  <si>
    <t>岐阜市蔵前</t>
  </si>
  <si>
    <t>大阪市東淀川区相川</t>
  </si>
  <si>
    <t>高津区蟹ケ谷</t>
  </si>
  <si>
    <t>町田市小山ヶ丘</t>
  </si>
  <si>
    <t>藤沢市</t>
  </si>
  <si>
    <t>飯能市</t>
  </si>
  <si>
    <t>佐野市赤見町</t>
  </si>
  <si>
    <t>笠岡市吉浜</t>
  </si>
  <si>
    <t>下関市菊川町上田部</t>
  </si>
  <si>
    <t>可児市若葉台</t>
  </si>
  <si>
    <t>高松市東ハゼ町</t>
  </si>
  <si>
    <t>小明町</t>
  </si>
  <si>
    <t>富津市佐貫</t>
  </si>
  <si>
    <t>北牟婁郡紀北町海野</t>
  </si>
  <si>
    <t>大垣市 安井町</t>
  </si>
  <si>
    <t>那覇市銘苅</t>
  </si>
  <si>
    <t>富士宮市中央町</t>
  </si>
  <si>
    <t>墨田区石原</t>
  </si>
  <si>
    <t>北区田端</t>
  </si>
  <si>
    <t>新宿区西新宿</t>
  </si>
  <si>
    <t>尼崎市南塚口町</t>
  </si>
  <si>
    <t>宝塚市亀井町</t>
  </si>
  <si>
    <t>柏原市片山町</t>
  </si>
  <si>
    <t>あきる野市野辺</t>
  </si>
  <si>
    <t>甲賀市水口町貴生川</t>
  </si>
  <si>
    <t>防府市</t>
  </si>
  <si>
    <t>多治見市宝町</t>
  </si>
  <si>
    <t>豊中市城山町</t>
  </si>
  <si>
    <t>板橋区栄町</t>
  </si>
  <si>
    <t>川西市火打</t>
  </si>
  <si>
    <t>宇部市東岐波</t>
  </si>
  <si>
    <t>加賀市大聖寺荒町</t>
  </si>
  <si>
    <t>伊丹市中野北4丁目</t>
  </si>
  <si>
    <t>金沢市彦三町１丁目１番１８号</t>
  </si>
  <si>
    <t>山形市</t>
  </si>
  <si>
    <t>富士見市</t>
  </si>
  <si>
    <t>各務原市那加巾下町</t>
  </si>
  <si>
    <t>丹波篠山市立町</t>
  </si>
  <si>
    <t>越谷市大間野町</t>
  </si>
  <si>
    <t>福山市南蔵王町</t>
  </si>
  <si>
    <t>佐波郡玉村町下之宮</t>
  </si>
  <si>
    <t>大阪市東住吉区南田辺</t>
  </si>
  <si>
    <t>杉並区今川</t>
  </si>
  <si>
    <t>京都市右京区梅津前田町</t>
  </si>
  <si>
    <t>大阪市城東区新喜多</t>
  </si>
  <si>
    <t>神栖市</t>
  </si>
  <si>
    <t>練馬区田柄</t>
  </si>
  <si>
    <t>福岡市東区香椎照葉</t>
  </si>
  <si>
    <t>豊島区東池袋</t>
  </si>
  <si>
    <t>福津市</t>
  </si>
  <si>
    <t>金沢市長坂２丁目</t>
  </si>
  <si>
    <t>京都市北区小山東元町</t>
  </si>
  <si>
    <t>東大和市蔵敷</t>
  </si>
  <si>
    <t>福岡市中央区鳥飼</t>
  </si>
  <si>
    <t>国立市北</t>
  </si>
  <si>
    <t>西東京市北原町一丁目</t>
  </si>
  <si>
    <t>横浜市青葉区あざみ野4丁目</t>
  </si>
  <si>
    <t>深谷市田中</t>
  </si>
  <si>
    <t>練馬区貫井</t>
  </si>
  <si>
    <t>千葉市中央区大森町</t>
  </si>
  <si>
    <t>旭川市</t>
  </si>
  <si>
    <t>台東区元浅草</t>
  </si>
  <si>
    <t>横手市寿町</t>
  </si>
  <si>
    <t>浜松市中央区高塚町</t>
  </si>
  <si>
    <t>生駒市</t>
  </si>
  <si>
    <t>横浜市中区海岸通</t>
  </si>
  <si>
    <t>大阪市城東区諏訪</t>
  </si>
  <si>
    <t>仙台市太白区東中田5丁目</t>
  </si>
  <si>
    <t>杉並区高井戸東</t>
  </si>
  <si>
    <t>泉佐野市日根野</t>
  </si>
  <si>
    <t>山口市朝倉町</t>
  </si>
  <si>
    <t>江東区豊洲５ー５ー１</t>
  </si>
  <si>
    <t>さいたま市浦和区仲町２－１９－１６</t>
  </si>
  <si>
    <t>岡山市北区大安寺中町</t>
  </si>
  <si>
    <t>寝屋川市仁和寺本町</t>
  </si>
  <si>
    <t>粕屋町酒殿</t>
  </si>
  <si>
    <t>戸田市</t>
  </si>
  <si>
    <t>高松市</t>
  </si>
  <si>
    <t>横浜市戸塚区下倉田町</t>
  </si>
  <si>
    <t>小田原市浜町</t>
  </si>
  <si>
    <t>福岡市中央区長浜</t>
  </si>
  <si>
    <t>富士市日乃出町</t>
  </si>
  <si>
    <t>大阪市西区</t>
  </si>
  <si>
    <t>春日部市内牧</t>
  </si>
  <si>
    <t>中頭郡中城村南上原</t>
  </si>
  <si>
    <t>京都市左京区岩倉南大鷺町</t>
  </si>
  <si>
    <t>大阪市中央区松屋町</t>
  </si>
  <si>
    <t>豊川市国府町</t>
  </si>
  <si>
    <t>山梨市落合</t>
  </si>
  <si>
    <t>府中市宮町</t>
  </si>
  <si>
    <t>春日井市如意申町６丁目</t>
  </si>
  <si>
    <t>和歌山市</t>
  </si>
  <si>
    <t>足立区東保木間</t>
  </si>
  <si>
    <t>今治市郷桜井</t>
  </si>
  <si>
    <t>千葉市中央区松波</t>
  </si>
  <si>
    <t>大阪市平野区西脇</t>
  </si>
  <si>
    <t>伊勢原市板戸</t>
  </si>
  <si>
    <t>葛飾区小菅２丁目</t>
  </si>
  <si>
    <t>練馬区小竹町</t>
  </si>
  <si>
    <t>横浜市旭区二俣川</t>
  </si>
  <si>
    <t>東大阪市東鴻池町1丁目</t>
  </si>
  <si>
    <t>川越市大塚新町</t>
  </si>
  <si>
    <t>川崎市宮前区馬絹</t>
  </si>
  <si>
    <t>前橋市</t>
  </si>
  <si>
    <t>東大阪市豊浦町</t>
  </si>
  <si>
    <t>栗東市</t>
  </si>
  <si>
    <t>練馬区大泉町</t>
  </si>
  <si>
    <t>広陵町馬見北</t>
  </si>
  <si>
    <t>墨田区京島</t>
  </si>
  <si>
    <t>川口市栄町</t>
  </si>
  <si>
    <t>吉田郡永平寺町中島</t>
  </si>
  <si>
    <t>易居町</t>
  </si>
  <si>
    <t>草加市西町</t>
  </si>
  <si>
    <t>那覇市山下町18-26</t>
  </si>
  <si>
    <t>磐田市元天神町</t>
  </si>
  <si>
    <t>川口市辻</t>
  </si>
  <si>
    <t>神戸市北区幸陽町</t>
  </si>
  <si>
    <t>鎌ケ谷市西道野辺1-2-503</t>
  </si>
  <si>
    <t>浜松市浜名区中条</t>
  </si>
  <si>
    <t>海部郡飛島村竹之郷</t>
  </si>
  <si>
    <t>横浜市南区清水ケ丘</t>
  </si>
  <si>
    <t>さいたま市浦和区</t>
  </si>
  <si>
    <t>新潟市</t>
  </si>
  <si>
    <t>長野市檀田</t>
  </si>
  <si>
    <t>新潟市東区</t>
  </si>
  <si>
    <t>山陽小野田市中川</t>
  </si>
  <si>
    <t>尾張旭市</t>
  </si>
  <si>
    <t>武蔵村山市岸</t>
  </si>
  <si>
    <t>大田区南久が原2丁目</t>
  </si>
  <si>
    <t>速見郡日出町3824番地1</t>
  </si>
  <si>
    <t>東大阪市</t>
  </si>
  <si>
    <t>小樽市入船</t>
  </si>
  <si>
    <t>上高井郡高山村大字高井</t>
  </si>
  <si>
    <t>千葉市花見川区さつきが丘</t>
  </si>
  <si>
    <t>さいたま市見沼区小深作</t>
  </si>
  <si>
    <t>大阪市住吉区長居東4-21-2</t>
  </si>
  <si>
    <t>倉敷市笹沖</t>
  </si>
  <si>
    <t>福岡市早良区昭代1丁目</t>
  </si>
  <si>
    <t>堺市北区金岡町</t>
  </si>
  <si>
    <t>大和郡山市筒井町</t>
  </si>
  <si>
    <t>川崎市川崎区池田</t>
  </si>
  <si>
    <t>高槻市赤大路町</t>
  </si>
  <si>
    <t>滝沢市</t>
  </si>
  <si>
    <t>島尻郡八重瀬町東風平318-1</t>
  </si>
  <si>
    <t>東松山市箭弓町</t>
  </si>
  <si>
    <t>西宮市小曽根町</t>
  </si>
  <si>
    <t>佐賀市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</si>
</sst>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M10" sqref="M10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10</v>
      </c>
      <c r="B2" t="s">
        <v>669</v>
      </c>
      <c r="C2" t="str">
        <f>+A2&amp;B2</f>
        <v>神奈川県横浜市青葉区青葉台1-2-1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http://geocode.csis.u-tokyo.ac.jp/cgi-bin/simple_geocode.cgi?charset=UTF8&amp;addr=%E7%A5%9E%E5%A5%88%E5%B7%9D%E7%9C%8C%E6%A8%AA%E6%B5%9C%E5%B8%82%E9%9D%92%E8%91%89%E5%8C%BA%E9%9D%92%E8%91%89%E5%8F%B01-2-1</v>
      </c>
      <c r="E2" t="str">
        <f xml:space="preserve"> _xlfn.WEBSERVICE(D2)</f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2" cm="1">
        <f t="array" ref="F2">INDEX(_xlfn.FILTERXML(E2,"//latitude"),1)</f>
        <v>35.542918999999998</v>
      </c>
      <c r="G2" cm="1">
        <f t="array" ref="G2">INDEX(_xlfn.FILTERXML(E2,"//longitude"),1)</f>
        <v>139.51918000000001</v>
      </c>
      <c r="H2">
        <v>35.542918999999998</v>
      </c>
      <c r="I2">
        <v>139.51918000000001</v>
      </c>
    </row>
    <row r="3" spans="1:9" x14ac:dyDescent="0.4">
      <c r="A3" t="s">
        <v>9</v>
      </c>
      <c r="B3" t="s">
        <v>670</v>
      </c>
      <c r="C3" t="str">
        <f t="shared" ref="C3:C66" si="0">+A3&amp;B3</f>
        <v>東京都渋谷区恵比寿南1丁目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http://geocode.csis.u-tokyo.ac.jp/cgi-bin/simple_geocode.cgi?charset=UTF8&amp;addr=%E6%9D%B1%E4%BA%AC%E9%83%BD%E6%B8%8B%E8%B0%B7%E5%8C%BA%E6%81%B5%E6%AF%94%E5%AF%BF%E5%8D%971%E4%B8%81%E7%9B%AE</v>
      </c>
      <c r="E3" t="str">
        <f t="shared" ref="E3:E4" si="2" xml:space="preserve"> _xlfn.WEBSERVICE(D3)</f>
        <v xml:space="preserve">&lt;?xml version="1.0" encoding="UTF-8" ?&gt;
&lt;results&gt;
&lt;query&gt;東京都渋谷区恵比寿南1丁目&lt;/query&gt;
&lt;geodetic&gt;wgs1984&lt;/geodetic&gt;
&lt;iConf&gt;5&lt;/iConf&gt;
&lt;converted&gt;東京都渋谷区恵比寿南1丁目&lt;/converted&gt;
&lt;candidate&gt;
&lt;address&gt;東京都/渋谷区/恵比寿南/一丁目&lt;/address&gt;
&lt;longitude&gt;139.709900&lt;/longitude&gt;
&lt;latitude&gt;35.644943&lt;/latitude&gt;
&lt;iLvl&gt;6&lt;/iLvl&gt;
&lt;/candidate&gt;
&lt;/results&gt;
</v>
      </c>
      <c r="F3" cm="1">
        <f t="array" ref="F3">INDEX(_xlfn.FILTERXML(E3,"//latitude"),1)</f>
        <v>35.644942999999998</v>
      </c>
      <c r="G3" cm="1">
        <f t="array" ref="G3">INDEX(_xlfn.FILTERXML(E3,"//longitude"),1)</f>
        <v>139.7099</v>
      </c>
      <c r="H3">
        <v>35.644942999999998</v>
      </c>
      <c r="I3">
        <v>139.7099</v>
      </c>
    </row>
    <row r="4" spans="1:9" x14ac:dyDescent="0.4">
      <c r="A4" t="s">
        <v>19</v>
      </c>
      <c r="B4" t="s">
        <v>101</v>
      </c>
      <c r="C4" t="str">
        <f t="shared" si="0"/>
        <v>滋賀県大津市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http://geocode.csis.u-tokyo.ac.jp/cgi-bin/simple_geocode.cgi?charset=UTF8&amp;addr=%E6%BB%8B%E8%B3%80%E7%9C%8C%E5%A4%A7%E6%B4%A5%E5%B8%82</v>
      </c>
      <c r="E4" t="str">
        <f t="shared" si="2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4" cm="1">
        <f t="array" ref="F4">INDEX(_xlfn.FILTERXML(E4,"//latitude"),1)</f>
        <v>35.018355999999997</v>
      </c>
      <c r="G4" cm="1">
        <f t="array" ref="G4">INDEX(_xlfn.FILTERXML(E4,"//longitude"),1)</f>
        <v>135.85466</v>
      </c>
      <c r="H4">
        <v>35.018355999999997</v>
      </c>
      <c r="I4">
        <v>135.85466</v>
      </c>
    </row>
    <row r="5" spans="1:9" x14ac:dyDescent="0.4">
      <c r="A5" t="s">
        <v>37</v>
      </c>
      <c r="B5" t="s">
        <v>671</v>
      </c>
      <c r="C5" t="str">
        <f t="shared" si="0"/>
        <v>三重県鈴鹿市若松西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http://geocode.csis.u-tokyo.ac.jp/cgi-bin/simple_geocode.cgi?charset=UTF8&amp;addr=%E4%B8%89%E9%87%8D%E7%9C%8C%E9%88%B4%E9%B9%BF%E5%B8%82%E8%8B%A5%E6%9D%BE%E8%A5%BF</v>
      </c>
      <c r="E5" t="str">
        <f t="shared" ref="E5" si="4" xml:space="preserve"> _xlfn.WEBSERVICE(D5)</f>
        <v xml:space="preserve">&lt;?xml version="1.0" encoding="UTF-8" ?&gt;
&lt;results&gt;
&lt;query&gt;三重県鈴鹿市若松西&lt;/query&gt;
&lt;geodetic&gt;wgs1984&lt;/geodetic&gt;
&lt;iConf&gt;5&lt;/iConf&gt;
&lt;converted&gt;三重県鈴鹿市若松西&lt;/converted&gt;
&lt;candidate&gt;
&lt;address&gt;三重県/鈴鹿市/若松西&lt;/address&gt;
&lt;longitude&gt;136.610168&lt;/longitude&gt;
&lt;latitude&gt;34.863064&lt;/latitude&gt;
&lt;iLvl&gt;5&lt;/iLvl&gt;
&lt;/candidate&gt;
&lt;/results&gt;
</v>
      </c>
      <c r="F5" cm="1">
        <f t="array" ref="F5">INDEX(_xlfn.FILTERXML(E5,"//latitude"),1)</f>
        <v>34.863064000000001</v>
      </c>
      <c r="G5" cm="1">
        <f t="array" ref="G5">INDEX(_xlfn.FILTERXML(E5,"//longitude"),1)</f>
        <v>136.61016799999999</v>
      </c>
      <c r="H5">
        <v>34.863064000000001</v>
      </c>
      <c r="I5">
        <v>136.61016799999999</v>
      </c>
    </row>
    <row r="6" spans="1:9" x14ac:dyDescent="0.4">
      <c r="A6" t="s">
        <v>9</v>
      </c>
      <c r="B6" t="s">
        <v>672</v>
      </c>
      <c r="C6" t="str">
        <f t="shared" si="0"/>
        <v>東京都江戸川区平井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http://geocode.csis.u-tokyo.ac.jp/cgi-bin/simple_geocode.cgi?charset=UTF8&amp;addr=%E6%9D%B1%E4%BA%AC%E9%83%BD%E6%B1%9F%E6%88%B8%E5%B7%9D%E5%8C%BA%E5%B9%B3%E4%BA%95</v>
      </c>
      <c r="E6" t="str">
        <f t="shared" ref="E6" si="6" xml:space="preserve"> _xlfn.WEBSERVICE(D6)</f>
        <v xml:space="preserve">&lt;?xml version="1.0" encoding="UTF-8" ?&gt;
&lt;results&gt;
&lt;query&gt;東京都江戸川区平井&lt;/query&gt;
&lt;geodetic&gt;wgs1984&lt;/geodetic&gt;
&lt;iConf&gt;5&lt;/iConf&gt;
&lt;converted&gt;東京都江戸川区平井&lt;/converted&gt;
&lt;candidate&gt;
&lt;address&gt;東京都/江戸川区/平井&lt;/address&gt;
&lt;longitude&gt;139.851379&lt;/longitude&gt;
&lt;latitude&gt;35.704048&lt;/latitude&gt;
&lt;iLvl&gt;5&lt;/iLvl&gt;
&lt;/candidate&gt;
&lt;/results&gt;
</v>
      </c>
      <c r="F6" cm="1">
        <f t="array" ref="F6">INDEX(_xlfn.FILTERXML(E6,"//latitude"),1)</f>
        <v>35.704048</v>
      </c>
      <c r="G6" cm="1">
        <f t="array" ref="G6">INDEX(_xlfn.FILTERXML(E6,"//longitude"),1)</f>
        <v>139.85137900000001</v>
      </c>
      <c r="H6">
        <v>35.704048</v>
      </c>
      <c r="I6">
        <v>139.85137900000001</v>
      </c>
    </row>
    <row r="7" spans="1:9" x14ac:dyDescent="0.4">
      <c r="A7" t="s">
        <v>114</v>
      </c>
      <c r="B7" t="s">
        <v>673</v>
      </c>
      <c r="C7" t="str">
        <f t="shared" si="0"/>
        <v>福島県郡山市安積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http://geocode.csis.u-tokyo.ac.jp/cgi-bin/simple_geocode.cgi?charset=UTF8&amp;addr=%E7%A6%8F%E5%B3%B6%E7%9C%8C%E9%83%A1%E5%B1%B1%E5%B8%82%E5%AE%89%E7%A9%8D</v>
      </c>
      <c r="E7" t="str">
        <f t="shared" ref="E7:E23" si="8" xml:space="preserve"> _xlfn.WEBSERVICE(D7)</f>
        <v xml:space="preserve">&lt;?xml version="1.0" encoding="UTF-8" ?&gt;
&lt;results&gt;
&lt;query&gt;福島県郡山市安積&lt;/query&gt;
&lt;geodetic&gt;wgs1984&lt;/geodetic&gt;
&lt;iConf&gt;5&lt;/iConf&gt;
&lt;converted&gt;福島県郡山市安積&lt;/converted&gt;
&lt;candidate&gt;
&lt;address&gt;福島県/郡山市/安積&lt;/address&gt;
&lt;longitude&gt;140.368240&lt;/longitude&gt;
&lt;latitude&gt;37.363625&lt;/latitude&gt;
&lt;iLvl&gt;5&lt;/iLvl&gt;
&lt;/candidate&gt;
&lt;/results&gt;
</v>
      </c>
      <c r="F7" cm="1">
        <f t="array" ref="F7">INDEX(_xlfn.FILTERXML(E7,"//latitude"),1)</f>
        <v>37.363624999999999</v>
      </c>
      <c r="G7" cm="1">
        <f t="array" ref="G7">INDEX(_xlfn.FILTERXML(E7,"//longitude"),1)</f>
        <v>140.36823999999999</v>
      </c>
      <c r="H7">
        <v>37.363624999999999</v>
      </c>
      <c r="I7">
        <v>140.36823999999999</v>
      </c>
    </row>
    <row r="8" spans="1:9" x14ac:dyDescent="0.4">
      <c r="A8" t="s">
        <v>114</v>
      </c>
      <c r="B8" t="s">
        <v>674</v>
      </c>
      <c r="C8" t="str">
        <f t="shared" si="0"/>
        <v>福島県郡山市</v>
      </c>
      <c r="D8" s="2" t="str">
        <f t="shared" si="7"/>
        <v>http://geocode.csis.u-tokyo.ac.jp/cgi-bin/simple_geocode.cgi?charset=UTF8&amp;addr=%E7%A6%8F%E5%B3%B6%E7%9C%8C%E9%83%A1%E5%B1%B1%E5%B8%82</v>
      </c>
      <c r="E8" t="str">
        <f t="shared" si="8"/>
        <v xml:space="preserve">&lt;?xml version="1.0" encoding="UTF-8" ?&gt;
&lt;results&gt;
&lt;query&gt;福島県郡山市&lt;/query&gt;
&lt;geodetic&gt;wgs1984&lt;/geodetic&gt;
&lt;iConf&gt;5&lt;/iConf&gt;
&lt;converted&gt;福島県郡山市&lt;/converted&gt;
&lt;candidate&gt;
&lt;address&gt;福島県/郡山市&lt;/address&gt;
&lt;longitude&gt;140.359650&lt;/longitude&gt;
&lt;latitude&gt;37.400455&lt;/latitude&gt;
&lt;iLvl&gt;3&lt;/iLvl&gt;
&lt;/candidate&gt;
&lt;/results&gt;
</v>
      </c>
      <c r="F8" cm="1">
        <f t="array" ref="F8">INDEX(_xlfn.FILTERXML(E8,"//latitude"),1)</f>
        <v>37.400455000000001</v>
      </c>
      <c r="G8" cm="1">
        <f t="array" ref="G8">INDEX(_xlfn.FILTERXML(E8,"//longitude"),1)</f>
        <v>140.35964999999999</v>
      </c>
      <c r="H8">
        <v>37.400455000000001</v>
      </c>
      <c r="I8">
        <v>140.35964999999999</v>
      </c>
    </row>
    <row r="9" spans="1:9" x14ac:dyDescent="0.4">
      <c r="A9" t="s">
        <v>35</v>
      </c>
      <c r="B9" t="s">
        <v>675</v>
      </c>
      <c r="C9" t="str">
        <f t="shared" si="0"/>
        <v>宮崎県日向市</v>
      </c>
      <c r="D9" s="2" t="str">
        <f t="shared" si="7"/>
        <v>http://geocode.csis.u-tokyo.ac.jp/cgi-bin/simple_geocode.cgi?charset=UTF8&amp;addr=%E5%AE%AE%E5%B4%8E%E7%9C%8C%E6%97%A5%E5%90%91%E5%B8%82</v>
      </c>
      <c r="E9" t="str">
        <f t="shared" si="8"/>
        <v xml:space="preserve">&lt;?xml version="1.0" encoding="UTF-8" ?&gt;
&lt;results&gt;
&lt;query&gt;宮崎県日向市&lt;/query&gt;
&lt;geodetic&gt;wgs1984&lt;/geodetic&gt;
&lt;iConf&gt;5&lt;/iConf&gt;
&lt;converted&gt;宮崎県日向市&lt;/converted&gt;
&lt;candidate&gt;
&lt;address&gt;宮崎県/日向市&lt;/address&gt;
&lt;longitude&gt;131.623962&lt;/longitude&gt;
&lt;latitude&gt;32.422947&lt;/latitude&gt;
&lt;iLvl&gt;3&lt;/iLvl&gt;
&lt;/candidate&gt;
&lt;/results&gt;
</v>
      </c>
      <c r="F9" cm="1">
        <f t="array" ref="F9">INDEX(_xlfn.FILTERXML(E9,"//latitude"),1)</f>
        <v>32.422947000000001</v>
      </c>
      <c r="G9" cm="1">
        <f t="array" ref="G9">INDEX(_xlfn.FILTERXML(E9,"//longitude"),1)</f>
        <v>131.62396200000001</v>
      </c>
      <c r="H9">
        <v>32.422947000000001</v>
      </c>
      <c r="I9">
        <v>131.62396200000001</v>
      </c>
    </row>
    <row r="10" spans="1:9" x14ac:dyDescent="0.4">
      <c r="A10" t="s">
        <v>15</v>
      </c>
      <c r="B10" t="s">
        <v>676</v>
      </c>
      <c r="C10" t="str">
        <f t="shared" si="0"/>
        <v>兵庫県宝塚市千種</v>
      </c>
      <c r="D10" s="2" t="str">
        <f t="shared" si="7"/>
        <v>http://geocode.csis.u-tokyo.ac.jp/cgi-bin/simple_geocode.cgi?charset=UTF8&amp;addr=%E5%85%B5%E5%BA%AB%E7%9C%8C%E5%AE%9D%E5%A1%9A%E5%B8%82%E5%8D%83%E7%A8%AE</v>
      </c>
      <c r="E10" t="str">
        <f t="shared" si="8"/>
        <v xml:space="preserve">&lt;?xml version="1.0" encoding="UTF-8" ?&gt;
&lt;results&gt;
&lt;query&gt;兵庫県宝塚市千種&lt;/query&gt;
&lt;geodetic&gt;wgs1984&lt;/geodetic&gt;
&lt;iConf&gt;5&lt;/iConf&gt;
&lt;converted&gt;兵庫県宝塚市千種&lt;/converted&gt;
&lt;candidate&gt;
&lt;address&gt;兵庫県/宝塚市/千種&lt;/address&gt;
&lt;longitude&gt;135.349838&lt;/longitude&gt;
&lt;latitude&gt;34.792011&lt;/latitude&gt;
&lt;iLvl&gt;5&lt;/iLvl&gt;
&lt;/candidate&gt;
&lt;/results&gt;
</v>
      </c>
      <c r="F10" cm="1">
        <f t="array" ref="F10">INDEX(_xlfn.FILTERXML(E10,"//latitude"),1)</f>
        <v>34.792011000000002</v>
      </c>
      <c r="G10" cm="1">
        <f t="array" ref="G10">INDEX(_xlfn.FILTERXML(E10,"//longitude"),1)</f>
        <v>135.34983800000001</v>
      </c>
      <c r="H10">
        <v>34.792011000000002</v>
      </c>
      <c r="I10">
        <v>135.34983800000001</v>
      </c>
    </row>
    <row r="11" spans="1:9" x14ac:dyDescent="0.4">
      <c r="A11" t="s">
        <v>17</v>
      </c>
      <c r="B11" t="s">
        <v>677</v>
      </c>
      <c r="C11" t="str">
        <f t="shared" si="0"/>
        <v>愛知県刈谷市松坂町</v>
      </c>
      <c r="D11" s="2" t="str">
        <f t="shared" si="7"/>
        <v>http://geocode.csis.u-tokyo.ac.jp/cgi-bin/simple_geocode.cgi?charset=UTF8&amp;addr=%E6%84%9B%E7%9F%A5%E7%9C%8C%E5%88%88%E8%B0%B7%E5%B8%82%E6%9D%BE%E5%9D%82%E7%94%BA</v>
      </c>
      <c r="E11" t="str">
        <f t="shared" si="8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11" cm="1">
        <f t="array" ref="F11">INDEX(_xlfn.FILTERXML(E11,"//latitude"),1)</f>
        <v>34.979610000000001</v>
      </c>
      <c r="G11" cm="1">
        <f t="array" ref="G11">INDEX(_xlfn.FILTERXML(E11,"//longitude"),1)</f>
        <v>136.99444600000001</v>
      </c>
      <c r="H11">
        <v>34.979610000000001</v>
      </c>
      <c r="I11">
        <v>136.99444600000001</v>
      </c>
    </row>
    <row r="12" spans="1:9" x14ac:dyDescent="0.4">
      <c r="A12" t="s">
        <v>113</v>
      </c>
      <c r="B12" t="s">
        <v>678</v>
      </c>
      <c r="C12" t="str">
        <f t="shared" si="0"/>
        <v>岡山県岡山市南区浜野</v>
      </c>
      <c r="D12" s="2" t="str">
        <f t="shared" si="7"/>
        <v>http://geocode.csis.u-tokyo.ac.jp/cgi-bin/simple_geocode.cgi?charset=UTF8&amp;addr=%E5%B2%A1%E5%B1%B1%E7%9C%8C%E5%B2%A1%E5%B1%B1%E5%B8%82%E5%8D%97%E5%8C%BA%E6%B5%9C%E9%87%8E</v>
      </c>
      <c r="E12" t="str">
        <f t="shared" si="8"/>
        <v xml:space="preserve">&lt;?xml version="1.0" encoding="UTF-8" ?&gt;
&lt;results&gt;
&lt;query&gt;岡山県岡山市南区浜野&lt;/query&gt;
&lt;geodetic&gt;wgs1984&lt;/geodetic&gt;
&lt;iConf&gt;5&lt;/iConf&gt;
&lt;converted&gt;岡山県岡山市南区浜野&lt;/converted&gt;
&lt;candidate&gt;
&lt;address&gt;岡山県/岡山市/南区/浜野&lt;/address&gt;
&lt;longitude&gt;133.937653&lt;/longitude&gt;
&lt;latitude&gt;34.634106&lt;/latitude&gt;
&lt;iLvl&gt;5&lt;/iLvl&gt;
&lt;/candidate&gt;
&lt;/results&gt;
</v>
      </c>
      <c r="F12" cm="1">
        <f t="array" ref="F12">INDEX(_xlfn.FILTERXML(E12,"//latitude"),1)</f>
        <v>34.634106000000003</v>
      </c>
      <c r="G12" cm="1">
        <f t="array" ref="G12">INDEX(_xlfn.FILTERXML(E12,"//longitude"),1)</f>
        <v>133.93765300000001</v>
      </c>
      <c r="H12">
        <v>34.634106000000003</v>
      </c>
      <c r="I12">
        <v>133.93765300000001</v>
      </c>
    </row>
    <row r="13" spans="1:9" x14ac:dyDescent="0.4">
      <c r="A13" t="s">
        <v>13</v>
      </c>
      <c r="B13" t="s">
        <v>679</v>
      </c>
      <c r="C13" t="str">
        <f t="shared" si="0"/>
        <v>埼玉県羽生市三田ケ谷</v>
      </c>
      <c r="D13" s="2" t="str">
        <f t="shared" si="7"/>
        <v>http://geocode.csis.u-tokyo.ac.jp/cgi-bin/simple_geocode.cgi?charset=UTF8&amp;addr=%E5%9F%BC%E7%8E%89%E7%9C%8C%E7%BE%BD%E7%94%9F%E5%B8%82%E4%B8%89%E7%94%B0%E3%82%B1%E8%B0%B7</v>
      </c>
      <c r="E13" t="str">
        <f t="shared" si="8"/>
        <v xml:space="preserve">&lt;?xml version="1.0" encoding="UTF-8" ?&gt;
&lt;results&gt;
&lt;query&gt;埼玉県羽生市三田ケ谷&lt;/query&gt;
&lt;geodetic&gt;wgs1984&lt;/geodetic&gt;
&lt;iConf&gt;5&lt;/iConf&gt;
&lt;converted&gt;埼玉県羽生市三田ケ谷&lt;/converted&gt;
&lt;candidate&gt;
&lt;address&gt;埼玉県/羽生市/三田ケ谷&lt;/address&gt;
&lt;longitude&gt;139.604309&lt;/longitude&gt;
&lt;latitude&gt;36.172932&lt;/latitude&gt;
&lt;iLvl&gt;5&lt;/iLvl&gt;
&lt;/candidate&gt;
&lt;/results&gt;
</v>
      </c>
      <c r="F13" cm="1">
        <f t="array" ref="F13">INDEX(_xlfn.FILTERXML(E13,"//latitude"),1)</f>
        <v>36.172932000000003</v>
      </c>
      <c r="G13" cm="1">
        <f t="array" ref="G13">INDEX(_xlfn.FILTERXML(E13,"//longitude"),1)</f>
        <v>139.604309</v>
      </c>
      <c r="H13">
        <v>36.172932000000003</v>
      </c>
      <c r="I13">
        <v>139.604309</v>
      </c>
    </row>
    <row r="14" spans="1:9" x14ac:dyDescent="0.4">
      <c r="A14" t="s">
        <v>13</v>
      </c>
      <c r="B14" t="s">
        <v>680</v>
      </c>
      <c r="C14" t="str">
        <f t="shared" si="0"/>
        <v>埼玉県川口市坂下町</v>
      </c>
      <c r="D14" s="2" t="str">
        <f t="shared" si="7"/>
        <v>http://geocode.csis.u-tokyo.ac.jp/cgi-bin/simple_geocode.cgi?charset=UTF8&amp;addr=%E5%9F%BC%E7%8E%89%E7%9C%8C%E5%B7%9D%E5%8F%A3%E5%B8%82%E5%9D%82%E4%B8%8B%E7%94%BA</v>
      </c>
      <c r="E14" t="str">
        <f t="shared" si="8"/>
        <v xml:space="preserve">&lt;?xml version="1.0" encoding="UTF-8" ?&gt;
&lt;results&gt;
&lt;query&gt;埼玉県川口市坂下町&lt;/query&gt;
&lt;geodetic&gt;wgs1984&lt;/geodetic&gt;
&lt;iConf&gt;5&lt;/iConf&gt;
&lt;converted&gt;埼玉県川口市坂下町&lt;/converted&gt;
&lt;candidate&gt;
&lt;address&gt;埼玉県/川口市/坂下町&lt;/address&gt;
&lt;longitude&gt;139.736862&lt;/longitude&gt;
&lt;latitude&gt;35.831837&lt;/latitude&gt;
&lt;iLvl&gt;5&lt;/iLvl&gt;
&lt;/candidate&gt;
&lt;/results&gt;
</v>
      </c>
      <c r="F14" cm="1">
        <f t="array" ref="F14">INDEX(_xlfn.FILTERXML(E14,"//latitude"),1)</f>
        <v>35.831837</v>
      </c>
      <c r="G14" cm="1">
        <f t="array" ref="G14">INDEX(_xlfn.FILTERXML(E14,"//longitude"),1)</f>
        <v>139.736862</v>
      </c>
      <c r="H14">
        <v>35.831837</v>
      </c>
      <c r="I14">
        <v>139.736862</v>
      </c>
    </row>
    <row r="15" spans="1:9" x14ac:dyDescent="0.4">
      <c r="A15" t="s">
        <v>51</v>
      </c>
      <c r="B15" t="s">
        <v>681</v>
      </c>
      <c r="C15" t="str">
        <f t="shared" si="0"/>
        <v>福井県小浜市水取</v>
      </c>
      <c r="D15" s="2" t="str">
        <f t="shared" si="7"/>
        <v>http://geocode.csis.u-tokyo.ac.jp/cgi-bin/simple_geocode.cgi?charset=UTF8&amp;addr=%E7%A6%8F%E4%BA%95%E7%9C%8C%E5%B0%8F%E6%B5%9C%E5%B8%82%E6%B0%B4%E5%8F%96</v>
      </c>
      <c r="E15" t="str">
        <f t="shared" si="8"/>
        <v xml:space="preserve">&lt;?xml version="1.0" encoding="UTF-8" ?&gt;
&lt;results&gt;
&lt;query&gt;福井県小浜市水取&lt;/query&gt;
&lt;geodetic&gt;wgs1984&lt;/geodetic&gt;
&lt;iConf&gt;5&lt;/iConf&gt;
&lt;converted&gt;福井県小浜市水取&lt;/converted&gt;
&lt;candidate&gt;
&lt;address&gt;福井県/小浜市/水取&lt;/address&gt;
&lt;longitude&gt;135.750610&lt;/longitude&gt;
&lt;latitude&gt;35.504501&lt;/latitude&gt;
&lt;iLvl&gt;5&lt;/iLvl&gt;
&lt;/candidate&gt;
&lt;/results&gt;
</v>
      </c>
      <c r="F15" cm="1">
        <f t="array" ref="F15">INDEX(_xlfn.FILTERXML(E15,"//latitude"),1)</f>
        <v>35.504500999999998</v>
      </c>
      <c r="G15" cm="1">
        <f t="array" ref="G15">INDEX(_xlfn.FILTERXML(E15,"//longitude"),1)</f>
        <v>135.75060999999999</v>
      </c>
      <c r="H15">
        <v>35.504500999999998</v>
      </c>
      <c r="I15">
        <v>135.75060999999999</v>
      </c>
    </row>
    <row r="16" spans="1:9" x14ac:dyDescent="0.4">
      <c r="A16" t="s">
        <v>11</v>
      </c>
      <c r="B16" t="s">
        <v>682</v>
      </c>
      <c r="C16" t="str">
        <f t="shared" si="0"/>
        <v>大阪府大阪市浪速区桜川</v>
      </c>
      <c r="D16" s="2" t="str">
        <f t="shared" si="7"/>
        <v>http://geocode.csis.u-tokyo.ac.jp/cgi-bin/simple_geocode.cgi?charset=UTF8&amp;addr=%E5%A4%A7%E9%98%AA%E5%BA%9C%E5%A4%A7%E9%98%AA%E5%B8%82%E6%B5%AA%E9%80%9F%E5%8C%BA%E6%A1%9C%E5%B7%9D</v>
      </c>
      <c r="E16" t="str">
        <f t="shared" si="8"/>
        <v xml:space="preserve">&lt;?xml version="1.0" encoding="UTF-8" ?&gt;
&lt;results&gt;
&lt;query&gt;大阪府大阪市浪速区桜川&lt;/query&gt;
&lt;geodetic&gt;wgs1984&lt;/geodetic&gt;
&lt;iConf&gt;5&lt;/iConf&gt;
&lt;converted&gt;大阪府大阪市浪速区桜川&lt;/converted&gt;
&lt;candidate&gt;
&lt;address&gt;大阪府/大阪市/浪速区/桜川&lt;/address&gt;
&lt;longitude&gt;135.492844&lt;/longitude&gt;
&lt;latitude&gt;34.666893&lt;/latitude&gt;
&lt;iLvl&gt;5&lt;/iLvl&gt;
&lt;/candidate&gt;
&lt;/results&gt;
</v>
      </c>
      <c r="F16" cm="1">
        <f t="array" ref="F16">INDEX(_xlfn.FILTERXML(E16,"//latitude"),1)</f>
        <v>34.666893000000002</v>
      </c>
      <c r="G16" cm="1">
        <f t="array" ref="G16">INDEX(_xlfn.FILTERXML(E16,"//longitude"),1)</f>
        <v>135.49284399999999</v>
      </c>
      <c r="H16">
        <v>34.666893000000002</v>
      </c>
      <c r="I16">
        <v>135.49284399999999</v>
      </c>
    </row>
    <row r="17" spans="1:9" x14ac:dyDescent="0.4">
      <c r="A17" t="s">
        <v>15</v>
      </c>
      <c r="B17" t="s">
        <v>683</v>
      </c>
      <c r="C17" t="str">
        <f t="shared" si="0"/>
        <v>兵庫県尼崎市南武庫之荘5丁目</v>
      </c>
      <c r="D17" s="2" t="str">
        <f t="shared" si="7"/>
        <v>http://geocode.csis.u-tokyo.ac.jp/cgi-bin/simple_geocode.cgi?charset=UTF8&amp;addr=%E5%85%B5%E5%BA%AB%E7%9C%8C%E5%B0%BC%E5%B4%8E%E5%B8%82%E5%8D%97%E6%AD%A6%E5%BA%AB%E4%B9%8B%E8%8D%985%E4%B8%81%E7%9B%AE</v>
      </c>
      <c r="E17" t="str">
        <f t="shared" si="8"/>
        <v xml:space="preserve">&lt;?xml version="1.0" encoding="UTF-8" ?&gt;
&lt;results&gt;
&lt;query&gt;兵庫県尼崎市南武庫之荘5丁目&lt;/query&gt;
&lt;geodetic&gt;wgs1984&lt;/geodetic&gt;
&lt;iConf&gt;5&lt;/iConf&gt;
&lt;converted&gt;兵庫県尼崎市南武庫之荘5丁目&lt;/converted&gt;
&lt;candidate&gt;
&lt;address&gt;兵庫県/尼崎市/南武庫之荘/五丁目&lt;/address&gt;
&lt;longitude&gt;135.388184&lt;/longitude&gt;
&lt;latitude&gt;34.749092&lt;/latitude&gt;
&lt;iLvl&gt;6&lt;/iLvl&gt;
&lt;/candidate&gt;
&lt;/results&gt;
</v>
      </c>
      <c r="F17" cm="1">
        <f t="array" ref="F17">INDEX(_xlfn.FILTERXML(E17,"//latitude"),1)</f>
        <v>34.749091999999997</v>
      </c>
      <c r="G17" cm="1">
        <f t="array" ref="G17">INDEX(_xlfn.FILTERXML(E17,"//longitude"),1)</f>
        <v>135.388184</v>
      </c>
      <c r="H17">
        <v>34.749091999999997</v>
      </c>
      <c r="I17">
        <v>135.388184</v>
      </c>
    </row>
    <row r="18" spans="1:9" x14ac:dyDescent="0.4">
      <c r="A18" t="s">
        <v>11</v>
      </c>
      <c r="B18" t="s">
        <v>579</v>
      </c>
      <c r="C18" t="str">
        <f t="shared" si="0"/>
        <v>大阪府守口市外島町</v>
      </c>
      <c r="D18" s="2" t="str">
        <f t="shared" si="7"/>
        <v>http://geocode.csis.u-tokyo.ac.jp/cgi-bin/simple_geocode.cgi?charset=UTF8&amp;addr=%E5%A4%A7%E9%98%AA%E5%BA%9C%E5%AE%88%E5%8F%A3%E5%B8%82%E5%A4%96%E5%B3%B6%E7%94%BA</v>
      </c>
      <c r="E18" t="str">
        <f t="shared" si="8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18" cm="1">
        <f t="array" ref="F18">INDEX(_xlfn.FILTERXML(E18,"//latitude"),1)</f>
        <v>34.743149000000003</v>
      </c>
      <c r="G18" cm="1">
        <f t="array" ref="G18">INDEX(_xlfn.FILTERXML(E18,"//longitude"),1)</f>
        <v>135.56140099999999</v>
      </c>
      <c r="H18">
        <v>34.743149000000003</v>
      </c>
      <c r="I18">
        <v>135.56140099999999</v>
      </c>
    </row>
    <row r="19" spans="1:9" x14ac:dyDescent="0.4">
      <c r="A19" t="s">
        <v>9</v>
      </c>
      <c r="B19" t="s">
        <v>684</v>
      </c>
      <c r="C19" t="str">
        <f t="shared" si="0"/>
        <v>東京都世田谷区北沢</v>
      </c>
      <c r="D19" s="2" t="str">
        <f t="shared" si="7"/>
        <v>http://geocode.csis.u-tokyo.ac.jp/cgi-bin/simple_geocode.cgi?charset=UTF8&amp;addr=%E6%9D%B1%E4%BA%AC%E9%83%BD%E4%B8%96%E7%94%B0%E8%B0%B7%E5%8C%BA%E5%8C%97%E6%B2%A2</v>
      </c>
      <c r="E19" t="str">
        <f t="shared" si="8"/>
        <v xml:space="preserve">&lt;?xml version="1.0" encoding="UTF-8" ?&gt;
&lt;results&gt;
&lt;query&gt;東京都世田谷区北沢&lt;/query&gt;
&lt;geodetic&gt;wgs1984&lt;/geodetic&gt;
&lt;iConf&gt;5&lt;/iConf&gt;
&lt;converted&gt;東京都世田谷区北沢&lt;/converted&gt;
&lt;candidate&gt;
&lt;address&gt;東京都/世田谷区/北沢&lt;/address&gt;
&lt;longitude&gt;139.672836&lt;/longitude&gt;
&lt;latitude&gt;35.662769&lt;/latitude&gt;
&lt;iLvl&gt;5&lt;/iLvl&gt;
&lt;/candidate&gt;
&lt;/results&gt;
</v>
      </c>
      <c r="F19" cm="1">
        <f t="array" ref="F19">INDEX(_xlfn.FILTERXML(E19,"//latitude"),1)</f>
        <v>35.662768999999997</v>
      </c>
      <c r="G19" cm="1">
        <f t="array" ref="G19">INDEX(_xlfn.FILTERXML(E19,"//longitude"),1)</f>
        <v>139.67283599999999</v>
      </c>
      <c r="H19">
        <v>35.662768999999997</v>
      </c>
      <c r="I19">
        <v>139.67283599999999</v>
      </c>
    </row>
    <row r="20" spans="1:9" x14ac:dyDescent="0.4">
      <c r="A20" t="s">
        <v>13</v>
      </c>
      <c r="B20" t="s">
        <v>685</v>
      </c>
      <c r="C20" t="str">
        <f t="shared" si="0"/>
        <v>埼玉県入間市新光</v>
      </c>
      <c r="D20" s="2" t="str">
        <f t="shared" si="7"/>
        <v>http://geocode.csis.u-tokyo.ac.jp/cgi-bin/simple_geocode.cgi?charset=UTF8&amp;addr=%E5%9F%BC%E7%8E%89%E7%9C%8C%E5%85%A5%E9%96%93%E5%B8%82%E6%96%B0%E5%85%89</v>
      </c>
      <c r="E20" t="str">
        <f t="shared" si="8"/>
        <v xml:space="preserve">&lt;?xml version="1.0" encoding="UTF-8" ?&gt;
&lt;results&gt;
&lt;query&gt;埼玉県入間市新光&lt;/query&gt;
&lt;geodetic&gt;wgs1984&lt;/geodetic&gt;
&lt;iConf&gt;5&lt;/iConf&gt;
&lt;converted&gt;埼玉県入間市新光&lt;/converted&gt;
&lt;candidate&gt;
&lt;address&gt;埼玉県/入間市/新光&lt;/address&gt;
&lt;longitude&gt;139.356537&lt;/longitude&gt;
&lt;latitude&gt;35.855915&lt;/latitude&gt;
&lt;iLvl&gt;5&lt;/iLvl&gt;
&lt;/candidate&gt;
&lt;/results&gt;
</v>
      </c>
      <c r="F20" cm="1">
        <f t="array" ref="F20">INDEX(_xlfn.FILTERXML(E20,"//latitude"),1)</f>
        <v>35.855915000000003</v>
      </c>
      <c r="G20" cm="1">
        <f t="array" ref="G20">INDEX(_xlfn.FILTERXML(E20,"//longitude"),1)</f>
        <v>139.356537</v>
      </c>
      <c r="H20">
        <v>35.855915000000003</v>
      </c>
      <c r="I20">
        <v>139.356537</v>
      </c>
    </row>
    <row r="21" spans="1:9" x14ac:dyDescent="0.4">
      <c r="A21" t="s">
        <v>22</v>
      </c>
      <c r="B21" t="s">
        <v>686</v>
      </c>
      <c r="C21" t="str">
        <f t="shared" si="0"/>
        <v>群馬県高崎市菅谷町</v>
      </c>
      <c r="D21" s="2" t="str">
        <f t="shared" si="7"/>
        <v>http://geocode.csis.u-tokyo.ac.jp/cgi-bin/simple_geocode.cgi?charset=UTF8&amp;addr=%E7%BE%A4%E9%A6%AC%E7%9C%8C%E9%AB%98%E5%B4%8E%E5%B8%82%E8%8F%85%E8%B0%B7%E7%94%BA</v>
      </c>
      <c r="E21" t="str">
        <f t="shared" si="8"/>
        <v xml:space="preserve">&lt;?xml version="1.0" encoding="UTF-8" ?&gt;
&lt;results&gt;
&lt;query&gt;群馬県高崎市菅谷町&lt;/query&gt;
&lt;geodetic&gt;wgs1984&lt;/geodetic&gt;
&lt;iConf&gt;5&lt;/iConf&gt;
&lt;converted&gt;群馬県高崎市菅谷町&lt;/converted&gt;
&lt;candidate&gt;
&lt;address&gt;群馬県/高崎市/菅谷町&lt;/address&gt;
&lt;longitude&gt;139.015472&lt;/longitude&gt;
&lt;latitude&gt;36.378056&lt;/latitude&gt;
&lt;iLvl&gt;5&lt;/iLvl&gt;
&lt;/candidate&gt;
&lt;/results&gt;
</v>
      </c>
      <c r="F21" cm="1">
        <f t="array" ref="F21">INDEX(_xlfn.FILTERXML(E21,"//latitude"),1)</f>
        <v>36.378056000000001</v>
      </c>
      <c r="G21" cm="1">
        <f t="array" ref="G21">INDEX(_xlfn.FILTERXML(E21,"//longitude"),1)</f>
        <v>139.01547199999999</v>
      </c>
      <c r="H21">
        <v>36.378056000000001</v>
      </c>
      <c r="I21">
        <v>139.01547199999999</v>
      </c>
    </row>
    <row r="22" spans="1:9" x14ac:dyDescent="0.4">
      <c r="A22" t="s">
        <v>39</v>
      </c>
      <c r="B22" t="s">
        <v>40</v>
      </c>
      <c r="C22" t="str">
        <f t="shared" si="0"/>
        <v>愛媛県松山市</v>
      </c>
      <c r="D22" s="2" t="str">
        <f t="shared" si="7"/>
        <v>http://geocode.csis.u-tokyo.ac.jp/cgi-bin/simple_geocode.cgi?charset=UTF8&amp;addr=%E6%84%9B%E5%AA%9B%E7%9C%8C%E6%9D%BE%E5%B1%B1%E5%B8%82</v>
      </c>
      <c r="E22" t="str">
        <f t="shared" si="8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2" cm="1">
        <f t="array" ref="F22">INDEX(_xlfn.FILTERXML(E22,"//latitude"),1)</f>
        <v>33.839157</v>
      </c>
      <c r="G22" cm="1">
        <f t="array" ref="G22">INDEX(_xlfn.FILTERXML(E22,"//longitude"),1)</f>
        <v>132.76554899999999</v>
      </c>
      <c r="H22">
        <v>33.839157</v>
      </c>
      <c r="I22">
        <v>132.76554899999999</v>
      </c>
    </row>
    <row r="23" spans="1:9" x14ac:dyDescent="0.4">
      <c r="A23" t="s">
        <v>22</v>
      </c>
      <c r="B23" t="s">
        <v>687</v>
      </c>
      <c r="C23" t="str">
        <f t="shared" si="0"/>
        <v>群馬県前橋市大手町</v>
      </c>
      <c r="D23" s="2" t="str">
        <f t="shared" si="7"/>
        <v>http://geocode.csis.u-tokyo.ac.jp/cgi-bin/simple_geocode.cgi?charset=UTF8&amp;addr=%E7%BE%A4%E9%A6%AC%E7%9C%8C%E5%89%8D%E6%A9%8B%E5%B8%82%E5%A4%A7%E6%89%8B%E7%94%BA</v>
      </c>
      <c r="E23" t="str">
        <f t="shared" si="8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23" cm="1">
        <f t="array" ref="F23">INDEX(_xlfn.FILTERXML(E23,"//latitude"),1)</f>
        <v>36.390335</v>
      </c>
      <c r="G23" cm="1">
        <f t="array" ref="G23">INDEX(_xlfn.FILTERXML(E23,"//longitude"),1)</f>
        <v>139.06012000000001</v>
      </c>
      <c r="H23">
        <v>36.390335</v>
      </c>
      <c r="I23">
        <v>139.06012000000001</v>
      </c>
    </row>
    <row r="24" spans="1:9" x14ac:dyDescent="0.4">
      <c r="A24" t="s">
        <v>12</v>
      </c>
      <c r="B24" t="s">
        <v>688</v>
      </c>
      <c r="C24" t="str">
        <f t="shared" si="0"/>
        <v>奈良県生駒郡三郷町勢野北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http://geocode.csis.u-tokyo.ac.jp/cgi-bin/simple_geocode.cgi?charset=UTF8&amp;addr=%E5%A5%88%E8%89%AF%E7%9C%8C%E7%94%9F%E9%A7%92%E9%83%A1%E4%B8%89%E9%83%B7%E7%94%BA%E5%8B%A2%E9%87%8E%E5%8C%97</v>
      </c>
      <c r="E24" t="str">
        <f t="shared" ref="E24:E44" si="10" xml:space="preserve"> _xlfn.WEBSERVICE(D24)</f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24" cm="1">
        <f t="array" ref="F24">INDEX(_xlfn.FILTERXML(E24,"//latitude"),1)</f>
        <v>34.607841000000001</v>
      </c>
      <c r="G24" cm="1">
        <f t="array" ref="G24">INDEX(_xlfn.FILTERXML(E24,"//longitude"),1)</f>
        <v>135.69708299999999</v>
      </c>
      <c r="H24">
        <v>34.607841000000001</v>
      </c>
      <c r="I24">
        <v>135.69708299999999</v>
      </c>
    </row>
    <row r="25" spans="1:9" x14ac:dyDescent="0.4">
      <c r="A25" t="s">
        <v>115</v>
      </c>
      <c r="B25" t="s">
        <v>689</v>
      </c>
      <c r="C25" t="str">
        <f t="shared" si="0"/>
        <v>長崎県諫早市多良見町化屋</v>
      </c>
      <c r="D25" s="2" t="str">
        <f t="shared" si="9"/>
        <v>http://geocode.csis.u-tokyo.ac.jp/cgi-bin/simple_geocode.cgi?charset=UTF8&amp;addr=%E9%95%B7%E5%B4%8E%E7%9C%8C%E8%AB%AB%E6%97%A9%E5%B8%82%E5%A4%9A%E8%89%AF%E8%A6%8B%E7%94%BA%E5%8C%96%E5%B1%8B</v>
      </c>
      <c r="E25" t="str">
        <f t="shared" si="10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25" cm="1">
        <f t="array" ref="F25">INDEX(_xlfn.FILTERXML(E25,"//latitude"),1)</f>
        <v>32.821415000000002</v>
      </c>
      <c r="G25" cm="1">
        <f t="array" ref="G25">INDEX(_xlfn.FILTERXML(E25,"//longitude"),1)</f>
        <v>129.986572</v>
      </c>
      <c r="H25">
        <v>32.821415000000002</v>
      </c>
      <c r="I25">
        <v>129.986572</v>
      </c>
    </row>
    <row r="26" spans="1:9" x14ac:dyDescent="0.4">
      <c r="A26" t="s">
        <v>28</v>
      </c>
      <c r="B26" t="s">
        <v>690</v>
      </c>
      <c r="C26" t="str">
        <f t="shared" si="0"/>
        <v>沖縄県宮古島市平良字下里</v>
      </c>
      <c r="D26" s="2" t="str">
        <f t="shared" si="9"/>
        <v>http://geocode.csis.u-tokyo.ac.jp/cgi-bin/simple_geocode.cgi?charset=UTF8&amp;addr=%E6%B2%96%E7%B8%84%E7%9C%8C%E5%AE%AE%E5%8F%A4%E5%B3%B6%E5%B8%82%E5%B9%B3%E8%89%AF%E5%AD%97%E4%B8%8B%E9%87%8C</v>
      </c>
      <c r="E26" t="str">
        <f t="shared" si="10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26" cm="1">
        <f t="array" ref="F26">INDEX(_xlfn.FILTERXML(E26,"//latitude"),1)</f>
        <v>24.802697999999999</v>
      </c>
      <c r="G26" cm="1">
        <f t="array" ref="G26">INDEX(_xlfn.FILTERXML(E26,"//longitude"),1)</f>
        <v>125.27066000000001</v>
      </c>
      <c r="H26">
        <v>24.802697999999999</v>
      </c>
      <c r="I26">
        <v>125.27066000000001</v>
      </c>
    </row>
    <row r="27" spans="1:9" x14ac:dyDescent="0.4">
      <c r="A27" t="s">
        <v>11</v>
      </c>
      <c r="B27" t="s">
        <v>691</v>
      </c>
      <c r="C27" t="str">
        <f t="shared" si="0"/>
        <v>大阪府大阪市西区南堀江１丁目</v>
      </c>
      <c r="D27" s="2" t="str">
        <f t="shared" si="9"/>
        <v>http://geocode.csis.u-tokyo.ac.jp/cgi-bin/simple_geocode.cgi?charset=UTF8&amp;addr=%E5%A4%A7%E9%98%AA%E5%BA%9C%E5%A4%A7%E9%98%AA%E5%B8%82%E8%A5%BF%E5%8C%BA%E5%8D%97%E5%A0%80%E6%B1%9F%EF%BC%91%E4%B8%81%E7%9B%AE</v>
      </c>
      <c r="E27" t="str">
        <f t="shared" si="10"/>
        <v xml:space="preserve">&lt;?xml version="1.0" encoding="UTF-8" ?&gt;
&lt;results&gt;
&lt;query&gt;大阪府大阪市西区南堀江１丁目&lt;/query&gt;
&lt;geodetic&gt;wgs1984&lt;/geodetic&gt;
&lt;iConf&gt;5&lt;/iConf&gt;
&lt;converted&gt;大阪府大阪市西区南堀江丁目&lt;/converted&gt;
&lt;candidate&gt;
&lt;address&gt;大阪府/大阪市/西区/南堀江/一丁目&lt;/address&gt;
&lt;longitude&gt;135.494644&lt;/longitude&gt;
&lt;latitude&gt;34.670792&lt;/latitude&gt;
&lt;iLvl&gt;6&lt;/iLvl&gt;
&lt;/candidate&gt;
&lt;/results&gt;
</v>
      </c>
      <c r="F27" cm="1">
        <f t="array" ref="F27">INDEX(_xlfn.FILTERXML(E27,"//latitude"),1)</f>
        <v>34.670791999999999</v>
      </c>
      <c r="G27" cm="1">
        <f t="array" ref="G27">INDEX(_xlfn.FILTERXML(E27,"//longitude"),1)</f>
        <v>135.49464399999999</v>
      </c>
      <c r="H27">
        <v>34.670791999999999</v>
      </c>
      <c r="I27">
        <v>135.49464399999999</v>
      </c>
    </row>
    <row r="28" spans="1:9" x14ac:dyDescent="0.4">
      <c r="A28" t="s">
        <v>9</v>
      </c>
      <c r="B28" t="s">
        <v>692</v>
      </c>
      <c r="C28" t="str">
        <f t="shared" si="0"/>
        <v>東京都品川区荏原</v>
      </c>
      <c r="D28" s="2" t="str">
        <f t="shared" si="9"/>
        <v>http://geocode.csis.u-tokyo.ac.jp/cgi-bin/simple_geocode.cgi?charset=UTF8&amp;addr=%E6%9D%B1%E4%BA%AC%E9%83%BD%E5%93%81%E5%B7%9D%E5%8C%BA%E8%8D%8F%E5%8E%9F</v>
      </c>
      <c r="E28" t="str">
        <f t="shared" si="10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28" cm="1">
        <f t="array" ref="F28">INDEX(_xlfn.FILTERXML(E28,"//latitude"),1)</f>
        <v>35.619990999999999</v>
      </c>
      <c r="G28" cm="1">
        <f t="array" ref="G28">INDEX(_xlfn.FILTERXML(E28,"//longitude"),1)</f>
        <v>139.71379099999999</v>
      </c>
      <c r="H28">
        <v>35.619990999999999</v>
      </c>
      <c r="I28">
        <v>139.71379099999999</v>
      </c>
    </row>
    <row r="29" spans="1:9" x14ac:dyDescent="0.4">
      <c r="A29" t="s">
        <v>10</v>
      </c>
      <c r="B29" t="s">
        <v>498</v>
      </c>
      <c r="C29" t="str">
        <f t="shared" si="0"/>
        <v>神奈川県横浜市鶴見区</v>
      </c>
      <c r="D29" s="2" t="str">
        <f t="shared" si="9"/>
        <v>http://geocode.csis.u-tokyo.ac.jp/cgi-bin/simple_geocode.cgi?charset=UTF8&amp;addr=%E7%A5%9E%E5%A5%88%E5%B7%9D%E7%9C%8C%E6%A8%AA%E6%B5%9C%E5%B8%82%E9%B6%B4%E8%A6%8B%E5%8C%BA</v>
      </c>
      <c r="E29" t="str">
        <f t="shared" si="10"/>
        <v xml:space="preserve">&lt;?xml version="1.0" encoding="UTF-8" ?&gt;
&lt;results&gt;
&lt;query&gt;神奈川県横浜市鶴見区&lt;/query&gt;
&lt;geodetic&gt;wgs1984&lt;/geodetic&gt;
&lt;iConf&gt;5&lt;/iConf&gt;
&lt;converted&gt;神奈川県横浜市鶴見区&lt;/converted&gt;
&lt;candidate&gt;
&lt;address&gt;神奈川県/横浜市/鶴見区&lt;/address&gt;
&lt;longitude&gt;139.682388&lt;/longitude&gt;
&lt;latitude&gt;35.508396&lt;/latitude&gt;
&lt;iLvl&gt;4&lt;/iLvl&gt;
&lt;/candidate&gt;
&lt;/results&gt;
</v>
      </c>
      <c r="F29" cm="1">
        <f t="array" ref="F29">INDEX(_xlfn.FILTERXML(E29,"//latitude"),1)</f>
        <v>35.508395999999998</v>
      </c>
      <c r="G29" cm="1">
        <f t="array" ref="G29">INDEX(_xlfn.FILTERXML(E29,"//longitude"),1)</f>
        <v>139.682388</v>
      </c>
      <c r="H29">
        <v>35.508395999999998</v>
      </c>
      <c r="I29">
        <v>139.682388</v>
      </c>
    </row>
    <row r="30" spans="1:9" x14ac:dyDescent="0.4">
      <c r="A30" t="s">
        <v>10</v>
      </c>
      <c r="B30" t="s">
        <v>693</v>
      </c>
      <c r="C30" t="str">
        <f t="shared" si="0"/>
        <v>神奈川県南足柄市狩野</v>
      </c>
      <c r="D30" s="2" t="str">
        <f t="shared" si="9"/>
        <v>http://geocode.csis.u-tokyo.ac.jp/cgi-bin/simple_geocode.cgi?charset=UTF8&amp;addr=%E7%A5%9E%E5%A5%88%E5%B7%9D%E7%9C%8C%E5%8D%97%E8%B6%B3%E6%9F%84%E5%B8%82%E7%8B%A9%E9%87%8E</v>
      </c>
      <c r="E30" t="str">
        <f t="shared" si="10"/>
        <v xml:space="preserve">&lt;?xml version="1.0" encoding="UTF-8" ?&gt;
&lt;results&gt;
&lt;query&gt;神奈川県南足柄市狩野&lt;/query&gt;
&lt;geodetic&gt;wgs1984&lt;/geodetic&gt;
&lt;iConf&gt;5&lt;/iConf&gt;
&lt;converted&gt;神奈川県南足柄市狩野&lt;/converted&gt;
&lt;candidate&gt;
&lt;address&gt;神奈川県/南足柄市/狩野&lt;/address&gt;
&lt;longitude&gt;139.078552&lt;/longitude&gt;
&lt;latitude&gt;35.297852&lt;/latitude&gt;
&lt;iLvl&gt;5&lt;/iLvl&gt;
&lt;/candidate&gt;
&lt;/results&gt;
</v>
      </c>
      <c r="F30" cm="1">
        <f t="array" ref="F30">INDEX(_xlfn.FILTERXML(E30,"//latitude"),1)</f>
        <v>35.297851999999999</v>
      </c>
      <c r="G30" cm="1">
        <f t="array" ref="G30">INDEX(_xlfn.FILTERXML(E30,"//longitude"),1)</f>
        <v>139.078552</v>
      </c>
      <c r="H30">
        <v>35.297851999999999</v>
      </c>
      <c r="I30">
        <v>139.078552</v>
      </c>
    </row>
    <row r="31" spans="1:9" x14ac:dyDescent="0.4">
      <c r="A31" t="s">
        <v>46</v>
      </c>
      <c r="B31" t="s">
        <v>694</v>
      </c>
      <c r="C31" t="str">
        <f t="shared" si="0"/>
        <v>山口県岩国市天尾</v>
      </c>
      <c r="D31" s="2" t="str">
        <f t="shared" si="9"/>
        <v>http://geocode.csis.u-tokyo.ac.jp/cgi-bin/simple_geocode.cgi?charset=UTF8&amp;addr=%E5%B1%B1%E5%8F%A3%E7%9C%8C%E5%B2%A9%E5%9B%BD%E5%B8%82%E5%A4%A9%E5%B0%BE</v>
      </c>
      <c r="E31" t="str">
        <f t="shared" si="10"/>
        <v xml:space="preserve">&lt;?xml version="1.0" encoding="UTF-8" ?&gt;
&lt;results&gt;
&lt;query&gt;山口県岩国市天尾&lt;/query&gt;
&lt;geodetic&gt;wgs1984&lt;/geodetic&gt;
&lt;iConf&gt;5&lt;/iConf&gt;
&lt;converted&gt;山口県岩国市天尾&lt;/converted&gt;
&lt;candidate&gt;
&lt;address&gt;山口県/岩国市/天尾&lt;/address&gt;
&lt;longitude&gt;132.058395&lt;/longitude&gt;
&lt;latitude&gt;34.180862&lt;/latitude&gt;
&lt;iLvl&gt;5&lt;/iLvl&gt;
&lt;/candidate&gt;
&lt;/results&gt;
</v>
      </c>
      <c r="F31" cm="1">
        <f t="array" ref="F31">INDEX(_xlfn.FILTERXML(E31,"//latitude"),1)</f>
        <v>34.180861999999998</v>
      </c>
      <c r="G31" cm="1">
        <f t="array" ref="G31">INDEX(_xlfn.FILTERXML(E31,"//longitude"),1)</f>
        <v>132.05839499999999</v>
      </c>
      <c r="H31">
        <v>34.180861999999998</v>
      </c>
      <c r="I31">
        <v>132.05839499999999</v>
      </c>
    </row>
    <row r="32" spans="1:9" x14ac:dyDescent="0.4">
      <c r="A32" t="s">
        <v>26</v>
      </c>
      <c r="B32" t="s">
        <v>695</v>
      </c>
      <c r="C32" t="str">
        <f t="shared" si="0"/>
        <v>京都府久世郡久御山町栄2丁目</v>
      </c>
      <c r="D32" s="2" t="str">
        <f t="shared" si="9"/>
        <v>http://geocode.csis.u-tokyo.ac.jp/cgi-bin/simple_geocode.cgi?charset=UTF8&amp;addr=%E4%BA%AC%E9%83%BD%E5%BA%9C%E4%B9%85%E4%B8%96%E9%83%A1%E4%B9%85%E5%BE%A1%E5%B1%B1%E7%94%BA%E6%A0%842%E4%B8%81%E7%9B%AE</v>
      </c>
      <c r="E32" t="str">
        <f t="shared" si="10"/>
        <v xml:space="preserve">&lt;?xml version="1.0" encoding="UTF-8" ?&gt;
&lt;results&gt;
&lt;query&gt;京都府久世郡久御山町栄2丁目&lt;/query&gt;
&lt;geodetic&gt;wgs1984&lt;/geodetic&gt;
&lt;iConf&gt;5&lt;/iConf&gt;
&lt;converted&gt;京都府久世郡久御山町栄2丁目&lt;/converted&gt;
&lt;candidate&gt;
&lt;address&gt;京都府/久世郡/久御山町/栄/二丁目&lt;/address&gt;
&lt;longitude&gt;135.765030&lt;/longitude&gt;
&lt;latitude&gt;34.878662&lt;/latitude&gt;
&lt;iLvl&gt;6&lt;/iLvl&gt;
&lt;/candidate&gt;
&lt;/results&gt;
</v>
      </c>
      <c r="F32" cm="1">
        <f t="array" ref="F32">INDEX(_xlfn.FILTERXML(E32,"//latitude"),1)</f>
        <v>34.878661999999998</v>
      </c>
      <c r="G32" cm="1">
        <f t="array" ref="G32">INDEX(_xlfn.FILTERXML(E32,"//longitude"),1)</f>
        <v>135.76503</v>
      </c>
      <c r="H32">
        <v>34.878661999999998</v>
      </c>
      <c r="I32">
        <v>135.76503</v>
      </c>
    </row>
    <row r="33" spans="1:9" x14ac:dyDescent="0.4">
      <c r="A33" t="s">
        <v>118</v>
      </c>
      <c r="B33" t="s">
        <v>696</v>
      </c>
      <c r="C33" t="str">
        <f t="shared" si="0"/>
        <v>北海道札幌市中央区宮の森三条</v>
      </c>
      <c r="D33" s="2" t="str">
        <f t="shared" si="9"/>
        <v>http://geocode.csis.u-tokyo.ac.jp/cgi-bin/simple_geocode.cgi?charset=UTF8&amp;addr=%E5%8C%97%E6%B5%B7%E9%81%93%E6%9C%AD%E5%B9%8C%E5%B8%82%E4%B8%AD%E5%A4%AE%E5%8C%BA%E5%AE%AE%E3%81%AE%E6%A3%AE%E4%B8%89%E6%9D%A1</v>
      </c>
      <c r="E33" t="str">
        <f t="shared" si="10"/>
        <v xml:space="preserve">&lt;?xml version="1.0" encoding="UTF-8" ?&gt;
&lt;results&gt;
&lt;query&gt;北海道札幌市中央区宮の森三条&lt;/query&gt;
&lt;geodetic&gt;wgs1984&lt;/geodetic&gt;
&lt;iConf&gt;5&lt;/iConf&gt;
&lt;converted&gt;北海道札幌市中央区宮の森三条&lt;/converted&gt;
&lt;candidate&gt;
&lt;address&gt;北海道/札幌市/中央区/宮の森三条&lt;/address&gt;
&lt;longitude&gt;141.309372&lt;/longitude&gt;
&lt;latitude&gt;43.066528&lt;/latitude&gt;
&lt;iLvl&gt;5&lt;/iLvl&gt;
&lt;/candidate&gt;
&lt;/results&gt;
</v>
      </c>
      <c r="F33" cm="1">
        <f t="array" ref="F33">INDEX(_xlfn.FILTERXML(E33,"//latitude"),1)</f>
        <v>43.066527999999998</v>
      </c>
      <c r="G33" cm="1">
        <f t="array" ref="G33">INDEX(_xlfn.FILTERXML(E33,"//longitude"),1)</f>
        <v>141.309372</v>
      </c>
      <c r="H33">
        <v>43.066527999999998</v>
      </c>
      <c r="I33">
        <v>141.309372</v>
      </c>
    </row>
    <row r="34" spans="1:9" x14ac:dyDescent="0.4">
      <c r="A34" t="s">
        <v>9</v>
      </c>
      <c r="B34" t="s">
        <v>147</v>
      </c>
      <c r="C34" t="str">
        <f t="shared" si="0"/>
        <v>東京都葛飾区白鳥</v>
      </c>
      <c r="D34" s="2" t="str">
        <f t="shared" si="9"/>
        <v>http://geocode.csis.u-tokyo.ac.jp/cgi-bin/simple_geocode.cgi?charset=UTF8&amp;addr=%E6%9D%B1%E4%BA%AC%E9%83%BD%E8%91%9B%E9%A3%BE%E5%8C%BA%E7%99%BD%E9%B3%A5</v>
      </c>
      <c r="E34" t="str">
        <f t="shared" si="10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34" cm="1">
        <f t="array" ref="F34">INDEX(_xlfn.FILTERXML(E34,"//latitude"),1)</f>
        <v>35.745795999999999</v>
      </c>
      <c r="G34" cm="1">
        <f t="array" ref="G34">INDEX(_xlfn.FILTERXML(E34,"//longitude"),1)</f>
        <v>139.84266700000001</v>
      </c>
      <c r="H34">
        <v>35.745795999999999</v>
      </c>
      <c r="I34">
        <v>139.84266700000001</v>
      </c>
    </row>
    <row r="35" spans="1:9" x14ac:dyDescent="0.4">
      <c r="A35" t="s">
        <v>10</v>
      </c>
      <c r="B35" t="s">
        <v>697</v>
      </c>
      <c r="C35" t="str">
        <f t="shared" si="0"/>
        <v>神奈川県横浜市西区浅間台</v>
      </c>
      <c r="D35" s="2" t="str">
        <f t="shared" si="9"/>
        <v>http://geocode.csis.u-tokyo.ac.jp/cgi-bin/simple_geocode.cgi?charset=UTF8&amp;addr=%E7%A5%9E%E5%A5%88%E5%B7%9D%E7%9C%8C%E6%A8%AA%E6%B5%9C%E5%B8%82%E8%A5%BF%E5%8C%BA%E6%B5%85%E9%96%93%E5%8F%B0</v>
      </c>
      <c r="E35" t="str">
        <f t="shared" si="10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35" cm="1">
        <f t="array" ref="F35">INDEX(_xlfn.FILTERXML(E35,"//latitude"),1)</f>
        <v>35.464432000000002</v>
      </c>
      <c r="G35" cm="1">
        <f t="array" ref="G35">INDEX(_xlfn.FILTERXML(E35,"//longitude"),1)</f>
        <v>139.60762</v>
      </c>
      <c r="H35">
        <v>35.464432000000002</v>
      </c>
      <c r="I35">
        <v>139.60762</v>
      </c>
    </row>
    <row r="36" spans="1:9" x14ac:dyDescent="0.4">
      <c r="A36" t="s">
        <v>29</v>
      </c>
      <c r="B36" t="s">
        <v>698</v>
      </c>
      <c r="C36" t="str">
        <f t="shared" si="0"/>
        <v>静岡県静岡市駿河区</v>
      </c>
      <c r="D36" s="2" t="str">
        <f t="shared" si="9"/>
        <v>http://geocode.csis.u-tokyo.ac.jp/cgi-bin/simple_geocode.cgi?charset=UTF8&amp;addr=%E9%9D%99%E5%B2%A1%E7%9C%8C%E9%9D%99%E5%B2%A1%E5%B8%82%E9%A7%BF%E6%B2%B3%E5%8C%BA</v>
      </c>
      <c r="E36" t="str">
        <f t="shared" si="10"/>
        <v xml:space="preserve">&lt;?xml version="1.0" encoding="UTF-8" ?&gt;
&lt;results&gt;
&lt;query&gt;静岡県静岡市駿河区&lt;/query&gt;
&lt;geodetic&gt;wgs1984&lt;/geodetic&gt;
&lt;iConf&gt;5&lt;/iConf&gt;
&lt;converted&gt;静岡県静岡市駿河区&lt;/converted&gt;
&lt;candidate&gt;
&lt;address&gt;静岡県/静岡市/駿河区&lt;/address&gt;
&lt;longitude&gt;138.404053&lt;/longitude&gt;
&lt;latitude&gt;34.960747&lt;/latitude&gt;
&lt;iLvl&gt;4&lt;/iLvl&gt;
&lt;/candidate&gt;
&lt;/results&gt;
</v>
      </c>
      <c r="F36" cm="1">
        <f t="array" ref="F36">INDEX(_xlfn.FILTERXML(E36,"//latitude"),1)</f>
        <v>34.960746999999998</v>
      </c>
      <c r="G36" cm="1">
        <f t="array" ref="G36">INDEX(_xlfn.FILTERXML(E36,"//longitude"),1)</f>
        <v>138.404053</v>
      </c>
      <c r="H36">
        <v>34.960746999999998</v>
      </c>
      <c r="I36">
        <v>138.404053</v>
      </c>
    </row>
    <row r="37" spans="1:9" x14ac:dyDescent="0.4">
      <c r="A37" t="s">
        <v>17</v>
      </c>
      <c r="B37" t="s">
        <v>699</v>
      </c>
      <c r="C37" t="str">
        <f t="shared" si="0"/>
        <v>愛知県犬山市大字羽黒字堂ヶ洞</v>
      </c>
      <c r="D37" s="2" t="str">
        <f t="shared" si="9"/>
        <v>http://geocode.csis.u-tokyo.ac.jp/cgi-bin/simple_geocode.cgi?charset=UTF8&amp;addr=%E6%84%9B%E7%9F%A5%E7%9C%8C%E7%8A%AC%E5%B1%B1%E5%B8%82%E5%A4%A7%E5%AD%97%E7%BE%BD%E9%BB%92%E5%AD%97%E5%A0%82%E3%83%B6%E6%B4%9E</v>
      </c>
      <c r="E37" t="str">
        <f t="shared" si="10"/>
        <v xml:space="preserve">&lt;?xml version="1.0" encoding="UTF-8" ?&gt;
&lt;results&gt;
&lt;query&gt;愛知県犬山市大字羽黒字堂ヶ洞&lt;/query&gt;
&lt;geodetic&gt;wgs1984&lt;/geodetic&gt;
&lt;iConf&gt;4&lt;/iConf&gt;
&lt;converted&gt;愛知県犬山市大字羽黒字堂ヶ&lt;/converted&gt;
&lt;candidate&gt;
&lt;address&gt;愛知県/犬山市/大字羽黒/堂ケ洞&lt;/address&gt;
&lt;longitude&gt;136.970428&lt;/longitude&gt;
&lt;latitude&gt;35.350983&lt;/latitude&gt;
&lt;iLvl&gt;6&lt;/iLvl&gt;
&lt;/candidate&gt;
&lt;candidate&gt;
&lt;address&gt;愛知県/犬山市/羽黒堂前&lt;/address&gt;
&lt;longitude&gt;136.943649&lt;/longitude&gt;
&lt;latitude&gt;35.355225&lt;/latitude&gt;
&lt;iLvl&gt;5&lt;/iLvl&gt;
&lt;/candidate&gt;
&lt;/results&gt;
</v>
      </c>
      <c r="F37" cm="1">
        <f t="array" ref="F37">INDEX(_xlfn.FILTERXML(E37,"//latitude"),1)</f>
        <v>35.350982999999999</v>
      </c>
      <c r="G37" cm="1">
        <f t="array" ref="G37">INDEX(_xlfn.FILTERXML(E37,"//longitude"),1)</f>
        <v>136.970428</v>
      </c>
      <c r="H37">
        <v>35.350982999999999</v>
      </c>
      <c r="I37">
        <v>136.970428</v>
      </c>
    </row>
    <row r="38" spans="1:9" x14ac:dyDescent="0.4">
      <c r="A38" t="s">
        <v>21</v>
      </c>
      <c r="B38" t="s">
        <v>178</v>
      </c>
      <c r="C38" t="str">
        <f t="shared" si="0"/>
        <v>福岡県福岡市東区</v>
      </c>
      <c r="D38" s="2" t="str">
        <f t="shared" si="9"/>
        <v>http://geocode.csis.u-tokyo.ac.jp/cgi-bin/simple_geocode.cgi?charset=UTF8&amp;addr=%E7%A6%8F%E5%B2%A1%E7%9C%8C%E7%A6%8F%E5%B2%A1%E5%B8%82%E6%9D%B1%E5%8C%BA</v>
      </c>
      <c r="E38" t="str">
        <f t="shared" si="10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38" cm="1">
        <f t="array" ref="F38">INDEX(_xlfn.FILTERXML(E38,"//latitude"),1)</f>
        <v>33.617744000000002</v>
      </c>
      <c r="G38" cm="1">
        <f t="array" ref="G38">INDEX(_xlfn.FILTERXML(E38,"//longitude"),1)</f>
        <v>130.41735800000001</v>
      </c>
      <c r="H38">
        <v>33.617744000000002</v>
      </c>
      <c r="I38">
        <v>130.41735800000001</v>
      </c>
    </row>
    <row r="39" spans="1:9" x14ac:dyDescent="0.4">
      <c r="A39" t="s">
        <v>9</v>
      </c>
      <c r="B39" t="s">
        <v>700</v>
      </c>
      <c r="C39" t="str">
        <f t="shared" si="0"/>
        <v>東京都板橋区南町</v>
      </c>
      <c r="D39" s="2" t="str">
        <f t="shared" si="9"/>
        <v>http://geocode.csis.u-tokyo.ac.jp/cgi-bin/simple_geocode.cgi?charset=UTF8&amp;addr=%E6%9D%B1%E4%BA%AC%E9%83%BD%E6%9D%BF%E6%A9%8B%E5%8C%BA%E5%8D%97%E7%94%BA</v>
      </c>
      <c r="E39" t="str">
        <f t="shared" si="10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39" cm="1">
        <f t="array" ref="F39">INDEX(_xlfn.FILTERXML(E39,"//latitude"),1)</f>
        <v>35.739821999999997</v>
      </c>
      <c r="G39" cm="1">
        <f t="array" ref="G39">INDEX(_xlfn.FILTERXML(E39,"//longitude"),1)</f>
        <v>139.70192</v>
      </c>
      <c r="H39">
        <v>35.739821999999997</v>
      </c>
      <c r="I39">
        <v>139.70192</v>
      </c>
    </row>
    <row r="40" spans="1:9" x14ac:dyDescent="0.4">
      <c r="A40" t="s">
        <v>26</v>
      </c>
      <c r="B40" t="s">
        <v>701</v>
      </c>
      <c r="C40" t="str">
        <f t="shared" si="0"/>
        <v>京都府京丹後市峰山町菅</v>
      </c>
      <c r="D40" s="2" t="str">
        <f t="shared" si="9"/>
        <v>http://geocode.csis.u-tokyo.ac.jp/cgi-bin/simple_geocode.cgi?charset=UTF8&amp;addr=%E4%BA%AC%E9%83%BD%E5%BA%9C%E4%BA%AC%E4%B8%B9%E5%BE%8C%E5%B8%82%E5%B3%B0%E5%B1%B1%E7%94%BA%E8%8F%85</v>
      </c>
      <c r="E40" t="str">
        <f t="shared" si="10"/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40" cm="1">
        <f t="array" ref="F40">INDEX(_xlfn.FILTERXML(E40,"//latitude"),1)</f>
        <v>35.612991000000001</v>
      </c>
      <c r="G40" cm="1">
        <f t="array" ref="G40">INDEX(_xlfn.FILTERXML(E40,"//longitude"),1)</f>
        <v>135.06420900000001</v>
      </c>
      <c r="H40">
        <v>35.612991000000001</v>
      </c>
      <c r="I40">
        <v>135.06420900000001</v>
      </c>
    </row>
    <row r="41" spans="1:9" x14ac:dyDescent="0.4">
      <c r="A41" t="s">
        <v>17</v>
      </c>
      <c r="B41" t="s">
        <v>702</v>
      </c>
      <c r="C41" t="str">
        <f t="shared" si="0"/>
        <v>愛知県名古屋市中川区高畑</v>
      </c>
      <c r="D41" s="2" t="str">
        <f t="shared" si="9"/>
        <v>http://geocode.csis.u-tokyo.ac.jp/cgi-bin/simple_geocode.cgi?charset=UTF8&amp;addr=%E6%84%9B%E7%9F%A5%E7%9C%8C%E5%90%8D%E5%8F%A4%E5%B1%8B%E5%B8%82%E4%B8%AD%E5%B7%9D%E5%8C%BA%E9%AB%98%E7%95%91</v>
      </c>
      <c r="E41" t="str">
        <f t="shared" si="10"/>
        <v xml:space="preserve">&lt;?xml version="1.0" encoding="UTF-8" ?&gt;
&lt;results&gt;
&lt;query&gt;愛知県名古屋市中川区高畑&lt;/query&gt;
&lt;geodetic&gt;wgs1984&lt;/geodetic&gt;
&lt;iConf&gt;5&lt;/iConf&gt;
&lt;converted&gt;愛知県名古屋市中川区高畑&lt;/converted&gt;
&lt;candidate&gt;
&lt;address&gt;愛知県/名古屋市/中川区/高畑&lt;/address&gt;
&lt;longitude&gt;136.855118&lt;/longitude&gt;
&lt;latitude&gt;35.141880&lt;/latitude&gt;
&lt;iLvl&gt;5&lt;/iLvl&gt;
&lt;/candidate&gt;
&lt;/results&gt;
</v>
      </c>
      <c r="F41" cm="1">
        <f t="array" ref="F41">INDEX(_xlfn.FILTERXML(E41,"//latitude"),1)</f>
        <v>35.14188</v>
      </c>
      <c r="G41" cm="1">
        <f t="array" ref="G41">INDEX(_xlfn.FILTERXML(E41,"//longitude"),1)</f>
        <v>136.855118</v>
      </c>
      <c r="H41">
        <v>35.14188</v>
      </c>
      <c r="I41">
        <v>136.855118</v>
      </c>
    </row>
    <row r="42" spans="1:9" x14ac:dyDescent="0.4">
      <c r="A42" t="s">
        <v>11</v>
      </c>
      <c r="B42" t="s">
        <v>703</v>
      </c>
      <c r="C42" t="str">
        <f t="shared" si="0"/>
        <v>大阪府箕面市箕面</v>
      </c>
      <c r="D42" s="2" t="str">
        <f t="shared" si="9"/>
        <v>http://geocode.csis.u-tokyo.ac.jp/cgi-bin/simple_geocode.cgi?charset=UTF8&amp;addr=%E5%A4%A7%E9%98%AA%E5%BA%9C%E7%AE%95%E9%9D%A2%E5%B8%82%E7%AE%95%E9%9D%A2</v>
      </c>
      <c r="E42" t="str">
        <f t="shared" si="10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42" cm="1">
        <f t="array" ref="F42">INDEX(_xlfn.FILTERXML(E42,"//latitude"),1)</f>
        <v>34.835892000000001</v>
      </c>
      <c r="G42" cm="1">
        <f t="array" ref="G42">INDEX(_xlfn.FILTERXML(E42,"//longitude"),1)</f>
        <v>135.46850599999999</v>
      </c>
      <c r="H42">
        <v>34.835892000000001</v>
      </c>
      <c r="I42">
        <v>135.46850599999999</v>
      </c>
    </row>
    <row r="43" spans="1:9" x14ac:dyDescent="0.4">
      <c r="A43" t="s">
        <v>10</v>
      </c>
      <c r="B43" t="s">
        <v>704</v>
      </c>
      <c r="C43" t="str">
        <f t="shared" si="0"/>
        <v>神奈川県横浜市都筑区佐江戸町</v>
      </c>
      <c r="D43" s="2" t="str">
        <f t="shared" si="9"/>
        <v>http://geocode.csis.u-tokyo.ac.jp/cgi-bin/simple_geocode.cgi?charset=UTF8&amp;addr=%E7%A5%9E%E5%A5%88%E5%B7%9D%E7%9C%8C%E6%A8%AA%E6%B5%9C%E5%B8%82%E9%83%BD%E7%AD%91%E5%8C%BA%E4%BD%90%E6%B1%9F%E6%88%B8%E7%94%BA</v>
      </c>
      <c r="E43" t="str">
        <f t="shared" si="10"/>
        <v xml:space="preserve">&lt;?xml version="1.0" encoding="UTF-8" ?&gt;
&lt;results&gt;
&lt;query&gt;神奈川県横浜市都筑区佐江戸町&lt;/query&gt;
&lt;geodetic&gt;wgs1984&lt;/geodetic&gt;
&lt;iConf&gt;5&lt;/iConf&gt;
&lt;converted&gt;神奈川県横浜市都筑区佐江戸町&lt;/converted&gt;
&lt;candidate&gt;
&lt;address&gt;神奈川県/横浜市/都筑区/佐江戸町&lt;/address&gt;
&lt;longitude&gt;139.557297&lt;/longitude&gt;
&lt;latitude&gt;35.516506&lt;/latitude&gt;
&lt;iLvl&gt;5&lt;/iLvl&gt;
&lt;/candidate&gt;
&lt;/results&gt;
</v>
      </c>
      <c r="F43" cm="1">
        <f t="array" ref="F43">INDEX(_xlfn.FILTERXML(E43,"//latitude"),1)</f>
        <v>35.516506</v>
      </c>
      <c r="G43" cm="1">
        <f t="array" ref="G43">INDEX(_xlfn.FILTERXML(E43,"//longitude"),1)</f>
        <v>139.55729700000001</v>
      </c>
      <c r="H43">
        <v>35.516506</v>
      </c>
      <c r="I43">
        <v>139.55729700000001</v>
      </c>
    </row>
    <row r="44" spans="1:9" x14ac:dyDescent="0.4">
      <c r="A44" t="s">
        <v>9</v>
      </c>
      <c r="B44" t="s">
        <v>705</v>
      </c>
      <c r="C44" t="str">
        <f t="shared" si="0"/>
        <v>東京都墨田区両国2－2－6</v>
      </c>
      <c r="D44" s="2" t="str">
        <f t="shared" si="9"/>
        <v>http://geocode.csis.u-tokyo.ac.jp/cgi-bin/simple_geocode.cgi?charset=UTF8&amp;addr=%E6%9D%B1%E4%BA%AC%E9%83%BD%E5%A2%A8%E7%94%B0%E5%8C%BA%E4%B8%A1%E5%9B%BD2%EF%BC%8D2%EF%BC%8D6</v>
      </c>
      <c r="E44" t="str">
        <f t="shared" si="10"/>
        <v xml:space="preserve">&lt;?xml version="1.0" encoding="UTF-8" ?&gt;
&lt;results&gt;
&lt;query&gt;東京都墨田区両国2−2−6&lt;/query&gt;
&lt;geodetic&gt;wgs1984&lt;/geodetic&gt;
&lt;iConf&gt;5&lt;/iConf&gt;
&lt;converted&gt;東京都墨田区両国2−2−6&lt;/converted&gt;
&lt;candidate&gt;
&lt;address&gt;東京都/墨田区/両国/二丁目/２番/６号&lt;/address&gt;
&lt;longitude&gt;139.791809&lt;/longitude&gt;
&lt;latitude&gt;35.692574&lt;/latitude&gt;
&lt;iLvl&gt;8&lt;/iLvl&gt;
&lt;/candidate&gt;
&lt;/results&gt;
</v>
      </c>
      <c r="F44" cm="1">
        <f t="array" ref="F44">INDEX(_xlfn.FILTERXML(E44,"//latitude"),1)</f>
        <v>35.692574</v>
      </c>
      <c r="G44" cm="1">
        <f t="array" ref="G44">INDEX(_xlfn.FILTERXML(E44,"//longitude"),1)</f>
        <v>139.791809</v>
      </c>
      <c r="H44">
        <v>35.692574</v>
      </c>
      <c r="I44">
        <v>139.791809</v>
      </c>
    </row>
    <row r="45" spans="1:9" x14ac:dyDescent="0.4">
      <c r="A45" t="s">
        <v>20</v>
      </c>
      <c r="B45" t="s">
        <v>706</v>
      </c>
      <c r="C45" t="str">
        <f t="shared" si="0"/>
        <v>茨城県つくば市学園南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http://geocode.csis.u-tokyo.ac.jp/cgi-bin/simple_geocode.cgi?charset=UTF8&amp;addr=%E8%8C%A8%E5%9F%8E%E7%9C%8C%E3%81%A4%E3%81%8F%E3%81%B0%E5%B8%82%E5%AD%A6%E5%9C%92%E5%8D%97</v>
      </c>
      <c r="E45" t="str">
        <f t="shared" ref="E45:E57" si="12" xml:space="preserve"> _xlfn.WEBSERVICE(D45)</f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45" cm="1">
        <f t="array" ref="F45">INDEX(_xlfn.FILTERXML(E45,"//latitude"),1)</f>
        <v>36.07864</v>
      </c>
      <c r="G45" cm="1">
        <f t="array" ref="G45">INDEX(_xlfn.FILTERXML(E45,"//longitude"),1)</f>
        <v>140.076187</v>
      </c>
      <c r="H45">
        <v>36.07864</v>
      </c>
      <c r="I45">
        <v>140.076187</v>
      </c>
    </row>
    <row r="46" spans="1:9" x14ac:dyDescent="0.4">
      <c r="A46" t="s">
        <v>29</v>
      </c>
      <c r="B46" t="s">
        <v>707</v>
      </c>
      <c r="C46" t="str">
        <f t="shared" si="0"/>
        <v>静岡県沼津市</v>
      </c>
      <c r="D46" s="2" t="str">
        <f t="shared" si="11"/>
        <v>http://geocode.csis.u-tokyo.ac.jp/cgi-bin/simple_geocode.cgi?charset=UTF8&amp;addr=%E9%9D%99%E5%B2%A1%E7%9C%8C%E6%B2%BC%E6%B4%A5%E5%B8%82</v>
      </c>
      <c r="E46" t="str">
        <f t="shared" si="12"/>
        <v xml:space="preserve">&lt;?xml version="1.0" encoding="UTF-8" ?&gt;
&lt;results&gt;
&lt;query&gt;静岡県沼津市&lt;/query&gt;
&lt;geodetic&gt;wgs1984&lt;/geodetic&gt;
&lt;iConf&gt;5&lt;/iConf&gt;
&lt;converted&gt;静岡県沼津市&lt;/converted&gt;
&lt;candidate&gt;
&lt;address&gt;静岡県/沼津市&lt;/address&gt;
&lt;longitude&gt;138.863342&lt;/longitude&gt;
&lt;latitude&gt;35.095722&lt;/latitude&gt;
&lt;iLvl&gt;3&lt;/iLvl&gt;
&lt;/candidate&gt;
&lt;/results&gt;
</v>
      </c>
      <c r="F46" cm="1">
        <f t="array" ref="F46">INDEX(_xlfn.FILTERXML(E46,"//latitude"),1)</f>
        <v>35.095722000000002</v>
      </c>
      <c r="G46" cm="1">
        <f t="array" ref="G46">INDEX(_xlfn.FILTERXML(E46,"//longitude"),1)</f>
        <v>138.86334199999999</v>
      </c>
      <c r="H46">
        <v>35.095722000000002</v>
      </c>
      <c r="I46">
        <v>138.86334199999999</v>
      </c>
    </row>
    <row r="47" spans="1:9" x14ac:dyDescent="0.4">
      <c r="A47" t="s">
        <v>9</v>
      </c>
      <c r="B47" t="s">
        <v>428</v>
      </c>
      <c r="C47" t="str">
        <f t="shared" si="0"/>
        <v>東京都杉並区堀ノ内</v>
      </c>
      <c r="D47" s="2" t="str">
        <f t="shared" si="11"/>
        <v>http://geocode.csis.u-tokyo.ac.jp/cgi-bin/simple_geocode.cgi?charset=UTF8&amp;addr=%E6%9D%B1%E4%BA%AC%E9%83%BD%E6%9D%89%E4%B8%A6%E5%8C%BA%E5%A0%80%E3%83%8E%E5%86%85</v>
      </c>
      <c r="E47" t="str">
        <f t="shared" si="12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47" cm="1">
        <f t="array" ref="F47">INDEX(_xlfn.FILTERXML(E47,"//latitude"),1)</f>
        <v>35.685561999999997</v>
      </c>
      <c r="G47" cm="1">
        <f t="array" ref="G47">INDEX(_xlfn.FILTERXML(E47,"//longitude"),1)</f>
        <v>139.64866599999999</v>
      </c>
      <c r="H47">
        <v>35.685561999999997</v>
      </c>
      <c r="I47">
        <v>139.64866599999999</v>
      </c>
    </row>
    <row r="48" spans="1:9" x14ac:dyDescent="0.4">
      <c r="A48" t="s">
        <v>29</v>
      </c>
      <c r="B48" t="s">
        <v>708</v>
      </c>
      <c r="C48" t="str">
        <f t="shared" si="0"/>
        <v>静岡県菊川市堀之内</v>
      </c>
      <c r="D48" s="2" t="str">
        <f t="shared" si="11"/>
        <v>http://geocode.csis.u-tokyo.ac.jp/cgi-bin/simple_geocode.cgi?charset=UTF8&amp;addr=%E9%9D%99%E5%B2%A1%E7%9C%8C%E8%8F%8A%E5%B7%9D%E5%B8%82%E5%A0%80%E4%B9%8B%E5%86%85</v>
      </c>
      <c r="E48" t="str">
        <f t="shared" si="12"/>
        <v xml:space="preserve">&lt;?xml version="1.0" encoding="UTF-8" ?&gt;
&lt;results&gt;
&lt;query&gt;静岡県菊川市堀之内&lt;/query&gt;
&lt;geodetic&gt;wgs1984&lt;/geodetic&gt;
&lt;iConf&gt;5&lt;/iConf&gt;
&lt;converted&gt;静岡県菊川市堀之内&lt;/converted&gt;
&lt;candidate&gt;
&lt;address&gt;静岡県/菊川市/堀之内&lt;/address&gt;
&lt;longitude&gt;138.083786&lt;/longitude&gt;
&lt;latitude&gt;34.766022&lt;/latitude&gt;
&lt;iLvl&gt;5&lt;/iLvl&gt;
&lt;/candidate&gt;
&lt;/results&gt;
</v>
      </c>
      <c r="F48" cm="1">
        <f t="array" ref="F48">INDEX(_xlfn.FILTERXML(E48,"//latitude"),1)</f>
        <v>34.766022</v>
      </c>
      <c r="G48" cm="1">
        <f t="array" ref="G48">INDEX(_xlfn.FILTERXML(E48,"//longitude"),1)</f>
        <v>138.083786</v>
      </c>
      <c r="H48">
        <v>34.766022</v>
      </c>
      <c r="I48">
        <v>138.083786</v>
      </c>
    </row>
    <row r="49" spans="1:9" x14ac:dyDescent="0.4">
      <c r="A49" t="s">
        <v>118</v>
      </c>
      <c r="B49" t="s">
        <v>709</v>
      </c>
      <c r="C49" t="str">
        <f t="shared" si="0"/>
        <v>北海道帯広市西17条南31丁目</v>
      </c>
      <c r="D49" s="2" t="str">
        <f t="shared" si="11"/>
        <v>http://geocode.csis.u-tokyo.ac.jp/cgi-bin/simple_geocode.cgi?charset=UTF8&amp;addr=%E5%8C%97%E6%B5%B7%E9%81%93%E5%B8%AF%E5%BA%83%E5%B8%82%E8%A5%BF17%E6%9D%A1%E5%8D%9731%E4%B8%81%E7%9B%AE</v>
      </c>
      <c r="E49" t="str">
        <f t="shared" si="12"/>
        <v xml:space="preserve">&lt;?xml version="1.0" encoding="UTF-8" ?&gt;
&lt;results&gt;
&lt;query&gt;北海道帯広市西17条南31丁目&lt;/query&gt;
&lt;geodetic&gt;wgs1984&lt;/geodetic&gt;
&lt;iConf&gt;5&lt;/iConf&gt;
&lt;converted&gt;北海道帯広市西17条南31丁目&lt;/converted&gt;
&lt;candidate&gt;
&lt;address&gt;北海道/帯広市/西十七条/南三十一丁目&lt;/address&gt;
&lt;longitude&gt;143.178177&lt;/longitude&gt;
&lt;latitude&gt;42.894562&lt;/latitude&gt;
&lt;iLvl&gt;6&lt;/iLvl&gt;
&lt;/candidate&gt;
&lt;/results&gt;
</v>
      </c>
      <c r="F49" cm="1">
        <f t="array" ref="F49">INDEX(_xlfn.FILTERXML(E49,"//latitude"),1)</f>
        <v>42.894562000000001</v>
      </c>
      <c r="G49" cm="1">
        <f t="array" ref="G49">INDEX(_xlfn.FILTERXML(E49,"//longitude"),1)</f>
        <v>143.17817700000001</v>
      </c>
      <c r="H49">
        <v>42.894562000000001</v>
      </c>
      <c r="I49">
        <v>143.17817700000001</v>
      </c>
    </row>
    <row r="50" spans="1:9" x14ac:dyDescent="0.4">
      <c r="A50" t="s">
        <v>9</v>
      </c>
      <c r="B50" t="s">
        <v>710</v>
      </c>
      <c r="C50" t="str">
        <f t="shared" si="0"/>
        <v>東京都中野区弥生町3-6-12</v>
      </c>
      <c r="D50" s="2" t="str">
        <f t="shared" si="11"/>
        <v>http://geocode.csis.u-tokyo.ac.jp/cgi-bin/simple_geocode.cgi?charset=UTF8&amp;addr=%E6%9D%B1%E4%BA%AC%E9%83%BD%E4%B8%AD%E9%87%8E%E5%8C%BA%E5%BC%A5%E7%94%9F%E7%94%BA3-6-12</v>
      </c>
      <c r="E50" t="str">
        <f t="shared" si="12"/>
        <v xml:space="preserve">&lt;?xml version="1.0" encoding="UTF-8" ?&gt;
&lt;results&gt;
&lt;query&gt;東京都中野区弥生町3-6-12&lt;/query&gt;
&lt;geodetic&gt;wgs1984&lt;/geodetic&gt;
&lt;iConf&gt;5&lt;/iConf&gt;
&lt;converted&gt;東京都中野区弥生町3-6-&lt;/converted&gt;
&lt;candidate&gt;
&lt;address&gt;東京都/中野区/弥生町/三丁目/６番&lt;/address&gt;
&lt;longitude&gt;139.675140&lt;/longitude&gt;
&lt;latitude&gt;35.689625&lt;/latitude&gt;
&lt;iLvl&gt;7&lt;/iLvl&gt;
&lt;/candidate&gt;
&lt;/results&gt;
</v>
      </c>
      <c r="F50" cm="1">
        <f t="array" ref="F50">INDEX(_xlfn.FILTERXML(E50,"//latitude"),1)</f>
        <v>35.689624999999999</v>
      </c>
      <c r="G50" cm="1">
        <f t="array" ref="G50">INDEX(_xlfn.FILTERXML(E50,"//longitude"),1)</f>
        <v>139.67514</v>
      </c>
      <c r="H50">
        <v>35.689624999999999</v>
      </c>
      <c r="I50">
        <v>139.67514</v>
      </c>
    </row>
    <row r="51" spans="1:9" x14ac:dyDescent="0.4">
      <c r="A51" t="s">
        <v>9</v>
      </c>
      <c r="B51" t="s">
        <v>223</v>
      </c>
      <c r="C51" t="str">
        <f t="shared" si="0"/>
        <v>東京都世田谷区</v>
      </c>
      <c r="D51" s="2" t="str">
        <f t="shared" si="11"/>
        <v>http://geocode.csis.u-tokyo.ac.jp/cgi-bin/simple_geocode.cgi?charset=UTF8&amp;addr=%E6%9D%B1%E4%BA%AC%E9%83%BD%E4%B8%96%E7%94%B0%E8%B0%B7%E5%8C%BA</v>
      </c>
      <c r="E51" t="str">
        <f t="shared" si="1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1" cm="1">
        <f t="array" ref="F51">INDEX(_xlfn.FILTERXML(E51,"//latitude"),1)</f>
        <v>35.646481000000001</v>
      </c>
      <c r="G51" cm="1">
        <f t="array" ref="G51">INDEX(_xlfn.FILTERXML(E51,"//longitude"),1)</f>
        <v>139.65321399999999</v>
      </c>
      <c r="H51">
        <v>35.646481000000001</v>
      </c>
      <c r="I51">
        <v>139.65321399999999</v>
      </c>
    </row>
    <row r="52" spans="1:9" x14ac:dyDescent="0.4">
      <c r="A52" t="s">
        <v>17</v>
      </c>
      <c r="B52" t="s">
        <v>711</v>
      </c>
      <c r="C52" t="str">
        <f t="shared" si="0"/>
        <v>愛知県小牧市岩崎</v>
      </c>
      <c r="D52" s="2" t="str">
        <f t="shared" si="11"/>
        <v>http://geocode.csis.u-tokyo.ac.jp/cgi-bin/simple_geocode.cgi?charset=UTF8&amp;addr=%E6%84%9B%E7%9F%A5%E7%9C%8C%E5%B0%8F%E7%89%A7%E5%B8%82%E5%B2%A9%E5%B4%8E</v>
      </c>
      <c r="E52" t="str">
        <f t="shared" si="12"/>
        <v xml:space="preserve">&lt;?xml version="1.0" encoding="UTF-8" ?&gt;
&lt;results&gt;
&lt;query&gt;愛知県小牧市岩崎&lt;/query&gt;
&lt;geodetic&gt;wgs1984&lt;/geodetic&gt;
&lt;iConf&gt;5&lt;/iConf&gt;
&lt;converted&gt;愛知県小牧市岩崎&lt;/converted&gt;
&lt;candidate&gt;
&lt;address&gt;愛知県/小牧市/岩崎&lt;/address&gt;
&lt;longitude&gt;136.928757&lt;/longitude&gt;
&lt;latitude&gt;35.313168&lt;/latitude&gt;
&lt;iLvl&gt;5&lt;/iLvl&gt;
&lt;/candidate&gt;
&lt;/results&gt;
</v>
      </c>
      <c r="F52" cm="1">
        <f t="array" ref="F52">INDEX(_xlfn.FILTERXML(E52,"//latitude"),1)</f>
        <v>35.313167999999997</v>
      </c>
      <c r="G52" cm="1">
        <f t="array" ref="G52">INDEX(_xlfn.FILTERXML(E52,"//longitude"),1)</f>
        <v>136.92875699999999</v>
      </c>
      <c r="H52">
        <v>35.313167999999997</v>
      </c>
      <c r="I52">
        <v>136.92875699999999</v>
      </c>
    </row>
    <row r="53" spans="1:9" x14ac:dyDescent="0.4">
      <c r="A53" t="s">
        <v>9</v>
      </c>
      <c r="B53" t="s">
        <v>712</v>
      </c>
      <c r="C53" t="str">
        <f t="shared" si="0"/>
        <v>東京都世田谷区桜上水</v>
      </c>
      <c r="D53" s="2" t="str">
        <f t="shared" si="11"/>
        <v>http://geocode.csis.u-tokyo.ac.jp/cgi-bin/simple_geocode.cgi?charset=UTF8&amp;addr=%E6%9D%B1%E4%BA%AC%E9%83%BD%E4%B8%96%E7%94%B0%E8%B0%B7%E5%8C%BA%E6%A1%9C%E4%B8%8A%E6%B0%B4</v>
      </c>
      <c r="E53" t="str">
        <f t="shared" si="12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53" cm="1">
        <f t="array" ref="F53">INDEX(_xlfn.FILTERXML(E53,"//latitude"),1)</f>
        <v>35.658088999999997</v>
      </c>
      <c r="G53" cm="1">
        <f t="array" ref="G53">INDEX(_xlfn.FILTERXML(E53,"//longitude"),1)</f>
        <v>139.631516</v>
      </c>
      <c r="H53">
        <v>35.658088999999997</v>
      </c>
      <c r="I53">
        <v>139.631516</v>
      </c>
    </row>
    <row r="54" spans="1:9" x14ac:dyDescent="0.4">
      <c r="A54" t="s">
        <v>10</v>
      </c>
      <c r="B54" t="s">
        <v>713</v>
      </c>
      <c r="C54" t="str">
        <f t="shared" si="0"/>
        <v>神奈川県横浜市磯子区洋光台</v>
      </c>
      <c r="D54" s="2" t="str">
        <f t="shared" si="11"/>
        <v>http://geocode.csis.u-tokyo.ac.jp/cgi-bin/simple_geocode.cgi?charset=UTF8&amp;addr=%E7%A5%9E%E5%A5%88%E5%B7%9D%E7%9C%8C%E6%A8%AA%E6%B5%9C%E5%B8%82%E7%A3%AF%E5%AD%90%E5%8C%BA%E6%B4%8B%E5%85%89%E5%8F%B0</v>
      </c>
      <c r="E54" t="str">
        <f t="shared" si="12"/>
        <v xml:space="preserve">&lt;?xml version="1.0" encoding="UTF-8" ?&gt;
&lt;results&gt;
&lt;query&gt;神奈川県横浜市磯子区洋光台&lt;/query&gt;
&lt;geodetic&gt;wgs1984&lt;/geodetic&gt;
&lt;iConf&gt;5&lt;/iConf&gt;
&lt;converted&gt;神奈川県横浜市磯子区洋光台&lt;/converted&gt;
&lt;candidate&gt;
&lt;address&gt;神奈川県/横浜市/磯子区/洋光台&lt;/address&gt;
&lt;longitude&gt;139.598404&lt;/longitude&gt;
&lt;latitude&gt;35.385643&lt;/latitude&gt;
&lt;iLvl&gt;5&lt;/iLvl&gt;
&lt;/candidate&gt;
&lt;/results&gt;
</v>
      </c>
      <c r="F54" cm="1">
        <f t="array" ref="F54">INDEX(_xlfn.FILTERXML(E54,"//latitude"),1)</f>
        <v>35.385643000000002</v>
      </c>
      <c r="G54" cm="1">
        <f t="array" ref="G54">INDEX(_xlfn.FILTERXML(E54,"//longitude"),1)</f>
        <v>139.59840399999999</v>
      </c>
      <c r="H54">
        <v>35.385643000000002</v>
      </c>
      <c r="I54">
        <v>139.59840399999999</v>
      </c>
    </row>
    <row r="55" spans="1:9" x14ac:dyDescent="0.4">
      <c r="A55" t="s">
        <v>9</v>
      </c>
      <c r="B55" t="s">
        <v>218</v>
      </c>
      <c r="C55" t="str">
        <f t="shared" si="0"/>
        <v>東京都練馬区</v>
      </c>
      <c r="D55" s="2" t="str">
        <f t="shared" si="11"/>
        <v>http://geocode.csis.u-tokyo.ac.jp/cgi-bin/simple_geocode.cgi?charset=UTF8&amp;addr=%E6%9D%B1%E4%BA%AC%E9%83%BD%E7%B7%B4%E9%A6%AC%E5%8C%BA</v>
      </c>
      <c r="E55" t="str">
        <f t="shared" si="12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55" cm="1">
        <f t="array" ref="F55">INDEX(_xlfn.FILTERXML(E55,"//latitude"),1)</f>
        <v>35.735599999999998</v>
      </c>
      <c r="G55" cm="1">
        <f t="array" ref="G55">INDEX(_xlfn.FILTERXML(E55,"//longitude"),1)</f>
        <v>139.65171799999999</v>
      </c>
      <c r="H55">
        <v>35.735599999999998</v>
      </c>
      <c r="I55">
        <v>139.65171799999999</v>
      </c>
    </row>
    <row r="56" spans="1:9" x14ac:dyDescent="0.4">
      <c r="A56" t="s">
        <v>9</v>
      </c>
      <c r="B56" t="s">
        <v>714</v>
      </c>
      <c r="C56" t="str">
        <f t="shared" si="0"/>
        <v>東京都品川区北品川</v>
      </c>
      <c r="D56" s="2" t="str">
        <f t="shared" si="11"/>
        <v>http://geocode.csis.u-tokyo.ac.jp/cgi-bin/simple_geocode.cgi?charset=UTF8&amp;addr=%E6%9D%B1%E4%BA%AC%E9%83%BD%E5%93%81%E5%B7%9D%E5%8C%BA%E5%8C%97%E5%93%81%E5%B7%9D</v>
      </c>
      <c r="E56" t="str">
        <f t="shared" si="12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56" cm="1">
        <f t="array" ref="F56">INDEX(_xlfn.FILTERXML(E56,"//latitude"),1)</f>
        <v>35.622340999999999</v>
      </c>
      <c r="G56" cm="1">
        <f t="array" ref="G56">INDEX(_xlfn.FILTERXML(E56,"//longitude"),1)</f>
        <v>139.74002100000001</v>
      </c>
      <c r="H56">
        <v>35.622340999999999</v>
      </c>
      <c r="I56">
        <v>139.74002100000001</v>
      </c>
    </row>
    <row r="57" spans="1:9" x14ac:dyDescent="0.4">
      <c r="A57" t="s">
        <v>9</v>
      </c>
      <c r="B57" t="s">
        <v>715</v>
      </c>
      <c r="C57" t="str">
        <f t="shared" si="0"/>
        <v>東京都大田区上池台三丁目</v>
      </c>
      <c r="D57" s="2" t="str">
        <f t="shared" si="11"/>
        <v>http://geocode.csis.u-tokyo.ac.jp/cgi-bin/simple_geocode.cgi?charset=UTF8&amp;addr=%E6%9D%B1%E4%BA%AC%E9%83%BD%E5%A4%A7%E7%94%B0%E5%8C%BA%E4%B8%8A%E6%B1%A0%E5%8F%B0%E4%B8%89%E4%B8%81%E7%9B%AE</v>
      </c>
      <c r="E57" t="str">
        <f t="shared" si="12"/>
        <v xml:space="preserve">&lt;?xml version="1.0" encoding="UTF-8" ?&gt;
&lt;results&gt;
&lt;query&gt;東京都大田区上池台三丁目&lt;/query&gt;
&lt;geodetic&gt;wgs1984&lt;/geodetic&gt;
&lt;iConf&gt;5&lt;/iConf&gt;
&lt;converted&gt;東京都大田区上池台三丁目&lt;/converted&gt;
&lt;candidate&gt;
&lt;address&gt;東京都/大田区/上池台/三丁目&lt;/address&gt;
&lt;longitude&gt;139.697449&lt;/longitude&gt;
&lt;latitude&gt;35.593910&lt;/latitude&gt;
&lt;iLvl&gt;6&lt;/iLvl&gt;
&lt;/candidate&gt;
&lt;/results&gt;
</v>
      </c>
      <c r="F57" cm="1">
        <f t="array" ref="F57">INDEX(_xlfn.FILTERXML(E57,"//latitude"),1)</f>
        <v>35.593910000000001</v>
      </c>
      <c r="G57" cm="1">
        <f t="array" ref="G57">INDEX(_xlfn.FILTERXML(E57,"//longitude"),1)</f>
        <v>139.69744900000001</v>
      </c>
      <c r="H57">
        <v>35.593910000000001</v>
      </c>
      <c r="I57">
        <v>139.69744900000001</v>
      </c>
    </row>
    <row r="58" spans="1:9" x14ac:dyDescent="0.4">
      <c r="A58" t="s">
        <v>9</v>
      </c>
      <c r="B58" t="s">
        <v>714</v>
      </c>
      <c r="C58" t="str">
        <f t="shared" si="0"/>
        <v>東京都品川区北品川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http://geocode.csis.u-tokyo.ac.jp/cgi-bin/simple_geocode.cgi?charset=UTF8&amp;addr=%E6%9D%B1%E4%BA%AC%E9%83%BD%E5%93%81%E5%B7%9D%E5%8C%BA%E5%8C%97%E5%93%81%E5%B7%9D</v>
      </c>
      <c r="E58" t="str">
        <f t="shared" ref="E58:E70" si="14" xml:space="preserve"> _xlfn.WEBSERVICE(D58)</f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58" cm="1">
        <f t="array" ref="F58">INDEX(_xlfn.FILTERXML(E58,"//latitude"),1)</f>
        <v>35.622340999999999</v>
      </c>
      <c r="G58" cm="1">
        <f t="array" ref="G58">INDEX(_xlfn.FILTERXML(E58,"//longitude"),1)</f>
        <v>139.74002100000001</v>
      </c>
      <c r="H58">
        <v>35.622340999999999</v>
      </c>
      <c r="I58">
        <v>139.74002100000001</v>
      </c>
    </row>
    <row r="59" spans="1:9" x14ac:dyDescent="0.4">
      <c r="A59" t="s">
        <v>18</v>
      </c>
      <c r="B59" t="s">
        <v>716</v>
      </c>
      <c r="C59" t="str">
        <f t="shared" si="0"/>
        <v>千葉県柏市永楽台</v>
      </c>
      <c r="D59" s="2" t="str">
        <f t="shared" si="13"/>
        <v>http://geocode.csis.u-tokyo.ac.jp/cgi-bin/simple_geocode.cgi?charset=UTF8&amp;addr=%E5%8D%83%E8%91%89%E7%9C%8C%E6%9F%8F%E5%B8%82%E6%B0%B8%E6%A5%BD%E5%8F%B0</v>
      </c>
      <c r="E59" t="str">
        <f t="shared" si="14"/>
        <v xml:space="preserve">&lt;?xml version="1.0" encoding="UTF-8" ?&gt;
&lt;results&gt;
&lt;query&gt;千葉県柏市永楽台&lt;/query&gt;
&lt;geodetic&gt;wgs1984&lt;/geodetic&gt;
&lt;iConf&gt;5&lt;/iConf&gt;
&lt;converted&gt;千葉県柏市永楽台&lt;/converted&gt;
&lt;candidate&gt;
&lt;address&gt;千葉県/柏市/永楽台&lt;/address&gt;
&lt;longitude&gt;139.968948&lt;/longitude&gt;
&lt;latitude&gt;35.844578&lt;/latitude&gt;
&lt;iLvl&gt;5&lt;/iLvl&gt;
&lt;/candidate&gt;
&lt;/results&gt;
</v>
      </c>
      <c r="F59" cm="1">
        <f t="array" ref="F59">INDEX(_xlfn.FILTERXML(E59,"//latitude"),1)</f>
        <v>35.844577999999998</v>
      </c>
      <c r="G59" cm="1">
        <f t="array" ref="G59">INDEX(_xlfn.FILTERXML(E59,"//longitude"),1)</f>
        <v>139.96894800000001</v>
      </c>
      <c r="H59">
        <v>35.844577999999998</v>
      </c>
      <c r="I59">
        <v>139.96894800000001</v>
      </c>
    </row>
    <row r="60" spans="1:9" x14ac:dyDescent="0.4">
      <c r="A60" t="s">
        <v>9</v>
      </c>
      <c r="B60" t="s">
        <v>717</v>
      </c>
      <c r="C60" t="str">
        <f t="shared" si="0"/>
        <v>東京都江東区東雲</v>
      </c>
      <c r="D60" s="2" t="str">
        <f t="shared" si="13"/>
        <v>http://geocode.csis.u-tokyo.ac.jp/cgi-bin/simple_geocode.cgi?charset=UTF8&amp;addr=%E6%9D%B1%E4%BA%AC%E9%83%BD%E6%B1%9F%E6%9D%B1%E5%8C%BA%E6%9D%B1%E9%9B%B2</v>
      </c>
      <c r="E60" t="str">
        <f t="shared" si="14"/>
        <v xml:space="preserve">&lt;?xml version="1.0" encoding="UTF-8" ?&gt;
&lt;results&gt;
&lt;query&gt;東京都江東区東雲&lt;/query&gt;
&lt;geodetic&gt;wgs1984&lt;/geodetic&gt;
&lt;iConf&gt;5&lt;/iConf&gt;
&lt;converted&gt;東京都江東区東雲&lt;/converted&gt;
&lt;candidate&gt;
&lt;address&gt;東京都/江東区/東雲&lt;/address&gt;
&lt;longitude&gt;139.801819&lt;/longitude&gt;
&lt;latitude&gt;35.648418&lt;/latitude&gt;
&lt;iLvl&gt;5&lt;/iLvl&gt;
&lt;/candidate&gt;
&lt;/results&gt;
</v>
      </c>
      <c r="F60" cm="1">
        <f t="array" ref="F60">INDEX(_xlfn.FILTERXML(E60,"//latitude"),1)</f>
        <v>35.648417999999999</v>
      </c>
      <c r="G60" cm="1">
        <f t="array" ref="G60">INDEX(_xlfn.FILTERXML(E60,"//longitude"),1)</f>
        <v>139.80181899999999</v>
      </c>
      <c r="H60">
        <v>35.648417999999999</v>
      </c>
      <c r="I60">
        <v>139.80181899999999</v>
      </c>
    </row>
    <row r="61" spans="1:9" x14ac:dyDescent="0.4">
      <c r="A61" t="s">
        <v>10</v>
      </c>
      <c r="B61" t="s">
        <v>718</v>
      </c>
      <c r="C61" t="str">
        <f t="shared" si="0"/>
        <v>神奈川県川崎市高津区溝口</v>
      </c>
      <c r="D61" s="2" t="str">
        <f t="shared" si="13"/>
        <v>http://geocode.csis.u-tokyo.ac.jp/cgi-bin/simple_geocode.cgi?charset=UTF8&amp;addr=%E7%A5%9E%E5%A5%88%E5%B7%9D%E7%9C%8C%E5%B7%9D%E5%B4%8E%E5%B8%82%E9%AB%98%E6%B4%A5%E5%8C%BA%E6%BA%9D%E5%8F%A3</v>
      </c>
      <c r="E61" t="str">
        <f t="shared" si="14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61" cm="1">
        <f t="array" ref="F61">INDEX(_xlfn.FILTERXML(E61,"//latitude"),1)</f>
        <v>35.599800000000002</v>
      </c>
      <c r="G61" cm="1">
        <f t="array" ref="G61">INDEX(_xlfn.FILTERXML(E61,"//longitude"),1)</f>
        <v>139.61320499999999</v>
      </c>
      <c r="H61">
        <v>35.599800000000002</v>
      </c>
      <c r="I61">
        <v>139.61320499999999</v>
      </c>
    </row>
    <row r="62" spans="1:9" x14ac:dyDescent="0.4">
      <c r="A62" t="s">
        <v>9</v>
      </c>
      <c r="B62" t="s">
        <v>659</v>
      </c>
      <c r="C62" t="str">
        <f t="shared" si="0"/>
        <v>東京都世田谷区弦巻</v>
      </c>
      <c r="D62" s="2" t="str">
        <f t="shared" si="13"/>
        <v>http://geocode.csis.u-tokyo.ac.jp/cgi-bin/simple_geocode.cgi?charset=UTF8&amp;addr=%E6%9D%B1%E4%BA%AC%E9%83%BD%E4%B8%96%E7%94%B0%E8%B0%B7%E5%8C%BA%E5%BC%A6%E5%B7%BB</v>
      </c>
      <c r="E62" t="str">
        <f t="shared" si="14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62" cm="1">
        <f t="array" ref="F62">INDEX(_xlfn.FILTERXML(E62,"//latitude"),1)</f>
        <v>35.638038999999999</v>
      </c>
      <c r="G62" cm="1">
        <f t="array" ref="G62">INDEX(_xlfn.FILTERXML(E62,"//longitude"),1)</f>
        <v>139.651962</v>
      </c>
      <c r="H62">
        <v>35.638038999999999</v>
      </c>
      <c r="I62">
        <v>139.651962</v>
      </c>
    </row>
    <row r="63" spans="1:9" x14ac:dyDescent="0.4">
      <c r="A63" t="s">
        <v>13</v>
      </c>
      <c r="B63" t="s">
        <v>643</v>
      </c>
      <c r="C63" t="str">
        <f t="shared" si="0"/>
        <v>埼玉県秩父市山田</v>
      </c>
      <c r="D63" s="2" t="str">
        <f t="shared" si="13"/>
        <v>http://geocode.csis.u-tokyo.ac.jp/cgi-bin/simple_geocode.cgi?charset=UTF8&amp;addr=%E5%9F%BC%E7%8E%89%E7%9C%8C%E7%A7%A9%E7%88%B6%E5%B8%82%E5%B1%B1%E7%94%B0</v>
      </c>
      <c r="E63" t="str">
        <f t="shared" si="14"/>
        <v xml:space="preserve">&lt;?xml version="1.0" encoding="UTF-8" ?&gt;
&lt;results&gt;
&lt;query&gt;埼玉県秩父市山田&lt;/query&gt;
&lt;geodetic&gt;wgs1984&lt;/geodetic&gt;
&lt;iConf&gt;5&lt;/iConf&gt;
&lt;converted&gt;埼玉県秩父市山田&lt;/converted&gt;
&lt;candidate&gt;
&lt;address&gt;埼玉県/秩父市/山田&lt;/address&gt;
&lt;longitude&gt;139.121002&lt;/longitude&gt;
&lt;latitude&gt;36.010696&lt;/latitude&gt;
&lt;iLvl&gt;5&lt;/iLvl&gt;
&lt;/candidate&gt;
&lt;/results&gt;
</v>
      </c>
      <c r="F63" cm="1">
        <f t="array" ref="F63">INDEX(_xlfn.FILTERXML(E63,"//latitude"),1)</f>
        <v>36.010696000000003</v>
      </c>
      <c r="G63" cm="1">
        <f t="array" ref="G63">INDEX(_xlfn.FILTERXML(E63,"//longitude"),1)</f>
        <v>139.121002</v>
      </c>
      <c r="H63">
        <v>36.010696000000003</v>
      </c>
      <c r="I63">
        <v>139.121002</v>
      </c>
    </row>
    <row r="64" spans="1:9" x14ac:dyDescent="0.4">
      <c r="A64" t="s">
        <v>48</v>
      </c>
      <c r="B64" t="s">
        <v>719</v>
      </c>
      <c r="C64" t="str">
        <f t="shared" si="0"/>
        <v>石川県金沢市</v>
      </c>
      <c r="D64" s="2" t="str">
        <f t="shared" si="13"/>
        <v>http://geocode.csis.u-tokyo.ac.jp/cgi-bin/simple_geocode.cgi?charset=UTF8&amp;addr=%E7%9F%B3%E5%B7%9D%E7%9C%8C%E9%87%91%E6%B2%A2%E5%B8%82</v>
      </c>
      <c r="E64" t="str">
        <f t="shared" si="14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64" cm="1">
        <f t="array" ref="F64">INDEX(_xlfn.FILTERXML(E64,"//latitude"),1)</f>
        <v>36.561050000000002</v>
      </c>
      <c r="G64" cm="1">
        <f t="array" ref="G64">INDEX(_xlfn.FILTERXML(E64,"//longitude"),1)</f>
        <v>136.656631</v>
      </c>
      <c r="H64">
        <v>36.561050000000002</v>
      </c>
      <c r="I64">
        <v>136.656631</v>
      </c>
    </row>
    <row r="65" spans="1:9" x14ac:dyDescent="0.4">
      <c r="A65" t="s">
        <v>9</v>
      </c>
      <c r="B65" t="s">
        <v>720</v>
      </c>
      <c r="C65" t="str">
        <f t="shared" si="0"/>
        <v>東京都足立区綾瀬</v>
      </c>
      <c r="D65" s="2" t="str">
        <f t="shared" si="13"/>
        <v>http://geocode.csis.u-tokyo.ac.jp/cgi-bin/simple_geocode.cgi?charset=UTF8&amp;addr=%E6%9D%B1%E4%BA%AC%E9%83%BD%E8%B6%B3%E7%AB%8B%E5%8C%BA%E7%B6%BE%E7%80%AC</v>
      </c>
      <c r="E65" t="str">
        <f t="shared" si="14"/>
        <v xml:space="preserve">&lt;?xml version="1.0" encoding="UTF-8" ?&gt;
&lt;results&gt;
&lt;query&gt;東京都足立区綾瀬&lt;/query&gt;
&lt;geodetic&gt;wgs1984&lt;/geodetic&gt;
&lt;iConf&gt;5&lt;/iConf&gt;
&lt;converted&gt;東京都足立区綾瀬&lt;/converted&gt;
&lt;candidate&gt;
&lt;address&gt;東京都/足立区/綾瀬&lt;/address&gt;
&lt;longitude&gt;139.822006&lt;/longitude&gt;
&lt;latitude&gt;35.758846&lt;/latitude&gt;
&lt;iLvl&gt;5&lt;/iLvl&gt;
&lt;/candidate&gt;
&lt;/results&gt;
</v>
      </c>
      <c r="F65" cm="1">
        <f t="array" ref="F65">INDEX(_xlfn.FILTERXML(E65,"//latitude"),1)</f>
        <v>35.758845999999998</v>
      </c>
      <c r="G65" cm="1">
        <f t="array" ref="G65">INDEX(_xlfn.FILTERXML(E65,"//longitude"),1)</f>
        <v>139.82200599999999</v>
      </c>
      <c r="H65">
        <v>35.758845999999998</v>
      </c>
      <c r="I65">
        <v>139.82200599999999</v>
      </c>
    </row>
    <row r="66" spans="1:9" x14ac:dyDescent="0.4">
      <c r="A66" t="s">
        <v>13</v>
      </c>
      <c r="B66" t="s">
        <v>721</v>
      </c>
      <c r="C66" t="str">
        <f t="shared" si="0"/>
        <v>埼玉県東松山市大字下唐子</v>
      </c>
      <c r="D66" s="2" t="str">
        <f t="shared" si="13"/>
        <v>http://geocode.csis.u-tokyo.ac.jp/cgi-bin/simple_geocode.cgi?charset=UTF8&amp;addr=%E5%9F%BC%E7%8E%89%E7%9C%8C%E6%9D%B1%E6%9D%BE%E5%B1%B1%E5%B8%82%E5%A4%A7%E5%AD%97%E4%B8%8B%E5%94%90%E5%AD%90</v>
      </c>
      <c r="E66" t="str">
        <f t="shared" si="14"/>
        <v xml:space="preserve">&lt;?xml version="1.0" encoding="UTF-8" ?&gt;
&lt;results&gt;
&lt;query&gt;埼玉県東松山市大字下唐子&lt;/query&gt;
&lt;geodetic&gt;wgs1984&lt;/geodetic&gt;
&lt;iConf&gt;5&lt;/iConf&gt;
&lt;converted&gt;埼玉県東松山市大字下唐子&lt;/converted&gt;
&lt;candidate&gt;
&lt;address&gt;埼玉県/東松山市/下唐子&lt;/address&gt;
&lt;longitude&gt;139.364182&lt;/longitude&gt;
&lt;latitude&gt;36.025715&lt;/latitude&gt;
&lt;iLvl&gt;5&lt;/iLvl&gt;
&lt;/candidate&gt;
&lt;/results&gt;
</v>
      </c>
      <c r="F66" cm="1">
        <f t="array" ref="F66">INDEX(_xlfn.FILTERXML(E66,"//latitude"),1)</f>
        <v>36.025714999999998</v>
      </c>
      <c r="G66" cm="1">
        <f t="array" ref="G66">INDEX(_xlfn.FILTERXML(E66,"//longitude"),1)</f>
        <v>139.364182</v>
      </c>
      <c r="H66">
        <v>36.025714999999998</v>
      </c>
      <c r="I66">
        <v>139.364182</v>
      </c>
    </row>
    <row r="67" spans="1:9" x14ac:dyDescent="0.4">
      <c r="A67" t="s">
        <v>14</v>
      </c>
      <c r="B67" t="s">
        <v>722</v>
      </c>
      <c r="C67" t="str">
        <f t="shared" ref="C67:C130" si="15">+A67&amp;B67</f>
        <v>広島県東広島市黒瀬町乃美尾</v>
      </c>
      <c r="D67" s="2" t="str">
        <f t="shared" si="13"/>
        <v>http://geocode.csis.u-tokyo.ac.jp/cgi-bin/simple_geocode.cgi?charset=UTF8&amp;addr=%E5%BA%83%E5%B3%B6%E7%9C%8C%E6%9D%B1%E5%BA%83%E5%B3%B6%E5%B8%82%E9%BB%92%E7%80%AC%E7%94%BA%E4%B9%83%E7%BE%8E%E5%B0%BE</v>
      </c>
      <c r="E67" t="str">
        <f t="shared" si="14"/>
        <v xml:space="preserve">&lt;?xml version="1.0" encoding="UTF-8" ?&gt;
&lt;results&gt;
&lt;query&gt;広島県東広島市黒瀬町乃美尾&lt;/query&gt;
&lt;geodetic&gt;wgs1984&lt;/geodetic&gt;
&lt;iConf&gt;5&lt;/iConf&gt;
&lt;converted&gt;広島県東広島市黒瀬町乃美尾&lt;/converted&gt;
&lt;candidate&gt;
&lt;address&gt;広島県/東広島市/黒瀬町乃美尾&lt;/address&gt;
&lt;longitude&gt;132.693207&lt;/longitude&gt;
&lt;latitude&gt;34.331837&lt;/latitude&gt;
&lt;iLvl&gt;5&lt;/iLvl&gt;
&lt;/candidate&gt;
&lt;/results&gt;
</v>
      </c>
      <c r="F67" cm="1">
        <f t="array" ref="F67">INDEX(_xlfn.FILTERXML(E67,"//latitude"),1)</f>
        <v>34.331837</v>
      </c>
      <c r="G67" cm="1">
        <f t="array" ref="G67">INDEX(_xlfn.FILTERXML(E67,"//longitude"),1)</f>
        <v>132.693207</v>
      </c>
      <c r="H67">
        <v>34.331837</v>
      </c>
      <c r="I67">
        <v>132.693207</v>
      </c>
    </row>
    <row r="68" spans="1:9" x14ac:dyDescent="0.4">
      <c r="A68" t="s">
        <v>113</v>
      </c>
      <c r="B68" t="s">
        <v>723</v>
      </c>
      <c r="C68" t="str">
        <f t="shared" si="15"/>
        <v>岡山県倉敷市連島中央</v>
      </c>
      <c r="D68" s="2" t="str">
        <f t="shared" si="13"/>
        <v>http://geocode.csis.u-tokyo.ac.jp/cgi-bin/simple_geocode.cgi?charset=UTF8&amp;addr=%E5%B2%A1%E5%B1%B1%E7%9C%8C%E5%80%89%E6%95%B7%E5%B8%82%E9%80%A3%E5%B3%B6%E4%B8%AD%E5%A4%AE</v>
      </c>
      <c r="E68" t="str">
        <f t="shared" si="14"/>
        <v xml:space="preserve">&lt;?xml version="1.0" encoding="UTF-8" ?&gt;
&lt;results&gt;
&lt;query&gt;岡山県倉敷市連島中央&lt;/query&gt;
&lt;geodetic&gt;wgs1984&lt;/geodetic&gt;
&lt;iConf&gt;5&lt;/iConf&gt;
&lt;converted&gt;岡山県倉敷市連島中央&lt;/converted&gt;
&lt;candidate&gt;
&lt;address&gt;岡山県/倉敷市/連島中央&lt;/address&gt;
&lt;longitude&gt;133.733780&lt;/longitude&gt;
&lt;latitude&gt;34.546524&lt;/latitude&gt;
&lt;iLvl&gt;5&lt;/iLvl&gt;
&lt;/candidate&gt;
&lt;/results&gt;
</v>
      </c>
      <c r="F68" cm="1">
        <f t="array" ref="F68">INDEX(_xlfn.FILTERXML(E68,"//latitude"),1)</f>
        <v>34.546523999999998</v>
      </c>
      <c r="G68" cm="1">
        <f t="array" ref="G68">INDEX(_xlfn.FILTERXML(E68,"//longitude"),1)</f>
        <v>133.73378</v>
      </c>
      <c r="H68">
        <v>34.546523999999998</v>
      </c>
      <c r="I68">
        <v>133.73378</v>
      </c>
    </row>
    <row r="69" spans="1:9" x14ac:dyDescent="0.4">
      <c r="A69" t="s">
        <v>9</v>
      </c>
      <c r="B69" t="s">
        <v>724</v>
      </c>
      <c r="C69" t="str">
        <f t="shared" si="15"/>
        <v>東京都千代田区麹町1丁目</v>
      </c>
      <c r="D69" s="2" t="str">
        <f t="shared" si="13"/>
        <v>http://geocode.csis.u-tokyo.ac.jp/cgi-bin/simple_geocode.cgi?charset=UTF8&amp;addr=%E6%9D%B1%E4%BA%AC%E9%83%BD%E5%8D%83%E4%BB%A3%E7%94%B0%E5%8C%BA%E9%BA%B9%E7%94%BA1%E4%B8%81%E7%9B%AE</v>
      </c>
      <c r="E69" t="str">
        <f t="shared" si="14"/>
        <v xml:space="preserve">&lt;?xml version="1.0" encoding="UTF-8" ?&gt;
&lt;results&gt;
&lt;query&gt;東京都千代田区麹町1丁目&lt;/query&gt;
&lt;geodetic&gt;wgs1984&lt;/geodetic&gt;
&lt;iConf&gt;5&lt;/iConf&gt;
&lt;converted&gt;東京都千代田区麹町1丁目&lt;/converted&gt;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69" cm="1">
        <f t="array" ref="F69">INDEX(_xlfn.FILTERXML(E69,"//latitude"),1)</f>
        <v>35.684448000000003</v>
      </c>
      <c r="G69" cm="1">
        <f t="array" ref="G69">INDEX(_xlfn.FILTERXML(E69,"//longitude"),1)</f>
        <v>139.74292</v>
      </c>
      <c r="H69">
        <v>35.684448000000003</v>
      </c>
      <c r="I69">
        <v>139.74292</v>
      </c>
    </row>
    <row r="70" spans="1:9" x14ac:dyDescent="0.4">
      <c r="A70" t="s">
        <v>17</v>
      </c>
      <c r="B70" t="s">
        <v>725</v>
      </c>
      <c r="C70" t="str">
        <f t="shared" si="15"/>
        <v>愛知県名古屋市瑞穂区亀城町</v>
      </c>
      <c r="D70" s="2" t="str">
        <f t="shared" si="13"/>
        <v>http://geocode.csis.u-tokyo.ac.jp/cgi-bin/simple_geocode.cgi?charset=UTF8&amp;addr=%E6%84%9B%E7%9F%A5%E7%9C%8C%E5%90%8D%E5%8F%A4%E5%B1%8B%E5%B8%82%E7%91%9E%E7%A9%82%E5%8C%BA%E4%BA%80%E5%9F%8E%E7%94%BA</v>
      </c>
      <c r="E70" t="str">
        <f t="shared" si="14"/>
        <v xml:space="preserve">&lt;?xml version="1.0" encoding="UTF-8" ?&gt;
&lt;results&gt;
&lt;query&gt;愛知県名古屋市瑞穂区亀城町&lt;/query&gt;
&lt;geodetic&gt;wgs1984&lt;/geodetic&gt;
&lt;iConf&gt;5&lt;/iConf&gt;
&lt;converted&gt;愛知県名古屋市瑞穂区亀城町&lt;/converted&gt;
&lt;candidate&gt;
&lt;address&gt;愛知県/名古屋市/瑞穂区/亀城町&lt;/address&gt;
&lt;longitude&gt;136.920044&lt;/longitude&gt;
&lt;latitude&gt;35.135487&lt;/latitude&gt;
&lt;iLvl&gt;5&lt;/iLvl&gt;
&lt;/candidate&gt;
&lt;/results&gt;
</v>
      </c>
      <c r="F70" cm="1">
        <f t="array" ref="F70">INDEX(_xlfn.FILTERXML(E70,"//latitude"),1)</f>
        <v>35.135486999999998</v>
      </c>
      <c r="G70" cm="1">
        <f t="array" ref="G70">INDEX(_xlfn.FILTERXML(E70,"//longitude"),1)</f>
        <v>136.92004399999999</v>
      </c>
      <c r="H70">
        <v>35.135486999999998</v>
      </c>
      <c r="I70">
        <v>136.92004399999999</v>
      </c>
    </row>
    <row r="71" spans="1:9" x14ac:dyDescent="0.4">
      <c r="A71" t="s">
        <v>9</v>
      </c>
      <c r="B71" t="s">
        <v>304</v>
      </c>
      <c r="C71" t="str">
        <f t="shared" si="15"/>
        <v>東京都目黒区鷹番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http://geocode.csis.u-tokyo.ac.jp/cgi-bin/simple_geocode.cgi?charset=UTF8&amp;addr=%E6%9D%B1%E4%BA%AC%E9%83%BD%E7%9B%AE%E9%BB%92%E5%8C%BA%E9%B7%B9%E7%95%AA</v>
      </c>
      <c r="E71" t="str">
        <f t="shared" ref="E71:E95" si="17" xml:space="preserve"> _xlfn.WEBSERVICE(D71)</f>
        <v xml:space="preserve">&lt;?xml version="1.0" encoding="UTF-8" ?&gt;
&lt;results&gt;
&lt;query&gt;東京都目黒区鷹番&lt;/query&gt;
&lt;geodetic&gt;wgs1984&lt;/geodetic&gt;
&lt;iConf&gt;5&lt;/iConf&gt;
&lt;converted&gt;東京都目黒区鷹番&lt;/converted&gt;
&lt;candidate&gt;
&lt;address&gt;東京都/目黒区/鷹番&lt;/address&gt;
&lt;longitude&gt;139.687408&lt;/longitude&gt;
&lt;latitude&gt;35.625717&lt;/latitude&gt;
&lt;iLvl&gt;5&lt;/iLvl&gt;
&lt;/candidate&gt;
&lt;/results&gt;
</v>
      </c>
      <c r="F71" cm="1">
        <f t="array" ref="F71">INDEX(_xlfn.FILTERXML(E71,"//latitude"),1)</f>
        <v>35.625717000000002</v>
      </c>
      <c r="G71" cm="1">
        <f t="array" ref="G71">INDEX(_xlfn.FILTERXML(E71,"//longitude"),1)</f>
        <v>139.687408</v>
      </c>
      <c r="H71">
        <v>35.625717000000002</v>
      </c>
      <c r="I71">
        <v>139.687408</v>
      </c>
    </row>
    <row r="72" spans="1:9" x14ac:dyDescent="0.4">
      <c r="A72" t="s">
        <v>9</v>
      </c>
      <c r="B72" t="s">
        <v>726</v>
      </c>
      <c r="C72" t="str">
        <f t="shared" si="15"/>
        <v>東京都日野市</v>
      </c>
      <c r="D72" s="2" t="str">
        <f t="shared" si="16"/>
        <v>http://geocode.csis.u-tokyo.ac.jp/cgi-bin/simple_geocode.cgi?charset=UTF8&amp;addr=%E6%9D%B1%E4%BA%AC%E9%83%BD%E6%97%A5%E9%87%8E%E5%B8%82</v>
      </c>
      <c r="E72" t="str">
        <f t="shared" si="17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72" cm="1">
        <f t="array" ref="F72">INDEX(_xlfn.FILTERXML(E72,"//latitude"),1)</f>
        <v>35.671348999999999</v>
      </c>
      <c r="G72" cm="1">
        <f t="array" ref="G72">INDEX(_xlfn.FILTERXML(E72,"//longitude"),1)</f>
        <v>139.39497399999999</v>
      </c>
      <c r="H72">
        <v>35.671348999999999</v>
      </c>
      <c r="I72">
        <v>139.39497399999999</v>
      </c>
    </row>
    <row r="73" spans="1:9" x14ac:dyDescent="0.4">
      <c r="A73" t="s">
        <v>9</v>
      </c>
      <c r="B73" t="s">
        <v>512</v>
      </c>
      <c r="C73" t="str">
        <f t="shared" si="15"/>
        <v>東京都新宿区西早稲田</v>
      </c>
      <c r="D73" s="2" t="str">
        <f t="shared" si="16"/>
        <v>http://geocode.csis.u-tokyo.ac.jp/cgi-bin/simple_geocode.cgi?charset=UTF8&amp;addr=%E6%9D%B1%E4%BA%AC%E9%83%BD%E6%96%B0%E5%AE%BF%E5%8C%BA%E8%A5%BF%E6%97%A9%E7%A8%B2%E7%94%B0</v>
      </c>
      <c r="E73" t="str">
        <f t="shared" si="17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73" cm="1">
        <f t="array" ref="F73">INDEX(_xlfn.FILTERXML(E73,"//latitude"),1)</f>
        <v>35.709820000000001</v>
      </c>
      <c r="G73" cm="1">
        <f t="array" ref="G73">INDEX(_xlfn.FILTERXML(E73,"//longitude"),1)</f>
        <v>139.71902499999999</v>
      </c>
      <c r="H73">
        <v>35.709820000000001</v>
      </c>
      <c r="I73">
        <v>139.71902499999999</v>
      </c>
    </row>
    <row r="74" spans="1:9" x14ac:dyDescent="0.4">
      <c r="A74" t="s">
        <v>20</v>
      </c>
      <c r="B74" t="s">
        <v>706</v>
      </c>
      <c r="C74" t="str">
        <f t="shared" si="15"/>
        <v>茨城県つくば市学園南</v>
      </c>
      <c r="D74" s="2" t="str">
        <f t="shared" si="16"/>
        <v>http://geocode.csis.u-tokyo.ac.jp/cgi-bin/simple_geocode.cgi?charset=UTF8&amp;addr=%E8%8C%A8%E5%9F%8E%E7%9C%8C%E3%81%A4%E3%81%8F%E3%81%B0%E5%B8%82%E5%AD%A6%E5%9C%92%E5%8D%97</v>
      </c>
      <c r="E74" t="str">
        <f t="shared" si="17"/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74" cm="1">
        <f t="array" ref="F74">INDEX(_xlfn.FILTERXML(E74,"//latitude"),1)</f>
        <v>36.07864</v>
      </c>
      <c r="G74" cm="1">
        <f t="array" ref="G74">INDEX(_xlfn.FILTERXML(E74,"//longitude"),1)</f>
        <v>140.076187</v>
      </c>
      <c r="H74">
        <v>36.07864</v>
      </c>
      <c r="I74">
        <v>140.076187</v>
      </c>
    </row>
    <row r="75" spans="1:9" x14ac:dyDescent="0.4">
      <c r="A75" t="s">
        <v>34</v>
      </c>
      <c r="B75" t="s">
        <v>727</v>
      </c>
      <c r="C75" t="str">
        <f t="shared" si="15"/>
        <v>岐阜県羽島市上中町長間</v>
      </c>
      <c r="D75" s="2" t="str">
        <f t="shared" si="16"/>
        <v>http://geocode.csis.u-tokyo.ac.jp/cgi-bin/simple_geocode.cgi?charset=UTF8&amp;addr=%E5%B2%90%E9%98%9C%E7%9C%8C%E7%BE%BD%E5%B3%B6%E5%B8%82%E4%B8%8A%E4%B8%AD%E7%94%BA%E9%95%B7%E9%96%93</v>
      </c>
      <c r="E75" t="str">
        <f t="shared" si="17"/>
        <v xml:space="preserve">&lt;?xml version="1.0" encoding="UTF-8" ?&gt;
&lt;results&gt;
&lt;query&gt;岐阜県羽島市上中町長間&lt;/query&gt;
&lt;geodetic&gt;wgs1984&lt;/geodetic&gt;
&lt;iConf&gt;5&lt;/iConf&gt;
&lt;converted&gt;岐阜県羽島市上中町長間&lt;/converted&gt;
&lt;candidate&gt;
&lt;address&gt;岐阜県/羽島市/上中町長間&lt;/address&gt;
&lt;longitude&gt;136.700821&lt;/longitude&gt;
&lt;latitude&gt;35.304909&lt;/latitude&gt;
&lt;iLvl&gt;5&lt;/iLvl&gt;
&lt;/candidate&gt;
&lt;/results&gt;
</v>
      </c>
      <c r="F75" cm="1">
        <f t="array" ref="F75">INDEX(_xlfn.FILTERXML(E75,"//latitude"),1)</f>
        <v>35.304909000000002</v>
      </c>
      <c r="G75" cm="1">
        <f t="array" ref="G75">INDEX(_xlfn.FILTERXML(E75,"//longitude"),1)</f>
        <v>136.70082099999999</v>
      </c>
      <c r="H75">
        <v>35.304909000000002</v>
      </c>
      <c r="I75">
        <v>136.70082099999999</v>
      </c>
    </row>
    <row r="76" spans="1:9" x14ac:dyDescent="0.4">
      <c r="A76" t="s">
        <v>29</v>
      </c>
      <c r="B76" t="s">
        <v>728</v>
      </c>
      <c r="C76" t="str">
        <f t="shared" si="15"/>
        <v>静岡県浜松市中央区蜆塚</v>
      </c>
      <c r="D76" s="2" t="str">
        <f t="shared" si="16"/>
        <v>http://geocode.csis.u-tokyo.ac.jp/cgi-bin/simple_geocode.cgi?charset=UTF8&amp;addr=%E9%9D%99%E5%B2%A1%E7%9C%8C%E6%B5%9C%E6%9D%BE%E5%B8%82%E4%B8%AD%E5%A4%AE%E5%8C%BA%E8%9C%86%E5%A1%9A</v>
      </c>
      <c r="E76" t="str">
        <f t="shared" si="17"/>
        <v xml:space="preserve">&lt;?xml version="1.0" encoding="UTF-8" ?&gt;
&lt;results&gt;
&lt;query&gt;静岡県浜松市中央区蜆塚&lt;/query&gt;
&lt;geodetic&gt;wgs1984&lt;/geodetic&gt;
&lt;iConf&gt;5&lt;/iConf&gt;
&lt;converted&gt;静岡県浜松市中央区蜆塚&lt;/converted&gt;
&lt;candidate&gt;
&lt;address&gt;静岡県/浜松市/中央区/蜆塚&lt;/address&gt;
&lt;longitude&gt;137.712830&lt;/longitude&gt;
&lt;latitude&gt;34.712185&lt;/latitude&gt;
&lt;iLvl&gt;5&lt;/iLvl&gt;
&lt;/candidate&gt;
&lt;/results&gt;
</v>
      </c>
      <c r="F76" cm="1">
        <f t="array" ref="F76">INDEX(_xlfn.FILTERXML(E76,"//latitude"),1)</f>
        <v>34.712184999999998</v>
      </c>
      <c r="G76" cm="1">
        <f t="array" ref="G76">INDEX(_xlfn.FILTERXML(E76,"//longitude"),1)</f>
        <v>137.71283</v>
      </c>
      <c r="H76">
        <v>34.712184999999998</v>
      </c>
      <c r="I76">
        <v>137.71283</v>
      </c>
    </row>
    <row r="77" spans="1:9" x14ac:dyDescent="0.4">
      <c r="A77" t="s">
        <v>21</v>
      </c>
      <c r="B77" t="s">
        <v>729</v>
      </c>
      <c r="C77" t="str">
        <f t="shared" si="15"/>
        <v>福岡県福岡市南区若久</v>
      </c>
      <c r="D77" s="2" t="str">
        <f t="shared" si="16"/>
        <v>http://geocode.csis.u-tokyo.ac.jp/cgi-bin/simple_geocode.cgi?charset=UTF8&amp;addr=%E7%A6%8F%E5%B2%A1%E7%9C%8C%E7%A6%8F%E5%B2%A1%E5%B8%82%E5%8D%97%E5%8C%BA%E8%8B%A5%E4%B9%85</v>
      </c>
      <c r="E77" t="str">
        <f t="shared" si="17"/>
        <v xml:space="preserve">&lt;?xml version="1.0" encoding="UTF-8" ?&gt;
&lt;results&gt;
&lt;query&gt;福岡県福岡市南区若久&lt;/query&gt;
&lt;geodetic&gt;wgs1984&lt;/geodetic&gt;
&lt;iConf&gt;5&lt;/iConf&gt;
&lt;converted&gt;福岡県福岡市南区若久&lt;/converted&gt;
&lt;candidate&gt;
&lt;address&gt;福岡県/福岡市/南区/若久&lt;/address&gt;
&lt;longitude&gt;130.413757&lt;/longitude&gt;
&lt;latitude&gt;33.555710&lt;/latitude&gt;
&lt;iLvl&gt;5&lt;/iLvl&gt;
&lt;/candidate&gt;
&lt;/results&gt;
</v>
      </c>
      <c r="F77" cm="1">
        <f t="array" ref="F77">INDEX(_xlfn.FILTERXML(E77,"//latitude"),1)</f>
        <v>33.555709999999998</v>
      </c>
      <c r="G77" cm="1">
        <f t="array" ref="G77">INDEX(_xlfn.FILTERXML(E77,"//longitude"),1)</f>
        <v>130.413757</v>
      </c>
      <c r="H77">
        <v>33.555709999999998</v>
      </c>
      <c r="I77">
        <v>130.413757</v>
      </c>
    </row>
    <row r="78" spans="1:9" x14ac:dyDescent="0.4">
      <c r="A78" t="s">
        <v>12</v>
      </c>
      <c r="B78" t="s">
        <v>36</v>
      </c>
      <c r="C78" t="str">
        <f t="shared" si="15"/>
        <v>奈良県吉野郡大淀町福神</v>
      </c>
      <c r="D78" s="2" t="str">
        <f t="shared" si="16"/>
        <v>http://geocode.csis.u-tokyo.ac.jp/cgi-bin/simple_geocode.cgi?charset=UTF8&amp;addr=%E5%A5%88%E8%89%AF%E7%9C%8C%E5%90%89%E9%87%8E%E9%83%A1%E5%A4%A7%E6%B7%80%E7%94%BA%E7%A6%8F%E7%A5%9E</v>
      </c>
      <c r="E78" t="str">
        <f t="shared" si="17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78" cm="1">
        <f t="array" ref="F78">INDEX(_xlfn.FILTERXML(E78,"//latitude"),1)</f>
        <v>34.394787000000001</v>
      </c>
      <c r="G78" cm="1">
        <f t="array" ref="G78">INDEX(_xlfn.FILTERXML(E78,"//longitude"),1)</f>
        <v>135.747253</v>
      </c>
      <c r="H78">
        <v>34.394787000000001</v>
      </c>
      <c r="I78">
        <v>135.747253</v>
      </c>
    </row>
    <row r="79" spans="1:9" x14ac:dyDescent="0.4">
      <c r="A79" t="s">
        <v>20</v>
      </c>
      <c r="B79" t="s">
        <v>496</v>
      </c>
      <c r="C79" t="str">
        <f t="shared" si="15"/>
        <v>茨城県桜川市</v>
      </c>
      <c r="D79" s="2" t="str">
        <f t="shared" si="16"/>
        <v>http://geocode.csis.u-tokyo.ac.jp/cgi-bin/simple_geocode.cgi?charset=UTF8&amp;addr=%E8%8C%A8%E5%9F%8E%E7%9C%8C%E6%A1%9C%E5%B7%9D%E5%B8%82</v>
      </c>
      <c r="E79" t="str">
        <f t="shared" si="17"/>
        <v xml:space="preserve">&lt;?xml version="1.0" encoding="UTF-8" ?&gt;
&lt;results&gt;
&lt;query&gt;茨城県桜川市&lt;/query&gt;
&lt;geodetic&gt;wgs1984&lt;/geodetic&gt;
&lt;iConf&gt;5&lt;/iConf&gt;
&lt;converted&gt;茨城県桜川市&lt;/converted&gt;
&lt;candidate&gt;
&lt;address&gt;茨城県/桜川市&lt;/address&gt;
&lt;longitude&gt;140.090485&lt;/longitude&gt;
&lt;latitude&gt;36.327274&lt;/latitude&gt;
&lt;iLvl&gt;3&lt;/iLvl&gt;
&lt;/candidate&gt;
&lt;/results&gt;
</v>
      </c>
      <c r="F79" cm="1">
        <f t="array" ref="F79">INDEX(_xlfn.FILTERXML(E79,"//latitude"),1)</f>
        <v>36.327274000000003</v>
      </c>
      <c r="G79" cm="1">
        <f t="array" ref="G79">INDEX(_xlfn.FILTERXML(E79,"//longitude"),1)</f>
        <v>140.090485</v>
      </c>
      <c r="H79">
        <v>36.327274000000003</v>
      </c>
      <c r="I79">
        <v>140.090485</v>
      </c>
    </row>
    <row r="80" spans="1:9" x14ac:dyDescent="0.4">
      <c r="A80" t="s">
        <v>11</v>
      </c>
      <c r="B80" t="s">
        <v>122</v>
      </c>
      <c r="C80" t="str">
        <f t="shared" si="15"/>
        <v>大阪府大阪市</v>
      </c>
      <c r="D80" s="2" t="str">
        <f t="shared" si="16"/>
        <v>http://geocode.csis.u-tokyo.ac.jp/cgi-bin/simple_geocode.cgi?charset=UTF8&amp;addr=%E5%A4%A7%E9%98%AA%E5%BA%9C%E5%A4%A7%E9%98%AA%E5%B8%82</v>
      </c>
      <c r="E80" t="str">
        <f t="shared" si="17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80" cm="1">
        <f t="array" ref="F80">INDEX(_xlfn.FILTERXML(E80,"//latitude"),1)</f>
        <v>34.693890000000003</v>
      </c>
      <c r="G80" cm="1">
        <f t="array" ref="G80">INDEX(_xlfn.FILTERXML(E80,"//longitude"),1)</f>
        <v>135.50204500000001</v>
      </c>
      <c r="H80">
        <v>34.693890000000003</v>
      </c>
      <c r="I80">
        <v>135.50204500000001</v>
      </c>
    </row>
    <row r="81" spans="1:9" x14ac:dyDescent="0.4">
      <c r="A81" t="s">
        <v>9</v>
      </c>
      <c r="B81" t="s">
        <v>45</v>
      </c>
      <c r="C81" t="str">
        <f t="shared" si="15"/>
        <v>東京都品川区</v>
      </c>
      <c r="D81" s="2" t="str">
        <f t="shared" si="16"/>
        <v>http://geocode.csis.u-tokyo.ac.jp/cgi-bin/simple_geocode.cgi?charset=UTF8&amp;addr=%E6%9D%B1%E4%BA%AC%E9%83%BD%E5%93%81%E5%B7%9D%E5%8C%BA</v>
      </c>
      <c r="E81" t="str">
        <f t="shared" si="17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81" cm="1">
        <f t="array" ref="F81">INDEX(_xlfn.FILTERXML(E81,"//latitude"),1)</f>
        <v>35.609065999999999</v>
      </c>
      <c r="G81" cm="1">
        <f t="array" ref="G81">INDEX(_xlfn.FILTERXML(E81,"//longitude"),1)</f>
        <v>139.730255</v>
      </c>
      <c r="H81">
        <v>35.609065999999999</v>
      </c>
      <c r="I81">
        <v>139.730255</v>
      </c>
    </row>
    <row r="82" spans="1:9" x14ac:dyDescent="0.4">
      <c r="A82" t="s">
        <v>11</v>
      </c>
      <c r="B82" t="s">
        <v>505</v>
      </c>
      <c r="C82" t="str">
        <f t="shared" si="15"/>
        <v>大阪府大阪市中央区森ノ宮中央1-7-6</v>
      </c>
      <c r="D82" s="2" t="str">
        <f t="shared" si="16"/>
        <v>http://geocode.csis.u-tokyo.ac.jp/cgi-bin/simple_geocode.cgi?charset=UTF8&amp;addr=%E5%A4%A7%E9%98%AA%E5%BA%9C%E5%A4%A7%E9%98%AA%E5%B8%82%E4%B8%AD%E5%A4%AE%E5%8C%BA%E6%A3%AE%E3%83%8E%E5%AE%AE%E4%B8%AD%E5%A4%AE1-7-6</v>
      </c>
      <c r="E82" t="str">
        <f t="shared" si="17"/>
        <v xml:space="preserve">&lt;?xml version="1.0" encoding="UTF-8" ?&gt;
&lt;results&gt;
&lt;query&gt;大阪府大阪市中央区森ノ宮中央1-7-6&lt;/query&gt;
&lt;geodetic&gt;wgs1984&lt;/geodetic&gt;
&lt;iConf&gt;5&lt;/iConf&gt;
&lt;converted&gt;大阪府大阪市中央区森ノ宮中央1-7-6&lt;/converted&gt;
&lt;candidate&gt;
&lt;address&gt;大阪府/大阪市/中央区/森ノ宮中央/一丁目/７番/６号&lt;/address&gt;
&lt;longitude&gt;135.533905&lt;/longitude&gt;
&lt;latitude&gt;34.678009&lt;/latitude&gt;
&lt;iLvl&gt;8&lt;/iLvl&gt;
&lt;/candidate&gt;
&lt;/results&gt;
</v>
      </c>
      <c r="F82" cm="1">
        <f t="array" ref="F82">INDEX(_xlfn.FILTERXML(E82,"//latitude"),1)</f>
        <v>34.678009000000003</v>
      </c>
      <c r="G82" cm="1">
        <f t="array" ref="G82">INDEX(_xlfn.FILTERXML(E82,"//longitude"),1)</f>
        <v>135.533905</v>
      </c>
      <c r="H82">
        <v>34.678009000000003</v>
      </c>
      <c r="I82">
        <v>135.533905</v>
      </c>
    </row>
    <row r="83" spans="1:9" x14ac:dyDescent="0.4">
      <c r="A83" t="s">
        <v>21</v>
      </c>
      <c r="B83" t="s">
        <v>730</v>
      </c>
      <c r="C83" t="str">
        <f t="shared" si="15"/>
        <v>福岡県福岡市早良区百道浜</v>
      </c>
      <c r="D83" s="2" t="str">
        <f t="shared" si="16"/>
        <v>http://geocode.csis.u-tokyo.ac.jp/cgi-bin/simple_geocode.cgi?charset=UTF8&amp;addr=%E7%A6%8F%E5%B2%A1%E7%9C%8C%E7%A6%8F%E5%B2%A1%E5%B8%82%E6%97%A9%E8%89%AF%E5%8C%BA%E7%99%BE%E9%81%93%E6%B5%9C</v>
      </c>
      <c r="E83" t="str">
        <f t="shared" si="17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83" cm="1">
        <f t="array" ref="F83">INDEX(_xlfn.FILTERXML(E83,"//latitude"),1)</f>
        <v>33.590674999999997</v>
      </c>
      <c r="G83" cm="1">
        <f t="array" ref="G83">INDEX(_xlfn.FILTERXML(E83,"//longitude"),1)</f>
        <v>130.35678100000001</v>
      </c>
      <c r="H83">
        <v>33.590674999999997</v>
      </c>
      <c r="I83">
        <v>130.35678100000001</v>
      </c>
    </row>
    <row r="84" spans="1:9" x14ac:dyDescent="0.4">
      <c r="A84" t="s">
        <v>20</v>
      </c>
      <c r="B84" t="s">
        <v>257</v>
      </c>
      <c r="C84" t="str">
        <f t="shared" si="15"/>
        <v>茨城県土浦市右籾</v>
      </c>
      <c r="D84" s="2" t="str">
        <f t="shared" si="16"/>
        <v>http://geocode.csis.u-tokyo.ac.jp/cgi-bin/simple_geocode.cgi?charset=UTF8&amp;addr=%E8%8C%A8%E5%9F%8E%E7%9C%8C%E5%9C%9F%E6%B5%A6%E5%B8%82%E5%8F%B3%E7%B1%BE</v>
      </c>
      <c r="E84" t="str">
        <f t="shared" si="17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84" cm="1">
        <f t="array" ref="F84">INDEX(_xlfn.FILTERXML(E84,"//latitude"),1)</f>
        <v>36.043018000000004</v>
      </c>
      <c r="G84" cm="1">
        <f t="array" ref="G84">INDEX(_xlfn.FILTERXML(E84,"//longitude"),1)</f>
        <v>140.18580600000001</v>
      </c>
      <c r="H84">
        <v>36.043018000000004</v>
      </c>
      <c r="I84">
        <v>140.18580600000001</v>
      </c>
    </row>
    <row r="85" spans="1:9" x14ac:dyDescent="0.4">
      <c r="A85" t="s">
        <v>15</v>
      </c>
      <c r="B85" t="s">
        <v>731</v>
      </c>
      <c r="C85" t="str">
        <f t="shared" si="15"/>
        <v>兵庫県神戸市兵庫区梅元町</v>
      </c>
      <c r="D85" s="2" t="str">
        <f t="shared" si="16"/>
        <v>http://geocode.csis.u-tokyo.ac.jp/cgi-bin/simple_geocode.cgi?charset=UTF8&amp;addr=%E5%85%B5%E5%BA%AB%E7%9C%8C%E7%A5%9E%E6%88%B8%E5%B8%82%E5%85%B5%E5%BA%AB%E5%8C%BA%E6%A2%85%E5%85%83%E7%94%BA</v>
      </c>
      <c r="E85" t="str">
        <f t="shared" si="17"/>
        <v xml:space="preserve">&lt;?xml version="1.0" encoding="UTF-8" ?&gt;
&lt;results&gt;
&lt;query&gt;兵庫県神戸市兵庫区梅元町&lt;/query&gt;
&lt;geodetic&gt;wgs1984&lt;/geodetic&gt;
&lt;iConf&gt;5&lt;/iConf&gt;
&lt;converted&gt;兵庫県神戸市兵庫区梅元町&lt;/converted&gt;
&lt;candidate&gt;
&lt;address&gt;兵庫県/神戸市/兵庫区/梅元町&lt;/address&gt;
&lt;longitude&gt;135.171799&lt;/longitude&gt;
&lt;latitude&gt;34.693077&lt;/latitude&gt;
&lt;iLvl&gt;5&lt;/iLvl&gt;
&lt;/candidate&gt;
&lt;/results&gt;
</v>
      </c>
      <c r="F85" cm="1">
        <f t="array" ref="F85">INDEX(_xlfn.FILTERXML(E85,"//latitude"),1)</f>
        <v>34.693077000000002</v>
      </c>
      <c r="G85" cm="1">
        <f t="array" ref="G85">INDEX(_xlfn.FILTERXML(E85,"//longitude"),1)</f>
        <v>135.17179899999999</v>
      </c>
      <c r="H85">
        <v>34.693077000000002</v>
      </c>
      <c r="I85">
        <v>135.17179899999999</v>
      </c>
    </row>
    <row r="86" spans="1:9" x14ac:dyDescent="0.4">
      <c r="A86" t="s">
        <v>29</v>
      </c>
      <c r="B86" t="s">
        <v>732</v>
      </c>
      <c r="C86" t="str">
        <f t="shared" si="15"/>
        <v>静岡県静岡市駿河区下川原南</v>
      </c>
      <c r="D86" s="2" t="str">
        <f t="shared" si="16"/>
        <v>http://geocode.csis.u-tokyo.ac.jp/cgi-bin/simple_geocode.cgi?charset=UTF8&amp;addr=%E9%9D%99%E5%B2%A1%E7%9C%8C%E9%9D%99%E5%B2%A1%E5%B8%82%E9%A7%BF%E6%B2%B3%E5%8C%BA%E4%B8%8B%E5%B7%9D%E5%8E%9F%E5%8D%97</v>
      </c>
      <c r="E86" t="str">
        <f t="shared" si="17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86" cm="1">
        <f t="array" ref="F86">INDEX(_xlfn.FILTERXML(E86,"//latitude"),1)</f>
        <v>34.932537000000004</v>
      </c>
      <c r="G86" cm="1">
        <f t="array" ref="G86">INDEX(_xlfn.FILTERXML(E86,"//longitude"),1)</f>
        <v>138.38417100000001</v>
      </c>
      <c r="H86">
        <v>34.932537000000004</v>
      </c>
      <c r="I86">
        <v>138.38417100000001</v>
      </c>
    </row>
    <row r="87" spans="1:9" x14ac:dyDescent="0.4">
      <c r="A87" t="s">
        <v>15</v>
      </c>
      <c r="B87" t="s">
        <v>733</v>
      </c>
      <c r="C87" t="str">
        <f t="shared" si="15"/>
        <v>兵庫県川西市多田1-1-1</v>
      </c>
      <c r="D87" s="2" t="str">
        <f t="shared" si="16"/>
        <v>http://geocode.csis.u-tokyo.ac.jp/cgi-bin/simple_geocode.cgi?charset=UTF8&amp;addr=%E5%85%B5%E5%BA%AB%E7%9C%8C%E5%B7%9D%E8%A5%BF%E5%B8%82%E5%A4%9A%E7%94%B01-1-1</v>
      </c>
      <c r="E87" t="str">
        <f t="shared" si="17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87" cm="1">
        <f t="array" ref="F87">INDEX(_xlfn.FILTERXML(E87,"//latitude"),1)</f>
        <v>34.861888999999998</v>
      </c>
      <c r="G87" cm="1">
        <f t="array" ref="G87">INDEX(_xlfn.FILTERXML(E87,"//longitude"),1)</f>
        <v>135.405258</v>
      </c>
      <c r="H87">
        <v>34.861888999999998</v>
      </c>
      <c r="I87">
        <v>135.405258</v>
      </c>
    </row>
    <row r="88" spans="1:9" x14ac:dyDescent="0.4">
      <c r="A88" t="s">
        <v>26</v>
      </c>
      <c r="B88" t="s">
        <v>734</v>
      </c>
      <c r="C88" t="str">
        <f t="shared" si="15"/>
        <v>京都府城陽市市辺</v>
      </c>
      <c r="D88" s="2" t="str">
        <f t="shared" si="16"/>
        <v>http://geocode.csis.u-tokyo.ac.jp/cgi-bin/simple_geocode.cgi?charset=UTF8&amp;addr=%E4%BA%AC%E9%83%BD%E5%BA%9C%E5%9F%8E%E9%99%BD%E5%B8%82%E5%B8%82%E8%BE%BA</v>
      </c>
      <c r="E88" t="str">
        <f t="shared" si="17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88" cm="1">
        <f t="array" ref="F88">INDEX(_xlfn.FILTERXML(E88,"//latitude"),1)</f>
        <v>34.828578999999998</v>
      </c>
      <c r="G88" cm="1">
        <f t="array" ref="G88">INDEX(_xlfn.FILTERXML(E88,"//longitude"),1)</f>
        <v>135.82110599999999</v>
      </c>
      <c r="H88">
        <v>34.828578999999998</v>
      </c>
      <c r="I88">
        <v>135.82110599999999</v>
      </c>
    </row>
    <row r="89" spans="1:9" x14ac:dyDescent="0.4">
      <c r="A89" t="s">
        <v>29</v>
      </c>
      <c r="B89" t="s">
        <v>142</v>
      </c>
      <c r="C89" t="str">
        <f t="shared" si="15"/>
        <v>静岡県袋井市豊沢</v>
      </c>
      <c r="D89" s="2" t="str">
        <f t="shared" si="16"/>
        <v>http://geocode.csis.u-tokyo.ac.jp/cgi-bin/simple_geocode.cgi?charset=UTF8&amp;addr=%E9%9D%99%E5%B2%A1%E7%9C%8C%E8%A2%8B%E4%BA%95%E5%B8%82%E8%B1%8A%E6%B2%A2</v>
      </c>
      <c r="E89" t="str">
        <f t="shared" si="17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89" cm="1">
        <f t="array" ref="F89">INDEX(_xlfn.FILTERXML(E89,"//latitude"),1)</f>
        <v>34.736378000000002</v>
      </c>
      <c r="G89" cm="1">
        <f t="array" ref="G89">INDEX(_xlfn.FILTERXML(E89,"//longitude"),1)</f>
        <v>137.96971099999999</v>
      </c>
      <c r="H89">
        <v>34.736378000000002</v>
      </c>
      <c r="I89">
        <v>137.96971099999999</v>
      </c>
    </row>
    <row r="90" spans="1:9" x14ac:dyDescent="0.4">
      <c r="A90" t="s">
        <v>10</v>
      </c>
      <c r="B90" t="s">
        <v>735</v>
      </c>
      <c r="C90" t="str">
        <f t="shared" si="15"/>
        <v>神奈川県相模原市南区古淵</v>
      </c>
      <c r="D90" s="2" t="str">
        <f t="shared" si="16"/>
        <v>http://geocode.csis.u-tokyo.ac.jp/cgi-bin/simple_geocode.cgi?charset=UTF8&amp;addr=%E7%A5%9E%E5%A5%88%E5%B7%9D%E7%9C%8C%E7%9B%B8%E6%A8%A1%E5%8E%9F%E5%B8%82%E5%8D%97%E5%8C%BA%E5%8F%A4%E6%B7%B5</v>
      </c>
      <c r="E90" t="str">
        <f t="shared" si="17"/>
        <v xml:space="preserve">&lt;?xml version="1.0" encoding="UTF-8" ?&gt;
&lt;results&gt;
&lt;query&gt;神奈川県相模原市南区古淵&lt;/query&gt;
&lt;geodetic&gt;wgs1984&lt;/geodetic&gt;
&lt;iConf&gt;5&lt;/iConf&gt;
&lt;converted&gt;神奈川県相模原市南区古淵&lt;/converted&gt;
&lt;candidate&gt;
&lt;address&gt;神奈川県/相模原市/南区/古淵&lt;/address&gt;
&lt;longitude&gt;139.420471&lt;/longitude&gt;
&lt;latitude&gt;35.558971&lt;/latitude&gt;
&lt;iLvl&gt;5&lt;/iLvl&gt;
&lt;/candidate&gt;
&lt;/results&gt;
</v>
      </c>
      <c r="F90" cm="1">
        <f t="array" ref="F90">INDEX(_xlfn.FILTERXML(E90,"//latitude"),1)</f>
        <v>35.558971</v>
      </c>
      <c r="G90" cm="1">
        <f t="array" ref="G90">INDEX(_xlfn.FILTERXML(E90,"//longitude"),1)</f>
        <v>139.42047099999999</v>
      </c>
      <c r="H90">
        <v>35.558971</v>
      </c>
      <c r="I90">
        <v>139.42047099999999</v>
      </c>
    </row>
    <row r="91" spans="1:9" x14ac:dyDescent="0.4">
      <c r="A91" t="s">
        <v>18</v>
      </c>
      <c r="B91" t="s">
        <v>145</v>
      </c>
      <c r="C91" t="str">
        <f t="shared" si="15"/>
        <v>千葉県船橋市</v>
      </c>
      <c r="D91" s="2" t="str">
        <f t="shared" si="16"/>
        <v>http://geocode.csis.u-tokyo.ac.jp/cgi-bin/simple_geocode.cgi?charset=UTF8&amp;addr=%E5%8D%83%E8%91%89%E7%9C%8C%E8%88%B9%E6%A9%8B%E5%B8%82</v>
      </c>
      <c r="E91" t="str">
        <f t="shared" si="17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91" cm="1">
        <f t="array" ref="F91">INDEX(_xlfn.FILTERXML(E91,"//latitude"),1)</f>
        <v>35.694710000000001</v>
      </c>
      <c r="G91" cm="1">
        <f t="array" ref="G91">INDEX(_xlfn.FILTERXML(E91,"//longitude"),1)</f>
        <v>139.98262</v>
      </c>
      <c r="H91">
        <v>35.694710000000001</v>
      </c>
      <c r="I91">
        <v>139.98262</v>
      </c>
    </row>
    <row r="92" spans="1:9" x14ac:dyDescent="0.4">
      <c r="A92" t="s">
        <v>10</v>
      </c>
      <c r="B92" t="s">
        <v>736</v>
      </c>
      <c r="C92" t="str">
        <f t="shared" si="15"/>
        <v>神奈川県横浜市港北区箕輪町</v>
      </c>
      <c r="D92" s="2" t="str">
        <f t="shared" si="16"/>
        <v>http://geocode.csis.u-tokyo.ac.jp/cgi-bin/simple_geocode.cgi?charset=UTF8&amp;addr=%E7%A5%9E%E5%A5%88%E5%B7%9D%E7%9C%8C%E6%A8%AA%E6%B5%9C%E5%B8%82%E6%B8%AF%E5%8C%97%E5%8C%BA%E7%AE%95%E8%BC%AA%E7%94%BA</v>
      </c>
      <c r="E92" t="str">
        <f t="shared" si="17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92" cm="1">
        <f t="array" ref="F92">INDEX(_xlfn.FILTERXML(E92,"//latitude"),1)</f>
        <v>35.548881999999999</v>
      </c>
      <c r="G92" cm="1">
        <f t="array" ref="G92">INDEX(_xlfn.FILTERXML(E92,"//longitude"),1)</f>
        <v>139.647491</v>
      </c>
      <c r="H92">
        <v>35.548881999999999</v>
      </c>
      <c r="I92">
        <v>139.647491</v>
      </c>
    </row>
    <row r="93" spans="1:9" x14ac:dyDescent="0.4">
      <c r="A93" t="s">
        <v>10</v>
      </c>
      <c r="B93" t="s">
        <v>157</v>
      </c>
      <c r="C93" t="str">
        <f t="shared" si="15"/>
        <v>神奈川県横浜市青葉区美しが丘</v>
      </c>
      <c r="D93" s="2" t="str">
        <f t="shared" si="16"/>
        <v>http://geocode.csis.u-tokyo.ac.jp/cgi-bin/simple_geocode.cgi?charset=UTF8&amp;addr=%E7%A5%9E%E5%A5%88%E5%B7%9D%E7%9C%8C%E6%A8%AA%E6%B5%9C%E5%B8%82%E9%9D%92%E8%91%89%E5%8C%BA%E7%BE%8E%E3%81%97%E3%81%8C%E4%B8%98</v>
      </c>
      <c r="E93" t="str">
        <f t="shared" si="17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93" cm="1">
        <f t="array" ref="F93">INDEX(_xlfn.FILTERXML(E93,"//latitude"),1)</f>
        <v>35.579971</v>
      </c>
      <c r="G93" cm="1">
        <f t="array" ref="G93">INDEX(_xlfn.FILTERXML(E93,"//longitude"),1)</f>
        <v>139.555374</v>
      </c>
      <c r="H93">
        <v>35.579971</v>
      </c>
      <c r="I93">
        <v>139.555374</v>
      </c>
    </row>
    <row r="94" spans="1:9" x14ac:dyDescent="0.4">
      <c r="A94" t="s">
        <v>9</v>
      </c>
      <c r="B94" t="s">
        <v>162</v>
      </c>
      <c r="C94" t="str">
        <f t="shared" si="15"/>
        <v>東京都文京区本駒込</v>
      </c>
      <c r="D94" s="2" t="str">
        <f t="shared" si="16"/>
        <v>http://geocode.csis.u-tokyo.ac.jp/cgi-bin/simple_geocode.cgi?charset=UTF8&amp;addr=%E6%9D%B1%E4%BA%AC%E9%83%BD%E6%96%87%E4%BA%AC%E5%8C%BA%E6%9C%AC%E9%A7%92%E8%BE%BC</v>
      </c>
      <c r="E94" t="str">
        <f t="shared" si="17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94" cm="1">
        <f t="array" ref="F94">INDEX(_xlfn.FILTERXML(E94,"//latitude"),1)</f>
        <v>35.725501999999999</v>
      </c>
      <c r="G94" cm="1">
        <f t="array" ref="G94">INDEX(_xlfn.FILTERXML(E94,"//longitude"),1)</f>
        <v>139.75147999999999</v>
      </c>
      <c r="H94">
        <v>35.725501999999999</v>
      </c>
      <c r="I94">
        <v>139.75147999999999</v>
      </c>
    </row>
    <row r="95" spans="1:9" x14ac:dyDescent="0.4">
      <c r="A95" t="s">
        <v>121</v>
      </c>
      <c r="B95" t="s">
        <v>737</v>
      </c>
      <c r="C95" t="str">
        <f t="shared" si="15"/>
        <v>山梨県南都留郡忍野村忍草</v>
      </c>
      <c r="D95" s="2" t="str">
        <f t="shared" si="16"/>
        <v>http://geocode.csis.u-tokyo.ac.jp/cgi-bin/simple_geocode.cgi?charset=UTF8&amp;addr=%E5%B1%B1%E6%A2%A8%E7%9C%8C%E5%8D%97%E9%83%BD%E7%95%99%E9%83%A1%E5%BF%8D%E9%87%8E%E6%9D%91%E5%BF%8D%E8%8D%89</v>
      </c>
      <c r="E95" t="str">
        <f t="shared" si="17"/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95" cm="1">
        <f t="array" ref="F95">INDEX(_xlfn.FILTERXML(E95,"//latitude"),1)</f>
        <v>35.458663999999999</v>
      </c>
      <c r="G95" cm="1">
        <f t="array" ref="G95">INDEX(_xlfn.FILTERXML(E95,"//longitude"),1)</f>
        <v>138.82865899999999</v>
      </c>
      <c r="H95">
        <v>35.458663999999999</v>
      </c>
      <c r="I95">
        <v>138.82865899999999</v>
      </c>
    </row>
    <row r="96" spans="1:9" x14ac:dyDescent="0.4">
      <c r="A96" t="s">
        <v>20</v>
      </c>
      <c r="B96" t="s">
        <v>738</v>
      </c>
      <c r="C96" t="str">
        <f t="shared" si="15"/>
        <v>茨城県牛久市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http://geocode.csis.u-tokyo.ac.jp/cgi-bin/simple_geocode.cgi?charset=UTF8&amp;addr=%E8%8C%A8%E5%9F%8E%E7%9C%8C%E7%89%9B%E4%B9%85%E5%B8%82</v>
      </c>
      <c r="E96" t="str">
        <f t="shared" ref="E96:E122" si="19" xml:space="preserve"> _xlfn.WEBSERVICE(D96)</f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96" cm="1">
        <f t="array" ref="F96">INDEX(_xlfn.FILTERXML(E96,"//latitude"),1)</f>
        <v>35.979396999999999</v>
      </c>
      <c r="G96" cm="1">
        <f t="array" ref="G96">INDEX(_xlfn.FILTERXML(E96,"//longitude"),1)</f>
        <v>140.14953600000001</v>
      </c>
      <c r="H96">
        <v>35.979396999999999</v>
      </c>
      <c r="I96">
        <v>140.14953600000001</v>
      </c>
    </row>
    <row r="97" spans="1:9" x14ac:dyDescent="0.4">
      <c r="A97" t="s">
        <v>9</v>
      </c>
      <c r="B97" t="s">
        <v>739</v>
      </c>
      <c r="C97" t="str">
        <f t="shared" si="15"/>
        <v>東京都小金井市前原町</v>
      </c>
      <c r="D97" s="2" t="str">
        <f t="shared" si="18"/>
        <v>http://geocode.csis.u-tokyo.ac.jp/cgi-bin/simple_geocode.cgi?charset=UTF8&amp;addr=%E6%9D%B1%E4%BA%AC%E9%83%BD%E5%B0%8F%E9%87%91%E4%BA%95%E5%B8%82%E5%89%8D%E5%8E%9F%E7%94%BA</v>
      </c>
      <c r="E97" t="str">
        <f t="shared" si="19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97" cm="1">
        <f t="array" ref="F97">INDEX(_xlfn.FILTERXML(E97,"//latitude"),1)</f>
        <v>35.689368999999999</v>
      </c>
      <c r="G97" cm="1">
        <f t="array" ref="G97">INDEX(_xlfn.FILTERXML(E97,"//longitude"),1)</f>
        <v>139.511551</v>
      </c>
      <c r="H97">
        <v>35.689368999999999</v>
      </c>
      <c r="I97">
        <v>139.511551</v>
      </c>
    </row>
    <row r="98" spans="1:9" x14ac:dyDescent="0.4">
      <c r="A98" t="s">
        <v>11</v>
      </c>
      <c r="B98" t="s">
        <v>740</v>
      </c>
      <c r="C98" t="str">
        <f t="shared" si="15"/>
        <v>大阪府吹田市広芝町</v>
      </c>
      <c r="D98" s="2" t="str">
        <f t="shared" si="18"/>
        <v>http://geocode.csis.u-tokyo.ac.jp/cgi-bin/simple_geocode.cgi?charset=UTF8&amp;addr=%E5%A4%A7%E9%98%AA%E5%BA%9C%E5%90%B9%E7%94%B0%E5%B8%82%E5%BA%83%E8%8A%9D%E7%94%BA</v>
      </c>
      <c r="E98" t="str">
        <f t="shared" si="19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98" cm="1">
        <f t="array" ref="F98">INDEX(_xlfn.FILTERXML(E98,"//latitude"),1)</f>
        <v>34.754950999999998</v>
      </c>
      <c r="G98" cm="1">
        <f t="array" ref="G98">INDEX(_xlfn.FILTERXML(E98,"//longitude"),1)</f>
        <v>135.498886</v>
      </c>
      <c r="H98">
        <v>34.754950999999998</v>
      </c>
      <c r="I98">
        <v>135.498886</v>
      </c>
    </row>
    <row r="99" spans="1:9" x14ac:dyDescent="0.4">
      <c r="A99" t="s">
        <v>118</v>
      </c>
      <c r="B99" t="s">
        <v>741</v>
      </c>
      <c r="C99" t="str">
        <f t="shared" si="15"/>
        <v>北海道札幌市北区屯田2条１丁目</v>
      </c>
      <c r="D99" s="2" t="str">
        <f t="shared" si="18"/>
        <v>http://geocode.csis.u-tokyo.ac.jp/cgi-bin/simple_geocode.cgi?charset=UTF8&amp;addr=%E5%8C%97%E6%B5%B7%E9%81%93%E6%9C%AD%E5%B9%8C%E5%B8%82%E5%8C%97%E5%8C%BA%E5%B1%AF%E7%94%B02%E6%9D%A1%EF%BC%91%E4%B8%81%E7%9B%AE</v>
      </c>
      <c r="E99" t="str">
        <f t="shared" si="19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99" cm="1">
        <f t="array" ref="F99">INDEX(_xlfn.FILTERXML(E99,"//latitude"),1)</f>
        <v>43.122211</v>
      </c>
      <c r="G99" cm="1">
        <f t="array" ref="G99">INDEX(_xlfn.FILTERXML(E99,"//longitude"),1)</f>
        <v>141.34259</v>
      </c>
      <c r="H99">
        <v>43.122211</v>
      </c>
      <c r="I99">
        <v>141.34259</v>
      </c>
    </row>
    <row r="100" spans="1:9" x14ac:dyDescent="0.4">
      <c r="A100" t="s">
        <v>10</v>
      </c>
      <c r="B100" t="s">
        <v>742</v>
      </c>
      <c r="C100" t="str">
        <f t="shared" si="15"/>
        <v>神奈川県横浜市港北区新吉田東</v>
      </c>
      <c r="D100" s="2" t="str">
        <f t="shared" si="18"/>
        <v>http://geocode.csis.u-tokyo.ac.jp/cgi-bin/simple_geocode.cgi?charset=UTF8&amp;addr=%E7%A5%9E%E5%A5%88%E5%B7%9D%E7%9C%8C%E6%A8%AA%E6%B5%9C%E5%B8%82%E6%B8%AF%E5%8C%97%E5%8C%BA%E6%96%B0%E5%90%89%E7%94%B0%E6%9D%B1</v>
      </c>
      <c r="E100" t="str">
        <f t="shared" si="19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100" cm="1">
        <f t="array" ref="F100">INDEX(_xlfn.FILTERXML(E100,"//latitude"),1)</f>
        <v>35.543315999999997</v>
      </c>
      <c r="G100" cm="1">
        <f t="array" ref="G100">INDEX(_xlfn.FILTERXML(E100,"//longitude"),1)</f>
        <v>139.62115499999999</v>
      </c>
      <c r="H100">
        <v>35.543315999999997</v>
      </c>
      <c r="I100">
        <v>139.62115499999999</v>
      </c>
    </row>
    <row r="101" spans="1:9" x14ac:dyDescent="0.4">
      <c r="A101" t="s">
        <v>15</v>
      </c>
      <c r="B101" t="s">
        <v>171</v>
      </c>
      <c r="C101" t="str">
        <f t="shared" si="15"/>
        <v>兵庫県加古川市市平岡町</v>
      </c>
      <c r="D101" s="2" t="str">
        <f t="shared" si="18"/>
        <v>http://geocode.csis.u-tokyo.ac.jp/cgi-bin/simple_geocode.cgi?charset=UTF8&amp;addr=%E5%85%B5%E5%BA%AB%E7%9C%8C%E5%8A%A0%E5%8F%A4%E5%B7%9D%E5%B8%82%E5%B8%82%E5%B9%B3%E5%B2%A1%E7%94%BA</v>
      </c>
      <c r="E101" t="str">
        <f t="shared" si="19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101" cm="1">
        <f t="array" ref="F101">INDEX(_xlfn.FILTERXML(E101,"//latitude"),1)</f>
        <v>34.756618000000003</v>
      </c>
      <c r="G101" cm="1">
        <f t="array" ref="G101">INDEX(_xlfn.FILTERXML(E101,"//longitude"),1)</f>
        <v>134.84089700000001</v>
      </c>
      <c r="H101">
        <v>34.756618000000003</v>
      </c>
      <c r="I101">
        <v>134.84089700000001</v>
      </c>
    </row>
    <row r="102" spans="1:9" x14ac:dyDescent="0.4">
      <c r="A102" t="s">
        <v>9</v>
      </c>
      <c r="B102" t="s">
        <v>743</v>
      </c>
      <c r="C102" t="str">
        <f t="shared" si="15"/>
        <v>東京都福生市熊川</v>
      </c>
      <c r="D102" s="2" t="str">
        <f t="shared" si="18"/>
        <v>http://geocode.csis.u-tokyo.ac.jp/cgi-bin/simple_geocode.cgi?charset=UTF8&amp;addr=%E6%9D%B1%E4%BA%AC%E9%83%BD%E7%A6%8F%E7%94%9F%E5%B8%82%E7%86%8A%E5%B7%9D</v>
      </c>
      <c r="E102" t="str">
        <f t="shared" si="19"/>
        <v xml:space="preserve">&lt;?xml version="1.0" encoding="UTF-8" ?&gt;
&lt;results&gt;
&lt;query&gt;東京都福生市熊川&lt;/query&gt;
&lt;geodetic&gt;wgs1984&lt;/geodetic&gt;
&lt;iConf&gt;5&lt;/iConf&gt;
&lt;converted&gt;東京都福生市熊川&lt;/converted&gt;
&lt;candidate&gt;
&lt;address&gt;東京都/福生市/熊川&lt;/address&gt;
&lt;longitude&gt;139.343048&lt;/longitude&gt;
&lt;latitude&gt;35.723492&lt;/latitude&gt;
&lt;iLvl&gt;5&lt;/iLvl&gt;
&lt;/candidate&gt;
&lt;/results&gt;
</v>
      </c>
      <c r="F102" cm="1">
        <f t="array" ref="F102">INDEX(_xlfn.FILTERXML(E102,"//latitude"),1)</f>
        <v>35.723492</v>
      </c>
      <c r="G102" cm="1">
        <f t="array" ref="G102">INDEX(_xlfn.FILTERXML(E102,"//longitude"),1)</f>
        <v>139.34304800000001</v>
      </c>
      <c r="H102">
        <v>35.723492</v>
      </c>
      <c r="I102">
        <v>139.34304800000001</v>
      </c>
    </row>
    <row r="103" spans="1:9" x14ac:dyDescent="0.4">
      <c r="A103" t="s">
        <v>16</v>
      </c>
      <c r="B103" t="s">
        <v>744</v>
      </c>
      <c r="C103" t="str">
        <f t="shared" si="15"/>
        <v>長野県南箕輪村</v>
      </c>
      <c r="D103" s="2" t="str">
        <f t="shared" si="18"/>
        <v>http://geocode.csis.u-tokyo.ac.jp/cgi-bin/simple_geocode.cgi?charset=UTF8&amp;addr=%E9%95%B7%E9%87%8E%E7%9C%8C%E5%8D%97%E7%AE%95%E8%BC%AA%E6%9D%91</v>
      </c>
      <c r="E103" t="str">
        <f t="shared" si="19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103" cm="1">
        <f t="array" ref="F103">INDEX(_xlfn.FILTERXML(E103,"//latitude"),1)</f>
        <v>35.872852000000002</v>
      </c>
      <c r="G103" cm="1">
        <f t="array" ref="G103">INDEX(_xlfn.FILTERXML(E103,"//longitude"),1)</f>
        <v>137.97508199999999</v>
      </c>
      <c r="H103">
        <v>35.872852000000002</v>
      </c>
      <c r="I103">
        <v>137.97508199999999</v>
      </c>
    </row>
    <row r="104" spans="1:9" x14ac:dyDescent="0.4">
      <c r="A104" t="s">
        <v>15</v>
      </c>
      <c r="B104" t="s">
        <v>180</v>
      </c>
      <c r="C104" t="str">
        <f t="shared" si="15"/>
        <v>兵庫県神戸市北区緑町</v>
      </c>
      <c r="D104" s="2" t="str">
        <f t="shared" si="18"/>
        <v>http://geocode.csis.u-tokyo.ac.jp/cgi-bin/simple_geocode.cgi?charset=UTF8&amp;addr=%E5%85%B5%E5%BA%AB%E7%9C%8C%E7%A5%9E%E6%88%B8%E5%B8%82%E5%8C%97%E5%8C%BA%E7%B7%91%E7%94%BA</v>
      </c>
      <c r="E104" t="str">
        <f t="shared" si="19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104" cm="1">
        <f t="array" ref="F104">INDEX(_xlfn.FILTERXML(E104,"//latitude"),1)</f>
        <v>34.746913999999997</v>
      </c>
      <c r="G104" cm="1">
        <f t="array" ref="G104">INDEX(_xlfn.FILTERXML(E104,"//longitude"),1)</f>
        <v>135.15309099999999</v>
      </c>
      <c r="H104">
        <v>34.746913999999997</v>
      </c>
      <c r="I104">
        <v>135.15309099999999</v>
      </c>
    </row>
    <row r="105" spans="1:9" x14ac:dyDescent="0.4">
      <c r="A105" t="s">
        <v>118</v>
      </c>
      <c r="B105" t="s">
        <v>745</v>
      </c>
      <c r="C105" t="str">
        <f t="shared" si="15"/>
        <v>北海道札幌市中央区北1条西22丁目</v>
      </c>
      <c r="D105" s="2" t="str">
        <f t="shared" si="18"/>
        <v>http://geocode.csis.u-tokyo.ac.jp/cgi-bin/simple_geocode.cgi?charset=UTF8&amp;addr=%E5%8C%97%E6%B5%B7%E9%81%93%E6%9C%AD%E5%B9%8C%E5%B8%82%E4%B8%AD%E5%A4%AE%E5%8C%BA%E5%8C%971%E6%9D%A1%E8%A5%BF22%E4%B8%81%E7%9B%AE</v>
      </c>
      <c r="E105" t="str">
        <f t="shared" si="19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105" cm="1">
        <f t="array" ref="F105">INDEX(_xlfn.FILTERXML(E105,"//latitude"),1)</f>
        <v>43.058487</v>
      </c>
      <c r="G105" cm="1">
        <f t="array" ref="G105">INDEX(_xlfn.FILTERXML(E105,"//longitude"),1)</f>
        <v>141.32325700000001</v>
      </c>
      <c r="H105">
        <v>43.058487</v>
      </c>
      <c r="I105">
        <v>141.32325700000001</v>
      </c>
    </row>
    <row r="106" spans="1:9" x14ac:dyDescent="0.4">
      <c r="A106" t="s">
        <v>9</v>
      </c>
      <c r="B106" t="s">
        <v>746</v>
      </c>
      <c r="C106" t="str">
        <f t="shared" si="15"/>
        <v>東京都東京都大田区南千束</v>
      </c>
      <c r="D106" s="2" t="str">
        <f t="shared" si="18"/>
        <v>http://geocode.csis.u-tokyo.ac.jp/cgi-bin/simple_geocode.cgi?charset=UTF8&amp;addr=%E6%9D%B1%E4%BA%AC%E9%83%BD%E6%9D%B1%E4%BA%AC%E9%83%BD%E5%A4%A7%E7%94%B0%E5%8C%BA%E5%8D%97%E5%8D%83%E6%9D%9F</v>
      </c>
      <c r="E106" t="str">
        <f t="shared" si="19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106" cm="1">
        <f t="array" ref="F106">INDEX(_xlfn.FILTERXML(E106,"//latitude"),1)</f>
        <v>35.757992000000002</v>
      </c>
      <c r="G106" cm="1">
        <f t="array" ref="G106">INDEX(_xlfn.FILTERXML(E106,"//longitude"),1)</f>
        <v>139.52967799999999</v>
      </c>
      <c r="H106">
        <v>35.757992000000002</v>
      </c>
      <c r="I106">
        <v>139.52967799999999</v>
      </c>
    </row>
    <row r="107" spans="1:9" x14ac:dyDescent="0.4">
      <c r="A107" t="s">
        <v>21</v>
      </c>
      <c r="B107" t="s">
        <v>747</v>
      </c>
      <c r="C107" t="str">
        <f t="shared" si="15"/>
        <v>福岡県福岡市東区美和台</v>
      </c>
      <c r="D107" s="2" t="str">
        <f t="shared" si="18"/>
        <v>http://geocode.csis.u-tokyo.ac.jp/cgi-bin/simple_geocode.cgi?charset=UTF8&amp;addr=%E7%A6%8F%E5%B2%A1%E7%9C%8C%E7%A6%8F%E5%B2%A1%E5%B8%82%E6%9D%B1%E5%8C%BA%E7%BE%8E%E5%92%8C%E5%8F%B0</v>
      </c>
      <c r="E107" t="str">
        <f t="shared" si="19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107" cm="1">
        <f t="array" ref="F107">INDEX(_xlfn.FILTERXML(E107,"//latitude"),1)</f>
        <v>33.699001000000003</v>
      </c>
      <c r="G107" cm="1">
        <f t="array" ref="G107">INDEX(_xlfn.FILTERXML(E107,"//longitude"),1)</f>
        <v>130.431839</v>
      </c>
      <c r="H107">
        <v>33.699001000000003</v>
      </c>
      <c r="I107">
        <v>130.431839</v>
      </c>
    </row>
    <row r="108" spans="1:9" x14ac:dyDescent="0.4">
      <c r="A108" t="s">
        <v>29</v>
      </c>
      <c r="B108" t="s">
        <v>483</v>
      </c>
      <c r="C108" t="str">
        <f t="shared" si="15"/>
        <v>静岡県焼津市</v>
      </c>
      <c r="D108" s="2" t="str">
        <f t="shared" si="18"/>
        <v>http://geocode.csis.u-tokyo.ac.jp/cgi-bin/simple_geocode.cgi?charset=UTF8&amp;addr=%E9%9D%99%E5%B2%A1%E7%9C%8C%E7%84%BC%E6%B4%A5%E5%B8%82</v>
      </c>
      <c r="E108" t="str">
        <f t="shared" si="19"/>
        <v xml:space="preserve">&lt;?xml version="1.0" encoding="UTF-8" ?&gt;
&lt;results&gt;
&lt;query&gt;静岡県焼津市&lt;/query&gt;
&lt;geodetic&gt;wgs1984&lt;/geodetic&gt;
&lt;iConf&gt;5&lt;/iConf&gt;
&lt;converted&gt;静岡県焼津市&lt;/converted&gt;
&lt;candidate&gt;
&lt;address&gt;静岡県/焼津市&lt;/address&gt;
&lt;longitude&gt;138.323257&lt;/longitude&gt;
&lt;latitude&gt;34.866905&lt;/latitude&gt;
&lt;iLvl&gt;3&lt;/iLvl&gt;
&lt;/candidate&gt;
&lt;/results&gt;
</v>
      </c>
      <c r="F108" cm="1">
        <f t="array" ref="F108">INDEX(_xlfn.FILTERXML(E108,"//latitude"),1)</f>
        <v>34.866905000000003</v>
      </c>
      <c r="G108" cm="1">
        <f t="array" ref="G108">INDEX(_xlfn.FILTERXML(E108,"//longitude"),1)</f>
        <v>138.32325700000001</v>
      </c>
      <c r="H108">
        <v>34.866905000000003</v>
      </c>
      <c r="I108">
        <v>138.32325700000001</v>
      </c>
    </row>
    <row r="109" spans="1:9" x14ac:dyDescent="0.4">
      <c r="A109" t="s">
        <v>10</v>
      </c>
      <c r="B109" t="s">
        <v>748</v>
      </c>
      <c r="C109" t="str">
        <f t="shared" si="15"/>
        <v>神奈川県横浜市旭区四季美台</v>
      </c>
      <c r="D109" s="2" t="str">
        <f t="shared" si="18"/>
        <v>http://geocode.csis.u-tokyo.ac.jp/cgi-bin/simple_geocode.cgi?charset=UTF8&amp;addr=%E7%A5%9E%E5%A5%88%E5%B7%9D%E7%9C%8C%E6%A8%AA%E6%B5%9C%E5%B8%82%E6%97%AD%E5%8C%BA%E5%9B%9B%E5%AD%A3%E7%BE%8E%E5%8F%B0</v>
      </c>
      <c r="E109" t="str">
        <f t="shared" si="19"/>
        <v xml:space="preserve">&lt;?xml version="1.0" encoding="UTF-8" ?&gt;
&lt;results&gt;
&lt;query&gt;神奈川県横浜市旭区四季美台&lt;/query&gt;
&lt;geodetic&gt;wgs1984&lt;/geodetic&gt;
&lt;iConf&gt;5&lt;/iConf&gt;
&lt;converted&gt;神奈川県横浜市旭区四季美台&lt;/converted&gt;
&lt;candidate&gt;
&lt;address&gt;神奈川県/横浜市/旭区/四季美台&lt;/address&gt;
&lt;longitude&gt;139.538208&lt;/longitude&gt;
&lt;latitude&gt;35.472000&lt;/latitude&gt;
&lt;iLvl&gt;5&lt;/iLvl&gt;
&lt;/candidate&gt;
&lt;/results&gt;
</v>
      </c>
      <c r="F109" cm="1">
        <f t="array" ref="F109">INDEX(_xlfn.FILTERXML(E109,"//latitude"),1)</f>
        <v>35.472000000000001</v>
      </c>
      <c r="G109" cm="1">
        <f t="array" ref="G109">INDEX(_xlfn.FILTERXML(E109,"//longitude"),1)</f>
        <v>139.538208</v>
      </c>
      <c r="H109">
        <v>35.472000000000001</v>
      </c>
      <c r="I109">
        <v>139.538208</v>
      </c>
    </row>
    <row r="110" spans="1:9" x14ac:dyDescent="0.4">
      <c r="A110" t="s">
        <v>118</v>
      </c>
      <c r="B110" t="s">
        <v>749</v>
      </c>
      <c r="C110" t="str">
        <f t="shared" si="15"/>
        <v>北海道室蘭市</v>
      </c>
      <c r="D110" s="2" t="str">
        <f t="shared" si="18"/>
        <v>http://geocode.csis.u-tokyo.ac.jp/cgi-bin/simple_geocode.cgi?charset=UTF8&amp;addr=%E5%8C%97%E6%B5%B7%E9%81%93%E5%AE%A4%E8%98%AD%E5%B8%82</v>
      </c>
      <c r="E110" t="str">
        <f t="shared" si="19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110" cm="1">
        <f t="array" ref="F110">INDEX(_xlfn.FILTERXML(E110,"//latitude"),1)</f>
        <v>42.315204999999999</v>
      </c>
      <c r="G110" cm="1">
        <f t="array" ref="G110">INDEX(_xlfn.FILTERXML(E110,"//longitude"),1)</f>
        <v>140.97378499999999</v>
      </c>
      <c r="H110">
        <v>42.315204999999999</v>
      </c>
      <c r="I110">
        <v>140.97378499999999</v>
      </c>
    </row>
    <row r="111" spans="1:9" x14ac:dyDescent="0.4">
      <c r="A111" t="s">
        <v>10</v>
      </c>
      <c r="B111" t="s">
        <v>82</v>
      </c>
      <c r="C111" t="str">
        <f t="shared" si="15"/>
        <v>神奈川県厚木市</v>
      </c>
      <c r="D111" s="2" t="str">
        <f t="shared" si="18"/>
        <v>http://geocode.csis.u-tokyo.ac.jp/cgi-bin/simple_geocode.cgi?charset=UTF8&amp;addr=%E7%A5%9E%E5%A5%88%E5%B7%9D%E7%9C%8C%E5%8E%9A%E6%9C%A8%E5%B8%82</v>
      </c>
      <c r="E111" t="str">
        <f t="shared" si="19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111" cm="1">
        <f t="array" ref="F111">INDEX(_xlfn.FILTERXML(E111,"//latitude"),1)</f>
        <v>35.443049999999999</v>
      </c>
      <c r="G111" cm="1">
        <f t="array" ref="G111">INDEX(_xlfn.FILTERXML(E111,"//longitude"),1)</f>
        <v>139.36244199999999</v>
      </c>
      <c r="H111">
        <v>35.443049999999999</v>
      </c>
      <c r="I111">
        <v>139.36244199999999</v>
      </c>
    </row>
    <row r="112" spans="1:9" x14ac:dyDescent="0.4">
      <c r="A112" t="s">
        <v>39</v>
      </c>
      <c r="B112" t="s">
        <v>40</v>
      </c>
      <c r="C112" t="str">
        <f t="shared" si="15"/>
        <v>愛媛県松山市</v>
      </c>
      <c r="D112" s="2" t="str">
        <f t="shared" si="18"/>
        <v>http://geocode.csis.u-tokyo.ac.jp/cgi-bin/simple_geocode.cgi?charset=UTF8&amp;addr=%E6%84%9B%E5%AA%9B%E7%9C%8C%E6%9D%BE%E5%B1%B1%E5%B8%82</v>
      </c>
      <c r="E112" t="str">
        <f t="shared" si="19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12" cm="1">
        <f t="array" ref="F112">INDEX(_xlfn.FILTERXML(E112,"//latitude"),1)</f>
        <v>33.839157</v>
      </c>
      <c r="G112" cm="1">
        <f t="array" ref="G112">INDEX(_xlfn.FILTERXML(E112,"//longitude"),1)</f>
        <v>132.76554899999999</v>
      </c>
      <c r="H112">
        <v>33.839157</v>
      </c>
      <c r="I112">
        <v>132.76554899999999</v>
      </c>
    </row>
    <row r="113" spans="1:9" x14ac:dyDescent="0.4">
      <c r="A113" t="s">
        <v>19</v>
      </c>
      <c r="B113" t="s">
        <v>750</v>
      </c>
      <c r="C113" t="str">
        <f t="shared" si="15"/>
        <v>滋賀県草津市</v>
      </c>
      <c r="D113" s="2" t="str">
        <f t="shared" si="18"/>
        <v>http://geocode.csis.u-tokyo.ac.jp/cgi-bin/simple_geocode.cgi?charset=UTF8&amp;addr=%E6%BB%8B%E8%B3%80%E7%9C%8C%E8%8D%89%E6%B4%A5%E5%B8%82</v>
      </c>
      <c r="E113" t="str">
        <f t="shared" si="19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113" cm="1">
        <f t="array" ref="F113">INDEX(_xlfn.FILTERXML(E113,"//latitude"),1)</f>
        <v>35.013123</v>
      </c>
      <c r="G113" cm="1">
        <f t="array" ref="G113">INDEX(_xlfn.FILTERXML(E113,"//longitude"),1)</f>
        <v>135.959991</v>
      </c>
      <c r="H113">
        <v>35.013123</v>
      </c>
      <c r="I113">
        <v>135.959991</v>
      </c>
    </row>
    <row r="114" spans="1:9" x14ac:dyDescent="0.4">
      <c r="A114" t="s">
        <v>39</v>
      </c>
      <c r="B114" t="s">
        <v>201</v>
      </c>
      <c r="C114" t="str">
        <f t="shared" si="15"/>
        <v>愛媛県八幡浜市</v>
      </c>
      <c r="D114" s="2" t="str">
        <f t="shared" si="18"/>
        <v>http://geocode.csis.u-tokyo.ac.jp/cgi-bin/simple_geocode.cgi?charset=UTF8&amp;addr=%E6%84%9B%E5%AA%9B%E7%9C%8C%E5%85%AB%E5%B9%A1%E6%B5%9C%E5%B8%82</v>
      </c>
      <c r="E114" t="str">
        <f t="shared" si="19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114" cm="1">
        <f t="array" ref="F114">INDEX(_xlfn.FILTERXML(E114,"//latitude"),1)</f>
        <v>33.462898000000003</v>
      </c>
      <c r="G114" cm="1">
        <f t="array" ref="G114">INDEX(_xlfn.FILTERXML(E114,"//longitude"),1)</f>
        <v>132.42334</v>
      </c>
      <c r="H114">
        <v>33.462898000000003</v>
      </c>
      <c r="I114">
        <v>132.42334</v>
      </c>
    </row>
    <row r="115" spans="1:9" x14ac:dyDescent="0.4">
      <c r="A115" t="s">
        <v>9</v>
      </c>
      <c r="B115" t="s">
        <v>751</v>
      </c>
      <c r="C115" t="str">
        <f t="shared" si="15"/>
        <v>東京都昭島市</v>
      </c>
      <c r="D115" s="2" t="str">
        <f t="shared" si="18"/>
        <v>http://geocode.csis.u-tokyo.ac.jp/cgi-bin/simple_geocode.cgi?charset=UTF8&amp;addr=%E6%9D%B1%E4%BA%AC%E9%83%BD%E6%98%AD%E5%B3%B6%E5%B8%82</v>
      </c>
      <c r="E115" t="str">
        <f t="shared" si="19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115" cm="1">
        <f t="array" ref="F115">INDEX(_xlfn.FILTERXML(E115,"//latitude"),1)</f>
        <v>35.705703999999997</v>
      </c>
      <c r="G115" cm="1">
        <f t="array" ref="G115">INDEX(_xlfn.FILTERXML(E115,"//longitude"),1)</f>
        <v>139.35377500000001</v>
      </c>
      <c r="H115">
        <v>35.705703999999997</v>
      </c>
      <c r="I115">
        <v>139.35377500000001</v>
      </c>
    </row>
    <row r="116" spans="1:9" x14ac:dyDescent="0.4">
      <c r="A116" t="s">
        <v>14</v>
      </c>
      <c r="B116" t="s">
        <v>752</v>
      </c>
      <c r="C116" t="str">
        <f t="shared" si="15"/>
        <v>広島県福山市川口町</v>
      </c>
      <c r="D116" s="2" t="str">
        <f t="shared" si="18"/>
        <v>http://geocode.csis.u-tokyo.ac.jp/cgi-bin/simple_geocode.cgi?charset=UTF8&amp;addr=%E5%BA%83%E5%B3%B6%E7%9C%8C%E7%A6%8F%E5%B1%B1%E5%B8%82%E5%B7%9D%E5%8F%A3%E7%94%BA</v>
      </c>
      <c r="E116" t="str">
        <f t="shared" si="19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116" cm="1">
        <f t="array" ref="F116">INDEX(_xlfn.FILTERXML(E116,"//latitude"),1)</f>
        <v>34.471007999999998</v>
      </c>
      <c r="G116" cm="1">
        <f t="array" ref="G116">INDEX(_xlfn.FILTERXML(E116,"//longitude"),1)</f>
        <v>133.387619</v>
      </c>
      <c r="H116">
        <v>34.471007999999998</v>
      </c>
      <c r="I116">
        <v>133.387619</v>
      </c>
    </row>
    <row r="117" spans="1:9" x14ac:dyDescent="0.4">
      <c r="A117" t="s">
        <v>9</v>
      </c>
      <c r="B117" t="s">
        <v>169</v>
      </c>
      <c r="C117" t="str">
        <f t="shared" si="15"/>
        <v>東京都港区</v>
      </c>
      <c r="D117" s="2" t="str">
        <f t="shared" si="18"/>
        <v>http://geocode.csis.u-tokyo.ac.jp/cgi-bin/simple_geocode.cgi?charset=UTF8&amp;addr=%E6%9D%B1%E4%BA%AC%E9%83%BD%E6%B8%AF%E5%8C%BA</v>
      </c>
      <c r="E117" t="str">
        <f t="shared" si="19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117" cm="1">
        <f t="array" ref="F117">INDEX(_xlfn.FILTERXML(E117,"//latitude"),1)</f>
        <v>35.658070000000002</v>
      </c>
      <c r="G117" cm="1">
        <f t="array" ref="G117">INDEX(_xlfn.FILTERXML(E117,"//longitude"),1)</f>
        <v>139.75160199999999</v>
      </c>
      <c r="H117">
        <v>35.658070000000002</v>
      </c>
      <c r="I117">
        <v>139.75160199999999</v>
      </c>
    </row>
    <row r="118" spans="1:9" x14ac:dyDescent="0.4">
      <c r="A118" t="s">
        <v>17</v>
      </c>
      <c r="B118" t="s">
        <v>753</v>
      </c>
      <c r="C118" t="str">
        <f t="shared" si="15"/>
        <v>愛知県豊田市</v>
      </c>
      <c r="D118" s="2" t="str">
        <f t="shared" si="18"/>
        <v>http://geocode.csis.u-tokyo.ac.jp/cgi-bin/simple_geocode.cgi?charset=UTF8&amp;addr=%E6%84%9B%E7%9F%A5%E7%9C%8C%E8%B1%8A%E7%94%B0%E5%B8%82</v>
      </c>
      <c r="E118" t="str">
        <f t="shared" si="19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118" cm="1">
        <f t="array" ref="F118">INDEX(_xlfn.FILTERXML(E118,"//latitude"),1)</f>
        <v>35.082343999999999</v>
      </c>
      <c r="G118" cm="1">
        <f t="array" ref="G118">INDEX(_xlfn.FILTERXML(E118,"//longitude"),1)</f>
        <v>137.15621899999999</v>
      </c>
      <c r="H118">
        <v>35.082343999999999</v>
      </c>
      <c r="I118">
        <v>137.15621899999999</v>
      </c>
    </row>
    <row r="119" spans="1:9" x14ac:dyDescent="0.4">
      <c r="A119" t="s">
        <v>24</v>
      </c>
      <c r="B119" t="s">
        <v>207</v>
      </c>
      <c r="C119" t="str">
        <f t="shared" si="15"/>
        <v>栃木県芳賀郡益子町七井中央</v>
      </c>
      <c r="D119" s="2" t="str">
        <f t="shared" si="18"/>
        <v>http://geocode.csis.u-tokyo.ac.jp/cgi-bin/simple_geocode.cgi?charset=UTF8&amp;addr=%E6%A0%83%E6%9C%A8%E7%9C%8C%E8%8A%B3%E8%B3%80%E9%83%A1%E7%9B%8A%E5%AD%90%E7%94%BA%E4%B8%83%E4%BA%95%E4%B8%AD%E5%A4%AE</v>
      </c>
      <c r="E119" t="str">
        <f t="shared" si="19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119" cm="1">
        <f t="array" ref="F119">INDEX(_xlfn.FILTERXML(E119,"//latitude"),1)</f>
        <v>36.491073999999998</v>
      </c>
      <c r="G119" cm="1">
        <f t="array" ref="G119">INDEX(_xlfn.FILTERXML(E119,"//longitude"),1)</f>
        <v>140.09751900000001</v>
      </c>
      <c r="H119">
        <v>36.491073999999998</v>
      </c>
      <c r="I119">
        <v>140.09751900000001</v>
      </c>
    </row>
    <row r="120" spans="1:9" x14ac:dyDescent="0.4">
      <c r="A120" t="s">
        <v>17</v>
      </c>
      <c r="B120" t="s">
        <v>754</v>
      </c>
      <c r="C120" t="str">
        <f t="shared" si="15"/>
        <v>愛知県常滑市西之口6丁目</v>
      </c>
      <c r="D120" s="2" t="str">
        <f t="shared" si="18"/>
        <v>http://geocode.csis.u-tokyo.ac.jp/cgi-bin/simple_geocode.cgi?charset=UTF8&amp;addr=%E6%84%9B%E7%9F%A5%E7%9C%8C%E5%B8%B8%E6%BB%91%E5%B8%82%E8%A5%BF%E4%B9%8B%E5%8F%A36%E4%B8%81%E7%9B%AE</v>
      </c>
      <c r="E120" t="str">
        <f t="shared" si="19"/>
        <v xml:space="preserve">&lt;?xml version="1.0" encoding="UTF-8" ?&gt;
&lt;results&gt;
&lt;query&gt;愛知県常滑市西之口6丁目&lt;/query&gt;
&lt;geodetic&gt;wgs1984&lt;/geodetic&gt;
&lt;iConf&gt;5&lt;/iConf&gt;
&lt;converted&gt;愛知県常滑市西之口6丁目&lt;/converted&gt;
&lt;candidate&gt;
&lt;address&gt;愛知県/常滑市/西之口/六丁目&lt;/address&gt;
&lt;longitude&gt;136.827713&lt;/longitude&gt;
&lt;latitude&gt;34.929176&lt;/latitude&gt;
&lt;iLvl&gt;6&lt;/iLvl&gt;
&lt;/candidate&gt;
&lt;/results&gt;
</v>
      </c>
      <c r="F120" cm="1">
        <f t="array" ref="F120">INDEX(_xlfn.FILTERXML(E120,"//latitude"),1)</f>
        <v>34.929175999999998</v>
      </c>
      <c r="G120" cm="1">
        <f t="array" ref="G120">INDEX(_xlfn.FILTERXML(E120,"//longitude"),1)</f>
        <v>136.82771299999999</v>
      </c>
      <c r="H120">
        <v>34.929175999999998</v>
      </c>
      <c r="I120">
        <v>136.82771299999999</v>
      </c>
    </row>
    <row r="121" spans="1:9" x14ac:dyDescent="0.4">
      <c r="A121" t="s">
        <v>9</v>
      </c>
      <c r="B121" t="s">
        <v>755</v>
      </c>
      <c r="C121" t="str">
        <f t="shared" si="15"/>
        <v>東京都荒川区荒川５丁目</v>
      </c>
      <c r="D121" s="2" t="str">
        <f t="shared" si="18"/>
        <v>http://geocode.csis.u-tokyo.ac.jp/cgi-bin/simple_geocode.cgi?charset=UTF8&amp;addr=%E6%9D%B1%E4%BA%AC%E9%83%BD%E8%8D%92%E5%B7%9D%E5%8C%BA%E8%8D%92%E5%B7%9D%EF%BC%95%E4%B8%81%E7%9B%AE</v>
      </c>
      <c r="E121" t="str">
        <f t="shared" si="19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121" cm="1">
        <f t="array" ref="F121">INDEX(_xlfn.FILTERXML(E121,"//latitude"),1)</f>
        <v>35.738852999999999</v>
      </c>
      <c r="G121" cm="1">
        <f t="array" ref="G121">INDEX(_xlfn.FILTERXML(E121,"//longitude"),1)</f>
        <v>139.775757</v>
      </c>
      <c r="H121">
        <v>35.738852999999999</v>
      </c>
      <c r="I121">
        <v>139.775757</v>
      </c>
    </row>
    <row r="122" spans="1:9" x14ac:dyDescent="0.4">
      <c r="A122" t="s">
        <v>11</v>
      </c>
      <c r="B122" t="s">
        <v>41</v>
      </c>
      <c r="C122" t="str">
        <f t="shared" si="15"/>
        <v>大阪府豊中市</v>
      </c>
      <c r="D122" s="2" t="str">
        <f t="shared" si="18"/>
        <v>http://geocode.csis.u-tokyo.ac.jp/cgi-bin/simple_geocode.cgi?charset=UTF8&amp;addr=%E5%A4%A7%E9%98%AA%E5%BA%9C%E8%B1%8A%E4%B8%AD%E5%B8%82</v>
      </c>
      <c r="E122" t="str">
        <f t="shared" si="19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22" cm="1">
        <f t="array" ref="F122">INDEX(_xlfn.FILTERXML(E122,"//latitude"),1)</f>
        <v>34.781238999999999</v>
      </c>
      <c r="G122" cm="1">
        <f t="array" ref="G122">INDEX(_xlfn.FILTERXML(E122,"//longitude"),1)</f>
        <v>135.46989400000001</v>
      </c>
      <c r="H122">
        <v>34.781238999999999</v>
      </c>
      <c r="I122">
        <v>135.46989400000001</v>
      </c>
    </row>
    <row r="123" spans="1:9" x14ac:dyDescent="0.4">
      <c r="A123" t="s">
        <v>11</v>
      </c>
      <c r="B123" t="s">
        <v>703</v>
      </c>
      <c r="C123" t="str">
        <f t="shared" si="15"/>
        <v>大阪府箕面市箕面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http://geocode.csis.u-tokyo.ac.jp/cgi-bin/simple_geocode.cgi?charset=UTF8&amp;addr=%E5%A4%A7%E9%98%AA%E5%BA%9C%E7%AE%95%E9%9D%A2%E5%B8%82%E7%AE%95%E9%9D%A2</v>
      </c>
      <c r="E123" t="str">
        <f t="shared" ref="E123:E186" si="21" xml:space="preserve"> _xlfn.WEBSERVICE(D123)</f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123" cm="1">
        <f t="array" ref="F123">INDEX(_xlfn.FILTERXML(E123,"//latitude"),1)</f>
        <v>34.835892000000001</v>
      </c>
      <c r="G123" cm="1">
        <f t="array" ref="G123">INDEX(_xlfn.FILTERXML(E123,"//longitude"),1)</f>
        <v>135.46850599999999</v>
      </c>
      <c r="H123">
        <v>34.835892000000001</v>
      </c>
      <c r="I123">
        <v>135.46850599999999</v>
      </c>
    </row>
    <row r="124" spans="1:9" x14ac:dyDescent="0.4">
      <c r="A124" t="s">
        <v>9</v>
      </c>
      <c r="B124" t="s">
        <v>756</v>
      </c>
      <c r="C124" t="str">
        <f t="shared" si="15"/>
        <v>東京都杉並区成田西</v>
      </c>
      <c r="D124" s="2" t="str">
        <f t="shared" si="20"/>
        <v>http://geocode.csis.u-tokyo.ac.jp/cgi-bin/simple_geocode.cgi?charset=UTF8&amp;addr=%E6%9D%B1%E4%BA%AC%E9%83%BD%E6%9D%89%E4%B8%A6%E5%8C%BA%E6%88%90%E7%94%B0%E8%A5%BF</v>
      </c>
      <c r="E124" t="str">
        <f t="shared" si="21"/>
        <v xml:space="preserve">&lt;?xml version="1.0" encoding="UTF-8" ?&gt;
&lt;results&gt;
&lt;query&gt;東京都杉並区成田西&lt;/query&gt;
&lt;geodetic&gt;wgs1984&lt;/geodetic&gt;
&lt;iConf&gt;5&lt;/iConf&gt;
&lt;converted&gt;東京都杉並区成田西&lt;/converted&gt;
&lt;candidate&gt;
&lt;address&gt;東京都/杉並区/成田西&lt;/address&gt;
&lt;longitude&gt;139.631546&lt;/longitude&gt;
&lt;latitude&gt;35.687305&lt;/latitude&gt;
&lt;iLvl&gt;5&lt;/iLvl&gt;
&lt;/candidate&gt;
&lt;/results&gt;
</v>
      </c>
      <c r="F124" cm="1">
        <f t="array" ref="F124">INDEX(_xlfn.FILTERXML(E124,"//latitude"),1)</f>
        <v>35.687305000000002</v>
      </c>
      <c r="G124" cm="1">
        <f t="array" ref="G124">INDEX(_xlfn.FILTERXML(E124,"//longitude"),1)</f>
        <v>139.63154599999999</v>
      </c>
      <c r="H124">
        <v>35.687305000000002</v>
      </c>
      <c r="I124">
        <v>139.63154599999999</v>
      </c>
    </row>
    <row r="125" spans="1:9" x14ac:dyDescent="0.4">
      <c r="A125" t="s">
        <v>20</v>
      </c>
      <c r="B125" t="s">
        <v>757</v>
      </c>
      <c r="C125" t="str">
        <f t="shared" si="15"/>
        <v>茨城県日立市東大沼町</v>
      </c>
      <c r="D125" s="2" t="str">
        <f t="shared" si="20"/>
        <v>http://geocode.csis.u-tokyo.ac.jp/cgi-bin/simple_geocode.cgi?charset=UTF8&amp;addr=%E8%8C%A8%E5%9F%8E%E7%9C%8C%E6%97%A5%E7%AB%8B%E5%B8%82%E6%9D%B1%E5%A4%A7%E6%B2%BC%E7%94%BA</v>
      </c>
      <c r="E125" t="str">
        <f t="shared" si="21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125" cm="1">
        <f t="array" ref="F125">INDEX(_xlfn.FILTERXML(E125,"//latitude"),1)</f>
        <v>36.530681999999999</v>
      </c>
      <c r="G125" cm="1">
        <f t="array" ref="G125">INDEX(_xlfn.FILTERXML(E125,"//longitude"),1)</f>
        <v>140.63327000000001</v>
      </c>
      <c r="H125">
        <v>36.530681999999999</v>
      </c>
      <c r="I125">
        <v>140.63327000000001</v>
      </c>
    </row>
    <row r="126" spans="1:9" x14ac:dyDescent="0.4">
      <c r="A126" t="s">
        <v>10</v>
      </c>
      <c r="B126" t="s">
        <v>758</v>
      </c>
      <c r="C126" t="str">
        <f t="shared" si="15"/>
        <v>神奈川県横浜市中区新山下3丁目</v>
      </c>
      <c r="D126" s="2" t="str">
        <f t="shared" si="20"/>
        <v>http://geocode.csis.u-tokyo.ac.jp/cgi-bin/simple_geocode.cgi?charset=UTF8&amp;addr=%E7%A5%9E%E5%A5%88%E5%B7%9D%E7%9C%8C%E6%A8%AA%E6%B5%9C%E5%B8%82%E4%B8%AD%E5%8C%BA%E6%96%B0%E5%B1%B1%E4%B8%8B3%E4%B8%81%E7%9B%AE</v>
      </c>
      <c r="E126" t="str">
        <f t="shared" si="21"/>
        <v xml:space="preserve">&lt;?xml version="1.0" encoding="UTF-8" ?&gt;
&lt;results&gt;
&lt;query&gt;神奈川県横浜市中区新山下3丁目&lt;/query&gt;
&lt;geodetic&gt;wgs1984&lt;/geodetic&gt;
&lt;iConf&gt;5&lt;/iConf&gt;
&lt;converted&gt;神奈川県横浜市中区新山下3丁目&lt;/converted&gt;
&lt;candidate&gt;
&lt;address&gt;神奈川県/横浜市/中区/新山下/三丁目&lt;/address&gt;
&lt;longitude&gt;139.663406&lt;/longitude&gt;
&lt;latitude&gt;35.438362&lt;/latitude&gt;
&lt;iLvl&gt;6&lt;/iLvl&gt;
&lt;/candidate&gt;
&lt;/results&gt;
</v>
      </c>
      <c r="F126" cm="1">
        <f t="array" ref="F126">INDEX(_xlfn.FILTERXML(E126,"//latitude"),1)</f>
        <v>35.438361999999998</v>
      </c>
      <c r="G126" cm="1">
        <f t="array" ref="G126">INDEX(_xlfn.FILTERXML(E126,"//longitude"),1)</f>
        <v>139.66340600000001</v>
      </c>
      <c r="H126">
        <v>35.438361999999998</v>
      </c>
      <c r="I126">
        <v>139.66340600000001</v>
      </c>
    </row>
    <row r="127" spans="1:9" x14ac:dyDescent="0.4">
      <c r="A127" t="s">
        <v>9</v>
      </c>
      <c r="B127" t="s">
        <v>759</v>
      </c>
      <c r="C127" t="str">
        <f t="shared" si="15"/>
        <v>東京都中野区本町</v>
      </c>
      <c r="D127" s="2" t="str">
        <f t="shared" si="20"/>
        <v>http://geocode.csis.u-tokyo.ac.jp/cgi-bin/simple_geocode.cgi?charset=UTF8&amp;addr=%E6%9D%B1%E4%BA%AC%E9%83%BD%E4%B8%AD%E9%87%8E%E5%8C%BA%E6%9C%AC%E7%94%BA</v>
      </c>
      <c r="E127" t="str">
        <f t="shared" si="21"/>
        <v xml:space="preserve">&lt;?xml version="1.0" encoding="UTF-8" ?&gt;
&lt;results&gt;
&lt;query&gt;東京都中野区本町&lt;/query&gt;
&lt;geodetic&gt;wgs1984&lt;/geodetic&gt;
&lt;iConf&gt;5&lt;/iConf&gt;
&lt;converted&gt;東京都中野区本町&lt;/converted&gt;
&lt;candidate&gt;
&lt;address&gt;東京都/中野区/本町&lt;/address&gt;
&lt;longitude&gt;139.684067&lt;/longitude&gt;
&lt;latitude&gt;35.694511&lt;/latitude&gt;
&lt;iLvl&gt;5&lt;/iLvl&gt;
&lt;/candidate&gt;
&lt;/results&gt;
</v>
      </c>
      <c r="F127" cm="1">
        <f t="array" ref="F127">INDEX(_xlfn.FILTERXML(E127,"//latitude"),1)</f>
        <v>35.694510999999999</v>
      </c>
      <c r="G127" cm="1">
        <f t="array" ref="G127">INDEX(_xlfn.FILTERXML(E127,"//longitude"),1)</f>
        <v>139.684067</v>
      </c>
      <c r="H127">
        <v>35.694510999999999</v>
      </c>
      <c r="I127">
        <v>139.684067</v>
      </c>
    </row>
    <row r="128" spans="1:9" x14ac:dyDescent="0.4">
      <c r="A128" t="s">
        <v>20</v>
      </c>
      <c r="B128" t="s">
        <v>127</v>
      </c>
      <c r="C128" t="str">
        <f t="shared" si="15"/>
        <v>茨城県水戸市吉沢町</v>
      </c>
      <c r="D128" s="2" t="str">
        <f t="shared" si="20"/>
        <v>http://geocode.csis.u-tokyo.ac.jp/cgi-bin/simple_geocode.cgi?charset=UTF8&amp;addr=%E8%8C%A8%E5%9F%8E%E7%9C%8C%E6%B0%B4%E6%88%B8%E5%B8%82%E5%90%89%E6%B2%A2%E7%94%BA</v>
      </c>
      <c r="E128" t="str">
        <f t="shared" si="21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128" cm="1">
        <f t="array" ref="F128">INDEX(_xlfn.FILTERXML(E128,"//latitude"),1)</f>
        <v>36.327759</v>
      </c>
      <c r="G128" cm="1">
        <f t="array" ref="G128">INDEX(_xlfn.FILTERXML(E128,"//longitude"),1)</f>
        <v>140.459686</v>
      </c>
      <c r="H128">
        <v>36.327759</v>
      </c>
      <c r="I128">
        <v>140.459686</v>
      </c>
    </row>
    <row r="129" spans="1:9" x14ac:dyDescent="0.4">
      <c r="A129" t="s">
        <v>15</v>
      </c>
      <c r="B129" t="s">
        <v>208</v>
      </c>
      <c r="C129" t="str">
        <f t="shared" si="15"/>
        <v>兵庫県川西市</v>
      </c>
      <c r="D129" s="2" t="str">
        <f t="shared" si="20"/>
        <v>http://geocode.csis.u-tokyo.ac.jp/cgi-bin/simple_geocode.cgi?charset=UTF8&amp;addr=%E5%85%B5%E5%BA%AB%E7%9C%8C%E5%B7%9D%E8%A5%BF%E5%B8%82</v>
      </c>
      <c r="E129" t="str">
        <f t="shared" si="21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29" cm="1">
        <f t="array" ref="F129">INDEX(_xlfn.FILTERXML(E129,"//latitude"),1)</f>
        <v>34.830131999999999</v>
      </c>
      <c r="G129" cm="1">
        <f t="array" ref="G129">INDEX(_xlfn.FILTERXML(E129,"//longitude"),1)</f>
        <v>135.41722100000001</v>
      </c>
      <c r="H129">
        <v>34.830131999999999</v>
      </c>
      <c r="I129">
        <v>135.41722100000001</v>
      </c>
    </row>
    <row r="130" spans="1:9" x14ac:dyDescent="0.4">
      <c r="A130" t="s">
        <v>9</v>
      </c>
      <c r="B130" t="s">
        <v>223</v>
      </c>
      <c r="C130" t="str">
        <f t="shared" si="15"/>
        <v>東京都世田谷区</v>
      </c>
      <c r="D130" s="2" t="str">
        <f t="shared" si="20"/>
        <v>http://geocode.csis.u-tokyo.ac.jp/cgi-bin/simple_geocode.cgi?charset=UTF8&amp;addr=%E6%9D%B1%E4%BA%AC%E9%83%BD%E4%B8%96%E7%94%B0%E8%B0%B7%E5%8C%BA</v>
      </c>
      <c r="E130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30" cm="1">
        <f t="array" ref="F130">INDEX(_xlfn.FILTERXML(E130,"//latitude"),1)</f>
        <v>35.646481000000001</v>
      </c>
      <c r="G130" cm="1">
        <f t="array" ref="G130">INDEX(_xlfn.FILTERXML(E130,"//longitude"),1)</f>
        <v>139.65321399999999</v>
      </c>
      <c r="H130">
        <v>35.646481000000001</v>
      </c>
      <c r="I130">
        <v>139.65321399999999</v>
      </c>
    </row>
    <row r="131" spans="1:9" x14ac:dyDescent="0.4">
      <c r="A131" t="s">
        <v>15</v>
      </c>
      <c r="B131" t="s">
        <v>760</v>
      </c>
      <c r="C131" t="str">
        <f t="shared" ref="C131:C194" si="22">+A131&amp;B131</f>
        <v>兵庫県尼崎市</v>
      </c>
      <c r="D131" s="2" t="str">
        <f t="shared" si="20"/>
        <v>http://geocode.csis.u-tokyo.ac.jp/cgi-bin/simple_geocode.cgi?charset=UTF8&amp;addr=%E5%85%B5%E5%BA%AB%E7%9C%8C%E5%B0%BC%E5%B4%8E%E5%B8%82</v>
      </c>
      <c r="E131" t="str">
        <f t="shared" si="21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131" cm="1">
        <f t="array" ref="F131">INDEX(_xlfn.FILTERXML(E131,"//latitude"),1)</f>
        <v>34.733555000000003</v>
      </c>
      <c r="G131" cm="1">
        <f t="array" ref="G131">INDEX(_xlfn.FILTERXML(E131,"//longitude"),1)</f>
        <v>135.406387</v>
      </c>
      <c r="H131">
        <v>34.733555000000003</v>
      </c>
      <c r="I131">
        <v>135.406387</v>
      </c>
    </row>
    <row r="132" spans="1:9" x14ac:dyDescent="0.4">
      <c r="A132" t="s">
        <v>128</v>
      </c>
      <c r="B132" t="s">
        <v>761</v>
      </c>
      <c r="C132" t="str">
        <f t="shared" si="22"/>
        <v>山形県酒田市北新町</v>
      </c>
      <c r="D132" s="2" t="str">
        <f t="shared" si="20"/>
        <v>http://geocode.csis.u-tokyo.ac.jp/cgi-bin/simple_geocode.cgi?charset=UTF8&amp;addr=%E5%B1%B1%E5%BD%A2%E7%9C%8C%E9%85%92%E7%94%B0%E5%B8%82%E5%8C%97%E6%96%B0%E7%94%BA</v>
      </c>
      <c r="E132" t="str">
        <f t="shared" si="21"/>
        <v xml:space="preserve">&lt;?xml version="1.0" encoding="UTF-8" ?&gt;
&lt;results&gt;
&lt;query&gt;山形県酒田市北新町&lt;/query&gt;
&lt;geodetic&gt;wgs1984&lt;/geodetic&gt;
&lt;iConf&gt;5&lt;/iConf&gt;
&lt;converted&gt;山形県酒田市北新町&lt;/converted&gt;
&lt;candidate&gt;
&lt;address&gt;山形県/酒田市/北新町&lt;/address&gt;
&lt;longitude&gt;139.832001&lt;/longitude&gt;
&lt;latitude&gt;38.924011&lt;/latitude&gt;
&lt;iLvl&gt;5&lt;/iLvl&gt;
&lt;/candidate&gt;
&lt;/results&gt;
</v>
      </c>
      <c r="F132" cm="1">
        <f t="array" ref="F132">INDEX(_xlfn.FILTERXML(E132,"//latitude"),1)</f>
        <v>38.924011</v>
      </c>
      <c r="G132" cm="1">
        <f t="array" ref="G132">INDEX(_xlfn.FILTERXML(E132,"//longitude"),1)</f>
        <v>139.83200099999999</v>
      </c>
      <c r="H132">
        <v>38.924011</v>
      </c>
      <c r="I132">
        <v>139.83200099999999</v>
      </c>
    </row>
    <row r="133" spans="1:9" x14ac:dyDescent="0.4">
      <c r="A133" t="s">
        <v>34</v>
      </c>
      <c r="B133" t="s">
        <v>762</v>
      </c>
      <c r="C133" t="str">
        <f t="shared" si="22"/>
        <v>岐阜県岐阜市江崎南</v>
      </c>
      <c r="D133" s="2" t="str">
        <f t="shared" si="20"/>
        <v>http://geocode.csis.u-tokyo.ac.jp/cgi-bin/simple_geocode.cgi?charset=UTF8&amp;addr=%E5%B2%90%E9%98%9C%E7%9C%8C%E5%B2%90%E9%98%9C%E5%B8%82%E6%B1%9F%E5%B4%8E%E5%8D%97</v>
      </c>
      <c r="E133" t="str">
        <f xml:space="preserve"> _xlfn.WEBSERVICE(D133)</f>
        <v xml:space="preserve">&lt;?xml version="1.0" encoding="UTF-8" ?&gt;
&lt;results&gt;
&lt;query&gt;岐阜県岐阜市江崎南&lt;/query&gt;
&lt;geodetic&gt;wgs1984&lt;/geodetic&gt;
&lt;iConf&gt;5&lt;/iConf&gt;
&lt;converted&gt;岐阜県岐阜市江崎南&lt;/converted&gt;
&lt;candidate&gt;
&lt;address&gt;岐阜県/岐阜市/江崎南&lt;/address&gt;
&lt;longitude&gt;136.705780&lt;/longitude&gt;
&lt;latitude&gt;35.402096&lt;/latitude&gt;
&lt;iLvl&gt;5&lt;/iLvl&gt;
&lt;/candidate&gt;
&lt;/results&gt;
</v>
      </c>
      <c r="F133" cm="1">
        <f t="array" ref="F133">INDEX(_xlfn.FILTERXML(E133,"//latitude"),1)</f>
        <v>35.402096</v>
      </c>
      <c r="G133" cm="1">
        <f t="array" ref="G133">INDEX(_xlfn.FILTERXML(E133,"//longitude"),1)</f>
        <v>136.70578</v>
      </c>
      <c r="H133">
        <v>35.402096</v>
      </c>
      <c r="I133">
        <v>136.70578</v>
      </c>
    </row>
    <row r="134" spans="1:9" x14ac:dyDescent="0.4">
      <c r="A134" t="s">
        <v>42</v>
      </c>
      <c r="B134" t="s">
        <v>763</v>
      </c>
      <c r="C134" t="str">
        <f t="shared" si="22"/>
        <v>富山県南砺市福光</v>
      </c>
      <c r="D134" s="2" t="str">
        <f t="shared" si="20"/>
        <v>http://geocode.csis.u-tokyo.ac.jp/cgi-bin/simple_geocode.cgi?charset=UTF8&amp;addr=%E5%AF%8C%E5%B1%B1%E7%9C%8C%E5%8D%97%E7%A0%BA%E5%B8%82%E7%A6%8F%E5%85%89</v>
      </c>
      <c r="E134" t="str">
        <f t="shared" si="21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134" cm="1">
        <f t="array" ref="F134">INDEX(_xlfn.FILTERXML(E134,"//latitude"),1)</f>
        <v>36.559975000000001</v>
      </c>
      <c r="G134" cm="1">
        <f t="array" ref="G134">INDEX(_xlfn.FILTERXML(E134,"//longitude"),1)</f>
        <v>136.86712600000001</v>
      </c>
      <c r="H134">
        <v>36.559975000000001</v>
      </c>
      <c r="I134">
        <v>136.86712600000001</v>
      </c>
    </row>
    <row r="135" spans="1:9" x14ac:dyDescent="0.4">
      <c r="A135" t="s">
        <v>15</v>
      </c>
      <c r="B135" t="s">
        <v>764</v>
      </c>
      <c r="C135" t="str">
        <f t="shared" si="22"/>
        <v>兵庫県芦屋市岩園町</v>
      </c>
      <c r="D135" s="2" t="str">
        <f t="shared" si="20"/>
        <v>http://geocode.csis.u-tokyo.ac.jp/cgi-bin/simple_geocode.cgi?charset=UTF8&amp;addr=%E5%85%B5%E5%BA%AB%E7%9C%8C%E8%8A%A6%E5%B1%8B%E5%B8%82%E5%B2%A9%E5%9C%92%E7%94%BA</v>
      </c>
      <c r="E135" t="str">
        <f t="shared" si="21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135" cm="1">
        <f t="array" ref="F135">INDEX(_xlfn.FILTERXML(E135,"//latitude"),1)</f>
        <v>34.74588</v>
      </c>
      <c r="G135" cm="1">
        <f t="array" ref="G135">INDEX(_xlfn.FILTERXML(E135,"//longitude"),1)</f>
        <v>135.31373600000001</v>
      </c>
      <c r="H135">
        <v>34.74588</v>
      </c>
      <c r="I135">
        <v>135.31373600000001</v>
      </c>
    </row>
    <row r="136" spans="1:9" x14ac:dyDescent="0.4">
      <c r="A136" t="s">
        <v>123</v>
      </c>
      <c r="B136" t="s">
        <v>765</v>
      </c>
      <c r="C136" t="str">
        <f t="shared" si="22"/>
        <v>和歌山県和歌山市太田</v>
      </c>
      <c r="D136" s="2" t="str">
        <f t="shared" si="20"/>
        <v>http://geocode.csis.u-tokyo.ac.jp/cgi-bin/simple_geocode.cgi?charset=UTF8&amp;addr=%E5%92%8C%E6%AD%8C%E5%B1%B1%E7%9C%8C%E5%92%8C%E6%AD%8C%E5%B1%B1%E5%B8%82%E5%A4%AA%E7%94%B0</v>
      </c>
      <c r="E136" t="str">
        <f t="shared" si="21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136" cm="1">
        <f t="array" ref="F136">INDEX(_xlfn.FILTERXML(E136,"//latitude"),1)</f>
        <v>34.230094999999999</v>
      </c>
      <c r="G136" cm="1">
        <f t="array" ref="G136">INDEX(_xlfn.FILTERXML(E136,"//longitude"),1)</f>
        <v>135.199524</v>
      </c>
      <c r="H136">
        <v>34.230094999999999</v>
      </c>
      <c r="I136">
        <v>135.199524</v>
      </c>
    </row>
    <row r="137" spans="1:9" x14ac:dyDescent="0.4">
      <c r="A137" t="s">
        <v>11</v>
      </c>
      <c r="B137" t="s">
        <v>766</v>
      </c>
      <c r="C137" t="str">
        <f t="shared" si="22"/>
        <v>大阪府泉南郡熊取町つばさが丘西</v>
      </c>
      <c r="D137" s="2" t="str">
        <f t="shared" si="20"/>
        <v>http://geocode.csis.u-tokyo.ac.jp/cgi-bin/simple_geocode.cgi?charset=UTF8&amp;addr=%E5%A4%A7%E9%98%AA%E5%BA%9C%E6%B3%89%E5%8D%97%E9%83%A1%E7%86%8A%E5%8F%96%E7%94%BA%E3%81%A4%E3%81%B0%E3%81%95%E3%81%8C%E4%B8%98%E8%A5%BF</v>
      </c>
      <c r="E137" t="str">
        <f t="shared" si="21"/>
        <v xml:space="preserve">&lt;?xml version="1.0" encoding="UTF-8" ?&gt;
&lt;results&gt;
&lt;query&gt;大阪府泉南郡熊取町つばさが丘西&lt;/query&gt;
&lt;geodetic&gt;wgs1984&lt;/geodetic&gt;
&lt;iConf&gt;5&lt;/iConf&gt;
&lt;converted&gt;大阪府泉南郡熊取町つばさが丘西&lt;/converted&gt;
&lt;candidate&gt;
&lt;address&gt;大阪府/泉南郡/熊取町/つばさが丘西&lt;/address&gt;
&lt;longitude&gt;135.367981&lt;/longitude&gt;
&lt;latitude&gt;34.383347&lt;/latitude&gt;
&lt;iLvl&gt;5&lt;/iLvl&gt;
&lt;/candidate&gt;
&lt;/results&gt;
</v>
      </c>
      <c r="F137" cm="1">
        <f t="array" ref="F137">INDEX(_xlfn.FILTERXML(E137,"//latitude"),1)</f>
        <v>34.383347000000001</v>
      </c>
      <c r="G137" cm="1">
        <f t="array" ref="G137">INDEX(_xlfn.FILTERXML(E137,"//longitude"),1)</f>
        <v>135.36798099999999</v>
      </c>
      <c r="H137">
        <v>34.383347000000001</v>
      </c>
      <c r="I137">
        <v>135.36798099999999</v>
      </c>
    </row>
    <row r="138" spans="1:9" x14ac:dyDescent="0.4">
      <c r="A138" t="s">
        <v>39</v>
      </c>
      <c r="B138" t="s">
        <v>40</v>
      </c>
      <c r="C138" t="str">
        <f t="shared" si="22"/>
        <v>愛媛県松山市</v>
      </c>
      <c r="D138" s="2" t="str">
        <f t="shared" si="20"/>
        <v>http://geocode.csis.u-tokyo.ac.jp/cgi-bin/simple_geocode.cgi?charset=UTF8&amp;addr=%E6%84%9B%E5%AA%9B%E7%9C%8C%E6%9D%BE%E5%B1%B1%E5%B8%82</v>
      </c>
      <c r="E138" t="str">
        <f t="shared" si="21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38" cm="1">
        <f t="array" ref="F138">INDEX(_xlfn.FILTERXML(E138,"//latitude"),1)</f>
        <v>33.839157</v>
      </c>
      <c r="G138" cm="1">
        <f t="array" ref="G138">INDEX(_xlfn.FILTERXML(E138,"//longitude"),1)</f>
        <v>132.76554899999999</v>
      </c>
      <c r="H138">
        <v>33.839157</v>
      </c>
      <c r="I138">
        <v>132.76554899999999</v>
      </c>
    </row>
    <row r="139" spans="1:9" x14ac:dyDescent="0.4">
      <c r="A139" t="s">
        <v>113</v>
      </c>
      <c r="B139" t="s">
        <v>209</v>
      </c>
      <c r="C139" t="str">
        <f t="shared" si="22"/>
        <v>岡山県岡山市北区西古松</v>
      </c>
      <c r="D139" s="2" t="str">
        <f t="shared" si="20"/>
        <v>http://geocode.csis.u-tokyo.ac.jp/cgi-bin/simple_geocode.cgi?charset=UTF8&amp;addr=%E5%B2%A1%E5%B1%B1%E7%9C%8C%E5%B2%A1%E5%B1%B1%E5%B8%82%E5%8C%97%E5%8C%BA%E8%A5%BF%E5%8F%A4%E6%9D%BE</v>
      </c>
      <c r="E139" t="str">
        <f t="shared" si="21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139" cm="1">
        <f t="array" ref="F139">INDEX(_xlfn.FILTERXML(E139,"//latitude"),1)</f>
        <v>34.644500999999998</v>
      </c>
      <c r="G139" cm="1">
        <f t="array" ref="G139">INDEX(_xlfn.FILTERXML(E139,"//longitude"),1)</f>
        <v>133.90782200000001</v>
      </c>
      <c r="H139">
        <v>34.644500999999998</v>
      </c>
      <c r="I139">
        <v>133.90782200000001</v>
      </c>
    </row>
    <row r="140" spans="1:9" x14ac:dyDescent="0.4">
      <c r="A140" t="s">
        <v>11</v>
      </c>
      <c r="B140" t="s">
        <v>767</v>
      </c>
      <c r="C140" t="str">
        <f t="shared" si="22"/>
        <v>大阪府大阪市北区東天満</v>
      </c>
      <c r="D140" s="2" t="str">
        <f t="shared" si="20"/>
        <v>http://geocode.csis.u-tokyo.ac.jp/cgi-bin/simple_geocode.cgi?charset=UTF8&amp;addr=%E5%A4%A7%E9%98%AA%E5%BA%9C%E5%A4%A7%E9%98%AA%E5%B8%82%E5%8C%97%E5%8C%BA%E6%9D%B1%E5%A4%A9%E6%BA%80</v>
      </c>
      <c r="E140" t="str">
        <f t="shared" si="21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140" cm="1">
        <f t="array" ref="F140">INDEX(_xlfn.FILTERXML(E140,"//latitude"),1)</f>
        <v>34.696593999999997</v>
      </c>
      <c r="G140" cm="1">
        <f t="array" ref="G140">INDEX(_xlfn.FILTERXML(E140,"//longitude"),1)</f>
        <v>135.51586900000001</v>
      </c>
      <c r="H140">
        <v>34.696593999999997</v>
      </c>
      <c r="I140">
        <v>135.51586900000001</v>
      </c>
    </row>
    <row r="141" spans="1:9" x14ac:dyDescent="0.4">
      <c r="A141" t="s">
        <v>18</v>
      </c>
      <c r="B141" t="s">
        <v>768</v>
      </c>
      <c r="C141" t="str">
        <f t="shared" si="22"/>
        <v>千葉県香取市</v>
      </c>
      <c r="D141" s="2" t="str">
        <f t="shared" si="20"/>
        <v>http://geocode.csis.u-tokyo.ac.jp/cgi-bin/simple_geocode.cgi?charset=UTF8&amp;addr=%E5%8D%83%E8%91%89%E7%9C%8C%E9%A6%99%E5%8F%96%E5%B8%82</v>
      </c>
      <c r="E141" t="str">
        <f t="shared" si="21"/>
        <v xml:space="preserve">&lt;?xml version="1.0" encoding="UTF-8" ?&gt;
&lt;results&gt;
&lt;query&gt;千葉県香取市&lt;/query&gt;
&lt;geodetic&gt;wgs1984&lt;/geodetic&gt;
&lt;iConf&gt;5&lt;/iConf&gt;
&lt;converted&gt;千葉県香取市&lt;/converted&gt;
&lt;candidate&gt;
&lt;address&gt;千葉県/香取市&lt;/address&gt;
&lt;longitude&gt;140.499252&lt;/longitude&gt;
&lt;latitude&gt;35.897732&lt;/latitude&gt;
&lt;iLvl&gt;3&lt;/iLvl&gt;
&lt;/candidate&gt;
&lt;/results&gt;
</v>
      </c>
      <c r="F141" cm="1">
        <f t="array" ref="F141">INDEX(_xlfn.FILTERXML(E141,"//latitude"),1)</f>
        <v>35.897731999999998</v>
      </c>
      <c r="G141" cm="1">
        <f t="array" ref="G141">INDEX(_xlfn.FILTERXML(E141,"//longitude"),1)</f>
        <v>140.49925200000001</v>
      </c>
      <c r="H141" s="3">
        <v>35.897731999999998</v>
      </c>
      <c r="I141" s="3">
        <v>140.49925200000001</v>
      </c>
    </row>
    <row r="142" spans="1:9" x14ac:dyDescent="0.4">
      <c r="A142" t="s">
        <v>9</v>
      </c>
      <c r="B142" t="s">
        <v>155</v>
      </c>
      <c r="C142" t="str">
        <f t="shared" si="22"/>
        <v>東京都港区高輪</v>
      </c>
      <c r="D142" s="2" t="str">
        <f t="shared" si="20"/>
        <v>http://geocode.csis.u-tokyo.ac.jp/cgi-bin/simple_geocode.cgi?charset=UTF8&amp;addr=%E6%9D%B1%E4%BA%AC%E9%83%BD%E6%B8%AF%E5%8C%BA%E9%AB%98%E8%BC%AA</v>
      </c>
      <c r="E142" t="str">
        <f t="shared" si="21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142" cm="1">
        <f t="array" ref="F142">INDEX(_xlfn.FILTERXML(E142,"//latitude"),1)</f>
        <v>35.640555999999997</v>
      </c>
      <c r="G142" cm="1">
        <f t="array" ref="G142">INDEX(_xlfn.FILTERXML(E142,"//longitude"),1)</f>
        <v>139.73516799999999</v>
      </c>
      <c r="H142">
        <v>35.640555999999997</v>
      </c>
      <c r="I142">
        <v>139.73516799999999</v>
      </c>
    </row>
    <row r="143" spans="1:9" x14ac:dyDescent="0.4">
      <c r="A143" t="s">
        <v>19</v>
      </c>
      <c r="B143" t="s">
        <v>769</v>
      </c>
      <c r="C143" t="str">
        <f t="shared" si="22"/>
        <v>滋賀県湖南市下田</v>
      </c>
      <c r="D143" s="2" t="str">
        <f t="shared" si="20"/>
        <v>http://geocode.csis.u-tokyo.ac.jp/cgi-bin/simple_geocode.cgi?charset=UTF8&amp;addr=%E6%BB%8B%E8%B3%80%E7%9C%8C%E6%B9%96%E5%8D%97%E5%B8%82%E4%B8%8B%E7%94%B0</v>
      </c>
      <c r="E143" t="str">
        <f t="shared" si="21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143" cm="1">
        <f t="array" ref="F143">INDEX(_xlfn.FILTERXML(E143,"//latitude"),1)</f>
        <v>35.027209999999997</v>
      </c>
      <c r="G143" cm="1">
        <f t="array" ref="G143">INDEX(_xlfn.FILTERXML(E143,"//longitude"),1)</f>
        <v>136.12982199999999</v>
      </c>
      <c r="H143">
        <v>35.027209999999997</v>
      </c>
      <c r="I143">
        <v>136.12982199999999</v>
      </c>
    </row>
    <row r="144" spans="1:9" x14ac:dyDescent="0.4">
      <c r="A144" t="s">
        <v>11</v>
      </c>
      <c r="B144" t="s">
        <v>143</v>
      </c>
      <c r="C144" t="str">
        <f t="shared" si="22"/>
        <v>大阪府大阪市中央区東心斎橋</v>
      </c>
      <c r="D144" s="2" t="str">
        <f t="shared" si="20"/>
        <v>http://geocode.csis.u-tokyo.ac.jp/cgi-bin/simple_geocode.cgi?charset=UTF8&amp;addr=%E5%A4%A7%E9%98%AA%E5%BA%9C%E5%A4%A7%E9%98%AA%E5%B8%82%E4%B8%AD%E5%A4%AE%E5%8C%BA%E6%9D%B1%E5%BF%83%E6%96%8E%E6%A9%8B</v>
      </c>
      <c r="E144" t="str">
        <f t="shared" si="21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144" cm="1">
        <f t="array" ref="F144">INDEX(_xlfn.FILTERXML(E144,"//latitude"),1)</f>
        <v>34.673416000000003</v>
      </c>
      <c r="G144" cm="1">
        <f t="array" ref="G144">INDEX(_xlfn.FILTERXML(E144,"//longitude"),1)</f>
        <v>135.50431800000001</v>
      </c>
      <c r="H144">
        <v>34.673416000000003</v>
      </c>
      <c r="I144">
        <v>135.50431800000001</v>
      </c>
    </row>
    <row r="145" spans="1:9" x14ac:dyDescent="0.4">
      <c r="A145" t="s">
        <v>10</v>
      </c>
      <c r="B145" t="s">
        <v>216</v>
      </c>
      <c r="C145" t="str">
        <f t="shared" si="22"/>
        <v>神奈川県茅ヶ崎市</v>
      </c>
      <c r="D145" s="2" t="str">
        <f t="shared" si="20"/>
        <v>http://geocode.csis.u-tokyo.ac.jp/cgi-bin/simple_geocode.cgi?charset=UTF8&amp;addr=%E7%A5%9E%E5%A5%88%E5%B7%9D%E7%9C%8C%E8%8C%85%E3%83%B6%E5%B4%8E%E5%B8%82</v>
      </c>
      <c r="E145" t="str">
        <f t="shared" si="21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145" cm="1">
        <f t="array" ref="F145">INDEX(_xlfn.FILTERXML(E145,"//latitude"),1)</f>
        <v>35.333877999999999</v>
      </c>
      <c r="G145" cm="1">
        <f t="array" ref="G145">INDEX(_xlfn.FILTERXML(E145,"//longitude"),1)</f>
        <v>139.404709</v>
      </c>
      <c r="H145">
        <v>35.333877999999999</v>
      </c>
      <c r="I145">
        <v>139.404709</v>
      </c>
    </row>
    <row r="146" spans="1:9" x14ac:dyDescent="0.4">
      <c r="A146" t="s">
        <v>15</v>
      </c>
      <c r="B146" t="s">
        <v>770</v>
      </c>
      <c r="C146" t="str">
        <f t="shared" si="22"/>
        <v>兵庫県西脇市</v>
      </c>
      <c r="D146" s="2" t="str">
        <f t="shared" si="20"/>
        <v>http://geocode.csis.u-tokyo.ac.jp/cgi-bin/simple_geocode.cgi?charset=UTF8&amp;addr=%E5%85%B5%E5%BA%AB%E7%9C%8C%E8%A5%BF%E8%84%87%E5%B8%82</v>
      </c>
      <c r="E146" t="str">
        <f t="shared" si="21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146" cm="1">
        <f t="array" ref="F146">INDEX(_xlfn.FILTERXML(E146,"//latitude"),1)</f>
        <v>34.993426999999997</v>
      </c>
      <c r="G146" cm="1">
        <f t="array" ref="G146">INDEX(_xlfn.FILTERXML(E146,"//longitude"),1)</f>
        <v>134.96928399999999</v>
      </c>
      <c r="H146">
        <v>34.993426999999997</v>
      </c>
      <c r="I146">
        <v>134.96928399999999</v>
      </c>
    </row>
    <row r="147" spans="1:9" x14ac:dyDescent="0.4">
      <c r="A147" t="s">
        <v>123</v>
      </c>
      <c r="B147" t="s">
        <v>771</v>
      </c>
      <c r="C147" t="str">
        <f t="shared" si="22"/>
        <v>和歌山県橋本市</v>
      </c>
      <c r="D147" s="2" t="str">
        <f t="shared" si="20"/>
        <v>http://geocode.csis.u-tokyo.ac.jp/cgi-bin/simple_geocode.cgi?charset=UTF8&amp;addr=%E5%92%8C%E6%AD%8C%E5%B1%B1%E7%9C%8C%E6%A9%8B%E6%9C%AC%E5%B8%82</v>
      </c>
      <c r="E147" t="str">
        <f t="shared" si="21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147" cm="1">
        <f t="array" ref="F147">INDEX(_xlfn.FILTERXML(E147,"//latitude"),1)</f>
        <v>34.314877000000003</v>
      </c>
      <c r="G147" cm="1">
        <f t="array" ref="G147">INDEX(_xlfn.FILTERXML(E147,"//longitude"),1)</f>
        <v>135.605209</v>
      </c>
      <c r="H147">
        <v>34.314877000000003</v>
      </c>
      <c r="I147">
        <v>135.605209</v>
      </c>
    </row>
    <row r="148" spans="1:9" x14ac:dyDescent="0.4">
      <c r="A148" t="s">
        <v>10</v>
      </c>
      <c r="B148" t="s">
        <v>772</v>
      </c>
      <c r="C148" t="str">
        <f t="shared" si="22"/>
        <v>神奈川県三浦郡葉山町長柄</v>
      </c>
      <c r="D148" s="2" t="str">
        <f t="shared" si="20"/>
        <v>http://geocode.csis.u-tokyo.ac.jp/cgi-bin/simple_geocode.cgi?charset=UTF8&amp;addr=%E7%A5%9E%E5%A5%88%E5%B7%9D%E7%9C%8C%E4%B8%89%E6%B5%A6%E9%83%A1%E8%91%89%E5%B1%B1%E7%94%BA%E9%95%B7%E6%9F%84</v>
      </c>
      <c r="E148" t="str">
        <f t="shared" si="21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148" cm="1">
        <f t="array" ref="F148">INDEX(_xlfn.FILTERXML(E148,"//latitude"),1)</f>
        <v>35.283695000000002</v>
      </c>
      <c r="G148" cm="1">
        <f t="array" ref="G148">INDEX(_xlfn.FILTERXML(E148,"//longitude"),1)</f>
        <v>139.59114099999999</v>
      </c>
      <c r="H148">
        <v>35.283695000000002</v>
      </c>
      <c r="I148">
        <v>139.59114099999999</v>
      </c>
    </row>
    <row r="149" spans="1:9" x14ac:dyDescent="0.4">
      <c r="A149" t="s">
        <v>198</v>
      </c>
      <c r="B149" t="s">
        <v>773</v>
      </c>
      <c r="C149" t="str">
        <f t="shared" si="22"/>
        <v>鹿児島県大島郡　龍郷町</v>
      </c>
      <c r="D149" s="2" t="str">
        <f t="shared" si="20"/>
        <v>http://geocode.csis.u-tokyo.ac.jp/cgi-bin/simple_geocode.cgi?charset=UTF8&amp;addr=%E9%B9%BF%E5%85%90%E5%B3%B6%E7%9C%8C%E5%A4%A7%E5%B3%B6%E9%83%A1%E3%80%80%E9%BE%8D%E9%83%B7%E7%94%BA</v>
      </c>
      <c r="E149" t="str">
        <f t="shared" si="21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149" cm="1">
        <f t="array" ref="F149">INDEX(_xlfn.FILTERXML(E149,"//latitude"),1)</f>
        <v>28.4133</v>
      </c>
      <c r="G149" cm="1">
        <f t="array" ref="G149">INDEX(_xlfn.FILTERXML(E149,"//longitude"),1)</f>
        <v>129.58935500000001</v>
      </c>
      <c r="H149">
        <v>28.4133</v>
      </c>
      <c r="I149">
        <v>129.58935500000001</v>
      </c>
    </row>
    <row r="150" spans="1:9" x14ac:dyDescent="0.4">
      <c r="A150" t="s">
        <v>10</v>
      </c>
      <c r="B150" t="s">
        <v>217</v>
      </c>
      <c r="C150" t="str">
        <f t="shared" si="22"/>
        <v>神奈川県川崎市多摩区東三田</v>
      </c>
      <c r="D150" s="2" t="str">
        <f t="shared" si="20"/>
        <v>http://geocode.csis.u-tokyo.ac.jp/cgi-bin/simple_geocode.cgi?charset=UTF8&amp;addr=%E7%A5%9E%E5%A5%88%E5%B7%9D%E7%9C%8C%E5%B7%9D%E5%B4%8E%E5%B8%82%E5%A4%9A%E6%91%A9%E5%8C%BA%E6%9D%B1%E4%B8%89%E7%94%B0</v>
      </c>
      <c r="E150" t="str">
        <f t="shared" si="21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150" cm="1">
        <f t="array" ref="F150">INDEX(_xlfn.FILTERXML(E150,"//latitude"),1)</f>
        <v>35.612651999999997</v>
      </c>
      <c r="G150" cm="1">
        <f t="array" ref="G150">INDEX(_xlfn.FILTERXML(E150,"//longitude"),1)</f>
        <v>139.54901100000001</v>
      </c>
      <c r="H150">
        <v>35.612651999999997</v>
      </c>
      <c r="I150">
        <v>139.54901100000001</v>
      </c>
    </row>
    <row r="151" spans="1:9" x14ac:dyDescent="0.4">
      <c r="A151" t="s">
        <v>43</v>
      </c>
      <c r="B151" t="s">
        <v>774</v>
      </c>
      <c r="C151" t="str">
        <f t="shared" si="22"/>
        <v>大分県大分市公園通り</v>
      </c>
      <c r="D151" s="2" t="str">
        <f t="shared" si="20"/>
        <v>http://geocode.csis.u-tokyo.ac.jp/cgi-bin/simple_geocode.cgi?charset=UTF8&amp;addr=%E5%A4%A7%E5%88%86%E7%9C%8C%E5%A4%A7%E5%88%86%E5%B8%82%E5%85%AC%E5%9C%92%E9%80%9A%E3%82%8A</v>
      </c>
      <c r="E151" t="str">
        <f t="shared" si="21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151" cm="1">
        <f t="array" ref="F151">INDEX(_xlfn.FILTERXML(E151,"//latitude"),1)</f>
        <v>33.188915000000001</v>
      </c>
      <c r="G151" cm="1">
        <f t="array" ref="G151">INDEX(_xlfn.FILTERXML(E151,"//longitude"),1)</f>
        <v>131.65512100000001</v>
      </c>
      <c r="H151">
        <v>33.188915000000001</v>
      </c>
      <c r="I151">
        <v>131.65512100000001</v>
      </c>
    </row>
    <row r="152" spans="1:9" x14ac:dyDescent="0.4">
      <c r="A152" t="s">
        <v>204</v>
      </c>
      <c r="B152" t="s">
        <v>775</v>
      </c>
      <c r="C152" t="str">
        <f t="shared" si="22"/>
        <v>青森県青森市羽白字沢田</v>
      </c>
      <c r="D152" s="2" t="str">
        <f t="shared" si="20"/>
        <v>http://geocode.csis.u-tokyo.ac.jp/cgi-bin/simple_geocode.cgi?charset=UTF8&amp;addr=%E9%9D%92%E6%A3%AE%E7%9C%8C%E9%9D%92%E6%A3%AE%E5%B8%82%E7%BE%BD%E7%99%BD%E5%AD%97%E6%B2%A2%E7%94%B0</v>
      </c>
      <c r="E152" t="str">
        <f t="shared" si="21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152" cm="1">
        <f t="array" ref="F152">INDEX(_xlfn.FILTERXML(E152,"//latitude"),1)</f>
        <v>40.857849000000002</v>
      </c>
      <c r="G152" cm="1">
        <f t="array" ref="G152">INDEX(_xlfn.FILTERXML(E152,"//longitude"),1)</f>
        <v>140.67884799999999</v>
      </c>
      <c r="H152">
        <v>40.857849000000002</v>
      </c>
      <c r="I152">
        <v>140.67884799999999</v>
      </c>
    </row>
    <row r="153" spans="1:9" x14ac:dyDescent="0.4">
      <c r="A153" t="s">
        <v>16</v>
      </c>
      <c r="B153" t="s">
        <v>219</v>
      </c>
      <c r="C153" t="str">
        <f t="shared" si="22"/>
        <v>長野県須坂市大字福島</v>
      </c>
      <c r="D153" s="2" t="str">
        <f t="shared" si="20"/>
        <v>http://geocode.csis.u-tokyo.ac.jp/cgi-bin/simple_geocode.cgi?charset=UTF8&amp;addr=%E9%95%B7%E9%87%8E%E7%9C%8C%E9%A0%88%E5%9D%82%E5%B8%82%E5%A4%A7%E5%AD%97%E7%A6%8F%E5%B3%B6</v>
      </c>
      <c r="E153" t="str">
        <f t="shared" si="21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153" cm="1">
        <f t="array" ref="F153">INDEX(_xlfn.FILTERXML(E153,"//latitude"),1)</f>
        <v>36.646191000000002</v>
      </c>
      <c r="G153" cm="1">
        <f t="array" ref="G153">INDEX(_xlfn.FILTERXML(E153,"//longitude"),1)</f>
        <v>138.26513700000001</v>
      </c>
      <c r="H153">
        <v>36.646191000000002</v>
      </c>
      <c r="I153">
        <v>138.26513700000001</v>
      </c>
    </row>
    <row r="154" spans="1:9" x14ac:dyDescent="0.4">
      <c r="A154" t="s">
        <v>9</v>
      </c>
      <c r="B154" t="s">
        <v>776</v>
      </c>
      <c r="C154" t="str">
        <f t="shared" si="22"/>
        <v>東京都江戸川区西瑞江</v>
      </c>
      <c r="D154" s="2" t="str">
        <f t="shared" si="20"/>
        <v>http://geocode.csis.u-tokyo.ac.jp/cgi-bin/simple_geocode.cgi?charset=UTF8&amp;addr=%E6%9D%B1%E4%BA%AC%E9%83%BD%E6%B1%9F%E6%88%B8%E5%B7%9D%E5%8C%BA%E8%A5%BF%E7%91%9E%E6%B1%9F</v>
      </c>
      <c r="E154" t="str">
        <f t="shared" si="21"/>
        <v xml:space="preserve">&lt;?xml version="1.0" encoding="UTF-8" ?&gt;
&lt;results&gt;
&lt;query&gt;東京都江戸川区西瑞江&lt;/query&gt;
&lt;geodetic&gt;wgs1984&lt;/geodetic&gt;
&lt;iConf&gt;5&lt;/iConf&gt;
&lt;converted&gt;東京都江戸川区西瑞江&lt;/converted&gt;
&lt;candidate&gt;
&lt;address&gt;東京都/江戸川区/西瑞江&lt;/address&gt;
&lt;longitude&gt;139.890442&lt;/longitude&gt;
&lt;latitude&gt;35.688530&lt;/latitude&gt;
&lt;iLvl&gt;5&lt;/iLvl&gt;
&lt;/candidate&gt;
&lt;/results&gt;
</v>
      </c>
      <c r="F154" cm="1">
        <f t="array" ref="F154">INDEX(_xlfn.FILTERXML(E154,"//latitude"),1)</f>
        <v>35.68853</v>
      </c>
      <c r="G154" cm="1">
        <f t="array" ref="G154">INDEX(_xlfn.FILTERXML(E154,"//longitude"),1)</f>
        <v>139.89044200000001</v>
      </c>
      <c r="H154">
        <v>35.68853</v>
      </c>
      <c r="I154">
        <v>139.89044200000001</v>
      </c>
    </row>
    <row r="155" spans="1:9" x14ac:dyDescent="0.4">
      <c r="A155" t="s">
        <v>20</v>
      </c>
      <c r="B155" t="s">
        <v>417</v>
      </c>
      <c r="C155" t="str">
        <f t="shared" si="22"/>
        <v>茨城県日立市久慈町</v>
      </c>
      <c r="D155" s="2" t="str">
        <f t="shared" si="20"/>
        <v>http://geocode.csis.u-tokyo.ac.jp/cgi-bin/simple_geocode.cgi?charset=UTF8&amp;addr=%E8%8C%A8%E5%9F%8E%E7%9C%8C%E6%97%A5%E7%AB%8B%E5%B8%82%E4%B9%85%E6%85%88%E7%94%BA</v>
      </c>
      <c r="E155" t="str">
        <f t="shared" si="21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155" cm="1">
        <f t="array" ref="F155">INDEX(_xlfn.FILTERXML(E155,"//latitude"),1)</f>
        <v>36.498386000000004</v>
      </c>
      <c r="G155" cm="1">
        <f t="array" ref="G155">INDEX(_xlfn.FILTERXML(E155,"//longitude"),1)</f>
        <v>140.622589</v>
      </c>
      <c r="H155">
        <v>36.498386000000004</v>
      </c>
      <c r="I155">
        <v>140.622589</v>
      </c>
    </row>
    <row r="156" spans="1:9" x14ac:dyDescent="0.4">
      <c r="A156" t="s">
        <v>24</v>
      </c>
      <c r="B156" t="s">
        <v>27</v>
      </c>
      <c r="C156" t="str">
        <f t="shared" si="22"/>
        <v>栃木県宇都宮市</v>
      </c>
      <c r="D156" s="2" t="str">
        <f t="shared" si="20"/>
        <v>http://geocode.csis.u-tokyo.ac.jp/cgi-bin/simple_geocode.cgi?charset=UTF8&amp;addr=%E6%A0%83%E6%9C%A8%E7%9C%8C%E5%AE%87%E9%83%BD%E5%AE%AE%E5%B8%82</v>
      </c>
      <c r="E156" t="str">
        <f t="shared" si="21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56" cm="1">
        <f t="array" ref="F156">INDEX(_xlfn.FILTERXML(E156,"//latitude"),1)</f>
        <v>36.555115000000001</v>
      </c>
      <c r="G156" cm="1">
        <f t="array" ref="G156">INDEX(_xlfn.FILTERXML(E156,"//longitude"),1)</f>
        <v>139.882812</v>
      </c>
      <c r="H156">
        <v>36.555115000000001</v>
      </c>
      <c r="I156">
        <v>139.882812</v>
      </c>
    </row>
    <row r="157" spans="1:9" x14ac:dyDescent="0.4">
      <c r="A157" t="s">
        <v>9</v>
      </c>
      <c r="B157" t="s">
        <v>777</v>
      </c>
      <c r="C157" t="str">
        <f t="shared" si="22"/>
        <v>東京都杉並区浜田山</v>
      </c>
      <c r="D157" s="2" t="str">
        <f t="shared" si="20"/>
        <v>http://geocode.csis.u-tokyo.ac.jp/cgi-bin/simple_geocode.cgi?charset=UTF8&amp;addr=%E6%9D%B1%E4%BA%AC%E9%83%BD%E6%9D%89%E4%B8%A6%E5%8C%BA%E6%B5%9C%E7%94%B0%E5%B1%B1</v>
      </c>
      <c r="E157" t="str">
        <f t="shared" si="21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157" cm="1">
        <f t="array" ref="F157">INDEX(_xlfn.FILTERXML(E157,"//latitude"),1)</f>
        <v>35.678024000000001</v>
      </c>
      <c r="G157" cm="1">
        <f t="array" ref="G157">INDEX(_xlfn.FILTERXML(E157,"//longitude"),1)</f>
        <v>139.631012</v>
      </c>
      <c r="H157">
        <v>35.678024000000001</v>
      </c>
      <c r="I157">
        <v>139.631012</v>
      </c>
    </row>
    <row r="158" spans="1:9" x14ac:dyDescent="0.4">
      <c r="A158" t="s">
        <v>29</v>
      </c>
      <c r="B158" t="s">
        <v>222</v>
      </c>
      <c r="C158" t="str">
        <f t="shared" si="22"/>
        <v>静岡県浜松市浜名区新原</v>
      </c>
      <c r="D158" s="2" t="str">
        <f t="shared" si="20"/>
        <v>http://geocode.csis.u-tokyo.ac.jp/cgi-bin/simple_geocode.cgi?charset=UTF8&amp;addr=%E9%9D%99%E5%B2%A1%E7%9C%8C%E6%B5%9C%E6%9D%BE%E5%B8%82%E6%B5%9C%E5%90%8D%E5%8C%BA%E6%96%B0%E5%8E%9F</v>
      </c>
      <c r="E158" t="str">
        <f t="shared" si="21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158" cm="1">
        <f t="array" ref="F158">INDEX(_xlfn.FILTERXML(E158,"//latitude"),1)</f>
        <v>34.81485</v>
      </c>
      <c r="G158" cm="1">
        <f t="array" ref="G158">INDEX(_xlfn.FILTERXML(E158,"//longitude"),1)</f>
        <v>137.78272999999999</v>
      </c>
      <c r="H158">
        <v>34.81485</v>
      </c>
      <c r="I158">
        <v>137.78272999999999</v>
      </c>
    </row>
    <row r="159" spans="1:9" x14ac:dyDescent="0.4">
      <c r="A159" t="s">
        <v>13</v>
      </c>
      <c r="B159" t="s">
        <v>224</v>
      </c>
      <c r="C159" t="str">
        <f t="shared" si="22"/>
        <v>埼玉県北葛飾郡松伏町魚沼</v>
      </c>
      <c r="D159" s="2" t="str">
        <f t="shared" si="20"/>
        <v>http://geocode.csis.u-tokyo.ac.jp/cgi-bin/simple_geocode.cgi?charset=UTF8&amp;addr=%E5%9F%BC%E7%8E%89%E7%9C%8C%E5%8C%97%E8%91%9B%E9%A3%BE%E9%83%A1%E6%9D%BE%E4%BC%8F%E7%94%BA%E9%AD%9A%E6%B2%BC</v>
      </c>
      <c r="E159" t="str">
        <f t="shared" si="21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159" cm="1">
        <f t="array" ref="F159">INDEX(_xlfn.FILTERXML(E159,"//latitude"),1)</f>
        <v>35.958393000000001</v>
      </c>
      <c r="G159" cm="1">
        <f t="array" ref="G159">INDEX(_xlfn.FILTERXML(E159,"//longitude"),1)</f>
        <v>139.82037399999999</v>
      </c>
      <c r="H159">
        <v>35.958393000000001</v>
      </c>
      <c r="I159">
        <v>139.82037399999999</v>
      </c>
    </row>
    <row r="160" spans="1:9" x14ac:dyDescent="0.4">
      <c r="A160" t="s">
        <v>15</v>
      </c>
      <c r="B160" t="s">
        <v>778</v>
      </c>
      <c r="C160" t="str">
        <f t="shared" si="22"/>
        <v>兵庫県宝塚市中筋山手4丁目</v>
      </c>
      <c r="D160" s="2" t="str">
        <f t="shared" si="20"/>
        <v>http://geocode.csis.u-tokyo.ac.jp/cgi-bin/simple_geocode.cgi?charset=UTF8&amp;addr=%E5%85%B5%E5%BA%AB%E7%9C%8C%E5%AE%9D%E5%A1%9A%E5%B8%82%E4%B8%AD%E7%AD%8B%E5%B1%B1%E6%89%8B4%E4%B8%81%E7%9B%AE</v>
      </c>
      <c r="E160" t="str">
        <f t="shared" si="21"/>
        <v xml:space="preserve">&lt;?xml version="1.0" encoding="UTF-8" ?&gt;
&lt;results&gt;
&lt;query&gt;兵庫県宝塚市中筋山手4丁目&lt;/query&gt;
&lt;geodetic&gt;wgs1984&lt;/geodetic&gt;
&lt;iConf&gt;5&lt;/iConf&gt;
&lt;converted&gt;兵庫県宝塚市中筋山手4丁目&lt;/converted&gt;
&lt;candidate&gt;
&lt;address&gt;兵庫県/宝塚市/中筋山手/四丁目&lt;/address&gt;
&lt;longitude&gt;135.375504&lt;/longitude&gt;
&lt;latitude&gt;34.822479&lt;/latitude&gt;
&lt;iLvl&gt;6&lt;/iLvl&gt;
&lt;/candidate&gt;
&lt;/results&gt;
</v>
      </c>
      <c r="F160" cm="1">
        <f t="array" ref="F160">INDEX(_xlfn.FILTERXML(E160,"//latitude"),1)</f>
        <v>34.822479000000001</v>
      </c>
      <c r="G160" cm="1">
        <f t="array" ref="G160">INDEX(_xlfn.FILTERXML(E160,"//longitude"),1)</f>
        <v>135.37550400000001</v>
      </c>
      <c r="H160">
        <v>34.822479000000001</v>
      </c>
      <c r="I160">
        <v>135.37550400000001</v>
      </c>
    </row>
    <row r="161" spans="1:9" x14ac:dyDescent="0.4">
      <c r="A161" t="s">
        <v>10</v>
      </c>
      <c r="B161" t="s">
        <v>779</v>
      </c>
      <c r="C161" t="str">
        <f t="shared" si="22"/>
        <v>神奈川県横浜市神奈川区反町</v>
      </c>
      <c r="D161" s="2" t="str">
        <f t="shared" si="20"/>
        <v>http://geocode.csis.u-tokyo.ac.jp/cgi-bin/simple_geocode.cgi?charset=UTF8&amp;addr=%E7%A5%9E%E5%A5%88%E5%B7%9D%E7%9C%8C%E6%A8%AA%E6%B5%9C%E5%B8%82%E7%A5%9E%E5%A5%88%E5%B7%9D%E5%8C%BA%E5%8F%8D%E7%94%BA</v>
      </c>
      <c r="E161" t="str">
        <f t="shared" si="21"/>
        <v xml:space="preserve">&lt;?xml version="1.0" encoding="UTF-8" ?&gt;
&lt;results&gt;
&lt;query&gt;神奈川県横浜市神奈川区反町&lt;/query&gt;
&lt;geodetic&gt;wgs1984&lt;/geodetic&gt;
&lt;iConf&gt;5&lt;/iConf&gt;
&lt;converted&gt;神奈川県横浜市神奈川区反町&lt;/converted&gt;
&lt;candidate&gt;
&lt;address&gt;神奈川県/横浜市/神奈川区/反町&lt;/address&gt;
&lt;longitude&gt;139.628769&lt;/longitude&gt;
&lt;latitude&gt;35.475243&lt;/latitude&gt;
&lt;iLvl&gt;5&lt;/iLvl&gt;
&lt;/candidate&gt;
&lt;/results&gt;
</v>
      </c>
      <c r="F161" cm="1">
        <f t="array" ref="F161">INDEX(_xlfn.FILTERXML(E161,"//latitude"),1)</f>
        <v>35.475242999999999</v>
      </c>
      <c r="G161" cm="1">
        <f t="array" ref="G161">INDEX(_xlfn.FILTERXML(E161,"//longitude"),1)</f>
        <v>139.62876900000001</v>
      </c>
      <c r="H161">
        <v>35.475242999999999</v>
      </c>
      <c r="I161">
        <v>139.62876900000001</v>
      </c>
    </row>
    <row r="162" spans="1:9" x14ac:dyDescent="0.4">
      <c r="A162" t="s">
        <v>15</v>
      </c>
      <c r="B162" t="s">
        <v>780</v>
      </c>
      <c r="C162" t="str">
        <f t="shared" si="22"/>
        <v>兵庫県芦屋市</v>
      </c>
      <c r="D162" s="2" t="str">
        <f t="shared" si="20"/>
        <v>http://geocode.csis.u-tokyo.ac.jp/cgi-bin/simple_geocode.cgi?charset=UTF8&amp;addr=%E5%85%B5%E5%BA%AB%E7%9C%8C%E8%8A%A6%E5%B1%8B%E5%B8%82</v>
      </c>
      <c r="E162" t="str">
        <f t="shared" si="21"/>
        <v xml:space="preserve">&lt;?xml version="1.0" encoding="UTF-8" ?&gt;
&lt;results&gt;
&lt;query&gt;兵庫県芦屋市&lt;/query&gt;
&lt;geodetic&gt;wgs1984&lt;/geodetic&gt;
&lt;iConf&gt;5&lt;/iConf&gt;
&lt;converted&gt;兵庫県芦屋市&lt;/converted&gt;
&lt;candidate&gt;
&lt;address&gt;兵庫県/芦屋市&lt;/address&gt;
&lt;longitude&gt;135.304184&lt;/longitude&gt;
&lt;latitude&gt;34.726521&lt;/latitude&gt;
&lt;iLvl&gt;3&lt;/iLvl&gt;
&lt;/candidate&gt;
&lt;/results&gt;
</v>
      </c>
      <c r="F162" cm="1">
        <f t="array" ref="F162">INDEX(_xlfn.FILTERXML(E162,"//latitude"),1)</f>
        <v>34.726520999999998</v>
      </c>
      <c r="G162" cm="1">
        <f t="array" ref="G162">INDEX(_xlfn.FILTERXML(E162,"//longitude"),1)</f>
        <v>135.30418399999999</v>
      </c>
      <c r="H162">
        <v>34.726520999999998</v>
      </c>
      <c r="I162">
        <v>135.30418399999999</v>
      </c>
    </row>
    <row r="163" spans="1:9" x14ac:dyDescent="0.4">
      <c r="A163" t="s">
        <v>9</v>
      </c>
      <c r="B163" t="s">
        <v>781</v>
      </c>
      <c r="C163" t="str">
        <f t="shared" si="22"/>
        <v>東京都江東区大島</v>
      </c>
      <c r="D163" s="2" t="str">
        <f t="shared" si="20"/>
        <v>http://geocode.csis.u-tokyo.ac.jp/cgi-bin/simple_geocode.cgi?charset=UTF8&amp;addr=%E6%9D%B1%E4%BA%AC%E9%83%BD%E6%B1%9F%E6%9D%B1%E5%8C%BA%E5%A4%A7%E5%B3%B6</v>
      </c>
      <c r="E163" t="str">
        <f t="shared" si="21"/>
        <v xml:space="preserve">&lt;?xml version="1.0" encoding="UTF-8" ?&gt;
&lt;results&gt;
&lt;query&gt;東京都江東区大島&lt;/query&gt;
&lt;geodetic&gt;wgs1984&lt;/geodetic&gt;
&lt;iConf&gt;5&lt;/iConf&gt;
&lt;converted&gt;東京都江東区大島&lt;/converted&gt;
&lt;candidate&gt;
&lt;address&gt;東京都/江東区/大島&lt;/address&gt;
&lt;longitude&gt;139.823425&lt;/longitude&gt;
&lt;latitude&gt;35.687180&lt;/latitude&gt;
&lt;iLvl&gt;5&lt;/iLvl&gt;
&lt;/candidate&gt;
&lt;/results&gt;
</v>
      </c>
      <c r="F163" cm="1">
        <f t="array" ref="F163">INDEX(_xlfn.FILTERXML(E163,"//latitude"),1)</f>
        <v>35.687179999999998</v>
      </c>
      <c r="G163" cm="1">
        <f t="array" ref="G163">INDEX(_xlfn.FILTERXML(E163,"//longitude"),1)</f>
        <v>139.82342499999999</v>
      </c>
      <c r="H163">
        <v>35.687179999999998</v>
      </c>
      <c r="I163">
        <v>139.82342499999999</v>
      </c>
    </row>
    <row r="164" spans="1:9" x14ac:dyDescent="0.4">
      <c r="A164" t="s">
        <v>17</v>
      </c>
      <c r="B164" t="s">
        <v>782</v>
      </c>
      <c r="C164" t="str">
        <f t="shared" si="22"/>
        <v>愛知県名古屋市中川区愛知町</v>
      </c>
      <c r="D164" s="2" t="str">
        <f t="shared" si="20"/>
        <v>http://geocode.csis.u-tokyo.ac.jp/cgi-bin/simple_geocode.cgi?charset=UTF8&amp;addr=%E6%84%9B%E7%9F%A5%E7%9C%8C%E5%90%8D%E5%8F%A4%E5%B1%8B%E5%B8%82%E4%B8%AD%E5%B7%9D%E5%8C%BA%E6%84%9B%E7%9F%A5%E7%94%BA</v>
      </c>
      <c r="E164" t="str">
        <f t="shared" si="21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164" cm="1">
        <f t="array" ref="F164">INDEX(_xlfn.FILTERXML(E164,"//latitude"),1)</f>
        <v>35.154071999999999</v>
      </c>
      <c r="G164" cm="1">
        <f t="array" ref="G164">INDEX(_xlfn.FILTERXML(E164,"//longitude"),1)</f>
        <v>136.87617499999999</v>
      </c>
      <c r="H164">
        <v>35.154071999999999</v>
      </c>
      <c r="I164">
        <v>136.87617499999999</v>
      </c>
    </row>
    <row r="165" spans="1:9" x14ac:dyDescent="0.4">
      <c r="A165" t="s">
        <v>21</v>
      </c>
      <c r="B165" t="s">
        <v>508</v>
      </c>
      <c r="C165" t="str">
        <f t="shared" si="22"/>
        <v>福岡県春日市須玖北</v>
      </c>
      <c r="D165" s="2" t="str">
        <f t="shared" si="20"/>
        <v>http://geocode.csis.u-tokyo.ac.jp/cgi-bin/simple_geocode.cgi?charset=UTF8&amp;addr=%E7%A6%8F%E5%B2%A1%E7%9C%8C%E6%98%A5%E6%97%A5%E5%B8%82%E9%A0%88%E7%8E%96%E5%8C%97</v>
      </c>
      <c r="E165" t="str">
        <f t="shared" si="21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165" cm="1">
        <f t="array" ref="F165">INDEX(_xlfn.FILTERXML(E165,"//latitude"),1)</f>
        <v>33.546028</v>
      </c>
      <c r="G165" cm="1">
        <f t="array" ref="G165">INDEX(_xlfn.FILTERXML(E165,"//longitude"),1)</f>
        <v>130.443726</v>
      </c>
      <c r="H165">
        <v>33.546028</v>
      </c>
      <c r="I165">
        <v>130.443726</v>
      </c>
    </row>
    <row r="166" spans="1:9" x14ac:dyDescent="0.4">
      <c r="A166" t="s">
        <v>10</v>
      </c>
      <c r="B166" t="s">
        <v>225</v>
      </c>
      <c r="C166" t="str">
        <f t="shared" si="22"/>
        <v>神奈川県横浜市青葉区つつじヶ丘</v>
      </c>
      <c r="D166" s="2" t="str">
        <f t="shared" si="20"/>
        <v>http://geocode.csis.u-tokyo.ac.jp/cgi-bin/simple_geocode.cgi?charset=UTF8&amp;addr=%E7%A5%9E%E5%A5%88%E5%B7%9D%E7%9C%8C%E6%A8%AA%E6%B5%9C%E5%B8%82%E9%9D%92%E8%91%89%E5%8C%BA%E3%81%A4%E3%81%A4%E3%81%98%E3%83%B6%E4%B8%98</v>
      </c>
      <c r="E166" t="str">
        <f t="shared" si="21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166" cm="1">
        <f t="array" ref="F166">INDEX(_xlfn.FILTERXML(E166,"//latitude"),1)</f>
        <v>35.538448000000002</v>
      </c>
      <c r="G166" cm="1">
        <f t="array" ref="G166">INDEX(_xlfn.FILTERXML(E166,"//longitude"),1)</f>
        <v>139.519623</v>
      </c>
      <c r="H166">
        <v>35.538448000000002</v>
      </c>
      <c r="I166">
        <v>139.519623</v>
      </c>
    </row>
    <row r="167" spans="1:9" x14ac:dyDescent="0.4">
      <c r="A167" t="s">
        <v>16</v>
      </c>
      <c r="B167" t="s">
        <v>86</v>
      </c>
      <c r="C167" t="str">
        <f t="shared" si="22"/>
        <v>長野県飯田市</v>
      </c>
      <c r="D167" s="2" t="str">
        <f t="shared" si="20"/>
        <v>http://geocode.csis.u-tokyo.ac.jp/cgi-bin/simple_geocode.cgi?charset=UTF8&amp;addr=%E9%95%B7%E9%87%8E%E7%9C%8C%E9%A3%AF%E7%94%B0%E5%B8%82</v>
      </c>
      <c r="E167" t="str">
        <f t="shared" si="21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167" cm="1">
        <f t="array" ref="F167">INDEX(_xlfn.FILTERXML(E167,"//latitude"),1)</f>
        <v>35.514702</v>
      </c>
      <c r="G167" cm="1">
        <f t="array" ref="G167">INDEX(_xlfn.FILTERXML(E167,"//longitude"),1)</f>
        <v>137.82182299999999</v>
      </c>
      <c r="H167">
        <v>35.514702</v>
      </c>
      <c r="I167">
        <v>137.82182299999999</v>
      </c>
    </row>
    <row r="168" spans="1:9" x14ac:dyDescent="0.4">
      <c r="A168" t="s">
        <v>10</v>
      </c>
      <c r="B168" t="s">
        <v>783</v>
      </c>
      <c r="C168" t="str">
        <f t="shared" si="22"/>
        <v>神奈川県川崎市宮前区菅生</v>
      </c>
      <c r="D168" s="2" t="str">
        <f t="shared" si="20"/>
        <v>http://geocode.csis.u-tokyo.ac.jp/cgi-bin/simple_geocode.cgi?charset=UTF8&amp;addr=%E7%A5%9E%E5%A5%88%E5%B7%9D%E7%9C%8C%E5%B7%9D%E5%B4%8E%E5%B8%82%E5%AE%AE%E5%89%8D%E5%8C%BA%E8%8F%85%E7%94%9F</v>
      </c>
      <c r="E168" t="str">
        <f t="shared" si="21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168" cm="1">
        <f t="array" ref="F168">INDEX(_xlfn.FILTERXML(E168,"//latitude"),1)</f>
        <v>35.599854000000001</v>
      </c>
      <c r="G168" cm="1">
        <f t="array" ref="G168">INDEX(_xlfn.FILTERXML(E168,"//longitude"),1)</f>
        <v>139.555374</v>
      </c>
      <c r="H168">
        <v>35.599854000000001</v>
      </c>
      <c r="I168">
        <v>139.555374</v>
      </c>
    </row>
    <row r="169" spans="1:9" x14ac:dyDescent="0.4">
      <c r="A169" t="s">
        <v>10</v>
      </c>
      <c r="B169" t="s">
        <v>437</v>
      </c>
      <c r="C169" t="str">
        <f t="shared" si="22"/>
        <v>神奈川県藤沢市本町</v>
      </c>
      <c r="D169" s="2" t="str">
        <f t="shared" si="20"/>
        <v>http://geocode.csis.u-tokyo.ac.jp/cgi-bin/simple_geocode.cgi?charset=UTF8&amp;addr=%E7%A5%9E%E5%A5%88%E5%B7%9D%E7%9C%8C%E8%97%A4%E6%B2%A2%E5%B8%82%E6%9C%AC%E7%94%BA</v>
      </c>
      <c r="E169" t="str">
        <f t="shared" si="21"/>
        <v xml:space="preserve">&lt;?xml version="1.0" encoding="UTF-8" ?&gt;
&lt;results&gt;
&lt;query&gt;神奈川県藤沢市本町&lt;/query&gt;
&lt;geodetic&gt;wgs1984&lt;/geodetic&gt;
&lt;iConf&gt;5&lt;/iConf&gt;
&lt;converted&gt;神奈川県藤沢市本町&lt;/converted&gt;
&lt;candidate&gt;
&lt;address&gt;神奈川県/藤沢市/本町&lt;/address&gt;
&lt;longitude&gt;139.483536&lt;/longitude&gt;
&lt;latitude&gt;35.345188&lt;/latitude&gt;
&lt;iLvl&gt;5&lt;/iLvl&gt;
&lt;/candidate&gt;
&lt;/results&gt;
</v>
      </c>
      <c r="F169" cm="1">
        <f t="array" ref="F169">INDEX(_xlfn.FILTERXML(E169,"//latitude"),1)</f>
        <v>35.345188</v>
      </c>
      <c r="G169" cm="1">
        <f t="array" ref="G169">INDEX(_xlfn.FILTERXML(E169,"//longitude"),1)</f>
        <v>139.48353599999999</v>
      </c>
      <c r="H169">
        <v>35.345188</v>
      </c>
      <c r="I169">
        <v>139.48353599999999</v>
      </c>
    </row>
    <row r="170" spans="1:9" x14ac:dyDescent="0.4">
      <c r="A170" t="s">
        <v>118</v>
      </c>
      <c r="B170" t="s">
        <v>784</v>
      </c>
      <c r="C170" t="str">
        <f t="shared" si="22"/>
        <v>北海道札幌市中央区北４条西30丁目1-17</v>
      </c>
      <c r="D170" s="2" t="str">
        <f t="shared" si="20"/>
        <v>http://geocode.csis.u-tokyo.ac.jp/cgi-bin/simple_geocode.cgi?charset=UTF8&amp;addr=%E5%8C%97%E6%B5%B7%E9%81%93%E6%9C%AD%E5%B9%8C%E5%B8%82%E4%B8%AD%E5%A4%AE%E5%8C%BA%E5%8C%97%EF%BC%94%E6%9D%A1%E8%A5%BF30%E4%B8%81%E7%9B%AE1-17</v>
      </c>
      <c r="E170" t="str">
        <f t="shared" si="21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170" cm="1">
        <f t="array" ref="F170">INDEX(_xlfn.FILTERXML(E170,"//latitude"),1)</f>
        <v>43.060172999999999</v>
      </c>
      <c r="G170" cm="1">
        <f t="array" ref="G170">INDEX(_xlfn.FILTERXML(E170,"//longitude"),1)</f>
        <v>141.31114199999999</v>
      </c>
      <c r="H170">
        <v>43.060172999999999</v>
      </c>
      <c r="I170">
        <v>141.31114199999999</v>
      </c>
    </row>
    <row r="171" spans="1:9" x14ac:dyDescent="0.4">
      <c r="A171" t="s">
        <v>9</v>
      </c>
      <c r="B171" t="s">
        <v>223</v>
      </c>
      <c r="C171" t="str">
        <f t="shared" si="22"/>
        <v>東京都世田谷区</v>
      </c>
      <c r="D171" s="2" t="str">
        <f t="shared" si="20"/>
        <v>http://geocode.csis.u-tokyo.ac.jp/cgi-bin/simple_geocode.cgi?charset=UTF8&amp;addr=%E6%9D%B1%E4%BA%AC%E9%83%BD%E4%B8%96%E7%94%B0%E8%B0%B7%E5%8C%BA</v>
      </c>
      <c r="E171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71" cm="1">
        <f t="array" ref="F171">INDEX(_xlfn.FILTERXML(E171,"//latitude"),1)</f>
        <v>35.646481000000001</v>
      </c>
      <c r="G171" cm="1">
        <f t="array" ref="G171">INDEX(_xlfn.FILTERXML(E171,"//longitude"),1)</f>
        <v>139.65321399999999</v>
      </c>
      <c r="H171" s="3">
        <v>35.646481000000001</v>
      </c>
      <c r="I171" s="3">
        <v>139.65321399999999</v>
      </c>
    </row>
    <row r="172" spans="1:9" x14ac:dyDescent="0.4">
      <c r="A172" t="s">
        <v>13</v>
      </c>
      <c r="B172" t="s">
        <v>785</v>
      </c>
      <c r="C172" t="str">
        <f t="shared" si="22"/>
        <v>埼玉県さいたま市見沼区蓮沼５７４－１</v>
      </c>
      <c r="D172" s="2" t="str">
        <f t="shared" si="20"/>
        <v>http://geocode.csis.u-tokyo.ac.jp/cgi-bin/simple_geocode.cgi?charset=UTF8&amp;addr=%E5%9F%BC%E7%8E%89%E7%9C%8C%E3%81%95%E3%81%84%E3%81%9F%E3%81%BE%E5%B8%82%E8%A6%8B%E6%B2%BC%E5%8C%BA%E8%93%AE%E6%B2%BC%EF%BC%95%EF%BC%97%EF%BC%94%EF%BC%8D%EF%BC%91</v>
      </c>
      <c r="E172" t="str">
        <f t="shared" si="21"/>
        <v xml:space="preserve">&lt;?xml version="1.0" encoding="UTF-8" ?&gt;
&lt;results&gt;
&lt;query&gt;埼玉県さいたま市見沼区蓮沼５７４−１&lt;/query&gt;
&lt;geodetic&gt;wgs1984&lt;/geodetic&gt;
&lt;iConf&gt;5&lt;/iConf&gt;
&lt;converted&gt;埼玉県さいたま市見沼区蓮沼５７４−&lt;/converted&gt;
&lt;candidate&gt;
&lt;address&gt;埼玉県/さいたま市/見沼区/蓮沼/５７４番地&lt;/address&gt;
&lt;longitude&gt;139.661163&lt;/longitude&gt;
&lt;latitude&gt;35.929134&lt;/latitude&gt;
&lt;iLvl&gt;7&lt;/iLvl&gt;
&lt;/candidate&gt;
&lt;/results&gt;
</v>
      </c>
      <c r="F172" cm="1">
        <f t="array" ref="F172">INDEX(_xlfn.FILTERXML(E172,"//latitude"),1)</f>
        <v>35.929133999999998</v>
      </c>
      <c r="G172" cm="1">
        <f t="array" ref="G172">INDEX(_xlfn.FILTERXML(E172,"//longitude"),1)</f>
        <v>139.66116299999999</v>
      </c>
      <c r="H172">
        <v>35.929133999999998</v>
      </c>
      <c r="I172">
        <v>139.66116299999999</v>
      </c>
    </row>
    <row r="173" spans="1:9" x14ac:dyDescent="0.4">
      <c r="A173" t="s">
        <v>113</v>
      </c>
      <c r="B173" t="s">
        <v>786</v>
      </c>
      <c r="C173" t="str">
        <f t="shared" si="22"/>
        <v>岡山県岡山市南区大福</v>
      </c>
      <c r="D173" s="2" t="str">
        <f t="shared" si="20"/>
        <v>http://geocode.csis.u-tokyo.ac.jp/cgi-bin/simple_geocode.cgi?charset=UTF8&amp;addr=%E5%B2%A1%E5%B1%B1%E7%9C%8C%E5%B2%A1%E5%B1%B1%E5%B8%82%E5%8D%97%E5%8C%BA%E5%A4%A7%E7%A6%8F</v>
      </c>
      <c r="E173" t="str">
        <f t="shared" si="21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173" cm="1">
        <f t="array" ref="F173">INDEX(_xlfn.FILTERXML(E173,"//latitude"),1)</f>
        <v>34.620139999999999</v>
      </c>
      <c r="G173" cm="1">
        <f t="array" ref="G173">INDEX(_xlfn.FILTERXML(E173,"//longitude"),1)</f>
        <v>133.882126</v>
      </c>
      <c r="H173">
        <v>34.620139999999999</v>
      </c>
      <c r="I173">
        <v>133.882126</v>
      </c>
    </row>
    <row r="174" spans="1:9" x14ac:dyDescent="0.4">
      <c r="A174" t="s">
        <v>9</v>
      </c>
      <c r="B174" t="s">
        <v>787</v>
      </c>
      <c r="C174" t="str">
        <f t="shared" si="22"/>
        <v>東京都中野区中央</v>
      </c>
      <c r="D174" s="2" t="str">
        <f t="shared" si="20"/>
        <v>http://geocode.csis.u-tokyo.ac.jp/cgi-bin/simple_geocode.cgi?charset=UTF8&amp;addr=%E6%9D%B1%E4%BA%AC%E9%83%BD%E4%B8%AD%E9%87%8E%E5%8C%BA%E4%B8%AD%E5%A4%AE</v>
      </c>
      <c r="E174" t="str">
        <f t="shared" si="21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174" cm="1">
        <f t="array" ref="F174">INDEX(_xlfn.FILTERXML(E174,"//latitude"),1)</f>
        <v>35.698993999999999</v>
      </c>
      <c r="G174" cm="1">
        <f t="array" ref="G174">INDEX(_xlfn.FILTERXML(E174,"//longitude"),1)</f>
        <v>139.685654</v>
      </c>
      <c r="H174">
        <v>35.698993999999999</v>
      </c>
      <c r="I174">
        <v>139.685654</v>
      </c>
    </row>
    <row r="175" spans="1:9" x14ac:dyDescent="0.4">
      <c r="A175" t="s">
        <v>20</v>
      </c>
      <c r="B175" t="s">
        <v>788</v>
      </c>
      <c r="C175" t="str">
        <f t="shared" si="22"/>
        <v>茨城県日立市大みか町</v>
      </c>
      <c r="D175" s="2" t="str">
        <f t="shared" si="20"/>
        <v>http://geocode.csis.u-tokyo.ac.jp/cgi-bin/simple_geocode.cgi?charset=UTF8&amp;addr=%E8%8C%A8%E5%9F%8E%E7%9C%8C%E6%97%A5%E7%AB%8B%E5%B8%82%E5%A4%A7%E3%81%BF%E3%81%8B%E7%94%BA</v>
      </c>
      <c r="E175" t="str">
        <f t="shared" si="21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175" cm="1">
        <f t="array" ref="F175">INDEX(_xlfn.FILTERXML(E175,"//latitude"),1)</f>
        <v>36.510334</v>
      </c>
      <c r="G175" cm="1">
        <f t="array" ref="G175">INDEX(_xlfn.FILTERXML(E175,"//longitude"),1)</f>
        <v>140.62185700000001</v>
      </c>
      <c r="H175">
        <v>36.510334</v>
      </c>
      <c r="I175">
        <v>140.62185700000001</v>
      </c>
    </row>
    <row r="176" spans="1:9" x14ac:dyDescent="0.4">
      <c r="A176" t="s">
        <v>11</v>
      </c>
      <c r="B176" t="s">
        <v>44</v>
      </c>
      <c r="C176" t="str">
        <f t="shared" si="22"/>
        <v>大阪府池田市</v>
      </c>
      <c r="D176" s="2" t="str">
        <f t="shared" si="20"/>
        <v>http://geocode.csis.u-tokyo.ac.jp/cgi-bin/simple_geocode.cgi?charset=UTF8&amp;addr=%E5%A4%A7%E9%98%AA%E5%BA%9C%E6%B1%A0%E7%94%B0%E5%B8%82</v>
      </c>
      <c r="E176" t="str">
        <f t="shared" si="21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176" cm="1">
        <f t="array" ref="F176">INDEX(_xlfn.FILTERXML(E176,"//latitude"),1)</f>
        <v>34.821686</v>
      </c>
      <c r="G176" cm="1">
        <f t="array" ref="G176">INDEX(_xlfn.FILTERXML(E176,"//longitude"),1)</f>
        <v>135.42855800000001</v>
      </c>
      <c r="H176">
        <v>34.821686</v>
      </c>
      <c r="I176">
        <v>135.42855800000001</v>
      </c>
    </row>
    <row r="177" spans="1:9" x14ac:dyDescent="0.4">
      <c r="A177" t="s">
        <v>9</v>
      </c>
      <c r="B177" t="s">
        <v>789</v>
      </c>
      <c r="C177" t="str">
        <f t="shared" si="22"/>
        <v>東京都練馬区中村北</v>
      </c>
      <c r="D177" s="2" t="str">
        <f t="shared" si="20"/>
        <v>http://geocode.csis.u-tokyo.ac.jp/cgi-bin/simple_geocode.cgi?charset=UTF8&amp;addr=%E6%9D%B1%E4%BA%AC%E9%83%BD%E7%B7%B4%E9%A6%AC%E5%8C%BA%E4%B8%AD%E6%9D%91%E5%8C%97</v>
      </c>
      <c r="E177" t="str">
        <f t="shared" si="21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177" cm="1">
        <f t="array" ref="F177">INDEX(_xlfn.FILTERXML(E177,"//latitude"),1)</f>
        <v>35.735835999999999</v>
      </c>
      <c r="G177" cm="1">
        <f t="array" ref="G177">INDEX(_xlfn.FILTERXML(E177,"//longitude"),1)</f>
        <v>139.64724699999999</v>
      </c>
      <c r="H177">
        <v>35.735835999999999</v>
      </c>
      <c r="I177">
        <v>139.64724699999999</v>
      </c>
    </row>
    <row r="178" spans="1:9" x14ac:dyDescent="0.4">
      <c r="A178" t="s">
        <v>9</v>
      </c>
      <c r="B178" t="s">
        <v>790</v>
      </c>
      <c r="C178" t="str">
        <f t="shared" si="22"/>
        <v>東京都品川区八潮</v>
      </c>
      <c r="D178" s="2" t="str">
        <f t="shared" si="20"/>
        <v>http://geocode.csis.u-tokyo.ac.jp/cgi-bin/simple_geocode.cgi?charset=UTF8&amp;addr=%E6%9D%B1%E4%BA%AC%E9%83%BD%E5%93%81%E5%B7%9D%E5%8C%BA%E5%85%AB%E6%BD%AE</v>
      </c>
      <c r="E178" t="str">
        <f t="shared" si="21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178" cm="1">
        <f t="array" ref="F178">INDEX(_xlfn.FILTERXML(E178,"//latitude"),1)</f>
        <v>35.611843</v>
      </c>
      <c r="G178" cm="1">
        <f t="array" ref="G178">INDEX(_xlfn.FILTERXML(E178,"//longitude"),1)</f>
        <v>139.75398300000001</v>
      </c>
      <c r="H178">
        <v>35.611843</v>
      </c>
      <c r="I178">
        <v>139.75398300000001</v>
      </c>
    </row>
    <row r="179" spans="1:9" x14ac:dyDescent="0.4">
      <c r="A179" t="s">
        <v>34</v>
      </c>
      <c r="B179" t="s">
        <v>518</v>
      </c>
      <c r="C179" t="str">
        <f t="shared" si="22"/>
        <v>岐阜県中津川市</v>
      </c>
      <c r="D179" s="2" t="str">
        <f t="shared" si="20"/>
        <v>http://geocode.csis.u-tokyo.ac.jp/cgi-bin/simple_geocode.cgi?charset=UTF8&amp;addr=%E5%B2%90%E9%98%9C%E7%9C%8C%E4%B8%AD%E6%B4%A5%E5%B7%9D%E5%B8%82</v>
      </c>
      <c r="E179" t="str">
        <f t="shared" si="21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179" cm="1">
        <f t="array" ref="F179">INDEX(_xlfn.FILTERXML(E179,"//latitude"),1)</f>
        <v>35.487492000000003</v>
      </c>
      <c r="G179" cm="1">
        <f t="array" ref="G179">INDEX(_xlfn.FILTERXML(E179,"//longitude"),1)</f>
        <v>137.50060999999999</v>
      </c>
      <c r="H179">
        <v>35.487492000000003</v>
      </c>
      <c r="I179">
        <v>137.50060999999999</v>
      </c>
    </row>
    <row r="180" spans="1:9" x14ac:dyDescent="0.4">
      <c r="A180" t="s">
        <v>10</v>
      </c>
      <c r="B180" t="s">
        <v>791</v>
      </c>
      <c r="C180" t="str">
        <f t="shared" si="22"/>
        <v>神奈川県中郡二宮町山西</v>
      </c>
      <c r="D180" s="2" t="str">
        <f t="shared" si="20"/>
        <v>http://geocode.csis.u-tokyo.ac.jp/cgi-bin/simple_geocode.cgi?charset=UTF8&amp;addr=%E7%A5%9E%E5%A5%88%E5%B7%9D%E7%9C%8C%E4%B8%AD%E9%83%A1%E4%BA%8C%E5%AE%AE%E7%94%BA%E5%B1%B1%E8%A5%BF</v>
      </c>
      <c r="E180" t="str">
        <f t="shared" si="21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180" cm="1">
        <f t="array" ref="F180">INDEX(_xlfn.FILTERXML(E180,"//latitude"),1)</f>
        <v>35.295391000000002</v>
      </c>
      <c r="G180" cm="1">
        <f t="array" ref="G180">INDEX(_xlfn.FILTERXML(E180,"//longitude"),1)</f>
        <v>139.24854999999999</v>
      </c>
      <c r="H180">
        <v>35.295391000000002</v>
      </c>
      <c r="I180">
        <v>139.24854999999999</v>
      </c>
    </row>
    <row r="181" spans="1:9" x14ac:dyDescent="0.4">
      <c r="A181" t="s">
        <v>9</v>
      </c>
      <c r="B181" t="s">
        <v>227</v>
      </c>
      <c r="C181" t="str">
        <f t="shared" si="22"/>
        <v>東京都港区港南</v>
      </c>
      <c r="D181" s="2" t="str">
        <f t="shared" si="20"/>
        <v>http://geocode.csis.u-tokyo.ac.jp/cgi-bin/simple_geocode.cgi?charset=UTF8&amp;addr=%E6%9D%B1%E4%BA%AC%E9%83%BD%E6%B8%AF%E5%8C%BA%E6%B8%AF%E5%8D%97</v>
      </c>
      <c r="E181" t="str">
        <f t="shared" si="21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181" cm="1">
        <f t="array" ref="F181">INDEX(_xlfn.FILTERXML(E181,"//latitude"),1)</f>
        <v>35.630707000000001</v>
      </c>
      <c r="G181" cm="1">
        <f t="array" ref="G181">INDEX(_xlfn.FILTERXML(E181,"//longitude"),1)</f>
        <v>139.744339</v>
      </c>
      <c r="H181">
        <v>35.630707000000001</v>
      </c>
      <c r="I181">
        <v>139.744339</v>
      </c>
    </row>
    <row r="182" spans="1:9" x14ac:dyDescent="0.4">
      <c r="A182" t="s">
        <v>10</v>
      </c>
      <c r="B182" t="s">
        <v>228</v>
      </c>
      <c r="C182" t="str">
        <f t="shared" si="22"/>
        <v>神奈川県逗子市</v>
      </c>
      <c r="D182" s="2" t="str">
        <f t="shared" si="20"/>
        <v>http://geocode.csis.u-tokyo.ac.jp/cgi-bin/simple_geocode.cgi?charset=UTF8&amp;addr=%E7%A5%9E%E5%A5%88%E5%B7%9D%E7%9C%8C%E9%80%97%E5%AD%90%E5%B8%82</v>
      </c>
      <c r="E182" t="str">
        <f t="shared" si="21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182" cm="1">
        <f t="array" ref="F182">INDEX(_xlfn.FILTERXML(E182,"//latitude"),1)</f>
        <v>35.295592999999997</v>
      </c>
      <c r="G182" cm="1">
        <f t="array" ref="G182">INDEX(_xlfn.FILTERXML(E182,"//longitude"),1)</f>
        <v>139.58041399999999</v>
      </c>
      <c r="H182">
        <v>35.295592999999997</v>
      </c>
      <c r="I182">
        <v>139.58041399999999</v>
      </c>
    </row>
    <row r="183" spans="1:9" x14ac:dyDescent="0.4">
      <c r="A183" t="s">
        <v>13</v>
      </c>
      <c r="B183" t="s">
        <v>792</v>
      </c>
      <c r="C183" t="str">
        <f t="shared" si="22"/>
        <v>埼玉県志木市柏町</v>
      </c>
      <c r="D183" s="2" t="str">
        <f t="shared" si="20"/>
        <v>http://geocode.csis.u-tokyo.ac.jp/cgi-bin/simple_geocode.cgi?charset=UTF8&amp;addr=%E5%9F%BC%E7%8E%89%E7%9C%8C%E5%BF%97%E6%9C%A8%E5%B8%82%E6%9F%8F%E7%94%BA</v>
      </c>
      <c r="E183" t="str">
        <f t="shared" si="21"/>
        <v xml:space="preserve">&lt;?xml version="1.0" encoding="UTF-8" ?&gt;
&lt;results&gt;
&lt;query&gt;埼玉県志木市柏町&lt;/query&gt;
&lt;geodetic&gt;wgs1984&lt;/geodetic&gt;
&lt;iConf&gt;5&lt;/iConf&gt;
&lt;converted&gt;埼玉県志木市柏町&lt;/converted&gt;
&lt;candidate&gt;
&lt;address&gt;埼玉県/志木市/柏町&lt;/address&gt;
&lt;longitude&gt;139.575455&lt;/longitude&gt;
&lt;latitude&gt;35.834698&lt;/latitude&gt;
&lt;iLvl&gt;5&lt;/iLvl&gt;
&lt;/candidate&gt;
&lt;/results&gt;
</v>
      </c>
      <c r="F183" cm="1">
        <f t="array" ref="F183">INDEX(_xlfn.FILTERXML(E183,"//latitude"),1)</f>
        <v>35.834698000000003</v>
      </c>
      <c r="G183" cm="1">
        <f t="array" ref="G183">INDEX(_xlfn.FILTERXML(E183,"//longitude"),1)</f>
        <v>139.57545500000001</v>
      </c>
      <c r="H183">
        <v>35.834698000000003</v>
      </c>
      <c r="I183">
        <v>139.57545500000001</v>
      </c>
    </row>
    <row r="184" spans="1:9" x14ac:dyDescent="0.4">
      <c r="A184" t="s">
        <v>15</v>
      </c>
      <c r="B184" t="s">
        <v>793</v>
      </c>
      <c r="C184" t="str">
        <f t="shared" si="22"/>
        <v>兵庫県西宮市段上町</v>
      </c>
      <c r="D184" s="2" t="str">
        <f t="shared" si="20"/>
        <v>http://geocode.csis.u-tokyo.ac.jp/cgi-bin/simple_geocode.cgi?charset=UTF8&amp;addr=%E5%85%B5%E5%BA%AB%E7%9C%8C%E8%A5%BF%E5%AE%AE%E5%B8%82%E6%AE%B5%E4%B8%8A%E7%94%BA</v>
      </c>
      <c r="E184" t="str">
        <f t="shared" si="21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184" cm="1">
        <f t="array" ref="F184">INDEX(_xlfn.FILTERXML(E184,"//latitude"),1)</f>
        <v>34.767487000000003</v>
      </c>
      <c r="G184" cm="1">
        <f t="array" ref="G184">INDEX(_xlfn.FILTERXML(E184,"//longitude"),1)</f>
        <v>135.36445599999999</v>
      </c>
      <c r="H184">
        <v>34.767487000000003</v>
      </c>
      <c r="I184">
        <v>135.36445599999999</v>
      </c>
    </row>
    <row r="185" spans="1:9" x14ac:dyDescent="0.4">
      <c r="A185" t="s">
        <v>128</v>
      </c>
      <c r="B185" t="s">
        <v>794</v>
      </c>
      <c r="C185" t="str">
        <f t="shared" si="22"/>
        <v>山形県山形市十日町</v>
      </c>
      <c r="D185" s="2" t="str">
        <f t="shared" si="20"/>
        <v>http://geocode.csis.u-tokyo.ac.jp/cgi-bin/simple_geocode.cgi?charset=UTF8&amp;addr=%E5%B1%B1%E5%BD%A2%E7%9C%8C%E5%B1%B1%E5%BD%A2%E5%B8%82%E5%8D%81%E6%97%A5%E7%94%BA</v>
      </c>
      <c r="E185" t="str">
        <f t="shared" si="21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185" cm="1">
        <f t="array" ref="F185">INDEX(_xlfn.FILTERXML(E185,"//latitude"),1)</f>
        <v>38.247795000000004</v>
      </c>
      <c r="G185" cm="1">
        <f t="array" ref="G185">INDEX(_xlfn.FILTERXML(E185,"//longitude"),1)</f>
        <v>140.33479299999999</v>
      </c>
      <c r="H185">
        <v>38.247795000000004</v>
      </c>
      <c r="I185">
        <v>140.33479299999999</v>
      </c>
    </row>
    <row r="186" spans="1:9" x14ac:dyDescent="0.4">
      <c r="A186" t="s">
        <v>9</v>
      </c>
      <c r="B186" t="s">
        <v>155</v>
      </c>
      <c r="C186" t="str">
        <f t="shared" si="22"/>
        <v>東京都港区高輪</v>
      </c>
      <c r="D186" s="2" t="str">
        <f t="shared" si="20"/>
        <v>http://geocode.csis.u-tokyo.ac.jp/cgi-bin/simple_geocode.cgi?charset=UTF8&amp;addr=%E6%9D%B1%E4%BA%AC%E9%83%BD%E6%B8%AF%E5%8C%BA%E9%AB%98%E8%BC%AA</v>
      </c>
      <c r="E186" t="str">
        <f t="shared" si="21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186" cm="1">
        <f t="array" ref="F186">INDEX(_xlfn.FILTERXML(E186,"//latitude"),1)</f>
        <v>35.640555999999997</v>
      </c>
      <c r="G186" cm="1">
        <f t="array" ref="G186">INDEX(_xlfn.FILTERXML(E186,"//longitude"),1)</f>
        <v>139.73516799999999</v>
      </c>
      <c r="H186">
        <v>35.640555999999997</v>
      </c>
      <c r="I186">
        <v>139.73516799999999</v>
      </c>
    </row>
    <row r="187" spans="1:9" x14ac:dyDescent="0.4">
      <c r="A187" t="s">
        <v>26</v>
      </c>
      <c r="B187" t="s">
        <v>795</v>
      </c>
      <c r="C187" t="str">
        <f t="shared" si="22"/>
        <v>京都府京田辺市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http://geocode.csis.u-tokyo.ac.jp/cgi-bin/simple_geocode.cgi?charset=UTF8&amp;addr=%E4%BA%AC%E9%83%BD%E5%BA%9C%E4%BA%AC%E7%94%B0%E8%BE%BA%E5%B8%82</v>
      </c>
      <c r="E187" t="str">
        <f t="shared" ref="E187:E250" si="24" xml:space="preserve"> _xlfn.WEBSERVICE(D187)</f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187" cm="1">
        <f t="array" ref="F187">INDEX(_xlfn.FILTERXML(E187,"//latitude"),1)</f>
        <v>34.814442</v>
      </c>
      <c r="G187" cm="1">
        <f t="array" ref="G187">INDEX(_xlfn.FILTERXML(E187,"//longitude"),1)</f>
        <v>135.76783800000001</v>
      </c>
      <c r="H187">
        <v>34.814442</v>
      </c>
      <c r="I187">
        <v>135.76783800000001</v>
      </c>
    </row>
    <row r="188" spans="1:9" x14ac:dyDescent="0.4">
      <c r="A188" t="s">
        <v>11</v>
      </c>
      <c r="B188" t="s">
        <v>796</v>
      </c>
      <c r="C188" t="str">
        <f t="shared" si="22"/>
        <v>大阪府高槻市別所中の町</v>
      </c>
      <c r="D188" s="2" t="str">
        <f t="shared" si="23"/>
        <v>http://geocode.csis.u-tokyo.ac.jp/cgi-bin/simple_geocode.cgi?charset=UTF8&amp;addr=%E5%A4%A7%E9%98%AA%E5%BA%9C%E9%AB%98%E6%A7%BB%E5%B8%82%E5%88%A5%E6%89%80%E4%B8%AD%E3%81%AE%E7%94%BA</v>
      </c>
      <c r="E188" t="str">
        <f t="shared" si="24"/>
        <v xml:space="preserve">&lt;?xml version="1.0" encoding="UTF-8" ?&gt;
&lt;results&gt;
&lt;query&gt;大阪府高槻市別所中の町&lt;/query&gt;
&lt;geodetic&gt;wgs1984&lt;/geodetic&gt;
&lt;iConf&gt;5&lt;/iConf&gt;
&lt;converted&gt;大阪府高槻市別所中の町&lt;/converted&gt;
&lt;candidate&gt;
&lt;address&gt;大阪府/高槻市/別所中の町&lt;/address&gt;
&lt;longitude&gt;135.626862&lt;/longitude&gt;
&lt;latitude&gt;34.859146&lt;/latitude&gt;
&lt;iLvl&gt;5&lt;/iLvl&gt;
&lt;/candidate&gt;
&lt;/results&gt;
</v>
      </c>
      <c r="F188" cm="1">
        <f t="array" ref="F188">INDEX(_xlfn.FILTERXML(E188,"//latitude"),1)</f>
        <v>34.859146000000003</v>
      </c>
      <c r="G188" cm="1">
        <f t="array" ref="G188">INDEX(_xlfn.FILTERXML(E188,"//longitude"),1)</f>
        <v>135.62686199999999</v>
      </c>
      <c r="H188">
        <v>34.859146000000003</v>
      </c>
      <c r="I188">
        <v>135.62686199999999</v>
      </c>
    </row>
    <row r="189" spans="1:9" x14ac:dyDescent="0.4">
      <c r="A189" t="s">
        <v>37</v>
      </c>
      <c r="B189" t="s">
        <v>278</v>
      </c>
      <c r="C189" t="str">
        <f t="shared" si="22"/>
        <v>三重県伊勢市宮後</v>
      </c>
      <c r="D189" s="2" t="str">
        <f t="shared" si="23"/>
        <v>http://geocode.csis.u-tokyo.ac.jp/cgi-bin/simple_geocode.cgi?charset=UTF8&amp;addr=%E4%B8%89%E9%87%8D%E7%9C%8C%E4%BC%8A%E5%8B%A2%E5%B8%82%E5%AE%AE%E5%BE%8C</v>
      </c>
      <c r="E189" t="str">
        <f t="shared" si="24"/>
        <v xml:space="preserve">&lt;?xml version="1.0" encoding="UTF-8" ?&gt;
&lt;results&gt;
&lt;query&gt;三重県伊勢市宮後&lt;/query&gt;
&lt;geodetic&gt;wgs1984&lt;/geodetic&gt;
&lt;iConf&gt;5&lt;/iConf&gt;
&lt;converted&gt;三重県伊勢市宮後&lt;/converted&gt;
&lt;candidate&gt;
&lt;address&gt;三重県/伊勢市/宮後&lt;/address&gt;
&lt;longitude&gt;136.706985&lt;/longitude&gt;
&lt;latitude&gt;34.491867&lt;/latitude&gt;
&lt;iLvl&gt;5&lt;/iLvl&gt;
&lt;/candidate&gt;
&lt;/results&gt;
</v>
      </c>
      <c r="F189" cm="1">
        <f t="array" ref="F189">INDEX(_xlfn.FILTERXML(E189,"//latitude"),1)</f>
        <v>34.491866999999999</v>
      </c>
      <c r="G189" cm="1">
        <f t="array" ref="G189">INDEX(_xlfn.FILTERXML(E189,"//longitude"),1)</f>
        <v>136.706985</v>
      </c>
      <c r="H189">
        <v>34.491866999999999</v>
      </c>
      <c r="I189">
        <v>136.706985</v>
      </c>
    </row>
    <row r="190" spans="1:9" x14ac:dyDescent="0.4">
      <c r="A190" t="s">
        <v>118</v>
      </c>
      <c r="B190" t="s">
        <v>797</v>
      </c>
      <c r="C190" t="str">
        <f t="shared" si="22"/>
        <v>北海道札幌市中央区南西28</v>
      </c>
      <c r="D190" s="2" t="str">
        <f t="shared" si="23"/>
        <v>http://geocode.csis.u-tokyo.ac.jp/cgi-bin/simple_geocode.cgi?charset=UTF8&amp;addr=%E5%8C%97%E6%B5%B7%E9%81%93%E6%9C%AD%E5%B9%8C%E5%B8%82%E4%B8%AD%E5%A4%AE%E5%8C%BA%E5%8D%97%E8%A5%BF28</v>
      </c>
      <c r="E190" t="str">
        <f t="shared" si="24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190" cm="1">
        <f t="array" ref="F190">INDEX(_xlfn.FILTERXML(E190,"//latitude"),1)</f>
        <v>43.059531999999997</v>
      </c>
      <c r="G190" cm="1">
        <f t="array" ref="G190">INDEX(_xlfn.FILTERXML(E190,"//longitude"),1)</f>
        <v>141.35655199999999</v>
      </c>
      <c r="H190">
        <v>43.059531999999997</v>
      </c>
      <c r="I190">
        <v>141.35655199999999</v>
      </c>
    </row>
    <row r="191" spans="1:9" x14ac:dyDescent="0.4">
      <c r="A191" t="s">
        <v>11</v>
      </c>
      <c r="B191" t="s">
        <v>798</v>
      </c>
      <c r="C191" t="str">
        <f t="shared" si="22"/>
        <v>大阪府茨木市新中条町</v>
      </c>
      <c r="D191" s="2" t="str">
        <f t="shared" si="23"/>
        <v>http://geocode.csis.u-tokyo.ac.jp/cgi-bin/simple_geocode.cgi?charset=UTF8&amp;addr=%E5%A4%A7%E9%98%AA%E5%BA%9C%E8%8C%A8%E6%9C%A8%E5%B8%82%E6%96%B0%E4%B8%AD%E6%9D%A1%E7%94%BA</v>
      </c>
      <c r="E191" t="str">
        <f t="shared" si="24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191" cm="1">
        <f t="array" ref="F191">INDEX(_xlfn.FILTERXML(E191,"//latitude"),1)</f>
        <v>34.809502000000002</v>
      </c>
      <c r="G191" cm="1">
        <f t="array" ref="G191">INDEX(_xlfn.FILTERXML(E191,"//longitude"),1)</f>
        <v>135.56582599999999</v>
      </c>
      <c r="H191">
        <v>34.809502000000002</v>
      </c>
      <c r="I191">
        <v>135.56582599999999</v>
      </c>
    </row>
    <row r="192" spans="1:9" x14ac:dyDescent="0.4">
      <c r="A192" t="s">
        <v>9</v>
      </c>
      <c r="B192" t="s">
        <v>799</v>
      </c>
      <c r="C192" t="str">
        <f t="shared" si="22"/>
        <v>東京都江戸川区南篠崎町</v>
      </c>
      <c r="D192" s="2" t="str">
        <f t="shared" si="23"/>
        <v>http://geocode.csis.u-tokyo.ac.jp/cgi-bin/simple_geocode.cgi?charset=UTF8&amp;addr=%E6%9D%B1%E4%BA%AC%E9%83%BD%E6%B1%9F%E6%88%B8%E5%B7%9D%E5%8C%BA%E5%8D%97%E7%AF%A0%E5%B4%8E%E7%94%BA</v>
      </c>
      <c r="E192" t="str">
        <f t="shared" si="24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192" cm="1">
        <f t="array" ref="F192">INDEX(_xlfn.FILTERXML(E192,"//latitude"),1)</f>
        <v>35.694817</v>
      </c>
      <c r="G192" cm="1">
        <f t="array" ref="G192">INDEX(_xlfn.FILTERXML(E192,"//longitude"),1)</f>
        <v>139.906204</v>
      </c>
      <c r="H192">
        <v>35.694817</v>
      </c>
      <c r="I192">
        <v>139.906204</v>
      </c>
    </row>
    <row r="193" spans="1:9" x14ac:dyDescent="0.4">
      <c r="A193" t="s">
        <v>12</v>
      </c>
      <c r="B193" t="s">
        <v>800</v>
      </c>
      <c r="C193" t="str">
        <f t="shared" si="22"/>
        <v>奈良県奈良市</v>
      </c>
      <c r="D193" s="2" t="str">
        <f t="shared" si="23"/>
        <v>http://geocode.csis.u-tokyo.ac.jp/cgi-bin/simple_geocode.cgi?charset=UTF8&amp;addr=%E5%A5%88%E8%89%AF%E7%9C%8C%E5%A5%88%E8%89%AF%E5%B8%82</v>
      </c>
      <c r="E193" t="str">
        <f t="shared" si="24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193" cm="1">
        <f t="array" ref="F193">INDEX(_xlfn.FILTERXML(E193,"//latitude"),1)</f>
        <v>34.685116000000001</v>
      </c>
      <c r="G193" cm="1">
        <f t="array" ref="G193">INDEX(_xlfn.FILTERXML(E193,"//longitude"),1)</f>
        <v>135.804993</v>
      </c>
      <c r="H193">
        <v>34.685116000000001</v>
      </c>
      <c r="I193">
        <v>135.804993</v>
      </c>
    </row>
    <row r="194" spans="1:9" x14ac:dyDescent="0.4">
      <c r="A194" t="s">
        <v>17</v>
      </c>
      <c r="B194" t="s">
        <v>801</v>
      </c>
      <c r="C194" t="str">
        <f t="shared" si="22"/>
        <v>愛知県豊明市前後町仙人塚</v>
      </c>
      <c r="D194" s="2" t="str">
        <f t="shared" si="23"/>
        <v>http://geocode.csis.u-tokyo.ac.jp/cgi-bin/simple_geocode.cgi?charset=UTF8&amp;addr=%E6%84%9B%E7%9F%A5%E7%9C%8C%E8%B1%8A%E6%98%8E%E5%B8%82%E5%89%8D%E5%BE%8C%E7%94%BA%E4%BB%99%E4%BA%BA%E5%A1%9A</v>
      </c>
      <c r="E194" t="str">
        <f t="shared" si="24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194" cm="1">
        <f t="array" ref="F194">INDEX(_xlfn.FILTERXML(E194,"//latitude"),1)</f>
        <v>35.057383999999999</v>
      </c>
      <c r="G194" cm="1">
        <f t="array" ref="G194">INDEX(_xlfn.FILTERXML(E194,"//longitude"),1)</f>
        <v>136.99423200000001</v>
      </c>
      <c r="H194">
        <v>35.057383999999999</v>
      </c>
      <c r="I194">
        <v>136.99423200000001</v>
      </c>
    </row>
    <row r="195" spans="1:9" x14ac:dyDescent="0.4">
      <c r="A195" t="s">
        <v>21</v>
      </c>
      <c r="B195" t="s">
        <v>802</v>
      </c>
      <c r="C195" t="str">
        <f t="shared" ref="C195:C258" si="25">+A195&amp;B195</f>
        <v>福岡県福岡市中央区警固</v>
      </c>
      <c r="D195" s="2" t="str">
        <f t="shared" si="23"/>
        <v>http://geocode.csis.u-tokyo.ac.jp/cgi-bin/simple_geocode.cgi?charset=UTF8&amp;addr=%E7%A6%8F%E5%B2%A1%E7%9C%8C%E7%A6%8F%E5%B2%A1%E5%B8%82%E4%B8%AD%E5%A4%AE%E5%8C%BA%E8%AD%A6%E5%9B%BA</v>
      </c>
      <c r="E195" t="str">
        <f t="shared" si="24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195" cm="1">
        <f t="array" ref="F195">INDEX(_xlfn.FILTERXML(E195,"//latitude"),1)</f>
        <v>33.583992000000002</v>
      </c>
      <c r="G195" cm="1">
        <f t="array" ref="G195">INDEX(_xlfn.FILTERXML(E195,"//longitude"),1)</f>
        <v>130.39419599999999</v>
      </c>
      <c r="H195">
        <v>33.583992000000002</v>
      </c>
      <c r="I195">
        <v>130.39419599999999</v>
      </c>
    </row>
    <row r="196" spans="1:9" x14ac:dyDescent="0.4">
      <c r="A196" t="s">
        <v>17</v>
      </c>
      <c r="B196" t="s">
        <v>803</v>
      </c>
      <c r="C196" t="str">
        <f t="shared" si="25"/>
        <v>愛知県名古屋市天白区高島</v>
      </c>
      <c r="D196" s="2" t="str">
        <f t="shared" si="23"/>
        <v>http://geocode.csis.u-tokyo.ac.jp/cgi-bin/simple_geocode.cgi?charset=UTF8&amp;addr=%E6%84%9B%E7%9F%A5%E7%9C%8C%E5%90%8D%E5%8F%A4%E5%B1%8B%E5%B8%82%E5%A4%A9%E7%99%BD%E5%8C%BA%E9%AB%98%E5%B3%B6</v>
      </c>
      <c r="E196" t="str">
        <f t="shared" si="24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196" cm="1">
        <f t="array" ref="F196">INDEX(_xlfn.FILTERXML(E196,"//latitude"),1)</f>
        <v>35.108009000000003</v>
      </c>
      <c r="G196" cm="1">
        <f t="array" ref="G196">INDEX(_xlfn.FILTERXML(E196,"//longitude"),1)</f>
        <v>136.998108</v>
      </c>
      <c r="H196">
        <v>35.108009000000003</v>
      </c>
      <c r="I196">
        <v>136.998108</v>
      </c>
    </row>
    <row r="197" spans="1:9" x14ac:dyDescent="0.4">
      <c r="A197" t="s">
        <v>9</v>
      </c>
      <c r="B197" t="s">
        <v>223</v>
      </c>
      <c r="C197" t="str">
        <f t="shared" si="25"/>
        <v>東京都世田谷区</v>
      </c>
      <c r="D197" s="2" t="str">
        <f t="shared" si="23"/>
        <v>http://geocode.csis.u-tokyo.ac.jp/cgi-bin/simple_geocode.cgi?charset=UTF8&amp;addr=%E6%9D%B1%E4%BA%AC%E9%83%BD%E4%B8%96%E7%94%B0%E8%B0%B7%E5%8C%BA</v>
      </c>
      <c r="E197" t="str">
        <f t="shared" si="2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97" cm="1">
        <f t="array" ref="F197">INDEX(_xlfn.FILTERXML(E197,"//latitude"),1)</f>
        <v>35.646481000000001</v>
      </c>
      <c r="G197" cm="1">
        <f t="array" ref="G197">INDEX(_xlfn.FILTERXML(E197,"//longitude"),1)</f>
        <v>139.65321399999999</v>
      </c>
      <c r="H197">
        <v>35.646481000000001</v>
      </c>
      <c r="I197">
        <v>139.65321399999999</v>
      </c>
    </row>
    <row r="198" spans="1:9" x14ac:dyDescent="0.4">
      <c r="A198" t="s">
        <v>10</v>
      </c>
      <c r="B198" t="s">
        <v>229</v>
      </c>
      <c r="C198" t="str">
        <f t="shared" si="25"/>
        <v>神奈川県横浜市港北区新羽町</v>
      </c>
      <c r="D198" s="2" t="str">
        <f t="shared" si="23"/>
        <v>http://geocode.csis.u-tokyo.ac.jp/cgi-bin/simple_geocode.cgi?charset=UTF8&amp;addr=%E7%A5%9E%E5%A5%88%E5%B7%9D%E7%9C%8C%E6%A8%AA%E6%B5%9C%E5%B8%82%E6%B8%AF%E5%8C%97%E5%8C%BA%E6%96%B0%E7%BE%BD%E7%94%BA</v>
      </c>
      <c r="E198" t="str">
        <f t="shared" si="24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198" cm="1">
        <f t="array" ref="F198">INDEX(_xlfn.FILTERXML(E198,"//latitude"),1)</f>
        <v>35.527622000000001</v>
      </c>
      <c r="G198" cm="1">
        <f t="array" ref="G198">INDEX(_xlfn.FILTERXML(E198,"//longitude"),1)</f>
        <v>139.60934399999999</v>
      </c>
      <c r="H198">
        <v>35.527622000000001</v>
      </c>
      <c r="I198">
        <v>139.60934399999999</v>
      </c>
    </row>
    <row r="199" spans="1:9" x14ac:dyDescent="0.4">
      <c r="A199" t="s">
        <v>113</v>
      </c>
      <c r="B199" t="s">
        <v>230</v>
      </c>
      <c r="C199" t="str">
        <f t="shared" si="25"/>
        <v>岡山県岡山市北区御津野々口</v>
      </c>
      <c r="D199" s="2" t="str">
        <f t="shared" si="23"/>
        <v>http://geocode.csis.u-tokyo.ac.jp/cgi-bin/simple_geocode.cgi?charset=UTF8&amp;addr=%E5%B2%A1%E5%B1%B1%E7%9C%8C%E5%B2%A1%E5%B1%B1%E5%B8%82%E5%8C%97%E5%8C%BA%E5%BE%A1%E6%B4%A5%E9%87%8E%E3%80%85%E5%8F%A3</v>
      </c>
      <c r="E199" t="str">
        <f t="shared" si="24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199" cm="1">
        <f t="array" ref="F199">INDEX(_xlfn.FILTERXML(E199,"//latitude"),1)</f>
        <v>34.766865000000003</v>
      </c>
      <c r="G199" cm="1">
        <f t="array" ref="G199">INDEX(_xlfn.FILTERXML(E199,"//longitude"),1)</f>
        <v>133.931961</v>
      </c>
      <c r="H199">
        <v>34.766865000000003</v>
      </c>
      <c r="I199">
        <v>133.931961</v>
      </c>
    </row>
    <row r="200" spans="1:9" x14ac:dyDescent="0.4">
      <c r="A200" t="s">
        <v>118</v>
      </c>
      <c r="B200" t="s">
        <v>804</v>
      </c>
      <c r="C200" t="str">
        <f t="shared" si="25"/>
        <v>北海道札幌市中央区北2条西21丁目</v>
      </c>
      <c r="D200" s="2" t="str">
        <f t="shared" si="23"/>
        <v>http://geocode.csis.u-tokyo.ac.jp/cgi-bin/simple_geocode.cgi?charset=UTF8&amp;addr=%E5%8C%97%E6%B5%B7%E9%81%93%E6%9C%AD%E5%B9%8C%E5%B8%82%E4%B8%AD%E5%A4%AE%E5%8C%BA%E5%8C%972%E6%9D%A1%E8%A5%BF21%E4%B8%81%E7%9B%AE</v>
      </c>
      <c r="E200" t="str">
        <f t="shared" si="24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200" cm="1">
        <f t="array" ref="F200">INDEX(_xlfn.FILTERXML(E200,"//latitude"),1)</f>
        <v>43.060093000000002</v>
      </c>
      <c r="G200" cm="1">
        <f t="array" ref="G200">INDEX(_xlfn.FILTERXML(E200,"//longitude"),1)</f>
        <v>141.32414199999999</v>
      </c>
      <c r="H200">
        <v>43.060093000000002</v>
      </c>
      <c r="I200">
        <v>141.32414199999999</v>
      </c>
    </row>
    <row r="201" spans="1:9" x14ac:dyDescent="0.4">
      <c r="A201" t="s">
        <v>9</v>
      </c>
      <c r="B201" t="s">
        <v>805</v>
      </c>
      <c r="C201" t="str">
        <f t="shared" si="25"/>
        <v>東京都足立区加平</v>
      </c>
      <c r="D201" s="2" t="str">
        <f t="shared" si="23"/>
        <v>http://geocode.csis.u-tokyo.ac.jp/cgi-bin/simple_geocode.cgi?charset=UTF8&amp;addr=%E6%9D%B1%E4%BA%AC%E9%83%BD%E8%B6%B3%E7%AB%8B%E5%8C%BA%E5%8A%A0%E5%B9%B3</v>
      </c>
      <c r="E201" t="str">
        <f t="shared" si="24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201" cm="1">
        <f t="array" ref="F201">INDEX(_xlfn.FILTERXML(E201,"//latitude"),1)</f>
        <v>35.775902000000002</v>
      </c>
      <c r="G201" cm="1">
        <f t="array" ref="G201">INDEX(_xlfn.FILTERXML(E201,"//longitude"),1)</f>
        <v>139.82685900000001</v>
      </c>
      <c r="H201">
        <v>35.775902000000002</v>
      </c>
      <c r="I201">
        <v>139.82685900000001</v>
      </c>
    </row>
    <row r="202" spans="1:9" x14ac:dyDescent="0.4">
      <c r="A202" t="s">
        <v>52</v>
      </c>
      <c r="B202" t="s">
        <v>397</v>
      </c>
      <c r="C202" t="str">
        <f t="shared" si="25"/>
        <v>徳島県阿南市津乃峰町</v>
      </c>
      <c r="D202" s="2" t="str">
        <f t="shared" si="23"/>
        <v>http://geocode.csis.u-tokyo.ac.jp/cgi-bin/simple_geocode.cgi?charset=UTF8&amp;addr=%E5%BE%B3%E5%B3%B6%E7%9C%8C%E9%98%BF%E5%8D%97%E5%B8%82%E6%B4%A5%E4%B9%83%E5%B3%B0%E7%94%BA</v>
      </c>
      <c r="E202" t="str">
        <f t="shared" si="24"/>
        <v xml:space="preserve">&lt;?xml version="1.0" encoding="UTF-8" ?&gt;
&lt;results&gt;
&lt;query&gt;徳島県阿南市津乃峰町&lt;/query&gt;
&lt;geodetic&gt;wgs1984&lt;/geodetic&gt;
&lt;iConf&gt;5&lt;/iConf&gt;
&lt;converted&gt;徳島県阿南市津乃峰町&lt;/converted&gt;
&lt;candidate&gt;
&lt;address&gt;徳島県/阿南市/津乃峰町&lt;/address&gt;
&lt;longitude&gt;134.650513&lt;/longitude&gt;
&lt;latitude&gt;33.888573&lt;/latitude&gt;
&lt;iLvl&gt;5&lt;/iLvl&gt;
&lt;/candidate&gt;
&lt;/results&gt;
</v>
      </c>
      <c r="F202" cm="1">
        <f t="array" ref="F202">INDEX(_xlfn.FILTERXML(E202,"//latitude"),1)</f>
        <v>33.888573000000001</v>
      </c>
      <c r="G202" cm="1">
        <f t="array" ref="G202">INDEX(_xlfn.FILTERXML(E202,"//longitude"),1)</f>
        <v>134.65051299999999</v>
      </c>
      <c r="H202">
        <v>33.888573000000001</v>
      </c>
      <c r="I202">
        <v>134.65051299999999</v>
      </c>
    </row>
    <row r="203" spans="1:9" x14ac:dyDescent="0.4">
      <c r="A203" t="s">
        <v>123</v>
      </c>
      <c r="B203" t="s">
        <v>806</v>
      </c>
      <c r="C203" t="str">
        <f t="shared" si="25"/>
        <v>和歌山県海南市</v>
      </c>
      <c r="D203" s="2" t="str">
        <f t="shared" si="23"/>
        <v>http://geocode.csis.u-tokyo.ac.jp/cgi-bin/simple_geocode.cgi?charset=UTF8&amp;addr=%E5%92%8C%E6%AD%8C%E5%B1%B1%E7%9C%8C%E6%B5%B7%E5%8D%97%E5%B8%82</v>
      </c>
      <c r="E203" t="str">
        <f t="shared" si="24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203" cm="1">
        <f t="array" ref="F203">INDEX(_xlfn.FILTERXML(E203,"//latitude"),1)</f>
        <v>34.155312000000002</v>
      </c>
      <c r="G203" cm="1">
        <f t="array" ref="G203">INDEX(_xlfn.FILTERXML(E203,"//longitude"),1)</f>
        <v>135.209183</v>
      </c>
      <c r="H203">
        <v>34.155312000000002</v>
      </c>
      <c r="I203">
        <v>135.209183</v>
      </c>
    </row>
    <row r="204" spans="1:9" x14ac:dyDescent="0.4">
      <c r="A204" t="s">
        <v>9</v>
      </c>
      <c r="B204" t="s">
        <v>45</v>
      </c>
      <c r="C204" t="str">
        <f t="shared" si="25"/>
        <v>東京都品川区</v>
      </c>
      <c r="D204" s="2" t="str">
        <f t="shared" si="23"/>
        <v>http://geocode.csis.u-tokyo.ac.jp/cgi-bin/simple_geocode.cgi?charset=UTF8&amp;addr=%E6%9D%B1%E4%BA%AC%E9%83%BD%E5%93%81%E5%B7%9D%E5%8C%BA</v>
      </c>
      <c r="E204" t="str">
        <f t="shared" si="24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204" cm="1">
        <f t="array" ref="F204">INDEX(_xlfn.FILTERXML(E204,"//latitude"),1)</f>
        <v>35.609065999999999</v>
      </c>
      <c r="G204" cm="1">
        <f t="array" ref="G204">INDEX(_xlfn.FILTERXML(E204,"//longitude"),1)</f>
        <v>139.730255</v>
      </c>
      <c r="H204">
        <v>35.609065999999999</v>
      </c>
      <c r="I204">
        <v>139.730255</v>
      </c>
    </row>
    <row r="205" spans="1:9" x14ac:dyDescent="0.4">
      <c r="A205" t="s">
        <v>17</v>
      </c>
      <c r="B205" t="s">
        <v>366</v>
      </c>
      <c r="C205" t="str">
        <f t="shared" si="25"/>
        <v>愛知県名古屋市緑区大清水</v>
      </c>
      <c r="D205" s="2" t="str">
        <f t="shared" si="23"/>
        <v>http://geocode.csis.u-tokyo.ac.jp/cgi-bin/simple_geocode.cgi?charset=UTF8&amp;addr=%E6%84%9B%E7%9F%A5%E7%9C%8C%E5%90%8D%E5%8F%A4%E5%B1%8B%E5%B8%82%E7%B7%91%E5%8C%BA%E5%A4%A7%E6%B8%85%E6%B0%B4</v>
      </c>
      <c r="E205" t="str">
        <f t="shared" si="24"/>
        <v xml:space="preserve">&lt;?xml version="1.0" encoding="UTF-8" ?&gt;
&lt;results&gt;
&lt;query&gt;愛知県名古屋市緑区大清水&lt;/query&gt;
&lt;geodetic&gt;wgs1984&lt;/geodetic&gt;
&lt;iConf&gt;5&lt;/iConf&gt;
&lt;converted&gt;愛知県名古屋市緑区大清水&lt;/converted&gt;
&lt;candidate&gt;
&lt;address&gt;愛知県/名古屋市/緑区/大清水&lt;/address&gt;
&lt;longitude&gt;136.987823&lt;/longitude&gt;
&lt;latitude&gt;35.080688&lt;/latitude&gt;
&lt;iLvl&gt;5&lt;/iLvl&gt;
&lt;/candidate&gt;
&lt;/results&gt;
</v>
      </c>
      <c r="F205" cm="1">
        <f t="array" ref="F205">INDEX(_xlfn.FILTERXML(E205,"//latitude"),1)</f>
        <v>35.080688000000002</v>
      </c>
      <c r="G205" cm="1">
        <f t="array" ref="G205">INDEX(_xlfn.FILTERXML(E205,"//longitude"),1)</f>
        <v>136.98782299999999</v>
      </c>
      <c r="H205">
        <v>35.080688000000002</v>
      </c>
      <c r="I205">
        <v>136.98782299999999</v>
      </c>
    </row>
    <row r="206" spans="1:9" x14ac:dyDescent="0.4">
      <c r="A206" t="s">
        <v>160</v>
      </c>
      <c r="B206" t="s">
        <v>807</v>
      </c>
      <c r="C206" t="str">
        <f t="shared" si="25"/>
        <v>鳥取県鳥取市西町</v>
      </c>
      <c r="D206" s="2" t="str">
        <f t="shared" si="23"/>
        <v>http://geocode.csis.u-tokyo.ac.jp/cgi-bin/simple_geocode.cgi?charset=UTF8&amp;addr=%E9%B3%A5%E5%8F%96%E7%9C%8C%E9%B3%A5%E5%8F%96%E5%B8%82%E8%A5%BF%E7%94%BA</v>
      </c>
      <c r="E206" t="str">
        <f t="shared" si="24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206" cm="1">
        <f t="array" ref="F206">INDEX(_xlfn.FILTERXML(E206,"//latitude"),1)</f>
        <v>35.503563</v>
      </c>
      <c r="G206" cm="1">
        <f t="array" ref="G206">INDEX(_xlfn.FILTERXML(E206,"//longitude"),1)</f>
        <v>134.23541299999999</v>
      </c>
      <c r="H206">
        <v>35.503563</v>
      </c>
      <c r="I206">
        <v>134.23541299999999</v>
      </c>
    </row>
    <row r="207" spans="1:9" x14ac:dyDescent="0.4">
      <c r="A207" t="s">
        <v>9</v>
      </c>
      <c r="B207" t="s">
        <v>808</v>
      </c>
      <c r="C207" t="str">
        <f t="shared" si="25"/>
        <v>東京都大田区</v>
      </c>
      <c r="D207" s="2" t="str">
        <f t="shared" si="23"/>
        <v>http://geocode.csis.u-tokyo.ac.jp/cgi-bin/simple_geocode.cgi?charset=UTF8&amp;addr=%E6%9D%B1%E4%BA%AC%E9%83%BD%E5%A4%A7%E7%94%B0%E5%8C%BA</v>
      </c>
      <c r="E207" t="str">
        <f t="shared" si="24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207" cm="1">
        <f t="array" ref="F207">INDEX(_xlfn.FILTERXML(E207,"//latitude"),1)</f>
        <v>35.561259999999997</v>
      </c>
      <c r="G207" cm="1">
        <f t="array" ref="G207">INDEX(_xlfn.FILTERXML(E207,"//longitude"),1)</f>
        <v>139.71598800000001</v>
      </c>
      <c r="H207">
        <v>35.561259999999997</v>
      </c>
      <c r="I207">
        <v>139.71598800000001</v>
      </c>
    </row>
    <row r="208" spans="1:9" x14ac:dyDescent="0.4">
      <c r="A208" t="s">
        <v>15</v>
      </c>
      <c r="B208" t="s">
        <v>231</v>
      </c>
      <c r="C208" t="str">
        <f t="shared" si="25"/>
        <v>兵庫県川西市大和東</v>
      </c>
      <c r="D208" s="2" t="str">
        <f t="shared" si="23"/>
        <v>http://geocode.csis.u-tokyo.ac.jp/cgi-bin/simple_geocode.cgi?charset=UTF8&amp;addr=%E5%85%B5%E5%BA%AB%E7%9C%8C%E5%B7%9D%E8%A5%BF%E5%B8%82%E5%A4%A7%E5%92%8C%E6%9D%B1</v>
      </c>
      <c r="E208" t="str">
        <f t="shared" si="24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208" cm="1">
        <f t="array" ref="F208">INDEX(_xlfn.FILTERXML(E208,"//latitude"),1)</f>
        <v>34.884841999999999</v>
      </c>
      <c r="G208" cm="1">
        <f t="array" ref="G208">INDEX(_xlfn.FILTERXML(E208,"//longitude"),1)</f>
        <v>135.42190600000001</v>
      </c>
      <c r="H208">
        <v>34.884841999999999</v>
      </c>
      <c r="I208">
        <v>135.42190600000001</v>
      </c>
    </row>
    <row r="209" spans="1:9" x14ac:dyDescent="0.4">
      <c r="A209" t="s">
        <v>9</v>
      </c>
      <c r="B209" t="s">
        <v>232</v>
      </c>
      <c r="C209" t="str">
        <f t="shared" si="25"/>
        <v>東京都町田市西成瀬</v>
      </c>
      <c r="D209" s="2" t="str">
        <f t="shared" si="23"/>
        <v>http://geocode.csis.u-tokyo.ac.jp/cgi-bin/simple_geocode.cgi?charset=UTF8&amp;addr=%E6%9D%B1%E4%BA%AC%E9%83%BD%E7%94%BA%E7%94%B0%E5%B8%82%E8%A5%BF%E6%88%90%E7%80%AC</v>
      </c>
      <c r="E209" t="str">
        <f t="shared" si="24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209" cm="1">
        <f t="array" ref="F209">INDEX(_xlfn.FILTERXML(E209,"//latitude"),1)</f>
        <v>35.545386999999998</v>
      </c>
      <c r="G209" cm="1">
        <f t="array" ref="G209">INDEX(_xlfn.FILTERXML(E209,"//longitude"),1)</f>
        <v>139.46717799999999</v>
      </c>
      <c r="H209">
        <v>35.545386999999998</v>
      </c>
      <c r="I209">
        <v>139.46717799999999</v>
      </c>
    </row>
    <row r="210" spans="1:9" x14ac:dyDescent="0.4">
      <c r="A210" t="s">
        <v>9</v>
      </c>
      <c r="B210" t="s">
        <v>233</v>
      </c>
      <c r="C210" t="str">
        <f t="shared" si="25"/>
        <v>東京都北区</v>
      </c>
      <c r="D210" s="2" t="str">
        <f t="shared" si="23"/>
        <v>http://geocode.csis.u-tokyo.ac.jp/cgi-bin/simple_geocode.cgi?charset=UTF8&amp;addr=%E6%9D%B1%E4%BA%AC%E9%83%BD%E5%8C%97%E5%8C%BA</v>
      </c>
      <c r="E210" t="str">
        <f t="shared" si="24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210" cm="1">
        <f t="array" ref="F210">INDEX(_xlfn.FILTERXML(E210,"//latitude"),1)</f>
        <v>35.752803999999998</v>
      </c>
      <c r="G210" cm="1">
        <f t="array" ref="G210">INDEX(_xlfn.FILTERXML(E210,"//longitude"),1)</f>
        <v>139.73365799999999</v>
      </c>
      <c r="H210">
        <v>35.752803999999998</v>
      </c>
      <c r="I210">
        <v>139.73365799999999</v>
      </c>
    </row>
    <row r="211" spans="1:9" x14ac:dyDescent="0.4">
      <c r="A211" t="s">
        <v>11</v>
      </c>
      <c r="B211" t="s">
        <v>809</v>
      </c>
      <c r="C211" t="str">
        <f t="shared" si="25"/>
        <v>大阪府大阪市旭区太子橋</v>
      </c>
      <c r="D211" s="2" t="str">
        <f t="shared" si="23"/>
        <v>http://geocode.csis.u-tokyo.ac.jp/cgi-bin/simple_geocode.cgi?charset=UTF8&amp;addr=%E5%A4%A7%E9%98%AA%E5%BA%9C%E5%A4%A7%E9%98%AA%E5%B8%82%E6%97%AD%E5%8C%BA%E5%A4%AA%E5%AD%90%E6%A9%8B</v>
      </c>
      <c r="E211" t="str">
        <f t="shared" si="24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211" cm="1">
        <f t="array" ref="F211">INDEX(_xlfn.FILTERXML(E211,"//latitude"),1)</f>
        <v>34.733069999999998</v>
      </c>
      <c r="G211" cm="1">
        <f t="array" ref="G211">INDEX(_xlfn.FILTERXML(E211,"//longitude"),1)</f>
        <v>135.551636</v>
      </c>
      <c r="H211">
        <v>34.733069999999998</v>
      </c>
      <c r="I211">
        <v>135.551636</v>
      </c>
    </row>
    <row r="212" spans="1:9" x14ac:dyDescent="0.4">
      <c r="A212" t="s">
        <v>10</v>
      </c>
      <c r="B212" t="s">
        <v>810</v>
      </c>
      <c r="C212" t="str">
        <f t="shared" si="25"/>
        <v>神奈川県横須賀市上町</v>
      </c>
      <c r="D212" s="2" t="str">
        <f t="shared" si="23"/>
        <v>http://geocode.csis.u-tokyo.ac.jp/cgi-bin/simple_geocode.cgi?charset=UTF8&amp;addr=%E7%A5%9E%E5%A5%88%E5%B7%9D%E7%9C%8C%E6%A8%AA%E9%A0%88%E8%B3%80%E5%B8%82%E4%B8%8A%E7%94%BA</v>
      </c>
      <c r="E212" t="str">
        <f t="shared" si="24"/>
        <v xml:space="preserve">&lt;?xml version="1.0" encoding="UTF-8" ?&gt;
&lt;results&gt;
&lt;query&gt;神奈川県横須賀市上町&lt;/query&gt;
&lt;geodetic&gt;wgs1984&lt;/geodetic&gt;
&lt;iConf&gt;5&lt;/iConf&gt;
&lt;converted&gt;神奈川県横須賀市上町&lt;/converted&gt;
&lt;candidate&gt;
&lt;address&gt;神奈川県/横須賀市/上町&lt;/address&gt;
&lt;longitude&gt;139.668045&lt;/longitude&gt;
&lt;latitude&gt;35.276482&lt;/latitude&gt;
&lt;iLvl&gt;5&lt;/iLvl&gt;
&lt;/candidate&gt;
&lt;/results&gt;
</v>
      </c>
      <c r="F212" cm="1">
        <f t="array" ref="F212">INDEX(_xlfn.FILTERXML(E212,"//latitude"),1)</f>
        <v>35.276482000000001</v>
      </c>
      <c r="G212" cm="1">
        <f t="array" ref="G212">INDEX(_xlfn.FILTERXML(E212,"//longitude"),1)</f>
        <v>139.66804500000001</v>
      </c>
      <c r="H212">
        <v>35.276482000000001</v>
      </c>
      <c r="I212">
        <v>139.66804500000001</v>
      </c>
    </row>
    <row r="213" spans="1:9" x14ac:dyDescent="0.4">
      <c r="A213" t="s">
        <v>16</v>
      </c>
      <c r="B213" t="s">
        <v>811</v>
      </c>
      <c r="C213" t="str">
        <f t="shared" si="25"/>
        <v>長野県岡谷市本町</v>
      </c>
      <c r="D213" s="2" t="str">
        <f t="shared" si="23"/>
        <v>http://geocode.csis.u-tokyo.ac.jp/cgi-bin/simple_geocode.cgi?charset=UTF8&amp;addr=%E9%95%B7%E9%87%8E%E7%9C%8C%E5%B2%A1%E8%B0%B7%E5%B8%82%E6%9C%AC%E7%94%BA</v>
      </c>
      <c r="E213" t="str">
        <f t="shared" si="24"/>
        <v xml:space="preserve">&lt;?xml version="1.0" encoding="UTF-8" ?&gt;
&lt;results&gt;
&lt;query&gt;長野県岡谷市本町&lt;/query&gt;
&lt;geodetic&gt;wgs1984&lt;/geodetic&gt;
&lt;iConf&gt;5&lt;/iConf&gt;
&lt;converted&gt;長野県岡谷市本町&lt;/converted&gt;
&lt;candidate&gt;
&lt;address&gt;長野県/岡谷市/本町&lt;/address&gt;
&lt;longitude&gt;138.042358&lt;/longitude&gt;
&lt;latitude&gt;36.058289&lt;/latitude&gt;
&lt;iLvl&gt;5&lt;/iLvl&gt;
&lt;/candidate&gt;
&lt;/results&gt;
</v>
      </c>
      <c r="F213" cm="1">
        <f t="array" ref="F213">INDEX(_xlfn.FILTERXML(E213,"//latitude"),1)</f>
        <v>36.058289000000002</v>
      </c>
      <c r="G213" cm="1">
        <f t="array" ref="G213">INDEX(_xlfn.FILTERXML(E213,"//longitude"),1)</f>
        <v>138.04235800000001</v>
      </c>
      <c r="H213">
        <v>36.058289000000002</v>
      </c>
      <c r="I213">
        <v>138.04235800000001</v>
      </c>
    </row>
    <row r="214" spans="1:9" x14ac:dyDescent="0.4">
      <c r="A214" t="s">
        <v>9</v>
      </c>
      <c r="B214" t="s">
        <v>126</v>
      </c>
      <c r="C214" t="str">
        <f t="shared" si="25"/>
        <v>東京都世田谷区船橋</v>
      </c>
      <c r="D214" s="2" t="str">
        <f t="shared" si="23"/>
        <v>http://geocode.csis.u-tokyo.ac.jp/cgi-bin/simple_geocode.cgi?charset=UTF8&amp;addr=%E6%9D%B1%E4%BA%AC%E9%83%BD%E4%B8%96%E7%94%B0%E8%B0%B7%E5%8C%BA%E8%88%B9%E6%A9%8B</v>
      </c>
      <c r="E214" t="str">
        <f t="shared" si="24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214" cm="1">
        <f t="array" ref="F214">INDEX(_xlfn.FILTERXML(E214,"//latitude"),1)</f>
        <v>35.650036</v>
      </c>
      <c r="G214" cm="1">
        <f t="array" ref="G214">INDEX(_xlfn.FILTERXML(E214,"//longitude"),1)</f>
        <v>139.62178</v>
      </c>
      <c r="H214">
        <v>35.650036</v>
      </c>
      <c r="I214">
        <v>139.62178</v>
      </c>
    </row>
    <row r="215" spans="1:9" x14ac:dyDescent="0.4">
      <c r="A215" t="s">
        <v>26</v>
      </c>
      <c r="B215" t="s">
        <v>812</v>
      </c>
      <c r="C215" t="str">
        <f t="shared" si="25"/>
        <v>京都府京都市伏見区深草鞍ヶ谷</v>
      </c>
      <c r="D215" s="2" t="str">
        <f t="shared" si="23"/>
        <v>http://geocode.csis.u-tokyo.ac.jp/cgi-bin/simple_geocode.cgi?charset=UTF8&amp;addr=%E4%BA%AC%E9%83%BD%E5%BA%9C%E4%BA%AC%E9%83%BD%E5%B8%82%E4%BC%8F%E8%A6%8B%E5%8C%BA%E6%B7%B1%E8%8D%89%E9%9E%8D%E3%83%B6%E8%B0%B7</v>
      </c>
      <c r="E215" t="str">
        <f t="shared" si="24"/>
        <v xml:space="preserve">&lt;?xml version="1.0" encoding="UTF-8" ?&gt;
&lt;results&gt;
&lt;query&gt;京都府京都市伏見区深草鞍ヶ谷&lt;/query&gt;
&lt;geodetic&gt;wgs1984&lt;/geodetic&gt;
&lt;iConf&gt;5&lt;/iConf&gt;
&lt;converted&gt;京都府京都市伏見区深草鞍ヶ谷&lt;/converted&gt;
&lt;candidate&gt;
&lt;address&gt;京都府/京都市/伏見区/深草鞍ケ谷&lt;/address&gt;
&lt;longitude&gt;135.782959&lt;/longitude&gt;
&lt;latitude&gt;34.955589&lt;/latitude&gt;
&lt;iLvl&gt;5&lt;/iLvl&gt;
&lt;/candidate&gt;
&lt;/results&gt;
</v>
      </c>
      <c r="F215" cm="1">
        <f t="array" ref="F215">INDEX(_xlfn.FILTERXML(E215,"//latitude"),1)</f>
        <v>34.955589000000003</v>
      </c>
      <c r="G215" cm="1">
        <f t="array" ref="G215">INDEX(_xlfn.FILTERXML(E215,"//longitude"),1)</f>
        <v>135.78295900000001</v>
      </c>
      <c r="H215">
        <v>34.955589000000003</v>
      </c>
      <c r="I215">
        <v>135.78295900000001</v>
      </c>
    </row>
    <row r="216" spans="1:9" x14ac:dyDescent="0.4">
      <c r="A216" t="s">
        <v>11</v>
      </c>
      <c r="B216" t="s">
        <v>813</v>
      </c>
      <c r="C216" t="str">
        <f t="shared" si="25"/>
        <v>大阪府茨木市南春日丘</v>
      </c>
      <c r="D216" s="2" t="str">
        <f t="shared" si="23"/>
        <v>http://geocode.csis.u-tokyo.ac.jp/cgi-bin/simple_geocode.cgi?charset=UTF8&amp;addr=%E5%A4%A7%E9%98%AA%E5%BA%9C%E8%8C%A8%E6%9C%A8%E5%B8%82%E5%8D%97%E6%98%A5%E6%97%A5%E4%B8%98</v>
      </c>
      <c r="E216" t="str">
        <f t="shared" si="24"/>
        <v xml:space="preserve">&lt;?xml version="1.0" encoding="UTF-8" ?&gt;
&lt;results&gt;
&lt;query&gt;大阪府茨木市南春日丘&lt;/query&gt;
&lt;geodetic&gt;wgs1984&lt;/geodetic&gt;
&lt;iConf&gt;5&lt;/iConf&gt;
&lt;converted&gt;大阪府茨木市南春日丘&lt;/converted&gt;
&lt;candidate&gt;
&lt;address&gt;大阪府/茨木市/南春日丘&lt;/address&gt;
&lt;longitude&gt;135.544815&lt;/longitude&gt;
&lt;latitude&gt;34.813446&lt;/latitude&gt;
&lt;iLvl&gt;5&lt;/iLvl&gt;
&lt;/candidate&gt;
&lt;/results&gt;
</v>
      </c>
      <c r="F216" cm="1">
        <f t="array" ref="F216">INDEX(_xlfn.FILTERXML(E216,"//latitude"),1)</f>
        <v>34.813445999999999</v>
      </c>
      <c r="G216" cm="1">
        <f t="array" ref="G216">INDEX(_xlfn.FILTERXML(E216,"//longitude"),1)</f>
        <v>135.544815</v>
      </c>
      <c r="H216">
        <v>34.813445999999999</v>
      </c>
      <c r="I216">
        <v>135.544815</v>
      </c>
    </row>
    <row r="217" spans="1:9" x14ac:dyDescent="0.4">
      <c r="A217" t="s">
        <v>33</v>
      </c>
      <c r="B217" t="s">
        <v>814</v>
      </c>
      <c r="C217" t="str">
        <f t="shared" si="25"/>
        <v>岩手県花巻市</v>
      </c>
      <c r="D217" s="2" t="str">
        <f t="shared" si="23"/>
        <v>http://geocode.csis.u-tokyo.ac.jp/cgi-bin/simple_geocode.cgi?charset=UTF8&amp;addr=%E5%B2%A9%E6%89%8B%E7%9C%8C%E8%8A%B1%E5%B7%BB%E5%B8%82</v>
      </c>
      <c r="E217" t="str">
        <f t="shared" si="24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217" cm="1">
        <f t="array" ref="F217">INDEX(_xlfn.FILTERXML(E217,"//latitude"),1)</f>
        <v>39.388610999999997</v>
      </c>
      <c r="G217" cm="1">
        <f t="array" ref="G217">INDEX(_xlfn.FILTERXML(E217,"//longitude"),1)</f>
        <v>141.11685199999999</v>
      </c>
      <c r="H217">
        <v>39.388610999999997</v>
      </c>
      <c r="I217">
        <v>141.11685199999999</v>
      </c>
    </row>
    <row r="218" spans="1:9" x14ac:dyDescent="0.4">
      <c r="A218" t="s">
        <v>9</v>
      </c>
      <c r="B218" t="s">
        <v>815</v>
      </c>
      <c r="C218" t="str">
        <f t="shared" si="25"/>
        <v>東京都品川区東品川４－１３－２４</v>
      </c>
      <c r="D218" s="2" t="str">
        <f t="shared" si="23"/>
        <v>http://geocode.csis.u-tokyo.ac.jp/cgi-bin/simple_geocode.cgi?charset=UTF8&amp;addr=%E6%9D%B1%E4%BA%AC%E9%83%BD%E5%93%81%E5%B7%9D%E5%8C%BA%E6%9D%B1%E5%93%81%E5%B7%9D%EF%BC%94%EF%BC%8D%EF%BC%91%EF%BC%93%EF%BC%8D%EF%BC%92%EF%BC%94</v>
      </c>
      <c r="E218" t="str">
        <f t="shared" si="24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218" cm="1">
        <f t="array" ref="F218">INDEX(_xlfn.FILTERXML(E218,"//latitude"),1)</f>
        <v>35.609946999999998</v>
      </c>
      <c r="G218" cm="1">
        <f t="array" ref="G218">INDEX(_xlfn.FILTERXML(E218,"//longitude"),1)</f>
        <v>139.74998500000001</v>
      </c>
      <c r="H218">
        <v>35.609946999999998</v>
      </c>
      <c r="I218">
        <v>139.74998500000001</v>
      </c>
    </row>
    <row r="219" spans="1:9" x14ac:dyDescent="0.4">
      <c r="A219" t="s">
        <v>17</v>
      </c>
      <c r="B219" t="s">
        <v>816</v>
      </c>
      <c r="C219" t="str">
        <f t="shared" si="25"/>
        <v>愛知県小牧市上末</v>
      </c>
      <c r="D219" s="2" t="str">
        <f t="shared" si="23"/>
        <v>http://geocode.csis.u-tokyo.ac.jp/cgi-bin/simple_geocode.cgi?charset=UTF8&amp;addr=%E6%84%9B%E7%9F%A5%E7%9C%8C%E5%B0%8F%E7%89%A7%E5%B8%82%E4%B8%8A%E6%9C%AB</v>
      </c>
      <c r="E219" t="str">
        <f t="shared" si="24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219" cm="1">
        <f t="array" ref="F219">INDEX(_xlfn.FILTERXML(E219,"//latitude"),1)</f>
        <v>35.297156999999999</v>
      </c>
      <c r="G219" cm="1">
        <f t="array" ref="G219">INDEX(_xlfn.FILTERXML(E219,"//longitude"),1)</f>
        <v>136.96627799999999</v>
      </c>
      <c r="H219">
        <v>35.297156999999999</v>
      </c>
      <c r="I219">
        <v>136.96627799999999</v>
      </c>
    </row>
    <row r="220" spans="1:9" x14ac:dyDescent="0.4">
      <c r="A220" t="s">
        <v>118</v>
      </c>
      <c r="B220" t="s">
        <v>817</v>
      </c>
      <c r="C220" t="str">
        <f t="shared" si="25"/>
        <v>北海道札幌市厚別区厚別中央2条6丁目</v>
      </c>
      <c r="D220" s="2" t="str">
        <f t="shared" si="23"/>
        <v>http://geocode.csis.u-tokyo.ac.jp/cgi-bin/simple_geocode.cgi?charset=UTF8&amp;addr=%E5%8C%97%E6%B5%B7%E9%81%93%E6%9C%AD%E5%B9%8C%E5%B8%82%E5%8E%9A%E5%88%A5%E5%8C%BA%E5%8E%9A%E5%88%A5%E4%B8%AD%E5%A4%AE2%E6%9D%A16%E4%B8%81%E7%9B%AE</v>
      </c>
      <c r="E220" t="str">
        <f t="shared" si="24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220" cm="1">
        <f t="array" ref="F220">INDEX(_xlfn.FILTERXML(E220,"//latitude"),1)</f>
        <v>43.041697999999997</v>
      </c>
      <c r="G220" cm="1">
        <f t="array" ref="G220">INDEX(_xlfn.FILTERXML(E220,"//longitude"),1)</f>
        <v>141.475616</v>
      </c>
      <c r="H220">
        <v>43.041697999999997</v>
      </c>
      <c r="I220">
        <v>141.475616</v>
      </c>
    </row>
    <row r="221" spans="1:9" x14ac:dyDescent="0.4">
      <c r="A221" t="s">
        <v>21</v>
      </c>
      <c r="B221" t="s">
        <v>818</v>
      </c>
      <c r="C221" t="str">
        <f t="shared" si="25"/>
        <v>福岡県福岡市博多区住吉4丁目</v>
      </c>
      <c r="D221" s="2" t="str">
        <f t="shared" si="23"/>
        <v>http://geocode.csis.u-tokyo.ac.jp/cgi-bin/simple_geocode.cgi?charset=UTF8&amp;addr=%E7%A6%8F%E5%B2%A1%E7%9C%8C%E7%A6%8F%E5%B2%A1%E5%B8%82%E5%8D%9A%E5%A4%9A%E5%8C%BA%E4%BD%8F%E5%90%894%E4%B8%81%E7%9B%AE</v>
      </c>
      <c r="E221" t="str">
        <f t="shared" si="24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221" cm="1">
        <f t="array" ref="F221">INDEX(_xlfn.FILTERXML(E221,"//latitude"),1)</f>
        <v>33.583351</v>
      </c>
      <c r="G221" cm="1">
        <f t="array" ref="G221">INDEX(_xlfn.FILTERXML(E221,"//longitude"),1)</f>
        <v>130.41287199999999</v>
      </c>
      <c r="H221">
        <v>33.583351</v>
      </c>
      <c r="I221">
        <v>130.41287199999999</v>
      </c>
    </row>
    <row r="222" spans="1:9" x14ac:dyDescent="0.4">
      <c r="A222" t="s">
        <v>13</v>
      </c>
      <c r="B222" t="s">
        <v>819</v>
      </c>
      <c r="C222" t="str">
        <f t="shared" si="25"/>
        <v>埼玉県川越市山田</v>
      </c>
      <c r="D222" s="2" t="str">
        <f t="shared" si="23"/>
        <v>http://geocode.csis.u-tokyo.ac.jp/cgi-bin/simple_geocode.cgi?charset=UTF8&amp;addr=%E5%9F%BC%E7%8E%89%E7%9C%8C%E5%B7%9D%E8%B6%8A%E5%B8%82%E5%B1%B1%E7%94%B0</v>
      </c>
      <c r="E222" t="str">
        <f t="shared" si="24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222" cm="1">
        <f t="array" ref="F222">INDEX(_xlfn.FILTERXML(E222,"//latitude"),1)</f>
        <v>35.944225000000003</v>
      </c>
      <c r="G222" cm="1">
        <f t="array" ref="G222">INDEX(_xlfn.FILTERXML(E222,"//longitude"),1)</f>
        <v>139.477859</v>
      </c>
      <c r="H222">
        <v>35.944225000000003</v>
      </c>
      <c r="I222">
        <v>139.477859</v>
      </c>
    </row>
    <row r="223" spans="1:9" x14ac:dyDescent="0.4">
      <c r="A223" t="s">
        <v>9</v>
      </c>
      <c r="B223" t="s">
        <v>820</v>
      </c>
      <c r="C223" t="str">
        <f t="shared" si="25"/>
        <v>東京都中央区佃</v>
      </c>
      <c r="D223" s="2" t="str">
        <f t="shared" si="23"/>
        <v>http://geocode.csis.u-tokyo.ac.jp/cgi-bin/simple_geocode.cgi?charset=UTF8&amp;addr=%E6%9D%B1%E4%BA%AC%E9%83%BD%E4%B8%AD%E5%A4%AE%E5%8C%BA%E4%BD%83</v>
      </c>
      <c r="E223" t="str">
        <f t="shared" si="24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223" cm="1">
        <f t="array" ref="F223">INDEX(_xlfn.FILTERXML(E223,"//latitude"),1)</f>
        <v>35.668864999999997</v>
      </c>
      <c r="G223" cm="1">
        <f t="array" ref="G223">INDEX(_xlfn.FILTERXML(E223,"//longitude"),1)</f>
        <v>139.783356</v>
      </c>
      <c r="H223">
        <v>35.668864999999997</v>
      </c>
      <c r="I223">
        <v>139.783356</v>
      </c>
    </row>
    <row r="224" spans="1:9" x14ac:dyDescent="0.4">
      <c r="A224" t="s">
        <v>9</v>
      </c>
      <c r="B224" t="s">
        <v>787</v>
      </c>
      <c r="C224" t="str">
        <f t="shared" si="25"/>
        <v>東京都中野区中央</v>
      </c>
      <c r="D224" s="2" t="str">
        <f t="shared" si="23"/>
        <v>http://geocode.csis.u-tokyo.ac.jp/cgi-bin/simple_geocode.cgi?charset=UTF8&amp;addr=%E6%9D%B1%E4%BA%AC%E9%83%BD%E4%B8%AD%E9%87%8E%E5%8C%BA%E4%B8%AD%E5%A4%AE</v>
      </c>
      <c r="E224" t="str">
        <f t="shared" si="24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224" cm="1">
        <f t="array" ref="F224">INDEX(_xlfn.FILTERXML(E224,"//latitude"),1)</f>
        <v>35.698993999999999</v>
      </c>
      <c r="G224" cm="1">
        <f t="array" ref="G224">INDEX(_xlfn.FILTERXML(E224,"//longitude"),1)</f>
        <v>139.685654</v>
      </c>
      <c r="H224">
        <v>35.698993999999999</v>
      </c>
      <c r="I224">
        <v>139.685654</v>
      </c>
    </row>
    <row r="225" spans="1:9" x14ac:dyDescent="0.4">
      <c r="A225" t="s">
        <v>9</v>
      </c>
      <c r="B225" t="s">
        <v>821</v>
      </c>
      <c r="C225" t="str">
        <f t="shared" si="25"/>
        <v>東京都江戸川区</v>
      </c>
      <c r="D225" s="2" t="str">
        <f t="shared" si="23"/>
        <v>http://geocode.csis.u-tokyo.ac.jp/cgi-bin/simple_geocode.cgi?charset=UTF8&amp;addr=%E6%9D%B1%E4%BA%AC%E9%83%BD%E6%B1%9F%E6%88%B8%E5%B7%9D%E5%8C%BA</v>
      </c>
      <c r="E225" t="str">
        <f t="shared" si="24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225" cm="1">
        <f t="array" ref="F225">INDEX(_xlfn.FILTERXML(E225,"//latitude"),1)</f>
        <v>35.706650000000003</v>
      </c>
      <c r="G225" cm="1">
        <f t="array" ref="G225">INDEX(_xlfn.FILTERXML(E225,"//longitude"),1)</f>
        <v>139.86831699999999</v>
      </c>
      <c r="H225">
        <v>35.706650000000003</v>
      </c>
      <c r="I225">
        <v>139.86831699999999</v>
      </c>
    </row>
    <row r="226" spans="1:9" x14ac:dyDescent="0.4">
      <c r="A226" t="s">
        <v>46</v>
      </c>
      <c r="B226" t="s">
        <v>822</v>
      </c>
      <c r="C226" t="str">
        <f t="shared" si="25"/>
        <v>山口県長門市三隅下</v>
      </c>
      <c r="D226" s="2" t="str">
        <f t="shared" si="23"/>
        <v>http://geocode.csis.u-tokyo.ac.jp/cgi-bin/simple_geocode.cgi?charset=UTF8&amp;addr=%E5%B1%B1%E5%8F%A3%E7%9C%8C%E9%95%B7%E9%96%80%E5%B8%82%E4%B8%89%E9%9A%85%E4%B8%8B</v>
      </c>
      <c r="E226" t="str">
        <f t="shared" si="24"/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226" cm="1">
        <f t="array" ref="F226">INDEX(_xlfn.FILTERXML(E226,"//latitude"),1)</f>
        <v>34.363852999999999</v>
      </c>
      <c r="G226" cm="1">
        <f t="array" ref="G226">INDEX(_xlfn.FILTERXML(E226,"//longitude"),1)</f>
        <v>131.22349500000001</v>
      </c>
      <c r="H226">
        <v>34.363852999999999</v>
      </c>
      <c r="I226">
        <v>131.22349500000001</v>
      </c>
    </row>
    <row r="227" spans="1:9" x14ac:dyDescent="0.4">
      <c r="A227" t="s">
        <v>11</v>
      </c>
      <c r="B227" t="s">
        <v>823</v>
      </c>
      <c r="C227" t="str">
        <f t="shared" si="25"/>
        <v>大阪府八尾市南久宝寺</v>
      </c>
      <c r="D227" s="2" t="str">
        <f t="shared" si="23"/>
        <v>http://geocode.csis.u-tokyo.ac.jp/cgi-bin/simple_geocode.cgi?charset=UTF8&amp;addr=%E5%A4%A7%E9%98%AA%E5%BA%9C%E5%85%AB%E5%B0%BE%E5%B8%82%E5%8D%97%E4%B9%85%E5%AE%9D%E5%AF%BA</v>
      </c>
      <c r="E227" t="str">
        <f t="shared" si="24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227" cm="1">
        <f t="array" ref="F227">INDEX(_xlfn.FILTERXML(E227,"//latitude"),1)</f>
        <v>34.624397000000002</v>
      </c>
      <c r="G227" cm="1">
        <f t="array" ref="G227">INDEX(_xlfn.FILTERXML(E227,"//longitude"),1)</f>
        <v>135.58819600000001</v>
      </c>
      <c r="H227">
        <v>34.624397000000002</v>
      </c>
      <c r="I227">
        <v>135.58819600000001</v>
      </c>
    </row>
    <row r="228" spans="1:9" x14ac:dyDescent="0.4">
      <c r="A228" t="s">
        <v>21</v>
      </c>
      <c r="B228" t="s">
        <v>824</v>
      </c>
      <c r="C228" t="str">
        <f t="shared" si="25"/>
        <v>福岡県みやま市高田町濃施</v>
      </c>
      <c r="D228" s="2" t="str">
        <f t="shared" si="23"/>
        <v>http://geocode.csis.u-tokyo.ac.jp/cgi-bin/simple_geocode.cgi?charset=UTF8&amp;addr=%E7%A6%8F%E5%B2%A1%E7%9C%8C%E3%81%BF%E3%82%84%E3%81%BE%E5%B8%82%E9%AB%98%E7%94%B0%E7%94%BA%E6%BF%83%E6%96%BD</v>
      </c>
      <c r="E228" t="str">
        <f t="shared" si="24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228" cm="1">
        <f t="array" ref="F228">INDEX(_xlfn.FILTERXML(E228,"//latitude"),1)</f>
        <v>33.100605000000002</v>
      </c>
      <c r="G228" cm="1">
        <f t="array" ref="G228">INDEX(_xlfn.FILTERXML(E228,"//longitude"),1)</f>
        <v>130.45863299999999</v>
      </c>
      <c r="H228">
        <v>33.100605000000002</v>
      </c>
      <c r="I228">
        <v>130.45863299999999</v>
      </c>
    </row>
    <row r="229" spans="1:9" x14ac:dyDescent="0.4">
      <c r="A229" t="s">
        <v>33</v>
      </c>
      <c r="B229" t="s">
        <v>814</v>
      </c>
      <c r="C229" t="str">
        <f t="shared" si="25"/>
        <v>岩手県花巻市</v>
      </c>
      <c r="D229" s="2" t="str">
        <f t="shared" si="23"/>
        <v>http://geocode.csis.u-tokyo.ac.jp/cgi-bin/simple_geocode.cgi?charset=UTF8&amp;addr=%E5%B2%A9%E6%89%8B%E7%9C%8C%E8%8A%B1%E5%B7%BB%E5%B8%82</v>
      </c>
      <c r="E229" t="str">
        <f t="shared" si="24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229" cm="1">
        <f t="array" ref="F229">INDEX(_xlfn.FILTERXML(E229,"//latitude"),1)</f>
        <v>39.388610999999997</v>
      </c>
      <c r="G229" cm="1">
        <f t="array" ref="G229">INDEX(_xlfn.FILTERXML(E229,"//longitude"),1)</f>
        <v>141.11685199999999</v>
      </c>
      <c r="H229">
        <v>39.388610999999997</v>
      </c>
      <c r="I229">
        <v>141.11685199999999</v>
      </c>
    </row>
    <row r="230" spans="1:9" x14ac:dyDescent="0.4">
      <c r="A230" t="s">
        <v>37</v>
      </c>
      <c r="B230" t="s">
        <v>825</v>
      </c>
      <c r="C230" t="str">
        <f t="shared" si="25"/>
        <v>三重県津市柳山津興</v>
      </c>
      <c r="D230" s="2" t="str">
        <f t="shared" si="23"/>
        <v>http://geocode.csis.u-tokyo.ac.jp/cgi-bin/simple_geocode.cgi?charset=UTF8&amp;addr=%E4%B8%89%E9%87%8D%E7%9C%8C%E6%B4%A5%E5%B8%82%E6%9F%B3%E5%B1%B1%E6%B4%A5%E8%88%88</v>
      </c>
      <c r="E230" t="str">
        <f t="shared" si="24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230" cm="1">
        <f t="array" ref="F230">INDEX(_xlfn.FILTERXML(E230,"//latitude"),1)</f>
        <v>34.707766999999997</v>
      </c>
      <c r="G230" cm="1">
        <f t="array" ref="G230">INDEX(_xlfn.FILTERXML(E230,"//longitude"),1)</f>
        <v>136.517731</v>
      </c>
      <c r="H230">
        <v>34.707766999999997</v>
      </c>
      <c r="I230">
        <v>136.517731</v>
      </c>
    </row>
    <row r="231" spans="1:9" x14ac:dyDescent="0.4">
      <c r="A231" t="s">
        <v>17</v>
      </c>
      <c r="B231" t="s">
        <v>826</v>
      </c>
      <c r="C231" t="str">
        <f t="shared" si="25"/>
        <v>愛知県名古屋市中川区二女子町</v>
      </c>
      <c r="D231" s="2" t="str">
        <f t="shared" si="23"/>
        <v>http://geocode.csis.u-tokyo.ac.jp/cgi-bin/simple_geocode.cgi?charset=UTF8&amp;addr=%E6%84%9B%E7%9F%A5%E7%9C%8C%E5%90%8D%E5%8F%A4%E5%B1%8B%E5%B8%82%E4%B8%AD%E5%B7%9D%E5%8C%BA%E4%BA%8C%E5%A5%B3%E5%AD%90%E7%94%BA</v>
      </c>
      <c r="E231" t="str">
        <f t="shared" si="24"/>
        <v xml:space="preserve">&lt;?xml version="1.0" encoding="UTF-8" ?&gt;
&lt;results&gt;
&lt;query&gt;愛知県名屋市中川区二女子町&lt;/query&gt;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231" cm="1">
        <f t="array" ref="F231">INDEX(_xlfn.FILTERXML(E231,"//latitude"),1)</f>
        <v>35.146191000000002</v>
      </c>
      <c r="G231" cm="1">
        <f t="array" ref="G231">INDEX(_xlfn.FILTERXML(E231,"//longitude"),1)</f>
        <v>136.87998999999999</v>
      </c>
      <c r="H231">
        <v>35.146191000000002</v>
      </c>
      <c r="I231">
        <v>136.87998999999999</v>
      </c>
    </row>
    <row r="232" spans="1:9" x14ac:dyDescent="0.4">
      <c r="A232" t="s">
        <v>11</v>
      </c>
      <c r="B232" t="s">
        <v>236</v>
      </c>
      <c r="C232" t="str">
        <f t="shared" si="25"/>
        <v>大阪府吹田市桃山台</v>
      </c>
      <c r="D232" s="2" t="str">
        <f t="shared" si="23"/>
        <v>http://geocode.csis.u-tokyo.ac.jp/cgi-bin/simple_geocode.cgi?charset=UTF8&amp;addr=%E5%A4%A7%E9%98%AA%E5%BA%9C%E5%90%B9%E7%94%B0%E5%B8%82%E6%A1%83%E5%B1%B1%E5%8F%B0</v>
      </c>
      <c r="E232" t="str">
        <f t="shared" si="24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232" cm="1">
        <f t="array" ref="F232">INDEX(_xlfn.FILTERXML(E232,"//latitude"),1)</f>
        <v>34.791454000000002</v>
      </c>
      <c r="G232" cm="1">
        <f t="array" ref="G232">INDEX(_xlfn.FILTERXML(E232,"//longitude"),1)</f>
        <v>135.505402</v>
      </c>
      <c r="H232">
        <v>34.791454000000002</v>
      </c>
      <c r="I232">
        <v>135.505402</v>
      </c>
    </row>
    <row r="233" spans="1:9" x14ac:dyDescent="0.4">
      <c r="A233" t="s">
        <v>9</v>
      </c>
      <c r="B233" t="s">
        <v>223</v>
      </c>
      <c r="C233" t="str">
        <f t="shared" si="25"/>
        <v>東京都世田谷区</v>
      </c>
      <c r="D233" s="2" t="str">
        <f t="shared" si="23"/>
        <v>http://geocode.csis.u-tokyo.ac.jp/cgi-bin/simple_geocode.cgi?charset=UTF8&amp;addr=%E6%9D%B1%E4%BA%AC%E9%83%BD%E4%B8%96%E7%94%B0%E8%B0%B7%E5%8C%BA</v>
      </c>
      <c r="E233" t="str">
        <f t="shared" si="24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33" cm="1">
        <f t="array" ref="F233">INDEX(_xlfn.FILTERXML(E233,"//latitude"),1)</f>
        <v>35.646481000000001</v>
      </c>
      <c r="G233" cm="1">
        <f t="array" ref="G233">INDEX(_xlfn.FILTERXML(E233,"//longitude"),1)</f>
        <v>139.65321399999999</v>
      </c>
      <c r="H233">
        <v>35.646481000000001</v>
      </c>
      <c r="I233">
        <v>139.65321399999999</v>
      </c>
    </row>
    <row r="234" spans="1:9" x14ac:dyDescent="0.4">
      <c r="A234" t="s">
        <v>13</v>
      </c>
      <c r="B234" t="s">
        <v>47</v>
      </c>
      <c r="C234" t="str">
        <f t="shared" si="25"/>
        <v>埼玉県上尾市</v>
      </c>
      <c r="D234" s="2" t="str">
        <f t="shared" si="23"/>
        <v>http://geocode.csis.u-tokyo.ac.jp/cgi-bin/simple_geocode.cgi?charset=UTF8&amp;addr=%E5%9F%BC%E7%8E%89%E7%9C%8C%E4%B8%8A%E5%B0%BE%E5%B8%82</v>
      </c>
      <c r="E234" t="str">
        <f t="shared" si="24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234" cm="1">
        <f t="array" ref="F234">INDEX(_xlfn.FILTERXML(E234,"//latitude"),1)</f>
        <v>35.977409000000002</v>
      </c>
      <c r="G234" cm="1">
        <f t="array" ref="G234">INDEX(_xlfn.FILTERXML(E234,"//longitude"),1)</f>
        <v>139.59320099999999</v>
      </c>
      <c r="H234">
        <v>35.977409000000002</v>
      </c>
      <c r="I234">
        <v>139.59320099999999</v>
      </c>
    </row>
    <row r="235" spans="1:9" x14ac:dyDescent="0.4">
      <c r="A235" t="s">
        <v>9</v>
      </c>
      <c r="B235" t="s">
        <v>827</v>
      </c>
      <c r="C235" t="str">
        <f t="shared" si="25"/>
        <v>東京都三鷹市</v>
      </c>
      <c r="D235" s="2" t="str">
        <f t="shared" si="23"/>
        <v>http://geocode.csis.u-tokyo.ac.jp/cgi-bin/simple_geocode.cgi?charset=UTF8&amp;addr=%E6%9D%B1%E4%BA%AC%E9%83%BD%E4%B8%89%E9%B7%B9%E5%B8%82</v>
      </c>
      <c r="E235" t="str">
        <f t="shared" si="24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235" cm="1">
        <f t="array" ref="F235">INDEX(_xlfn.FILTERXML(E235,"//latitude"),1)</f>
        <v>35.683307999999997</v>
      </c>
      <c r="G235" cm="1">
        <f t="array" ref="G235">INDEX(_xlfn.FILTERXML(E235,"//longitude"),1)</f>
        <v>139.55987500000001</v>
      </c>
      <c r="H235">
        <v>35.683307999999997</v>
      </c>
      <c r="I235">
        <v>139.55987500000001</v>
      </c>
    </row>
    <row r="236" spans="1:9" x14ac:dyDescent="0.4">
      <c r="A236" t="s">
        <v>48</v>
      </c>
      <c r="B236" t="s">
        <v>828</v>
      </c>
      <c r="C236" t="str">
        <f t="shared" si="25"/>
        <v>石川県加賀市</v>
      </c>
      <c r="D236" s="2" t="str">
        <f t="shared" si="23"/>
        <v>http://geocode.csis.u-tokyo.ac.jp/cgi-bin/simple_geocode.cgi?charset=UTF8&amp;addr=%E7%9F%B3%E5%B7%9D%E7%9C%8C%E5%8A%A0%E8%B3%80%E5%B8%82</v>
      </c>
      <c r="E236" t="str">
        <f t="shared" si="24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236" cm="1">
        <f t="array" ref="F236">INDEX(_xlfn.FILTERXML(E236,"//latitude"),1)</f>
        <v>36.302669999999999</v>
      </c>
      <c r="G236" cm="1">
        <f t="array" ref="G236">INDEX(_xlfn.FILTERXML(E236,"//longitude"),1)</f>
        <v>136.314682</v>
      </c>
      <c r="H236">
        <v>36.302669999999999</v>
      </c>
      <c r="I236">
        <v>136.314682</v>
      </c>
    </row>
    <row r="237" spans="1:9" x14ac:dyDescent="0.4">
      <c r="A237" t="s">
        <v>37</v>
      </c>
      <c r="B237" t="s">
        <v>829</v>
      </c>
      <c r="C237" t="str">
        <f t="shared" si="25"/>
        <v>三重県鈴鹿市岸岡町</v>
      </c>
      <c r="D237" s="2" t="str">
        <f t="shared" si="23"/>
        <v>http://geocode.csis.u-tokyo.ac.jp/cgi-bin/simple_geocode.cgi?charset=UTF8&amp;addr=%E4%B8%89%E9%87%8D%E7%9C%8C%E9%88%B4%E9%B9%BF%E5%B8%82%E5%B2%B8%E5%B2%A1%E7%94%BA</v>
      </c>
      <c r="E237" t="str">
        <f t="shared" si="24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237" cm="1">
        <f t="array" ref="F237">INDEX(_xlfn.FILTERXML(E237,"//latitude"),1)</f>
        <v>34.854336000000004</v>
      </c>
      <c r="G237" cm="1">
        <f t="array" ref="G237">INDEX(_xlfn.FILTERXML(E237,"//longitude"),1)</f>
        <v>136.60240200000001</v>
      </c>
      <c r="H237">
        <v>34.854336000000004</v>
      </c>
      <c r="I237">
        <v>136.60240200000001</v>
      </c>
    </row>
    <row r="238" spans="1:9" x14ac:dyDescent="0.4">
      <c r="A238" t="s">
        <v>17</v>
      </c>
      <c r="B238" t="s">
        <v>830</v>
      </c>
      <c r="C238" t="str">
        <f t="shared" si="25"/>
        <v>愛知県名古屋市中川区万場</v>
      </c>
      <c r="D238" s="2" t="str">
        <f t="shared" si="23"/>
        <v>http://geocode.csis.u-tokyo.ac.jp/cgi-bin/simple_geocode.cgi?charset=UTF8&amp;addr=%E6%84%9B%E7%9F%A5%E7%9C%8C%E5%90%8D%E5%8F%A4%E5%B1%8B%E5%B8%82%E4%B8%AD%E5%B7%9D%E5%8C%BA%E4%B8%87%E5%A0%B4</v>
      </c>
      <c r="E238" t="str">
        <f t="shared" si="24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238" cm="1">
        <f t="array" ref="F238">INDEX(_xlfn.FILTERXML(E238,"//latitude"),1)</f>
        <v>35.156281</v>
      </c>
      <c r="G238" cm="1">
        <f t="array" ref="G238">INDEX(_xlfn.FILTERXML(E238,"//longitude"),1)</f>
        <v>136.83461</v>
      </c>
      <c r="H238">
        <v>35.156281</v>
      </c>
      <c r="I238">
        <v>136.83461</v>
      </c>
    </row>
    <row r="239" spans="1:9" x14ac:dyDescent="0.4">
      <c r="A239" t="s">
        <v>19</v>
      </c>
      <c r="B239" t="s">
        <v>831</v>
      </c>
      <c r="C239" t="str">
        <f t="shared" si="25"/>
        <v>滋賀県高島市鴨</v>
      </c>
      <c r="D239" s="2" t="str">
        <f t="shared" si="23"/>
        <v>http://geocode.csis.u-tokyo.ac.jp/cgi-bin/simple_geocode.cgi?charset=UTF8&amp;addr=%E6%BB%8B%E8%B3%80%E7%9C%8C%E9%AB%98%E5%B3%B6%E5%B8%82%E9%B4%A8</v>
      </c>
      <c r="E239" t="str">
        <f t="shared" si="24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239" cm="1">
        <f t="array" ref="F239">INDEX(_xlfn.FILTERXML(E239,"//latitude"),1)</f>
        <v>35.313828000000001</v>
      </c>
      <c r="G239" cm="1">
        <f t="array" ref="G239">INDEX(_xlfn.FILTERXML(E239,"//longitude"),1)</f>
        <v>136.01812699999999</v>
      </c>
      <c r="H239">
        <v>35.313828000000001</v>
      </c>
      <c r="I239">
        <v>136.01812699999999</v>
      </c>
    </row>
    <row r="240" spans="1:9" x14ac:dyDescent="0.4">
      <c r="A240" t="s">
        <v>15</v>
      </c>
      <c r="B240" t="s">
        <v>832</v>
      </c>
      <c r="C240" t="str">
        <f t="shared" si="25"/>
        <v>兵庫県西宮市名塩南台</v>
      </c>
      <c r="D240" s="2" t="str">
        <f t="shared" si="23"/>
        <v>http://geocode.csis.u-tokyo.ac.jp/cgi-bin/simple_geocode.cgi?charset=UTF8&amp;addr=%E5%85%B5%E5%BA%AB%E7%9C%8C%E8%A5%BF%E5%AE%AE%E5%B8%82%E5%90%8D%E5%A1%A9%E5%8D%97%E5%8F%B0</v>
      </c>
      <c r="E240" t="str">
        <f t="shared" si="24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240" cm="1">
        <f t="array" ref="F240">INDEX(_xlfn.FILTERXML(E240,"//latitude"),1)</f>
        <v>34.825428000000002</v>
      </c>
      <c r="G240" cm="1">
        <f t="array" ref="G240">INDEX(_xlfn.FILTERXML(E240,"//longitude"),1)</f>
        <v>135.30084199999999</v>
      </c>
      <c r="H240">
        <v>34.825428000000002</v>
      </c>
      <c r="I240">
        <v>135.30084199999999</v>
      </c>
    </row>
    <row r="241" spans="1:9" x14ac:dyDescent="0.4">
      <c r="A241" t="s">
        <v>18</v>
      </c>
      <c r="B241" t="s">
        <v>833</v>
      </c>
      <c r="C241" t="str">
        <f t="shared" si="25"/>
        <v>千葉県印西市</v>
      </c>
      <c r="D241" s="2" t="str">
        <f t="shared" si="23"/>
        <v>http://geocode.csis.u-tokyo.ac.jp/cgi-bin/simple_geocode.cgi?charset=UTF8&amp;addr=%E5%8D%83%E8%91%89%E7%9C%8C%E5%8D%B0%E8%A5%BF%E5%B8%82</v>
      </c>
      <c r="E241" t="str">
        <f t="shared" si="24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241" cm="1">
        <f t="array" ref="F241">INDEX(_xlfn.FILTERXML(E241,"//latitude"),1)</f>
        <v>35.832332999999998</v>
      </c>
      <c r="G241" cm="1">
        <f t="array" ref="G241">INDEX(_xlfn.FILTERXML(E241,"//longitude"),1)</f>
        <v>140.14576700000001</v>
      </c>
      <c r="H241">
        <v>35.832332999999998</v>
      </c>
      <c r="I241">
        <v>140.14576700000001</v>
      </c>
    </row>
    <row r="242" spans="1:9" x14ac:dyDescent="0.4">
      <c r="A242" t="s">
        <v>10</v>
      </c>
      <c r="B242" t="s">
        <v>834</v>
      </c>
      <c r="C242" t="str">
        <f t="shared" si="25"/>
        <v>神奈川県川崎市宮前区宮崎</v>
      </c>
      <c r="D242" s="2" t="str">
        <f t="shared" si="23"/>
        <v>http://geocode.csis.u-tokyo.ac.jp/cgi-bin/simple_geocode.cgi?charset=UTF8&amp;addr=%E7%A5%9E%E5%A5%88%E5%B7%9D%E7%9C%8C%E5%B7%9D%E5%B4%8E%E5%B8%82%E5%AE%AE%E5%89%8D%E5%8C%BA%E5%AE%AE%E5%B4%8E</v>
      </c>
      <c r="E242" t="str">
        <f t="shared" si="24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242" cm="1">
        <f t="array" ref="F242">INDEX(_xlfn.FILTERXML(E242,"//latitude"),1)</f>
        <v>35.584750999999997</v>
      </c>
      <c r="G242" cm="1">
        <f t="array" ref="G242">INDEX(_xlfn.FILTERXML(E242,"//longitude"),1)</f>
        <v>139.593445</v>
      </c>
      <c r="H242">
        <v>35.584750999999997</v>
      </c>
      <c r="I242">
        <v>139.593445</v>
      </c>
    </row>
    <row r="243" spans="1:9" x14ac:dyDescent="0.4">
      <c r="A243" t="s">
        <v>39</v>
      </c>
      <c r="B243" t="s">
        <v>835</v>
      </c>
      <c r="C243" t="str">
        <f t="shared" si="25"/>
        <v>愛媛県西条市</v>
      </c>
      <c r="D243" s="2" t="str">
        <f t="shared" si="23"/>
        <v>http://geocode.csis.u-tokyo.ac.jp/cgi-bin/simple_geocode.cgi?charset=UTF8&amp;addr=%E6%84%9B%E5%AA%9B%E7%9C%8C%E8%A5%BF%E6%9D%A1%E5%B8%82</v>
      </c>
      <c r="E243" t="str">
        <f t="shared" si="24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243" cm="1">
        <f t="array" ref="F243">INDEX(_xlfn.FILTERXML(E243,"//latitude"),1)</f>
        <v>33.919617000000002</v>
      </c>
      <c r="G243" cm="1">
        <f t="array" ref="G243">INDEX(_xlfn.FILTERXML(E243,"//longitude"),1)</f>
        <v>133.181183</v>
      </c>
      <c r="H243">
        <v>33.919617000000002</v>
      </c>
      <c r="I243">
        <v>133.181183</v>
      </c>
    </row>
    <row r="244" spans="1:9" x14ac:dyDescent="0.4">
      <c r="A244" t="s">
        <v>15</v>
      </c>
      <c r="B244" t="s">
        <v>836</v>
      </c>
      <c r="C244" t="str">
        <f t="shared" si="25"/>
        <v>兵庫県宝塚市中山桜台</v>
      </c>
      <c r="D244" s="2" t="str">
        <f t="shared" si="23"/>
        <v>http://geocode.csis.u-tokyo.ac.jp/cgi-bin/simple_geocode.cgi?charset=UTF8&amp;addr=%E5%85%B5%E5%BA%AB%E7%9C%8C%E5%AE%9D%E5%A1%9A%E5%B8%82%E4%B8%AD%E5%B1%B1%E6%A1%9C%E5%8F%B0</v>
      </c>
      <c r="E244" t="str">
        <f t="shared" si="24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244" cm="1">
        <f t="array" ref="F244">INDEX(_xlfn.FILTERXML(E244,"//latitude"),1)</f>
        <v>34.829856999999997</v>
      </c>
      <c r="G244" cm="1">
        <f t="array" ref="G244">INDEX(_xlfn.FILTERXML(E244,"//longitude"),1)</f>
        <v>135.36743200000001</v>
      </c>
      <c r="H244">
        <v>34.829856999999997</v>
      </c>
      <c r="I244">
        <v>135.36743200000001</v>
      </c>
    </row>
    <row r="245" spans="1:9" x14ac:dyDescent="0.4">
      <c r="A245" t="s">
        <v>15</v>
      </c>
      <c r="B245" t="s">
        <v>837</v>
      </c>
      <c r="C245" t="str">
        <f t="shared" si="25"/>
        <v>兵庫県神戸市長田区</v>
      </c>
      <c r="D245" s="2" t="str">
        <f t="shared" si="23"/>
        <v>http://geocode.csis.u-tokyo.ac.jp/cgi-bin/simple_geocode.cgi?charset=UTF8&amp;addr=%E5%85%B5%E5%BA%AB%E7%9C%8C%E7%A5%9E%E6%88%B8%E5%B8%82%E9%95%B7%E7%94%B0%E5%8C%BA</v>
      </c>
      <c r="E245" t="str">
        <f t="shared" si="24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245" cm="1">
        <f t="array" ref="F245">INDEX(_xlfn.FILTERXML(E245,"//latitude"),1)</f>
        <v>34.665688000000003</v>
      </c>
      <c r="G245" cm="1">
        <f t="array" ref="G245">INDEX(_xlfn.FILTERXML(E245,"//longitude"),1)</f>
        <v>135.150848</v>
      </c>
      <c r="H245">
        <v>34.665688000000003</v>
      </c>
      <c r="I245">
        <v>135.150848</v>
      </c>
    </row>
    <row r="246" spans="1:9" x14ac:dyDescent="0.4">
      <c r="A246" t="s">
        <v>15</v>
      </c>
      <c r="B246" t="s">
        <v>838</v>
      </c>
      <c r="C246" t="str">
        <f t="shared" si="25"/>
        <v>兵庫県神戸市須磨区多井畑南町</v>
      </c>
      <c r="D246" s="2" t="str">
        <f t="shared" si="23"/>
        <v>http://geocode.csis.u-tokyo.ac.jp/cgi-bin/simple_geocode.cgi?charset=UTF8&amp;addr=%E5%85%B5%E5%BA%AB%E7%9C%8C%E7%A5%9E%E6%88%B8%E5%B8%82%E9%A0%88%E7%A3%A8%E5%8C%BA%E5%A4%9A%E4%BA%95%E7%95%91%E5%8D%97%E7%94%BA</v>
      </c>
      <c r="E246" t="str">
        <f t="shared" si="24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246" cm="1">
        <f t="array" ref="F246">INDEX(_xlfn.FILTERXML(E246,"//latitude"),1)</f>
        <v>34.657131</v>
      </c>
      <c r="G246" cm="1">
        <f t="array" ref="G246">INDEX(_xlfn.FILTERXML(E246,"//longitude"),1)</f>
        <v>135.09435999999999</v>
      </c>
      <c r="H246">
        <v>34.657131</v>
      </c>
      <c r="I246">
        <v>135.09435999999999</v>
      </c>
    </row>
    <row r="247" spans="1:9" x14ac:dyDescent="0.4">
      <c r="A247" t="s">
        <v>11</v>
      </c>
      <c r="B247" t="s">
        <v>839</v>
      </c>
      <c r="C247" t="str">
        <f t="shared" si="25"/>
        <v>大阪府守口市橋波東之町</v>
      </c>
      <c r="D247" s="2" t="str">
        <f t="shared" si="23"/>
        <v>http://geocode.csis.u-tokyo.ac.jp/cgi-bin/simple_geocode.cgi?charset=UTF8&amp;addr=%E5%A4%A7%E9%98%AA%E5%BA%9C%E5%AE%88%E5%8F%A3%E5%B8%82%E6%A9%8B%E6%B3%A2%E6%9D%B1%E4%B9%8B%E7%94%BA</v>
      </c>
      <c r="E247" t="str">
        <f t="shared" si="24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247" cm="1">
        <f t="array" ref="F247">INDEX(_xlfn.FILTERXML(E247,"//latitude"),1)</f>
        <v>34.736809000000001</v>
      </c>
      <c r="G247" cm="1">
        <f t="array" ref="G247">INDEX(_xlfn.FILTERXML(E247,"//longitude"),1)</f>
        <v>135.57510400000001</v>
      </c>
      <c r="H247">
        <v>34.736809000000001</v>
      </c>
      <c r="I247">
        <v>135.57510400000001</v>
      </c>
    </row>
    <row r="248" spans="1:9" x14ac:dyDescent="0.4">
      <c r="A248" t="s">
        <v>26</v>
      </c>
      <c r="B248" t="s">
        <v>840</v>
      </c>
      <c r="C248" t="str">
        <f t="shared" si="25"/>
        <v>京都府伏見区深草石橋町</v>
      </c>
      <c r="D248" s="2" t="str">
        <f t="shared" si="23"/>
        <v>http://geocode.csis.u-tokyo.ac.jp/cgi-bin/simple_geocode.cgi?charset=UTF8&amp;addr=%E4%BA%AC%E9%83%BD%E5%BA%9C%E4%BC%8F%E8%A6%8B%E5%8C%BA%E6%B7%B1%E8%8D%89%E7%9F%B3%E6%A9%8B%E7%94%BA</v>
      </c>
      <c r="E248" t="str">
        <f t="shared" si="24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248" cm="1">
        <f t="array" ref="F248">INDEX(_xlfn.FILTERXML(E248,"//latitude"),1)</f>
        <v>34.9482</v>
      </c>
      <c r="G248" cm="1">
        <f t="array" ref="G248">INDEX(_xlfn.FILTERXML(E248,"//longitude"),1)</f>
        <v>135.771469</v>
      </c>
      <c r="H248">
        <v>34.9482</v>
      </c>
      <c r="I248">
        <v>135.771469</v>
      </c>
    </row>
    <row r="249" spans="1:9" x14ac:dyDescent="0.4">
      <c r="A249" t="s">
        <v>17</v>
      </c>
      <c r="B249" t="s">
        <v>841</v>
      </c>
      <c r="C249" t="str">
        <f t="shared" si="25"/>
        <v>愛知県名古屋市千種区田代本通2-22</v>
      </c>
      <c r="D249" s="2" t="str">
        <f t="shared" si="23"/>
        <v>http://geocode.csis.u-tokyo.ac.jp/cgi-bin/simple_geocode.cgi?charset=UTF8&amp;addr=%E6%84%9B%E7%9F%A5%E7%9C%8C%E5%90%8D%E5%8F%A4%E5%B1%8B%E5%B8%82%E5%8D%83%E7%A8%AE%E5%8C%BA%E7%94%B0%E4%BB%A3%E6%9C%AC%E9%80%9A2-22</v>
      </c>
      <c r="E249" t="str">
        <f t="shared" si="24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249" cm="1">
        <f t="array" ref="F249">INDEX(_xlfn.FILTERXML(E249,"//latitude"),1)</f>
        <v>35.163071000000002</v>
      </c>
      <c r="G249" cm="1">
        <f t="array" ref="G249">INDEX(_xlfn.FILTERXML(E249,"//longitude"),1)</f>
        <v>136.95600899999999</v>
      </c>
      <c r="H249">
        <v>35.163071000000002</v>
      </c>
      <c r="I249">
        <v>136.95600899999999</v>
      </c>
    </row>
    <row r="250" spans="1:9" x14ac:dyDescent="0.4">
      <c r="A250" t="s">
        <v>16</v>
      </c>
      <c r="B250" t="s">
        <v>237</v>
      </c>
      <c r="C250" t="str">
        <f t="shared" si="25"/>
        <v>長野県松本市</v>
      </c>
      <c r="D250" s="2" t="str">
        <f t="shared" si="23"/>
        <v>http://geocode.csis.u-tokyo.ac.jp/cgi-bin/simple_geocode.cgi?charset=UTF8&amp;addr=%E9%95%B7%E9%87%8E%E7%9C%8C%E6%9D%BE%E6%9C%AC%E5%B8%82</v>
      </c>
      <c r="E250" t="str">
        <f t="shared" si="24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250" cm="1">
        <f t="array" ref="F250">INDEX(_xlfn.FILTERXML(E250,"//latitude"),1)</f>
        <v>36.238093999999997</v>
      </c>
      <c r="G250" cm="1">
        <f t="array" ref="G250">INDEX(_xlfn.FILTERXML(E250,"//longitude"),1)</f>
        <v>137.97198499999999</v>
      </c>
      <c r="H250">
        <v>36.238093999999997</v>
      </c>
      <c r="I250">
        <v>137.97198499999999</v>
      </c>
    </row>
    <row r="251" spans="1:9" x14ac:dyDescent="0.4">
      <c r="A251" t="s">
        <v>17</v>
      </c>
      <c r="B251" t="s">
        <v>842</v>
      </c>
      <c r="C251" t="str">
        <f t="shared" si="25"/>
        <v>愛知県新城市庭野松本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http://geocode.csis.u-tokyo.ac.jp/cgi-bin/simple_geocode.cgi?charset=UTF8&amp;addr=%E6%84%9B%E7%9F%A5%E7%9C%8C%E6%96%B0%E5%9F%8E%E5%B8%82%E5%BA%AD%E9%87%8E%E6%9D%BE%E6%9C%AC</v>
      </c>
      <c r="E251" t="str">
        <f t="shared" ref="E251:E314" si="27" xml:space="preserve"> _xlfn.WEBSERVICE(D251)</f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251" cm="1">
        <f t="array" ref="F251">INDEX(_xlfn.FILTERXML(E251,"//latitude"),1)</f>
        <v>34.894298999999997</v>
      </c>
      <c r="G251" cm="1">
        <f t="array" ref="G251">INDEX(_xlfn.FILTERXML(E251,"//longitude"),1)</f>
        <v>137.502197</v>
      </c>
      <c r="H251">
        <v>34.894298999999997</v>
      </c>
      <c r="I251">
        <v>137.502197</v>
      </c>
    </row>
    <row r="252" spans="1:9" x14ac:dyDescent="0.4">
      <c r="A252" t="s">
        <v>15</v>
      </c>
      <c r="B252" t="s">
        <v>843</v>
      </c>
      <c r="C252" t="str">
        <f t="shared" si="25"/>
        <v>兵庫県姫路市林田町下伊勢</v>
      </c>
      <c r="D252" s="2" t="str">
        <f t="shared" si="26"/>
        <v>http://geocode.csis.u-tokyo.ac.jp/cgi-bin/simple_geocode.cgi?charset=UTF8&amp;addr=%E5%85%B5%E5%BA%AB%E7%9C%8C%E5%A7%AB%E8%B7%AF%E5%B8%82%E6%9E%97%E7%94%B0%E7%94%BA%E4%B8%8B%E4%BC%8A%E5%8B%A2</v>
      </c>
      <c r="E252" t="str">
        <f t="shared" si="27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252" cm="1">
        <f t="array" ref="F252">INDEX(_xlfn.FILTERXML(E252,"//latitude"),1)</f>
        <v>34.890864999999998</v>
      </c>
      <c r="G252" cm="1">
        <f t="array" ref="G252">INDEX(_xlfn.FILTERXML(E252,"//longitude"),1)</f>
        <v>134.60691800000001</v>
      </c>
      <c r="H252">
        <v>34.890864999999998</v>
      </c>
      <c r="I252">
        <v>134.60691800000001</v>
      </c>
    </row>
    <row r="253" spans="1:9" x14ac:dyDescent="0.4">
      <c r="A253" t="s">
        <v>29</v>
      </c>
      <c r="B253" t="s">
        <v>844</v>
      </c>
      <c r="C253" t="str">
        <f t="shared" si="25"/>
        <v>静岡県浜松市中区神田町</v>
      </c>
      <c r="D253" s="2" t="str">
        <f t="shared" si="26"/>
        <v>http://geocode.csis.u-tokyo.ac.jp/cgi-bin/simple_geocode.cgi?charset=UTF8&amp;addr=%E9%9D%99%E5%B2%A1%E7%9C%8C%E6%B5%9C%E6%9D%BE%E5%B8%82%E4%B8%AD%E5%8C%BA%E7%A5%9E%E7%94%B0%E7%94%BA</v>
      </c>
      <c r="E253" t="str">
        <f t="shared" si="27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253" cm="1">
        <f t="array" ref="F253">INDEX(_xlfn.FILTERXML(E253,"//latitude"),1)</f>
        <v>34.710864999999998</v>
      </c>
      <c r="G253" cm="1">
        <f t="array" ref="G253">INDEX(_xlfn.FILTERXML(E253,"//longitude"),1)</f>
        <v>137.72612000000001</v>
      </c>
      <c r="H253">
        <v>34.710864999999998</v>
      </c>
      <c r="I253">
        <v>137.72612000000001</v>
      </c>
    </row>
    <row r="254" spans="1:9" x14ac:dyDescent="0.4">
      <c r="A254" t="s">
        <v>9</v>
      </c>
      <c r="B254" t="s">
        <v>845</v>
      </c>
      <c r="C254" t="str">
        <f t="shared" si="25"/>
        <v>東京都中央区晴海</v>
      </c>
      <c r="D254" s="2" t="str">
        <f t="shared" si="26"/>
        <v>http://geocode.csis.u-tokyo.ac.jp/cgi-bin/simple_geocode.cgi?charset=UTF8&amp;addr=%E6%9D%B1%E4%BA%AC%E9%83%BD%E4%B8%AD%E5%A4%AE%E5%8C%BA%E6%99%B4%E6%B5%B7</v>
      </c>
      <c r="E254" t="str">
        <f t="shared" si="27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254" cm="1">
        <f t="array" ref="F254">INDEX(_xlfn.FILTERXML(E254,"//latitude"),1)</f>
        <v>35.659523</v>
      </c>
      <c r="G254" cm="1">
        <f t="array" ref="G254">INDEX(_xlfn.FILTERXML(E254,"//longitude"),1)</f>
        <v>139.78616299999999</v>
      </c>
      <c r="H254">
        <v>35.659523</v>
      </c>
      <c r="I254">
        <v>139.78616299999999</v>
      </c>
    </row>
    <row r="255" spans="1:9" x14ac:dyDescent="0.4">
      <c r="A255" t="s">
        <v>18</v>
      </c>
      <c r="B255" t="s">
        <v>846</v>
      </c>
      <c r="C255" t="str">
        <f t="shared" si="25"/>
        <v>千葉県野田市花井</v>
      </c>
      <c r="D255" s="2" t="str">
        <f t="shared" si="26"/>
        <v>http://geocode.csis.u-tokyo.ac.jp/cgi-bin/simple_geocode.cgi?charset=UTF8&amp;addr=%E5%8D%83%E8%91%89%E7%9C%8C%E9%87%8E%E7%94%B0%E5%B8%82%E8%8A%B1%E4%BA%95</v>
      </c>
      <c r="E255" t="str">
        <f t="shared" si="27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255" cm="1">
        <f t="array" ref="F255">INDEX(_xlfn.FILTERXML(E255,"//latitude"),1)</f>
        <v>35.946055999999999</v>
      </c>
      <c r="G255" cm="1">
        <f t="array" ref="G255">INDEX(_xlfn.FILTERXML(E255,"//longitude"),1)</f>
        <v>139.881866</v>
      </c>
      <c r="H255">
        <v>35.946055999999999</v>
      </c>
      <c r="I255">
        <v>139.881866</v>
      </c>
    </row>
    <row r="256" spans="1:9" x14ac:dyDescent="0.4">
      <c r="A256" t="s">
        <v>15</v>
      </c>
      <c r="B256" t="s">
        <v>847</v>
      </c>
      <c r="C256" t="str">
        <f t="shared" si="25"/>
        <v>兵庫県西宮市津門宝津町</v>
      </c>
      <c r="D256" s="2" t="str">
        <f t="shared" si="26"/>
        <v>http://geocode.csis.u-tokyo.ac.jp/cgi-bin/simple_geocode.cgi?charset=UTF8&amp;addr=%E5%85%B5%E5%BA%AB%E7%9C%8C%E8%A5%BF%E5%AE%AE%E5%B8%82%E6%B4%A5%E9%96%80%E5%AE%9D%E6%B4%A5%E7%94%BA</v>
      </c>
      <c r="E256" t="str">
        <f t="shared" si="27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256" cm="1">
        <f t="array" ref="F256">INDEX(_xlfn.FILTERXML(E256,"//latitude"),1)</f>
        <v>34.732799999999997</v>
      </c>
      <c r="G256" cm="1">
        <f t="array" ref="G256">INDEX(_xlfn.FILTERXML(E256,"//longitude"),1)</f>
        <v>135.350876</v>
      </c>
      <c r="H256">
        <v>34.732799999999997</v>
      </c>
      <c r="I256">
        <v>135.350876</v>
      </c>
    </row>
    <row r="257" spans="1:9" x14ac:dyDescent="0.4">
      <c r="A257" t="s">
        <v>9</v>
      </c>
      <c r="B257" t="s">
        <v>848</v>
      </c>
      <c r="C257" t="str">
        <f t="shared" si="25"/>
        <v>東京都世田谷区粕谷</v>
      </c>
      <c r="D257" s="2" t="str">
        <f t="shared" si="26"/>
        <v>http://geocode.csis.u-tokyo.ac.jp/cgi-bin/simple_geocode.cgi?charset=UTF8&amp;addr=%E6%9D%B1%E4%BA%AC%E9%83%BD%E4%B8%96%E7%94%B0%E8%B0%B7%E5%8C%BA%E7%B2%95%E8%B0%B7</v>
      </c>
      <c r="E257" t="str">
        <f t="shared" si="27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257" cm="1">
        <f t="array" ref="F257">INDEX(_xlfn.FILTERXML(E257,"//latitude"),1)</f>
        <v>35.661037</v>
      </c>
      <c r="G257" cm="1">
        <f t="array" ref="G257">INDEX(_xlfn.FILTERXML(E257,"//longitude"),1)</f>
        <v>139.61114499999999</v>
      </c>
      <c r="H257">
        <v>35.661037</v>
      </c>
      <c r="I257">
        <v>139.61114499999999</v>
      </c>
    </row>
    <row r="258" spans="1:9" x14ac:dyDescent="0.4">
      <c r="A258" t="s">
        <v>23</v>
      </c>
      <c r="B258" t="s">
        <v>849</v>
      </c>
      <c r="C258" t="str">
        <f t="shared" si="25"/>
        <v>宮城県仙台市</v>
      </c>
      <c r="D258" s="2" t="str">
        <f t="shared" si="26"/>
        <v>http://geocode.csis.u-tokyo.ac.jp/cgi-bin/simple_geocode.cgi?charset=UTF8&amp;addr=%E5%AE%AE%E5%9F%8E%E7%9C%8C%E4%BB%99%E5%8F%B0%E5%B8%82</v>
      </c>
      <c r="E258" t="str">
        <f t="shared" si="27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258" cm="1">
        <f t="array" ref="F258">INDEX(_xlfn.FILTERXML(E258,"//latitude"),1)</f>
        <v>38.268008999999999</v>
      </c>
      <c r="G258" cm="1">
        <f t="array" ref="G258">INDEX(_xlfn.FILTERXML(E258,"//longitude"),1)</f>
        <v>140.86961400000001</v>
      </c>
      <c r="H258">
        <v>38.268008999999999</v>
      </c>
      <c r="I258">
        <v>140.86961400000001</v>
      </c>
    </row>
    <row r="259" spans="1:9" x14ac:dyDescent="0.4">
      <c r="A259" t="s">
        <v>9</v>
      </c>
      <c r="B259" t="s">
        <v>850</v>
      </c>
      <c r="C259" t="str">
        <f t="shared" ref="C259:C322" si="28">+A259&amp;B259</f>
        <v>東京都小金井市貫井南町</v>
      </c>
      <c r="D259" s="2" t="str">
        <f t="shared" si="26"/>
        <v>http://geocode.csis.u-tokyo.ac.jp/cgi-bin/simple_geocode.cgi?charset=UTF8&amp;addr=%E6%9D%B1%E4%BA%AC%E9%83%BD%E5%B0%8F%E9%87%91%E4%BA%95%E5%B8%82%E8%B2%AB%E4%BA%95%E5%8D%97%E7%94%BA</v>
      </c>
      <c r="E259" t="str">
        <f t="shared" si="27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259" cm="1">
        <f t="array" ref="F259">INDEX(_xlfn.FILTERXML(E259,"//latitude"),1)</f>
        <v>35.690227999999998</v>
      </c>
      <c r="G259" cm="1">
        <f t="array" ref="G259">INDEX(_xlfn.FILTERXML(E259,"//longitude"),1)</f>
        <v>139.49568199999999</v>
      </c>
      <c r="H259">
        <v>35.690227999999998</v>
      </c>
      <c r="I259">
        <v>139.49568199999999</v>
      </c>
    </row>
    <row r="260" spans="1:9" x14ac:dyDescent="0.4">
      <c r="A260" t="s">
        <v>10</v>
      </c>
      <c r="B260" t="s">
        <v>851</v>
      </c>
      <c r="C260" t="str">
        <f t="shared" si="28"/>
        <v>神奈川県横浜市青葉区</v>
      </c>
      <c r="D260" s="2" t="str">
        <f t="shared" si="26"/>
        <v>http://geocode.csis.u-tokyo.ac.jp/cgi-bin/simple_geocode.cgi?charset=UTF8&amp;addr=%E7%A5%9E%E5%A5%88%E5%B7%9D%E7%9C%8C%E6%A8%AA%E6%B5%9C%E5%B8%82%E9%9D%92%E8%91%89%E5%8C%BA</v>
      </c>
      <c r="E260" t="str">
        <f t="shared" si="27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260" cm="1">
        <f t="array" ref="F260">INDEX(_xlfn.FILTERXML(E260,"//latitude"),1)</f>
        <v>35.55283</v>
      </c>
      <c r="G260" cm="1">
        <f t="array" ref="G260">INDEX(_xlfn.FILTERXML(E260,"//longitude"),1)</f>
        <v>139.537094</v>
      </c>
      <c r="H260">
        <v>35.55283</v>
      </c>
      <c r="I260">
        <v>139.537094</v>
      </c>
    </row>
    <row r="261" spans="1:9" x14ac:dyDescent="0.4">
      <c r="A261" t="s">
        <v>9</v>
      </c>
      <c r="B261" t="s">
        <v>852</v>
      </c>
      <c r="C261" t="str">
        <f t="shared" si="28"/>
        <v>東京都福生市</v>
      </c>
      <c r="D261" s="2" t="str">
        <f t="shared" si="26"/>
        <v>http://geocode.csis.u-tokyo.ac.jp/cgi-bin/simple_geocode.cgi?charset=UTF8&amp;addr=%E6%9D%B1%E4%BA%AC%E9%83%BD%E7%A6%8F%E7%94%9F%E5%B8%82</v>
      </c>
      <c r="E261" t="str">
        <f t="shared" si="27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261" cm="1">
        <f t="array" ref="F261">INDEX(_xlfn.FILTERXML(E261,"//latitude"),1)</f>
        <v>35.738602</v>
      </c>
      <c r="G261" cm="1">
        <f t="array" ref="G261">INDEX(_xlfn.FILTERXML(E261,"//longitude"),1)</f>
        <v>139.32673600000001</v>
      </c>
      <c r="H261">
        <v>35.738602</v>
      </c>
      <c r="I261">
        <v>139.32673600000001</v>
      </c>
    </row>
    <row r="262" spans="1:9" x14ac:dyDescent="0.4">
      <c r="A262" t="s">
        <v>113</v>
      </c>
      <c r="B262" t="s">
        <v>853</v>
      </c>
      <c r="C262" t="str">
        <f t="shared" si="28"/>
        <v>岡山県岡山市南区立川町</v>
      </c>
      <c r="D262" s="2" t="str">
        <f t="shared" si="26"/>
        <v>http://geocode.csis.u-tokyo.ac.jp/cgi-bin/simple_geocode.cgi?charset=UTF8&amp;addr=%E5%B2%A1%E5%B1%B1%E7%9C%8C%E5%B2%A1%E5%B1%B1%E5%B8%82%E5%8D%97%E5%8C%BA%E7%AB%8B%E5%B7%9D%E7%94%BA</v>
      </c>
      <c r="E262" t="str">
        <f t="shared" si="27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262" cm="1">
        <f t="array" ref="F262">INDEX(_xlfn.FILTERXML(E262,"//latitude"),1)</f>
        <v>34.608494</v>
      </c>
      <c r="G262" cm="1">
        <f t="array" ref="G262">INDEX(_xlfn.FILTERXML(E262,"//longitude"),1)</f>
        <v>133.947205</v>
      </c>
      <c r="H262">
        <v>34.608494</v>
      </c>
      <c r="I262">
        <v>133.947205</v>
      </c>
    </row>
    <row r="263" spans="1:9" x14ac:dyDescent="0.4">
      <c r="A263" t="s">
        <v>14</v>
      </c>
      <c r="B263" t="s">
        <v>854</v>
      </c>
      <c r="C263" t="str">
        <f t="shared" si="28"/>
        <v>広島県広島市中区富士見町9-15-1301</v>
      </c>
      <c r="D263" s="2" t="str">
        <f t="shared" si="26"/>
        <v>http://geocode.csis.u-tokyo.ac.jp/cgi-bin/simple_geocode.cgi?charset=UTF8&amp;addr=%E5%BA%83%E5%B3%B6%E7%9C%8C%E5%BA%83%E5%B3%B6%E5%B8%82%E4%B8%AD%E5%8C%BA%E5%AF%8C%E5%A3%AB%E8%A6%8B%E7%94%BA9-15-1301</v>
      </c>
      <c r="E263" t="str">
        <f t="shared" si="27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263" cm="1">
        <f t="array" ref="F263">INDEX(_xlfn.FILTERXML(E263,"//latitude"),1)</f>
        <v>34.386654</v>
      </c>
      <c r="G263" cm="1">
        <f t="array" ref="G263">INDEX(_xlfn.FILTERXML(E263,"//longitude"),1)</f>
        <v>132.461502</v>
      </c>
      <c r="H263">
        <v>34.386654</v>
      </c>
      <c r="I263">
        <v>132.461502</v>
      </c>
    </row>
    <row r="264" spans="1:9" x14ac:dyDescent="0.4">
      <c r="A264" t="s">
        <v>9</v>
      </c>
      <c r="B264" t="s">
        <v>855</v>
      </c>
      <c r="C264" t="str">
        <f t="shared" si="28"/>
        <v>東京都千代田区富士見</v>
      </c>
      <c r="D264" s="2" t="str">
        <f t="shared" si="26"/>
        <v>http://geocode.csis.u-tokyo.ac.jp/cgi-bin/simple_geocode.cgi?charset=UTF8&amp;addr=%E6%9D%B1%E4%BA%AC%E9%83%BD%E5%8D%83%E4%BB%A3%E7%94%B0%E5%8C%BA%E5%AF%8C%E5%A3%AB%E8%A6%8B</v>
      </c>
      <c r="E264" t="str">
        <f t="shared" si="27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264" cm="1">
        <f t="array" ref="F264">INDEX(_xlfn.FILTERXML(E264,"//latitude"),1)</f>
        <v>35.697871999999997</v>
      </c>
      <c r="G264" cm="1">
        <f t="array" ref="G264">INDEX(_xlfn.FILTERXML(E264,"//longitude"),1)</f>
        <v>139.74697900000001</v>
      </c>
      <c r="H264">
        <v>35.697871999999997</v>
      </c>
      <c r="I264">
        <v>139.74697900000001</v>
      </c>
    </row>
    <row r="265" spans="1:9" x14ac:dyDescent="0.4">
      <c r="A265" t="s">
        <v>34</v>
      </c>
      <c r="B265" t="s">
        <v>856</v>
      </c>
      <c r="C265" t="str">
        <f t="shared" si="28"/>
        <v>岐阜県大垣市上石津町下山</v>
      </c>
      <c r="D265" s="2" t="str">
        <f t="shared" si="26"/>
        <v>http://geocode.csis.u-tokyo.ac.jp/cgi-bin/simple_geocode.cgi?charset=UTF8&amp;addr=%E5%B2%90%E9%98%9C%E7%9C%8C%E5%A4%A7%E5%9E%A3%E5%B8%82%E4%B8%8A%E7%9F%B3%E6%B4%A5%E7%94%BA%E4%B8%8B%E5%B1%B1</v>
      </c>
      <c r="E265" t="str">
        <f t="shared" si="27"/>
        <v xml:space="preserve">&lt;?xml version="1.0" encoding="UTF-8" ?&gt;
&lt;results&gt;
&lt;query&gt;岐阜県大垣市上石津町下山&lt;/query&gt;
&lt;geodetic&gt;wgs1984&lt;/geodetic&gt;
&lt;iConf&gt;5&lt;/iConf&gt;
&lt;converted&gt;岐阜県大垣市上石津町下山&lt;/converted&gt;
&lt;candidate&gt;
&lt;address&gt;岐阜県/大垣市/上石津町下山&lt;/address&gt;
&lt;longitude&gt;136.493958&lt;/longitude&gt;
&lt;latitude&gt;35.248245&lt;/latitude&gt;
&lt;iLvl&gt;5&lt;/iLvl&gt;
&lt;/candidate&gt;
&lt;/results&gt;
</v>
      </c>
      <c r="F265" cm="1">
        <f t="array" ref="F265">INDEX(_xlfn.FILTERXML(E265,"//latitude"),1)</f>
        <v>35.248244999999997</v>
      </c>
      <c r="G265" cm="1">
        <f t="array" ref="G265">INDEX(_xlfn.FILTERXML(E265,"//longitude"),1)</f>
        <v>136.49395799999999</v>
      </c>
      <c r="H265">
        <v>35.248244999999997</v>
      </c>
      <c r="I265">
        <v>136.49395799999999</v>
      </c>
    </row>
    <row r="266" spans="1:9" x14ac:dyDescent="0.4">
      <c r="A266" t="s">
        <v>10</v>
      </c>
      <c r="B266" t="s">
        <v>857</v>
      </c>
      <c r="C266" t="str">
        <f t="shared" si="28"/>
        <v>神奈川県横浜市南区永田東</v>
      </c>
      <c r="D266" s="2" t="str">
        <f t="shared" si="26"/>
        <v>http://geocode.csis.u-tokyo.ac.jp/cgi-bin/simple_geocode.cgi?charset=UTF8&amp;addr=%E7%A5%9E%E5%A5%88%E5%B7%9D%E7%9C%8C%E6%A8%AA%E6%B5%9C%E5%B8%82%E5%8D%97%E5%8C%BA%E6%B0%B8%E7%94%B0%E6%9D%B1</v>
      </c>
      <c r="E266" t="str">
        <f t="shared" si="27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266" cm="1">
        <f t="array" ref="F266">INDEX(_xlfn.FILTERXML(E266,"//latitude"),1)</f>
        <v>35.433525000000003</v>
      </c>
      <c r="G266" cm="1">
        <f t="array" ref="G266">INDEX(_xlfn.FILTERXML(E266,"//longitude"),1)</f>
        <v>139.59738200000001</v>
      </c>
      <c r="H266">
        <v>35.433525000000003</v>
      </c>
      <c r="I266">
        <v>139.59738200000001</v>
      </c>
    </row>
    <row r="267" spans="1:9" x14ac:dyDescent="0.4">
      <c r="A267" t="s">
        <v>118</v>
      </c>
      <c r="B267" t="s">
        <v>858</v>
      </c>
      <c r="C267" t="str">
        <f t="shared" si="28"/>
        <v>北海道札幌市中央区北六条西12丁目</v>
      </c>
      <c r="D267" s="2" t="str">
        <f t="shared" si="26"/>
        <v>http://geocode.csis.u-tokyo.ac.jp/cgi-bin/simple_geocode.cgi?charset=UTF8&amp;addr=%E5%8C%97%E6%B5%B7%E9%81%93%E6%9C%AD%E5%B9%8C%E5%B8%82%E4%B8%AD%E5%A4%AE%E5%8C%BA%E5%8C%97%E5%85%AD%E6%9D%A1%E8%A5%BF12%E4%B8%81%E7%9B%AE</v>
      </c>
      <c r="E267" t="str">
        <f t="shared" si="27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267" cm="1">
        <f t="array" ref="F267">INDEX(_xlfn.FILTERXML(E267,"//latitude"),1)</f>
        <v>43.066650000000003</v>
      </c>
      <c r="G267" cm="1">
        <f t="array" ref="G267">INDEX(_xlfn.FILTERXML(E267,"//longitude"),1)</f>
        <v>141.33682300000001</v>
      </c>
      <c r="H267">
        <v>43.066650000000003</v>
      </c>
      <c r="I267">
        <v>141.33682300000001</v>
      </c>
    </row>
    <row r="268" spans="1:9" x14ac:dyDescent="0.4">
      <c r="A268" t="s">
        <v>17</v>
      </c>
      <c r="B268" t="s">
        <v>859</v>
      </c>
      <c r="C268" t="str">
        <f t="shared" si="28"/>
        <v>愛知県名古屋市緑区鏡田</v>
      </c>
      <c r="D268" s="2" t="str">
        <f t="shared" si="26"/>
        <v>http://geocode.csis.u-tokyo.ac.jp/cgi-bin/simple_geocode.cgi?charset=UTF8&amp;addr=%E6%84%9B%E7%9F%A5%E7%9C%8C%E5%90%8D%E5%8F%A4%E5%B1%8B%E5%B8%82%E7%B7%91%E5%8C%BA%E9%8F%A1%E7%94%B0</v>
      </c>
      <c r="E268" t="str">
        <f t="shared" si="27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268" cm="1">
        <f t="array" ref="F268">INDEX(_xlfn.FILTERXML(E268,"//latitude"),1)</f>
        <v>35.092872999999997</v>
      </c>
      <c r="G268" cm="1">
        <f t="array" ref="G268">INDEX(_xlfn.FILTERXML(E268,"//longitude"),1)</f>
        <v>137.013138</v>
      </c>
      <c r="H268">
        <v>35.092872999999997</v>
      </c>
      <c r="I268">
        <v>137.013138</v>
      </c>
    </row>
    <row r="269" spans="1:9" x14ac:dyDescent="0.4">
      <c r="A269" t="s">
        <v>9</v>
      </c>
      <c r="B269" t="s">
        <v>860</v>
      </c>
      <c r="C269" t="str">
        <f t="shared" si="28"/>
        <v>東京都港区三田５ー2－22</v>
      </c>
      <c r="D269" s="2" t="str">
        <f t="shared" si="26"/>
        <v>http://geocode.csis.u-tokyo.ac.jp/cgi-bin/simple_geocode.cgi?charset=UTF8&amp;addr=%E6%9D%B1%E4%BA%AC%E9%83%BD%E6%B8%AF%E5%8C%BA%E4%B8%89%E7%94%B0%EF%BC%95%E3%83%BC2%EF%BC%8D22</v>
      </c>
      <c r="E269" t="str">
        <f t="shared" si="27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269" cm="1">
        <f t="array" ref="F269">INDEX(_xlfn.FILTERXML(E269,"//latitude"),1)</f>
        <v>35.647598000000002</v>
      </c>
      <c r="G269" cm="1">
        <f t="array" ref="G269">INDEX(_xlfn.FILTERXML(E269,"//longitude"),1)</f>
        <v>139.73773199999999</v>
      </c>
      <c r="H269">
        <v>35.647598000000002</v>
      </c>
      <c r="I269">
        <v>139.73773199999999</v>
      </c>
    </row>
    <row r="270" spans="1:9" x14ac:dyDescent="0.4">
      <c r="A270" t="s">
        <v>9</v>
      </c>
      <c r="B270" t="s">
        <v>861</v>
      </c>
      <c r="C270" t="str">
        <f t="shared" si="28"/>
        <v>東京都板橋区徳丸</v>
      </c>
      <c r="D270" s="2" t="str">
        <f t="shared" si="26"/>
        <v>http://geocode.csis.u-tokyo.ac.jp/cgi-bin/simple_geocode.cgi?charset=UTF8&amp;addr=%E6%9D%B1%E4%BA%AC%E9%83%BD%E6%9D%BF%E6%A9%8B%E5%8C%BA%E5%BE%B3%E4%B8%B8</v>
      </c>
      <c r="E270" t="str">
        <f t="shared" si="27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270" cm="1">
        <f t="array" ref="F270">INDEX(_xlfn.FILTERXML(E270,"//latitude"),1)</f>
        <v>35.771675000000002</v>
      </c>
      <c r="G270" cm="1">
        <f t="array" ref="G270">INDEX(_xlfn.FILTERXML(E270,"//longitude"),1)</f>
        <v>139.66551200000001</v>
      </c>
      <c r="H270">
        <v>35.771675000000002</v>
      </c>
      <c r="I270">
        <v>139.66551200000001</v>
      </c>
    </row>
    <row r="271" spans="1:9" x14ac:dyDescent="0.4">
      <c r="A271" t="s">
        <v>11</v>
      </c>
      <c r="B271" t="s">
        <v>137</v>
      </c>
      <c r="C271" t="str">
        <f t="shared" si="28"/>
        <v>大阪府吹田市</v>
      </c>
      <c r="D271" s="2" t="str">
        <f t="shared" si="26"/>
        <v>http://geocode.csis.u-tokyo.ac.jp/cgi-bin/simple_geocode.cgi?charset=UTF8&amp;addr=%E5%A4%A7%E9%98%AA%E5%BA%9C%E5%90%B9%E7%94%B0%E5%B8%82</v>
      </c>
      <c r="E271" t="str">
        <f t="shared" si="27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271" cm="1">
        <f t="array" ref="F271">INDEX(_xlfn.FILTERXML(E271,"//latitude"),1)</f>
        <v>34.759402999999999</v>
      </c>
      <c r="G271" cm="1">
        <f t="array" ref="G271">INDEX(_xlfn.FILTERXML(E271,"//longitude"),1)</f>
        <v>135.51679999999999</v>
      </c>
      <c r="H271">
        <v>34.759402999999999</v>
      </c>
      <c r="I271">
        <v>135.51679999999999</v>
      </c>
    </row>
    <row r="272" spans="1:9" x14ac:dyDescent="0.4">
      <c r="A272" t="s">
        <v>11</v>
      </c>
      <c r="B272" t="s">
        <v>862</v>
      </c>
      <c r="C272" t="str">
        <f t="shared" si="28"/>
        <v>大阪府岸和田市並松町</v>
      </c>
      <c r="D272" s="2" t="str">
        <f t="shared" si="26"/>
        <v>http://geocode.csis.u-tokyo.ac.jp/cgi-bin/simple_geocode.cgi?charset=UTF8&amp;addr=%E5%A4%A7%E9%98%AA%E5%BA%9C%E5%B2%B8%E5%92%8C%E7%94%B0%E5%B8%82%E4%B8%A6%E6%9D%BE%E7%94%BA</v>
      </c>
      <c r="E272" t="str">
        <f t="shared" si="27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272" cm="1">
        <f t="array" ref="F272">INDEX(_xlfn.FILTERXML(E272,"//latitude"),1)</f>
        <v>34.467650999999996</v>
      </c>
      <c r="G272" cm="1">
        <f t="array" ref="G272">INDEX(_xlfn.FILTERXML(E272,"//longitude"),1)</f>
        <v>135.37519800000001</v>
      </c>
      <c r="H272">
        <v>34.467650999999996</v>
      </c>
      <c r="I272">
        <v>135.37519800000001</v>
      </c>
    </row>
    <row r="273" spans="1:9" x14ac:dyDescent="0.4">
      <c r="A273" t="s">
        <v>15</v>
      </c>
      <c r="B273" t="s">
        <v>863</v>
      </c>
      <c r="C273" t="str">
        <f t="shared" si="28"/>
        <v>兵庫県西宮市津門大塚町</v>
      </c>
      <c r="D273" s="2" t="str">
        <f t="shared" si="26"/>
        <v>http://geocode.csis.u-tokyo.ac.jp/cgi-bin/simple_geocode.cgi?charset=UTF8&amp;addr=%E5%85%B5%E5%BA%AB%E7%9C%8C%E8%A5%BF%E5%AE%AE%E5%B8%82%E6%B4%A5%E9%96%80%E5%A4%A7%E5%A1%9A%E7%94%BA</v>
      </c>
      <c r="E273" t="str">
        <f t="shared" si="27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273" cm="1">
        <f t="array" ref="F273">INDEX(_xlfn.FILTERXML(E273,"//latitude"),1)</f>
        <v>34.737487999999999</v>
      </c>
      <c r="G273" cm="1">
        <f t="array" ref="G273">INDEX(_xlfn.FILTERXML(E273,"//longitude"),1)</f>
        <v>135.354736</v>
      </c>
      <c r="H273">
        <v>34.737487999999999</v>
      </c>
      <c r="I273">
        <v>135.354736</v>
      </c>
    </row>
    <row r="274" spans="1:9" x14ac:dyDescent="0.4">
      <c r="A274" t="s">
        <v>48</v>
      </c>
      <c r="B274" t="s">
        <v>864</v>
      </c>
      <c r="C274" t="str">
        <f t="shared" si="28"/>
        <v>石川県金沢市小坂町</v>
      </c>
      <c r="D274" s="2" t="str">
        <f t="shared" si="26"/>
        <v>http://geocode.csis.u-tokyo.ac.jp/cgi-bin/simple_geocode.cgi?charset=UTF8&amp;addr=%E7%9F%B3%E5%B7%9D%E7%9C%8C%E9%87%91%E6%B2%A2%E5%B8%82%E5%B0%8F%E5%9D%82%E7%94%BA</v>
      </c>
      <c r="E274" t="str">
        <f t="shared" si="27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274" cm="1">
        <f t="array" ref="F274">INDEX(_xlfn.FILTERXML(E274,"//latitude"),1)</f>
        <v>36.590164000000001</v>
      </c>
      <c r="G274" cm="1">
        <f t="array" ref="G274">INDEX(_xlfn.FILTERXML(E274,"//longitude"),1)</f>
        <v>136.67825300000001</v>
      </c>
      <c r="H274">
        <v>36.590164000000001</v>
      </c>
      <c r="I274">
        <v>136.67825300000001</v>
      </c>
    </row>
    <row r="275" spans="1:9" x14ac:dyDescent="0.4">
      <c r="A275" t="s">
        <v>11</v>
      </c>
      <c r="B275" t="s">
        <v>865</v>
      </c>
      <c r="C275" t="str">
        <f t="shared" si="28"/>
        <v>大阪府大阪市天王寺区北河堀町</v>
      </c>
      <c r="D275" s="2" t="str">
        <f t="shared" si="26"/>
        <v>http://geocode.csis.u-tokyo.ac.jp/cgi-bin/simple_geocode.cgi?charset=UTF8&amp;addr=%E5%A4%A7%E9%98%AA%E5%BA%9C%E5%A4%A7%E9%98%AA%E5%B8%82%E5%A4%A9%E7%8E%8B%E5%AF%BA%E5%8C%BA%E5%8C%97%E6%B2%B3%E5%A0%80%E7%94%BA</v>
      </c>
      <c r="E275" t="str">
        <f t="shared" si="27"/>
        <v xml:space="preserve">&lt;?xml version="1.0" encoding="UTF-8" ?&gt;
&lt;results&gt;
&lt;query&gt;大阪府大阪市天王寺区北河堀町&lt;/query&gt;
&lt;geodetic&gt;wgs1984&lt;/geodetic&gt;
&lt;iConf&gt;5&lt;/iConf&gt;
&lt;converted&gt;大阪府大阪市天王寺区北河堀町&lt;/converted&gt;
&lt;candidate&gt;
&lt;address&gt;大阪府/大阪市/天王寺区/北河堀町&lt;/address&gt;
&lt;longitude&gt;135.517761&lt;/longitude&gt;
&lt;latitude&gt;34.649937&lt;/latitude&gt;
&lt;iLvl&gt;5&lt;/iLvl&gt;
&lt;/candidate&gt;
&lt;/results&gt;
</v>
      </c>
      <c r="F275" cm="1">
        <f t="array" ref="F275">INDEX(_xlfn.FILTERXML(E275,"//latitude"),1)</f>
        <v>34.649937000000001</v>
      </c>
      <c r="G275" cm="1">
        <f t="array" ref="G275">INDEX(_xlfn.FILTERXML(E275,"//longitude"),1)</f>
        <v>135.51776100000001</v>
      </c>
      <c r="H275">
        <v>34.649937000000001</v>
      </c>
      <c r="I275">
        <v>135.51776100000001</v>
      </c>
    </row>
    <row r="276" spans="1:9" x14ac:dyDescent="0.4">
      <c r="A276" t="s">
        <v>48</v>
      </c>
      <c r="B276" t="s">
        <v>719</v>
      </c>
      <c r="C276" t="str">
        <f t="shared" si="28"/>
        <v>石川県金沢市</v>
      </c>
      <c r="D276" s="2" t="str">
        <f t="shared" si="26"/>
        <v>http://geocode.csis.u-tokyo.ac.jp/cgi-bin/simple_geocode.cgi?charset=UTF8&amp;addr=%E7%9F%B3%E5%B7%9D%E7%9C%8C%E9%87%91%E6%B2%A2%E5%B8%82</v>
      </c>
      <c r="E276" t="str">
        <f t="shared" si="27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276" cm="1">
        <f t="array" ref="F276">INDEX(_xlfn.FILTERXML(E276,"//latitude"),1)</f>
        <v>36.561050000000002</v>
      </c>
      <c r="G276" cm="1">
        <f t="array" ref="G276">INDEX(_xlfn.FILTERXML(E276,"//longitude"),1)</f>
        <v>136.656631</v>
      </c>
      <c r="H276">
        <v>36.561050000000002</v>
      </c>
      <c r="I276">
        <v>136.656631</v>
      </c>
    </row>
    <row r="277" spans="1:9" x14ac:dyDescent="0.4">
      <c r="A277" t="s">
        <v>10</v>
      </c>
      <c r="B277" t="s">
        <v>866</v>
      </c>
      <c r="C277" t="str">
        <f t="shared" si="28"/>
        <v>神奈川県横浜市青葉区奈良町1566-123</v>
      </c>
      <c r="D277" s="2" t="str">
        <f t="shared" si="26"/>
        <v>http://geocode.csis.u-tokyo.ac.jp/cgi-bin/simple_geocode.cgi?charset=UTF8&amp;addr=%E7%A5%9E%E5%A5%88%E5%B7%9D%E7%9C%8C%E6%A8%AA%E6%B5%9C%E5%B8%82%E9%9D%92%E8%91%89%E5%8C%BA%E5%A5%88%E8%89%AF%E7%94%BA1566-123</v>
      </c>
      <c r="E277" t="str">
        <f t="shared" si="27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277" cm="1">
        <f t="array" ref="F277">INDEX(_xlfn.FILTERXML(E277,"//latitude"),1)</f>
        <v>35.564982999999998</v>
      </c>
      <c r="G277" cm="1">
        <f t="array" ref="G277">INDEX(_xlfn.FILTERXML(E277,"//longitude"),1)</f>
        <v>139.47674599999999</v>
      </c>
      <c r="H277">
        <v>35.564982999999998</v>
      </c>
      <c r="I277">
        <v>139.47674599999999</v>
      </c>
    </row>
    <row r="278" spans="1:9" x14ac:dyDescent="0.4">
      <c r="A278" t="s">
        <v>118</v>
      </c>
      <c r="B278" t="s">
        <v>867</v>
      </c>
      <c r="C278" t="str">
        <f t="shared" si="28"/>
        <v>北海道伊達市元町</v>
      </c>
      <c r="D278" s="2" t="str">
        <f t="shared" si="26"/>
        <v>http://geocode.csis.u-tokyo.ac.jp/cgi-bin/simple_geocode.cgi?charset=UTF8&amp;addr=%E5%8C%97%E6%B5%B7%E9%81%93%E4%BC%8A%E9%81%94%E5%B8%82%E5%85%83%E7%94%BA</v>
      </c>
      <c r="E278" t="str">
        <f t="shared" si="27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278" cm="1">
        <f t="array" ref="F278">INDEX(_xlfn.FILTERXML(E278,"//latitude"),1)</f>
        <v>42.468699999999998</v>
      </c>
      <c r="G278" cm="1">
        <f t="array" ref="G278">INDEX(_xlfn.FILTERXML(E278,"//longitude"),1)</f>
        <v>140.869675</v>
      </c>
      <c r="H278">
        <v>42.468699999999998</v>
      </c>
      <c r="I278">
        <v>140.869675</v>
      </c>
    </row>
    <row r="279" spans="1:9" x14ac:dyDescent="0.4">
      <c r="A279" t="s">
        <v>9</v>
      </c>
      <c r="B279" t="s">
        <v>868</v>
      </c>
      <c r="C279" t="str">
        <f t="shared" si="28"/>
        <v>東京都練馬区早宮</v>
      </c>
      <c r="D279" s="2" t="str">
        <f t="shared" si="26"/>
        <v>http://geocode.csis.u-tokyo.ac.jp/cgi-bin/simple_geocode.cgi?charset=UTF8&amp;addr=%E6%9D%B1%E4%BA%AC%E9%83%BD%E7%B7%B4%E9%A6%AC%E5%8C%BA%E6%97%A9%E5%AE%AE</v>
      </c>
      <c r="E279" t="str">
        <f t="shared" si="27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279" cm="1">
        <f t="array" ref="F279">INDEX(_xlfn.FILTERXML(E279,"//latitude"),1)</f>
        <v>35.751559999999998</v>
      </c>
      <c r="G279" cm="1">
        <f t="array" ref="G279">INDEX(_xlfn.FILTERXML(E279,"//longitude"),1)</f>
        <v>139.65885900000001</v>
      </c>
      <c r="H279">
        <v>35.751559999999998</v>
      </c>
      <c r="I279">
        <v>139.65885900000001</v>
      </c>
    </row>
    <row r="280" spans="1:9" x14ac:dyDescent="0.4">
      <c r="A280" t="s">
        <v>10</v>
      </c>
      <c r="B280" t="s">
        <v>869</v>
      </c>
      <c r="C280" t="str">
        <f t="shared" si="28"/>
        <v>神奈川県横浜市南区蒔田町</v>
      </c>
      <c r="D280" s="2" t="str">
        <f t="shared" si="26"/>
        <v>http://geocode.csis.u-tokyo.ac.jp/cgi-bin/simple_geocode.cgi?charset=UTF8&amp;addr=%E7%A5%9E%E5%A5%88%E5%B7%9D%E7%9C%8C%E6%A8%AA%E6%B5%9C%E5%B8%82%E5%8D%97%E5%8C%BA%E8%92%94%E7%94%B0%E7%94%BA</v>
      </c>
      <c r="E280" t="str">
        <f t="shared" si="27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280" cm="1">
        <f t="array" ref="F280">INDEX(_xlfn.FILTERXML(E280,"//latitude"),1)</f>
        <v>35.425949000000003</v>
      </c>
      <c r="G280" cm="1">
        <f t="array" ref="G280">INDEX(_xlfn.FILTERXML(E280,"//longitude"),1)</f>
        <v>139.611603</v>
      </c>
      <c r="H280">
        <v>35.425949000000003</v>
      </c>
      <c r="I280">
        <v>139.611603</v>
      </c>
    </row>
    <row r="281" spans="1:9" x14ac:dyDescent="0.4">
      <c r="A281" t="s">
        <v>48</v>
      </c>
      <c r="B281" t="s">
        <v>870</v>
      </c>
      <c r="C281" t="str">
        <f t="shared" si="28"/>
        <v>石川県金沢市泉が丘２－９－１７</v>
      </c>
      <c r="D281" s="2" t="str">
        <f t="shared" si="26"/>
        <v>http://geocode.csis.u-tokyo.ac.jp/cgi-bin/simple_geocode.cgi?charset=UTF8&amp;addr=%E7%9F%B3%E5%B7%9D%E7%9C%8C%E9%87%91%E6%B2%A2%E5%B8%82%E6%B3%89%E3%81%8C%E4%B8%98%EF%BC%92%EF%BC%8D%EF%BC%99%EF%BC%8D%EF%BC%91%EF%BC%97</v>
      </c>
      <c r="E281" t="str">
        <f t="shared" si="27"/>
        <v xml:space="preserve">&lt;?xml version="1.0" encoding="UTF-8" ?&gt;
&lt;results&gt;
&lt;query&gt;石川県金沢市泉が丘２−９−１７&lt;/query&gt;
&lt;geodetic&gt;wgs1984&lt;/geodetic&gt;
&lt;iConf&gt;5&lt;/iConf&gt;
&lt;converted&gt;石川県金沢市泉が丘２−９−１７&lt;/converted&gt;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281" cm="1">
        <f t="array" ref="F281">INDEX(_xlfn.FILTERXML(E281,"//latitude"),1)</f>
        <v>36.542999000000002</v>
      </c>
      <c r="G281" cm="1">
        <f t="array" ref="G281">INDEX(_xlfn.FILTERXML(E281,"//longitude"),1)</f>
        <v>136.646545</v>
      </c>
      <c r="H281">
        <v>36.542999000000002</v>
      </c>
      <c r="I281">
        <v>136.646545</v>
      </c>
    </row>
    <row r="282" spans="1:9" x14ac:dyDescent="0.4">
      <c r="A282" t="s">
        <v>11</v>
      </c>
      <c r="B282" t="s">
        <v>871</v>
      </c>
      <c r="C282" t="str">
        <f t="shared" si="28"/>
        <v>大阪府堺市西区浜寺石津町中</v>
      </c>
      <c r="D282" s="2" t="str">
        <f t="shared" si="26"/>
        <v>http://geocode.csis.u-tokyo.ac.jp/cgi-bin/simple_geocode.cgi?charset=UTF8&amp;addr=%E5%A4%A7%E9%98%AA%E5%BA%9C%E5%A0%BA%E5%B8%82%E8%A5%BF%E5%8C%BA%E6%B5%9C%E5%AF%BA%E7%9F%B3%E6%B4%A5%E7%94%BA%E4%B8%AD</v>
      </c>
      <c r="E282" t="str">
        <f t="shared" si="27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282" cm="1">
        <f t="array" ref="F282">INDEX(_xlfn.FILTERXML(E282,"//latitude"),1)</f>
        <v>34.561988999999997</v>
      </c>
      <c r="G282" cm="1">
        <f t="array" ref="G282">INDEX(_xlfn.FILTERXML(E282,"//longitude"),1)</f>
        <v>135.45713799999999</v>
      </c>
      <c r="H282">
        <v>34.561988999999997</v>
      </c>
      <c r="I282">
        <v>135.45713799999999</v>
      </c>
    </row>
    <row r="283" spans="1:9" x14ac:dyDescent="0.4">
      <c r="A283" t="s">
        <v>12</v>
      </c>
      <c r="B283" t="s">
        <v>872</v>
      </c>
      <c r="C283" t="str">
        <f t="shared" si="28"/>
        <v>奈良県高市郡高取町丹生谷</v>
      </c>
      <c r="D283" s="2" t="str">
        <f t="shared" si="26"/>
        <v>http://geocode.csis.u-tokyo.ac.jp/cgi-bin/simple_geocode.cgi?charset=UTF8&amp;addr=%E5%A5%88%E8%89%AF%E7%9C%8C%E9%AB%98%E5%B8%82%E9%83%A1%E9%AB%98%E5%8F%96%E7%94%BA%E4%B8%B9%E7%94%9F%E8%B0%B7</v>
      </c>
      <c r="E283" t="str">
        <f t="shared" si="27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283" cm="1">
        <f t="array" ref="F283">INDEX(_xlfn.FILTERXML(E283,"//latitude"),1)</f>
        <v>34.428516000000002</v>
      </c>
      <c r="G283" cm="1">
        <f t="array" ref="G283">INDEX(_xlfn.FILTERXML(E283,"//longitude"),1)</f>
        <v>135.76663199999999</v>
      </c>
      <c r="H283">
        <v>34.428516000000002</v>
      </c>
      <c r="I283">
        <v>135.76663199999999</v>
      </c>
    </row>
    <row r="284" spans="1:9" x14ac:dyDescent="0.4">
      <c r="A284" t="s">
        <v>11</v>
      </c>
      <c r="B284" t="s">
        <v>873</v>
      </c>
      <c r="C284" t="str">
        <f t="shared" si="28"/>
        <v>大阪府大阪市北区</v>
      </c>
      <c r="D284" s="2" t="str">
        <f t="shared" si="26"/>
        <v>http://geocode.csis.u-tokyo.ac.jp/cgi-bin/simple_geocode.cgi?charset=UTF8&amp;addr=%E5%A4%A7%E9%98%AA%E5%BA%9C%E5%A4%A7%E9%98%AA%E5%B8%82%E5%8C%97%E5%8C%BA</v>
      </c>
      <c r="E284" t="str">
        <f t="shared" si="27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284" cm="1">
        <f t="array" ref="F284">INDEX(_xlfn.FILTERXML(E284,"//latitude"),1)</f>
        <v>34.700561999999998</v>
      </c>
      <c r="G284" cm="1">
        <f t="array" ref="G284">INDEX(_xlfn.FILTERXML(E284,"//longitude"),1)</f>
        <v>135.497513</v>
      </c>
      <c r="H284">
        <v>34.700561999999998</v>
      </c>
      <c r="I284">
        <v>135.497513</v>
      </c>
    </row>
    <row r="285" spans="1:9" x14ac:dyDescent="0.4">
      <c r="A285" t="s">
        <v>9</v>
      </c>
      <c r="B285" t="s">
        <v>223</v>
      </c>
      <c r="C285" t="str">
        <f t="shared" si="28"/>
        <v>東京都世田谷区</v>
      </c>
      <c r="D285" s="2" t="str">
        <f t="shared" si="26"/>
        <v>http://geocode.csis.u-tokyo.ac.jp/cgi-bin/simple_geocode.cgi?charset=UTF8&amp;addr=%E6%9D%B1%E4%BA%AC%E9%83%BD%E4%B8%96%E7%94%B0%E8%B0%B7%E5%8C%BA</v>
      </c>
      <c r="E285" t="str">
        <f t="shared" si="27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285" cm="1">
        <f t="array" ref="F285">INDEX(_xlfn.FILTERXML(E285,"//latitude"),1)</f>
        <v>35.646481000000001</v>
      </c>
      <c r="G285" cm="1">
        <f t="array" ref="G285">INDEX(_xlfn.FILTERXML(E285,"//longitude"),1)</f>
        <v>139.65321399999999</v>
      </c>
      <c r="H285">
        <v>35.646481000000001</v>
      </c>
      <c r="I285">
        <v>139.65321399999999</v>
      </c>
    </row>
    <row r="286" spans="1:9" x14ac:dyDescent="0.4">
      <c r="A286" t="s">
        <v>9</v>
      </c>
      <c r="B286" t="s">
        <v>724</v>
      </c>
      <c r="C286" t="str">
        <f t="shared" si="28"/>
        <v>東京都千代田区麹町1丁目</v>
      </c>
      <c r="D286" s="2" t="str">
        <f t="shared" si="26"/>
        <v>http://geocode.csis.u-tokyo.ac.jp/cgi-bin/simple_geocode.cgi?charset=UTF8&amp;addr=%E6%9D%B1%E4%BA%AC%E9%83%BD%E5%8D%83%E4%BB%A3%E7%94%B0%E5%8C%BA%E9%BA%B9%E7%94%BA1%E4%B8%81%E7%9B%AE</v>
      </c>
      <c r="E286" t="str">
        <f t="shared" si="27"/>
        <v xml:space="preserve">&lt;?xml version="1.0" encoding="UTF-8" ?&gt;
&lt;results&gt;
&lt;query&gt;東京都千代田区麹町1丁目&lt;/query&gt;
&lt;geodetic&gt;wgs1984&lt;/geodetic&gt;
&lt;iConf&gt;5&lt;/iConf&gt;
&lt;converted&gt;東京都千代田区麹町1丁目&lt;/converted&gt;
&lt;candidate&gt;
&lt;address&gt;東京都/千代田区/麹町/一丁目&lt;/address&gt;
&lt;longitude&gt;139.742920&lt;/longitude&gt;
&lt;latitude&gt;35.684448&lt;/latitude&gt;
&lt;iLvl&gt;6&lt;/iLvl&gt;
&lt;/candidate&gt;
&lt;/results&gt;
</v>
      </c>
      <c r="F286" cm="1">
        <f t="array" ref="F286">INDEX(_xlfn.FILTERXML(E286,"//latitude"),1)</f>
        <v>35.684448000000003</v>
      </c>
      <c r="G286" cm="1">
        <f t="array" ref="G286">INDEX(_xlfn.FILTERXML(E286,"//longitude"),1)</f>
        <v>139.74292</v>
      </c>
      <c r="H286">
        <v>35.684448000000003</v>
      </c>
      <c r="I286">
        <v>139.74292</v>
      </c>
    </row>
    <row r="287" spans="1:9" x14ac:dyDescent="0.4">
      <c r="A287" t="s">
        <v>22</v>
      </c>
      <c r="B287" t="s">
        <v>874</v>
      </c>
      <c r="C287" t="str">
        <f t="shared" si="28"/>
        <v>群馬県安中市古屋</v>
      </c>
      <c r="D287" s="2" t="str">
        <f t="shared" si="26"/>
        <v>http://geocode.csis.u-tokyo.ac.jp/cgi-bin/simple_geocode.cgi?charset=UTF8&amp;addr=%E7%BE%A4%E9%A6%AC%E7%9C%8C%E5%AE%89%E4%B8%AD%E5%B8%82%E5%8F%A4%E5%B1%8B</v>
      </c>
      <c r="E287" t="str">
        <f t="shared" si="27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287" cm="1">
        <f t="array" ref="F287">INDEX(_xlfn.FILTERXML(E287,"//latitude"),1)</f>
        <v>36.325642000000002</v>
      </c>
      <c r="G287" cm="1">
        <f t="array" ref="G287">INDEX(_xlfn.FILTERXML(E287,"//longitude"),1)</f>
        <v>138.869675</v>
      </c>
      <c r="H287">
        <v>36.325642000000002</v>
      </c>
      <c r="I287">
        <v>138.869675</v>
      </c>
    </row>
    <row r="288" spans="1:9" x14ac:dyDescent="0.4">
      <c r="A288" t="s">
        <v>18</v>
      </c>
      <c r="B288" t="s">
        <v>238</v>
      </c>
      <c r="C288" t="str">
        <f t="shared" si="28"/>
        <v>千葉県習志野市津田沼</v>
      </c>
      <c r="D288" s="2" t="str">
        <f t="shared" si="26"/>
        <v>http://geocode.csis.u-tokyo.ac.jp/cgi-bin/simple_geocode.cgi?charset=UTF8&amp;addr=%E5%8D%83%E8%91%89%E7%9C%8C%E7%BF%92%E5%BF%97%E9%87%8E%E5%B8%82%E6%B4%A5%E7%94%B0%E6%B2%BC</v>
      </c>
      <c r="E288" t="str">
        <f t="shared" si="27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288" cm="1">
        <f t="array" ref="F288">INDEX(_xlfn.FILTERXML(E288,"//latitude"),1)</f>
        <v>35.689048999999997</v>
      </c>
      <c r="G288" cm="1">
        <f t="array" ref="G288">INDEX(_xlfn.FILTERXML(E288,"//longitude"),1)</f>
        <v>140.02499399999999</v>
      </c>
      <c r="H288">
        <v>35.689048999999997</v>
      </c>
      <c r="I288">
        <v>140.02499399999999</v>
      </c>
    </row>
    <row r="289" spans="1:9" x14ac:dyDescent="0.4">
      <c r="A289" t="s">
        <v>9</v>
      </c>
      <c r="B289" t="s">
        <v>875</v>
      </c>
      <c r="C289" t="str">
        <f t="shared" si="28"/>
        <v>東京都渋谷区桜丘町</v>
      </c>
      <c r="D289" s="2" t="str">
        <f t="shared" si="26"/>
        <v>http://geocode.csis.u-tokyo.ac.jp/cgi-bin/simple_geocode.cgi?charset=UTF8&amp;addr=%E6%9D%B1%E4%BA%AC%E9%83%BD%E6%B8%8B%E8%B0%B7%E5%8C%BA%E6%A1%9C%E4%B8%98%E7%94%BA</v>
      </c>
      <c r="E289" t="str">
        <f t="shared" si="27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289" cm="1">
        <f t="array" ref="F289">INDEX(_xlfn.FILTERXML(E289,"//latitude"),1)</f>
        <v>35.655642999999998</v>
      </c>
      <c r="G289" cm="1">
        <f t="array" ref="G289">INDEX(_xlfn.FILTERXML(E289,"//longitude"),1)</f>
        <v>139.700638</v>
      </c>
      <c r="H289">
        <v>35.655642999999998</v>
      </c>
      <c r="I289">
        <v>139.700638</v>
      </c>
    </row>
    <row r="290" spans="1:9" x14ac:dyDescent="0.4">
      <c r="A290" t="s">
        <v>160</v>
      </c>
      <c r="B290" t="s">
        <v>876</v>
      </c>
      <c r="C290" t="str">
        <f t="shared" si="28"/>
        <v>鳥取県鳥取市</v>
      </c>
      <c r="D290" s="2" t="str">
        <f t="shared" si="26"/>
        <v>http://geocode.csis.u-tokyo.ac.jp/cgi-bin/simple_geocode.cgi?charset=UTF8&amp;addr=%E9%B3%A5%E5%8F%96%E7%9C%8C%E9%B3%A5%E5%8F%96%E5%B8%82</v>
      </c>
      <c r="E290" t="str">
        <f t="shared" si="27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290" cm="1">
        <f t="array" ref="F290">INDEX(_xlfn.FILTERXML(E290,"//latitude"),1)</f>
        <v>35.501133000000003</v>
      </c>
      <c r="G290" cm="1">
        <f t="array" ref="G290">INDEX(_xlfn.FILTERXML(E290,"//longitude"),1)</f>
        <v>134.23509200000001</v>
      </c>
      <c r="H290">
        <v>35.501133000000003</v>
      </c>
      <c r="I290">
        <v>134.23509200000001</v>
      </c>
    </row>
    <row r="291" spans="1:9" x14ac:dyDescent="0.4">
      <c r="A291" t="s">
        <v>18</v>
      </c>
      <c r="B291" t="s">
        <v>877</v>
      </c>
      <c r="C291" t="str">
        <f t="shared" si="28"/>
        <v>千葉県市川市東菅野</v>
      </c>
      <c r="D291" s="2" t="str">
        <f t="shared" si="26"/>
        <v>http://geocode.csis.u-tokyo.ac.jp/cgi-bin/simple_geocode.cgi?charset=UTF8&amp;addr=%E5%8D%83%E8%91%89%E7%9C%8C%E5%B8%82%E5%B7%9D%E5%B8%82%E6%9D%B1%E8%8F%85%E9%87%8E</v>
      </c>
      <c r="E291" t="str">
        <f t="shared" si="27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291" cm="1">
        <f t="array" ref="F291">INDEX(_xlfn.FILTERXML(E291,"//latitude"),1)</f>
        <v>35.728287000000002</v>
      </c>
      <c r="G291" cm="1">
        <f t="array" ref="G291">INDEX(_xlfn.FILTERXML(E291,"//longitude"),1)</f>
        <v>139.930893</v>
      </c>
      <c r="H291">
        <v>35.728287000000002</v>
      </c>
      <c r="I291">
        <v>139.930893</v>
      </c>
    </row>
    <row r="292" spans="1:9" x14ac:dyDescent="0.4">
      <c r="A292" t="s">
        <v>204</v>
      </c>
      <c r="B292" t="s">
        <v>878</v>
      </c>
      <c r="C292" t="str">
        <f t="shared" si="28"/>
        <v>青森県八戸市</v>
      </c>
      <c r="D292" s="2" t="str">
        <f t="shared" si="26"/>
        <v>http://geocode.csis.u-tokyo.ac.jp/cgi-bin/simple_geocode.cgi?charset=UTF8&amp;addr=%E9%9D%92%E6%A3%AE%E7%9C%8C%E5%85%AB%E6%88%B8%E5%B8%82</v>
      </c>
      <c r="E292" t="str">
        <f t="shared" si="27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292" cm="1">
        <f t="array" ref="F292">INDEX(_xlfn.FILTERXML(E292,"//latitude"),1)</f>
        <v>40.512279999999997</v>
      </c>
      <c r="G292" cm="1">
        <f t="array" ref="G292">INDEX(_xlfn.FILTERXML(E292,"//longitude"),1)</f>
        <v>141.48840300000001</v>
      </c>
      <c r="H292">
        <v>40.512279999999997</v>
      </c>
      <c r="I292">
        <v>141.48840300000001</v>
      </c>
    </row>
    <row r="293" spans="1:9" x14ac:dyDescent="0.4">
      <c r="A293" t="s">
        <v>15</v>
      </c>
      <c r="B293" t="s">
        <v>879</v>
      </c>
      <c r="C293" t="str">
        <f t="shared" si="28"/>
        <v>兵庫県明石市大久保町</v>
      </c>
      <c r="D293" s="2" t="str">
        <f t="shared" si="26"/>
        <v>http://geocode.csis.u-tokyo.ac.jp/cgi-bin/simple_geocode.cgi?charset=UTF8&amp;addr=%E5%85%B5%E5%BA%AB%E7%9C%8C%E6%98%8E%E7%9F%B3%E5%B8%82%E5%A4%A7%E4%B9%85%E4%BF%9D%E7%94%BA</v>
      </c>
      <c r="E293" t="str">
        <f t="shared" si="27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293" cm="1">
        <f t="array" ref="F293">INDEX(_xlfn.FILTERXML(E293,"//latitude"),1)</f>
        <v>34.684348999999997</v>
      </c>
      <c r="G293" cm="1">
        <f t="array" ref="G293">INDEX(_xlfn.FILTERXML(E293,"//longitude"),1)</f>
        <v>134.93396000000001</v>
      </c>
      <c r="H293" s="3">
        <v>34.684348999999997</v>
      </c>
      <c r="I293" s="3">
        <v>134.93396000000001</v>
      </c>
    </row>
    <row r="294" spans="1:9" x14ac:dyDescent="0.4">
      <c r="A294" t="s">
        <v>9</v>
      </c>
      <c r="B294" t="s">
        <v>880</v>
      </c>
      <c r="C294" t="str">
        <f t="shared" si="28"/>
        <v>東京都江戸川区東葛西6</v>
      </c>
      <c r="D294" s="2" t="str">
        <f t="shared" si="26"/>
        <v>http://geocode.csis.u-tokyo.ac.jp/cgi-bin/simple_geocode.cgi?charset=UTF8&amp;addr=%E6%9D%B1%E4%BA%AC%E9%83%BD%E6%B1%9F%E6%88%B8%E5%B7%9D%E5%8C%BA%E6%9D%B1%E8%91%9B%E8%A5%BF6</v>
      </c>
      <c r="E294" t="str">
        <f t="shared" si="27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294" cm="1">
        <f t="array" ref="F294">INDEX(_xlfn.FILTERXML(E294,"//latitude"),1)</f>
        <v>35.661366000000001</v>
      </c>
      <c r="G294" cm="1">
        <f t="array" ref="G294">INDEX(_xlfn.FILTERXML(E294,"//longitude"),1)</f>
        <v>139.877365</v>
      </c>
      <c r="H294">
        <v>35.661366000000001</v>
      </c>
      <c r="I294">
        <v>139.877365</v>
      </c>
    </row>
    <row r="295" spans="1:9" x14ac:dyDescent="0.4">
      <c r="A295" t="s">
        <v>17</v>
      </c>
      <c r="B295" t="s">
        <v>881</v>
      </c>
      <c r="C295" t="str">
        <f t="shared" si="28"/>
        <v>愛知県知多郡南知多町</v>
      </c>
      <c r="D295" s="2" t="str">
        <f t="shared" si="26"/>
        <v>http://geocode.csis.u-tokyo.ac.jp/cgi-bin/simple_geocode.cgi?charset=UTF8&amp;addr=%E6%84%9B%E7%9F%A5%E7%9C%8C%E7%9F%A5%E5%A4%9A%E9%83%A1%E5%8D%97%E7%9F%A5%E5%A4%9A%E7%94%BA</v>
      </c>
      <c r="E295" t="str">
        <f t="shared" si="27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295" cm="1">
        <f t="array" ref="F295">INDEX(_xlfn.FILTERXML(E295,"//latitude"),1)</f>
        <v>34.715167999999998</v>
      </c>
      <c r="G295" cm="1">
        <f t="array" ref="G295">INDEX(_xlfn.FILTERXML(E295,"//longitude"),1)</f>
        <v>136.92993200000001</v>
      </c>
      <c r="H295">
        <v>34.715167999999998</v>
      </c>
      <c r="I295">
        <v>136.92993200000001</v>
      </c>
    </row>
    <row r="296" spans="1:9" x14ac:dyDescent="0.4">
      <c r="A296" t="s">
        <v>10</v>
      </c>
      <c r="B296" t="s">
        <v>882</v>
      </c>
      <c r="C296" t="str">
        <f t="shared" si="28"/>
        <v>神奈川県横浜市青葉区新石川</v>
      </c>
      <c r="D296" s="2" t="str">
        <f t="shared" si="26"/>
        <v>http://geocode.csis.u-tokyo.ac.jp/cgi-bin/simple_geocode.cgi?charset=UTF8&amp;addr=%E7%A5%9E%E5%A5%88%E5%B7%9D%E7%9C%8C%E6%A8%AA%E6%B5%9C%E5%B8%82%E9%9D%92%E8%91%89%E5%8C%BA%E6%96%B0%E7%9F%B3%E5%B7%9D</v>
      </c>
      <c r="E296" t="str">
        <f t="shared" si="27"/>
        <v xml:space="preserve">&lt;?xml version="1.0" encoding="UTF-8" ?&gt;
&lt;results&gt;
&lt;query&gt;神奈川県横浜市青葉区新石川&lt;/query&gt;
&lt;geodetic&gt;wgs1984&lt;/geodetic&gt;
&lt;iConf&gt;5&lt;/iConf&gt;
&lt;converted&gt;神奈川県横浜市青葉区新石川&lt;/converted&gt;
&lt;candidate&gt;
&lt;address&gt;神奈川県/横浜市/青葉区/新石川&lt;/address&gt;
&lt;longitude&gt;139.557877&lt;/longitude&gt;
&lt;latitude&gt;35.567936&lt;/latitude&gt;
&lt;iLvl&gt;5&lt;/iLvl&gt;
&lt;/candidate&gt;
&lt;/results&gt;
</v>
      </c>
      <c r="F296" cm="1">
        <f t="array" ref="F296">INDEX(_xlfn.FILTERXML(E296,"//latitude"),1)</f>
        <v>35.567936000000003</v>
      </c>
      <c r="G296" cm="1">
        <f t="array" ref="G296">INDEX(_xlfn.FILTERXML(E296,"//longitude"),1)</f>
        <v>139.55787699999999</v>
      </c>
      <c r="H296">
        <v>35.567936000000003</v>
      </c>
      <c r="I296">
        <v>139.55787699999999</v>
      </c>
    </row>
    <row r="297" spans="1:9" x14ac:dyDescent="0.4">
      <c r="A297" t="s">
        <v>10</v>
      </c>
      <c r="B297" t="s">
        <v>718</v>
      </c>
      <c r="C297" t="str">
        <f t="shared" si="28"/>
        <v>神奈川県川崎市高津区溝口</v>
      </c>
      <c r="D297" s="2" t="str">
        <f t="shared" si="26"/>
        <v>http://geocode.csis.u-tokyo.ac.jp/cgi-bin/simple_geocode.cgi?charset=UTF8&amp;addr=%E7%A5%9E%E5%A5%88%E5%B7%9D%E7%9C%8C%E5%B7%9D%E5%B4%8E%E5%B8%82%E9%AB%98%E6%B4%A5%E5%8C%BA%E6%BA%9D%E5%8F%A3</v>
      </c>
      <c r="E297" t="str">
        <f t="shared" si="27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297" cm="1">
        <f t="array" ref="F297">INDEX(_xlfn.FILTERXML(E297,"//latitude"),1)</f>
        <v>35.599800000000002</v>
      </c>
      <c r="G297" cm="1">
        <f t="array" ref="G297">INDEX(_xlfn.FILTERXML(E297,"//longitude"),1)</f>
        <v>139.61320499999999</v>
      </c>
      <c r="H297">
        <v>35.599800000000002</v>
      </c>
      <c r="I297">
        <v>139.61320499999999</v>
      </c>
    </row>
    <row r="298" spans="1:9" x14ac:dyDescent="0.4">
      <c r="A298" t="s">
        <v>9</v>
      </c>
      <c r="B298" t="s">
        <v>883</v>
      </c>
      <c r="C298" t="str">
        <f t="shared" si="28"/>
        <v>東京都世田谷区松原</v>
      </c>
      <c r="D298" s="2" t="str">
        <f t="shared" si="26"/>
        <v>http://geocode.csis.u-tokyo.ac.jp/cgi-bin/simple_geocode.cgi?charset=UTF8&amp;addr=%E6%9D%B1%E4%BA%AC%E9%83%BD%E4%B8%96%E7%94%B0%E8%B0%B7%E5%8C%BA%E6%9D%BE%E5%8E%9F</v>
      </c>
      <c r="E298" t="str">
        <f t="shared" si="27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298" cm="1">
        <f t="array" ref="F298">INDEX(_xlfn.FILTERXML(E298,"//latitude"),1)</f>
        <v>35.668163</v>
      </c>
      <c r="G298" cm="1">
        <f t="array" ref="G298">INDEX(_xlfn.FILTERXML(E298,"//longitude"),1)</f>
        <v>139.65330499999999</v>
      </c>
      <c r="H298">
        <v>35.668163</v>
      </c>
      <c r="I298">
        <v>139.65330499999999</v>
      </c>
    </row>
    <row r="299" spans="1:9" x14ac:dyDescent="0.4">
      <c r="A299" t="s">
        <v>17</v>
      </c>
      <c r="B299" t="s">
        <v>884</v>
      </c>
      <c r="C299" t="str">
        <f t="shared" si="28"/>
        <v>愛知県東海市荒尾町</v>
      </c>
      <c r="D299" s="2" t="str">
        <f t="shared" si="26"/>
        <v>http://geocode.csis.u-tokyo.ac.jp/cgi-bin/simple_geocode.cgi?charset=UTF8&amp;addr=%E6%84%9B%E7%9F%A5%E7%9C%8C%E6%9D%B1%E6%B5%B7%E5%B8%82%E8%8D%92%E5%B0%BE%E7%94%BA</v>
      </c>
      <c r="E299" t="str">
        <f t="shared" si="27"/>
        <v xml:space="preserve">&lt;?xml version="1.0" encoding="UTF-8" ?&gt;
&lt;results&gt;
&lt;query&gt;愛知県東海市荒尾町&lt;/query&gt;
&lt;geodetic&gt;wgs1984&lt;/geodetic&gt;
&lt;iConf&gt;5&lt;/iConf&gt;
&lt;converted&gt;愛知県東海市荒尾町&lt;/converted&gt;
&lt;candidate&gt;
&lt;address&gt;愛知県/東海市/荒尾町&lt;/address&gt;
&lt;longitude&gt;136.917496&lt;/longitude&gt;
&lt;latitude&gt;35.034973&lt;/latitude&gt;
&lt;iLvl&gt;5&lt;/iLvl&gt;
&lt;/candidate&gt;
&lt;/results&gt;
</v>
      </c>
      <c r="F299" cm="1">
        <f t="array" ref="F299">INDEX(_xlfn.FILTERXML(E299,"//latitude"),1)</f>
        <v>35.034973000000001</v>
      </c>
      <c r="G299" cm="1">
        <f t="array" ref="G299">INDEX(_xlfn.FILTERXML(E299,"//longitude"),1)</f>
        <v>136.917496</v>
      </c>
      <c r="H299">
        <v>35.034973000000001</v>
      </c>
      <c r="I299">
        <v>136.917496</v>
      </c>
    </row>
    <row r="300" spans="1:9" x14ac:dyDescent="0.4">
      <c r="A300" t="s">
        <v>9</v>
      </c>
      <c r="B300" t="s">
        <v>885</v>
      </c>
      <c r="C300" t="str">
        <f t="shared" si="28"/>
        <v>東京都大田区西六郷</v>
      </c>
      <c r="D300" s="2" t="str">
        <f t="shared" si="26"/>
        <v>http://geocode.csis.u-tokyo.ac.jp/cgi-bin/simple_geocode.cgi?charset=UTF8&amp;addr=%E6%9D%B1%E4%BA%AC%E9%83%BD%E5%A4%A7%E7%94%B0%E5%8C%BA%E8%A5%BF%E5%85%AD%E9%83%B7</v>
      </c>
      <c r="E300" t="str">
        <f t="shared" si="27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300" cm="1">
        <f t="array" ref="F300">INDEX(_xlfn.FILTERXML(E300,"//latitude"),1)</f>
        <v>35.553992999999998</v>
      </c>
      <c r="G300" cm="1">
        <f t="array" ref="G300">INDEX(_xlfn.FILTERXML(E300,"//longitude"),1)</f>
        <v>139.70808400000001</v>
      </c>
      <c r="H300">
        <v>35.553992999999998</v>
      </c>
      <c r="I300">
        <v>139.70808400000001</v>
      </c>
    </row>
    <row r="301" spans="1:9" x14ac:dyDescent="0.4">
      <c r="A301" t="s">
        <v>15</v>
      </c>
      <c r="B301" t="s">
        <v>886</v>
      </c>
      <c r="C301" t="str">
        <f t="shared" si="28"/>
        <v>兵庫県神戸市垂水区東舞子町</v>
      </c>
      <c r="D301" s="2" t="str">
        <f t="shared" si="26"/>
        <v>http://geocode.csis.u-tokyo.ac.jp/cgi-bin/simple_geocode.cgi?charset=UTF8&amp;addr=%E5%85%B5%E5%BA%AB%E7%9C%8C%E7%A5%9E%E6%88%B8%E5%B8%82%E5%9E%82%E6%B0%B4%E5%8C%BA%E6%9D%B1%E8%88%9E%E5%AD%90%E7%94%BA</v>
      </c>
      <c r="E301" t="str">
        <f t="shared" si="27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301" cm="1">
        <f t="array" ref="F301">INDEX(_xlfn.FILTERXML(E301,"//latitude"),1)</f>
        <v>34.632258999999998</v>
      </c>
      <c r="G301" cm="1">
        <f t="array" ref="G301">INDEX(_xlfn.FILTERXML(E301,"//longitude"),1)</f>
        <v>135.036224</v>
      </c>
      <c r="H301">
        <v>34.632258999999998</v>
      </c>
      <c r="I301">
        <v>135.036224</v>
      </c>
    </row>
    <row r="302" spans="1:9" x14ac:dyDescent="0.4">
      <c r="A302" t="s">
        <v>10</v>
      </c>
      <c r="B302" t="s">
        <v>116</v>
      </c>
      <c r="C302" t="str">
        <f t="shared" si="28"/>
        <v>神奈川県川崎市麻生区王禅寺西</v>
      </c>
      <c r="D302" s="2" t="str">
        <f t="shared" si="26"/>
        <v>http://geocode.csis.u-tokyo.ac.jp/cgi-bin/simple_geocode.cgi?charset=UTF8&amp;addr=%E7%A5%9E%E5%A5%88%E5%B7%9D%E7%9C%8C%E5%B7%9D%E5%B4%8E%E5%B8%82%E9%BA%BB%E7%94%9F%E5%8C%BA%E7%8E%8B%E7%A6%85%E5%AF%BA%E8%A5%BF</v>
      </c>
      <c r="E302" t="str">
        <f t="shared" si="27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302" cm="1">
        <f t="array" ref="F302">INDEX(_xlfn.FILTERXML(E302,"//latitude"),1)</f>
        <v>35.599411000000003</v>
      </c>
      <c r="G302" cm="1">
        <f t="array" ref="G302">INDEX(_xlfn.FILTERXML(E302,"//longitude"),1)</f>
        <v>139.51391599999999</v>
      </c>
      <c r="H302">
        <v>35.599411000000003</v>
      </c>
      <c r="I302">
        <v>139.51391599999999</v>
      </c>
    </row>
    <row r="303" spans="1:9" x14ac:dyDescent="0.4">
      <c r="A303" t="s">
        <v>18</v>
      </c>
      <c r="B303" t="s">
        <v>887</v>
      </c>
      <c r="C303" t="str">
        <f t="shared" si="28"/>
        <v>千葉県船橋市三咲</v>
      </c>
      <c r="D303" s="2" t="str">
        <f t="shared" si="26"/>
        <v>http://geocode.csis.u-tokyo.ac.jp/cgi-bin/simple_geocode.cgi?charset=UTF8&amp;addr=%E5%8D%83%E8%91%89%E7%9C%8C%E8%88%B9%E6%A9%8B%E5%B8%82%E4%B8%89%E5%92%B2</v>
      </c>
      <c r="E303" t="str">
        <f t="shared" si="27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303" cm="1">
        <f t="array" ref="F303">INDEX(_xlfn.FILTERXML(E303,"//latitude"),1)</f>
        <v>35.744292999999999</v>
      </c>
      <c r="G303" cm="1">
        <f t="array" ref="G303">INDEX(_xlfn.FILTERXML(E303,"//longitude"),1)</f>
        <v>140.02825899999999</v>
      </c>
      <c r="H303">
        <v>35.744292999999999</v>
      </c>
      <c r="I303">
        <v>140.02825899999999</v>
      </c>
    </row>
    <row r="304" spans="1:9" x14ac:dyDescent="0.4">
      <c r="A304" t="s">
        <v>11</v>
      </c>
      <c r="B304" t="s">
        <v>888</v>
      </c>
      <c r="C304" t="str">
        <f t="shared" si="28"/>
        <v>大阪府大阪市東住吉区西今川</v>
      </c>
      <c r="D304" s="2" t="str">
        <f t="shared" si="26"/>
        <v>http://geocode.csis.u-tokyo.ac.jp/cgi-bin/simple_geocode.cgi?charset=UTF8&amp;addr=%E5%A4%A7%E9%98%AA%E5%BA%9C%E5%A4%A7%E9%98%AA%E5%B8%82%E6%9D%B1%E4%BD%8F%E5%90%89%E5%8C%BA%E8%A5%BF%E4%BB%8A%E5%B7%9D</v>
      </c>
      <c r="E304" t="str">
        <f t="shared" si="27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304" cm="1">
        <f t="array" ref="F304">INDEX(_xlfn.FILTERXML(E304,"//latitude"),1)</f>
        <v>34.63261</v>
      </c>
      <c r="G304" cm="1">
        <f t="array" ref="G304">INDEX(_xlfn.FILTERXML(E304,"//longitude"),1)</f>
        <v>135.53299000000001</v>
      </c>
      <c r="H304">
        <v>34.63261</v>
      </c>
      <c r="I304">
        <v>135.53299000000001</v>
      </c>
    </row>
    <row r="305" spans="1:9" x14ac:dyDescent="0.4">
      <c r="A305" t="s">
        <v>13</v>
      </c>
      <c r="B305" t="s">
        <v>889</v>
      </c>
      <c r="C305" t="str">
        <f t="shared" si="28"/>
        <v>埼玉県さいたま市南区文蔵５丁目</v>
      </c>
      <c r="D305" s="2" t="str">
        <f t="shared" si="26"/>
        <v>http://geocode.csis.u-tokyo.ac.jp/cgi-bin/simple_geocode.cgi?charset=UTF8&amp;addr=%E5%9F%BC%E7%8E%89%E7%9C%8C%E3%81%95%E3%81%84%E3%81%9F%E3%81%BE%E5%B8%82%E5%8D%97%E5%8C%BA%E6%96%87%E8%94%B5%EF%BC%95%E4%B8%81%E7%9B%AE</v>
      </c>
      <c r="E305" t="str">
        <f t="shared" si="27"/>
        <v xml:space="preserve">&lt;?xml version="1.0" encoding="UTF-8" ?&gt;
&lt;results&gt;
&lt;query&gt;埼玉県さいたま市南区文蔵５丁目&lt;/query&gt;
&lt;geodetic&gt;wgs1984&lt;/geodetic&gt;
&lt;iConf&gt;5&lt;/iConf&gt;
&lt;converted&gt;埼玉県さいたま市南区文蔵５丁目&lt;/converted&gt;
&lt;candidate&gt;
&lt;address&gt;埼玉県/さいたま市/南区/文蔵/五丁目&lt;/address&gt;
&lt;longitude&gt;139.673828&lt;/longitude&gt;
&lt;latitude&gt;35.834953&lt;/latitude&gt;
&lt;iLvl&gt;6&lt;/iLvl&gt;
&lt;/candidate&gt;
&lt;/results&gt;
</v>
      </c>
      <c r="F305" cm="1">
        <f t="array" ref="F305">INDEX(_xlfn.FILTERXML(E305,"//latitude"),1)</f>
        <v>35.834952999999999</v>
      </c>
      <c r="G305" cm="1">
        <f t="array" ref="G305">INDEX(_xlfn.FILTERXML(E305,"//longitude"),1)</f>
        <v>139.67382799999999</v>
      </c>
      <c r="H305">
        <v>35.834952999999999</v>
      </c>
      <c r="I305">
        <v>139.67382799999999</v>
      </c>
    </row>
    <row r="306" spans="1:9" x14ac:dyDescent="0.4">
      <c r="A306" t="s">
        <v>42</v>
      </c>
      <c r="B306" t="s">
        <v>890</v>
      </c>
      <c r="C306" t="str">
        <f t="shared" si="28"/>
        <v>富山県富山市婦中町砂子田</v>
      </c>
      <c r="D306" s="2" t="str">
        <f t="shared" si="26"/>
        <v>http://geocode.csis.u-tokyo.ac.jp/cgi-bin/simple_geocode.cgi?charset=UTF8&amp;addr=%E5%AF%8C%E5%B1%B1%E7%9C%8C%E5%AF%8C%E5%B1%B1%E5%B8%82%E5%A9%A6%E4%B8%AD%E7%94%BA%E7%A0%82%E5%AD%90%E7%94%B0</v>
      </c>
      <c r="E306" t="str">
        <f t="shared" si="27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306" cm="1">
        <f t="array" ref="F306">INDEX(_xlfn.FILTERXML(E306,"//latitude"),1)</f>
        <v>36.653056999999997</v>
      </c>
      <c r="G306" cm="1">
        <f t="array" ref="G306">INDEX(_xlfn.FILTERXML(E306,"//longitude"),1)</f>
        <v>137.16297900000001</v>
      </c>
      <c r="H306">
        <v>36.653056999999997</v>
      </c>
      <c r="I306">
        <v>137.16297900000001</v>
      </c>
    </row>
    <row r="307" spans="1:9" x14ac:dyDescent="0.4">
      <c r="A307" t="s">
        <v>18</v>
      </c>
      <c r="B307" t="s">
        <v>891</v>
      </c>
      <c r="C307" t="str">
        <f t="shared" si="28"/>
        <v>千葉県船橋市金杉台</v>
      </c>
      <c r="D307" s="2" t="str">
        <f t="shared" si="26"/>
        <v>http://geocode.csis.u-tokyo.ac.jp/cgi-bin/simple_geocode.cgi?charset=UTF8&amp;addr=%E5%8D%83%E8%91%89%E7%9C%8C%E8%88%B9%E6%A9%8B%E5%B8%82%E9%87%91%E6%9D%89%E5%8F%B0</v>
      </c>
      <c r="E307" t="str">
        <f t="shared" si="27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307" cm="1">
        <f t="array" ref="F307">INDEX(_xlfn.FILTERXML(E307,"//latitude"),1)</f>
        <v>35.736229000000002</v>
      </c>
      <c r="G307" cm="1">
        <f t="array" ref="G307">INDEX(_xlfn.FILTERXML(E307,"//longitude"),1)</f>
        <v>140.010513</v>
      </c>
      <c r="H307">
        <v>35.736229000000002</v>
      </c>
      <c r="I307">
        <v>140.010513</v>
      </c>
    </row>
    <row r="308" spans="1:9" x14ac:dyDescent="0.4">
      <c r="A308" t="s">
        <v>10</v>
      </c>
      <c r="B308" t="s">
        <v>892</v>
      </c>
      <c r="C308" t="str">
        <f t="shared" si="28"/>
        <v>神奈川県横浜市鶴見区東寺尾</v>
      </c>
      <c r="D308" s="2" t="str">
        <f t="shared" si="26"/>
        <v>http://geocode.csis.u-tokyo.ac.jp/cgi-bin/simple_geocode.cgi?charset=UTF8&amp;addr=%E7%A5%9E%E5%A5%88%E5%B7%9D%E7%9C%8C%E6%A8%AA%E6%B5%9C%E5%B8%82%E9%B6%B4%E8%A6%8B%E5%8C%BA%E6%9D%B1%E5%AF%BA%E5%B0%BE</v>
      </c>
      <c r="E308" t="str">
        <f t="shared" si="27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308" cm="1">
        <f t="array" ref="F308">INDEX(_xlfn.FILTERXML(E308,"//latitude"),1)</f>
        <v>35.502662999999998</v>
      </c>
      <c r="G308" cm="1">
        <f t="array" ref="G308">INDEX(_xlfn.FILTERXML(E308,"//longitude"),1)</f>
        <v>139.64917</v>
      </c>
      <c r="H308">
        <v>35.502662999999998</v>
      </c>
      <c r="I308">
        <v>139.64917</v>
      </c>
    </row>
    <row r="309" spans="1:9" x14ac:dyDescent="0.4">
      <c r="A309" t="s">
        <v>9</v>
      </c>
      <c r="B309" t="s">
        <v>893</v>
      </c>
      <c r="C309" t="str">
        <f t="shared" si="28"/>
        <v>東京都武蔵野市八幡町</v>
      </c>
      <c r="D309" s="2" t="str">
        <f t="shared" si="26"/>
        <v>http://geocode.csis.u-tokyo.ac.jp/cgi-bin/simple_geocode.cgi?charset=UTF8&amp;addr=%E6%9D%B1%E4%BA%AC%E9%83%BD%E6%AD%A6%E8%94%B5%E9%87%8E%E5%B8%82%E5%85%AB%E5%B9%A1%E7%94%BA</v>
      </c>
      <c r="E309" t="str">
        <f t="shared" si="27"/>
        <v xml:space="preserve">&lt;?xml version="1.0" encoding="UTF-8" ?&gt;
&lt;results&gt;
&lt;query&gt;東京都武蔵野市八幡町&lt;/query&gt;
&lt;geodetic&gt;wgs1984&lt;/geodetic&gt;
&lt;iConf&gt;5&lt;/iConf&gt;
&lt;converted&gt;東京都武蔵野市八幡町&lt;/converted&gt;
&lt;candidate&gt;
&lt;address&gt;東京都/武蔵野市/八幡町&lt;/address&gt;
&lt;longitude&gt;139.556534&lt;/longitude&gt;
&lt;latitude&gt;35.715908&lt;/latitude&gt;
&lt;iLvl&gt;5&lt;/iLvl&gt;
&lt;/candidate&gt;
&lt;/results&gt;
</v>
      </c>
      <c r="F309" cm="1">
        <f t="array" ref="F309">INDEX(_xlfn.FILTERXML(E309,"//latitude"),1)</f>
        <v>35.715907999999999</v>
      </c>
      <c r="G309" cm="1">
        <f t="array" ref="G309">INDEX(_xlfn.FILTERXML(E309,"//longitude"),1)</f>
        <v>139.556534</v>
      </c>
      <c r="H309">
        <v>35.715907999999999</v>
      </c>
      <c r="I309">
        <v>139.556534</v>
      </c>
    </row>
    <row r="310" spans="1:9" x14ac:dyDescent="0.4">
      <c r="A310" t="s">
        <v>16</v>
      </c>
      <c r="B310" t="s">
        <v>894</v>
      </c>
      <c r="C310" t="str">
        <f t="shared" si="28"/>
        <v>長野県松本市島内</v>
      </c>
      <c r="D310" s="2" t="str">
        <f t="shared" si="26"/>
        <v>http://geocode.csis.u-tokyo.ac.jp/cgi-bin/simple_geocode.cgi?charset=UTF8&amp;addr=%E9%95%B7%E9%87%8E%E7%9C%8C%E6%9D%BE%E6%9C%AC%E5%B8%82%E5%B3%B6%E5%86%85</v>
      </c>
      <c r="E310" t="str">
        <f t="shared" si="27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310" cm="1">
        <f t="array" ref="F310">INDEX(_xlfn.FILTERXML(E310,"//latitude"),1)</f>
        <v>36.260956</v>
      </c>
      <c r="G310" cm="1">
        <f t="array" ref="G310">INDEX(_xlfn.FILTERXML(E310,"//longitude"),1)</f>
        <v>137.94099399999999</v>
      </c>
      <c r="H310">
        <v>36.260956</v>
      </c>
      <c r="I310">
        <v>137.94099399999999</v>
      </c>
    </row>
    <row r="311" spans="1:9" x14ac:dyDescent="0.4">
      <c r="A311" t="s">
        <v>10</v>
      </c>
      <c r="B311" t="s">
        <v>895</v>
      </c>
      <c r="C311" t="str">
        <f t="shared" si="28"/>
        <v>神奈川県中郡大磯町東小磯</v>
      </c>
      <c r="D311" s="2" t="str">
        <f t="shared" si="26"/>
        <v>http://geocode.csis.u-tokyo.ac.jp/cgi-bin/simple_geocode.cgi?charset=UTF8&amp;addr=%E7%A5%9E%E5%A5%88%E5%B7%9D%E7%9C%8C%E4%B8%AD%E9%83%A1%E5%A4%A7%E7%A3%AF%E7%94%BA%E6%9D%B1%E5%B0%8F%E7%A3%AF</v>
      </c>
      <c r="E311" t="str">
        <f t="shared" si="27"/>
        <v xml:space="preserve">&lt;?xml version="1.0" encoding="UTF-8" ?&gt;
&lt;results&gt;
&lt;query&gt;神奈川県中郡大磯町東小磯&lt;/query&gt;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311" cm="1">
        <f t="array" ref="F311">INDEX(_xlfn.FILTERXML(E311,"//latitude"),1)</f>
        <v>35.313178999999998</v>
      </c>
      <c r="G311" cm="1">
        <f t="array" ref="G311">INDEX(_xlfn.FILTERXML(E311,"//longitude"),1)</f>
        <v>139.30728099999999</v>
      </c>
      <c r="H311">
        <v>35.313178999999998</v>
      </c>
      <c r="I311">
        <v>139.30728099999999</v>
      </c>
    </row>
    <row r="312" spans="1:9" x14ac:dyDescent="0.4">
      <c r="A312" t="s">
        <v>21</v>
      </c>
      <c r="B312" t="s">
        <v>896</v>
      </c>
      <c r="C312" t="str">
        <f t="shared" si="28"/>
        <v>福岡県福岡市早良区高取1丁目</v>
      </c>
      <c r="D312" s="2" t="str">
        <f t="shared" si="26"/>
        <v>http://geocode.csis.u-tokyo.ac.jp/cgi-bin/simple_geocode.cgi?charset=UTF8&amp;addr=%E7%A6%8F%E5%B2%A1%E7%9C%8C%E7%A6%8F%E5%B2%A1%E5%B8%82%E6%97%A9%E8%89%AF%E5%8C%BA%E9%AB%98%E5%8F%961%E4%B8%81%E7%9B%AE</v>
      </c>
      <c r="E312" t="str">
        <f t="shared" si="27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312" cm="1">
        <f t="array" ref="F312">INDEX(_xlfn.FILTERXML(E312,"//latitude"),1)</f>
        <v>33.579819000000001</v>
      </c>
      <c r="G312" cm="1">
        <f t="array" ref="G312">INDEX(_xlfn.FILTERXML(E312,"//longitude"),1)</f>
        <v>130.352814</v>
      </c>
      <c r="H312">
        <v>33.579819000000001</v>
      </c>
      <c r="I312">
        <v>130.352814</v>
      </c>
    </row>
    <row r="313" spans="1:9" x14ac:dyDescent="0.4">
      <c r="A313" t="s">
        <v>9</v>
      </c>
      <c r="B313" t="s">
        <v>205</v>
      </c>
      <c r="C313" t="str">
        <f t="shared" si="28"/>
        <v>東京都杉並区</v>
      </c>
      <c r="D313" s="2" t="str">
        <f t="shared" si="26"/>
        <v>http://geocode.csis.u-tokyo.ac.jp/cgi-bin/simple_geocode.cgi?charset=UTF8&amp;addr=%E6%9D%B1%E4%BA%AC%E9%83%BD%E6%9D%89%E4%B8%A6%E5%8C%BA</v>
      </c>
      <c r="E313" t="str">
        <f t="shared" si="27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313" cm="1">
        <f t="array" ref="F313">INDEX(_xlfn.FILTERXML(E313,"//latitude"),1)</f>
        <v>35.699547000000003</v>
      </c>
      <c r="G313" cm="1">
        <f t="array" ref="G313">INDEX(_xlfn.FILTERXML(E313,"//longitude"),1)</f>
        <v>139.636414</v>
      </c>
      <c r="H313">
        <v>35.699547000000003</v>
      </c>
      <c r="I313">
        <v>139.636414</v>
      </c>
    </row>
    <row r="314" spans="1:9" x14ac:dyDescent="0.4">
      <c r="A314" t="s">
        <v>10</v>
      </c>
      <c r="B314" t="s">
        <v>897</v>
      </c>
      <c r="C314" t="str">
        <f t="shared" si="28"/>
        <v>神奈川県横浜市保土ケ谷区星川</v>
      </c>
      <c r="D314" s="2" t="str">
        <f t="shared" si="26"/>
        <v>http://geocode.csis.u-tokyo.ac.jp/cgi-bin/simple_geocode.cgi?charset=UTF8&amp;addr=%E7%A5%9E%E5%A5%88%E5%B7%9D%E7%9C%8C%E6%A8%AA%E6%B5%9C%E5%B8%82%E4%BF%9D%E5%9C%9F%E3%82%B1%E8%B0%B7%E5%8C%BA%E6%98%9F%E5%B7%9D</v>
      </c>
      <c r="E314" t="str">
        <f t="shared" si="27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314" cm="1">
        <f t="array" ref="F314">INDEX(_xlfn.FILTERXML(E314,"//latitude"),1)</f>
        <v>35.457146000000002</v>
      </c>
      <c r="G314" cm="1">
        <f t="array" ref="G314">INDEX(_xlfn.FILTERXML(E314,"//longitude"),1)</f>
        <v>139.59454299999999</v>
      </c>
      <c r="H314">
        <v>35.457146000000002</v>
      </c>
      <c r="I314">
        <v>139.59454299999999</v>
      </c>
    </row>
    <row r="315" spans="1:9" x14ac:dyDescent="0.4">
      <c r="A315" t="s">
        <v>9</v>
      </c>
      <c r="B315" t="s">
        <v>898</v>
      </c>
      <c r="C315" t="str">
        <f t="shared" si="28"/>
        <v>東京都中野区南台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http://geocode.csis.u-tokyo.ac.jp/cgi-bin/simple_geocode.cgi?charset=UTF8&amp;addr=%E6%9D%B1%E4%BA%AC%E9%83%BD%E4%B8%AD%E9%87%8E%E5%8C%BA%E5%8D%97%E5%8F%B0</v>
      </c>
      <c r="E315" t="str">
        <f t="shared" ref="E315:E378" si="30" xml:space="preserve"> _xlfn.WEBSERVICE(D315)</f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315" cm="1">
        <f t="array" ref="F315">INDEX(_xlfn.FILTERXML(E315,"//latitude"),1)</f>
        <v>35.685538999999999</v>
      </c>
      <c r="G315" cm="1">
        <f t="array" ref="G315">INDEX(_xlfn.FILTERXML(E315,"//longitude"),1)</f>
        <v>139.67417900000001</v>
      </c>
      <c r="H315">
        <v>35.685538999999999</v>
      </c>
      <c r="I315">
        <v>139.67417900000001</v>
      </c>
    </row>
    <row r="316" spans="1:9" x14ac:dyDescent="0.4">
      <c r="A316" t="s">
        <v>17</v>
      </c>
      <c r="B316" t="s">
        <v>899</v>
      </c>
      <c r="C316" t="str">
        <f t="shared" si="28"/>
        <v>愛知県稲沢市祖父江町山崎中屋敷</v>
      </c>
      <c r="D316" s="2" t="str">
        <f t="shared" si="29"/>
        <v>http://geocode.csis.u-tokyo.ac.jp/cgi-bin/simple_geocode.cgi?charset=UTF8&amp;addr=%E6%84%9B%E7%9F%A5%E7%9C%8C%E7%A8%B2%E6%B2%A2%E5%B8%82%E7%A5%96%E7%88%B6%E6%B1%9F%E7%94%BA%E5%B1%B1%E5%B4%8E%E4%B8%AD%E5%B1%8B%E6%95%B7</v>
      </c>
      <c r="E316" t="str">
        <f t="shared" si="30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316" cm="1">
        <f t="array" ref="F316">INDEX(_xlfn.FILTERXML(E316,"//latitude"),1)</f>
        <v>35.258277999999997</v>
      </c>
      <c r="G316" cm="1">
        <f t="array" ref="G316">INDEX(_xlfn.FILTERXML(E316,"//longitude"),1)</f>
        <v>136.735535</v>
      </c>
      <c r="H316">
        <v>35.258277999999997</v>
      </c>
      <c r="I316">
        <v>136.735535</v>
      </c>
    </row>
    <row r="317" spans="1:9" x14ac:dyDescent="0.4">
      <c r="A317" t="s">
        <v>11</v>
      </c>
      <c r="B317" t="s">
        <v>577</v>
      </c>
      <c r="C317" t="str">
        <f t="shared" si="28"/>
        <v>大阪府豊中市緑丘</v>
      </c>
      <c r="D317" s="2" t="str">
        <f t="shared" si="29"/>
        <v>http://geocode.csis.u-tokyo.ac.jp/cgi-bin/simple_geocode.cgi?charset=UTF8&amp;addr=%E5%A4%A7%E9%98%AA%E5%BA%9C%E8%B1%8A%E4%B8%AD%E5%B8%82%E7%B7%91%E4%B8%98</v>
      </c>
      <c r="E317" t="str">
        <f t="shared" si="30"/>
        <v xml:space="preserve">&lt;?xml version="1.0" encoding="UTF-8" ?&gt;
&lt;results&gt;
&lt;query&gt;大阪府豊中市緑丘&lt;/query&gt;
&lt;geodetic&gt;wgs1984&lt;/geodetic&gt;
&lt;iConf&gt;5&lt;/iConf&gt;
&lt;converted&gt;大阪府豊中市緑丘&lt;/converted&gt;
&lt;candidate&gt;
&lt;address&gt;大阪府/豊中市/緑丘&lt;/address&gt;
&lt;longitude&gt;135.479141&lt;/longitude&gt;
&lt;latitude&gt;34.808186&lt;/latitude&gt;
&lt;iLvl&gt;5&lt;/iLvl&gt;
&lt;/candidate&gt;
&lt;/results&gt;
</v>
      </c>
      <c r="F317" cm="1">
        <f t="array" ref="F317">INDEX(_xlfn.FILTERXML(E317,"//latitude"),1)</f>
        <v>34.808185999999999</v>
      </c>
      <c r="G317" cm="1">
        <f t="array" ref="G317">INDEX(_xlfn.FILTERXML(E317,"//longitude"),1)</f>
        <v>135.479141</v>
      </c>
      <c r="H317">
        <v>34.808185999999999</v>
      </c>
      <c r="I317">
        <v>135.479141</v>
      </c>
    </row>
    <row r="318" spans="1:9" x14ac:dyDescent="0.4">
      <c r="A318" t="s">
        <v>11</v>
      </c>
      <c r="B318" t="s">
        <v>69</v>
      </c>
      <c r="C318" t="str">
        <f t="shared" si="28"/>
        <v>大阪府茨木市</v>
      </c>
      <c r="D318" s="2" t="str">
        <f t="shared" si="29"/>
        <v>http://geocode.csis.u-tokyo.ac.jp/cgi-bin/simple_geocode.cgi?charset=UTF8&amp;addr=%E5%A4%A7%E9%98%AA%E5%BA%9C%E8%8C%A8%E6%9C%A8%E5%B8%82</v>
      </c>
      <c r="E318" t="str">
        <f t="shared" si="30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318" cm="1">
        <f t="array" ref="F318">INDEX(_xlfn.FILTERXML(E318,"//latitude"),1)</f>
        <v>34.816153999999997</v>
      </c>
      <c r="G318" cm="1">
        <f t="array" ref="G318">INDEX(_xlfn.FILTERXML(E318,"//longitude"),1)</f>
        <v>135.56849700000001</v>
      </c>
      <c r="H318">
        <v>34.816153999999997</v>
      </c>
      <c r="I318">
        <v>135.56849700000001</v>
      </c>
    </row>
    <row r="319" spans="1:9" x14ac:dyDescent="0.4">
      <c r="A319" t="s">
        <v>9</v>
      </c>
      <c r="B319" t="s">
        <v>900</v>
      </c>
      <c r="C319" t="str">
        <f t="shared" si="28"/>
        <v>東京都新宿区高田馬場</v>
      </c>
      <c r="D319" s="2" t="str">
        <f t="shared" si="29"/>
        <v>http://geocode.csis.u-tokyo.ac.jp/cgi-bin/simple_geocode.cgi?charset=UTF8&amp;addr=%E6%9D%B1%E4%BA%AC%E9%83%BD%E6%96%B0%E5%AE%BF%E5%8C%BA%E9%AB%98%E7%94%B0%E9%A6%AC%E5%A0%B4</v>
      </c>
      <c r="E319" t="str">
        <f t="shared" si="30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319" cm="1">
        <f t="array" ref="F319">INDEX(_xlfn.FILTERXML(E319,"//latitude"),1)</f>
        <v>35.710979000000002</v>
      </c>
      <c r="G319" cm="1">
        <f t="array" ref="G319">INDEX(_xlfn.FILTERXML(E319,"//longitude"),1)</f>
        <v>139.70642100000001</v>
      </c>
      <c r="H319">
        <v>35.710979000000002</v>
      </c>
      <c r="I319">
        <v>139.70642100000001</v>
      </c>
    </row>
    <row r="320" spans="1:9" x14ac:dyDescent="0.4">
      <c r="A320" t="s">
        <v>26</v>
      </c>
      <c r="B320" t="s">
        <v>901</v>
      </c>
      <c r="C320" t="str">
        <f t="shared" si="28"/>
        <v>京都府八幡市男山金振</v>
      </c>
      <c r="D320" s="2" t="str">
        <f t="shared" si="29"/>
        <v>http://geocode.csis.u-tokyo.ac.jp/cgi-bin/simple_geocode.cgi?charset=UTF8&amp;addr=%E4%BA%AC%E9%83%BD%E5%BA%9C%E5%85%AB%E5%B9%A1%E5%B8%82%E7%94%B7%E5%B1%B1%E9%87%91%E6%8C%AF</v>
      </c>
      <c r="E320" t="str">
        <f t="shared" si="30"/>
        <v xml:space="preserve">&lt;?xml version="1.0" encoding="UTF-8" ?&gt;
&lt;results&gt;
&lt;query&gt;京都府八幡市男山金振&lt;/query&gt;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320" cm="1">
        <f t="array" ref="F320">INDEX(_xlfn.FILTERXML(E320,"//latitude"),1)</f>
        <v>34.857452000000002</v>
      </c>
      <c r="G320" cm="1">
        <f t="array" ref="G320">INDEX(_xlfn.FILTERXML(E320,"//longitude"),1)</f>
        <v>135.69278</v>
      </c>
      <c r="H320">
        <v>34.857452000000002</v>
      </c>
      <c r="I320">
        <v>135.69278</v>
      </c>
    </row>
    <row r="321" spans="1:9" x14ac:dyDescent="0.4">
      <c r="A321" t="s">
        <v>10</v>
      </c>
      <c r="B321" t="s">
        <v>239</v>
      </c>
      <c r="C321" t="str">
        <f t="shared" si="28"/>
        <v>神奈川県大和市中央林間</v>
      </c>
      <c r="D321" s="2" t="str">
        <f t="shared" si="29"/>
        <v>http://geocode.csis.u-tokyo.ac.jp/cgi-bin/simple_geocode.cgi?charset=UTF8&amp;addr=%E7%A5%9E%E5%A5%88%E5%B7%9D%E7%9C%8C%E5%A4%A7%E5%92%8C%E5%B8%82%E4%B8%AD%E5%A4%AE%E6%9E%97%E9%96%93</v>
      </c>
      <c r="E321" t="str">
        <f t="shared" si="30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321" cm="1">
        <f t="array" ref="F321">INDEX(_xlfn.FILTERXML(E321,"//latitude"),1)</f>
        <v>35.503287999999998</v>
      </c>
      <c r="G321" cm="1">
        <f t="array" ref="G321">INDEX(_xlfn.FILTERXML(E321,"//longitude"),1)</f>
        <v>139.44250500000001</v>
      </c>
      <c r="H321">
        <v>35.503287999999998</v>
      </c>
      <c r="I321">
        <v>139.44250500000001</v>
      </c>
    </row>
    <row r="322" spans="1:9" x14ac:dyDescent="0.4">
      <c r="A322" t="s">
        <v>17</v>
      </c>
      <c r="B322" t="s">
        <v>902</v>
      </c>
      <c r="C322" t="str">
        <f t="shared" si="28"/>
        <v>愛知県名古屋市中川区富永３丁目</v>
      </c>
      <c r="D322" s="2" t="str">
        <f t="shared" si="29"/>
        <v>http://geocode.csis.u-tokyo.ac.jp/cgi-bin/simple_geocode.cgi?charset=UTF8&amp;addr=%E6%84%9B%E7%9F%A5%E7%9C%8C%E5%90%8D%E5%8F%A4%E5%B1%8B%E5%B8%82%E4%B8%AD%E5%B7%9D%E5%8C%BA%E5%AF%8C%E6%B0%B8%EF%BC%93%E4%B8%81%E7%9B%AE</v>
      </c>
      <c r="E322" t="str">
        <f t="shared" si="30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322" cm="1">
        <f t="array" ref="F322">INDEX(_xlfn.FILTERXML(E322,"//latitude"),1)</f>
        <v>35.122886999999999</v>
      </c>
      <c r="G322" cm="1">
        <f t="array" ref="G322">INDEX(_xlfn.FILTERXML(E322,"//longitude"),1)</f>
        <v>136.807602</v>
      </c>
      <c r="H322">
        <v>35.122886999999999</v>
      </c>
      <c r="I322">
        <v>136.807602</v>
      </c>
    </row>
    <row r="323" spans="1:9" x14ac:dyDescent="0.4">
      <c r="A323" t="s">
        <v>9</v>
      </c>
      <c r="B323" t="s">
        <v>903</v>
      </c>
      <c r="C323" t="str">
        <f t="shared" ref="C323:C386" si="31">+A323&amp;B323</f>
        <v>東京都東大和市狭山</v>
      </c>
      <c r="D323" s="2" t="str">
        <f t="shared" si="29"/>
        <v>http://geocode.csis.u-tokyo.ac.jp/cgi-bin/simple_geocode.cgi?charset=UTF8&amp;addr=%E6%9D%B1%E4%BA%AC%E9%83%BD%E6%9D%B1%E5%A4%A7%E5%92%8C%E5%B8%82%E7%8B%AD%E5%B1%B1</v>
      </c>
      <c r="E323" t="str">
        <f t="shared" si="30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323" cm="1">
        <f t="array" ref="F323">INDEX(_xlfn.FILTERXML(E323,"//latitude"),1)</f>
        <v>35.759354000000002</v>
      </c>
      <c r="G323" cm="1">
        <f t="array" ref="G323">INDEX(_xlfn.FILTERXML(E323,"//longitude"),1)</f>
        <v>139.436981</v>
      </c>
      <c r="H323">
        <v>35.759354000000002</v>
      </c>
      <c r="I323">
        <v>139.436981</v>
      </c>
    </row>
    <row r="324" spans="1:9" x14ac:dyDescent="0.4">
      <c r="A324" t="s">
        <v>37</v>
      </c>
      <c r="B324" t="s">
        <v>904</v>
      </c>
      <c r="C324" t="str">
        <f t="shared" si="31"/>
        <v>三重県四日市市室山町</v>
      </c>
      <c r="D324" s="2" t="str">
        <f t="shared" si="29"/>
        <v>http://geocode.csis.u-tokyo.ac.jp/cgi-bin/simple_geocode.cgi?charset=UTF8&amp;addr=%E4%B8%89%E9%87%8D%E7%9C%8C%E5%9B%9B%E6%97%A5%E5%B8%82%E5%B8%82%E5%AE%A4%E5%B1%B1%E7%94%BA</v>
      </c>
      <c r="E324" t="str">
        <f t="shared" si="30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324" cm="1">
        <f t="array" ref="F324">INDEX(_xlfn.FILTERXML(E324,"//latitude"),1)</f>
        <v>34.955993999999997</v>
      </c>
      <c r="G324" cm="1">
        <f t="array" ref="G324">INDEX(_xlfn.FILTERXML(E324,"//longitude"),1)</f>
        <v>136.57809399999999</v>
      </c>
      <c r="H324">
        <v>34.955993999999997</v>
      </c>
      <c r="I324">
        <v>136.57809399999999</v>
      </c>
    </row>
    <row r="325" spans="1:9" x14ac:dyDescent="0.4">
      <c r="A325" t="s">
        <v>10</v>
      </c>
      <c r="B325" t="s">
        <v>905</v>
      </c>
      <c r="C325" t="str">
        <f t="shared" si="31"/>
        <v>神奈川県相模原市緑区橋本3-22-10</v>
      </c>
      <c r="D325" s="2" t="str">
        <f t="shared" si="29"/>
        <v>http://geocode.csis.u-tokyo.ac.jp/cgi-bin/simple_geocode.cgi?charset=UTF8&amp;addr=%E7%A5%9E%E5%A5%88%E5%B7%9D%E7%9C%8C%E7%9B%B8%E6%A8%A1%E5%8E%9F%E5%B8%82%E7%B7%91%E5%8C%BA%E6%A9%8B%E6%9C%AC3-22-10</v>
      </c>
      <c r="E325" t="str">
        <f t="shared" si="30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325" cm="1">
        <f t="array" ref="F325">INDEX(_xlfn.FILTERXML(E325,"//latitude"),1)</f>
        <v>35.597110999999998</v>
      </c>
      <c r="G325" cm="1">
        <f t="array" ref="G325">INDEX(_xlfn.FILTERXML(E325,"//longitude"),1)</f>
        <v>139.347748</v>
      </c>
      <c r="H325">
        <v>35.597110999999998</v>
      </c>
      <c r="I325">
        <v>139.347748</v>
      </c>
    </row>
    <row r="326" spans="1:9" x14ac:dyDescent="0.4">
      <c r="A326" t="s">
        <v>10</v>
      </c>
      <c r="B326" t="s">
        <v>906</v>
      </c>
      <c r="C326" t="str">
        <f t="shared" si="31"/>
        <v>神奈川県大和市上草柳</v>
      </c>
      <c r="D326" s="2" t="str">
        <f t="shared" si="29"/>
        <v>http://geocode.csis.u-tokyo.ac.jp/cgi-bin/simple_geocode.cgi?charset=UTF8&amp;addr=%E7%A5%9E%E5%A5%88%E5%B7%9D%E7%9C%8C%E5%A4%A7%E5%92%8C%E5%B8%82%E4%B8%8A%E8%8D%89%E6%9F%B3</v>
      </c>
      <c r="E326" t="str">
        <f t="shared" si="30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326" cm="1">
        <f t="array" ref="F326">INDEX(_xlfn.FILTERXML(E326,"//latitude"),1)</f>
        <v>35.475296</v>
      </c>
      <c r="G326" cm="1">
        <f t="array" ref="G326">INDEX(_xlfn.FILTERXML(E326,"//longitude"),1)</f>
        <v>139.45678699999999</v>
      </c>
      <c r="H326">
        <v>35.475296</v>
      </c>
      <c r="I326">
        <v>139.45678699999999</v>
      </c>
    </row>
    <row r="327" spans="1:9" x14ac:dyDescent="0.4">
      <c r="A327" t="s">
        <v>15</v>
      </c>
      <c r="B327" t="s">
        <v>907</v>
      </c>
      <c r="C327" t="str">
        <f t="shared" si="31"/>
        <v>兵庫県神戸市西区玉津町西河原</v>
      </c>
      <c r="D327" s="2" t="str">
        <f t="shared" si="29"/>
        <v>http://geocode.csis.u-tokyo.ac.jp/cgi-bin/simple_geocode.cgi?charset=UTF8&amp;addr=%E5%85%B5%E5%BA%AB%E7%9C%8C%E7%A5%9E%E6%88%B8%E5%B8%82%E8%A5%BF%E5%8C%BA%E7%8E%89%E6%B4%A5%E7%94%BA%E8%A5%BF%E6%B2%B3%E5%8E%9F</v>
      </c>
      <c r="E327" t="str">
        <f t="shared" si="30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327" cm="1">
        <f t="array" ref="F327">INDEX(_xlfn.FILTERXML(E327,"//latitude"),1)</f>
        <v>34.665680000000002</v>
      </c>
      <c r="G327" cm="1">
        <f t="array" ref="G327">INDEX(_xlfn.FILTERXML(E327,"//longitude"),1)</f>
        <v>134.988235</v>
      </c>
      <c r="H327">
        <v>34.665680000000002</v>
      </c>
      <c r="I327">
        <v>134.988235</v>
      </c>
    </row>
    <row r="328" spans="1:9" x14ac:dyDescent="0.4">
      <c r="A328" t="s">
        <v>9</v>
      </c>
      <c r="B328" t="s">
        <v>908</v>
      </c>
      <c r="C328" t="str">
        <f t="shared" si="31"/>
        <v>東京都清瀬市上清戸</v>
      </c>
      <c r="D328" s="2" t="str">
        <f t="shared" si="29"/>
        <v>http://geocode.csis.u-tokyo.ac.jp/cgi-bin/simple_geocode.cgi?charset=UTF8&amp;addr=%E6%9D%B1%E4%BA%AC%E9%83%BD%E6%B8%85%E7%80%AC%E5%B8%82%E4%B8%8A%E6%B8%85%E6%88%B8</v>
      </c>
      <c r="E328" t="str">
        <f t="shared" si="30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328" cm="1">
        <f t="array" ref="F328">INDEX(_xlfn.FILTERXML(E328,"//latitude"),1)</f>
        <v>35.775157999999998</v>
      </c>
      <c r="G328" cm="1">
        <f t="array" ref="G328">INDEX(_xlfn.FILTERXML(E328,"//longitude"),1)</f>
        <v>139.52336099999999</v>
      </c>
      <c r="H328">
        <v>35.775157999999998</v>
      </c>
      <c r="I328">
        <v>139.52336099999999</v>
      </c>
    </row>
    <row r="329" spans="1:9" x14ac:dyDescent="0.4">
      <c r="A329" t="s">
        <v>29</v>
      </c>
      <c r="B329" t="s">
        <v>909</v>
      </c>
      <c r="C329" t="str">
        <f t="shared" si="31"/>
        <v>静岡県三島市西本町</v>
      </c>
      <c r="D329" s="2" t="str">
        <f t="shared" si="29"/>
        <v>http://geocode.csis.u-tokyo.ac.jp/cgi-bin/simple_geocode.cgi?charset=UTF8&amp;addr=%E9%9D%99%E5%B2%A1%E7%9C%8C%E4%B8%89%E5%B3%B6%E5%B8%82%E8%A5%BF%E6%9C%AC%E7%94%BA</v>
      </c>
      <c r="E329" t="str">
        <f t="shared" si="30"/>
        <v xml:space="preserve">&lt;?xml version="1.0" encoding="UTF-8" ?&gt;
&lt;results&gt;
&lt;query&gt;静岡県三島市西本町&lt;/query&gt;
&lt;geodetic&gt;wgs1984&lt;/geodetic&gt;
&lt;iConf&gt;5&lt;/iConf&gt;
&lt;converted&gt;静岡県三島市西本町&lt;/converted&gt;
&lt;candidate&gt;
&lt;address&gt;静岡県/三島市/西本町&lt;/address&gt;
&lt;longitude&gt;138.908768&lt;/longitude&gt;
&lt;latitude&gt;35.117626&lt;/latitude&gt;
&lt;iLvl&gt;5&lt;/iLvl&gt;
&lt;/candidate&gt;
&lt;/results&gt;
</v>
      </c>
      <c r="F329" cm="1">
        <f t="array" ref="F329">INDEX(_xlfn.FILTERXML(E329,"//latitude"),1)</f>
        <v>35.117626000000001</v>
      </c>
      <c r="G329" cm="1">
        <f t="array" ref="G329">INDEX(_xlfn.FILTERXML(E329,"//longitude"),1)</f>
        <v>138.90876800000001</v>
      </c>
      <c r="H329">
        <v>35.117626000000001</v>
      </c>
      <c r="I329">
        <v>138.90876800000001</v>
      </c>
    </row>
    <row r="330" spans="1:9" x14ac:dyDescent="0.4">
      <c r="A330" t="s">
        <v>11</v>
      </c>
      <c r="B330" t="s">
        <v>910</v>
      </c>
      <c r="C330" t="str">
        <f t="shared" si="31"/>
        <v>大阪府高槻市上土室</v>
      </c>
      <c r="D330" s="2" t="str">
        <f t="shared" si="29"/>
        <v>http://geocode.csis.u-tokyo.ac.jp/cgi-bin/simple_geocode.cgi?charset=UTF8&amp;addr=%E5%A4%A7%E9%98%AA%E5%BA%9C%E9%AB%98%E6%A7%BB%E5%B8%82%E4%B8%8A%E5%9C%9F%E5%AE%A4</v>
      </c>
      <c r="E330" t="str">
        <f t="shared" si="30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330" cm="1">
        <f t="array" ref="F330">INDEX(_xlfn.FILTERXML(E330,"//latitude"),1)</f>
        <v>34.852943000000003</v>
      </c>
      <c r="G330" cm="1">
        <f t="array" ref="G330">INDEX(_xlfn.FILTERXML(E330,"//longitude"),1)</f>
        <v>135.581467</v>
      </c>
      <c r="H330">
        <v>34.852943000000003</v>
      </c>
      <c r="I330">
        <v>135.581467</v>
      </c>
    </row>
    <row r="331" spans="1:9" x14ac:dyDescent="0.4">
      <c r="A331" t="s">
        <v>13</v>
      </c>
      <c r="B331" t="s">
        <v>49</v>
      </c>
      <c r="C331" t="str">
        <f t="shared" si="31"/>
        <v>埼玉県新座市</v>
      </c>
      <c r="D331" s="2" t="str">
        <f t="shared" si="29"/>
        <v>http://geocode.csis.u-tokyo.ac.jp/cgi-bin/simple_geocode.cgi?charset=UTF8&amp;addr=%E5%9F%BC%E7%8E%89%E7%9C%8C%E6%96%B0%E5%BA%A7%E5%B8%82</v>
      </c>
      <c r="E331" t="str">
        <f t="shared" si="30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331" cm="1">
        <f t="array" ref="F331">INDEX(_xlfn.FILTERXML(E331,"//latitude"),1)</f>
        <v>35.793495</v>
      </c>
      <c r="G331" cm="1">
        <f t="array" ref="G331">INDEX(_xlfn.FILTERXML(E331,"//longitude"),1)</f>
        <v>139.56532300000001</v>
      </c>
      <c r="H331">
        <v>35.793495</v>
      </c>
      <c r="I331">
        <v>139.56532300000001</v>
      </c>
    </row>
    <row r="332" spans="1:9" x14ac:dyDescent="0.4">
      <c r="A332" t="s">
        <v>10</v>
      </c>
      <c r="B332" t="s">
        <v>911</v>
      </c>
      <c r="C332" t="str">
        <f t="shared" si="31"/>
        <v>神奈川県横浜市金沢区柴町391</v>
      </c>
      <c r="D332" s="2" t="str">
        <f t="shared" si="29"/>
        <v>http://geocode.csis.u-tokyo.ac.jp/cgi-bin/simple_geocode.cgi?charset=UTF8&amp;addr=%E7%A5%9E%E5%A5%88%E5%B7%9D%E7%9C%8C%E6%A8%AA%E6%B5%9C%E5%B8%82%E9%87%91%E6%B2%A2%E5%8C%BA%E6%9F%B4%E7%94%BA391</v>
      </c>
      <c r="E332" t="str">
        <f t="shared" si="30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332" cm="1">
        <f t="array" ref="F332">INDEX(_xlfn.FILTERXML(E332,"//latitude"),1)</f>
        <v>35.340927000000001</v>
      </c>
      <c r="G332" cm="1">
        <f t="array" ref="G332">INDEX(_xlfn.FILTERXML(E332,"//longitude"),1)</f>
        <v>139.63353000000001</v>
      </c>
      <c r="H332">
        <v>35.340927000000001</v>
      </c>
      <c r="I332">
        <v>139.63353000000001</v>
      </c>
    </row>
    <row r="333" spans="1:9" x14ac:dyDescent="0.4">
      <c r="A333" t="s">
        <v>10</v>
      </c>
      <c r="B333" t="s">
        <v>912</v>
      </c>
      <c r="C333" t="str">
        <f t="shared" si="31"/>
        <v>神奈川県横浜市港北区仲手原</v>
      </c>
      <c r="D333" s="2" t="str">
        <f t="shared" si="29"/>
        <v>http://geocode.csis.u-tokyo.ac.jp/cgi-bin/simple_geocode.cgi?charset=UTF8&amp;addr=%E7%A5%9E%E5%A5%88%E5%B7%9D%E7%9C%8C%E6%A8%AA%E6%B5%9C%E5%B8%82%E6%B8%AF%E5%8C%97%E5%8C%BA%E4%BB%B2%E6%89%8B%E5%8E%9F</v>
      </c>
      <c r="E333" t="str">
        <f t="shared" si="30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333" cm="1">
        <f t="array" ref="F333">INDEX(_xlfn.FILTERXML(E333,"//latitude"),1)</f>
        <v>35.495403000000003</v>
      </c>
      <c r="G333" cm="1">
        <f t="array" ref="G333">INDEX(_xlfn.FILTERXML(E333,"//longitude"),1)</f>
        <v>139.63493299999999</v>
      </c>
      <c r="H333">
        <v>35.495403000000003</v>
      </c>
      <c r="I333">
        <v>139.63493299999999</v>
      </c>
    </row>
    <row r="334" spans="1:9" x14ac:dyDescent="0.4">
      <c r="A334" t="s">
        <v>24</v>
      </c>
      <c r="B334" t="s">
        <v>913</v>
      </c>
      <c r="C334" t="str">
        <f t="shared" si="31"/>
        <v>栃木県宇都宮市砥上町</v>
      </c>
      <c r="D334" s="2" t="str">
        <f t="shared" si="29"/>
        <v>http://geocode.csis.u-tokyo.ac.jp/cgi-bin/simple_geocode.cgi?charset=UTF8&amp;addr=%E6%A0%83%E6%9C%A8%E7%9C%8C%E5%AE%87%E9%83%BD%E5%AE%AE%E5%B8%82%E7%A0%A5%E4%B8%8A%E7%94%BA</v>
      </c>
      <c r="E334" t="str">
        <f t="shared" si="30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334" cm="1">
        <f t="array" ref="F334">INDEX(_xlfn.FILTERXML(E334,"//latitude"),1)</f>
        <v>36.551772999999997</v>
      </c>
      <c r="G334" cm="1">
        <f t="array" ref="G334">INDEX(_xlfn.FILTERXML(E334,"//longitude"),1)</f>
        <v>139.83895899999999</v>
      </c>
      <c r="H334">
        <v>36.551772999999997</v>
      </c>
      <c r="I334">
        <v>139.83895899999999</v>
      </c>
    </row>
    <row r="335" spans="1:9" x14ac:dyDescent="0.4">
      <c r="A335" t="s">
        <v>18</v>
      </c>
      <c r="B335" t="s">
        <v>914</v>
      </c>
      <c r="C335" t="str">
        <f t="shared" si="31"/>
        <v>千葉県市川市本北方</v>
      </c>
      <c r="D335" s="2" t="str">
        <f t="shared" si="29"/>
        <v>http://geocode.csis.u-tokyo.ac.jp/cgi-bin/simple_geocode.cgi?charset=UTF8&amp;addr=%E5%8D%83%E8%91%89%E7%9C%8C%E5%B8%82%E5%B7%9D%E5%B8%82%E6%9C%AC%E5%8C%97%E6%96%B9</v>
      </c>
      <c r="E335" t="str">
        <f t="shared" si="30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335" cm="1">
        <f t="array" ref="F335">INDEX(_xlfn.FILTERXML(E335,"//latitude"),1)</f>
        <v>35.727226000000002</v>
      </c>
      <c r="G335" cm="1">
        <f t="array" ref="G335">INDEX(_xlfn.FILTERXML(E335,"//longitude"),1)</f>
        <v>139.94253499999999</v>
      </c>
      <c r="H335">
        <v>35.727226000000002</v>
      </c>
      <c r="I335">
        <v>139.94253499999999</v>
      </c>
    </row>
    <row r="336" spans="1:9" x14ac:dyDescent="0.4">
      <c r="A336" t="s">
        <v>28</v>
      </c>
      <c r="B336" t="s">
        <v>915</v>
      </c>
      <c r="C336" t="str">
        <f t="shared" si="31"/>
        <v>沖縄県中頭郡読谷村喜名</v>
      </c>
      <c r="D336" s="2" t="str">
        <f t="shared" si="29"/>
        <v>http://geocode.csis.u-tokyo.ac.jp/cgi-bin/simple_geocode.cgi?charset=UTF8&amp;addr=%E6%B2%96%E7%B8%84%E7%9C%8C%E4%B8%AD%E9%A0%AD%E9%83%A1%E8%AA%AD%E8%B0%B7%E6%9D%91%E5%96%9C%E5%90%8D</v>
      </c>
      <c r="E336" t="str">
        <f t="shared" si="30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336" cm="1">
        <f t="array" ref="F336">INDEX(_xlfn.FILTERXML(E336,"//latitude"),1)</f>
        <v>26.401008999999998</v>
      </c>
      <c r="G336" cm="1">
        <f t="array" ref="G336">INDEX(_xlfn.FILTERXML(E336,"//longitude"),1)</f>
        <v>127.766891</v>
      </c>
      <c r="H336">
        <v>26.401008999999998</v>
      </c>
      <c r="I336">
        <v>127.766891</v>
      </c>
    </row>
    <row r="337" spans="1:9" x14ac:dyDescent="0.4">
      <c r="A337" t="s">
        <v>132</v>
      </c>
      <c r="B337" t="s">
        <v>916</v>
      </c>
      <c r="C337" t="str">
        <f t="shared" si="31"/>
        <v>高知県吾川郡いの町</v>
      </c>
      <c r="D337" s="2" t="str">
        <f t="shared" si="29"/>
        <v>http://geocode.csis.u-tokyo.ac.jp/cgi-bin/simple_geocode.cgi?charset=UTF8&amp;addr=%E9%AB%98%E7%9F%A5%E7%9C%8C%E5%90%BE%E5%B7%9D%E9%83%A1%E3%81%84%E3%81%AE%E7%94%BA</v>
      </c>
      <c r="E337" t="str">
        <f t="shared" si="30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337" cm="1">
        <f t="array" ref="F337">INDEX(_xlfn.FILTERXML(E337,"//latitude"),1)</f>
        <v>33.548690999999998</v>
      </c>
      <c r="G337" cm="1">
        <f t="array" ref="G337">INDEX(_xlfn.FILTERXML(E337,"//longitude"),1)</f>
        <v>133.427582</v>
      </c>
      <c r="H337">
        <v>33.548690999999998</v>
      </c>
      <c r="I337">
        <v>133.427582</v>
      </c>
    </row>
    <row r="338" spans="1:9" x14ac:dyDescent="0.4">
      <c r="A338" t="s">
        <v>15</v>
      </c>
      <c r="B338" t="s">
        <v>917</v>
      </c>
      <c r="C338" t="str">
        <f t="shared" si="31"/>
        <v>兵庫県三田市学園</v>
      </c>
      <c r="D338" s="2" t="str">
        <f t="shared" si="29"/>
        <v>http://geocode.csis.u-tokyo.ac.jp/cgi-bin/simple_geocode.cgi?charset=UTF8&amp;addr=%E5%85%B5%E5%BA%AB%E7%9C%8C%E4%B8%89%E7%94%B0%E5%B8%82%E5%AD%A6%E5%9C%92</v>
      </c>
      <c r="E338" t="str">
        <f t="shared" si="30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338" cm="1">
        <f t="array" ref="F338">INDEX(_xlfn.FILTERXML(E338,"//latitude"),1)</f>
        <v>34.914062000000001</v>
      </c>
      <c r="G338" cm="1">
        <f t="array" ref="G338">INDEX(_xlfn.FILTERXML(E338,"//longitude"),1)</f>
        <v>135.16026299999999</v>
      </c>
      <c r="H338">
        <v>34.914062000000001</v>
      </c>
      <c r="I338">
        <v>135.16026299999999</v>
      </c>
    </row>
    <row r="339" spans="1:9" x14ac:dyDescent="0.4">
      <c r="A339" t="s">
        <v>114</v>
      </c>
      <c r="B339" t="s">
        <v>918</v>
      </c>
      <c r="C339" t="str">
        <f t="shared" si="31"/>
        <v>福島県南相馬市原町区馬場字薬師前</v>
      </c>
      <c r="D339" s="2" t="str">
        <f t="shared" si="29"/>
        <v>http://geocode.csis.u-tokyo.ac.jp/cgi-bin/simple_geocode.cgi?charset=UTF8&amp;addr=%E7%A6%8F%E5%B3%B6%E7%9C%8C%E5%8D%97%E7%9B%B8%E9%A6%AC%E5%B8%82%E5%8E%9F%E7%94%BA%E5%8C%BA%E9%A6%AC%E5%A0%B4%E5%AD%97%E8%96%AC%E5%B8%AB%E5%89%8D</v>
      </c>
      <c r="E339" t="str">
        <f t="shared" si="30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339" cm="1">
        <f t="array" ref="F339">INDEX(_xlfn.FILTERXML(E339,"//latitude"),1)</f>
        <v>37.601230999999999</v>
      </c>
      <c r="G339" cm="1">
        <f t="array" ref="G339">INDEX(_xlfn.FILTERXML(E339,"//longitude"),1)</f>
        <v>140.91224700000001</v>
      </c>
      <c r="H339">
        <v>37.601230999999999</v>
      </c>
      <c r="I339">
        <v>140.91224700000001</v>
      </c>
    </row>
    <row r="340" spans="1:9" x14ac:dyDescent="0.4">
      <c r="A340" t="s">
        <v>118</v>
      </c>
      <c r="B340" t="s">
        <v>858</v>
      </c>
      <c r="C340" t="str">
        <f t="shared" si="31"/>
        <v>北海道札幌市中央区北六条西12丁目</v>
      </c>
      <c r="D340" s="2" t="str">
        <f t="shared" si="29"/>
        <v>http://geocode.csis.u-tokyo.ac.jp/cgi-bin/simple_geocode.cgi?charset=UTF8&amp;addr=%E5%8C%97%E6%B5%B7%E9%81%93%E6%9C%AD%E5%B9%8C%E5%B8%82%E4%B8%AD%E5%A4%AE%E5%8C%BA%E5%8C%97%E5%85%AD%E6%9D%A1%E8%A5%BF12%E4%B8%81%E7%9B%AE</v>
      </c>
      <c r="E340" t="str">
        <f t="shared" si="30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340" cm="1">
        <f t="array" ref="F340">INDEX(_xlfn.FILTERXML(E340,"//latitude"),1)</f>
        <v>43.066650000000003</v>
      </c>
      <c r="G340" cm="1">
        <f t="array" ref="G340">INDEX(_xlfn.FILTERXML(E340,"//longitude"),1)</f>
        <v>141.33682300000001</v>
      </c>
      <c r="H340">
        <v>43.066650000000003</v>
      </c>
      <c r="I340">
        <v>141.33682300000001</v>
      </c>
    </row>
    <row r="341" spans="1:9" x14ac:dyDescent="0.4">
      <c r="A341" t="s">
        <v>13</v>
      </c>
      <c r="B341" t="s">
        <v>919</v>
      </c>
      <c r="C341" t="str">
        <f t="shared" si="31"/>
        <v>埼玉県さいたま市大宮区</v>
      </c>
      <c r="D341" s="2" t="str">
        <f t="shared" si="29"/>
        <v>http://geocode.csis.u-tokyo.ac.jp/cgi-bin/simple_geocode.cgi?charset=UTF8&amp;addr=%E5%9F%BC%E7%8E%89%E7%9C%8C%E3%81%95%E3%81%84%E3%81%9F%E3%81%BE%E5%B8%82%E5%A4%A7%E5%AE%AE%E5%8C%BA</v>
      </c>
      <c r="E341" t="str">
        <f t="shared" si="30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341" cm="1">
        <f t="array" ref="F341">INDEX(_xlfn.FILTERXML(E341,"//latitude"),1)</f>
        <v>35.906483000000001</v>
      </c>
      <c r="G341" cm="1">
        <f t="array" ref="G341">INDEX(_xlfn.FILTERXML(E341,"//longitude"),1)</f>
        <v>139.62872300000001</v>
      </c>
      <c r="H341">
        <v>35.906483000000001</v>
      </c>
      <c r="I341">
        <v>139.62872300000001</v>
      </c>
    </row>
    <row r="342" spans="1:9" x14ac:dyDescent="0.4">
      <c r="A342" t="s">
        <v>10</v>
      </c>
      <c r="B342" t="s">
        <v>920</v>
      </c>
      <c r="C342" t="str">
        <f t="shared" si="31"/>
        <v>神奈川県Yokohama</v>
      </c>
      <c r="D342" s="2" t="str">
        <f t="shared" si="29"/>
        <v>http://geocode.csis.u-tokyo.ac.jp/cgi-bin/simple_geocode.cgi?charset=UTF8&amp;addr=%E7%A5%9E%E5%A5%88%E5%B7%9D%E7%9C%8CYokohama</v>
      </c>
      <c r="E342" t="str">
        <f t="shared" si="30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342" cm="1">
        <f t="array" ref="F342">INDEX(_xlfn.FILTERXML(E342,"//latitude"),1)</f>
        <v>35.444035</v>
      </c>
      <c r="G342" cm="1">
        <f t="array" ref="G342">INDEX(_xlfn.FILTERXML(E342,"//longitude"),1)</f>
        <v>139.63795500000001</v>
      </c>
      <c r="H342">
        <v>35.444035</v>
      </c>
      <c r="I342">
        <v>139.63795500000001</v>
      </c>
    </row>
    <row r="343" spans="1:9" x14ac:dyDescent="0.4">
      <c r="A343" t="s">
        <v>10</v>
      </c>
      <c r="B343" t="s">
        <v>921</v>
      </c>
      <c r="C343" t="str">
        <f t="shared" si="31"/>
        <v>神奈川県小田原市南町</v>
      </c>
      <c r="D343" s="2" t="str">
        <f t="shared" si="29"/>
        <v>http://geocode.csis.u-tokyo.ac.jp/cgi-bin/simple_geocode.cgi?charset=UTF8&amp;addr=%E7%A5%9E%E5%A5%88%E5%B7%9D%E7%9C%8C%E5%B0%8F%E7%94%B0%E5%8E%9F%E5%B8%82%E5%8D%97%E7%94%BA</v>
      </c>
      <c r="E343" t="str">
        <f t="shared" si="30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343" cm="1">
        <f t="array" ref="F343">INDEX(_xlfn.FILTERXML(E343,"//latitude"),1)</f>
        <v>35.247990000000001</v>
      </c>
      <c r="G343" cm="1">
        <f t="array" ref="G343">INDEX(_xlfn.FILTERXML(E343,"//longitude"),1)</f>
        <v>139.152649</v>
      </c>
      <c r="H343">
        <v>35.247990000000001</v>
      </c>
      <c r="I343">
        <v>139.152649</v>
      </c>
    </row>
    <row r="344" spans="1:9" x14ac:dyDescent="0.4">
      <c r="A344" t="s">
        <v>10</v>
      </c>
      <c r="B344" t="s">
        <v>922</v>
      </c>
      <c r="C344" t="str">
        <f t="shared" si="31"/>
        <v>神奈川県大和市</v>
      </c>
      <c r="D344" s="2" t="str">
        <f t="shared" si="29"/>
        <v>http://geocode.csis.u-tokyo.ac.jp/cgi-bin/simple_geocode.cgi?charset=UTF8&amp;addr=%E7%A5%9E%E5%A5%88%E5%B7%9D%E7%9C%8C%E5%A4%A7%E5%92%8C%E5%B8%82</v>
      </c>
      <c r="E344" t="str">
        <f t="shared" si="30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344" cm="1">
        <f t="array" ref="F344">INDEX(_xlfn.FILTERXML(E344,"//latitude"),1)</f>
        <v>35.487513999999997</v>
      </c>
      <c r="G344" cm="1">
        <f t="array" ref="G344">INDEX(_xlfn.FILTERXML(E344,"//longitude"),1)</f>
        <v>139.45794699999999</v>
      </c>
      <c r="H344">
        <v>35.487513999999997</v>
      </c>
      <c r="I344">
        <v>139.45794699999999</v>
      </c>
    </row>
    <row r="345" spans="1:9" x14ac:dyDescent="0.4">
      <c r="A345" t="s">
        <v>26</v>
      </c>
      <c r="B345" t="s">
        <v>923</v>
      </c>
      <c r="C345" t="str">
        <f t="shared" si="31"/>
        <v>京都府京都市東山区五条橋東</v>
      </c>
      <c r="D345" s="2" t="str">
        <f t="shared" si="29"/>
        <v>http://geocode.csis.u-tokyo.ac.jp/cgi-bin/simple_geocode.cgi?charset=UTF8&amp;addr=%E4%BA%AC%E9%83%BD%E5%BA%9C%E4%BA%AC%E9%83%BD%E5%B8%82%E6%9D%B1%E5%B1%B1%E5%8C%BA%E4%BA%94%E6%9D%A1%E6%A9%8B%E6%9D%B1</v>
      </c>
      <c r="E345" t="str">
        <f t="shared" si="30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345" cm="1">
        <f t="array" ref="F345">INDEX(_xlfn.FILTERXML(E345,"//latitude"),1)</f>
        <v>34.995384000000001</v>
      </c>
      <c r="G345" cm="1">
        <f t="array" ref="G345">INDEX(_xlfn.FILTERXML(E345,"//longitude"),1)</f>
        <v>135.77105700000001</v>
      </c>
      <c r="H345">
        <v>34.995384000000001</v>
      </c>
      <c r="I345">
        <v>135.77105700000001</v>
      </c>
    </row>
    <row r="346" spans="1:9" x14ac:dyDescent="0.4">
      <c r="A346" t="s">
        <v>17</v>
      </c>
      <c r="B346" t="s">
        <v>924</v>
      </c>
      <c r="C346" t="str">
        <f t="shared" si="31"/>
        <v>愛知県岡崎市保母町字下屋敷</v>
      </c>
      <c r="D346" s="2" t="str">
        <f t="shared" si="29"/>
        <v>http://geocode.csis.u-tokyo.ac.jp/cgi-bin/simple_geocode.cgi?charset=UTF8&amp;addr=%E6%84%9B%E7%9F%A5%E7%9C%8C%E5%B2%A1%E5%B4%8E%E5%B8%82%E4%BF%9D%E6%AF%8D%E7%94%BA%E5%AD%97%E4%B8%8B%E5%B1%8B%E6%95%B7</v>
      </c>
      <c r="E346" t="str">
        <f t="shared" si="30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346" cm="1">
        <f t="array" ref="F346">INDEX(_xlfn.FILTERXML(E346,"//latitude"),1)</f>
        <v>34.931365999999997</v>
      </c>
      <c r="G346" cm="1">
        <f t="array" ref="G346">INDEX(_xlfn.FILTERXML(E346,"//longitude"),1)</f>
        <v>137.21830700000001</v>
      </c>
      <c r="H346">
        <v>34.931365999999997</v>
      </c>
      <c r="I346">
        <v>137.21830700000001</v>
      </c>
    </row>
    <row r="347" spans="1:9" x14ac:dyDescent="0.4">
      <c r="A347" t="s">
        <v>10</v>
      </c>
      <c r="B347" t="s">
        <v>925</v>
      </c>
      <c r="C347" t="str">
        <f t="shared" si="31"/>
        <v>神奈川県藤沢市辻堂新町</v>
      </c>
      <c r="D347" s="2" t="str">
        <f t="shared" si="29"/>
        <v>http://geocode.csis.u-tokyo.ac.jp/cgi-bin/simple_geocode.cgi?charset=UTF8&amp;addr=%E7%A5%9E%E5%A5%88%E5%B7%9D%E7%9C%8C%E8%97%A4%E6%B2%A2%E5%B8%82%E8%BE%BB%E5%A0%82%E6%96%B0%E7%94%BA</v>
      </c>
      <c r="E347" t="str">
        <f t="shared" si="30"/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347" cm="1">
        <f t="array" ref="F347">INDEX(_xlfn.FILTERXML(E347,"//latitude"),1)</f>
        <v>35.339306000000001</v>
      </c>
      <c r="G347" cm="1">
        <f t="array" ref="G347">INDEX(_xlfn.FILTERXML(E347,"//longitude"),1)</f>
        <v>139.45109600000001</v>
      </c>
      <c r="H347">
        <v>35.339306000000001</v>
      </c>
      <c r="I347">
        <v>139.45109600000001</v>
      </c>
    </row>
    <row r="348" spans="1:9" x14ac:dyDescent="0.4">
      <c r="A348" t="s">
        <v>15</v>
      </c>
      <c r="B348" t="s">
        <v>926</v>
      </c>
      <c r="C348" t="str">
        <f t="shared" si="31"/>
        <v>兵庫県川西市南花屋敷1丁目</v>
      </c>
      <c r="D348" s="2" t="str">
        <f t="shared" si="29"/>
        <v>http://geocode.csis.u-tokyo.ac.jp/cgi-bin/simple_geocode.cgi?charset=UTF8&amp;addr=%E5%85%B5%E5%BA%AB%E7%9C%8C%E5%B7%9D%E8%A5%BF%E5%B8%82%E5%8D%97%E8%8A%B1%E5%B1%8B%E6%95%B71%E4%B8%81%E7%9B%AE</v>
      </c>
      <c r="E348" t="str">
        <f t="shared" si="30"/>
        <v xml:space="preserve">&lt;?xml version="1.0" encoding="UTF-8" ?&gt;
&lt;results&gt;
&lt;query&gt;兵庫県川西市南花屋敷1丁目&lt;/query&gt;
&lt;geodetic&gt;wgs1984&lt;/geodetic&gt;
&lt;iConf&gt;5&lt;/iConf&gt;
&lt;converted&gt;兵庫県川西市南花屋敷1丁目&lt;/converted&gt;
&lt;candidate&gt;
&lt;address&gt;兵庫県/川西市/南花屋敷/一丁目&lt;/address&gt;
&lt;longitude&gt;135.406998&lt;/longitude&gt;
&lt;latitude&gt;34.824123&lt;/latitude&gt;
&lt;iLvl&gt;6&lt;/iLvl&gt;
&lt;/candidate&gt;
&lt;/results&gt;
</v>
      </c>
      <c r="F348" cm="1">
        <f t="array" ref="F348">INDEX(_xlfn.FILTERXML(E348,"//latitude"),1)</f>
        <v>34.824123</v>
      </c>
      <c r="G348" cm="1">
        <f t="array" ref="G348">INDEX(_xlfn.FILTERXML(E348,"//longitude"),1)</f>
        <v>135.40699799999999</v>
      </c>
      <c r="H348">
        <v>34.824123</v>
      </c>
      <c r="I348">
        <v>135.40699799999999</v>
      </c>
    </row>
    <row r="349" spans="1:9" x14ac:dyDescent="0.4">
      <c r="A349" t="s">
        <v>26</v>
      </c>
      <c r="B349" t="s">
        <v>927</v>
      </c>
      <c r="C349" t="str">
        <f t="shared" si="31"/>
        <v>京都府宮津市京街道</v>
      </c>
      <c r="D349" s="2" t="str">
        <f t="shared" si="29"/>
        <v>http://geocode.csis.u-tokyo.ac.jp/cgi-bin/simple_geocode.cgi?charset=UTF8&amp;addr=%E4%BA%AC%E9%83%BD%E5%BA%9C%E5%AE%AE%E6%B4%A5%E5%B8%82%E4%BA%AC%E8%A1%97%E9%81%93</v>
      </c>
      <c r="E349" t="str">
        <f t="shared" si="30"/>
        <v xml:space="preserve">&lt;?xml version="1.0" encoding="UTF-8" ?&gt;
&lt;results&gt;
&lt;query&gt;京都府宮津市京街道&lt;/query&gt;
&lt;geodetic&gt;wgs1984&lt;/geodetic&gt;
&lt;iConf&gt;5&lt;/iConf&gt;
&lt;converted&gt;京都府宮津市京街道&lt;/converted&gt;
&lt;candidate&gt;
&lt;address&gt;京都府/宮津市/京街道&lt;/address&gt;
&lt;longitude&gt;135.193130&lt;/longitude&gt;
&lt;latitude&gt;35.532825&lt;/latitude&gt;
&lt;iLvl&gt;5&lt;/iLvl&gt;
&lt;/candidate&gt;
&lt;/results&gt;
</v>
      </c>
      <c r="F349" cm="1">
        <f t="array" ref="F349">INDEX(_xlfn.FILTERXML(E349,"//latitude"),1)</f>
        <v>35.532825000000003</v>
      </c>
      <c r="G349" cm="1">
        <f t="array" ref="G349">INDEX(_xlfn.FILTERXML(E349,"//longitude"),1)</f>
        <v>135.19313</v>
      </c>
      <c r="H349">
        <v>35.532825000000003</v>
      </c>
      <c r="I349">
        <v>135.19313</v>
      </c>
    </row>
    <row r="350" spans="1:9" x14ac:dyDescent="0.4">
      <c r="A350" t="s">
        <v>17</v>
      </c>
      <c r="B350" t="s">
        <v>928</v>
      </c>
      <c r="C350" t="str">
        <f t="shared" si="31"/>
        <v>愛知県日進市梅森町新田</v>
      </c>
      <c r="D350" s="2" t="str">
        <f t="shared" si="29"/>
        <v>http://geocode.csis.u-tokyo.ac.jp/cgi-bin/simple_geocode.cgi?charset=UTF8&amp;addr=%E6%84%9B%E7%9F%A5%E7%9C%8C%E6%97%A5%E9%80%B2%E5%B8%82%E6%A2%85%E6%A3%AE%E7%94%BA%E6%96%B0%E7%94%B0</v>
      </c>
      <c r="E350" t="str">
        <f t="shared" si="30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350" cm="1">
        <f t="array" ref="F350">INDEX(_xlfn.FILTERXML(E350,"//latitude"),1)</f>
        <v>35.134467999999998</v>
      </c>
      <c r="G350" cm="1">
        <f t="array" ref="G350">INDEX(_xlfn.FILTERXML(E350,"//longitude"),1)</f>
        <v>137.018494</v>
      </c>
      <c r="H350">
        <v>35.134467999999998</v>
      </c>
      <c r="I350">
        <v>137.018494</v>
      </c>
    </row>
    <row r="351" spans="1:9" x14ac:dyDescent="0.4">
      <c r="A351" t="s">
        <v>28</v>
      </c>
      <c r="B351" t="s">
        <v>929</v>
      </c>
      <c r="C351" t="str">
        <f t="shared" si="31"/>
        <v>沖縄県那覇市壺屋</v>
      </c>
      <c r="D351" s="2" t="str">
        <f t="shared" si="29"/>
        <v>http://geocode.csis.u-tokyo.ac.jp/cgi-bin/simple_geocode.cgi?charset=UTF8&amp;addr=%E6%B2%96%E7%B8%84%E7%9C%8C%E9%82%A3%E8%A6%87%E5%B8%82%E5%A3%BA%E5%B1%8B</v>
      </c>
      <c r="E351" t="str">
        <f t="shared" si="30"/>
        <v xml:space="preserve">&lt;?xml version="1.0" encoding="UTF-8" ?&gt;
&lt;results&gt;
&lt;query&gt;沖縄県那覇市壺屋&lt;/query&gt;
&lt;geodetic&gt;wgs1984&lt;/geodetic&gt;
&lt;iConf&gt;5&lt;/iConf&gt;
&lt;converted&gt;沖縄県那覇市壺屋&lt;/converted&gt;
&lt;candidate&gt;
&lt;address&gt;沖縄県/那覇市/壺屋&lt;/address&gt;
&lt;longitude&gt;127.691620&lt;/longitude&gt;
&lt;latitude&gt;26.213030&lt;/latitude&gt;
&lt;iLvl&gt;5&lt;/iLvl&gt;
&lt;/candidate&gt;
&lt;/results&gt;
</v>
      </c>
      <c r="F351" cm="1">
        <f t="array" ref="F351">INDEX(_xlfn.FILTERXML(E351,"//latitude"),1)</f>
        <v>26.21303</v>
      </c>
      <c r="G351" cm="1">
        <f t="array" ref="G351">INDEX(_xlfn.FILTERXML(E351,"//longitude"),1)</f>
        <v>127.69162</v>
      </c>
      <c r="H351">
        <v>26.21303</v>
      </c>
      <c r="I351">
        <v>127.69162</v>
      </c>
    </row>
    <row r="352" spans="1:9" x14ac:dyDescent="0.4">
      <c r="A352" t="s">
        <v>28</v>
      </c>
      <c r="B352" t="s">
        <v>930</v>
      </c>
      <c r="C352" t="str">
        <f t="shared" si="31"/>
        <v>沖縄県那覇市首里石嶺町</v>
      </c>
      <c r="D352" s="2" t="str">
        <f t="shared" si="29"/>
        <v>http://geocode.csis.u-tokyo.ac.jp/cgi-bin/simple_geocode.cgi?charset=UTF8&amp;addr=%E6%B2%96%E7%B8%84%E7%9C%8C%E9%82%A3%E8%A6%87%E5%B8%82%E9%A6%96%E9%87%8C%E7%9F%B3%E5%B6%BA%E7%94%BA</v>
      </c>
      <c r="E352" t="str">
        <f t="shared" si="30"/>
        <v xml:space="preserve">&lt;?xml version="1.0" encoding="UTF-8" ?&gt;
&lt;results&gt;
&lt;query&gt;沖縄県那覇市首里石嶺町&lt;/query&gt;
&lt;geodetic&gt;wgs1984&lt;/geodetic&gt;
&lt;iConf&gt;5&lt;/iConf&gt;
&lt;converted&gt;沖縄県那覇市首里石嶺町&lt;/converted&gt;
&lt;candidate&gt;
&lt;address&gt;沖縄県/那覇市/首里石嶺町&lt;/address&gt;
&lt;longitude&gt;127.725258&lt;/longitude&gt;
&lt;latitude&gt;26.226179&lt;/latitude&gt;
&lt;iLvl&gt;5&lt;/iLvl&gt;
&lt;/candidate&gt;
&lt;/results&gt;
</v>
      </c>
      <c r="F352" cm="1">
        <f t="array" ref="F352">INDEX(_xlfn.FILTERXML(E352,"//latitude"),1)</f>
        <v>26.226178999999998</v>
      </c>
      <c r="G352" cm="1">
        <f t="array" ref="G352">INDEX(_xlfn.FILTERXML(E352,"//longitude"),1)</f>
        <v>127.725258</v>
      </c>
      <c r="H352">
        <v>26.226178999999998</v>
      </c>
      <c r="I352">
        <v>127.725258</v>
      </c>
    </row>
    <row r="353" spans="1:9" x14ac:dyDescent="0.4">
      <c r="A353" t="s">
        <v>28</v>
      </c>
      <c r="B353" t="s">
        <v>931</v>
      </c>
      <c r="C353" t="str">
        <f t="shared" si="31"/>
        <v>沖縄県沖縄市美里仲原町</v>
      </c>
      <c r="D353" s="2" t="str">
        <f t="shared" si="29"/>
        <v>http://geocode.csis.u-tokyo.ac.jp/cgi-bin/simple_geocode.cgi?charset=UTF8&amp;addr=%E6%B2%96%E7%B8%84%E7%9C%8C%E6%B2%96%E7%B8%84%E5%B8%82%E7%BE%8E%E9%87%8C%E4%BB%B2%E5%8E%9F%E7%94%BA</v>
      </c>
      <c r="E353" t="str">
        <f t="shared" si="30"/>
        <v xml:space="preserve">&lt;?xml version="1.0" encoding="UTF-8" ?&gt;
&lt;results&gt;
&lt;query&gt;沖縄県沖縄市美里仲原町&lt;/query&gt;
&lt;geodetic&gt;wgs1984&lt;/geodetic&gt;
&lt;iConf&gt;5&lt;/iConf&gt;
&lt;converted&gt;沖縄県沖縄市美里仲原町&lt;/converted&gt;
&lt;candidate&gt;
&lt;address&gt;沖縄県/沖縄市/美里仲原町&lt;/address&gt;
&lt;longitude&gt;127.827194&lt;/longitude&gt;
&lt;latitude&gt;26.346539&lt;/latitude&gt;
&lt;iLvl&gt;5&lt;/iLvl&gt;
&lt;/candidate&gt;
&lt;/results&gt;
</v>
      </c>
      <c r="F353" cm="1">
        <f t="array" ref="F353">INDEX(_xlfn.FILTERXML(E353,"//latitude"),1)</f>
        <v>26.346539</v>
      </c>
      <c r="G353" cm="1">
        <f t="array" ref="G353">INDEX(_xlfn.FILTERXML(E353,"//longitude"),1)</f>
        <v>127.82719400000001</v>
      </c>
      <c r="H353">
        <v>26.346539</v>
      </c>
      <c r="I353">
        <v>127.82719400000001</v>
      </c>
    </row>
    <row r="354" spans="1:9" x14ac:dyDescent="0.4">
      <c r="A354" t="s">
        <v>13</v>
      </c>
      <c r="B354" t="s">
        <v>932</v>
      </c>
      <c r="C354" t="str">
        <f t="shared" si="31"/>
        <v>埼玉県秩父市熊木町</v>
      </c>
      <c r="D354" s="2" t="str">
        <f t="shared" si="29"/>
        <v>http://geocode.csis.u-tokyo.ac.jp/cgi-bin/simple_geocode.cgi?charset=UTF8&amp;addr=%E5%9F%BC%E7%8E%89%E7%9C%8C%E7%A7%A9%E7%88%B6%E5%B8%82%E7%86%8A%E6%9C%A8%E7%94%BA</v>
      </c>
      <c r="E354" t="str">
        <f t="shared" si="30"/>
        <v xml:space="preserve">&lt;?xml version="1.0" encoding="UTF-8" ?&gt;
&lt;results&gt;
&lt;query&gt;埼玉県秩父市熊木町&lt;/query&gt;
&lt;geodetic&gt;wgs1984&lt;/geodetic&gt;
&lt;iConf&gt;5&lt;/iConf&gt;
&lt;converted&gt;埼玉県秩父市熊木町&lt;/converted&gt;
&lt;candidate&gt;
&lt;address&gt;埼玉県/秩父市/熊木町&lt;/address&gt;
&lt;longitude&gt;139.088226&lt;/longitude&gt;
&lt;latitude&gt;35.991272&lt;/latitude&gt;
&lt;iLvl&gt;5&lt;/iLvl&gt;
&lt;/candidate&gt;
&lt;/results&gt;
</v>
      </c>
      <c r="F354" cm="1">
        <f t="array" ref="F354">INDEX(_xlfn.FILTERXML(E354,"//latitude"),1)</f>
        <v>35.991272000000002</v>
      </c>
      <c r="G354" cm="1">
        <f t="array" ref="G354">INDEX(_xlfn.FILTERXML(E354,"//longitude"),1)</f>
        <v>139.08822599999999</v>
      </c>
      <c r="H354">
        <v>35.991272000000002</v>
      </c>
      <c r="I354">
        <v>139.08822599999999</v>
      </c>
    </row>
    <row r="355" spans="1:9" x14ac:dyDescent="0.4">
      <c r="A355" t="s">
        <v>28</v>
      </c>
      <c r="B355" t="s">
        <v>933</v>
      </c>
      <c r="C355" t="str">
        <f t="shared" si="31"/>
        <v>沖縄県南城市佐敷新開</v>
      </c>
      <c r="D355" s="2" t="str">
        <f t="shared" si="29"/>
        <v>http://geocode.csis.u-tokyo.ac.jp/cgi-bin/simple_geocode.cgi?charset=UTF8&amp;addr=%E6%B2%96%E7%B8%84%E7%9C%8C%E5%8D%97%E5%9F%8E%E5%B8%82%E4%BD%90%E6%95%B7%E6%96%B0%E9%96%8B</v>
      </c>
      <c r="E355" t="str">
        <f t="shared" si="30"/>
        <v xml:space="preserve">&lt;?xml version="1.0" encoding="UTF-8" ?&gt;
&lt;results&gt;
&lt;query&gt;沖縄県南城市佐敷新開&lt;/query&gt;
&lt;geodetic&gt;wgs1984&lt;/geodetic&gt;
&lt;iConf&gt;5&lt;/iConf&gt;
&lt;converted&gt;沖縄県南城市佐敷新開&lt;/converted&gt;
&lt;candidate&gt;
&lt;address&gt;沖縄県/南城市/佐敷/新開&lt;/address&gt;
&lt;longitude&gt;127.776276&lt;/longitude&gt;
&lt;latitude&gt;26.177176&lt;/latitude&gt;
&lt;iLvl&gt;6&lt;/iLvl&gt;
&lt;/candidate&gt;
&lt;/results&gt;
</v>
      </c>
      <c r="F355" cm="1">
        <f t="array" ref="F355">INDEX(_xlfn.FILTERXML(E355,"//latitude"),1)</f>
        <v>26.177175999999999</v>
      </c>
      <c r="G355" cm="1">
        <f t="array" ref="G355">INDEX(_xlfn.FILTERXML(E355,"//longitude"),1)</f>
        <v>127.776276</v>
      </c>
      <c r="H355">
        <v>26.177175999999999</v>
      </c>
      <c r="I355">
        <v>127.776276</v>
      </c>
    </row>
    <row r="356" spans="1:9" x14ac:dyDescent="0.4">
      <c r="A356" t="s">
        <v>118</v>
      </c>
      <c r="B356" t="s">
        <v>934</v>
      </c>
      <c r="C356" t="str">
        <f t="shared" si="31"/>
        <v>北海道札幌市南区澄川4条</v>
      </c>
      <c r="D356" s="2" t="str">
        <f t="shared" si="29"/>
        <v>http://geocode.csis.u-tokyo.ac.jp/cgi-bin/simple_geocode.cgi?charset=UTF8&amp;addr=%E5%8C%97%E6%B5%B7%E9%81%93%E6%9C%AD%E5%B9%8C%E5%B8%82%E5%8D%97%E5%8C%BA%E6%BE%84%E5%B7%9D4%E6%9D%A1</v>
      </c>
      <c r="E356" t="str">
        <f t="shared" si="30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356" cm="1">
        <f t="array" ref="F356">INDEX(_xlfn.FILTERXML(E356,"//latitude"),1)</f>
        <v>43.018363999999998</v>
      </c>
      <c r="G356" cm="1">
        <f t="array" ref="G356">INDEX(_xlfn.FILTERXML(E356,"//longitude"),1)</f>
        <v>141.36871300000001</v>
      </c>
      <c r="H356">
        <v>43.018363999999998</v>
      </c>
      <c r="I356">
        <v>141.36871300000001</v>
      </c>
    </row>
    <row r="357" spans="1:9" x14ac:dyDescent="0.4">
      <c r="A357" t="s">
        <v>9</v>
      </c>
      <c r="B357" t="s">
        <v>935</v>
      </c>
      <c r="C357" t="str">
        <f t="shared" si="31"/>
        <v>東京都調布市仙川町</v>
      </c>
      <c r="D357" s="2" t="str">
        <f t="shared" si="29"/>
        <v>http://geocode.csis.u-tokyo.ac.jp/cgi-bin/simple_geocode.cgi?charset=UTF8&amp;addr=%E6%9D%B1%E4%BA%AC%E9%83%BD%E8%AA%BF%E5%B8%83%E5%B8%82%E4%BB%99%E5%B7%9D%E7%94%BA</v>
      </c>
      <c r="E357" t="str">
        <f t="shared" si="30"/>
        <v xml:space="preserve">&lt;?xml version="1.0" encoding="UTF-8" ?&gt;
&lt;results&gt;
&lt;query&gt;東京都調布市仙川町&lt;/query&gt;
&lt;geodetic&gt;wgs1984&lt;/geodetic&gt;
&lt;iConf&gt;5&lt;/iConf&gt;
&lt;converted&gt;東京都調布市仙川町&lt;/converted&gt;
&lt;candidate&gt;
&lt;address&gt;東京都/調布市/仙川町&lt;/address&gt;
&lt;longitude&gt;139.585602&lt;/longitude&gt;
&lt;latitude&gt;35.660881&lt;/latitude&gt;
&lt;iLvl&gt;5&lt;/iLvl&gt;
&lt;/candidate&gt;
&lt;/results&gt;
</v>
      </c>
      <c r="F357" cm="1">
        <f t="array" ref="F357">INDEX(_xlfn.FILTERXML(E357,"//latitude"),1)</f>
        <v>35.660881000000003</v>
      </c>
      <c r="G357" cm="1">
        <f t="array" ref="G357">INDEX(_xlfn.FILTERXML(E357,"//longitude"),1)</f>
        <v>139.58560199999999</v>
      </c>
      <c r="H357">
        <v>35.660881000000003</v>
      </c>
      <c r="I357">
        <v>139.58560199999999</v>
      </c>
    </row>
    <row r="358" spans="1:9" x14ac:dyDescent="0.4">
      <c r="A358" t="s">
        <v>11</v>
      </c>
      <c r="B358" t="s">
        <v>143</v>
      </c>
      <c r="C358" t="str">
        <f t="shared" si="31"/>
        <v>大阪府大阪市中央区東心斎橋</v>
      </c>
      <c r="D358" s="2" t="str">
        <f t="shared" si="29"/>
        <v>http://geocode.csis.u-tokyo.ac.jp/cgi-bin/simple_geocode.cgi?charset=UTF8&amp;addr=%E5%A4%A7%E9%98%AA%E5%BA%9C%E5%A4%A7%E9%98%AA%E5%B8%82%E4%B8%AD%E5%A4%AE%E5%8C%BA%E6%9D%B1%E5%BF%83%E6%96%8E%E6%A9%8B</v>
      </c>
      <c r="E358" t="str">
        <f t="shared" si="30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358" cm="1">
        <f t="array" ref="F358">INDEX(_xlfn.FILTERXML(E358,"//latitude"),1)</f>
        <v>34.673416000000003</v>
      </c>
      <c r="G358" cm="1">
        <f t="array" ref="G358">INDEX(_xlfn.FILTERXML(E358,"//longitude"),1)</f>
        <v>135.50431800000001</v>
      </c>
      <c r="H358">
        <v>34.673416000000003</v>
      </c>
      <c r="I358">
        <v>135.50431800000001</v>
      </c>
    </row>
    <row r="359" spans="1:9" x14ac:dyDescent="0.4">
      <c r="A359" t="s">
        <v>28</v>
      </c>
      <c r="B359" t="s">
        <v>936</v>
      </c>
      <c r="C359" t="str">
        <f t="shared" si="31"/>
        <v>沖縄県中頭郡北谷町上勢頭</v>
      </c>
      <c r="D359" s="2" t="str">
        <f t="shared" si="29"/>
        <v>http://geocode.csis.u-tokyo.ac.jp/cgi-bin/simple_geocode.cgi?charset=UTF8&amp;addr=%E6%B2%96%E7%B8%84%E7%9C%8C%E4%B8%AD%E9%A0%AD%E9%83%A1%E5%8C%97%E8%B0%B7%E7%94%BA%E4%B8%8A%E5%8B%A2%E9%A0%AD</v>
      </c>
      <c r="E359" t="str">
        <f t="shared" si="30"/>
        <v xml:space="preserve">&lt;?xml version="1.0" encoding="UTF-8" ?&gt;
&lt;results&gt;
&lt;query&gt;沖縄県中頭郡北谷町上勢頭&lt;/query&gt;
&lt;geodetic&gt;wgs1984&lt;/geodetic&gt;
&lt;iConf&gt;5&lt;/iConf&gt;
&lt;converted&gt;沖縄県中頭郡北谷町上勢頭&lt;/converted&gt;
&lt;candidate&gt;
&lt;address&gt;沖縄県/中頭郡/北谷町/上勢頭&lt;/address&gt;
&lt;longitude&gt;127.771072&lt;/longitude&gt;
&lt;latitude&gt;26.332603&lt;/latitude&gt;
&lt;iLvl&gt;5&lt;/iLvl&gt;
&lt;/candidate&gt;
&lt;/results&gt;
</v>
      </c>
      <c r="F359" cm="1">
        <f t="array" ref="F359">INDEX(_xlfn.FILTERXML(E359,"//latitude"),1)</f>
        <v>26.332602999999999</v>
      </c>
      <c r="G359" cm="1">
        <f t="array" ref="G359">INDEX(_xlfn.FILTERXML(E359,"//longitude"),1)</f>
        <v>127.771072</v>
      </c>
      <c r="H359">
        <v>26.332602999999999</v>
      </c>
      <c r="I359">
        <v>127.771072</v>
      </c>
    </row>
    <row r="360" spans="1:9" x14ac:dyDescent="0.4">
      <c r="A360" t="s">
        <v>20</v>
      </c>
      <c r="B360" t="s">
        <v>937</v>
      </c>
      <c r="C360" t="str">
        <f t="shared" si="31"/>
        <v>茨城県取手市</v>
      </c>
      <c r="D360" s="2" t="str">
        <f t="shared" si="29"/>
        <v>http://geocode.csis.u-tokyo.ac.jp/cgi-bin/simple_geocode.cgi?charset=UTF8&amp;addr=%E8%8C%A8%E5%9F%8E%E7%9C%8C%E5%8F%96%E6%89%8B%E5%B8%82</v>
      </c>
      <c r="E360" t="str">
        <f t="shared" si="30"/>
        <v xml:space="preserve">&lt;?xml version="1.0" encoding="UTF-8" ?&gt;
&lt;results&gt;
&lt;query&gt;茨城県取手市&lt;/query&gt;
&lt;geodetic&gt;wgs1984&lt;/geodetic&gt;
&lt;iConf&gt;5&lt;/iConf&gt;
&lt;converted&gt;茨城県取手市&lt;/converted&gt;
&lt;candidate&gt;
&lt;address&gt;茨城県/取手市&lt;/address&gt;
&lt;longitude&gt;140.050308&lt;/longitude&gt;
&lt;latitude&gt;35.911472&lt;/latitude&gt;
&lt;iLvl&gt;3&lt;/iLvl&gt;
&lt;/candidate&gt;
&lt;/results&gt;
</v>
      </c>
      <c r="F360" cm="1">
        <f t="array" ref="F360">INDEX(_xlfn.FILTERXML(E360,"//latitude"),1)</f>
        <v>35.911472000000003</v>
      </c>
      <c r="G360" cm="1">
        <f t="array" ref="G360">INDEX(_xlfn.FILTERXML(E360,"//longitude"),1)</f>
        <v>140.050308</v>
      </c>
      <c r="H360">
        <v>35.911472000000003</v>
      </c>
      <c r="I360">
        <v>140.050308</v>
      </c>
    </row>
    <row r="361" spans="1:9" x14ac:dyDescent="0.4">
      <c r="A361" t="s">
        <v>15</v>
      </c>
      <c r="B361" t="s">
        <v>231</v>
      </c>
      <c r="C361" t="str">
        <f t="shared" si="31"/>
        <v>兵庫県川西市大和東</v>
      </c>
      <c r="D361" s="2" t="str">
        <f t="shared" si="29"/>
        <v>http://geocode.csis.u-tokyo.ac.jp/cgi-bin/simple_geocode.cgi?charset=UTF8&amp;addr=%E5%85%B5%E5%BA%AB%E7%9C%8C%E5%B7%9D%E8%A5%BF%E5%B8%82%E5%A4%A7%E5%92%8C%E6%9D%B1</v>
      </c>
      <c r="E361" t="str">
        <f t="shared" si="30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361" cm="1">
        <f t="array" ref="F361">INDEX(_xlfn.FILTERXML(E361,"//latitude"),1)</f>
        <v>34.884841999999999</v>
      </c>
      <c r="G361" cm="1">
        <f t="array" ref="G361">INDEX(_xlfn.FILTERXML(E361,"//longitude"),1)</f>
        <v>135.42190600000001</v>
      </c>
      <c r="H361">
        <v>34.884841999999999</v>
      </c>
      <c r="I361">
        <v>135.42190600000001</v>
      </c>
    </row>
    <row r="362" spans="1:9" x14ac:dyDescent="0.4">
      <c r="A362" t="s">
        <v>26</v>
      </c>
      <c r="B362" t="s">
        <v>938</v>
      </c>
      <c r="C362" t="str">
        <f t="shared" si="31"/>
        <v>京都府京都市左京区松ケ崎木ノ本町</v>
      </c>
      <c r="D362" s="2" t="str">
        <f t="shared" si="29"/>
        <v>http://geocode.csis.u-tokyo.ac.jp/cgi-bin/simple_geocode.cgi?charset=UTF8&amp;addr=%E4%BA%AC%E9%83%BD%E5%BA%9C%E4%BA%AC%E9%83%BD%E5%B8%82%E5%B7%A6%E4%BA%AC%E5%8C%BA%E6%9D%BE%E3%82%B1%E5%B4%8E%E6%9C%A8%E3%83%8E%E6%9C%AC%E7%94%BA</v>
      </c>
      <c r="E362" t="str">
        <f t="shared" si="30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362" cm="1">
        <f t="array" ref="F362">INDEX(_xlfn.FILTERXML(E362,"//latitude"),1)</f>
        <v>35.051127999999999</v>
      </c>
      <c r="G362" cm="1">
        <f t="array" ref="G362">INDEX(_xlfn.FILTERXML(E362,"//longitude"),1)</f>
        <v>135.78089900000001</v>
      </c>
      <c r="H362">
        <v>35.051127999999999</v>
      </c>
      <c r="I362">
        <v>135.78089900000001</v>
      </c>
    </row>
    <row r="363" spans="1:9" x14ac:dyDescent="0.4">
      <c r="A363" t="s">
        <v>15</v>
      </c>
      <c r="B363" t="s">
        <v>939</v>
      </c>
      <c r="C363" t="str">
        <f t="shared" si="31"/>
        <v>兵庫県神戸市東灘区住吉山手</v>
      </c>
      <c r="D363" s="2" t="str">
        <f t="shared" si="29"/>
        <v>http://geocode.csis.u-tokyo.ac.jp/cgi-bin/simple_geocode.cgi?charset=UTF8&amp;addr=%E5%85%B5%E5%BA%AB%E7%9C%8C%E7%A5%9E%E6%88%B8%E5%B8%82%E6%9D%B1%E7%81%98%E5%8C%BA%E4%BD%8F%E5%90%89%E5%B1%B1%E6%89%8B</v>
      </c>
      <c r="E363" t="str">
        <f t="shared" si="30"/>
        <v xml:space="preserve">&lt;?xml version="1.0" encoding="UTF-8" ?&gt;
&lt;results&gt;
&lt;query&gt;兵庫県神戸市東灘区住吉山手&lt;/query&gt;
&lt;geodetic&gt;wgs1984&lt;/geodetic&gt;
&lt;iConf&gt;5&lt;/iConf&gt;
&lt;converted&gt;兵庫県神戸市東灘区住吉山手&lt;/converted&gt;
&lt;candidate&gt;
&lt;address&gt;兵庫県/神戸市/東灘区/住吉山手&lt;/address&gt;
&lt;longitude&gt;135.259903&lt;/longitude&gt;
&lt;latitude&gt;34.726387&lt;/latitude&gt;
&lt;iLvl&gt;5&lt;/iLvl&gt;
&lt;/candidate&gt;
&lt;/results&gt;
</v>
      </c>
      <c r="F363" cm="1">
        <f t="array" ref="F363">INDEX(_xlfn.FILTERXML(E363,"//latitude"),1)</f>
        <v>34.726387000000003</v>
      </c>
      <c r="G363" cm="1">
        <f t="array" ref="G363">INDEX(_xlfn.FILTERXML(E363,"//longitude"),1)</f>
        <v>135.25990300000001</v>
      </c>
      <c r="H363">
        <v>34.726387000000003</v>
      </c>
      <c r="I363">
        <v>135.25990300000001</v>
      </c>
    </row>
    <row r="364" spans="1:9" x14ac:dyDescent="0.4">
      <c r="A364" t="s">
        <v>17</v>
      </c>
      <c r="B364" t="s">
        <v>940</v>
      </c>
      <c r="C364" t="str">
        <f t="shared" si="31"/>
        <v>愛知県江南市赤童子町福住</v>
      </c>
      <c r="D364" s="2" t="str">
        <f t="shared" si="29"/>
        <v>http://geocode.csis.u-tokyo.ac.jp/cgi-bin/simple_geocode.cgi?charset=UTF8&amp;addr=%E6%84%9B%E7%9F%A5%E7%9C%8C%E6%B1%9F%E5%8D%97%E5%B8%82%E8%B5%A4%E7%AB%A5%E5%AD%90%E7%94%BA%E7%A6%8F%E4%BD%8F</v>
      </c>
      <c r="E364" t="str">
        <f t="shared" si="30"/>
        <v xml:space="preserve">&lt;?xml version="1.0" encoding="UTF-8" ?&gt;
&lt;results&gt;
&lt;query&gt;愛知県江南市赤童子町福住&lt;/query&gt;
&lt;geodetic&gt;wgs1984&lt;/geodetic&gt;
&lt;iConf&gt;5&lt;/iConf&gt;
&lt;converted&gt;愛知県江南市赤童子町福住&lt;/converted&gt;
&lt;candidate&gt;
&lt;address&gt;愛知県/江南市/赤童子町福住&lt;/address&gt;
&lt;longitude&gt;136.873322&lt;/longitude&gt;
&lt;latitude&gt;35.329716&lt;/latitude&gt;
&lt;iLvl&gt;5&lt;/iLvl&gt;
&lt;/candidate&gt;
&lt;/results&gt;
</v>
      </c>
      <c r="F364" cm="1">
        <f t="array" ref="F364">INDEX(_xlfn.FILTERXML(E364,"//latitude"),1)</f>
        <v>35.329715999999998</v>
      </c>
      <c r="G364" cm="1">
        <f t="array" ref="G364">INDEX(_xlfn.FILTERXML(E364,"//longitude"),1)</f>
        <v>136.873322</v>
      </c>
      <c r="H364">
        <v>35.329715999999998</v>
      </c>
      <c r="I364">
        <v>136.873322</v>
      </c>
    </row>
    <row r="365" spans="1:9" x14ac:dyDescent="0.4">
      <c r="A365" t="s">
        <v>9</v>
      </c>
      <c r="B365" t="s">
        <v>340</v>
      </c>
      <c r="C365" t="str">
        <f t="shared" si="31"/>
        <v>東京都豊島区西巣鴨</v>
      </c>
      <c r="D365" s="2" t="str">
        <f t="shared" si="29"/>
        <v>http://geocode.csis.u-tokyo.ac.jp/cgi-bin/simple_geocode.cgi?charset=UTF8&amp;addr=%E6%9D%B1%E4%BA%AC%E9%83%BD%E8%B1%8A%E5%B3%B6%E5%8C%BA%E8%A5%BF%E5%B7%A3%E9%B4%A8</v>
      </c>
      <c r="E365" t="str">
        <f t="shared" si="30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365" cm="1">
        <f t="array" ref="F365">INDEX(_xlfn.FILTERXML(E365,"//latitude"),1)</f>
        <v>35.737560000000002</v>
      </c>
      <c r="G365" cm="1">
        <f t="array" ref="G365">INDEX(_xlfn.FILTERXML(E365,"//longitude"),1)</f>
        <v>139.725266</v>
      </c>
      <c r="H365">
        <v>35.737560000000002</v>
      </c>
      <c r="I365">
        <v>139.725266</v>
      </c>
    </row>
    <row r="366" spans="1:9" x14ac:dyDescent="0.4">
      <c r="A366" t="s">
        <v>28</v>
      </c>
      <c r="B366" t="s">
        <v>941</v>
      </c>
      <c r="C366" t="str">
        <f t="shared" si="31"/>
        <v>沖縄県島尻郡南風原町宮平</v>
      </c>
      <c r="D366" s="2" t="str">
        <f t="shared" si="29"/>
        <v>http://geocode.csis.u-tokyo.ac.jp/cgi-bin/simple_geocode.cgi?charset=UTF8&amp;addr=%E6%B2%96%E7%B8%84%E7%9C%8C%E5%B3%B6%E5%B0%BB%E9%83%A1%E5%8D%97%E9%A2%A8%E5%8E%9F%E7%94%BA%E5%AE%AE%E5%B9%B3</v>
      </c>
      <c r="E366" t="str">
        <f t="shared" si="30"/>
        <v xml:space="preserve">&lt;?xml version="1.0" encoding="UTF-8" ?&gt;
&lt;results&gt;
&lt;query&gt;沖縄県島尻郡南風原宮平&lt;/query&gt;
&lt;geodetic&gt;wgs1984&lt;/geodetic&gt;
&lt;iConf&gt;5&lt;/iConf&gt;
&lt;converted&gt;沖縄県島尻郡南風原町宮平&lt;/converted&gt;
&lt;candidate&gt;
&lt;address&gt;沖縄県/島尻郡/南風原町/宮平&lt;/address&gt;
&lt;longitude&gt;127.734436&lt;/longitude&gt;
&lt;latitude&gt;26.197647&lt;/latitude&gt;
&lt;iLvl&gt;5&lt;/iLvl&gt;
&lt;/candidate&gt;
&lt;/results&gt;
</v>
      </c>
      <c r="F366" cm="1">
        <f t="array" ref="F366">INDEX(_xlfn.FILTERXML(E366,"//latitude"),1)</f>
        <v>26.197647</v>
      </c>
      <c r="G366" cm="1">
        <f t="array" ref="G366">INDEX(_xlfn.FILTERXML(E366,"//longitude"),1)</f>
        <v>127.734436</v>
      </c>
      <c r="H366">
        <v>26.197647</v>
      </c>
      <c r="I366">
        <v>127.734436</v>
      </c>
    </row>
    <row r="367" spans="1:9" x14ac:dyDescent="0.4">
      <c r="A367" t="s">
        <v>10</v>
      </c>
      <c r="B367" t="s">
        <v>942</v>
      </c>
      <c r="C367" t="str">
        <f t="shared" si="31"/>
        <v>神奈川県伊勢原市串橋</v>
      </c>
      <c r="D367" s="2" t="str">
        <f t="shared" si="29"/>
        <v>http://geocode.csis.u-tokyo.ac.jp/cgi-bin/simple_geocode.cgi?charset=UTF8&amp;addr=%E7%A5%9E%E5%A5%88%E5%B7%9D%E7%9C%8C%E4%BC%8A%E5%8B%A2%E5%8E%9F%E5%B8%82%E4%B8%B2%E6%A9%8B</v>
      </c>
      <c r="E367" t="str">
        <f t="shared" si="30"/>
        <v xml:space="preserve">&lt;?xml version="1.0" encoding="UTF-8" ?&gt;
&lt;results&gt;
&lt;query&gt;神奈川県伊勢原市串橋&lt;/query&gt;
&lt;geodetic&gt;wgs1984&lt;/geodetic&gt;
&lt;iConf&gt;5&lt;/iConf&gt;
&lt;converted&gt;神奈川県伊勢原市串橋&lt;/converted&gt;
&lt;candidate&gt;
&lt;address&gt;神奈川県/伊勢原市/串橋&lt;/address&gt;
&lt;longitude&gt;139.288956&lt;/longitude&gt;
&lt;latitude&gt;35.388004&lt;/latitude&gt;
&lt;iLvl&gt;5&lt;/iLvl&gt;
&lt;/candidate&gt;
&lt;/results&gt;
</v>
      </c>
      <c r="F367" cm="1">
        <f t="array" ref="F367">INDEX(_xlfn.FILTERXML(E367,"//latitude"),1)</f>
        <v>35.388004000000002</v>
      </c>
      <c r="G367" cm="1">
        <f t="array" ref="G367">INDEX(_xlfn.FILTERXML(E367,"//longitude"),1)</f>
        <v>139.28895600000001</v>
      </c>
      <c r="H367">
        <v>35.388004000000002</v>
      </c>
      <c r="I367">
        <v>139.28895600000001</v>
      </c>
    </row>
    <row r="368" spans="1:9" x14ac:dyDescent="0.4">
      <c r="A368" t="s">
        <v>123</v>
      </c>
      <c r="B368" t="s">
        <v>943</v>
      </c>
      <c r="C368" t="str">
        <f t="shared" si="31"/>
        <v>和歌山県和歌山市西高松</v>
      </c>
      <c r="D368" s="2" t="str">
        <f t="shared" si="29"/>
        <v>http://geocode.csis.u-tokyo.ac.jp/cgi-bin/simple_geocode.cgi?charset=UTF8&amp;addr=%E5%92%8C%E6%AD%8C%E5%B1%B1%E7%9C%8C%E5%92%8C%E6%AD%8C%E5%B1%B1%E5%B8%82%E8%A5%BF%E9%AB%98%E6%9D%BE</v>
      </c>
      <c r="E368" t="str">
        <f t="shared" si="30"/>
        <v xml:space="preserve">&lt;?xml version="1.0" encoding="UTF-8" ?&gt;
&lt;results&gt;
&lt;query&gt;和歌山県和歌山市西高松&lt;/query&gt;
&lt;geodetic&gt;wgs1984&lt;/geodetic&gt;
&lt;iConf&gt;5&lt;/iConf&gt;
&lt;converted&gt;和歌山県和歌山市西高松&lt;/converted&gt;
&lt;candidate&gt;
&lt;address&gt;和歌山県/和歌山市/西高松&lt;/address&gt;
&lt;longitude&gt;135.169815&lt;/longitude&gt;
&lt;latitude&gt;34.209484&lt;/latitude&gt;
&lt;iLvl&gt;5&lt;/iLvl&gt;
&lt;/candidate&gt;
&lt;/results&gt;
</v>
      </c>
      <c r="F368" cm="1">
        <f t="array" ref="F368">INDEX(_xlfn.FILTERXML(E368,"//latitude"),1)</f>
        <v>34.209484000000003</v>
      </c>
      <c r="G368" cm="1">
        <f t="array" ref="G368">INDEX(_xlfn.FILTERXML(E368,"//longitude"),1)</f>
        <v>135.169815</v>
      </c>
      <c r="H368">
        <v>34.209484000000003</v>
      </c>
      <c r="I368">
        <v>135.169815</v>
      </c>
    </row>
    <row r="369" spans="1:9" x14ac:dyDescent="0.4">
      <c r="A369" t="s">
        <v>34</v>
      </c>
      <c r="B369" t="s">
        <v>944</v>
      </c>
      <c r="C369" t="str">
        <f t="shared" si="31"/>
        <v>岐阜県岐阜市芥見中野畑</v>
      </c>
      <c r="D369" s="2" t="str">
        <f t="shared" si="29"/>
        <v>http://geocode.csis.u-tokyo.ac.jp/cgi-bin/simple_geocode.cgi?charset=UTF8&amp;addr=%E5%B2%90%E9%98%9C%E7%9C%8C%E5%B2%90%E9%98%9C%E5%B8%82%E8%8A%A5%E8%A6%8B%E4%B8%AD%E9%87%8E%E7%95%91</v>
      </c>
      <c r="E369" t="str">
        <f t="shared" si="30"/>
        <v xml:space="preserve">&lt;?xml version="1.0" encoding="UTF-8" ?&gt;
&lt;results&gt;
&lt;query&gt;岐阜県岐阜市芥見中野畑&lt;/query&gt;
&lt;geodetic&gt;wgs1984&lt;/geodetic&gt;
&lt;iConf&gt;5&lt;/iConf&gt;
&lt;converted&gt;岐阜県岐阜市芥見中野畑&lt;/converted&gt;
&lt;candidate&gt;
&lt;address&gt;岐阜県/岐阜市/芥見中野畑&lt;/address&gt;
&lt;longitude&gt;136.842941&lt;/longitude&gt;
&lt;latitude&gt;35.445213&lt;/latitude&gt;
&lt;iLvl&gt;5&lt;/iLvl&gt;
&lt;/candidate&gt;
&lt;/results&gt;
</v>
      </c>
      <c r="F369" cm="1">
        <f t="array" ref="F369">INDEX(_xlfn.FILTERXML(E369,"//latitude"),1)</f>
        <v>35.445213000000003</v>
      </c>
      <c r="G369" cm="1">
        <f t="array" ref="G369">INDEX(_xlfn.FILTERXML(E369,"//longitude"),1)</f>
        <v>136.842941</v>
      </c>
      <c r="H369">
        <v>35.445213000000003</v>
      </c>
      <c r="I369">
        <v>136.842941</v>
      </c>
    </row>
    <row r="370" spans="1:9" x14ac:dyDescent="0.4">
      <c r="A370" t="s">
        <v>18</v>
      </c>
      <c r="B370" t="s">
        <v>945</v>
      </c>
      <c r="C370" t="str">
        <f t="shared" si="31"/>
        <v>千葉県千葉市美浜区</v>
      </c>
      <c r="D370" s="2" t="str">
        <f t="shared" si="29"/>
        <v>http://geocode.csis.u-tokyo.ac.jp/cgi-bin/simple_geocode.cgi?charset=UTF8&amp;addr=%E5%8D%83%E8%91%89%E7%9C%8C%E5%8D%83%E8%91%89%E5%B8%82%E7%BE%8E%E6%B5%9C%E5%8C%BA</v>
      </c>
      <c r="E370" t="str">
        <f t="shared" si="30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370" cm="1">
        <f t="array" ref="F370">INDEX(_xlfn.FILTERXML(E370,"//latitude"),1)</f>
        <v>35.640552999999997</v>
      </c>
      <c r="G370" cm="1">
        <f t="array" ref="G370">INDEX(_xlfn.FILTERXML(E370,"//longitude"),1)</f>
        <v>140.06303399999999</v>
      </c>
      <c r="H370">
        <v>35.640552999999997</v>
      </c>
      <c r="I370">
        <v>140.06303399999999</v>
      </c>
    </row>
    <row r="371" spans="1:9" x14ac:dyDescent="0.4">
      <c r="A371" t="s">
        <v>18</v>
      </c>
      <c r="B371" t="s">
        <v>946</v>
      </c>
      <c r="C371" t="str">
        <f t="shared" si="31"/>
        <v>千葉県旭市萩園</v>
      </c>
      <c r="D371" s="2" t="str">
        <f t="shared" si="29"/>
        <v>http://geocode.csis.u-tokyo.ac.jp/cgi-bin/simple_geocode.cgi?charset=UTF8&amp;addr=%E5%8D%83%E8%91%89%E7%9C%8C%E6%97%AD%E5%B8%82%E8%90%A9%E5%9C%92</v>
      </c>
      <c r="E371" t="str">
        <f t="shared" si="30"/>
        <v xml:space="preserve">&lt;?xml version="1.0" encoding="UTF-8" ?&gt;
&lt;results&gt;
&lt;query&gt;千葉県旭市萩園&lt;/query&gt;
&lt;geodetic&gt;wgs1984&lt;/geodetic&gt;
&lt;iConf&gt;5&lt;/iConf&gt;
&lt;converted&gt;千葉県旭市萩園&lt;/converted&gt;
&lt;candidate&gt;
&lt;address&gt;千葉県/旭市/萩園&lt;/address&gt;
&lt;longitude&gt;140.712311&lt;/longitude&gt;
&lt;latitude&gt;35.706589&lt;/latitude&gt;
&lt;iLvl&gt;5&lt;/iLvl&gt;
&lt;/candidate&gt;
&lt;/results&gt;
</v>
      </c>
      <c r="F371" cm="1">
        <f t="array" ref="F371">INDEX(_xlfn.FILTERXML(E371,"//latitude"),1)</f>
        <v>35.706589000000001</v>
      </c>
      <c r="G371" cm="1">
        <f t="array" ref="G371">INDEX(_xlfn.FILTERXML(E371,"//longitude"),1)</f>
        <v>140.712311</v>
      </c>
      <c r="H371">
        <v>35.706589000000001</v>
      </c>
      <c r="I371">
        <v>140.712311</v>
      </c>
    </row>
    <row r="372" spans="1:9" x14ac:dyDescent="0.4">
      <c r="A372" t="s">
        <v>10</v>
      </c>
      <c r="B372" t="s">
        <v>947</v>
      </c>
      <c r="C372" t="str">
        <f t="shared" si="31"/>
        <v>神奈川県相模原市南区下溝</v>
      </c>
      <c r="D372" s="2" t="str">
        <f t="shared" si="29"/>
        <v>http://geocode.csis.u-tokyo.ac.jp/cgi-bin/simple_geocode.cgi?charset=UTF8&amp;addr=%E7%A5%9E%E5%A5%88%E5%B7%9D%E7%9C%8C%E7%9B%B8%E6%A8%A1%E5%8E%9F%E5%B8%82%E5%8D%97%E5%8C%BA%E4%B8%8B%E6%BA%9D</v>
      </c>
      <c r="E372" t="str">
        <f t="shared" si="30"/>
        <v xml:space="preserve">&lt;?xml version="1.0" encoding="UTF-8" ?&gt;
&lt;results&gt;
&lt;query&gt;神奈川県相模原市南区下溝&lt;/query&gt;
&lt;geodetic&gt;wgs1984&lt;/geodetic&gt;
&lt;iConf&gt;5&lt;/iConf&gt;
&lt;converted&gt;神奈川県相模原市南区下溝&lt;/converted&gt;
&lt;candidate&gt;
&lt;address&gt;神奈川県/相模原市/南区/下溝&lt;/address&gt;
&lt;longitude&gt;139.380600&lt;/longitude&gt;
&lt;latitude&gt;35.531517&lt;/latitude&gt;
&lt;iLvl&gt;5&lt;/iLvl&gt;
&lt;/candidate&gt;
&lt;/results&gt;
</v>
      </c>
      <c r="F372" cm="1">
        <f t="array" ref="F372">INDEX(_xlfn.FILTERXML(E372,"//latitude"),1)</f>
        <v>35.531517000000001</v>
      </c>
      <c r="G372" cm="1">
        <f t="array" ref="G372">INDEX(_xlfn.FILTERXML(E372,"//longitude"),1)</f>
        <v>139.38059999999999</v>
      </c>
      <c r="H372">
        <v>35.531517000000001</v>
      </c>
      <c r="I372">
        <v>139.38059999999999</v>
      </c>
    </row>
    <row r="373" spans="1:9" x14ac:dyDescent="0.4">
      <c r="A373" t="s">
        <v>31</v>
      </c>
      <c r="B373" t="s">
        <v>297</v>
      </c>
      <c r="C373" t="str">
        <f t="shared" si="31"/>
        <v>熊本県熊本市中央区帯山</v>
      </c>
      <c r="D373" s="2" t="str">
        <f t="shared" si="29"/>
        <v>http://geocode.csis.u-tokyo.ac.jp/cgi-bin/simple_geocode.cgi?charset=UTF8&amp;addr=%E7%86%8A%E6%9C%AC%E7%9C%8C%E7%86%8A%E6%9C%AC%E5%B8%82%E4%B8%AD%E5%A4%AE%E5%8C%BA%E5%B8%AF%E5%B1%B1</v>
      </c>
      <c r="E373" t="str">
        <f t="shared" si="30"/>
        <v xml:space="preserve">&lt;?xml version="1.0" encoding="UTF-8" ?&gt;
&lt;results&gt;
&lt;query&gt;熊本県熊本市中央区帯山&lt;/query&gt;
&lt;geodetic&gt;wgs1984&lt;/geodetic&gt;
&lt;iConf&gt;5&lt;/iConf&gt;
&lt;converted&gt;熊本県熊本市中央区帯山&lt;/converted&gt;
&lt;candidate&gt;
&lt;address&gt;熊本県/熊本市/中央区/帯山&lt;/address&gt;
&lt;longitude&gt;130.741364&lt;/longitude&gt;
&lt;latitude&gt;32.801014&lt;/latitude&gt;
&lt;iLvl&gt;5&lt;/iLvl&gt;
&lt;/candidate&gt;
&lt;/results&gt;
</v>
      </c>
      <c r="F373" cm="1">
        <f t="array" ref="F373">INDEX(_xlfn.FILTERXML(E373,"//latitude"),1)</f>
        <v>32.801014000000002</v>
      </c>
      <c r="G373" cm="1">
        <f t="array" ref="G373">INDEX(_xlfn.FILTERXML(E373,"//longitude"),1)</f>
        <v>130.741364</v>
      </c>
      <c r="H373">
        <v>32.801014000000002</v>
      </c>
      <c r="I373">
        <v>130.741364</v>
      </c>
    </row>
    <row r="374" spans="1:9" x14ac:dyDescent="0.4">
      <c r="A374" t="s">
        <v>18</v>
      </c>
      <c r="B374" t="s">
        <v>948</v>
      </c>
      <c r="C374" t="str">
        <f t="shared" si="31"/>
        <v>千葉県松戸市東松戸</v>
      </c>
      <c r="D374" s="2" t="str">
        <f t="shared" si="29"/>
        <v>http://geocode.csis.u-tokyo.ac.jp/cgi-bin/simple_geocode.cgi?charset=UTF8&amp;addr=%E5%8D%83%E8%91%89%E7%9C%8C%E6%9D%BE%E6%88%B8%E5%B8%82%E6%9D%B1%E6%9D%BE%E6%88%B8</v>
      </c>
      <c r="E374" t="str">
        <f t="shared" si="30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374" cm="1">
        <f t="array" ref="F374">INDEX(_xlfn.FILTERXML(E374,"//latitude"),1)</f>
        <v>35.772781000000002</v>
      </c>
      <c r="G374" cm="1">
        <f t="array" ref="G374">INDEX(_xlfn.FILTERXML(E374,"//longitude"),1)</f>
        <v>139.946136</v>
      </c>
      <c r="H374">
        <v>35.772781000000002</v>
      </c>
      <c r="I374">
        <v>139.946136</v>
      </c>
    </row>
    <row r="375" spans="1:9" x14ac:dyDescent="0.4">
      <c r="A375" t="s">
        <v>9</v>
      </c>
      <c r="B375" t="s">
        <v>98</v>
      </c>
      <c r="C375" t="str">
        <f t="shared" si="31"/>
        <v>東京都新宿区</v>
      </c>
      <c r="D375" s="2" t="str">
        <f t="shared" si="29"/>
        <v>http://geocode.csis.u-tokyo.ac.jp/cgi-bin/simple_geocode.cgi?charset=UTF8&amp;addr=%E6%9D%B1%E4%BA%AC%E9%83%BD%E6%96%B0%E5%AE%BF%E5%8C%BA</v>
      </c>
      <c r="E375" t="str">
        <f t="shared" si="30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375" cm="1">
        <f t="array" ref="F375">INDEX(_xlfn.FILTERXML(E375,"//latitude"),1)</f>
        <v>35.693890000000003</v>
      </c>
      <c r="G375" cm="1">
        <f t="array" ref="G375">INDEX(_xlfn.FILTERXML(E375,"//longitude"),1)</f>
        <v>139.703461</v>
      </c>
      <c r="H375">
        <v>35.693890000000003</v>
      </c>
      <c r="I375">
        <v>139.703461</v>
      </c>
    </row>
    <row r="376" spans="1:9" x14ac:dyDescent="0.4">
      <c r="A376" t="s">
        <v>48</v>
      </c>
      <c r="B376" t="s">
        <v>949</v>
      </c>
      <c r="C376" t="str">
        <f t="shared" si="31"/>
        <v>石川県金沢市中央通町</v>
      </c>
      <c r="D376" s="2" t="str">
        <f t="shared" si="29"/>
        <v>http://geocode.csis.u-tokyo.ac.jp/cgi-bin/simple_geocode.cgi?charset=UTF8&amp;addr=%E7%9F%B3%E5%B7%9D%E7%9C%8C%E9%87%91%E6%B2%A2%E5%B8%82%E4%B8%AD%E5%A4%AE%E9%80%9A%E7%94%BA</v>
      </c>
      <c r="E376" t="str">
        <f t="shared" si="30"/>
        <v xml:space="preserve">&lt;?xml version="1.0" encoding="UTF-8" ?&gt;
&lt;results&gt;
&lt;query&gt;石川県金沢市中央通町&lt;/query&gt;
&lt;geodetic&gt;wgs1984&lt;/geodetic&gt;
&lt;iConf&gt;5&lt;/iConf&gt;
&lt;converted&gt;石川県金沢市中央通町&lt;/converted&gt;
&lt;candidate&gt;
&lt;address&gt;石川県/金沢市/中央通町&lt;/address&gt;
&lt;longitude&gt;136.646835&lt;/longitude&gt;
&lt;latitude&gt;36.563419&lt;/latitude&gt;
&lt;iLvl&gt;5&lt;/iLvl&gt;
&lt;/candidate&gt;
&lt;/results&gt;
</v>
      </c>
      <c r="F376" cm="1">
        <f t="array" ref="F376">INDEX(_xlfn.FILTERXML(E376,"//latitude"),1)</f>
        <v>36.563419000000003</v>
      </c>
      <c r="G376" cm="1">
        <f t="array" ref="G376">INDEX(_xlfn.FILTERXML(E376,"//longitude"),1)</f>
        <v>136.64683500000001</v>
      </c>
      <c r="H376">
        <v>36.563419000000003</v>
      </c>
      <c r="I376">
        <v>136.64683500000001</v>
      </c>
    </row>
    <row r="377" spans="1:9" x14ac:dyDescent="0.4">
      <c r="A377" t="s">
        <v>9</v>
      </c>
      <c r="B377" t="s">
        <v>950</v>
      </c>
      <c r="C377" t="str">
        <f t="shared" si="31"/>
        <v>東京都東久留米市幸町</v>
      </c>
      <c r="D377" s="2" t="str">
        <f t="shared" si="29"/>
        <v>http://geocode.csis.u-tokyo.ac.jp/cgi-bin/simple_geocode.cgi?charset=UTF8&amp;addr=%E6%9D%B1%E4%BA%AC%E9%83%BD%E6%9D%B1%E4%B9%85%E7%95%99%E7%B1%B3%E5%B8%82%E5%B9%B8%E7%94%BA</v>
      </c>
      <c r="E377" t="str">
        <f t="shared" si="30"/>
        <v xml:space="preserve">&lt;?xml version="1.0" encoding="UTF-8" ?&gt;
&lt;results&gt;
&lt;query&gt;東京都東久留米市幸町&lt;/query&gt;
&lt;geodetic&gt;wgs1984&lt;/geodetic&gt;
&lt;iConf&gt;5&lt;/iConf&gt;
&lt;converted&gt;東京都東久留米市幸町&lt;/converted&gt;
&lt;candidate&gt;
&lt;address&gt;東京都/東久留米市/幸町&lt;/address&gt;
&lt;longitude&gt;139.524719&lt;/longitude&gt;
&lt;latitude&gt;35.760506&lt;/latitude&gt;
&lt;iLvl&gt;5&lt;/iLvl&gt;
&lt;/candidate&gt;
&lt;/results&gt;
</v>
      </c>
      <c r="F377" cm="1">
        <f t="array" ref="F377">INDEX(_xlfn.FILTERXML(E377,"//latitude"),1)</f>
        <v>35.760505999999999</v>
      </c>
      <c r="G377" cm="1">
        <f t="array" ref="G377">INDEX(_xlfn.FILTERXML(E377,"//longitude"),1)</f>
        <v>139.524719</v>
      </c>
      <c r="H377">
        <v>35.760505999999999</v>
      </c>
      <c r="I377">
        <v>139.524719</v>
      </c>
    </row>
    <row r="378" spans="1:9" x14ac:dyDescent="0.4">
      <c r="A378" t="s">
        <v>15</v>
      </c>
      <c r="B378" t="s">
        <v>951</v>
      </c>
      <c r="C378" t="str">
        <f t="shared" si="31"/>
        <v>兵庫県姫路市十二所前町</v>
      </c>
      <c r="D378" s="2" t="str">
        <f t="shared" si="29"/>
        <v>http://geocode.csis.u-tokyo.ac.jp/cgi-bin/simple_geocode.cgi?charset=UTF8&amp;addr=%E5%85%B5%E5%BA%AB%E7%9C%8C%E5%A7%AB%E8%B7%AF%E5%B8%82%E5%8D%81%E4%BA%8C%E6%89%80%E5%89%8D%E7%94%BA</v>
      </c>
      <c r="E378" t="str">
        <f t="shared" si="30"/>
        <v xml:space="preserve">&lt;?xml version="1.0" encoding="UTF-8" ?&gt;
&lt;results&gt;
&lt;query&gt;兵庫県姫路市十二所前町&lt;/query&gt;
&lt;geodetic&gt;wgs1984&lt;/geodetic&gt;
&lt;iConf&gt;5&lt;/iConf&gt;
&lt;converted&gt;兵庫県姫路市十二所前町&lt;/converted&gt;
&lt;candidate&gt;
&lt;address&gt;兵庫県/姫路市/十二所前町&lt;/address&gt;
&lt;longitude&gt;134.687149&lt;/longitude&gt;
&lt;latitude&gt;34.830685&lt;/latitude&gt;
&lt;iLvl&gt;5&lt;/iLvl&gt;
&lt;/candidate&gt;
&lt;/results&gt;
</v>
      </c>
      <c r="F378" cm="1">
        <f t="array" ref="F378">INDEX(_xlfn.FILTERXML(E378,"//latitude"),1)</f>
        <v>34.830685000000003</v>
      </c>
      <c r="G378" cm="1">
        <f t="array" ref="G378">INDEX(_xlfn.FILTERXML(E378,"//longitude"),1)</f>
        <v>134.68714900000001</v>
      </c>
      <c r="H378">
        <v>34.830685000000003</v>
      </c>
      <c r="I378">
        <v>134.68714900000001</v>
      </c>
    </row>
    <row r="379" spans="1:9" x14ac:dyDescent="0.4">
      <c r="A379" t="s">
        <v>10</v>
      </c>
      <c r="B379" t="s">
        <v>952</v>
      </c>
      <c r="C379" t="str">
        <f t="shared" si="31"/>
        <v>神奈川県相模原市南区相武台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http://geocode.csis.u-tokyo.ac.jp/cgi-bin/simple_geocode.cgi?charset=UTF8&amp;addr=%E7%A5%9E%E5%A5%88%E5%B7%9D%E7%9C%8C%E7%9B%B8%E6%A8%A1%E5%8E%9F%E5%B8%82%E5%8D%97%E5%8C%BA%E7%9B%B8%E6%AD%A6%E5%8F%B0</v>
      </c>
      <c r="E379" t="str">
        <f t="shared" ref="E379:E442" si="33" xml:space="preserve"> _xlfn.WEBSERVICE(D379)</f>
        <v xml:space="preserve">&lt;?xml version="1.0" encoding="UTF-8" ?&gt;
&lt;results&gt;
&lt;query&gt;神奈川県相模原市南区相武台&lt;/query&gt;
&lt;geodetic&gt;wgs1984&lt;/geodetic&gt;
&lt;iConf&gt;5&lt;/iConf&gt;
&lt;converted&gt;神奈川県相模原市南区相武台&lt;/converted&gt;
&lt;candidate&gt;
&lt;address&gt;神奈川県/相模原市/南区/相武台&lt;/address&gt;
&lt;longitude&gt;139.407318&lt;/longitude&gt;
&lt;latitude&gt;35.501392&lt;/latitude&gt;
&lt;iLvl&gt;5&lt;/iLvl&gt;
&lt;/candidate&gt;
&lt;/results&gt;
</v>
      </c>
      <c r="F379" cm="1">
        <f t="array" ref="F379">INDEX(_xlfn.FILTERXML(E379,"//latitude"),1)</f>
        <v>35.501392000000003</v>
      </c>
      <c r="G379" cm="1">
        <f t="array" ref="G379">INDEX(_xlfn.FILTERXML(E379,"//longitude"),1)</f>
        <v>139.407318</v>
      </c>
      <c r="H379">
        <v>35.501392000000003</v>
      </c>
      <c r="I379">
        <v>139.407318</v>
      </c>
    </row>
    <row r="380" spans="1:9" x14ac:dyDescent="0.4">
      <c r="A380" t="s">
        <v>9</v>
      </c>
      <c r="B380" t="s">
        <v>953</v>
      </c>
      <c r="C380" t="str">
        <f t="shared" si="31"/>
        <v>東京都西東京市中町</v>
      </c>
      <c r="D380" s="2" t="str">
        <f t="shared" si="32"/>
        <v>http://geocode.csis.u-tokyo.ac.jp/cgi-bin/simple_geocode.cgi?charset=UTF8&amp;addr=%E6%9D%B1%E4%BA%AC%E9%83%BD%E8%A5%BF%E6%9D%B1%E4%BA%AC%E5%B8%82%E4%B8%AD%E7%94%BA</v>
      </c>
      <c r="E380" t="str">
        <f t="shared" si="33"/>
        <v xml:space="preserve">&lt;?xml version="1.0" encoding="UTF-8" ?&gt;
&lt;results&gt;
&lt;query&gt;東京都西東京市中町&lt;/query&gt;
&lt;geodetic&gt;wgs1984&lt;/geodetic&gt;
&lt;iConf&gt;5&lt;/iConf&gt;
&lt;converted&gt;東京都西東京市中町&lt;/converted&gt;
&lt;candidate&gt;
&lt;address&gt;東京都/西東京市/中町&lt;/address&gt;
&lt;longitude&gt;139.558228&lt;/longitude&gt;
&lt;latitude&gt;35.740231&lt;/latitude&gt;
&lt;iLvl&gt;5&lt;/iLvl&gt;
&lt;/candidate&gt;
&lt;/results&gt;
</v>
      </c>
      <c r="F380" cm="1">
        <f t="array" ref="F380">INDEX(_xlfn.FILTERXML(E380,"//latitude"),1)</f>
        <v>35.740231000000001</v>
      </c>
      <c r="G380" cm="1">
        <f t="array" ref="G380">INDEX(_xlfn.FILTERXML(E380,"//longitude"),1)</f>
        <v>139.55822800000001</v>
      </c>
      <c r="H380">
        <v>35.740231000000001</v>
      </c>
      <c r="I380">
        <v>139.55822800000001</v>
      </c>
    </row>
    <row r="381" spans="1:9" x14ac:dyDescent="0.4">
      <c r="A381" t="s">
        <v>9</v>
      </c>
      <c r="B381" t="s">
        <v>885</v>
      </c>
      <c r="C381" t="str">
        <f t="shared" si="31"/>
        <v>東京都大田区西六郷</v>
      </c>
      <c r="D381" s="2" t="str">
        <f t="shared" si="32"/>
        <v>http://geocode.csis.u-tokyo.ac.jp/cgi-bin/simple_geocode.cgi?charset=UTF8&amp;addr=%E6%9D%B1%E4%BA%AC%E9%83%BD%E5%A4%A7%E7%94%B0%E5%8C%BA%E8%A5%BF%E5%85%AD%E9%83%B7</v>
      </c>
      <c r="E381" t="str">
        <f t="shared" si="33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381" cm="1">
        <f t="array" ref="F381">INDEX(_xlfn.FILTERXML(E381,"//latitude"),1)</f>
        <v>35.553992999999998</v>
      </c>
      <c r="G381" cm="1">
        <f t="array" ref="G381">INDEX(_xlfn.FILTERXML(E381,"//longitude"),1)</f>
        <v>139.70808400000001</v>
      </c>
      <c r="H381" s="3">
        <v>35.553992999999998</v>
      </c>
      <c r="I381" s="3">
        <v>139.70808400000001</v>
      </c>
    </row>
    <row r="382" spans="1:9" x14ac:dyDescent="0.4">
      <c r="A382" t="s">
        <v>18</v>
      </c>
      <c r="B382" t="s">
        <v>954</v>
      </c>
      <c r="C382" t="str">
        <f t="shared" si="31"/>
        <v>千葉県鴨川市</v>
      </c>
      <c r="D382" s="2" t="str">
        <f t="shared" si="32"/>
        <v>http://geocode.csis.u-tokyo.ac.jp/cgi-bin/simple_geocode.cgi?charset=UTF8&amp;addr=%E5%8D%83%E8%91%89%E7%9C%8C%E9%B4%A8%E5%B7%9D%E5%B8%82</v>
      </c>
      <c r="E382" t="str">
        <f t="shared" si="33"/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382" cm="1">
        <f t="array" ref="F382">INDEX(_xlfn.FILTERXML(E382,"//latitude"),1)</f>
        <v>35.114016999999997</v>
      </c>
      <c r="G382" cm="1">
        <f t="array" ref="G382">INDEX(_xlfn.FILTERXML(E382,"//longitude"),1)</f>
        <v>140.09880100000001</v>
      </c>
      <c r="H382">
        <v>35.114016999999997</v>
      </c>
      <c r="I382">
        <v>140.09880100000001</v>
      </c>
    </row>
    <row r="383" spans="1:9" x14ac:dyDescent="0.4">
      <c r="A383" t="s">
        <v>25</v>
      </c>
      <c r="B383" t="s">
        <v>955</v>
      </c>
      <c r="C383" t="str">
        <f t="shared" si="31"/>
        <v>香川県善通寺市下吉田町</v>
      </c>
      <c r="D383" s="2" t="str">
        <f t="shared" si="32"/>
        <v>http://geocode.csis.u-tokyo.ac.jp/cgi-bin/simple_geocode.cgi?charset=UTF8&amp;addr=%E9%A6%99%E5%B7%9D%E7%9C%8C%E5%96%84%E9%80%9A%E5%AF%BA%E5%B8%82%E4%B8%8B%E5%90%89%E7%94%B0%E7%94%BA</v>
      </c>
      <c r="E383" t="str">
        <f t="shared" si="33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383" cm="1">
        <f t="array" ref="F383">INDEX(_xlfn.FILTERXML(E383,"//latitude"),1)</f>
        <v>34.240043999999997</v>
      </c>
      <c r="G383" cm="1">
        <f t="array" ref="G383">INDEX(_xlfn.FILTERXML(E383,"//longitude"),1)</f>
        <v>133.77533</v>
      </c>
      <c r="H383">
        <v>34.240043999999997</v>
      </c>
      <c r="I383">
        <v>133.77533</v>
      </c>
    </row>
    <row r="384" spans="1:9" x14ac:dyDescent="0.4">
      <c r="A384" t="s">
        <v>29</v>
      </c>
      <c r="B384" t="s">
        <v>956</v>
      </c>
      <c r="C384" t="str">
        <f t="shared" si="31"/>
        <v>静岡県浜松市中央区上西町</v>
      </c>
      <c r="D384" s="2" t="str">
        <f t="shared" si="32"/>
        <v>http://geocode.csis.u-tokyo.ac.jp/cgi-bin/simple_geocode.cgi?charset=UTF8&amp;addr=%E9%9D%99%E5%B2%A1%E7%9C%8C%E6%B5%9C%E6%9D%BE%E5%B8%82%E4%B8%AD%E5%A4%AE%E5%8C%BA%E4%B8%8A%E8%A5%BF%E7%94%BA</v>
      </c>
      <c r="E384" t="str">
        <f t="shared" si="33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384" cm="1">
        <f t="array" ref="F384">INDEX(_xlfn.FILTERXML(E384,"//latitude"),1)</f>
        <v>34.723351000000001</v>
      </c>
      <c r="G384" cm="1">
        <f t="array" ref="G384">INDEX(_xlfn.FILTERXML(E384,"//longitude"),1)</f>
        <v>137.75895700000001</v>
      </c>
      <c r="H384">
        <v>34.723351000000001</v>
      </c>
      <c r="I384">
        <v>137.75895700000001</v>
      </c>
    </row>
    <row r="385" spans="1:9" x14ac:dyDescent="0.4">
      <c r="A385" t="s">
        <v>11</v>
      </c>
      <c r="B385" t="s">
        <v>957</v>
      </c>
      <c r="C385" t="str">
        <f t="shared" si="31"/>
        <v>大阪府堀溝2丁目</v>
      </c>
      <c r="D385" s="2" t="str">
        <f t="shared" si="32"/>
        <v>http://geocode.csis.u-tokyo.ac.jp/cgi-bin/simple_geocode.cgi?charset=UTF8&amp;addr=%E5%A4%A7%E9%98%AA%E5%BA%9C%E5%A0%80%E6%BA%9D2%E4%B8%81%E7%9B%AE</v>
      </c>
      <c r="E385" t="str">
        <f t="shared" si="33"/>
        <v xml:space="preserve">&lt;?xml version="1.0" encoding="UTF-8" ?&gt;
&lt;results&gt;
&lt;query&gt;大阪府堀溝2丁目&lt;/query&gt;
&lt;geodetic&gt;wgs1984&lt;/geodetic&gt;
&lt;iConf&gt;3&lt;/iConf&gt;
&lt;converted&gt;大阪府&lt;/converted&gt;
&lt;candidate&gt;
&lt;address&gt;大阪府&lt;/address&gt;
&lt;longitude&gt;135.502045&lt;/longitude&gt;
&lt;latitude&gt;34.693890&lt;/latitude&gt;
&lt;iLvl&gt;1&lt;/iLvl&gt;
&lt;/candidate&gt;
&lt;/results&gt;
</v>
      </c>
      <c r="F385" cm="1">
        <f t="array" ref="F385">INDEX(_xlfn.FILTERXML(E385,"//latitude"),1)</f>
        <v>34.693890000000003</v>
      </c>
      <c r="G385" cm="1">
        <f t="array" ref="G385">INDEX(_xlfn.FILTERXML(E385,"//longitude"),1)</f>
        <v>135.50204500000001</v>
      </c>
      <c r="H385">
        <v>34.693890000000003</v>
      </c>
      <c r="I385">
        <v>135.50204500000001</v>
      </c>
    </row>
    <row r="386" spans="1:9" x14ac:dyDescent="0.4">
      <c r="A386" t="s">
        <v>17</v>
      </c>
      <c r="B386" t="s">
        <v>958</v>
      </c>
      <c r="C386" t="str">
        <f t="shared" si="31"/>
        <v>愛知県豊明市前後町</v>
      </c>
      <c r="D386" s="2" t="str">
        <f t="shared" si="32"/>
        <v>http://geocode.csis.u-tokyo.ac.jp/cgi-bin/simple_geocode.cgi?charset=UTF8&amp;addr=%E6%84%9B%E7%9F%A5%E7%9C%8C%E8%B1%8A%E6%98%8E%E5%B8%82%E5%89%8D%E5%BE%8C%E7%94%BA</v>
      </c>
      <c r="E386" t="str">
        <f t="shared" si="33"/>
        <v xml:space="preserve">&lt;?xml version="1.0" encoding="UTF-8" ?&gt;
&lt;results&gt;
&lt;query&gt;愛知県豊明市前後町&lt;/query&gt;
&lt;geodetic&gt;wgs1984&lt;/geodetic&gt;
&lt;iConf&gt;5&lt;/iConf&gt;
&lt;converted&gt;愛知県豊明市前後町&lt;/converted&gt;
&lt;candidate&gt;
&lt;address&gt;愛知県/豊明市/前後町&lt;/address&gt;
&lt;longitude&gt;136.994080&lt;/longitude&gt;
&lt;latitude&gt;35.058205&lt;/latitude&gt;
&lt;iLvl&gt;5&lt;/iLvl&gt;
&lt;/candidate&gt;
&lt;/results&gt;
</v>
      </c>
      <c r="F386" cm="1">
        <f t="array" ref="F386">INDEX(_xlfn.FILTERXML(E386,"//latitude"),1)</f>
        <v>35.058205000000001</v>
      </c>
      <c r="G386" cm="1">
        <f t="array" ref="G386">INDEX(_xlfn.FILTERXML(E386,"//longitude"),1)</f>
        <v>136.99408</v>
      </c>
      <c r="H386">
        <v>35.058205000000001</v>
      </c>
      <c r="I386">
        <v>136.99408</v>
      </c>
    </row>
    <row r="387" spans="1:9" x14ac:dyDescent="0.4">
      <c r="A387" t="s">
        <v>123</v>
      </c>
      <c r="B387" t="s">
        <v>771</v>
      </c>
      <c r="C387" t="str">
        <f t="shared" ref="C387:C450" si="34">+A387&amp;B387</f>
        <v>和歌山県橋本市</v>
      </c>
      <c r="D387" s="2" t="str">
        <f t="shared" si="32"/>
        <v>http://geocode.csis.u-tokyo.ac.jp/cgi-bin/simple_geocode.cgi?charset=UTF8&amp;addr=%E5%92%8C%E6%AD%8C%E5%B1%B1%E7%9C%8C%E6%A9%8B%E6%9C%AC%E5%B8%82</v>
      </c>
      <c r="E387" t="str">
        <f t="shared" si="33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387" cm="1">
        <f t="array" ref="F387">INDEX(_xlfn.FILTERXML(E387,"//latitude"),1)</f>
        <v>34.314877000000003</v>
      </c>
      <c r="G387" cm="1">
        <f t="array" ref="G387">INDEX(_xlfn.FILTERXML(E387,"//longitude"),1)</f>
        <v>135.605209</v>
      </c>
      <c r="H387">
        <v>34.314877000000003</v>
      </c>
      <c r="I387">
        <v>135.605209</v>
      </c>
    </row>
    <row r="388" spans="1:9" x14ac:dyDescent="0.4">
      <c r="A388" t="s">
        <v>15</v>
      </c>
      <c r="B388" t="s">
        <v>959</v>
      </c>
      <c r="C388" t="str">
        <f t="shared" si="34"/>
        <v>兵庫県神戸市東灘区田中町</v>
      </c>
      <c r="D388" s="2" t="str">
        <f t="shared" si="32"/>
        <v>http://geocode.csis.u-tokyo.ac.jp/cgi-bin/simple_geocode.cgi?charset=UTF8&amp;addr=%E5%85%B5%E5%BA%AB%E7%9C%8C%E7%A5%9E%E6%88%B8%E5%B8%82%E6%9D%B1%E7%81%98%E5%8C%BA%E7%94%B0%E4%B8%AD%E7%94%BA</v>
      </c>
      <c r="E388" t="str">
        <f t="shared" si="33"/>
        <v xml:space="preserve">&lt;?xml version="1.0" encoding="UTF-8" ?&gt;
&lt;results&gt;
&lt;query&gt;兵庫県神戸市東灘区田中町&lt;/query&gt;
&lt;geodetic&gt;wgs1984&lt;/geodetic&gt;
&lt;iConf&gt;5&lt;/iConf&gt;
&lt;converted&gt;兵庫県神戸市東灘区田中町&lt;/converted&gt;
&lt;candidate&gt;
&lt;address&gt;兵庫県/神戸市/東灘区/田中町&lt;/address&gt;
&lt;longitude&gt;135.277008&lt;/longitude&gt;
&lt;latitude&gt;34.724899&lt;/latitude&gt;
&lt;iLvl&gt;5&lt;/iLvl&gt;
&lt;/candidate&gt;
&lt;/results&gt;
</v>
      </c>
      <c r="F388" cm="1">
        <f t="array" ref="F388">INDEX(_xlfn.FILTERXML(E388,"//latitude"),1)</f>
        <v>34.724899000000001</v>
      </c>
      <c r="G388" cm="1">
        <f t="array" ref="G388">INDEX(_xlfn.FILTERXML(E388,"//longitude"),1)</f>
        <v>135.277008</v>
      </c>
      <c r="H388">
        <v>34.724899000000001</v>
      </c>
      <c r="I388">
        <v>135.277008</v>
      </c>
    </row>
    <row r="389" spans="1:9" x14ac:dyDescent="0.4">
      <c r="A389" t="s">
        <v>23</v>
      </c>
      <c r="B389" t="s">
        <v>960</v>
      </c>
      <c r="C389" t="str">
        <f t="shared" si="34"/>
        <v>宮城県仙台市宮城野区榴岡</v>
      </c>
      <c r="D389" s="2" t="str">
        <f t="shared" si="32"/>
        <v>http://geocode.csis.u-tokyo.ac.jp/cgi-bin/simple_geocode.cgi?charset=UTF8&amp;addr=%E5%AE%AE%E5%9F%8E%E7%9C%8C%E4%BB%99%E5%8F%B0%E5%B8%82%E5%AE%AE%E5%9F%8E%E9%87%8E%E5%8C%BA%E6%A6%B4%E5%B2%A1</v>
      </c>
      <c r="E389" t="str">
        <f t="shared" si="33"/>
        <v xml:space="preserve">&lt;?xml version="1.0" encoding="UTF-8" ?&gt;
&lt;results&gt;
&lt;query&gt;宮城県仙台市宮城野区榴岡&lt;/query&gt;
&lt;geodetic&gt;wgs1984&lt;/geodetic&gt;
&lt;iConf&gt;5&lt;/iConf&gt;
&lt;converted&gt;宮城県仙台市宮城野区榴岡&lt;/converted&gt;
&lt;candidate&gt;
&lt;address&gt;宮城県/仙台市/宮城野区/榴ケ岡&lt;/address&gt;
&lt;longitude&gt;140.891953&lt;/longitude&gt;
&lt;latitude&gt;38.261349&lt;/latitude&gt;
&lt;iLvl&gt;5&lt;/iLvl&gt;
&lt;/candidate&gt;
&lt;/results&gt;
</v>
      </c>
      <c r="F389" cm="1">
        <f t="array" ref="F389">INDEX(_xlfn.FILTERXML(E389,"//latitude"),1)</f>
        <v>38.261349000000003</v>
      </c>
      <c r="G389" cm="1">
        <f t="array" ref="G389">INDEX(_xlfn.FILTERXML(E389,"//longitude"),1)</f>
        <v>140.891953</v>
      </c>
      <c r="H389">
        <v>38.261349000000003</v>
      </c>
      <c r="I389">
        <v>140.891953</v>
      </c>
    </row>
    <row r="390" spans="1:9" x14ac:dyDescent="0.4">
      <c r="A390" t="s">
        <v>9</v>
      </c>
      <c r="B390" t="s">
        <v>961</v>
      </c>
      <c r="C390" t="str">
        <f t="shared" si="34"/>
        <v>東京都町田市</v>
      </c>
      <c r="D390" s="2" t="str">
        <f t="shared" si="32"/>
        <v>http://geocode.csis.u-tokyo.ac.jp/cgi-bin/simple_geocode.cgi?charset=UTF8&amp;addr=%E6%9D%B1%E4%BA%AC%E9%83%BD%E7%94%BA%E7%94%B0%E5%B8%82</v>
      </c>
      <c r="E390" t="str">
        <f t="shared" si="33"/>
        <v xml:space="preserve">&lt;?xml version="1.0" encoding="UTF-8" ?&gt;
&lt;results&gt;
&lt;query&gt;東京都町田市&lt;/query&gt;
&lt;geodetic&gt;wgs1984&lt;/geodetic&gt;
&lt;iConf&gt;5&lt;/iConf&gt;
&lt;converted&gt;東京都町田市&lt;/converted&gt;
&lt;candidate&gt;
&lt;address&gt;東京都/町田市&lt;/address&gt;
&lt;longitude&gt;139.438522&lt;/longitude&gt;
&lt;latitude&gt;35.546558&lt;/latitude&gt;
&lt;iLvl&gt;3&lt;/iLvl&gt;
&lt;/candidate&gt;
&lt;/results&gt;
</v>
      </c>
      <c r="F390" cm="1">
        <f t="array" ref="F390">INDEX(_xlfn.FILTERXML(E390,"//latitude"),1)</f>
        <v>35.546557999999997</v>
      </c>
      <c r="G390" cm="1">
        <f t="array" ref="G390">INDEX(_xlfn.FILTERXML(E390,"//longitude"),1)</f>
        <v>139.43852200000001</v>
      </c>
      <c r="H390">
        <v>35.546557999999997</v>
      </c>
      <c r="I390">
        <v>139.43852200000001</v>
      </c>
    </row>
    <row r="391" spans="1:9" x14ac:dyDescent="0.4">
      <c r="A391" t="s">
        <v>9</v>
      </c>
      <c r="B391" t="s">
        <v>458</v>
      </c>
      <c r="C391" t="str">
        <f t="shared" si="34"/>
        <v>東京都国立市西</v>
      </c>
      <c r="D391" s="2" t="str">
        <f t="shared" si="32"/>
        <v>http://geocode.csis.u-tokyo.ac.jp/cgi-bin/simple_geocode.cgi?charset=UTF8&amp;addr=%E6%9D%B1%E4%BA%AC%E9%83%BD%E5%9B%BD%E7%AB%8B%E5%B8%82%E8%A5%BF</v>
      </c>
      <c r="E391" t="str">
        <f t="shared" si="33"/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391" cm="1">
        <f t="array" ref="F391">INDEX(_xlfn.FILTERXML(E391,"//latitude"),1)</f>
        <v>35.697249999999997</v>
      </c>
      <c r="G391" cm="1">
        <f t="array" ref="G391">INDEX(_xlfn.FILTERXML(E391,"//longitude"),1)</f>
        <v>139.433334</v>
      </c>
      <c r="H391">
        <v>35.697249999999997</v>
      </c>
      <c r="I391">
        <v>139.433334</v>
      </c>
    </row>
    <row r="392" spans="1:9" x14ac:dyDescent="0.4">
      <c r="A392" t="s">
        <v>15</v>
      </c>
      <c r="B392" t="s">
        <v>962</v>
      </c>
      <c r="C392" t="str">
        <f t="shared" si="34"/>
        <v>兵庫県神戸市北区東有野台1丁目</v>
      </c>
      <c r="D392" s="2" t="str">
        <f t="shared" si="32"/>
        <v>http://geocode.csis.u-tokyo.ac.jp/cgi-bin/simple_geocode.cgi?charset=UTF8&amp;addr=%E5%85%B5%E5%BA%AB%E7%9C%8C%E7%A5%9E%E6%88%B8%E5%B8%82%E5%8C%97%E5%8C%BA%E6%9D%B1%E6%9C%89%E9%87%8E%E5%8F%B01%E4%B8%81%E7%9B%AE</v>
      </c>
      <c r="E392" t="str">
        <f t="shared" si="33"/>
        <v xml:space="preserve">&lt;?xml version="1.0" encoding="UTF-8" ?&gt;
&lt;results&gt;
&lt;query&gt;兵庫県神戸市北区東有野台1丁目&lt;/query&gt;
&lt;geodetic&gt;wgs1984&lt;/geodetic&gt;
&lt;iConf&gt;5&lt;/iConf&gt;
&lt;converted&gt;兵庫県神戸市北区東有野台1丁目&lt;/converted&gt;
&lt;candidate&gt;
&lt;address&gt;兵庫県/神戸市/北区/東有野台/一丁目&lt;/address&gt;
&lt;longitude&gt;135.233841&lt;/longitude&gt;
&lt;latitude&gt;34.808735&lt;/latitude&gt;
&lt;iLvl&gt;6&lt;/iLvl&gt;
&lt;/candidate&gt;
&lt;/results&gt;
</v>
      </c>
      <c r="F392" cm="1">
        <f t="array" ref="F392">INDEX(_xlfn.FILTERXML(E392,"//latitude"),1)</f>
        <v>34.808734999999999</v>
      </c>
      <c r="G392" cm="1">
        <f t="array" ref="G392">INDEX(_xlfn.FILTERXML(E392,"//longitude"),1)</f>
        <v>135.23384100000001</v>
      </c>
      <c r="H392">
        <v>34.808734999999999</v>
      </c>
      <c r="I392">
        <v>135.23384100000001</v>
      </c>
    </row>
    <row r="393" spans="1:9" x14ac:dyDescent="0.4">
      <c r="A393" t="s">
        <v>34</v>
      </c>
      <c r="B393" t="s">
        <v>963</v>
      </c>
      <c r="C393" t="str">
        <f t="shared" si="34"/>
        <v>岐阜県各務原市松が丘</v>
      </c>
      <c r="D393" s="2" t="str">
        <f t="shared" si="32"/>
        <v>http://geocode.csis.u-tokyo.ac.jp/cgi-bin/simple_geocode.cgi?charset=UTF8&amp;addr=%E5%B2%90%E9%98%9C%E7%9C%8C%E5%90%84%E5%8B%99%E5%8E%9F%E5%B8%82%E6%9D%BE%E3%81%8C%E4%B8%98</v>
      </c>
      <c r="E393" t="str">
        <f t="shared" si="33"/>
        <v xml:space="preserve">&lt;?xml version="1.0" encoding="UTF-8" ?&gt;
&lt;results&gt;
&lt;query&gt;岐阜県各務原市松が丘&lt;/query&gt;
&lt;geodetic&gt;wgs1984&lt;/geodetic&gt;
&lt;iConf&gt;5&lt;/iConf&gt;
&lt;converted&gt;岐阜県各務原市松が丘&lt;/converted&gt;
&lt;candidate&gt;
&lt;address&gt;岐阜県/各務原市/松が丘&lt;/address&gt;
&lt;longitude&gt;136.922684&lt;/longitude&gt;
&lt;latitude&gt;35.411224&lt;/latitude&gt;
&lt;iLvl&gt;5&lt;/iLvl&gt;
&lt;/candidate&gt;
&lt;/results&gt;
</v>
      </c>
      <c r="F393" cm="1">
        <f t="array" ref="F393">INDEX(_xlfn.FILTERXML(E393,"//latitude"),1)</f>
        <v>35.411223999999997</v>
      </c>
      <c r="G393" cm="1">
        <f t="array" ref="G393">INDEX(_xlfn.FILTERXML(E393,"//longitude"),1)</f>
        <v>136.922684</v>
      </c>
      <c r="H393">
        <v>35.411223999999997</v>
      </c>
      <c r="I393">
        <v>136.922684</v>
      </c>
    </row>
    <row r="394" spans="1:9" x14ac:dyDescent="0.4">
      <c r="A394" t="s">
        <v>17</v>
      </c>
      <c r="B394" t="s">
        <v>964</v>
      </c>
      <c r="C394" t="str">
        <f t="shared" si="34"/>
        <v>愛知県海部郡飛島村</v>
      </c>
      <c r="D394" s="2" t="str">
        <f t="shared" si="32"/>
        <v>http://geocode.csis.u-tokyo.ac.jp/cgi-bin/simple_geocode.cgi?charset=UTF8&amp;addr=%E6%84%9B%E7%9F%A5%E7%9C%8C%E6%B5%B7%E9%83%A8%E9%83%A1%E9%A3%9B%E5%B3%B6%E6%9D%91</v>
      </c>
      <c r="E394" t="str">
        <f t="shared" si="33"/>
        <v xml:space="preserve">&lt;?xml version="1.0" encoding="UTF-8" ?&gt;
&lt;results&gt;
&lt;query&gt;愛知県海部郡飛島村&lt;/query&gt;
&lt;geodetic&gt;wgs1984&lt;/geodetic&gt;
&lt;iConf&gt;5&lt;/iConf&gt;
&lt;converted&gt;愛知県海部郡飛島村&lt;/converted&gt;
&lt;candidate&gt;
&lt;address&gt;愛知県/海部郡/飛島村&lt;/address&gt;
&lt;longitude&gt;136.791153&lt;/longitude&gt;
&lt;latitude&gt;35.078804&lt;/latitude&gt;
&lt;iLvl&gt;3&lt;/iLvl&gt;
&lt;/candidate&gt;
&lt;/results&gt;
</v>
      </c>
      <c r="F394" cm="1">
        <f t="array" ref="F394">INDEX(_xlfn.FILTERXML(E394,"//latitude"),1)</f>
        <v>35.078803999999998</v>
      </c>
      <c r="G394" cm="1">
        <f t="array" ref="G394">INDEX(_xlfn.FILTERXML(E394,"//longitude"),1)</f>
        <v>136.79115300000001</v>
      </c>
      <c r="H394">
        <v>35.078803999999998</v>
      </c>
      <c r="I394">
        <v>136.79115300000001</v>
      </c>
    </row>
    <row r="395" spans="1:9" x14ac:dyDescent="0.4">
      <c r="A395" t="s">
        <v>38</v>
      </c>
      <c r="B395" t="s">
        <v>965</v>
      </c>
      <c r="C395" t="str">
        <f t="shared" si="34"/>
        <v>新潟県新潟市江南区東船場</v>
      </c>
      <c r="D395" s="2" t="str">
        <f t="shared" si="32"/>
        <v>http://geocode.csis.u-tokyo.ac.jp/cgi-bin/simple_geocode.cgi?charset=UTF8&amp;addr=%E6%96%B0%E6%BD%9F%E7%9C%8C%E6%96%B0%E6%BD%9F%E5%B8%82%E6%B1%9F%E5%8D%97%E5%8C%BA%E6%9D%B1%E8%88%B9%E5%A0%B4</v>
      </c>
      <c r="E395" t="str">
        <f t="shared" si="33"/>
        <v xml:space="preserve">&lt;?xml version="1.0" encoding="UTF-8" ?&gt;
&lt;results&gt;
&lt;query&gt;新潟県新潟市江南区東船場&lt;/query&gt;
&lt;geodetic&gt;wgs1984&lt;/geodetic&gt;
&lt;iConf&gt;5&lt;/iConf&gt;
&lt;converted&gt;新潟県新潟市江南区東船場&lt;/converted&gt;
&lt;candidate&gt;
&lt;address&gt;新潟県/新潟市/江南区/東船場&lt;/address&gt;
&lt;longitude&gt;139.108215&lt;/longitude&gt;
&lt;latitude&gt;37.876057&lt;/latitude&gt;
&lt;iLvl&gt;5&lt;/iLvl&gt;
&lt;/candidate&gt;
&lt;/results&gt;
</v>
      </c>
      <c r="F395" cm="1">
        <f t="array" ref="F395">INDEX(_xlfn.FILTERXML(E395,"//latitude"),1)</f>
        <v>37.876057000000003</v>
      </c>
      <c r="G395" cm="1">
        <f t="array" ref="G395">INDEX(_xlfn.FILTERXML(E395,"//longitude"),1)</f>
        <v>139.108215</v>
      </c>
      <c r="H395">
        <v>37.876057000000003</v>
      </c>
      <c r="I395">
        <v>139.108215</v>
      </c>
    </row>
    <row r="396" spans="1:9" x14ac:dyDescent="0.4">
      <c r="A396" t="s">
        <v>9</v>
      </c>
      <c r="B396" t="s">
        <v>966</v>
      </c>
      <c r="C396" t="str">
        <f t="shared" si="34"/>
        <v>東京都荒川区東日暮里</v>
      </c>
      <c r="D396" s="2" t="str">
        <f t="shared" si="32"/>
        <v>http://geocode.csis.u-tokyo.ac.jp/cgi-bin/simple_geocode.cgi?charset=UTF8&amp;addr=%E6%9D%B1%E4%BA%AC%E9%83%BD%E8%8D%92%E5%B7%9D%E5%8C%BA%E6%9D%B1%E6%97%A5%E6%9A%AE%E9%87%8C</v>
      </c>
      <c r="E396" t="str">
        <f t="shared" si="33"/>
        <v xml:space="preserve">&lt;?xml version="1.0" encoding="UTF-8" ?&gt;
&lt;results&gt;
&lt;query&gt;東京都荒区東日暮里&lt;/query&gt;
&lt;geodetic&gt;wgs1984&lt;/geodetic&gt;
&lt;iConf&gt;5&lt;/iConf&gt;
&lt;converted&gt;東京都荒川区東日暮里&lt;/converted&gt;
&lt;candidate&gt;
&lt;address&gt;東京都/荒川区/東日暮里&lt;/address&gt;
&lt;longitude&gt;139.788727&lt;/longitude&gt;
&lt;latitude&gt;35.730019&lt;/latitude&gt;
&lt;iLvl&gt;5&lt;/iLvl&gt;
&lt;/candidate&gt;
&lt;/results&gt;
</v>
      </c>
      <c r="F396" cm="1">
        <f t="array" ref="F396">INDEX(_xlfn.FILTERXML(E396,"//latitude"),1)</f>
        <v>35.730018999999999</v>
      </c>
      <c r="G396" cm="1">
        <f t="array" ref="G396">INDEX(_xlfn.FILTERXML(E396,"//longitude"),1)</f>
        <v>139.78872699999999</v>
      </c>
      <c r="H396">
        <v>35.730018999999999</v>
      </c>
      <c r="I396">
        <v>139.78872699999999</v>
      </c>
    </row>
    <row r="397" spans="1:9" x14ac:dyDescent="0.4">
      <c r="A397" t="s">
        <v>128</v>
      </c>
      <c r="B397" t="s">
        <v>967</v>
      </c>
      <c r="C397" t="str">
        <f t="shared" si="34"/>
        <v>山形県長井市</v>
      </c>
      <c r="D397" s="2" t="str">
        <f t="shared" si="32"/>
        <v>http://geocode.csis.u-tokyo.ac.jp/cgi-bin/simple_geocode.cgi?charset=UTF8&amp;addr=%E5%B1%B1%E5%BD%A2%E7%9C%8C%E9%95%B7%E4%BA%95%E5%B8%82</v>
      </c>
      <c r="E397" t="str">
        <f t="shared" si="33"/>
        <v xml:space="preserve">&lt;?xml version="1.0" encoding="UTF-8" ?&gt;
&lt;results&gt;
&lt;query&gt;山形県長井市&lt;/query&gt;
&lt;geodetic&gt;wgs1984&lt;/geodetic&gt;
&lt;iConf&gt;5&lt;/iConf&gt;
&lt;converted&gt;山形県長井市&lt;/converted&gt;
&lt;candidate&gt;
&lt;address&gt;山形県/長井市&lt;/address&gt;
&lt;longitude&gt;140.040543&lt;/longitude&gt;
&lt;latitude&gt;38.107487&lt;/latitude&gt;
&lt;iLvl&gt;3&lt;/iLvl&gt;
&lt;/candidate&gt;
&lt;/results&gt;
</v>
      </c>
      <c r="F397" cm="1">
        <f t="array" ref="F397">INDEX(_xlfn.FILTERXML(E397,"//latitude"),1)</f>
        <v>38.107486999999999</v>
      </c>
      <c r="G397" cm="1">
        <f t="array" ref="G397">INDEX(_xlfn.FILTERXML(E397,"//longitude"),1)</f>
        <v>140.04054300000001</v>
      </c>
      <c r="H397">
        <v>38.107486999999999</v>
      </c>
      <c r="I397">
        <v>140.04054300000001</v>
      </c>
    </row>
    <row r="398" spans="1:9" x14ac:dyDescent="0.4">
      <c r="A398" t="s">
        <v>10</v>
      </c>
      <c r="B398" t="s">
        <v>968</v>
      </c>
      <c r="C398" t="str">
        <f t="shared" si="34"/>
        <v>神奈川県相模原市南区</v>
      </c>
      <c r="D398" s="2" t="str">
        <f t="shared" si="32"/>
        <v>http://geocode.csis.u-tokyo.ac.jp/cgi-bin/simple_geocode.cgi?charset=UTF8&amp;addr=%E7%A5%9E%E5%A5%88%E5%B7%9D%E7%9C%8C%E7%9B%B8%E6%A8%A1%E5%8E%9F%E5%B8%82%E5%8D%97%E5%8C%BA</v>
      </c>
      <c r="E398" t="str">
        <f t="shared" si="33"/>
        <v xml:space="preserve">&lt;?xml version="1.0" encoding="UTF-8" ?&gt;
&lt;results&gt;
&lt;query&gt;神奈川県相模原市南区&lt;/query&gt;
&lt;geodetic&gt;wgs1984&lt;/geodetic&gt;
&lt;iConf&gt;5&lt;/iConf&gt;
&lt;converted&gt;神奈川県相模原市南区&lt;/converted&gt;
&lt;candidate&gt;
&lt;address&gt;神奈川県/相模原市/南区&lt;/address&gt;
&lt;longitude&gt;139.430099&lt;/longitude&gt;
&lt;latitude&gt;35.530342&lt;/latitude&gt;
&lt;iLvl&gt;4&lt;/iLvl&gt;
&lt;/candidate&gt;
&lt;/results&gt;
</v>
      </c>
      <c r="F398" cm="1">
        <f t="array" ref="F398">INDEX(_xlfn.FILTERXML(E398,"//latitude"),1)</f>
        <v>35.530341999999997</v>
      </c>
      <c r="G398" cm="1">
        <f t="array" ref="G398">INDEX(_xlfn.FILTERXML(E398,"//longitude"),1)</f>
        <v>139.43009900000001</v>
      </c>
      <c r="H398">
        <v>35.530341999999997</v>
      </c>
      <c r="I398">
        <v>139.43009900000001</v>
      </c>
    </row>
    <row r="399" spans="1:9" x14ac:dyDescent="0.4">
      <c r="A399" t="s">
        <v>34</v>
      </c>
      <c r="B399" t="s">
        <v>519</v>
      </c>
      <c r="C399" t="str">
        <f t="shared" si="34"/>
        <v>岐阜県可児市</v>
      </c>
      <c r="D399" s="2" t="str">
        <f t="shared" si="32"/>
        <v>http://geocode.csis.u-tokyo.ac.jp/cgi-bin/simple_geocode.cgi?charset=UTF8&amp;addr=%E5%B2%90%E9%98%9C%E7%9C%8C%E5%8F%AF%E5%85%90%E5%B8%82</v>
      </c>
      <c r="E399" t="str">
        <f t="shared" si="33"/>
        <v xml:space="preserve">&lt;?xml version="1.0" encoding="UTF-8" ?&gt;
&lt;results&gt;
&lt;query&gt;岐阜県可児市&lt;/query&gt;
&lt;geodetic&gt;wgs1984&lt;/geodetic&gt;
&lt;iConf&gt;5&lt;/iConf&gt;
&lt;converted&gt;岐阜県可児市&lt;/converted&gt;
&lt;candidate&gt;
&lt;address&gt;岐阜県/可児市&lt;/address&gt;
&lt;longitude&gt;137.061081&lt;/longitude&gt;
&lt;latitude&gt;35.426132&lt;/latitude&gt;
&lt;iLvl&gt;3&lt;/iLvl&gt;
&lt;/candidate&gt;
&lt;/results&gt;
</v>
      </c>
      <c r="F399" cm="1">
        <f t="array" ref="F399">INDEX(_xlfn.FILTERXML(E399,"//latitude"),1)</f>
        <v>35.426132000000003</v>
      </c>
      <c r="G399" cm="1">
        <f t="array" ref="G399">INDEX(_xlfn.FILTERXML(E399,"//longitude"),1)</f>
        <v>137.061081</v>
      </c>
      <c r="H399">
        <v>35.426132000000003</v>
      </c>
      <c r="I399">
        <v>137.061081</v>
      </c>
    </row>
    <row r="400" spans="1:9" x14ac:dyDescent="0.4">
      <c r="A400" t="s">
        <v>18</v>
      </c>
      <c r="B400" t="s">
        <v>112</v>
      </c>
      <c r="C400" t="str">
        <f t="shared" si="34"/>
        <v>千葉県市川市</v>
      </c>
      <c r="D400" s="2" t="str">
        <f t="shared" si="32"/>
        <v>http://geocode.csis.u-tokyo.ac.jp/cgi-bin/simple_geocode.cgi?charset=UTF8&amp;addr=%E5%8D%83%E8%91%89%E7%9C%8C%E5%B8%82%E5%B7%9D%E5%B8%82</v>
      </c>
      <c r="E400" t="str">
        <f t="shared" si="33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400" cm="1">
        <f t="array" ref="F400">INDEX(_xlfn.FILTERXML(E400,"//latitude"),1)</f>
        <v>35.721912000000003</v>
      </c>
      <c r="G400" cm="1">
        <f t="array" ref="G400">INDEX(_xlfn.FILTERXML(E400,"//longitude"),1)</f>
        <v>139.931015</v>
      </c>
      <c r="H400">
        <v>35.721912000000003</v>
      </c>
      <c r="I400">
        <v>139.931015</v>
      </c>
    </row>
    <row r="401" spans="1:9" x14ac:dyDescent="0.4">
      <c r="A401" t="s">
        <v>37</v>
      </c>
      <c r="B401" t="s">
        <v>969</v>
      </c>
      <c r="C401" t="str">
        <f t="shared" si="34"/>
        <v>三重県伊勢　二見町　松下</v>
      </c>
      <c r="D401" s="2" t="str">
        <f t="shared" si="32"/>
        <v>http://geocode.csis.u-tokyo.ac.jp/cgi-bin/simple_geocode.cgi?charset=UTF8&amp;addr=%E4%B8%89%E9%87%8D%E7%9C%8C%E4%BC%8A%E5%8B%A2%E3%80%80%E4%BA%8C%E8%A6%8B%E7%94%BA%E3%80%80%E6%9D%BE%E4%B8%8B</v>
      </c>
      <c r="E401" t="str">
        <f t="shared" si="33"/>
        <v xml:space="preserve">&lt;?xml version="1.0" encoding="UTF-8" ?&gt;
&lt;results&gt;
&lt;query&gt;三重県伊勢　二見町　松下&lt;/query&gt;
&lt;geodetic&gt;wgs1984&lt;/geodetic&gt;
&lt;iConf&gt;5&lt;/iConf&gt;
&lt;converted&gt;三重県伊勢　&lt;/converted&gt;
&lt;candidate&gt;
&lt;address&gt;三重県/伊勢市&lt;/address&gt;
&lt;longitude&gt;136.709290&lt;/longitude&gt;
&lt;latitude&gt;34.487507&lt;/latitude&gt;
&lt;iLvl&gt;3&lt;/iLvl&gt;
&lt;/candidate&gt;
&lt;/results&gt;
</v>
      </c>
      <c r="F401" cm="1">
        <f t="array" ref="F401">INDEX(_xlfn.FILTERXML(E401,"//latitude"),1)</f>
        <v>34.487507000000001</v>
      </c>
      <c r="G401" cm="1">
        <f t="array" ref="G401">INDEX(_xlfn.FILTERXML(E401,"//longitude"),1)</f>
        <v>136.70929000000001</v>
      </c>
      <c r="H401">
        <v>34.487507000000001</v>
      </c>
      <c r="I401">
        <v>136.70929000000001</v>
      </c>
    </row>
    <row r="402" spans="1:9" x14ac:dyDescent="0.4">
      <c r="A402" t="s">
        <v>20</v>
      </c>
      <c r="B402" t="s">
        <v>970</v>
      </c>
      <c r="C402" t="str">
        <f t="shared" si="34"/>
        <v>茨城県守谷市本町</v>
      </c>
      <c r="D402" s="2" t="str">
        <f t="shared" si="32"/>
        <v>http://geocode.csis.u-tokyo.ac.jp/cgi-bin/simple_geocode.cgi?charset=UTF8&amp;addr=%E8%8C%A8%E5%9F%8E%E7%9C%8C%E5%AE%88%E8%B0%B7%E5%B8%82%E6%9C%AC%E7%94%BA</v>
      </c>
      <c r="E402" t="str">
        <f t="shared" si="33"/>
        <v xml:space="preserve">&lt;?xml version="1.0" encoding="UTF-8" ?&gt;
&lt;results&gt;
&lt;query&gt;茨城県守谷市本町&lt;/query&gt;
&lt;geodetic&gt;wgs1984&lt;/geodetic&gt;
&lt;iConf&gt;5&lt;/iConf&gt;
&lt;converted&gt;茨城県守谷市本町&lt;/converted&gt;
&lt;candidate&gt;
&lt;address&gt;茨城県/守谷市/本町&lt;/address&gt;
&lt;longitude&gt;140.002060&lt;/longitude&gt;
&lt;latitude&gt;35.940849&lt;/latitude&gt;
&lt;iLvl&gt;5&lt;/iLvl&gt;
&lt;/candidate&gt;
&lt;/results&gt;
</v>
      </c>
      <c r="F402" cm="1">
        <f t="array" ref="F402">INDEX(_xlfn.FILTERXML(E402,"//latitude"),1)</f>
        <v>35.940849</v>
      </c>
      <c r="G402" cm="1">
        <f t="array" ref="G402">INDEX(_xlfn.FILTERXML(E402,"//longitude"),1)</f>
        <v>140.00206</v>
      </c>
      <c r="H402">
        <v>35.940849</v>
      </c>
      <c r="I402">
        <v>140.00206</v>
      </c>
    </row>
    <row r="403" spans="1:9" x14ac:dyDescent="0.4">
      <c r="A403" t="s">
        <v>52</v>
      </c>
      <c r="B403" t="s">
        <v>971</v>
      </c>
      <c r="C403" t="str">
        <f t="shared" si="34"/>
        <v>徳島県徳島市佐古一番町</v>
      </c>
      <c r="D403" s="2" t="str">
        <f t="shared" si="32"/>
        <v>http://geocode.csis.u-tokyo.ac.jp/cgi-bin/simple_geocode.cgi?charset=UTF8&amp;addr=%E5%BE%B3%E5%B3%B6%E7%9C%8C%E5%BE%B3%E5%B3%B6%E5%B8%82%E4%BD%90%E5%8F%A4%E4%B8%80%E7%95%AA%E7%94%BA</v>
      </c>
      <c r="E403" t="str">
        <f t="shared" si="33"/>
        <v xml:space="preserve">&lt;?xml version="1.0" encoding="UTF-8" ?&gt;
&lt;results&gt;
&lt;query&gt;徳島県徳島市佐古一番町&lt;/query&gt;
&lt;geodetic&gt;wgs1984&lt;/geodetic&gt;
&lt;iConf&gt;5&lt;/iConf&gt;
&lt;converted&gt;徳島県徳島市佐古一番町&lt;/converted&gt;
&lt;candidate&gt;
&lt;address&gt;徳島県/徳島市/佐古一番町&lt;/address&gt;
&lt;longitude&gt;134.541321&lt;/longitude&gt;
&lt;latitude&gt;34.077888&lt;/latitude&gt;
&lt;iLvl&gt;5&lt;/iLvl&gt;
&lt;/candidate&gt;
&lt;/results&gt;
</v>
      </c>
      <c r="F403" cm="1">
        <f t="array" ref="F403">INDEX(_xlfn.FILTERXML(E403,"//latitude"),1)</f>
        <v>34.077888000000002</v>
      </c>
      <c r="G403" cm="1">
        <f t="array" ref="G403">INDEX(_xlfn.FILTERXML(E403,"//longitude"),1)</f>
        <v>134.54132100000001</v>
      </c>
      <c r="H403" s="3">
        <v>34.077888000000002</v>
      </c>
      <c r="I403" s="3">
        <v>134.54132100000001</v>
      </c>
    </row>
    <row r="404" spans="1:9" x14ac:dyDescent="0.4">
      <c r="A404" t="s">
        <v>10</v>
      </c>
      <c r="B404" t="s">
        <v>972</v>
      </c>
      <c r="C404" t="str">
        <f t="shared" si="34"/>
        <v>神奈川県横浜市都筑区荏田南2-12</v>
      </c>
      <c r="D404" s="2" t="str">
        <f t="shared" si="32"/>
        <v>http://geocode.csis.u-tokyo.ac.jp/cgi-bin/simple_geocode.cgi?charset=UTF8&amp;addr=%E7%A5%9E%E5%A5%88%E5%B7%9D%E7%9C%8C%E6%A8%AA%E6%B5%9C%E5%B8%82%E9%83%BD%E7%AD%91%E5%8C%BA%E8%8D%8F%E7%94%B0%E5%8D%972-12</v>
      </c>
      <c r="E404" t="str">
        <f t="shared" si="33"/>
        <v xml:space="preserve">&lt;?xml version="1.0" encoding="UTF-8" ?&gt;
&lt;results&gt;
&lt;query&gt;神奈川県横浜市都筑区荏田南2-12&lt;/query&gt;
&lt;geodetic&gt;wgs1984&lt;/geodetic&gt;
&lt;iConf&gt;5&lt;/iConf&gt;
&lt;converted&gt;神奈川県横浜市都筑区荏田南2-12&lt;/converted&gt;
&lt;candidate&gt;
&lt;address&gt;神奈川県/横浜市/都筑区/荏田南/二丁目/１２番&lt;/address&gt;
&lt;longitude&gt;139.556213&lt;/longitude&gt;
&lt;latitude&gt;35.546581&lt;/latitude&gt;
&lt;iLvl&gt;7&lt;/iLvl&gt;
&lt;/candidate&gt;
&lt;/results&gt;
</v>
      </c>
      <c r="F404" cm="1">
        <f t="array" ref="F404">INDEX(_xlfn.FILTERXML(E404,"//latitude"),1)</f>
        <v>35.546581000000003</v>
      </c>
      <c r="G404" cm="1">
        <f t="array" ref="G404">INDEX(_xlfn.FILTERXML(E404,"//longitude"),1)</f>
        <v>139.55621300000001</v>
      </c>
      <c r="H404">
        <v>35.546581000000003</v>
      </c>
      <c r="I404">
        <v>139.55621300000001</v>
      </c>
    </row>
    <row r="405" spans="1:9" x14ac:dyDescent="0.4">
      <c r="A405" t="s">
        <v>9</v>
      </c>
      <c r="B405" t="s">
        <v>973</v>
      </c>
      <c r="C405" t="str">
        <f t="shared" si="34"/>
        <v>東京都豊島区南大塚</v>
      </c>
      <c r="D405" s="2" t="str">
        <f t="shared" si="32"/>
        <v>http://geocode.csis.u-tokyo.ac.jp/cgi-bin/simple_geocode.cgi?charset=UTF8&amp;addr=%E6%9D%B1%E4%BA%AC%E9%83%BD%E8%B1%8A%E5%B3%B6%E5%8C%BA%E5%8D%97%E5%A4%A7%E5%A1%9A</v>
      </c>
      <c r="E405" t="str">
        <f t="shared" si="33"/>
        <v xml:space="preserve">&lt;?xml version="1.0" encoding="UTF-8" ?&gt;
&lt;results&gt;
&lt;query&gt;東京都豊島区南大塚&lt;/query&gt;
&lt;geodetic&gt;wgs1984&lt;/geodetic&gt;
&lt;iConf&gt;5&lt;/iConf&gt;
&lt;converted&gt;東京都豊島区南大塚&lt;/converted&gt;
&lt;candidate&gt;
&lt;address&gt;東京都/豊島区/南大塚&lt;/address&gt;
&lt;longitude&gt;139.734406&lt;/longitude&gt;
&lt;latitude&gt;35.728470&lt;/latitude&gt;
&lt;iLvl&gt;5&lt;/iLvl&gt;
&lt;/candidate&gt;
&lt;/results&gt;
</v>
      </c>
      <c r="F405" cm="1">
        <f t="array" ref="F405">INDEX(_xlfn.FILTERXML(E405,"//latitude"),1)</f>
        <v>35.728470000000002</v>
      </c>
      <c r="G405" cm="1">
        <f t="array" ref="G405">INDEX(_xlfn.FILTERXML(E405,"//longitude"),1)</f>
        <v>139.73440600000001</v>
      </c>
      <c r="H405">
        <v>35.728470000000002</v>
      </c>
      <c r="I405">
        <v>139.73440600000001</v>
      </c>
    </row>
    <row r="406" spans="1:9" x14ac:dyDescent="0.4">
      <c r="A406" t="s">
        <v>24</v>
      </c>
      <c r="B406" t="s">
        <v>27</v>
      </c>
      <c r="C406" t="str">
        <f t="shared" si="34"/>
        <v>栃木県宇都宮市</v>
      </c>
      <c r="D406" s="2" t="str">
        <f t="shared" si="32"/>
        <v>http://geocode.csis.u-tokyo.ac.jp/cgi-bin/simple_geocode.cgi?charset=UTF8&amp;addr=%E6%A0%83%E6%9C%A8%E7%9C%8C%E5%AE%87%E9%83%BD%E5%AE%AE%E5%B8%82</v>
      </c>
      <c r="E406" t="str">
        <f t="shared" si="33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406" cm="1">
        <f t="array" ref="F406">INDEX(_xlfn.FILTERXML(E406,"//latitude"),1)</f>
        <v>36.555115000000001</v>
      </c>
      <c r="G406" cm="1">
        <f t="array" ref="G406">INDEX(_xlfn.FILTERXML(E406,"//longitude"),1)</f>
        <v>139.882812</v>
      </c>
      <c r="H406">
        <v>36.555115000000001</v>
      </c>
      <c r="I406">
        <v>139.882812</v>
      </c>
    </row>
    <row r="407" spans="1:9" x14ac:dyDescent="0.4">
      <c r="A407" t="s">
        <v>113</v>
      </c>
      <c r="B407" t="s">
        <v>974</v>
      </c>
      <c r="C407" t="str">
        <f t="shared" si="34"/>
        <v>岡山県倉敷市連島町連島</v>
      </c>
      <c r="D407" s="2" t="str">
        <f t="shared" si="32"/>
        <v>http://geocode.csis.u-tokyo.ac.jp/cgi-bin/simple_geocode.cgi?charset=UTF8&amp;addr=%E5%B2%A1%E5%B1%B1%E7%9C%8C%E5%80%89%E6%95%B7%E5%B8%82%E9%80%A3%E5%B3%B6%E7%94%BA%E9%80%A3%E5%B3%B6</v>
      </c>
      <c r="E407" t="str">
        <f t="shared" si="33"/>
        <v xml:space="preserve">&lt;?xml version="1.0" encoding="UTF-8" ?&gt;
&lt;results&gt;
&lt;query&gt;岡山県倉敷市連島町連島&lt;/query&gt;
&lt;geodetic&gt;wgs1984&lt;/geodetic&gt;
&lt;iConf&gt;5&lt;/iConf&gt;
&lt;converted&gt;岡山県倉敷市連島町連島&lt;/converted&gt;
&lt;candidate&gt;
&lt;address&gt;岡山県/倉敷市/連島町連島&lt;/address&gt;
&lt;longitude&gt;133.738434&lt;/longitude&gt;
&lt;latitude&gt;34.562099&lt;/latitude&gt;
&lt;iLvl&gt;5&lt;/iLvl&gt;
&lt;/candidate&gt;
&lt;/results&gt;
</v>
      </c>
      <c r="F407" cm="1">
        <f t="array" ref="F407">INDEX(_xlfn.FILTERXML(E407,"//latitude"),1)</f>
        <v>34.562099000000003</v>
      </c>
      <c r="G407" cm="1">
        <f t="array" ref="G407">INDEX(_xlfn.FILTERXML(E407,"//longitude"),1)</f>
        <v>133.73843400000001</v>
      </c>
      <c r="H407">
        <v>34.562099000000003</v>
      </c>
      <c r="I407">
        <v>133.73843400000001</v>
      </c>
    </row>
    <row r="408" spans="1:9" x14ac:dyDescent="0.4">
      <c r="A408" t="s">
        <v>28</v>
      </c>
      <c r="B408" t="s">
        <v>975</v>
      </c>
      <c r="C408" t="str">
        <f t="shared" si="34"/>
        <v>沖縄県西原町上原</v>
      </c>
      <c r="D408" s="2" t="str">
        <f t="shared" si="32"/>
        <v>http://geocode.csis.u-tokyo.ac.jp/cgi-bin/simple_geocode.cgi?charset=UTF8&amp;addr=%E6%B2%96%E7%B8%84%E7%9C%8C%E8%A5%BF%E5%8E%9F%E7%94%BA%E4%B8%8A%E5%8E%9F</v>
      </c>
      <c r="E408" t="str">
        <f t="shared" si="33"/>
        <v xml:space="preserve">&lt;?xml version="1.0" encoding="UTF-8" ?&gt;
&lt;results&gt;
&lt;query&gt;沖縄県西原町上原&lt;/query&gt;
&lt;geodetic&gt;wgs1984&lt;/geodetic&gt;
&lt;iConf&gt;5&lt;/iConf&gt;
&lt;converted&gt;沖縄県西原町上原&lt;/converted&gt;
&lt;candidate&gt;
&lt;address&gt;沖縄県/中頭郡/西原町/上原&lt;/address&gt;
&lt;longitude&gt;127.762131&lt;/longitude&gt;
&lt;latitude&gt;26.241070&lt;/latitude&gt;
&lt;iLvl&gt;5&lt;/iLvl&gt;
&lt;/candidate&gt;
&lt;/results&gt;
</v>
      </c>
      <c r="F408" cm="1">
        <f t="array" ref="F408">INDEX(_xlfn.FILTERXML(E408,"//latitude"),1)</f>
        <v>26.241070000000001</v>
      </c>
      <c r="G408" cm="1">
        <f t="array" ref="G408">INDEX(_xlfn.FILTERXML(E408,"//longitude"),1)</f>
        <v>127.762131</v>
      </c>
      <c r="H408">
        <v>26.241070000000001</v>
      </c>
      <c r="I408">
        <v>127.762131</v>
      </c>
    </row>
    <row r="409" spans="1:9" x14ac:dyDescent="0.4">
      <c r="A409" t="s">
        <v>10</v>
      </c>
      <c r="B409" t="s">
        <v>834</v>
      </c>
      <c r="C409" t="str">
        <f t="shared" si="34"/>
        <v>神奈川県川崎市宮前区宮崎</v>
      </c>
      <c r="D409" s="2" t="str">
        <f t="shared" si="32"/>
        <v>http://geocode.csis.u-tokyo.ac.jp/cgi-bin/simple_geocode.cgi?charset=UTF8&amp;addr=%E7%A5%9E%E5%A5%88%E5%B7%9D%E7%9C%8C%E5%B7%9D%E5%B4%8E%E5%B8%82%E5%AE%AE%E5%89%8D%E5%8C%BA%E5%AE%AE%E5%B4%8E</v>
      </c>
      <c r="E409" t="str">
        <f t="shared" si="33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409" cm="1">
        <f t="array" ref="F409">INDEX(_xlfn.FILTERXML(E409,"//latitude"),1)</f>
        <v>35.584750999999997</v>
      </c>
      <c r="G409" cm="1">
        <f t="array" ref="G409">INDEX(_xlfn.FILTERXML(E409,"//longitude"),1)</f>
        <v>139.593445</v>
      </c>
      <c r="H409">
        <v>35.584750999999997</v>
      </c>
      <c r="I409">
        <v>139.593445</v>
      </c>
    </row>
    <row r="410" spans="1:9" x14ac:dyDescent="0.4">
      <c r="A410" t="s">
        <v>18</v>
      </c>
      <c r="B410" t="s">
        <v>112</v>
      </c>
      <c r="C410" t="str">
        <f t="shared" si="34"/>
        <v>千葉県市川市</v>
      </c>
      <c r="D410" s="2" t="str">
        <f t="shared" si="32"/>
        <v>http://geocode.csis.u-tokyo.ac.jp/cgi-bin/simple_geocode.cgi?charset=UTF8&amp;addr=%E5%8D%83%E8%91%89%E7%9C%8C%E5%B8%82%E5%B7%9D%E5%B8%82</v>
      </c>
      <c r="E410" t="str">
        <f t="shared" si="33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410" cm="1">
        <f t="array" ref="F410">INDEX(_xlfn.FILTERXML(E410,"//latitude"),1)</f>
        <v>35.721912000000003</v>
      </c>
      <c r="G410" cm="1">
        <f t="array" ref="G410">INDEX(_xlfn.FILTERXML(E410,"//longitude"),1)</f>
        <v>139.931015</v>
      </c>
      <c r="H410">
        <v>35.721912000000003</v>
      </c>
      <c r="I410">
        <v>139.931015</v>
      </c>
    </row>
    <row r="411" spans="1:9" x14ac:dyDescent="0.4">
      <c r="A411" t="s">
        <v>20</v>
      </c>
      <c r="B411" t="s">
        <v>258</v>
      </c>
      <c r="C411" t="str">
        <f t="shared" si="34"/>
        <v>茨城県ひたちなか市中根</v>
      </c>
      <c r="D411" s="2" t="str">
        <f t="shared" si="32"/>
        <v>http://geocode.csis.u-tokyo.ac.jp/cgi-bin/simple_geocode.cgi?charset=UTF8&amp;addr=%E8%8C%A8%E5%9F%8E%E7%9C%8C%E3%81%B2%E3%81%9F%E3%81%A1%E3%81%AA%E3%81%8B%E5%B8%82%E4%B8%AD%E6%A0%B9</v>
      </c>
      <c r="E411" t="str">
        <f t="shared" si="33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411" cm="1">
        <f t="array" ref="F411">INDEX(_xlfn.FILTERXML(E411,"//latitude"),1)</f>
        <v>36.389361999999998</v>
      </c>
      <c r="G411" cm="1">
        <f t="array" ref="G411">INDEX(_xlfn.FILTERXML(E411,"//longitude"),1)</f>
        <v>140.55647300000001</v>
      </c>
      <c r="H411">
        <v>36.389361999999998</v>
      </c>
      <c r="I411">
        <v>140.55647300000001</v>
      </c>
    </row>
    <row r="412" spans="1:9" x14ac:dyDescent="0.4">
      <c r="A412" t="s">
        <v>29</v>
      </c>
      <c r="B412" t="s">
        <v>976</v>
      </c>
      <c r="C412" t="str">
        <f t="shared" si="34"/>
        <v>静岡県湖西市大知波</v>
      </c>
      <c r="D412" s="2" t="str">
        <f t="shared" si="32"/>
        <v>http://geocode.csis.u-tokyo.ac.jp/cgi-bin/simple_geocode.cgi?charset=UTF8&amp;addr=%E9%9D%99%E5%B2%A1%E7%9C%8C%E6%B9%96%E8%A5%BF%E5%B8%82%E5%A4%A7%E7%9F%A5%E6%B3%A2</v>
      </c>
      <c r="E412" t="str">
        <f t="shared" si="33"/>
        <v xml:space="preserve">&lt;?xml version="1.0" encoding="UTF-8" ?&gt;
&lt;results&gt;
&lt;query&gt;静岡県湖西市大知波&lt;/query&gt;
&lt;geodetic&gt;wgs1984&lt;/geodetic&gt;
&lt;iConf&gt;5&lt;/iConf&gt;
&lt;converted&gt;静岡県湖西市大知波&lt;/converted&gt;
&lt;candidate&gt;
&lt;address&gt;静岡県/湖西市/大知波&lt;/address&gt;
&lt;longitude&gt;137.494949&lt;/longitude&gt;
&lt;latitude&gt;34.768810&lt;/latitude&gt;
&lt;iLvl&gt;5&lt;/iLvl&gt;
&lt;/candidate&gt;
&lt;/results&gt;
</v>
      </c>
      <c r="F412" cm="1">
        <f t="array" ref="F412">INDEX(_xlfn.FILTERXML(E412,"//latitude"),1)</f>
        <v>34.768810000000002</v>
      </c>
      <c r="G412" cm="1">
        <f t="array" ref="G412">INDEX(_xlfn.FILTERXML(E412,"//longitude"),1)</f>
        <v>137.49494899999999</v>
      </c>
      <c r="H412">
        <v>34.768810000000002</v>
      </c>
      <c r="I412">
        <v>137.49494899999999</v>
      </c>
    </row>
    <row r="413" spans="1:9" x14ac:dyDescent="0.4">
      <c r="A413" t="s">
        <v>10</v>
      </c>
      <c r="B413" t="s">
        <v>977</v>
      </c>
      <c r="C413" t="str">
        <f t="shared" si="34"/>
        <v>神奈川県鎌倉市岡本</v>
      </c>
      <c r="D413" s="2" t="str">
        <f t="shared" si="32"/>
        <v>http://geocode.csis.u-tokyo.ac.jp/cgi-bin/simple_geocode.cgi?charset=UTF8&amp;addr=%E7%A5%9E%E5%A5%88%E5%B7%9D%E7%9C%8C%E9%8E%8C%E5%80%89%E5%B8%82%E5%B2%A1%E6%9C%AC</v>
      </c>
      <c r="E413" t="str">
        <f t="shared" si="33"/>
        <v xml:space="preserve">&lt;?xml version="1.0" encoding="UTF-8" ?&gt;
&lt;results&gt;
&lt;query&gt;神奈川県鎌倉市岡本&lt;/query&gt;
&lt;geodetic&gt;wgs1984&lt;/geodetic&gt;
&lt;iConf&gt;5&lt;/iConf&gt;
&lt;converted&gt;神奈川県鎌倉市岡本&lt;/converted&gt;
&lt;candidate&gt;
&lt;address&gt;神奈川県/鎌倉市/岡本&lt;/address&gt;
&lt;longitude&gt;139.528305&lt;/longitude&gt;
&lt;latitude&gt;35.355358&lt;/latitude&gt;
&lt;iLvl&gt;5&lt;/iLvl&gt;
&lt;/candidate&gt;
&lt;/results&gt;
</v>
      </c>
      <c r="F413" cm="1">
        <f t="array" ref="F413">INDEX(_xlfn.FILTERXML(E413,"//latitude"),1)</f>
        <v>35.355358000000003</v>
      </c>
      <c r="G413" cm="1">
        <f t="array" ref="G413">INDEX(_xlfn.FILTERXML(E413,"//longitude"),1)</f>
        <v>139.52830499999999</v>
      </c>
      <c r="H413">
        <v>35.355358000000003</v>
      </c>
      <c r="I413">
        <v>139.52830499999999</v>
      </c>
    </row>
    <row r="414" spans="1:9" x14ac:dyDescent="0.4">
      <c r="A414" t="s">
        <v>13</v>
      </c>
      <c r="B414" t="s">
        <v>978</v>
      </c>
      <c r="C414" t="str">
        <f t="shared" si="34"/>
        <v>埼玉県川口市戸塚東</v>
      </c>
      <c r="D414" s="2" t="str">
        <f t="shared" si="32"/>
        <v>http://geocode.csis.u-tokyo.ac.jp/cgi-bin/simple_geocode.cgi?charset=UTF8&amp;addr=%E5%9F%BC%E7%8E%89%E7%9C%8C%E5%B7%9D%E5%8F%A3%E5%B8%82%E6%88%B8%E5%A1%9A%E6%9D%B1</v>
      </c>
      <c r="E414" t="str">
        <f t="shared" si="33"/>
        <v xml:space="preserve">&lt;?xml version="1.0" encoding="UTF-8" ?&gt;
&lt;results&gt;
&lt;query&gt;埼玉県川口市戸塚東&lt;/query&gt;
&lt;geodetic&gt;wgs1984&lt;/geodetic&gt;
&lt;iConf&gt;5&lt;/iConf&gt;
&lt;converted&gt;埼玉県川口市戸塚東&lt;/converted&gt;
&lt;candidate&gt;
&lt;address&gt;埼玉県/川口市/戸塚東&lt;/address&gt;
&lt;longitude&gt;139.751648&lt;/longitude&gt;
&lt;latitude&gt;35.874107&lt;/latitude&gt;
&lt;iLvl&gt;5&lt;/iLvl&gt;
&lt;/candidate&gt;
&lt;/results&gt;
</v>
      </c>
      <c r="F414" cm="1">
        <f t="array" ref="F414">INDEX(_xlfn.FILTERXML(E414,"//latitude"),1)</f>
        <v>35.874107000000002</v>
      </c>
      <c r="G414" cm="1">
        <f t="array" ref="G414">INDEX(_xlfn.FILTERXML(E414,"//longitude"),1)</f>
        <v>139.75164799999999</v>
      </c>
      <c r="H414">
        <v>35.874107000000002</v>
      </c>
      <c r="I414">
        <v>139.75164799999999</v>
      </c>
    </row>
    <row r="415" spans="1:9" x14ac:dyDescent="0.4">
      <c r="A415" t="s">
        <v>9</v>
      </c>
      <c r="B415" t="s">
        <v>979</v>
      </c>
      <c r="C415" t="str">
        <f t="shared" si="34"/>
        <v>東京都東京都墨田区吾妻橋</v>
      </c>
      <c r="D415" s="2" t="str">
        <f t="shared" si="32"/>
        <v>http://geocode.csis.u-tokyo.ac.jp/cgi-bin/simple_geocode.cgi?charset=UTF8&amp;addr=%E6%9D%B1%E4%BA%AC%E9%83%BD%E6%9D%B1%E4%BA%AC%E9%83%BD%E5%A2%A8%E7%94%B0%E5%8C%BA%E5%90%BE%E5%A6%BB%E6%A9%8B</v>
      </c>
      <c r="E415" t="str">
        <f t="shared" si="33"/>
        <v xml:space="preserve">&lt;?xml version="1.0" encoding="UTF-8" ?&gt;
&lt;results&gt;
&lt;query&gt;東京都東京都墨田区吾妻橋&lt;/query&gt;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415" cm="1">
        <f t="array" ref="F415">INDEX(_xlfn.FILTERXML(E415,"//latitude"),1)</f>
        <v>35.757992000000002</v>
      </c>
      <c r="G415" cm="1">
        <f t="array" ref="G415">INDEX(_xlfn.FILTERXML(E415,"//longitude"),1)</f>
        <v>139.52967799999999</v>
      </c>
      <c r="H415">
        <v>35.757992000000002</v>
      </c>
      <c r="I415">
        <v>139.52967799999999</v>
      </c>
    </row>
    <row r="416" spans="1:9" x14ac:dyDescent="0.4">
      <c r="A416" t="s">
        <v>9</v>
      </c>
      <c r="B416" t="s">
        <v>980</v>
      </c>
      <c r="C416" t="str">
        <f t="shared" si="34"/>
        <v>東京都世田谷区等々力</v>
      </c>
      <c r="D416" s="2" t="str">
        <f t="shared" si="32"/>
        <v>http://geocode.csis.u-tokyo.ac.jp/cgi-bin/simple_geocode.cgi?charset=UTF8&amp;addr=%E6%9D%B1%E4%BA%AC%E9%83%BD%E4%B8%96%E7%94%B0%E8%B0%B7%E5%8C%BA%E7%AD%89%E3%80%85%E5%8A%9B</v>
      </c>
      <c r="E416" t="str">
        <f t="shared" si="33"/>
        <v xml:space="preserve">&lt;?xml version="1.0" encoding="UTF-8" ?&gt;
&lt;results&gt;
&lt;query&gt;東京都世田谷区等々力&lt;/query&gt;
&lt;geodetic&gt;wgs1984&lt;/geodetic&gt;
&lt;iConf&gt;5&lt;/iConf&gt;
&lt;converted&gt;東京都世田谷区等々力&lt;/converted&gt;
&lt;candidate&gt;
&lt;address&gt;東京都/世田谷区/等々力&lt;/address&gt;
&lt;longitude&gt;139.648636&lt;/longitude&gt;
&lt;latitude&gt;35.602623&lt;/latitude&gt;
&lt;iLvl&gt;5&lt;/iLvl&gt;
&lt;/candidate&gt;
&lt;/results&gt;
</v>
      </c>
      <c r="F416" cm="1">
        <f t="array" ref="F416">INDEX(_xlfn.FILTERXML(E416,"//latitude"),1)</f>
        <v>35.602623000000001</v>
      </c>
      <c r="G416" cm="1">
        <f t="array" ref="G416">INDEX(_xlfn.FILTERXML(E416,"//longitude"),1)</f>
        <v>139.64863600000001</v>
      </c>
      <c r="H416">
        <v>35.602623000000001</v>
      </c>
      <c r="I416">
        <v>139.64863600000001</v>
      </c>
    </row>
    <row r="417" spans="1:9" x14ac:dyDescent="0.4">
      <c r="A417" t="s">
        <v>48</v>
      </c>
      <c r="B417" t="s">
        <v>719</v>
      </c>
      <c r="C417" t="str">
        <f t="shared" si="34"/>
        <v>石川県金沢市</v>
      </c>
      <c r="D417" s="2" t="str">
        <f t="shared" si="32"/>
        <v>http://geocode.csis.u-tokyo.ac.jp/cgi-bin/simple_geocode.cgi?charset=UTF8&amp;addr=%E7%9F%B3%E5%B7%9D%E7%9C%8C%E9%87%91%E6%B2%A2%E5%B8%82</v>
      </c>
      <c r="E417" t="str">
        <f t="shared" si="33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417" cm="1">
        <f t="array" ref="F417">INDEX(_xlfn.FILTERXML(E417,"//latitude"),1)</f>
        <v>36.561050000000002</v>
      </c>
      <c r="G417" cm="1">
        <f t="array" ref="G417">INDEX(_xlfn.FILTERXML(E417,"//longitude"),1)</f>
        <v>136.656631</v>
      </c>
      <c r="H417">
        <v>36.561050000000002</v>
      </c>
      <c r="I417">
        <v>136.656631</v>
      </c>
    </row>
    <row r="418" spans="1:9" x14ac:dyDescent="0.4">
      <c r="A418" t="s">
        <v>13</v>
      </c>
      <c r="B418" t="s">
        <v>150</v>
      </c>
      <c r="C418" t="str">
        <f t="shared" si="34"/>
        <v>埼玉県蕨市</v>
      </c>
      <c r="D418" s="2" t="str">
        <f t="shared" si="32"/>
        <v>http://geocode.csis.u-tokyo.ac.jp/cgi-bin/simple_geocode.cgi?charset=UTF8&amp;addr=%E5%9F%BC%E7%8E%89%E7%9C%8C%E8%95%A8%E5%B8%82</v>
      </c>
      <c r="E418" t="str">
        <f t="shared" si="33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418" cm="1">
        <f t="array" ref="F418">INDEX(_xlfn.FILTERXML(E418,"//latitude"),1)</f>
        <v>35.825577000000003</v>
      </c>
      <c r="G418" cm="1">
        <f t="array" ref="G418">INDEX(_xlfn.FILTERXML(E418,"//longitude"),1)</f>
        <v>139.67976400000001</v>
      </c>
      <c r="H418">
        <v>35.825577000000003</v>
      </c>
      <c r="I418">
        <v>139.67976400000001</v>
      </c>
    </row>
    <row r="419" spans="1:9" x14ac:dyDescent="0.4">
      <c r="A419" t="s">
        <v>15</v>
      </c>
      <c r="B419" t="s">
        <v>981</v>
      </c>
      <c r="C419" t="str">
        <f t="shared" si="34"/>
        <v>兵庫県宝塚市川面</v>
      </c>
      <c r="D419" s="2" t="str">
        <f t="shared" si="32"/>
        <v>http://geocode.csis.u-tokyo.ac.jp/cgi-bin/simple_geocode.cgi?charset=UTF8&amp;addr=%E5%85%B5%E5%BA%AB%E7%9C%8C%E5%AE%9D%E5%A1%9A%E5%B8%82%E5%B7%9D%E9%9D%A2</v>
      </c>
      <c r="E419" t="str">
        <f t="shared" si="33"/>
        <v xml:space="preserve">&lt;?xml version="1.0" encoding="UTF-8" ?&gt;
&lt;results&gt;
&lt;query&gt;兵庫県宝塚市川面&lt;/query&gt;
&lt;geodetic&gt;wgs1984&lt;/geodetic&gt;
&lt;iConf&gt;5&lt;/iConf&gt;
&lt;converted&gt;兵庫県宝塚市川面&lt;/converted&gt;
&lt;candidate&gt;
&lt;address&gt;兵庫県/宝塚市/川面&lt;/address&gt;
&lt;longitude&gt;135.336166&lt;/longitude&gt;
&lt;latitude&gt;34.829571&lt;/latitude&gt;
&lt;iLvl&gt;5&lt;/iLvl&gt;
&lt;/candidate&gt;
&lt;/results&gt;
</v>
      </c>
      <c r="F419" cm="1">
        <f t="array" ref="F419">INDEX(_xlfn.FILTERXML(E419,"//latitude"),1)</f>
        <v>34.829571000000001</v>
      </c>
      <c r="G419" cm="1">
        <f t="array" ref="G419">INDEX(_xlfn.FILTERXML(E419,"//longitude"),1)</f>
        <v>135.33616599999999</v>
      </c>
      <c r="H419">
        <v>34.829571000000001</v>
      </c>
      <c r="I419">
        <v>135.33616599999999</v>
      </c>
    </row>
    <row r="420" spans="1:9" x14ac:dyDescent="0.4">
      <c r="A420" t="s">
        <v>16</v>
      </c>
      <c r="B420" t="s">
        <v>982</v>
      </c>
      <c r="C420" t="str">
        <f t="shared" si="34"/>
        <v>長野県松本市内田</v>
      </c>
      <c r="D420" s="2" t="str">
        <f t="shared" si="32"/>
        <v>http://geocode.csis.u-tokyo.ac.jp/cgi-bin/simple_geocode.cgi?charset=UTF8&amp;addr=%E9%95%B7%E9%87%8E%E7%9C%8C%E6%9D%BE%E6%9C%AC%E5%B8%82%E5%86%85%E7%94%B0</v>
      </c>
      <c r="E420" t="str">
        <f t="shared" si="33"/>
        <v xml:space="preserve">&lt;?xml version="1.0" encoding="UTF-8" ?&gt;
&lt;results&gt;
&lt;query&gt;長野県松本市内田&lt;/query&gt;
&lt;geodetic&gt;wgs1984&lt;/geodetic&gt;
&lt;iConf&gt;5&lt;/iConf&gt;
&lt;converted&gt;長野県松本市内田&lt;/converted&gt;
&lt;candidate&gt;
&lt;address&gt;長野県/松本市/大字内田&lt;/address&gt;
&lt;longitude&gt;137.997009&lt;/longitude&gt;
&lt;latitude&gt;36.162838&lt;/latitude&gt;
&lt;iLvl&gt;5&lt;/iLvl&gt;
&lt;/candidate&gt;
&lt;/results&gt;
</v>
      </c>
      <c r="F420" cm="1">
        <f t="array" ref="F420">INDEX(_xlfn.FILTERXML(E420,"//latitude"),1)</f>
        <v>36.162838000000001</v>
      </c>
      <c r="G420" cm="1">
        <f t="array" ref="G420">INDEX(_xlfn.FILTERXML(E420,"//longitude"),1)</f>
        <v>137.99700899999999</v>
      </c>
      <c r="H420">
        <v>36.162838000000001</v>
      </c>
      <c r="I420">
        <v>137.99700899999999</v>
      </c>
    </row>
    <row r="421" spans="1:9" x14ac:dyDescent="0.4">
      <c r="A421" t="s">
        <v>18</v>
      </c>
      <c r="B421" t="s">
        <v>983</v>
      </c>
      <c r="C421" t="str">
        <f t="shared" si="34"/>
        <v>千葉県市川市相之川</v>
      </c>
      <c r="D421" s="2" t="str">
        <f t="shared" si="32"/>
        <v>http://geocode.csis.u-tokyo.ac.jp/cgi-bin/simple_geocode.cgi?charset=UTF8&amp;addr=%E5%8D%83%E8%91%89%E7%9C%8C%E5%B8%82%E5%B7%9D%E5%B8%82%E7%9B%B8%E4%B9%8B%E5%B7%9D</v>
      </c>
      <c r="E421" t="str">
        <f t="shared" si="33"/>
        <v xml:space="preserve">&lt;?xml version="1.0" encoding="UTF-8" ?&gt;
&lt;results&gt;
&lt;query&gt;千葉県市川市相之川&lt;/query&gt;
&lt;geodetic&gt;wgs1984&lt;/geodetic&gt;
&lt;iConf&gt;5&lt;/iConf&gt;
&lt;converted&gt;千葉県市川市相之川&lt;/converted&gt;
&lt;candidate&gt;
&lt;address&gt;千葉県/市川市/相之川&lt;/address&gt;
&lt;longitude&gt;139.895370&lt;/longitude&gt;
&lt;latitude&gt;35.680622&lt;/latitude&gt;
&lt;iLvl&gt;5&lt;/iLvl&gt;
&lt;/candidate&gt;
&lt;/results&gt;
</v>
      </c>
      <c r="F421" cm="1">
        <f t="array" ref="F421">INDEX(_xlfn.FILTERXML(E421,"//latitude"),1)</f>
        <v>35.680622</v>
      </c>
      <c r="G421" cm="1">
        <f t="array" ref="G421">INDEX(_xlfn.FILTERXML(E421,"//longitude"),1)</f>
        <v>139.89537000000001</v>
      </c>
      <c r="H421">
        <v>35.680622</v>
      </c>
      <c r="I421">
        <v>139.89537000000001</v>
      </c>
    </row>
    <row r="422" spans="1:9" x14ac:dyDescent="0.4">
      <c r="A422" t="s">
        <v>11</v>
      </c>
      <c r="B422" t="s">
        <v>984</v>
      </c>
      <c r="C422" t="str">
        <f t="shared" si="34"/>
        <v>大阪府大阪市平野区</v>
      </c>
      <c r="D422" s="2" t="str">
        <f t="shared" si="32"/>
        <v>http://geocode.csis.u-tokyo.ac.jp/cgi-bin/simple_geocode.cgi?charset=UTF8&amp;addr=%E5%A4%A7%E9%98%AA%E5%BA%9C%E5%A4%A7%E9%98%AA%E5%B8%82%E5%B9%B3%E9%87%8E%E5%8C%BA</v>
      </c>
      <c r="E422" t="str">
        <f t="shared" si="33"/>
        <v xml:space="preserve">&lt;?xml version="1.0" encoding="UTF-8" ?&gt;
&lt;results&gt;
&lt;query&gt;大阪府大阪市平野区&lt;/query&gt;
&lt;geodetic&gt;wgs1984&lt;/geodetic&gt;
&lt;iConf&gt;5&lt;/iConf&gt;
&lt;converted&gt;大阪府大阪市平野区&lt;/converted&gt;
&lt;candidate&gt;
&lt;address&gt;大阪府/大阪市/平野区&lt;/address&gt;
&lt;longitude&gt;135.546005&lt;/longitude&gt;
&lt;latitude&gt;34.621159&lt;/latitude&gt;
&lt;iLvl&gt;4&lt;/iLvl&gt;
&lt;/candidate&gt;
&lt;/results&gt;
</v>
      </c>
      <c r="F422" cm="1">
        <f t="array" ref="F422">INDEX(_xlfn.FILTERXML(E422,"//latitude"),1)</f>
        <v>34.621158999999999</v>
      </c>
      <c r="G422" cm="1">
        <f t="array" ref="G422">INDEX(_xlfn.FILTERXML(E422,"//longitude"),1)</f>
        <v>135.54600500000001</v>
      </c>
      <c r="H422">
        <v>34.621158999999999</v>
      </c>
      <c r="I422">
        <v>135.54600500000001</v>
      </c>
    </row>
    <row r="423" spans="1:9" x14ac:dyDescent="0.4">
      <c r="A423" t="s">
        <v>13</v>
      </c>
      <c r="B423" t="s">
        <v>985</v>
      </c>
      <c r="C423" t="str">
        <f t="shared" si="34"/>
        <v>埼玉県深谷市東方</v>
      </c>
      <c r="D423" s="2" t="str">
        <f t="shared" si="32"/>
        <v>http://geocode.csis.u-tokyo.ac.jp/cgi-bin/simple_geocode.cgi?charset=UTF8&amp;addr=%E5%9F%BC%E7%8E%89%E7%9C%8C%E6%B7%B1%E8%B0%B7%E5%B8%82%E6%9D%B1%E6%96%B9</v>
      </c>
      <c r="E423" t="str">
        <f t="shared" si="33"/>
        <v xml:space="preserve">&lt;?xml version="1.0" encoding="UTF-8" ?&gt;
&lt;results&gt;
&lt;query&gt;埼玉県深谷市東方&lt;/query&gt;
&lt;geodetic&gt;wgs1984&lt;/geodetic&gt;
&lt;iConf&gt;5&lt;/iConf&gt;
&lt;converted&gt;埼玉県深谷市東方&lt;/converted&gt;
&lt;candidate&gt;
&lt;address&gt;埼玉県/深谷市/東方&lt;/address&gt;
&lt;longitude&gt;139.319855&lt;/longitude&gt;
&lt;latitude&gt;36.194305&lt;/latitude&gt;
&lt;iLvl&gt;5&lt;/iLvl&gt;
&lt;/candidate&gt;
&lt;/results&gt;
</v>
      </c>
      <c r="F423" cm="1">
        <f t="array" ref="F423">INDEX(_xlfn.FILTERXML(E423,"//latitude"),1)</f>
        <v>36.194305</v>
      </c>
      <c r="G423" cm="1">
        <f t="array" ref="G423">INDEX(_xlfn.FILTERXML(E423,"//longitude"),1)</f>
        <v>139.31985499999999</v>
      </c>
      <c r="H423">
        <v>36.194305</v>
      </c>
      <c r="I423">
        <v>139.31985499999999</v>
      </c>
    </row>
    <row r="424" spans="1:9" x14ac:dyDescent="0.4">
      <c r="A424" t="s">
        <v>17</v>
      </c>
      <c r="B424" t="s">
        <v>986</v>
      </c>
      <c r="C424" t="str">
        <f t="shared" si="34"/>
        <v>愛知県半田市板山町</v>
      </c>
      <c r="D424" s="2" t="str">
        <f t="shared" si="32"/>
        <v>http://geocode.csis.u-tokyo.ac.jp/cgi-bin/simple_geocode.cgi?charset=UTF8&amp;addr=%E6%84%9B%E7%9F%A5%E7%9C%8C%E5%8D%8A%E7%94%B0%E5%B8%82%E6%9D%BF%E5%B1%B1%E7%94%BA</v>
      </c>
      <c r="E424" t="str">
        <f t="shared" si="33"/>
        <v xml:space="preserve">&lt;?xml version="1.0" encoding="UTF-8" ?&gt;
&lt;results&gt;
&lt;query&gt;愛知県半田市板山町&lt;/query&gt;
&lt;geodetic&gt;wgs1984&lt;/geodetic&gt;
&lt;iConf&gt;5&lt;/iConf&gt;
&lt;converted&gt;愛知県半田市板山町&lt;/converted&gt;
&lt;candidate&gt;
&lt;address&gt;愛知県/半田市/板山町&lt;/address&gt;
&lt;longitude&gt;136.892120&lt;/longitude&gt;
&lt;latitude&gt;34.890343&lt;/latitude&gt;
&lt;iLvl&gt;5&lt;/iLvl&gt;
&lt;/candidate&gt;
&lt;/results&gt;
</v>
      </c>
      <c r="F424" cm="1">
        <f t="array" ref="F424">INDEX(_xlfn.FILTERXML(E424,"//latitude"),1)</f>
        <v>34.890343000000001</v>
      </c>
      <c r="G424" cm="1">
        <f t="array" ref="G424">INDEX(_xlfn.FILTERXML(E424,"//longitude"),1)</f>
        <v>136.89212000000001</v>
      </c>
      <c r="H424">
        <v>34.890343000000001</v>
      </c>
      <c r="I424">
        <v>136.89212000000001</v>
      </c>
    </row>
    <row r="425" spans="1:9" x14ac:dyDescent="0.4">
      <c r="A425" t="s">
        <v>17</v>
      </c>
      <c r="B425" t="s">
        <v>987</v>
      </c>
      <c r="C425" t="str">
        <f t="shared" si="34"/>
        <v>愛知県名古屋市西区山木</v>
      </c>
      <c r="D425" s="2" t="str">
        <f t="shared" si="32"/>
        <v>http://geocode.csis.u-tokyo.ac.jp/cgi-bin/simple_geocode.cgi?charset=UTF8&amp;addr=%E6%84%9B%E7%9F%A5%E7%9C%8C%E5%90%8D%E5%8F%A4%E5%B1%8B%E5%B8%82%E8%A5%BF%E5%8C%BA%E5%B1%B1%E6%9C%A8</v>
      </c>
      <c r="E425" t="str">
        <f t="shared" si="33"/>
        <v xml:space="preserve">&lt;?xml version="1.0" encoding="UTF-8" ?&gt;
&lt;results&gt;
&lt;query&gt;愛知県名古屋市西区山木&lt;/query&gt;
&lt;geodetic&gt;wgs1984&lt;/geodetic&gt;
&lt;iConf&gt;5&lt;/iConf&gt;
&lt;converted&gt;愛知県名古屋市西区山木&lt;/converted&gt;
&lt;candidate&gt;
&lt;address&gt;愛知県/名古屋市/西区/山木&lt;/address&gt;
&lt;longitude&gt;136.869247&lt;/longitude&gt;
&lt;latitude&gt;35.222080&lt;/latitude&gt;
&lt;iLvl&gt;5&lt;/iLvl&gt;
&lt;/candidate&gt;
&lt;/results&gt;
</v>
      </c>
      <c r="F425" cm="1">
        <f t="array" ref="F425">INDEX(_xlfn.FILTERXML(E425,"//latitude"),1)</f>
        <v>35.222079999999998</v>
      </c>
      <c r="G425" cm="1">
        <f t="array" ref="G425">INDEX(_xlfn.FILTERXML(E425,"//longitude"),1)</f>
        <v>136.869247</v>
      </c>
      <c r="H425">
        <v>35.222079999999998</v>
      </c>
      <c r="I425">
        <v>136.869247</v>
      </c>
    </row>
    <row r="426" spans="1:9" x14ac:dyDescent="0.4">
      <c r="A426" t="s">
        <v>11</v>
      </c>
      <c r="B426" t="s">
        <v>988</v>
      </c>
      <c r="C426" t="str">
        <f t="shared" si="34"/>
        <v>大阪府吹田市山田西</v>
      </c>
      <c r="D426" s="2" t="str">
        <f t="shared" si="32"/>
        <v>http://geocode.csis.u-tokyo.ac.jp/cgi-bin/simple_geocode.cgi?charset=UTF8&amp;addr=%E5%A4%A7%E9%98%AA%E5%BA%9C%E5%90%B9%E7%94%B0%E5%B8%82%E5%B1%B1%E7%94%B0%E8%A5%BF</v>
      </c>
      <c r="E426" t="str">
        <f t="shared" si="33"/>
        <v xml:space="preserve">&lt;?xml version="1.0" encoding="UTF-8" ?&gt;
&lt;results&gt;
&lt;query&gt;大阪府吹田市山田西&lt;/query&gt;
&lt;geodetic&gt;wgs1984&lt;/geodetic&gt;
&lt;iConf&gt;5&lt;/iConf&gt;
&lt;converted&gt;大阪府吹田市山田西&lt;/converted&gt;
&lt;candidate&gt;
&lt;address&gt;大阪府/吹田市/山田西&lt;/address&gt;
&lt;longitude&gt;135.530655&lt;/longitude&gt;
&lt;latitude&gt;34.791245&lt;/latitude&gt;
&lt;iLvl&gt;5&lt;/iLvl&gt;
&lt;/candidate&gt;
&lt;/results&gt;
</v>
      </c>
      <c r="F426" cm="1">
        <f t="array" ref="F426">INDEX(_xlfn.FILTERXML(E426,"//latitude"),1)</f>
        <v>34.791245000000004</v>
      </c>
      <c r="G426" cm="1">
        <f t="array" ref="G426">INDEX(_xlfn.FILTERXML(E426,"//longitude"),1)</f>
        <v>135.530655</v>
      </c>
      <c r="H426">
        <v>34.791245000000004</v>
      </c>
      <c r="I426">
        <v>135.530655</v>
      </c>
    </row>
    <row r="427" spans="1:9" x14ac:dyDescent="0.4">
      <c r="A427" t="s">
        <v>12</v>
      </c>
      <c r="B427" t="s">
        <v>989</v>
      </c>
      <c r="C427" t="str">
        <f t="shared" si="34"/>
        <v>奈良県香芝市鎌田</v>
      </c>
      <c r="D427" s="2" t="str">
        <f t="shared" si="32"/>
        <v>http://geocode.csis.u-tokyo.ac.jp/cgi-bin/simple_geocode.cgi?charset=UTF8&amp;addr=%E5%A5%88%E8%89%AF%E7%9C%8C%E9%A6%99%E8%8A%9D%E5%B8%82%E9%8E%8C%E7%94%B0</v>
      </c>
      <c r="E427" t="str">
        <f t="shared" si="33"/>
        <v xml:space="preserve">&lt;?xml version="1.0" encoding="UTF-8" ?&gt;
&lt;results&gt;
&lt;query&gt;奈良県香芝市鎌田&lt;/query&gt;
&lt;geodetic&gt;wgs1984&lt;/geodetic&gt;
&lt;iConf&gt;5&lt;/iConf&gt;
&lt;converted&gt;奈良県香芝市鎌田&lt;/converted&gt;
&lt;candidate&gt;
&lt;address&gt;奈良県/香芝市/鎌田&lt;/address&gt;
&lt;longitude&gt;135.711395&lt;/longitude&gt;
&lt;latitude&gt;34.524376&lt;/latitude&gt;
&lt;iLvl&gt;5&lt;/iLvl&gt;
&lt;/candidate&gt;
&lt;/results&gt;
</v>
      </c>
      <c r="F427" cm="1">
        <f t="array" ref="F427">INDEX(_xlfn.FILTERXML(E427,"//latitude"),1)</f>
        <v>34.524375999999997</v>
      </c>
      <c r="G427" cm="1">
        <f t="array" ref="G427">INDEX(_xlfn.FILTERXML(E427,"//longitude"),1)</f>
        <v>135.71139500000001</v>
      </c>
      <c r="H427">
        <v>34.524375999999997</v>
      </c>
      <c r="I427">
        <v>135.71139500000001</v>
      </c>
    </row>
    <row r="428" spans="1:9" x14ac:dyDescent="0.4">
      <c r="A428" t="s">
        <v>11</v>
      </c>
      <c r="B428" t="s">
        <v>990</v>
      </c>
      <c r="C428" t="str">
        <f t="shared" si="34"/>
        <v>大阪府泉北郡忠岡町忠岡南</v>
      </c>
      <c r="D428" s="2" t="str">
        <f t="shared" si="32"/>
        <v>http://geocode.csis.u-tokyo.ac.jp/cgi-bin/simple_geocode.cgi?charset=UTF8&amp;addr=%E5%A4%A7%E9%98%AA%E5%BA%9C%E6%B3%89%E5%8C%97%E9%83%A1%E5%BF%A0%E5%B2%A1%E7%94%BA%E5%BF%A0%E5%B2%A1%E5%8D%97</v>
      </c>
      <c r="E428" t="str">
        <f t="shared" si="33"/>
        <v xml:space="preserve">&lt;?xml version="1.0" encoding="UTF-8" ?&gt;
&lt;results&gt;
&lt;query&gt;大阪府泉北郡忠岡町忠岡南&lt;/query&gt;
&lt;geodetic&gt;wgs1984&lt;/geodetic&gt;
&lt;iConf&gt;5&lt;/iConf&gt;
&lt;converted&gt;大阪府泉北郡忠岡町忠岡南&lt;/converted&gt;
&lt;candidate&gt;
&lt;address&gt;大阪府/泉北郡/忠岡町/忠岡南&lt;/address&gt;
&lt;longitude&gt;135.395370&lt;/longitude&gt;
&lt;latitude&gt;34.489090&lt;/latitude&gt;
&lt;iLvl&gt;5&lt;/iLvl&gt;
&lt;/candidate&gt;
&lt;/results&gt;
</v>
      </c>
      <c r="F428" cm="1">
        <f t="array" ref="F428">INDEX(_xlfn.FILTERXML(E428,"//latitude"),1)</f>
        <v>34.489089999999997</v>
      </c>
      <c r="G428" cm="1">
        <f t="array" ref="G428">INDEX(_xlfn.FILTERXML(E428,"//longitude"),1)</f>
        <v>135.39537000000001</v>
      </c>
      <c r="H428">
        <v>34.489089999999997</v>
      </c>
      <c r="I428">
        <v>135.39537000000001</v>
      </c>
    </row>
    <row r="429" spans="1:9" x14ac:dyDescent="0.4">
      <c r="A429" t="s">
        <v>118</v>
      </c>
      <c r="B429" t="s">
        <v>991</v>
      </c>
      <c r="C429" t="str">
        <f t="shared" si="34"/>
        <v>北海道札幌市豊平区</v>
      </c>
      <c r="D429" s="2" t="str">
        <f t="shared" si="32"/>
        <v>http://geocode.csis.u-tokyo.ac.jp/cgi-bin/simple_geocode.cgi?charset=UTF8&amp;addr=%E5%8C%97%E6%B5%B7%E9%81%93%E6%9C%AD%E5%B9%8C%E5%B8%82%E8%B1%8A%E5%B9%B3%E5%8C%BA</v>
      </c>
      <c r="E429" t="str">
        <f t="shared" si="33"/>
        <v xml:space="preserve">&lt;?xml version="1.0" encoding="UTF-8" ?&gt;
&lt;results&gt;
&lt;query&gt;北海道札幌市豊平区&lt;/query&gt;
&lt;geodetic&gt;wgs1984&lt;/geodetic&gt;
&lt;iConf&gt;5&lt;/iConf&gt;
&lt;converted&gt;北海道札幌市豊平区&lt;/converted&gt;
&lt;candidate&gt;
&lt;address&gt;北海道/札幌市/豊平区&lt;/address&gt;
&lt;longitude&gt;141.379974&lt;/longitude&gt;
&lt;latitude&gt;43.031368&lt;/latitude&gt;
&lt;iLvl&gt;4&lt;/iLvl&gt;
&lt;/candidate&gt;
&lt;/results&gt;
</v>
      </c>
      <c r="F429" cm="1">
        <f t="array" ref="F429">INDEX(_xlfn.FILTERXML(E429,"//latitude"),1)</f>
        <v>43.031368000000001</v>
      </c>
      <c r="G429" cm="1">
        <f t="array" ref="G429">INDEX(_xlfn.FILTERXML(E429,"//longitude"),1)</f>
        <v>141.379974</v>
      </c>
      <c r="H429">
        <v>43.031368000000001</v>
      </c>
      <c r="I429">
        <v>141.379974</v>
      </c>
    </row>
    <row r="430" spans="1:9" x14ac:dyDescent="0.4">
      <c r="A430" t="s">
        <v>9</v>
      </c>
      <c r="B430" t="s">
        <v>992</v>
      </c>
      <c r="C430" t="str">
        <f t="shared" si="34"/>
        <v>東京都文京区白山２丁目</v>
      </c>
      <c r="D430" s="2" t="str">
        <f t="shared" si="32"/>
        <v>http://geocode.csis.u-tokyo.ac.jp/cgi-bin/simple_geocode.cgi?charset=UTF8&amp;addr=%E6%9D%B1%E4%BA%AC%E9%83%BD%E6%96%87%E4%BA%AC%E5%8C%BA%E7%99%BD%E5%B1%B1%EF%BC%92%E4%B8%81%E7%9B%AE</v>
      </c>
      <c r="E430" t="str">
        <f t="shared" si="33"/>
        <v xml:space="preserve">&lt;?xml version="1.0" encoding="UTF-8" ?&gt;
&lt;results&gt;
&lt;query&gt;東京都文京区白山２丁目&lt;/query&gt;
&lt;geodetic&gt;wgs1984&lt;/geodetic&gt;
&lt;iConf&gt;5&lt;/iConf&gt;
&lt;converted&gt;東京都文京区白山２丁目&lt;/converted&gt;
&lt;candidate&gt;
&lt;address&gt;東京都/文京区/白山/二丁目&lt;/address&gt;
&lt;longitude&gt;139.748322&lt;/longitude&gt;
&lt;latitude&gt;35.717381&lt;/latitude&gt;
&lt;iLvl&gt;6&lt;/iLvl&gt;
&lt;/candidate&gt;
&lt;/results&gt;
</v>
      </c>
      <c r="F430" cm="1">
        <f t="array" ref="F430">INDEX(_xlfn.FILTERXML(E430,"//latitude"),1)</f>
        <v>35.717381000000003</v>
      </c>
      <c r="G430" cm="1">
        <f t="array" ref="G430">INDEX(_xlfn.FILTERXML(E430,"//longitude"),1)</f>
        <v>139.748322</v>
      </c>
      <c r="H430">
        <v>35.717381000000003</v>
      </c>
      <c r="I430">
        <v>139.748322</v>
      </c>
    </row>
    <row r="431" spans="1:9" x14ac:dyDescent="0.4">
      <c r="A431" t="s">
        <v>37</v>
      </c>
      <c r="B431" t="s">
        <v>993</v>
      </c>
      <c r="C431" t="str">
        <f t="shared" si="34"/>
        <v>三重県いなべ市藤原町大貝戸</v>
      </c>
      <c r="D431" s="2" t="str">
        <f t="shared" si="32"/>
        <v>http://geocode.csis.u-tokyo.ac.jp/cgi-bin/simple_geocode.cgi?charset=UTF8&amp;addr=%E4%B8%89%E9%87%8D%E7%9C%8C%E3%81%84%E3%81%AA%E3%81%B9%E5%B8%82%E8%97%A4%E5%8E%9F%E7%94%BA%E5%A4%A7%E8%B2%9D%E6%88%B8</v>
      </c>
      <c r="E431" t="str">
        <f t="shared" si="33"/>
        <v xml:space="preserve">&lt;?xml version="1.0" encoding="UTF-8" ?&gt;
&lt;results&gt;
&lt;query&gt;三重県いなべ市藤原町大貝戸&lt;/query&gt;
&lt;geodetic&gt;wgs1984&lt;/geodetic&gt;
&lt;iConf&gt;5&lt;/iConf&gt;
&lt;converted&gt;三重県いなべ市藤原町大貝戸&lt;/converted&gt;
&lt;candidate&gt;
&lt;address&gt;三重県/いなべ市/藤原町大貝戸&lt;/address&gt;
&lt;longitude&gt;136.475494&lt;/longitude&gt;
&lt;latitude&gt;35.168472&lt;/latitude&gt;
&lt;iLvl&gt;5&lt;/iLvl&gt;
&lt;/candidate&gt;
&lt;/results&gt;
</v>
      </c>
      <c r="F431" cm="1">
        <f t="array" ref="F431">INDEX(_xlfn.FILTERXML(E431,"//latitude"),1)</f>
        <v>35.168472000000001</v>
      </c>
      <c r="G431" cm="1">
        <f t="array" ref="G431">INDEX(_xlfn.FILTERXML(E431,"//longitude"),1)</f>
        <v>136.475494</v>
      </c>
      <c r="H431">
        <v>35.168472000000001</v>
      </c>
      <c r="I431">
        <v>136.475494</v>
      </c>
    </row>
    <row r="432" spans="1:9" x14ac:dyDescent="0.4">
      <c r="A432" t="s">
        <v>21</v>
      </c>
      <c r="B432" t="s">
        <v>994</v>
      </c>
      <c r="C432" t="str">
        <f t="shared" si="34"/>
        <v>福岡県小郡市小郡</v>
      </c>
      <c r="D432" s="2" t="str">
        <f t="shared" si="32"/>
        <v>http://geocode.csis.u-tokyo.ac.jp/cgi-bin/simple_geocode.cgi?charset=UTF8&amp;addr=%E7%A6%8F%E5%B2%A1%E7%9C%8C%E5%B0%8F%E9%83%A1%E5%B8%82%E5%B0%8F%E9%83%A1</v>
      </c>
      <c r="E432" t="str">
        <f t="shared" si="33"/>
        <v xml:space="preserve">&lt;?xml version="1.0" encoding="UTF-8" ?&gt;
&lt;results&gt;
&lt;query&gt;福岡県小郡市小郡&lt;/query&gt;
&lt;geodetic&gt;wgs1984&lt;/geodetic&gt;
&lt;iConf&gt;5&lt;/iConf&gt;
&lt;converted&gt;福岡県小郡市小郡&lt;/converted&gt;
&lt;candidate&gt;
&lt;address&gt;福岡県/小郡市/小郡&lt;/address&gt;
&lt;longitude&gt;130.549606&lt;/longitude&gt;
&lt;latitude&gt;33.402664&lt;/latitude&gt;
&lt;iLvl&gt;5&lt;/iLvl&gt;
&lt;/candidate&gt;
&lt;/results&gt;
</v>
      </c>
      <c r="F432" cm="1">
        <f t="array" ref="F432">INDEX(_xlfn.FILTERXML(E432,"//latitude"),1)</f>
        <v>33.402664000000001</v>
      </c>
      <c r="G432" cm="1">
        <f t="array" ref="G432">INDEX(_xlfn.FILTERXML(E432,"//longitude"),1)</f>
        <v>130.54960600000001</v>
      </c>
      <c r="H432">
        <v>33.402664000000001</v>
      </c>
      <c r="I432">
        <v>130.54960600000001</v>
      </c>
    </row>
    <row r="433" spans="1:9" x14ac:dyDescent="0.4">
      <c r="A433" t="s">
        <v>11</v>
      </c>
      <c r="B433" t="s">
        <v>995</v>
      </c>
      <c r="C433" t="str">
        <f t="shared" si="34"/>
        <v>大阪府堺市堺区綾之町西</v>
      </c>
      <c r="D433" s="2" t="str">
        <f t="shared" si="32"/>
        <v>http://geocode.csis.u-tokyo.ac.jp/cgi-bin/simple_geocode.cgi?charset=UTF8&amp;addr=%E5%A4%A7%E9%98%AA%E5%BA%9C%E5%A0%BA%E5%B8%82%E5%A0%BA%E5%8C%BA%E7%B6%BE%E4%B9%8B%E7%94%BA%E8%A5%BF</v>
      </c>
      <c r="E433" t="str">
        <f t="shared" si="33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433" cm="1">
        <f t="array" ref="F433">INDEX(_xlfn.FILTERXML(E433,"//latitude"),1)</f>
        <v>34.588470000000001</v>
      </c>
      <c r="G433" cm="1">
        <f t="array" ref="G433">INDEX(_xlfn.FILTERXML(E433,"//longitude"),1)</f>
        <v>135.48254399999999</v>
      </c>
      <c r="H433">
        <v>34.588470000000001</v>
      </c>
      <c r="I433">
        <v>135.48254399999999</v>
      </c>
    </row>
    <row r="434" spans="1:9" x14ac:dyDescent="0.4">
      <c r="A434" t="s">
        <v>10</v>
      </c>
      <c r="B434" t="s">
        <v>117</v>
      </c>
      <c r="C434" t="str">
        <f t="shared" si="34"/>
        <v>神奈川県平塚市</v>
      </c>
      <c r="D434" s="2" t="str">
        <f t="shared" si="32"/>
        <v>http://geocode.csis.u-tokyo.ac.jp/cgi-bin/simple_geocode.cgi?charset=UTF8&amp;addr=%E7%A5%9E%E5%A5%88%E5%B7%9D%E7%9C%8C%E5%B9%B3%E5%A1%9A%E5%B8%82</v>
      </c>
      <c r="E434" t="str">
        <f t="shared" si="33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434" cm="1">
        <f t="array" ref="F434">INDEX(_xlfn.FILTERXML(E434,"//latitude"),1)</f>
        <v>35.335503000000003</v>
      </c>
      <c r="G434" cm="1">
        <f t="array" ref="G434">INDEX(_xlfn.FILTERXML(E434,"//longitude"),1)</f>
        <v>139.349411</v>
      </c>
      <c r="H434">
        <v>35.335503000000003</v>
      </c>
      <c r="I434">
        <v>139.349411</v>
      </c>
    </row>
    <row r="435" spans="1:9" x14ac:dyDescent="0.4">
      <c r="A435" t="s">
        <v>34</v>
      </c>
      <c r="B435" t="s">
        <v>996</v>
      </c>
      <c r="C435" t="str">
        <f t="shared" si="34"/>
        <v>岐阜県羽島郡笠松町田代</v>
      </c>
      <c r="D435" s="2" t="str">
        <f t="shared" si="32"/>
        <v>http://geocode.csis.u-tokyo.ac.jp/cgi-bin/simple_geocode.cgi?charset=UTF8&amp;addr=%E5%B2%90%E9%98%9C%E7%9C%8C%E7%BE%BD%E5%B3%B6%E9%83%A1%E7%AC%A0%E6%9D%BE%E7%94%BA%E7%94%B0%E4%BB%A3</v>
      </c>
      <c r="E435" t="str">
        <f t="shared" si="33"/>
        <v xml:space="preserve">&lt;?xml version="1.0" encoding="UTF-8" ?&gt;
&lt;results&gt;
&lt;query&gt;岐阜県羽島郡笠松町田代&lt;/query&gt;
&lt;geodetic&gt;wgs1984&lt;/geodetic&gt;
&lt;iConf&gt;5&lt;/iConf&gt;
&lt;converted&gt;岐阜県羽島郡笠松町田代&lt;/converted&gt;
&lt;candidate&gt;
&lt;address&gt;岐阜県/羽島郡/笠松町/田代&lt;/address&gt;
&lt;longitude&gt;136.753281&lt;/longitude&gt;
&lt;latitude&gt;35.362053&lt;/latitude&gt;
&lt;iLvl&gt;5&lt;/iLvl&gt;
&lt;/candidate&gt;
&lt;/results&gt;
</v>
      </c>
      <c r="F435" cm="1">
        <f t="array" ref="F435">INDEX(_xlfn.FILTERXML(E435,"//latitude"),1)</f>
        <v>35.362053000000003</v>
      </c>
      <c r="G435" cm="1">
        <f t="array" ref="G435">INDEX(_xlfn.FILTERXML(E435,"//longitude"),1)</f>
        <v>136.75328099999999</v>
      </c>
      <c r="H435">
        <v>35.362053000000003</v>
      </c>
      <c r="I435">
        <v>136.75328099999999</v>
      </c>
    </row>
    <row r="436" spans="1:9" x14ac:dyDescent="0.4">
      <c r="A436" t="s">
        <v>9</v>
      </c>
      <c r="B436" t="s">
        <v>997</v>
      </c>
      <c r="C436" t="str">
        <f t="shared" si="34"/>
        <v>東京都台東区谷中 3-1-13</v>
      </c>
      <c r="D436" s="2" t="str">
        <f t="shared" si="32"/>
        <v>http://geocode.csis.u-tokyo.ac.jp/cgi-bin/simple_geocode.cgi?charset=UTF8&amp;addr=%E6%9D%B1%E4%BA%AC%E9%83%BD%E5%8F%B0%E6%9D%B1%E5%8C%BA%E8%B0%B7%E4%B8%AD%203-1-13</v>
      </c>
      <c r="E436" t="str">
        <f t="shared" si="33"/>
        <v xml:space="preserve">&lt;?xml version="1.0" encoding="UTF-8" ?&gt;
&lt;results&gt;
&lt;query&gt;東京都台東区谷中 3-1-13&lt;/query&gt;
&lt;geodetic&gt;wgs1984&lt;/geodetic&gt;
&lt;iConf&gt;5&lt;/iConf&gt;
&lt;converted&gt;東京都台東区谷中 3-1-13&lt;/converted&gt;
&lt;candidate&gt;
&lt;address&gt;東京都/台東区/谷中/三丁目/１番/１３号&lt;/address&gt;
&lt;longitude&gt;139.765366&lt;/longitude&gt;
&lt;latitude&gt;35.725231&lt;/latitude&gt;
&lt;iLvl&gt;8&lt;/iLvl&gt;
&lt;/candidate&gt;
&lt;/results&gt;
</v>
      </c>
      <c r="F436" cm="1">
        <f t="array" ref="F436">INDEX(_xlfn.FILTERXML(E436,"//latitude"),1)</f>
        <v>35.725231000000001</v>
      </c>
      <c r="G436" cm="1">
        <f t="array" ref="G436">INDEX(_xlfn.FILTERXML(E436,"//longitude"),1)</f>
        <v>139.765366</v>
      </c>
      <c r="H436">
        <v>35.725231000000001</v>
      </c>
      <c r="I436">
        <v>139.765366</v>
      </c>
    </row>
    <row r="437" spans="1:9" x14ac:dyDescent="0.4">
      <c r="A437" t="s">
        <v>9</v>
      </c>
      <c r="B437" t="s">
        <v>223</v>
      </c>
      <c r="C437" t="str">
        <f t="shared" si="34"/>
        <v>東京都世田谷区</v>
      </c>
      <c r="D437" s="2" t="str">
        <f t="shared" si="32"/>
        <v>http://geocode.csis.u-tokyo.ac.jp/cgi-bin/simple_geocode.cgi?charset=UTF8&amp;addr=%E6%9D%B1%E4%BA%AC%E9%83%BD%E4%B8%96%E7%94%B0%E8%B0%B7%E5%8C%BA</v>
      </c>
      <c r="E437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37" cm="1">
        <f t="array" ref="F437">INDEX(_xlfn.FILTERXML(E437,"//latitude"),1)</f>
        <v>35.646481000000001</v>
      </c>
      <c r="G437" cm="1">
        <f t="array" ref="G437">INDEX(_xlfn.FILTERXML(E437,"//longitude"),1)</f>
        <v>139.65321399999999</v>
      </c>
      <c r="H437">
        <v>35.646481000000001</v>
      </c>
      <c r="I437">
        <v>139.65321399999999</v>
      </c>
    </row>
    <row r="438" spans="1:9" x14ac:dyDescent="0.4">
      <c r="A438" t="s">
        <v>9</v>
      </c>
      <c r="B438" t="s">
        <v>868</v>
      </c>
      <c r="C438" t="str">
        <f t="shared" si="34"/>
        <v>東京都練馬区早宮</v>
      </c>
      <c r="D438" s="2" t="str">
        <f t="shared" si="32"/>
        <v>http://geocode.csis.u-tokyo.ac.jp/cgi-bin/simple_geocode.cgi?charset=UTF8&amp;addr=%E6%9D%B1%E4%BA%AC%E9%83%BD%E7%B7%B4%E9%A6%AC%E5%8C%BA%E6%97%A9%E5%AE%AE</v>
      </c>
      <c r="E438" t="str">
        <f t="shared" si="33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438" cm="1">
        <f t="array" ref="F438">INDEX(_xlfn.FILTERXML(E438,"//latitude"),1)</f>
        <v>35.751559999999998</v>
      </c>
      <c r="G438" cm="1">
        <f t="array" ref="G438">INDEX(_xlfn.FILTERXML(E438,"//longitude"),1)</f>
        <v>139.65885900000001</v>
      </c>
      <c r="H438">
        <v>35.751559999999998</v>
      </c>
      <c r="I438">
        <v>139.65885900000001</v>
      </c>
    </row>
    <row r="439" spans="1:9" x14ac:dyDescent="0.4">
      <c r="A439" t="s">
        <v>26</v>
      </c>
      <c r="B439" t="s">
        <v>998</v>
      </c>
      <c r="C439" t="str">
        <f t="shared" si="34"/>
        <v>京都府京都市山科区</v>
      </c>
      <c r="D439" s="2" t="str">
        <f t="shared" si="32"/>
        <v>http://geocode.csis.u-tokyo.ac.jp/cgi-bin/simple_geocode.cgi?charset=UTF8&amp;addr=%E4%BA%AC%E9%83%BD%E5%BA%9C%E4%BA%AC%E9%83%BD%E5%B8%82%E5%B1%B1%E7%A7%91%E5%8C%BA</v>
      </c>
      <c r="E439" t="str">
        <f t="shared" si="33"/>
        <v xml:space="preserve">&lt;?xml version="1.0" encoding="UTF-8" ?&gt;
&lt;results&gt;
&lt;query&gt;京都府京都市山科区&lt;/query&gt;
&lt;geodetic&gt;wgs1984&lt;/geodetic&gt;
&lt;iConf&gt;5&lt;/iConf&gt;
&lt;converted&gt;京都府京都市山科区&lt;/converted&gt;
&lt;candidate&gt;
&lt;address&gt;京都府/京都市/山科区&lt;/address&gt;
&lt;longitude&gt;135.813629&lt;/longitude&gt;
&lt;latitude&gt;34.972298&lt;/latitude&gt;
&lt;iLvl&gt;4&lt;/iLvl&gt;
&lt;/candidate&gt;
&lt;/results&gt;
</v>
      </c>
      <c r="F439" cm="1">
        <f t="array" ref="F439">INDEX(_xlfn.FILTERXML(E439,"//latitude"),1)</f>
        <v>34.972298000000002</v>
      </c>
      <c r="G439" cm="1">
        <f t="array" ref="G439">INDEX(_xlfn.FILTERXML(E439,"//longitude"),1)</f>
        <v>135.81362899999999</v>
      </c>
      <c r="H439">
        <v>34.972298000000002</v>
      </c>
      <c r="I439">
        <v>135.81362899999999</v>
      </c>
    </row>
    <row r="440" spans="1:9" x14ac:dyDescent="0.4">
      <c r="A440" t="s">
        <v>128</v>
      </c>
      <c r="B440" t="s">
        <v>999</v>
      </c>
      <c r="C440" t="str">
        <f t="shared" si="34"/>
        <v>山形県鶴岡市日枝字鳥居上</v>
      </c>
      <c r="D440" s="2" t="str">
        <f t="shared" si="32"/>
        <v>http://geocode.csis.u-tokyo.ac.jp/cgi-bin/simple_geocode.cgi?charset=UTF8&amp;addr=%E5%B1%B1%E5%BD%A2%E7%9C%8C%E9%B6%B4%E5%B2%A1%E5%B8%82%E6%97%A5%E6%9E%9D%E5%AD%97%E9%B3%A5%E5%B1%85%E4%B8%8A</v>
      </c>
      <c r="E440" t="str">
        <f t="shared" si="33"/>
        <v xml:space="preserve">&lt;?xml version="1.0" encoding="UTF-8" ?&gt;
&lt;results&gt;
&lt;query&gt;山形県鶴岡市日枝字鳥居上&lt;/query&gt;
&lt;geodetic&gt;wgs1984&lt;/geodetic&gt;
&lt;iConf&gt;5&lt;/iConf&gt;
&lt;converted&gt;山形県鶴岡市日枝字鳥居上&lt;/converted&gt;
&lt;candidate&gt;
&lt;address&gt;山形県/鶴岡市/日枝/鳥居上&lt;/address&gt;
&lt;longitude&gt;139.813828&lt;/longitude&gt;
&lt;latitude&gt;38.708393&lt;/latitude&gt;
&lt;iLvl&gt;6&lt;/iLvl&gt;
&lt;/candidate&gt;
&lt;/results&gt;
</v>
      </c>
      <c r="F440" cm="1">
        <f t="array" ref="F440">INDEX(_xlfn.FILTERXML(E440,"//latitude"),1)</f>
        <v>38.708393000000001</v>
      </c>
      <c r="G440" cm="1">
        <f t="array" ref="G440">INDEX(_xlfn.FILTERXML(E440,"//longitude"),1)</f>
        <v>139.813828</v>
      </c>
      <c r="H440">
        <v>38.708393000000001</v>
      </c>
      <c r="I440">
        <v>139.813828</v>
      </c>
    </row>
    <row r="441" spans="1:9" x14ac:dyDescent="0.4">
      <c r="A441" t="s">
        <v>9</v>
      </c>
      <c r="B441" t="s">
        <v>1000</v>
      </c>
      <c r="C441" t="str">
        <f t="shared" si="34"/>
        <v>東京都東久留米市八幡町</v>
      </c>
      <c r="D441" s="2" t="str">
        <f t="shared" si="32"/>
        <v>http://geocode.csis.u-tokyo.ac.jp/cgi-bin/simple_geocode.cgi?charset=UTF8&amp;addr=%E6%9D%B1%E4%BA%AC%E9%83%BD%E6%9D%B1%E4%B9%85%E7%95%99%E7%B1%B3%E5%B8%82%E5%85%AB%E5%B9%A1%E7%94%BA</v>
      </c>
      <c r="E441" t="str">
        <f t="shared" si="33"/>
        <v xml:space="preserve">&lt;?xml version="1.0" encoding="UTF-8" ?&gt;
&lt;results&gt;
&lt;query&gt;東京都東久留米市八幡町&lt;/query&gt;
&lt;geodetic&gt;wgs1984&lt;/geodetic&gt;
&lt;iConf&gt;5&lt;/iConf&gt;
&lt;converted&gt;東京都東久留米市八幡町&lt;/converted&gt;
&lt;candidate&gt;
&lt;address&gt;東京都/東久留米市/八幡町&lt;/address&gt;
&lt;longitude&gt;139.512085&lt;/longitude&gt;
&lt;latitude&gt;35.757793&lt;/latitude&gt;
&lt;iLvl&gt;5&lt;/iLvl&gt;
&lt;/candidate&gt;
&lt;/results&gt;
</v>
      </c>
      <c r="F441" cm="1">
        <f t="array" ref="F441">INDEX(_xlfn.FILTERXML(E441,"//latitude"),1)</f>
        <v>35.757792999999999</v>
      </c>
      <c r="G441" cm="1">
        <f t="array" ref="G441">INDEX(_xlfn.FILTERXML(E441,"//longitude"),1)</f>
        <v>139.51208500000001</v>
      </c>
      <c r="H441">
        <v>35.757792999999999</v>
      </c>
      <c r="I441">
        <v>139.51208500000001</v>
      </c>
    </row>
    <row r="442" spans="1:9" x14ac:dyDescent="0.4">
      <c r="A442" t="s">
        <v>10</v>
      </c>
      <c r="B442" t="s">
        <v>1001</v>
      </c>
      <c r="C442" t="str">
        <f t="shared" si="34"/>
        <v>神奈川県横浜市磯子区上町</v>
      </c>
      <c r="D442" s="2" t="str">
        <f t="shared" si="32"/>
        <v>http://geocode.csis.u-tokyo.ac.jp/cgi-bin/simple_geocode.cgi?charset=UTF8&amp;addr=%E7%A5%9E%E5%A5%88%E5%B7%9D%E7%9C%8C%E6%A8%AA%E6%B5%9C%E5%B8%82%E7%A3%AF%E5%AD%90%E5%8C%BA%E4%B8%8A%E7%94%BA</v>
      </c>
      <c r="E442" t="str">
        <f t="shared" si="33"/>
        <v xml:space="preserve">&lt;?xml version="1.0" encoding="UTF-8" ?&gt;
&lt;results&gt;
&lt;query&gt;神奈川県横浜市磯子区上町&lt;/query&gt;
&lt;geodetic&gt;wgs1984&lt;/geodetic&gt;
&lt;iConf&gt;5&lt;/iConf&gt;
&lt;converted&gt;神奈川県横浜市磯子区上町&lt;/converted&gt;
&lt;candidate&gt;
&lt;address&gt;神奈川県/横浜市/磯子区/上町&lt;/address&gt;
&lt;longitude&gt;139.626068&lt;/longitude&gt;
&lt;latitude&gt;35.425121&lt;/latitude&gt;
&lt;iLvl&gt;5&lt;/iLvl&gt;
&lt;/candidate&gt;
&lt;/results&gt;
</v>
      </c>
      <c r="F442" cm="1">
        <f t="array" ref="F442">INDEX(_xlfn.FILTERXML(E442,"//latitude"),1)</f>
        <v>35.425120999999997</v>
      </c>
      <c r="G442" cm="1">
        <f t="array" ref="G442">INDEX(_xlfn.FILTERXML(E442,"//longitude"),1)</f>
        <v>139.626068</v>
      </c>
      <c r="H442">
        <v>35.425120999999997</v>
      </c>
      <c r="I442">
        <v>139.626068</v>
      </c>
    </row>
    <row r="443" spans="1:9" x14ac:dyDescent="0.4">
      <c r="A443" t="s">
        <v>22</v>
      </c>
      <c r="B443" t="s">
        <v>1002</v>
      </c>
      <c r="C443" t="str">
        <f t="shared" si="34"/>
        <v>群馬県館林市赤土町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http://geocode.csis.u-tokyo.ac.jp/cgi-bin/simple_geocode.cgi?charset=UTF8&amp;addr=%E7%BE%A4%E9%A6%AC%E7%9C%8C%E9%A4%A8%E6%9E%97%E5%B8%82%E8%B5%A4%E5%9C%9F%E7%94%BA</v>
      </c>
      <c r="E443" t="str">
        <f t="shared" ref="E443:E506" si="36" xml:space="preserve"> _xlfn.WEBSERVICE(D443)</f>
        <v xml:space="preserve">&lt;?xml version="1.0" encoding="UTF-8" ?&gt;
&lt;results&gt;
&lt;query&gt;群馬県館林市赤土町&lt;/query&gt;
&lt;geodetic&gt;wgs1984&lt;/geodetic&gt;
&lt;iConf&gt;5&lt;/iConf&gt;
&lt;converted&gt;群馬県館林市赤土町&lt;/converted&gt;
&lt;candidate&gt;
&lt;address&gt;群馬県/館林市/赤土町&lt;/address&gt;
&lt;longitude&gt;139.517578&lt;/longitude&gt;
&lt;latitude&gt;36.241440&lt;/latitude&gt;
&lt;iLvl&gt;5&lt;/iLvl&gt;
&lt;/candidate&gt;
&lt;/results&gt;
</v>
      </c>
      <c r="F443" cm="1">
        <f t="array" ref="F443">INDEX(_xlfn.FILTERXML(E443,"//latitude"),1)</f>
        <v>36.241439999999997</v>
      </c>
      <c r="G443" cm="1">
        <f t="array" ref="G443">INDEX(_xlfn.FILTERXML(E443,"//longitude"),1)</f>
        <v>139.51757799999999</v>
      </c>
      <c r="H443">
        <v>36.241439999999997</v>
      </c>
      <c r="I443">
        <v>139.51757799999999</v>
      </c>
    </row>
    <row r="444" spans="1:9" x14ac:dyDescent="0.4">
      <c r="A444" t="s">
        <v>17</v>
      </c>
      <c r="B444" t="s">
        <v>135</v>
      </c>
      <c r="C444" t="str">
        <f t="shared" si="34"/>
        <v>愛知県長久手市</v>
      </c>
      <c r="D444" s="2" t="str">
        <f t="shared" si="35"/>
        <v>http://geocode.csis.u-tokyo.ac.jp/cgi-bin/simple_geocode.cgi?charset=UTF8&amp;addr=%E6%84%9B%E7%9F%A5%E7%9C%8C%E9%95%B7%E4%B9%85%E6%89%8B%E5%B8%82</v>
      </c>
      <c r="E444" t="str">
        <f t="shared" si="36"/>
        <v xml:space="preserve">&lt;?xml version="1.0" encoding="UTF-8" ?&gt;
&lt;results&gt;
&lt;query&gt;愛知県長久手市&lt;/query&gt;
&lt;geodetic&gt;wgs1984&lt;/geodetic&gt;
&lt;iConf&gt;5&lt;/iConf&gt;
&lt;converted&gt;愛知県長久手市&lt;/converted&gt;
&lt;candidate&gt;
&lt;address&gt;愛知県/長久手市&lt;/address&gt;
&lt;longitude&gt;137.048630&lt;/longitude&gt;
&lt;latitude&gt;35.184120&lt;/latitude&gt;
&lt;iLvl&gt;3&lt;/iLvl&gt;
&lt;/candidate&gt;
&lt;/results&gt;
</v>
      </c>
      <c r="F444" cm="1">
        <f t="array" ref="F444">INDEX(_xlfn.FILTERXML(E444,"//latitude"),1)</f>
        <v>35.18412</v>
      </c>
      <c r="G444" cm="1">
        <f t="array" ref="G444">INDEX(_xlfn.FILTERXML(E444,"//longitude"),1)</f>
        <v>137.04863</v>
      </c>
      <c r="H444">
        <v>35.18412</v>
      </c>
      <c r="I444">
        <v>137.04863</v>
      </c>
    </row>
    <row r="445" spans="1:9" x14ac:dyDescent="0.4">
      <c r="A445" t="s">
        <v>9</v>
      </c>
      <c r="B445" t="s">
        <v>759</v>
      </c>
      <c r="C445" t="str">
        <f t="shared" si="34"/>
        <v>東京都中野区本町</v>
      </c>
      <c r="D445" s="2" t="str">
        <f t="shared" si="35"/>
        <v>http://geocode.csis.u-tokyo.ac.jp/cgi-bin/simple_geocode.cgi?charset=UTF8&amp;addr=%E6%9D%B1%E4%BA%AC%E9%83%BD%E4%B8%AD%E9%87%8E%E5%8C%BA%E6%9C%AC%E7%94%BA</v>
      </c>
      <c r="E445" t="str">
        <f t="shared" si="36"/>
        <v xml:space="preserve">&lt;?xml version="1.0" encoding="UTF-8" ?&gt;
&lt;results&gt;
&lt;query&gt;東京都中野区本町&lt;/query&gt;
&lt;geodetic&gt;wgs1984&lt;/geodetic&gt;
&lt;iConf&gt;5&lt;/iConf&gt;
&lt;converted&gt;東京都中野区本町&lt;/converted&gt;
&lt;candidate&gt;
&lt;address&gt;東京都/中野区/本町&lt;/address&gt;
&lt;longitude&gt;139.684067&lt;/longitude&gt;
&lt;latitude&gt;35.694511&lt;/latitude&gt;
&lt;iLvl&gt;5&lt;/iLvl&gt;
&lt;/candidate&gt;
&lt;/results&gt;
</v>
      </c>
      <c r="F445" cm="1">
        <f t="array" ref="F445">INDEX(_xlfn.FILTERXML(E445,"//latitude"),1)</f>
        <v>35.694510999999999</v>
      </c>
      <c r="G445" cm="1">
        <f t="array" ref="G445">INDEX(_xlfn.FILTERXML(E445,"//longitude"),1)</f>
        <v>139.684067</v>
      </c>
      <c r="H445">
        <v>35.694510999999999</v>
      </c>
      <c r="I445">
        <v>139.684067</v>
      </c>
    </row>
    <row r="446" spans="1:9" x14ac:dyDescent="0.4">
      <c r="A446" t="s">
        <v>9</v>
      </c>
      <c r="B446" t="s">
        <v>1003</v>
      </c>
      <c r="C446" t="str">
        <f t="shared" si="34"/>
        <v>東京都足立区竹ノ塚</v>
      </c>
      <c r="D446" s="2" t="str">
        <f t="shared" si="35"/>
        <v>http://geocode.csis.u-tokyo.ac.jp/cgi-bin/simple_geocode.cgi?charset=UTF8&amp;addr=%E6%9D%B1%E4%BA%AC%E9%83%BD%E8%B6%B3%E7%AB%8B%E5%8C%BA%E7%AB%B9%E3%83%8E%E5%A1%9A</v>
      </c>
      <c r="E446" t="str">
        <f t="shared" si="36"/>
        <v xml:space="preserve">&lt;?xml version="1.0" encoding="UTF-8" ?&gt;
&lt;results&gt;
&lt;query&gt;東京都足立区竹ノ塚&lt;/query&gt;
&lt;geodetic&gt;wgs1984&lt;/geodetic&gt;
&lt;iConf&gt;5&lt;/iConf&gt;
&lt;converted&gt;東京都足立区竹ノ塚&lt;/converted&gt;
&lt;candidate&gt;
&lt;address&gt;東京都/足立区/竹の塚&lt;/address&gt;
&lt;longitude&gt;139.791718&lt;/longitude&gt;
&lt;latitude&gt;35.790871&lt;/latitude&gt;
&lt;iLvl&gt;5&lt;/iLvl&gt;
&lt;/candidate&gt;
&lt;/results&gt;
</v>
      </c>
      <c r="F446" cm="1">
        <f t="array" ref="F446">INDEX(_xlfn.FILTERXML(E446,"//latitude"),1)</f>
        <v>35.790871000000003</v>
      </c>
      <c r="G446" cm="1">
        <f t="array" ref="G446">INDEX(_xlfn.FILTERXML(E446,"//longitude"),1)</f>
        <v>139.791718</v>
      </c>
      <c r="H446">
        <v>35.790871000000003</v>
      </c>
      <c r="I446">
        <v>139.791718</v>
      </c>
    </row>
    <row r="447" spans="1:9" x14ac:dyDescent="0.4">
      <c r="A447" t="s">
        <v>29</v>
      </c>
      <c r="B447" t="s">
        <v>1004</v>
      </c>
      <c r="C447" t="str">
        <f t="shared" si="34"/>
        <v>静岡県伊東市玖須美元和田</v>
      </c>
      <c r="D447" s="2" t="str">
        <f t="shared" si="35"/>
        <v>http://geocode.csis.u-tokyo.ac.jp/cgi-bin/simple_geocode.cgi?charset=UTF8&amp;addr=%E9%9D%99%E5%B2%A1%E7%9C%8C%E4%BC%8A%E6%9D%B1%E5%B8%82%E7%8E%96%E9%A0%88%E7%BE%8E%E5%85%83%E5%92%8C%E7%94%B0</v>
      </c>
      <c r="E447" t="str">
        <f t="shared" si="36"/>
        <v xml:space="preserve">&lt;?xml version="1.0" encoding="UTF-8" ?&gt;
&lt;results&gt;
&lt;query&gt;静岡県伊東市玖須美元和田&lt;/query&gt;
&lt;geodetic&gt;wgs1984&lt;/geodetic&gt;
&lt;iConf&gt;5&lt;/iConf&gt;
&lt;converted&gt;静岡県伊東市玖須美元和田&lt;/converted&gt;
&lt;candidate&gt;
&lt;address&gt;静岡県/伊東市/玖須美元和田&lt;/address&gt;
&lt;longitude&gt;139.110565&lt;/longitude&gt;
&lt;latitude&gt;34.952473&lt;/latitude&gt;
&lt;iLvl&gt;5&lt;/iLvl&gt;
&lt;/candidate&gt;
&lt;/results&gt;
</v>
      </c>
      <c r="F447" cm="1">
        <f t="array" ref="F447">INDEX(_xlfn.FILTERXML(E447,"//latitude"),1)</f>
        <v>34.952472999999998</v>
      </c>
      <c r="G447" cm="1">
        <f t="array" ref="G447">INDEX(_xlfn.FILTERXML(E447,"//longitude"),1)</f>
        <v>139.11056500000001</v>
      </c>
      <c r="H447">
        <v>34.952472999999998</v>
      </c>
      <c r="I447">
        <v>139.11056500000001</v>
      </c>
    </row>
    <row r="448" spans="1:9" x14ac:dyDescent="0.4">
      <c r="A448" t="s">
        <v>9</v>
      </c>
      <c r="B448" t="s">
        <v>1005</v>
      </c>
      <c r="C448" t="str">
        <f t="shared" si="34"/>
        <v>東京都板橋区赤塚</v>
      </c>
      <c r="D448" s="2" t="str">
        <f t="shared" si="35"/>
        <v>http://geocode.csis.u-tokyo.ac.jp/cgi-bin/simple_geocode.cgi?charset=UTF8&amp;addr=%E6%9D%B1%E4%BA%AC%E9%83%BD%E6%9D%BF%E6%A9%8B%E5%8C%BA%E8%B5%A4%E5%A1%9A</v>
      </c>
      <c r="E448" t="str">
        <f t="shared" si="36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448" cm="1">
        <f t="array" ref="F448">INDEX(_xlfn.FILTERXML(E448,"//latitude"),1)</f>
        <v>35.771659999999997</v>
      </c>
      <c r="G448" cm="1">
        <f t="array" ref="G448">INDEX(_xlfn.FILTERXML(E448,"//longitude"),1)</f>
        <v>139.64868200000001</v>
      </c>
      <c r="H448">
        <v>35.771659999999997</v>
      </c>
      <c r="I448">
        <v>139.64868200000001</v>
      </c>
    </row>
    <row r="449" spans="1:9" x14ac:dyDescent="0.4">
      <c r="A449" t="s">
        <v>15</v>
      </c>
      <c r="B449" t="s">
        <v>778</v>
      </c>
      <c r="C449" t="str">
        <f t="shared" si="34"/>
        <v>兵庫県宝塚市中筋山手4丁目</v>
      </c>
      <c r="D449" s="2" t="str">
        <f t="shared" si="35"/>
        <v>http://geocode.csis.u-tokyo.ac.jp/cgi-bin/simple_geocode.cgi?charset=UTF8&amp;addr=%E5%85%B5%E5%BA%AB%E7%9C%8C%E5%AE%9D%E5%A1%9A%E5%B8%82%E4%B8%AD%E7%AD%8B%E5%B1%B1%E6%89%8B4%E4%B8%81%E7%9B%AE</v>
      </c>
      <c r="E449" t="str">
        <f t="shared" si="36"/>
        <v xml:space="preserve">&lt;?xml version="1.0" encoding="UTF-8" ?&gt;
&lt;results&gt;
&lt;query&gt;兵庫県宝塚市中筋山手4丁目&lt;/query&gt;
&lt;geodetic&gt;wgs1984&lt;/geodetic&gt;
&lt;iConf&gt;5&lt;/iConf&gt;
&lt;converted&gt;兵庫県宝塚市中筋山手4丁目&lt;/converted&gt;
&lt;candidate&gt;
&lt;address&gt;兵庫県/宝塚市/中筋山手/四丁目&lt;/address&gt;
&lt;longitude&gt;135.375504&lt;/longitude&gt;
&lt;latitude&gt;34.822479&lt;/latitude&gt;
&lt;iLvl&gt;6&lt;/iLvl&gt;
&lt;/candidate&gt;
&lt;/results&gt;
</v>
      </c>
      <c r="F449" cm="1">
        <f t="array" ref="F449">INDEX(_xlfn.FILTERXML(E449,"//latitude"),1)</f>
        <v>34.822479000000001</v>
      </c>
      <c r="G449" cm="1">
        <f t="array" ref="G449">INDEX(_xlfn.FILTERXML(E449,"//longitude"),1)</f>
        <v>135.37550400000001</v>
      </c>
      <c r="H449">
        <v>34.822479000000001</v>
      </c>
      <c r="I449">
        <v>135.37550400000001</v>
      </c>
    </row>
    <row r="450" spans="1:9" x14ac:dyDescent="0.4">
      <c r="A450" t="s">
        <v>29</v>
      </c>
      <c r="B450" t="s">
        <v>1006</v>
      </c>
      <c r="C450" t="str">
        <f t="shared" si="34"/>
        <v>静岡県田方郡函南町間宮</v>
      </c>
      <c r="D450" s="2" t="str">
        <f t="shared" si="35"/>
        <v>http://geocode.csis.u-tokyo.ac.jp/cgi-bin/simple_geocode.cgi?charset=UTF8&amp;addr=%E9%9D%99%E5%B2%A1%E7%9C%8C%E7%94%B0%E6%96%B9%E9%83%A1%E5%87%BD%E5%8D%97%E7%94%BA%E9%96%93%E5%AE%AE</v>
      </c>
      <c r="E450" t="str">
        <f t="shared" si="36"/>
        <v xml:space="preserve">&lt;?xml version="1.0" encoding="UTF-8" ?&gt;
&lt;results&gt;
&lt;query&gt;静岡県田方郡函南町間宮&lt;/query&gt;
&lt;geodetic&gt;wgs1984&lt;/geodetic&gt;
&lt;iConf&gt;5&lt;/iConf&gt;
&lt;converted&gt;静岡県田方郡函南町間宮&lt;/converted&gt;
&lt;candidate&gt;
&lt;address&gt;静岡県/田方郡/函南町/間宮&lt;/address&gt;
&lt;longitude&gt;138.935593&lt;/longitude&gt;
&lt;latitude&gt;35.082661&lt;/latitude&gt;
&lt;iLvl&gt;5&lt;/iLvl&gt;
&lt;/candidate&gt;
&lt;/results&gt;
</v>
      </c>
      <c r="F450" cm="1">
        <f t="array" ref="F450">INDEX(_xlfn.FILTERXML(E450,"//latitude"),1)</f>
        <v>35.082661000000002</v>
      </c>
      <c r="G450" cm="1">
        <f t="array" ref="G450">INDEX(_xlfn.FILTERXML(E450,"//longitude"),1)</f>
        <v>138.93559300000001</v>
      </c>
      <c r="H450">
        <v>35.082661000000002</v>
      </c>
      <c r="I450">
        <v>138.93559300000001</v>
      </c>
    </row>
    <row r="451" spans="1:9" x14ac:dyDescent="0.4">
      <c r="A451" t="s">
        <v>9</v>
      </c>
      <c r="B451" t="s">
        <v>743</v>
      </c>
      <c r="C451" t="str">
        <f t="shared" ref="C451:C514" si="37">+A451&amp;B451</f>
        <v>東京都福生市熊川</v>
      </c>
      <c r="D451" s="2" t="str">
        <f t="shared" si="35"/>
        <v>http://geocode.csis.u-tokyo.ac.jp/cgi-bin/simple_geocode.cgi?charset=UTF8&amp;addr=%E6%9D%B1%E4%BA%AC%E9%83%BD%E7%A6%8F%E7%94%9F%E5%B8%82%E7%86%8A%E5%B7%9D</v>
      </c>
      <c r="E451" t="str">
        <f t="shared" si="36"/>
        <v xml:space="preserve">&lt;?xml version="1.0" encoding="UTF-8" ?&gt;
&lt;results&gt;
&lt;query&gt;東京都福生市熊川&lt;/query&gt;
&lt;geodetic&gt;wgs1984&lt;/geodetic&gt;
&lt;iConf&gt;5&lt;/iConf&gt;
&lt;converted&gt;東京都福生市熊川&lt;/converted&gt;
&lt;candidate&gt;
&lt;address&gt;東京都/福生市/熊川&lt;/address&gt;
&lt;longitude&gt;139.343048&lt;/longitude&gt;
&lt;latitude&gt;35.723492&lt;/latitude&gt;
&lt;iLvl&gt;5&lt;/iLvl&gt;
&lt;/candidate&gt;
&lt;/results&gt;
</v>
      </c>
      <c r="F451" cm="1">
        <f t="array" ref="F451">INDEX(_xlfn.FILTERXML(E451,"//latitude"),1)</f>
        <v>35.723492</v>
      </c>
      <c r="G451" cm="1">
        <f t="array" ref="G451">INDEX(_xlfn.FILTERXML(E451,"//longitude"),1)</f>
        <v>139.34304800000001</v>
      </c>
      <c r="H451">
        <v>35.723492</v>
      </c>
      <c r="I451">
        <v>139.34304800000001</v>
      </c>
    </row>
    <row r="452" spans="1:9" x14ac:dyDescent="0.4">
      <c r="A452" t="s">
        <v>9</v>
      </c>
      <c r="B452" t="s">
        <v>223</v>
      </c>
      <c r="C452" t="str">
        <f t="shared" si="37"/>
        <v>東京都世田谷区</v>
      </c>
      <c r="D452" s="2" t="str">
        <f t="shared" si="35"/>
        <v>http://geocode.csis.u-tokyo.ac.jp/cgi-bin/simple_geocode.cgi?charset=UTF8&amp;addr=%E6%9D%B1%E4%BA%AC%E9%83%BD%E4%B8%96%E7%94%B0%E8%B0%B7%E5%8C%BA</v>
      </c>
      <c r="E452" t="str">
        <f t="shared" si="3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52" cm="1">
        <f t="array" ref="F452">INDEX(_xlfn.FILTERXML(E452,"//latitude"),1)</f>
        <v>35.646481000000001</v>
      </c>
      <c r="G452" cm="1">
        <f t="array" ref="G452">INDEX(_xlfn.FILTERXML(E452,"//longitude"),1)</f>
        <v>139.65321399999999</v>
      </c>
      <c r="H452">
        <v>35.646481000000001</v>
      </c>
      <c r="I452">
        <v>139.65321399999999</v>
      </c>
    </row>
    <row r="453" spans="1:9" x14ac:dyDescent="0.4">
      <c r="A453" t="s">
        <v>11</v>
      </c>
      <c r="B453" t="s">
        <v>560</v>
      </c>
      <c r="C453" t="str">
        <f t="shared" si="37"/>
        <v>大阪府吹田市千里山東</v>
      </c>
      <c r="D453" s="2" t="str">
        <f t="shared" si="35"/>
        <v>http://geocode.csis.u-tokyo.ac.jp/cgi-bin/simple_geocode.cgi?charset=UTF8&amp;addr=%E5%A4%A7%E9%98%AA%E5%BA%9C%E5%90%B9%E7%94%B0%E5%B8%82%E5%8D%83%E9%87%8C%E5%B1%B1%E6%9D%B1</v>
      </c>
      <c r="E453" t="str">
        <f t="shared" si="36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453" cm="1">
        <f t="array" ref="F453">INDEX(_xlfn.FILTERXML(E453,"//latitude"),1)</f>
        <v>34.773724000000001</v>
      </c>
      <c r="G453" cm="1">
        <f t="array" ref="G453">INDEX(_xlfn.FILTERXML(E453,"//longitude"),1)</f>
        <v>135.507339</v>
      </c>
      <c r="H453">
        <v>34.773724000000001</v>
      </c>
      <c r="I453">
        <v>135.507339</v>
      </c>
    </row>
    <row r="454" spans="1:9" x14ac:dyDescent="0.4">
      <c r="A454" t="s">
        <v>16</v>
      </c>
      <c r="B454" t="s">
        <v>1007</v>
      </c>
      <c r="C454" t="str">
        <f t="shared" si="37"/>
        <v>長野県大町市常盤</v>
      </c>
      <c r="D454" s="2" t="str">
        <f t="shared" si="35"/>
        <v>http://geocode.csis.u-tokyo.ac.jp/cgi-bin/simple_geocode.cgi?charset=UTF8&amp;addr=%E9%95%B7%E9%87%8E%E7%9C%8C%E5%A4%A7%E7%94%BA%E5%B8%82%E5%B8%B8%E7%9B%A4</v>
      </c>
      <c r="E454" t="str">
        <f t="shared" si="36"/>
        <v xml:space="preserve">&lt;?xml version="1.0" encoding="UTF-8" ?&gt;
&lt;results&gt;
&lt;query&gt;長野県大町市常盤&lt;/query&gt;
&lt;geodetic&gt;wgs1984&lt;/geodetic&gt;
&lt;iConf&gt;5&lt;/iConf&gt;
&lt;converted&gt;長野県大町市常盤&lt;/converted&gt;
&lt;candidate&gt;
&lt;address&gt;長野県/大町市/常盤&lt;/address&gt;
&lt;longitude&gt;137.810562&lt;/longitude&gt;
&lt;latitude&gt;36.459248&lt;/latitude&gt;
&lt;iLvl&gt;5&lt;/iLvl&gt;
&lt;/candidate&gt;
&lt;/results&gt;
</v>
      </c>
      <c r="F454" cm="1">
        <f t="array" ref="F454">INDEX(_xlfn.FILTERXML(E454,"//latitude"),1)</f>
        <v>36.459248000000002</v>
      </c>
      <c r="G454" cm="1">
        <f t="array" ref="G454">INDEX(_xlfn.FILTERXML(E454,"//longitude"),1)</f>
        <v>137.810562</v>
      </c>
      <c r="H454">
        <v>36.459248000000002</v>
      </c>
      <c r="I454">
        <v>137.810562</v>
      </c>
    </row>
    <row r="455" spans="1:9" x14ac:dyDescent="0.4">
      <c r="A455" t="s">
        <v>14</v>
      </c>
      <c r="B455" t="s">
        <v>1008</v>
      </c>
      <c r="C455" t="str">
        <f t="shared" si="37"/>
        <v>広島県広島市西区己斐上4丁目</v>
      </c>
      <c r="D455" s="2" t="str">
        <f t="shared" si="35"/>
        <v>http://geocode.csis.u-tokyo.ac.jp/cgi-bin/simple_geocode.cgi?charset=UTF8&amp;addr=%E5%BA%83%E5%B3%B6%E7%9C%8C%E5%BA%83%E5%B3%B6%E5%B8%82%E8%A5%BF%E5%8C%BA%E5%B7%B1%E6%96%90%E4%B8%8A4%E4%B8%81%E7%9B%AE</v>
      </c>
      <c r="E455" t="str">
        <f t="shared" si="36"/>
        <v xml:space="preserve">&lt;?xml version="1.0" encoding="UTF-8" ?&gt;
&lt;results&gt;
&lt;query&gt;広島県広島市西区己斐上4丁目&lt;/query&gt;
&lt;geodetic&gt;wgs1984&lt;/geodetic&gt;
&lt;iConf&gt;5&lt;/iConf&gt;
&lt;converted&gt;広島県広島市西区己斐上4丁目&lt;/converted&gt;
&lt;candidate&gt;
&lt;address&gt;広島県/広島市/西区/己斐上/四丁目&lt;/address&gt;
&lt;longitude&gt;132.420380&lt;/longitude&gt;
&lt;latitude&gt;34.411369&lt;/latitude&gt;
&lt;iLvl&gt;6&lt;/iLvl&gt;
&lt;/candidate&gt;
&lt;/results&gt;
</v>
      </c>
      <c r="F455" cm="1">
        <f t="array" ref="F455">INDEX(_xlfn.FILTERXML(E455,"//latitude"),1)</f>
        <v>34.411369000000001</v>
      </c>
      <c r="G455" cm="1">
        <f t="array" ref="G455">INDEX(_xlfn.FILTERXML(E455,"//longitude"),1)</f>
        <v>132.42037999999999</v>
      </c>
      <c r="H455">
        <v>34.411369000000001</v>
      </c>
      <c r="I455">
        <v>132.42037999999999</v>
      </c>
    </row>
    <row r="456" spans="1:9" x14ac:dyDescent="0.4">
      <c r="A456" t="s">
        <v>42</v>
      </c>
      <c r="B456" t="s">
        <v>1009</v>
      </c>
      <c r="C456" t="str">
        <f t="shared" si="37"/>
        <v>富山県砺波市太郎丸</v>
      </c>
      <c r="D456" s="2" t="str">
        <f t="shared" si="35"/>
        <v>http://geocode.csis.u-tokyo.ac.jp/cgi-bin/simple_geocode.cgi?charset=UTF8&amp;addr=%E5%AF%8C%E5%B1%B1%E7%9C%8C%E7%A0%BA%E6%B3%A2%E5%B8%82%E5%A4%AA%E9%83%8E%E4%B8%B8</v>
      </c>
      <c r="E456" t="str">
        <f t="shared" si="36"/>
        <v xml:space="preserve">&lt;?xml version="1.0" encoding="UTF-8" ?&gt;
&lt;results&gt;
&lt;query&gt;富山県砺波市太郎丸&lt;/query&gt;
&lt;geodetic&gt;wgs1984&lt;/geodetic&gt;
&lt;iConf&gt;5&lt;/iConf&gt;
&lt;converted&gt;富山県砺波市太郎丸&lt;/converted&gt;
&lt;candidate&gt;
&lt;address&gt;富山県/砺波市/太郎丸&lt;/address&gt;
&lt;longitude&gt;136.959778&lt;/longitude&gt;
&lt;latitude&gt;36.625504&lt;/latitude&gt;
&lt;iLvl&gt;5&lt;/iLvl&gt;
&lt;/candidate&gt;
&lt;/results&gt;
</v>
      </c>
      <c r="F456" cm="1">
        <f t="array" ref="F456">INDEX(_xlfn.FILTERXML(E456,"//latitude"),1)</f>
        <v>36.625503999999999</v>
      </c>
      <c r="G456" cm="1">
        <f t="array" ref="G456">INDEX(_xlfn.FILTERXML(E456,"//longitude"),1)</f>
        <v>136.959778</v>
      </c>
      <c r="H456">
        <v>36.625503999999999</v>
      </c>
      <c r="I456">
        <v>136.959778</v>
      </c>
    </row>
    <row r="457" spans="1:9" x14ac:dyDescent="0.4">
      <c r="A457" t="s">
        <v>14</v>
      </c>
      <c r="B457" t="s">
        <v>1010</v>
      </c>
      <c r="C457" t="str">
        <f t="shared" si="37"/>
        <v>広島県大竹市西栄</v>
      </c>
      <c r="D457" s="2" t="str">
        <f t="shared" si="35"/>
        <v>http://geocode.csis.u-tokyo.ac.jp/cgi-bin/simple_geocode.cgi?charset=UTF8&amp;addr=%E5%BA%83%E5%B3%B6%E7%9C%8C%E5%A4%A7%E7%AB%B9%E5%B8%82%E8%A5%BF%E6%A0%84</v>
      </c>
      <c r="E457" t="str">
        <f t="shared" si="36"/>
        <v xml:space="preserve">&lt;?xml version="1.0" encoding="UTF-8" ?&gt;
&lt;results&gt;
&lt;query&gt;広島県大竹市西栄&lt;/query&gt;
&lt;geodetic&gt;wgs1984&lt;/geodetic&gt;
&lt;iConf&gt;5&lt;/iConf&gt;
&lt;converted&gt;広島県大竹市西栄&lt;/converted&gt;
&lt;candidate&gt;
&lt;address&gt;広島県/大竹市/西栄&lt;/address&gt;
&lt;longitude&gt;132.224503&lt;/longitude&gt;
&lt;latitude&gt;34.217186&lt;/latitude&gt;
&lt;iLvl&gt;5&lt;/iLvl&gt;
&lt;/candidate&gt;
&lt;/results&gt;
</v>
      </c>
      <c r="F457" cm="1">
        <f t="array" ref="F457">INDEX(_xlfn.FILTERXML(E457,"//latitude"),1)</f>
        <v>34.217185999999998</v>
      </c>
      <c r="G457" cm="1">
        <f t="array" ref="G457">INDEX(_xlfn.FILTERXML(E457,"//longitude"),1)</f>
        <v>132.224503</v>
      </c>
      <c r="H457">
        <v>34.217185999999998</v>
      </c>
      <c r="I457">
        <v>132.224503</v>
      </c>
    </row>
    <row r="458" spans="1:9" x14ac:dyDescent="0.4">
      <c r="A458" t="s">
        <v>17</v>
      </c>
      <c r="B458" t="s">
        <v>1011</v>
      </c>
      <c r="C458" t="str">
        <f t="shared" si="37"/>
        <v>愛知県岡崎市明大寺町</v>
      </c>
      <c r="D458" s="2" t="str">
        <f t="shared" si="35"/>
        <v>http://geocode.csis.u-tokyo.ac.jp/cgi-bin/simple_geocode.cgi?charset=UTF8&amp;addr=%E6%84%9B%E7%9F%A5%E7%9C%8C%E5%B2%A1%E5%B4%8E%E5%B8%82%E6%98%8E%E5%A4%A7%E5%AF%BA%E7%94%BA</v>
      </c>
      <c r="E458" t="str">
        <f t="shared" si="36"/>
        <v xml:space="preserve">&lt;?xml version="1.0" encoding="UTF-8" ?&gt;
&lt;results&gt;
&lt;query&gt;愛知県岡崎市明大寺町&lt;/query&gt;
&lt;geodetic&gt;wgs1984&lt;/geodetic&gt;
&lt;iConf&gt;5&lt;/iConf&gt;
&lt;converted&gt;愛知県岡崎市明大寺町&lt;/converted&gt;
&lt;candidate&gt;
&lt;address&gt;愛知県/岡崎市/明大寺町&lt;/address&gt;
&lt;longitude&gt;137.168030&lt;/longitude&gt;
&lt;latitude&gt;34.946991&lt;/latitude&gt;
&lt;iLvl&gt;5&lt;/iLvl&gt;
&lt;/candidate&gt;
&lt;/results&gt;
</v>
      </c>
      <c r="F458" cm="1">
        <f t="array" ref="F458">INDEX(_xlfn.FILTERXML(E458,"//latitude"),1)</f>
        <v>34.946990999999997</v>
      </c>
      <c r="G458" cm="1">
        <f t="array" ref="G458">INDEX(_xlfn.FILTERXML(E458,"//longitude"),1)</f>
        <v>137.16802999999999</v>
      </c>
      <c r="H458">
        <v>34.946990999999997</v>
      </c>
      <c r="I458">
        <v>137.16802999999999</v>
      </c>
    </row>
    <row r="459" spans="1:9" x14ac:dyDescent="0.4">
      <c r="A459" t="s">
        <v>38</v>
      </c>
      <c r="B459" t="s">
        <v>1012</v>
      </c>
      <c r="C459" t="str">
        <f t="shared" si="37"/>
        <v>新潟県湯沢町三俣</v>
      </c>
      <c r="D459" s="2" t="str">
        <f t="shared" si="35"/>
        <v>http://geocode.csis.u-tokyo.ac.jp/cgi-bin/simple_geocode.cgi?charset=UTF8&amp;addr=%E6%96%B0%E6%BD%9F%E7%9C%8C%E6%B9%AF%E6%B2%A2%E7%94%BA%E4%B8%89%E4%BF%A3</v>
      </c>
      <c r="E459" t="str">
        <f t="shared" si="36"/>
        <v xml:space="preserve">&lt;?xml version="1.0" encoding="UTF-8" ?&gt;
&lt;results&gt;
&lt;query&gt;新潟県湯沢町三俣&lt;/query&gt;
&lt;geodetic&gt;wgs1984&lt;/geodetic&gt;
&lt;iConf&gt;5&lt;/iConf&gt;
&lt;converted&gt;新潟県湯沢町三俣&lt;/converted&gt;
&lt;candidate&gt;
&lt;address&gt;新潟県/南魚沼郡/湯沢町/三俣&lt;/address&gt;
&lt;longitude&gt;138.761673&lt;/longitude&gt;
&lt;latitude&gt;36.890316&lt;/latitude&gt;
&lt;iLvl&gt;5&lt;/iLvl&gt;
&lt;/candidate&gt;
&lt;/results&gt;
</v>
      </c>
      <c r="F459" cm="1">
        <f t="array" ref="F459">INDEX(_xlfn.FILTERXML(E459,"//latitude"),1)</f>
        <v>36.890315999999999</v>
      </c>
      <c r="G459" cm="1">
        <f t="array" ref="G459">INDEX(_xlfn.FILTERXML(E459,"//longitude"),1)</f>
        <v>138.761673</v>
      </c>
      <c r="H459">
        <v>36.890315999999999</v>
      </c>
      <c r="I459">
        <v>138.761673</v>
      </c>
    </row>
    <row r="460" spans="1:9" x14ac:dyDescent="0.4">
      <c r="A460" t="s">
        <v>21</v>
      </c>
      <c r="B460" t="s">
        <v>730</v>
      </c>
      <c r="C460" t="str">
        <f t="shared" si="37"/>
        <v>福岡県福岡市早良区百道浜</v>
      </c>
      <c r="D460" s="2" t="str">
        <f t="shared" si="35"/>
        <v>http://geocode.csis.u-tokyo.ac.jp/cgi-bin/simple_geocode.cgi?charset=UTF8&amp;addr=%E7%A6%8F%E5%B2%A1%E7%9C%8C%E7%A6%8F%E5%B2%A1%E5%B8%82%E6%97%A9%E8%89%AF%E5%8C%BA%E7%99%BE%E9%81%93%E6%B5%9C</v>
      </c>
      <c r="E460" t="str">
        <f t="shared" si="36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460" cm="1">
        <f t="array" ref="F460">INDEX(_xlfn.FILTERXML(E460,"//latitude"),1)</f>
        <v>33.590674999999997</v>
      </c>
      <c r="G460" cm="1">
        <f t="array" ref="G460">INDEX(_xlfn.FILTERXML(E460,"//longitude"),1)</f>
        <v>130.35678100000001</v>
      </c>
      <c r="H460">
        <v>33.590674999999997</v>
      </c>
      <c r="I460">
        <v>130.35678100000001</v>
      </c>
    </row>
    <row r="461" spans="1:9" x14ac:dyDescent="0.4">
      <c r="A461" t="s">
        <v>46</v>
      </c>
      <c r="B461" t="s">
        <v>1013</v>
      </c>
      <c r="C461" t="str">
        <f t="shared" si="37"/>
        <v>山口県宇部市西岐波</v>
      </c>
      <c r="D461" s="2" t="str">
        <f t="shared" si="35"/>
        <v>http://geocode.csis.u-tokyo.ac.jp/cgi-bin/simple_geocode.cgi?charset=UTF8&amp;addr=%E5%B1%B1%E5%8F%A3%E7%9C%8C%E5%AE%87%E9%83%A8%E5%B8%82%E8%A5%BF%E5%B2%90%E6%B3%A2</v>
      </c>
      <c r="E461" t="str">
        <f t="shared" si="36"/>
        <v xml:space="preserve">&lt;?xml version="1.0" encoding="UTF-8" ?&gt;
&lt;results&gt;
&lt;query&gt;山口県宇部市西岐波&lt;/query&gt;
&lt;geodetic&gt;wgs1984&lt;/geodetic&gt;
&lt;iConf&gt;5&lt;/iConf&gt;
&lt;converted&gt;山口県宇部市西岐波&lt;/converted&gt;
&lt;candidate&gt;
&lt;address&gt;山口県/宇部市/西岐波&lt;/address&gt;
&lt;longitude&gt;131.307983&lt;/longitude&gt;
&lt;latitude&gt;33.969315&lt;/latitude&gt;
&lt;iLvl&gt;5&lt;/iLvl&gt;
&lt;/candidate&gt;
&lt;/results&gt;
</v>
      </c>
      <c r="F461" cm="1">
        <f t="array" ref="F461">INDEX(_xlfn.FILTERXML(E461,"//latitude"),1)</f>
        <v>33.969315000000002</v>
      </c>
      <c r="G461" cm="1">
        <f t="array" ref="G461">INDEX(_xlfn.FILTERXML(E461,"//longitude"),1)</f>
        <v>131.30798300000001</v>
      </c>
      <c r="H461">
        <v>33.969315000000002</v>
      </c>
      <c r="I461">
        <v>131.30798300000001</v>
      </c>
    </row>
    <row r="462" spans="1:9" x14ac:dyDescent="0.4">
      <c r="A462" t="s">
        <v>37</v>
      </c>
      <c r="B462" t="s">
        <v>1014</v>
      </c>
      <c r="C462" t="str">
        <f t="shared" si="37"/>
        <v>三重県桑名市松ノ木</v>
      </c>
      <c r="D462" s="2" t="str">
        <f t="shared" si="35"/>
        <v>http://geocode.csis.u-tokyo.ac.jp/cgi-bin/simple_geocode.cgi?charset=UTF8&amp;addr=%E4%B8%89%E9%87%8D%E7%9C%8C%E6%A1%91%E5%90%8D%E5%B8%82%E6%9D%BE%E3%83%8E%E6%9C%A8</v>
      </c>
      <c r="E462" t="str">
        <f t="shared" si="36"/>
        <v xml:space="preserve">&lt;?xml version="1.0" encoding="UTF-8" ?&gt;
&lt;results&gt;
&lt;query&gt;三重県桑名市松ノ木&lt;/query&gt;
&lt;geodetic&gt;wgs1984&lt;/geodetic&gt;
&lt;iConf&gt;5&lt;/iConf&gt;
&lt;converted&gt;三重県桑名市松ノ木&lt;/converted&gt;
&lt;candidate&gt;
&lt;address&gt;三重県/桑名市/松ノ木&lt;/address&gt;
&lt;longitude&gt;136.647156&lt;/longitude&gt;
&lt;latitude&gt;35.077236&lt;/latitude&gt;
&lt;iLvl&gt;5&lt;/iLvl&gt;
&lt;/candidate&gt;
&lt;/results&gt;
</v>
      </c>
      <c r="F462" cm="1">
        <f t="array" ref="F462">INDEX(_xlfn.FILTERXML(E462,"//latitude"),1)</f>
        <v>35.077235999999999</v>
      </c>
      <c r="G462" cm="1">
        <f t="array" ref="G462">INDEX(_xlfn.FILTERXML(E462,"//longitude"),1)</f>
        <v>136.647156</v>
      </c>
      <c r="H462">
        <v>35.077235999999999</v>
      </c>
      <c r="I462">
        <v>136.647156</v>
      </c>
    </row>
    <row r="463" spans="1:9" x14ac:dyDescent="0.4">
      <c r="A463" t="s">
        <v>24</v>
      </c>
      <c r="B463" t="s">
        <v>1015</v>
      </c>
      <c r="C463" t="str">
        <f t="shared" si="37"/>
        <v>栃木県下野市</v>
      </c>
      <c r="D463" s="2" t="str">
        <f t="shared" si="35"/>
        <v>http://geocode.csis.u-tokyo.ac.jp/cgi-bin/simple_geocode.cgi?charset=UTF8&amp;addr=%E6%A0%83%E6%9C%A8%E7%9C%8C%E4%B8%8B%E9%87%8E%E5%B8%82</v>
      </c>
      <c r="E463" t="str">
        <f t="shared" si="36"/>
        <v xml:space="preserve">&lt;?xml version="1.0" encoding="UTF-8" ?&gt;
&lt;results&gt;
&lt;query&gt;栃木県下野市&lt;/query&gt;
&lt;geodetic&gt;wgs1984&lt;/geodetic&gt;
&lt;iConf&gt;5&lt;/iConf&gt;
&lt;converted&gt;栃木県下野市&lt;/converted&gt;
&lt;candidate&gt;
&lt;address&gt;栃木県/下野市&lt;/address&gt;
&lt;longitude&gt;139.841949&lt;/longitude&gt;
&lt;latitude&gt;36.387169&lt;/latitude&gt;
&lt;iLvl&gt;3&lt;/iLvl&gt;
&lt;/candidate&gt;
&lt;/results&gt;
</v>
      </c>
      <c r="F463" cm="1">
        <f t="array" ref="F463">INDEX(_xlfn.FILTERXML(E463,"//latitude"),1)</f>
        <v>36.387169</v>
      </c>
      <c r="G463" cm="1">
        <f t="array" ref="G463">INDEX(_xlfn.FILTERXML(E463,"//longitude"),1)</f>
        <v>139.841949</v>
      </c>
      <c r="H463">
        <v>36.387169</v>
      </c>
      <c r="I463">
        <v>139.841949</v>
      </c>
    </row>
    <row r="464" spans="1:9" x14ac:dyDescent="0.4">
      <c r="A464" t="s">
        <v>10</v>
      </c>
      <c r="B464" t="s">
        <v>1016</v>
      </c>
      <c r="C464" t="str">
        <f t="shared" si="37"/>
        <v>神奈川県横浜市戸塚区川上町</v>
      </c>
      <c r="D464" s="2" t="str">
        <f t="shared" si="35"/>
        <v>http://geocode.csis.u-tokyo.ac.jp/cgi-bin/simple_geocode.cgi?charset=UTF8&amp;addr=%E7%A5%9E%E5%A5%88%E5%B7%9D%E7%9C%8C%E6%A8%AA%E6%B5%9C%E5%B8%82%E6%88%B8%E5%A1%9A%E5%8C%BA%E5%B7%9D%E4%B8%8A%E7%94%BA</v>
      </c>
      <c r="E464" t="str">
        <f t="shared" si="36"/>
        <v xml:space="preserve">&lt;?xml version="1.0" encoding="UTF-8" ?&gt;
&lt;results&gt;
&lt;query&gt;神奈川県横浜市戸塚区川上町&lt;/query&gt;
&lt;geodetic&gt;wgs1984&lt;/geodetic&gt;
&lt;iConf&gt;5&lt;/iConf&gt;
&lt;converted&gt;神奈川県横浜市戸塚区川上町&lt;/converted&gt;
&lt;candidate&gt;
&lt;address&gt;神奈川県/横浜市/戸塚区/川上町&lt;/address&gt;
&lt;longitude&gt;139.544785&lt;/longitude&gt;
&lt;latitude&gt;35.436321&lt;/latitude&gt;
&lt;iLvl&gt;5&lt;/iLvl&gt;
&lt;/candidate&gt;
&lt;/results&gt;
</v>
      </c>
      <c r="F464" cm="1">
        <f t="array" ref="F464">INDEX(_xlfn.FILTERXML(E464,"//latitude"),1)</f>
        <v>35.436321</v>
      </c>
      <c r="G464" cm="1">
        <f t="array" ref="G464">INDEX(_xlfn.FILTERXML(E464,"//longitude"),1)</f>
        <v>139.54478499999999</v>
      </c>
      <c r="H464">
        <v>35.436321</v>
      </c>
      <c r="I464">
        <v>139.54478499999999</v>
      </c>
    </row>
    <row r="465" spans="1:9" x14ac:dyDescent="0.4">
      <c r="A465" t="s">
        <v>48</v>
      </c>
      <c r="B465" t="s">
        <v>1017</v>
      </c>
      <c r="C465" t="str">
        <f t="shared" si="37"/>
        <v>石川県金沢市小坂町西49</v>
      </c>
      <c r="D465" s="2" t="str">
        <f t="shared" si="35"/>
        <v>http://geocode.csis.u-tokyo.ac.jp/cgi-bin/simple_geocode.cgi?charset=UTF8&amp;addr=%E7%9F%B3%E5%B7%9D%E7%9C%8C%E9%87%91%E6%B2%A2%E5%B8%82%E5%B0%8F%E5%9D%82%E7%94%BA%E8%A5%BF49</v>
      </c>
      <c r="E465" t="str">
        <f t="shared" si="36"/>
        <v xml:space="preserve">&lt;?xml version="1.0" encoding="UTF-8" ?&gt;
&lt;results&gt;
&lt;query&gt;石川県金沢市小坂町西49&lt;/query&gt;
&lt;geodetic&gt;wgs1984&lt;/geodetic&gt;
&lt;iConf&gt;5&lt;/iConf&gt;
&lt;converted&gt;石川県金沢市小坂町西49&lt;/converted&gt;
&lt;candidate&gt;
&lt;address&gt;石川県/金沢市/小坂町/西/４９番地&lt;/address&gt;
&lt;longitude&gt;136.673935&lt;/longitude&gt;
&lt;latitude&gt;36.590446&lt;/latitude&gt;
&lt;iLvl&gt;7&lt;/iLvl&gt;
&lt;/candidate&gt;
&lt;/results&gt;
</v>
      </c>
      <c r="F465" cm="1">
        <f t="array" ref="F465">INDEX(_xlfn.FILTERXML(E465,"//latitude"),1)</f>
        <v>36.590446</v>
      </c>
      <c r="G465" cm="1">
        <f t="array" ref="G465">INDEX(_xlfn.FILTERXML(E465,"//longitude"),1)</f>
        <v>136.673935</v>
      </c>
      <c r="H465">
        <v>36.590446</v>
      </c>
      <c r="I465">
        <v>136.673935</v>
      </c>
    </row>
    <row r="466" spans="1:9" x14ac:dyDescent="0.4">
      <c r="A466" t="s">
        <v>17</v>
      </c>
      <c r="B466" t="s">
        <v>583</v>
      </c>
      <c r="C466" t="str">
        <f t="shared" si="37"/>
        <v>愛知県名古屋市</v>
      </c>
      <c r="D466" s="2" t="str">
        <f t="shared" si="35"/>
        <v>http://geocode.csis.u-tokyo.ac.jp/cgi-bin/simple_geocode.cgi?charset=UTF8&amp;addr=%E6%84%9B%E7%9F%A5%E7%9C%8C%E5%90%8D%E5%8F%A4%E5%B1%8B%E5%B8%82</v>
      </c>
      <c r="E466" t="str">
        <f t="shared" si="36"/>
        <v xml:space="preserve">&lt;?xml version="1.0" encoding="UTF-8" ?&gt;
&lt;results&gt;
&lt;query&gt;愛知県名古屋市&lt;/query&gt;
&lt;geodetic&gt;wgs1984&lt;/geodetic&gt;
&lt;iConf&gt;5&lt;/iConf&gt;
&lt;converted&gt;愛知名古屋市&lt;/converted&gt;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466" cm="1">
        <f t="array" ref="F466">INDEX(_xlfn.FILTERXML(E466,"//latitude"),1)</f>
        <v>35.181435</v>
      </c>
      <c r="G466" cm="1">
        <f t="array" ref="G466">INDEX(_xlfn.FILTERXML(E466,"//longitude"),1)</f>
        <v>136.906418</v>
      </c>
      <c r="H466">
        <v>35.181435</v>
      </c>
      <c r="I466">
        <v>136.906418</v>
      </c>
    </row>
    <row r="467" spans="1:9" x14ac:dyDescent="0.4">
      <c r="A467" t="s">
        <v>18</v>
      </c>
      <c r="B467" t="s">
        <v>1018</v>
      </c>
      <c r="C467" t="str">
        <f t="shared" si="37"/>
        <v>千葉県船橋市咲が丘</v>
      </c>
      <c r="D467" s="2" t="str">
        <f t="shared" si="35"/>
        <v>http://geocode.csis.u-tokyo.ac.jp/cgi-bin/simple_geocode.cgi?charset=UTF8&amp;addr=%E5%8D%83%E8%91%89%E7%9C%8C%E8%88%B9%E6%A9%8B%E5%B8%82%E5%92%B2%E3%81%8C%E4%B8%98</v>
      </c>
      <c r="E467" t="str">
        <f t="shared" si="36"/>
        <v xml:space="preserve">&lt;?xml version="1.0" encoding="UTF-8" ?&gt;
&lt;results&gt;
&lt;query&gt;千葉県船橋市咲が丘&lt;/query&gt;
&lt;geodetic&gt;wgs1984&lt;/geodetic&gt;
&lt;iConf&gt;5&lt;/iConf&gt;
&lt;converted&gt;千葉県船橋市咲が丘&lt;/converted&gt;
&lt;candidate&gt;
&lt;address&gt;千葉県/船橋市/咲が丘&lt;/address&gt;
&lt;longitude&gt;140.017151&lt;/longitude&gt;
&lt;latitude&gt;35.759499&lt;/latitude&gt;
&lt;iLvl&gt;5&lt;/iLvl&gt;
&lt;/candidate&gt;
&lt;/results&gt;
</v>
      </c>
      <c r="F467" cm="1">
        <f t="array" ref="F467">INDEX(_xlfn.FILTERXML(E467,"//latitude"),1)</f>
        <v>35.759498999999998</v>
      </c>
      <c r="G467" cm="1">
        <f t="array" ref="G467">INDEX(_xlfn.FILTERXML(E467,"//longitude"),1)</f>
        <v>140.01715100000001</v>
      </c>
      <c r="H467">
        <v>35.759498999999998</v>
      </c>
      <c r="I467">
        <v>140.01715100000001</v>
      </c>
    </row>
    <row r="468" spans="1:9" x14ac:dyDescent="0.4">
      <c r="A468" t="s">
        <v>9</v>
      </c>
      <c r="B468" t="s">
        <v>739</v>
      </c>
      <c r="C468" t="str">
        <f t="shared" si="37"/>
        <v>東京都小金井市前原町</v>
      </c>
      <c r="D468" s="2" t="str">
        <f t="shared" si="35"/>
        <v>http://geocode.csis.u-tokyo.ac.jp/cgi-bin/simple_geocode.cgi?charset=UTF8&amp;addr=%E6%9D%B1%E4%BA%AC%E9%83%BD%E5%B0%8F%E9%87%91%E4%BA%95%E5%B8%82%E5%89%8D%E5%8E%9F%E7%94%BA</v>
      </c>
      <c r="E468" t="str">
        <f t="shared" si="36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468" cm="1">
        <f t="array" ref="F468">INDEX(_xlfn.FILTERXML(E468,"//latitude"),1)</f>
        <v>35.689368999999999</v>
      </c>
      <c r="G468" cm="1">
        <f t="array" ref="G468">INDEX(_xlfn.FILTERXML(E468,"//longitude"),1)</f>
        <v>139.511551</v>
      </c>
      <c r="H468">
        <v>35.689368999999999</v>
      </c>
      <c r="I468">
        <v>139.511551</v>
      </c>
    </row>
    <row r="469" spans="1:9" x14ac:dyDescent="0.4">
      <c r="A469" t="s">
        <v>9</v>
      </c>
      <c r="B469" t="s">
        <v>252</v>
      </c>
      <c r="C469" t="str">
        <f t="shared" si="37"/>
        <v>東京都渋谷区代々木</v>
      </c>
      <c r="D469" s="2" t="str">
        <f t="shared" si="35"/>
        <v>http://geocode.csis.u-tokyo.ac.jp/cgi-bin/simple_geocode.cgi?charset=UTF8&amp;addr=%E6%9D%B1%E4%BA%AC%E9%83%BD%E6%B8%8B%E8%B0%B7%E5%8C%BA%E4%BB%A3%E3%80%85%E6%9C%A8</v>
      </c>
      <c r="E469" t="str">
        <f t="shared" si="36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469" cm="1">
        <f t="array" ref="F469">INDEX(_xlfn.FILTERXML(E469,"//latitude"),1)</f>
        <v>35.681885000000001</v>
      </c>
      <c r="G469" cm="1">
        <f t="array" ref="G469">INDEX(_xlfn.FILTERXML(E469,"//longitude"),1)</f>
        <v>139.70004299999999</v>
      </c>
      <c r="H469">
        <v>35.681885000000001</v>
      </c>
      <c r="I469">
        <v>139.70004299999999</v>
      </c>
    </row>
    <row r="470" spans="1:9" x14ac:dyDescent="0.4">
      <c r="A470" t="s">
        <v>24</v>
      </c>
      <c r="B470" t="s">
        <v>207</v>
      </c>
      <c r="C470" t="str">
        <f t="shared" si="37"/>
        <v>栃木県芳賀郡益子町七井中央</v>
      </c>
      <c r="D470" s="2" t="str">
        <f t="shared" si="35"/>
        <v>http://geocode.csis.u-tokyo.ac.jp/cgi-bin/simple_geocode.cgi?charset=UTF8&amp;addr=%E6%A0%83%E6%9C%A8%E7%9C%8C%E8%8A%B3%E8%B3%80%E9%83%A1%E7%9B%8A%E5%AD%90%E7%94%BA%E4%B8%83%E4%BA%95%E4%B8%AD%E5%A4%AE</v>
      </c>
      <c r="E470" t="str">
        <f t="shared" si="36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470" cm="1">
        <f t="array" ref="F470">INDEX(_xlfn.FILTERXML(E470,"//latitude"),1)</f>
        <v>36.491073999999998</v>
      </c>
      <c r="G470" cm="1">
        <f t="array" ref="G470">INDEX(_xlfn.FILTERXML(E470,"//longitude"),1)</f>
        <v>140.09751900000001</v>
      </c>
      <c r="H470">
        <v>36.491073999999998</v>
      </c>
      <c r="I470">
        <v>140.09751900000001</v>
      </c>
    </row>
    <row r="471" spans="1:9" x14ac:dyDescent="0.4">
      <c r="A471" t="s">
        <v>28</v>
      </c>
      <c r="B471" t="s">
        <v>172</v>
      </c>
      <c r="C471" t="str">
        <f t="shared" si="37"/>
        <v>沖縄県那覇市</v>
      </c>
      <c r="D471" s="2" t="str">
        <f t="shared" si="35"/>
        <v>http://geocode.csis.u-tokyo.ac.jp/cgi-bin/simple_geocode.cgi?charset=UTF8&amp;addr=%E6%B2%96%E7%B8%84%E7%9C%8C%E9%82%A3%E8%A6%87%E5%B8%82</v>
      </c>
      <c r="E471" t="str">
        <f t="shared" si="36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471" cm="1">
        <f t="array" ref="F471">INDEX(_xlfn.FILTERXML(E471,"//latitude"),1)</f>
        <v>26.212295999999998</v>
      </c>
      <c r="G471" cm="1">
        <f t="array" ref="G471">INDEX(_xlfn.FILTERXML(E471,"//longitude"),1)</f>
        <v>127.679214</v>
      </c>
      <c r="H471">
        <v>26.212295999999998</v>
      </c>
      <c r="I471">
        <v>127.679214</v>
      </c>
    </row>
    <row r="472" spans="1:9" x14ac:dyDescent="0.4">
      <c r="A472" t="s">
        <v>144</v>
      </c>
      <c r="B472" t="s">
        <v>210</v>
      </c>
      <c r="C472" t="str">
        <f t="shared" si="37"/>
        <v>秋田県秋田市</v>
      </c>
      <c r="D472" s="2" t="str">
        <f t="shared" si="35"/>
        <v>http://geocode.csis.u-tokyo.ac.jp/cgi-bin/simple_geocode.cgi?charset=UTF8&amp;addr=%E7%A7%8B%E7%94%B0%E7%9C%8C%E7%A7%8B%E7%94%B0%E5%B8%82</v>
      </c>
      <c r="E472" t="str">
        <f t="shared" si="36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472" cm="1">
        <f t="array" ref="F472">INDEX(_xlfn.FILTERXML(E472,"//latitude"),1)</f>
        <v>39.719929</v>
      </c>
      <c r="G472" cm="1">
        <f t="array" ref="G472">INDEX(_xlfn.FILTERXML(E472,"//longitude"),1)</f>
        <v>140.102509</v>
      </c>
      <c r="H472">
        <v>39.719929</v>
      </c>
      <c r="I472">
        <v>140.102509</v>
      </c>
    </row>
    <row r="473" spans="1:9" x14ac:dyDescent="0.4">
      <c r="A473" t="s">
        <v>9</v>
      </c>
      <c r="B473" t="s">
        <v>777</v>
      </c>
      <c r="C473" t="str">
        <f t="shared" si="37"/>
        <v>東京都杉並区浜田山</v>
      </c>
      <c r="D473" s="2" t="str">
        <f t="shared" si="35"/>
        <v>http://geocode.csis.u-tokyo.ac.jp/cgi-bin/simple_geocode.cgi?charset=UTF8&amp;addr=%E6%9D%B1%E4%BA%AC%E9%83%BD%E6%9D%89%E4%B8%A6%E5%8C%BA%E6%B5%9C%E7%94%B0%E5%B1%B1</v>
      </c>
      <c r="E473" t="str">
        <f t="shared" si="36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473" cm="1">
        <f t="array" ref="F473">INDEX(_xlfn.FILTERXML(E473,"//latitude"),1)</f>
        <v>35.678024000000001</v>
      </c>
      <c r="G473" cm="1">
        <f t="array" ref="G473">INDEX(_xlfn.FILTERXML(E473,"//longitude"),1)</f>
        <v>139.631012</v>
      </c>
      <c r="H473">
        <v>35.678024000000001</v>
      </c>
      <c r="I473">
        <v>139.631012</v>
      </c>
    </row>
    <row r="474" spans="1:9" x14ac:dyDescent="0.4">
      <c r="A474" t="s">
        <v>38</v>
      </c>
      <c r="B474" t="s">
        <v>1019</v>
      </c>
      <c r="C474" t="str">
        <f t="shared" si="37"/>
        <v>新潟県新潟市中央区弁天</v>
      </c>
      <c r="D474" s="2" t="str">
        <f t="shared" si="35"/>
        <v>http://geocode.csis.u-tokyo.ac.jp/cgi-bin/simple_geocode.cgi?charset=UTF8&amp;addr=%E6%96%B0%E6%BD%9F%E7%9C%8C%E6%96%B0%E6%BD%9F%E5%B8%82%E4%B8%AD%E5%A4%AE%E5%8C%BA%E5%BC%81%E5%A4%A9</v>
      </c>
      <c r="E474" t="str">
        <f t="shared" si="36"/>
        <v xml:space="preserve">&lt;?xml version="1.0" encoding="UTF-8" ?&gt;
&lt;results&gt;
&lt;query&gt;新潟県新潟市中央区弁天&lt;/query&gt;
&lt;geodetic&gt;wgs1984&lt;/geodetic&gt;
&lt;iConf&gt;5&lt;/iConf&gt;
&lt;converted&gt;新潟県新潟市中央区弁天&lt;/converted&gt;
&lt;candidate&gt;
&lt;address&gt;新潟県/新潟市/中央区/弁天&lt;/address&gt;
&lt;longitude&gt;139.059280&lt;/longitude&gt;
&lt;latitude&gt;37.913418&lt;/latitude&gt;
&lt;iLvl&gt;5&lt;/iLvl&gt;
&lt;/candidate&gt;
&lt;/results&gt;
</v>
      </c>
      <c r="F474" cm="1">
        <f t="array" ref="F474">INDEX(_xlfn.FILTERXML(E474,"//latitude"),1)</f>
        <v>37.913418</v>
      </c>
      <c r="G474" cm="1">
        <f t="array" ref="G474">INDEX(_xlfn.FILTERXML(E474,"//longitude"),1)</f>
        <v>139.05928</v>
      </c>
      <c r="H474">
        <v>37.913418</v>
      </c>
      <c r="I474">
        <v>139.05928</v>
      </c>
    </row>
    <row r="475" spans="1:9" x14ac:dyDescent="0.4">
      <c r="A475" t="s">
        <v>9</v>
      </c>
      <c r="B475" t="s">
        <v>1020</v>
      </c>
      <c r="C475" t="str">
        <f t="shared" si="37"/>
        <v>東京都文京区大塚</v>
      </c>
      <c r="D475" s="2" t="str">
        <f t="shared" si="35"/>
        <v>http://geocode.csis.u-tokyo.ac.jp/cgi-bin/simple_geocode.cgi?charset=UTF8&amp;addr=%E6%9D%B1%E4%BA%AC%E9%83%BD%E6%96%87%E4%BA%AC%E5%8C%BA%E5%A4%A7%E5%A1%9A</v>
      </c>
      <c r="E475" t="str">
        <f t="shared" si="36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475" cm="1">
        <f t="array" ref="F475">INDEX(_xlfn.FILTERXML(E475,"//latitude"),1)</f>
        <v>35.717064000000001</v>
      </c>
      <c r="G475" cm="1">
        <f t="array" ref="G475">INDEX(_xlfn.FILTERXML(E475,"//longitude"),1)</f>
        <v>139.732788</v>
      </c>
      <c r="H475">
        <v>35.717064000000001</v>
      </c>
      <c r="I475">
        <v>139.732788</v>
      </c>
    </row>
    <row r="476" spans="1:9" x14ac:dyDescent="0.4">
      <c r="A476" t="s">
        <v>15</v>
      </c>
      <c r="B476" t="s">
        <v>558</v>
      </c>
      <c r="C476" t="str">
        <f t="shared" si="37"/>
        <v>兵庫県尼崎市南武庫之荘</v>
      </c>
      <c r="D476" s="2" t="str">
        <f t="shared" si="35"/>
        <v>http://geocode.csis.u-tokyo.ac.jp/cgi-bin/simple_geocode.cgi?charset=UTF8&amp;addr=%E5%85%B5%E5%BA%AB%E7%9C%8C%E5%B0%BC%E5%B4%8E%E5%B8%82%E5%8D%97%E6%AD%A6%E5%BA%AB%E4%B9%8B%E8%8D%98</v>
      </c>
      <c r="E476" t="str">
        <f t="shared" si="36"/>
        <v xml:space="preserve">&lt;?xml version="1.0" encoding="UTF-8" ?&gt;
&lt;results&gt;
&lt;query&gt;兵庫県尼崎市南武庫之荘&lt;/query&gt;
&lt;geodetic&gt;wgs1984&lt;/geodetic&gt;
&lt;iConf&gt;5&lt;/iConf&gt;
&lt;converted&gt;兵庫県尼崎市南武庫之荘&lt;/converted&gt;
&lt;candidate&gt;
&lt;address&gt;兵庫県/尼崎市/南武庫之荘&lt;/address&gt;
&lt;longitude&gt;135.392517&lt;/longitude&gt;
&lt;latitude&gt;34.750317&lt;/latitude&gt;
&lt;iLvl&gt;5&lt;/iLvl&gt;
&lt;/candidate&gt;
&lt;/results&gt;
</v>
      </c>
      <c r="F476" cm="1">
        <f t="array" ref="F476">INDEX(_xlfn.FILTERXML(E476,"//latitude"),1)</f>
        <v>34.750317000000003</v>
      </c>
      <c r="G476" cm="1">
        <f t="array" ref="G476">INDEX(_xlfn.FILTERXML(E476,"//longitude"),1)</f>
        <v>135.392517</v>
      </c>
      <c r="H476">
        <v>34.750317000000003</v>
      </c>
      <c r="I476">
        <v>135.392517</v>
      </c>
    </row>
    <row r="477" spans="1:9" x14ac:dyDescent="0.4">
      <c r="A477" t="s">
        <v>9</v>
      </c>
      <c r="B477" t="s">
        <v>299</v>
      </c>
      <c r="C477" t="str">
        <f t="shared" si="37"/>
        <v>東京都荒川区</v>
      </c>
      <c r="D477" s="2" t="str">
        <f t="shared" si="35"/>
        <v>http://geocode.csis.u-tokyo.ac.jp/cgi-bin/simple_geocode.cgi?charset=UTF8&amp;addr=%E6%9D%B1%E4%BA%AC%E9%83%BD%E8%8D%92%E5%B7%9D%E5%8C%BA</v>
      </c>
      <c r="E477" t="str">
        <f t="shared" si="36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477" cm="1">
        <f t="array" ref="F477">INDEX(_xlfn.FILTERXML(E477,"//latitude"),1)</f>
        <v>35.736083999999998</v>
      </c>
      <c r="G477" cm="1">
        <f t="array" ref="G477">INDEX(_xlfn.FILTERXML(E477,"//longitude"),1)</f>
        <v>139.78337099999999</v>
      </c>
      <c r="H477">
        <v>35.736083999999998</v>
      </c>
      <c r="I477">
        <v>139.78337099999999</v>
      </c>
    </row>
    <row r="478" spans="1:9" x14ac:dyDescent="0.4">
      <c r="A478" t="s">
        <v>17</v>
      </c>
      <c r="B478" t="s">
        <v>1021</v>
      </c>
      <c r="C478" t="str">
        <f t="shared" si="37"/>
        <v>愛知県豊川市為当町</v>
      </c>
      <c r="D478" s="2" t="str">
        <f t="shared" si="35"/>
        <v>http://geocode.csis.u-tokyo.ac.jp/cgi-bin/simple_geocode.cgi?charset=UTF8&amp;addr=%E6%84%9B%E7%9F%A5%E7%9C%8C%E8%B1%8A%E5%B7%9D%E5%B8%82%E7%82%BA%E5%BD%93%E7%94%BA</v>
      </c>
      <c r="E478" t="str">
        <f t="shared" si="36"/>
        <v xml:space="preserve">&lt;?xml version="1.0" encoding="UTF-8" ?&gt;
&lt;results&gt;
&lt;query&gt;愛知県豊川市為当町&lt;/query&gt;
&lt;geodetic&gt;wgs1984&lt;/geodetic&gt;
&lt;iConf&gt;5&lt;/iConf&gt;
&lt;converted&gt;愛知県豊川市為当町&lt;/converted&gt;
&lt;candidate&gt;
&lt;address&gt;愛知県/豊川市/為当町&lt;/address&gt;
&lt;longitude&gt;137.323746&lt;/longitude&gt;
&lt;latitude&gt;34.820328&lt;/latitude&gt;
&lt;iLvl&gt;5&lt;/iLvl&gt;
&lt;/candidate&gt;
&lt;/results&gt;
</v>
      </c>
      <c r="F478" cm="1">
        <f t="array" ref="F478">INDEX(_xlfn.FILTERXML(E478,"//latitude"),1)</f>
        <v>34.820328000000003</v>
      </c>
      <c r="G478" cm="1">
        <f t="array" ref="G478">INDEX(_xlfn.FILTERXML(E478,"//longitude"),1)</f>
        <v>137.323746</v>
      </c>
      <c r="H478">
        <v>34.820328000000003</v>
      </c>
      <c r="I478">
        <v>137.323746</v>
      </c>
    </row>
    <row r="479" spans="1:9" x14ac:dyDescent="0.4">
      <c r="A479" t="s">
        <v>9</v>
      </c>
      <c r="B479" t="s">
        <v>604</v>
      </c>
      <c r="C479" t="str">
        <f t="shared" si="37"/>
        <v>東京都台東区</v>
      </c>
      <c r="D479" s="2" t="str">
        <f t="shared" si="35"/>
        <v>http://geocode.csis.u-tokyo.ac.jp/cgi-bin/simple_geocode.cgi?charset=UTF8&amp;addr=%E6%9D%B1%E4%BA%AC%E9%83%BD%E5%8F%B0%E6%9D%B1%E5%8C%BA</v>
      </c>
      <c r="E479" t="str">
        <f t="shared" si="36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479" cm="1">
        <f t="array" ref="F479">INDEX(_xlfn.FILTERXML(E479,"//latitude"),1)</f>
        <v>35.712608000000003</v>
      </c>
      <c r="G479" cm="1">
        <f t="array" ref="G479">INDEX(_xlfn.FILTERXML(E479,"//longitude"),1)</f>
        <v>139.77998400000001</v>
      </c>
      <c r="H479">
        <v>35.712608000000003</v>
      </c>
      <c r="I479">
        <v>139.77998400000001</v>
      </c>
    </row>
    <row r="480" spans="1:9" x14ac:dyDescent="0.4">
      <c r="A480" t="s">
        <v>17</v>
      </c>
      <c r="B480" t="s">
        <v>1022</v>
      </c>
      <c r="C480" t="str">
        <f t="shared" si="37"/>
        <v>愛知県名古屋市東区代官町30-1</v>
      </c>
      <c r="D480" s="2" t="str">
        <f t="shared" si="35"/>
        <v>http://geocode.csis.u-tokyo.ac.jp/cgi-bin/simple_geocode.cgi?charset=UTF8&amp;addr=%E6%84%9B%E7%9F%A5%E7%9C%8C%E5%90%8D%E5%8F%A4%E5%B1%8B%E5%B8%82%E6%9D%B1%E5%8C%BA%E4%BB%A3%E5%AE%98%E7%94%BA30-1</v>
      </c>
      <c r="E480" t="str">
        <f t="shared" si="36"/>
        <v xml:space="preserve">&lt;?xml version="1.0" encoding="UTF-8" ?&gt;
&lt;results&gt;
&lt;query&gt;愛知県名古屋市東区代官町30-1&lt;/query&gt;
&lt;geodetic&gt;wgs1984&lt;/geodetic&gt;
&lt;iConf&gt;5&lt;/iConf&gt;
&lt;converted&gt;愛知県名古屋市東区代官町30-1&lt;/converted&gt;
&lt;candidate&gt;
&lt;address&gt;愛知県/名古屋市/東区/代官町/３０番/１号&lt;/address&gt;
&lt;longitude&gt;136.922302&lt;/longitude&gt;
&lt;latitude&gt;35.176533&lt;/latitude&gt;
&lt;iLvl&gt;8&lt;/iLvl&gt;
&lt;/candidate&gt;
&lt;/results&gt;
</v>
      </c>
      <c r="F480" cm="1">
        <f t="array" ref="F480">INDEX(_xlfn.FILTERXML(E480,"//latitude"),1)</f>
        <v>35.176532999999999</v>
      </c>
      <c r="G480" cm="1">
        <f t="array" ref="G480">INDEX(_xlfn.FILTERXML(E480,"//longitude"),1)</f>
        <v>136.922302</v>
      </c>
      <c r="H480">
        <v>35.176532999999999</v>
      </c>
      <c r="I480">
        <v>136.922302</v>
      </c>
    </row>
    <row r="481" spans="1:9" x14ac:dyDescent="0.4">
      <c r="A481" t="s">
        <v>10</v>
      </c>
      <c r="B481" t="s">
        <v>324</v>
      </c>
      <c r="C481" t="str">
        <f t="shared" si="37"/>
        <v>神奈川県横浜市神奈川区</v>
      </c>
      <c r="D481" s="2" t="str">
        <f t="shared" si="35"/>
        <v>http://geocode.csis.u-tokyo.ac.jp/cgi-bin/simple_geocode.cgi?charset=UTF8&amp;addr=%E7%A5%9E%E5%A5%88%E5%B7%9D%E7%9C%8C%E6%A8%AA%E6%B5%9C%E5%B8%82%E7%A5%9E%E5%A5%88%E5%B7%9D%E5%8C%BA</v>
      </c>
      <c r="E481" t="str">
        <f t="shared" si="36"/>
        <v xml:space="preserve">&lt;?xml version="1.0" encoding="UTF-8" ?&gt;
&lt;results&gt;
&lt;query&gt;神奈川県横浜市神奈川区&lt;/query&gt;
&lt;geodetic&gt;wgs1984&lt;/geodetic&gt;
&lt;iConf&gt;5&lt;/iConf&gt;
&lt;converted&gt;神奈川県横浜市神奈川区&lt;/converted&gt;
&lt;candidate&gt;
&lt;address&gt;神奈川県/横浜市/神奈川区&lt;/address&gt;
&lt;longitude&gt;139.629288&lt;/longitude&gt;
&lt;latitude&gt;35.477051&lt;/latitude&gt;
&lt;iLvl&gt;4&lt;/iLvl&gt;
&lt;/candidate&gt;
&lt;/results&gt;
</v>
      </c>
      <c r="F481" cm="1">
        <f t="array" ref="F481">INDEX(_xlfn.FILTERXML(E481,"//latitude"),1)</f>
        <v>35.477051000000003</v>
      </c>
      <c r="G481" cm="1">
        <f t="array" ref="G481">INDEX(_xlfn.FILTERXML(E481,"//longitude"),1)</f>
        <v>139.629288</v>
      </c>
      <c r="H481" s="3">
        <v>35.477051000000003</v>
      </c>
      <c r="I481" s="3">
        <v>139.629288</v>
      </c>
    </row>
    <row r="482" spans="1:9" x14ac:dyDescent="0.4">
      <c r="A482" t="s">
        <v>14</v>
      </c>
      <c r="B482" t="s">
        <v>1023</v>
      </c>
      <c r="C482" t="str">
        <f t="shared" si="37"/>
        <v>広島県安芸郡海田町南つくも町</v>
      </c>
      <c r="D482" s="2" t="str">
        <f t="shared" si="35"/>
        <v>http://geocode.csis.u-tokyo.ac.jp/cgi-bin/simple_geocode.cgi?charset=UTF8&amp;addr=%E5%BA%83%E5%B3%B6%E7%9C%8C%E5%AE%89%E8%8A%B8%E9%83%A1%E6%B5%B7%E7%94%B0%E7%94%BA%E5%8D%97%E3%81%A4%E3%81%8F%E3%82%82%E7%94%BA</v>
      </c>
      <c r="E482" t="str">
        <f t="shared" si="36"/>
        <v xml:space="preserve">&lt;?xml version="1.0" encoding="UTF-8" ?&gt;
&lt;results&gt;
&lt;query&gt;広島県安芸郡海田町南つくも町&lt;/query&gt;
&lt;geodetic&gt;wgs1984&lt;/geodetic&gt;
&lt;iConf&gt;5&lt;/iConf&gt;
&lt;converted&gt;広島県安芸郡海田町南つくも町&lt;/converted&gt;
&lt;candidate&gt;
&lt;address&gt;広島県/安芸郡/海田町/南つくも町&lt;/address&gt;
&lt;longitude&gt;132.530457&lt;/longitude&gt;
&lt;latitude&gt;34.364731&lt;/latitude&gt;
&lt;iLvl&gt;5&lt;/iLvl&gt;
&lt;/candidate&gt;
&lt;/results&gt;
</v>
      </c>
      <c r="F482" cm="1">
        <f t="array" ref="F482">INDEX(_xlfn.FILTERXML(E482,"//latitude"),1)</f>
        <v>34.364730999999999</v>
      </c>
      <c r="G482" cm="1">
        <f t="array" ref="G482">INDEX(_xlfn.FILTERXML(E482,"//longitude"),1)</f>
        <v>132.53045700000001</v>
      </c>
      <c r="H482">
        <v>34.364730999999999</v>
      </c>
      <c r="I482">
        <v>132.53045700000001</v>
      </c>
    </row>
    <row r="483" spans="1:9" x14ac:dyDescent="0.4">
      <c r="A483" t="s">
        <v>19</v>
      </c>
      <c r="B483" t="s">
        <v>1024</v>
      </c>
      <c r="C483" t="str">
        <f t="shared" si="37"/>
        <v>滋賀県大津市月輪五丁目</v>
      </c>
      <c r="D483" s="2" t="str">
        <f t="shared" si="35"/>
        <v>http://geocode.csis.u-tokyo.ac.jp/cgi-bin/simple_geocode.cgi?charset=UTF8&amp;addr=%E6%BB%8B%E8%B3%80%E7%9C%8C%E5%A4%A7%E6%B4%A5%E5%B8%82%E6%9C%88%E8%BC%AA%E4%BA%94%E4%B8%81%E7%9B%AE</v>
      </c>
      <c r="E483" t="str">
        <f t="shared" si="36"/>
        <v xml:space="preserve">&lt;?xml version="1.0" encoding="UTF-8" ?&gt;
&lt;results&gt;
&lt;query&gt;滋賀県大津市月輪五丁目&lt;/query&gt;
&lt;geodetic&gt;wgs1984&lt;/geodetic&gt;
&lt;iConf&gt;5&lt;/iConf&gt;
&lt;converted&gt;滋賀県大津市月輪五丁目&lt;/converted&gt;
&lt;candidate&gt;
&lt;address&gt;滋賀県/大津市/月輪/五丁目&lt;/address&gt;
&lt;longitude&gt;135.945358&lt;/longitude&gt;
&lt;latitude&gt;34.978115&lt;/latitude&gt;
&lt;iLvl&gt;6&lt;/iLvl&gt;
&lt;/candidate&gt;
&lt;/results&gt;
</v>
      </c>
      <c r="F483" cm="1">
        <f t="array" ref="F483">INDEX(_xlfn.FILTERXML(E483,"//latitude"),1)</f>
        <v>34.978115000000003</v>
      </c>
      <c r="G483" cm="1">
        <f t="array" ref="G483">INDEX(_xlfn.FILTERXML(E483,"//longitude"),1)</f>
        <v>135.945358</v>
      </c>
      <c r="H483">
        <v>34.978115000000003</v>
      </c>
      <c r="I483">
        <v>135.945358</v>
      </c>
    </row>
    <row r="484" spans="1:9" x14ac:dyDescent="0.4">
      <c r="A484" t="s">
        <v>21</v>
      </c>
      <c r="B484" t="s">
        <v>1025</v>
      </c>
      <c r="C484" t="str">
        <f t="shared" si="37"/>
        <v>福岡県春日市伯玄町2丁目51</v>
      </c>
      <c r="D484" s="2" t="str">
        <f t="shared" si="35"/>
        <v>http://geocode.csis.u-tokyo.ac.jp/cgi-bin/simple_geocode.cgi?charset=UTF8&amp;addr=%E7%A6%8F%E5%B2%A1%E7%9C%8C%E6%98%A5%E6%97%A5%E5%B8%82%E4%BC%AF%E7%8E%84%E7%94%BA2%E4%B8%81%E7%9B%AE51</v>
      </c>
      <c r="E484" t="str">
        <f t="shared" si="36"/>
        <v xml:space="preserve">&lt;?xml version="1.0" encoding="UTF-8" ?&gt;
&lt;results&gt;
&lt;query&gt;福岡県春日市伯玄町2丁目51&lt;/query&gt;
&lt;geodetic&gt;wgs1984&lt;/geodetic&gt;
&lt;iConf&gt;5&lt;/iConf&gt;
&lt;converted&gt;福岡県春日市伯玄町2丁目&lt;/converted&gt;
&lt;candidate&gt;
&lt;address&gt;福岡県/春日市/伯玄町/二丁目&lt;/address&gt;
&lt;longitude&gt;130.458115&lt;/longitude&gt;
&lt;latitude&gt;33.533005&lt;/latitude&gt;
&lt;iLvl&gt;6&lt;/iLvl&gt;
&lt;/candidate&gt;
&lt;/results&gt;
</v>
      </c>
      <c r="F484" cm="1">
        <f t="array" ref="F484">INDEX(_xlfn.FILTERXML(E484,"//latitude"),1)</f>
        <v>33.533005000000003</v>
      </c>
      <c r="G484" cm="1">
        <f t="array" ref="G484">INDEX(_xlfn.FILTERXML(E484,"//longitude"),1)</f>
        <v>130.45811499999999</v>
      </c>
      <c r="H484">
        <v>33.533005000000003</v>
      </c>
      <c r="I484">
        <v>130.45811499999999</v>
      </c>
    </row>
    <row r="485" spans="1:9" x14ac:dyDescent="0.4">
      <c r="A485" t="s">
        <v>9</v>
      </c>
      <c r="B485" t="s">
        <v>1026</v>
      </c>
      <c r="C485" t="str">
        <f t="shared" si="37"/>
        <v>東京都西東京市</v>
      </c>
      <c r="D485" s="2" t="str">
        <f t="shared" si="35"/>
        <v>http://geocode.csis.u-tokyo.ac.jp/cgi-bin/simple_geocode.cgi?charset=UTF8&amp;addr=%E6%9D%B1%E4%BA%AC%E9%83%BD%E8%A5%BF%E6%9D%B1%E4%BA%AC%E5%B8%82</v>
      </c>
      <c r="E485" t="str">
        <f t="shared" si="36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485" cm="1">
        <f t="array" ref="F485">INDEX(_xlfn.FILTERXML(E485,"//latitude"),1)</f>
        <v>35.725498000000002</v>
      </c>
      <c r="G485" cm="1">
        <f t="array" ref="G485">INDEX(_xlfn.FILTERXML(E485,"//longitude"),1)</f>
        <v>139.538162</v>
      </c>
      <c r="H485">
        <v>35.725498000000002</v>
      </c>
      <c r="I485">
        <v>139.538162</v>
      </c>
    </row>
    <row r="486" spans="1:9" x14ac:dyDescent="0.4">
      <c r="A486" t="s">
        <v>9</v>
      </c>
      <c r="B486" t="s">
        <v>319</v>
      </c>
      <c r="C486" t="str">
        <f t="shared" si="37"/>
        <v>東京都文京区</v>
      </c>
      <c r="D486" s="2" t="str">
        <f t="shared" si="35"/>
        <v>http://geocode.csis.u-tokyo.ac.jp/cgi-bin/simple_geocode.cgi?charset=UTF8&amp;addr=%E6%9D%B1%E4%BA%AC%E9%83%BD%E6%96%87%E4%BA%AC%E5%8C%BA</v>
      </c>
      <c r="E486" t="str">
        <f t="shared" si="36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486" cm="1">
        <f t="array" ref="F486">INDEX(_xlfn.FILTERXML(E486,"//latitude"),1)</f>
        <v>35.707977</v>
      </c>
      <c r="G486" cm="1">
        <f t="array" ref="G486">INDEX(_xlfn.FILTERXML(E486,"//longitude"),1)</f>
        <v>139.75247200000001</v>
      </c>
      <c r="H486">
        <v>35.707977</v>
      </c>
      <c r="I486">
        <v>139.75247200000001</v>
      </c>
    </row>
    <row r="487" spans="1:9" x14ac:dyDescent="0.4">
      <c r="A487" t="s">
        <v>114</v>
      </c>
      <c r="B487" t="s">
        <v>1027</v>
      </c>
      <c r="C487" t="str">
        <f t="shared" si="37"/>
        <v>福島県東白川郡棚倉町大字棚倉字広畑</v>
      </c>
      <c r="D487" s="2" t="str">
        <f t="shared" si="35"/>
        <v>http://geocode.csis.u-tokyo.ac.jp/cgi-bin/simple_geocode.cgi?charset=UTF8&amp;addr=%E7%A6%8F%E5%B3%B6%E7%9C%8C%E6%9D%B1%E7%99%BD%E5%B7%9D%E9%83%A1%E6%A3%9A%E5%80%89%E7%94%BA%E5%A4%A7%E5%AD%97%E6%A3%9A%E5%80%89%E5%AD%97%E5%BA%83%E7%95%91</v>
      </c>
      <c r="E487" t="str">
        <f t="shared" si="36"/>
        <v xml:space="preserve">&lt;?xml version="1.0" encoding="UTF-8" ?&gt;
&lt;results&gt;
&lt;query&gt;福島県東白川郡棚倉町大字棚倉字広畑&lt;/query&gt;
&lt;geodetic&gt;wgs1984&lt;/geodetic&gt;
&lt;iConf&gt;5&lt;/iConf&gt;
&lt;converted&gt;福島県東白川郡棚倉町大字棚倉字広畑&lt;/converted&gt;
&lt;candidate&gt;
&lt;address&gt;福島県/東白川郡/棚倉町/大字棚倉/広畑&lt;/address&gt;
&lt;longitude&gt;140.373138&lt;/longitude&gt;
&lt;latitude&gt;37.029034&lt;/latitude&gt;
&lt;iLvl&gt;6&lt;/iLvl&gt;
&lt;/candidate&gt;
&lt;/results&gt;
</v>
      </c>
      <c r="F487" cm="1">
        <f t="array" ref="F487">INDEX(_xlfn.FILTERXML(E487,"//latitude"),1)</f>
        <v>37.029034000000003</v>
      </c>
      <c r="G487" cm="1">
        <f t="array" ref="G487">INDEX(_xlfn.FILTERXML(E487,"//longitude"),1)</f>
        <v>140.37313800000001</v>
      </c>
      <c r="H487">
        <v>37.029034000000003</v>
      </c>
      <c r="I487">
        <v>140.37313800000001</v>
      </c>
    </row>
    <row r="488" spans="1:9" x14ac:dyDescent="0.4">
      <c r="A488" t="s">
        <v>11</v>
      </c>
      <c r="B488" t="s">
        <v>440</v>
      </c>
      <c r="C488" t="str">
        <f t="shared" si="37"/>
        <v>大阪府大阪市鶴見区</v>
      </c>
      <c r="D488" s="2" t="str">
        <f t="shared" si="35"/>
        <v>http://geocode.csis.u-tokyo.ac.jp/cgi-bin/simple_geocode.cgi?charset=UTF8&amp;addr=%E5%A4%A7%E9%98%AA%E5%BA%9C%E5%A4%A7%E9%98%AA%E5%B8%82%E9%B6%B4%E8%A6%8B%E5%8C%BA</v>
      </c>
      <c r="E488" t="str">
        <f t="shared" si="36"/>
        <v xml:space="preserve">&lt;?xml version="1.0" encoding="UTF-8" ?&gt;
&lt;results&gt;
&lt;query&gt;大阪府大阪市鶴見区&lt;/query&gt;
&lt;geodetic&gt;wgs1984&lt;/geodetic&gt;
&lt;iConf&gt;5&lt;/iConf&gt;
&lt;converted&gt;大阪府大阪市鶴見区&lt;/converted&gt;
&lt;candidate&gt;
&lt;address&gt;大阪府/大阪市/鶴見区&lt;/address&gt;
&lt;longitude&gt;135.574188&lt;/longitude&gt;
&lt;latitude&gt;34.704567&lt;/latitude&gt;
&lt;iLvl&gt;4&lt;/iLvl&gt;
&lt;/candidate&gt;
&lt;/results&gt;
</v>
      </c>
      <c r="F488" cm="1">
        <f t="array" ref="F488">INDEX(_xlfn.FILTERXML(E488,"//latitude"),1)</f>
        <v>34.704566999999997</v>
      </c>
      <c r="G488" cm="1">
        <f t="array" ref="G488">INDEX(_xlfn.FILTERXML(E488,"//longitude"),1)</f>
        <v>135.57418799999999</v>
      </c>
      <c r="H488">
        <v>34.704566999999997</v>
      </c>
      <c r="I488">
        <v>135.57418799999999</v>
      </c>
    </row>
    <row r="489" spans="1:9" x14ac:dyDescent="0.4">
      <c r="A489" t="s">
        <v>9</v>
      </c>
      <c r="B489" t="s">
        <v>1028</v>
      </c>
      <c r="C489" t="str">
        <f t="shared" si="37"/>
        <v>東京都板橋区志村</v>
      </c>
      <c r="D489" s="2" t="str">
        <f t="shared" si="35"/>
        <v>http://geocode.csis.u-tokyo.ac.jp/cgi-bin/simple_geocode.cgi?charset=UTF8&amp;addr=%E6%9D%B1%E4%BA%AC%E9%83%BD%E6%9D%BF%E6%A9%8B%E5%8C%BA%E5%BF%97%E6%9D%91</v>
      </c>
      <c r="E489" t="str">
        <f t="shared" si="36"/>
        <v xml:space="preserve">&lt;?xml version="1.0" encoding="UTF-8" ?&gt;
&lt;results&gt;
&lt;query&gt;東京都板橋区志村&lt;/query&gt;
&lt;geodetic&gt;wgs1984&lt;/geodetic&gt;
&lt;iConf&gt;5&lt;/iConf&gt;
&lt;converted&gt;東京都板橋区志村&lt;/converted&gt;
&lt;candidate&gt;
&lt;address&gt;東京都/板橋区/志村&lt;/address&gt;
&lt;longitude&gt;139.696304&lt;/longitude&gt;
&lt;latitude&gt;35.773392&lt;/latitude&gt;
&lt;iLvl&gt;5&lt;/iLvl&gt;
&lt;/candidate&gt;
&lt;/results&gt;
</v>
      </c>
      <c r="F489" cm="1">
        <f t="array" ref="F489">INDEX(_xlfn.FILTERXML(E489,"//latitude"),1)</f>
        <v>35.773392000000001</v>
      </c>
      <c r="G489" cm="1">
        <f t="array" ref="G489">INDEX(_xlfn.FILTERXML(E489,"//longitude"),1)</f>
        <v>139.696304</v>
      </c>
      <c r="H489">
        <v>35.773392000000001</v>
      </c>
      <c r="I489">
        <v>139.696304</v>
      </c>
    </row>
    <row r="490" spans="1:9" x14ac:dyDescent="0.4">
      <c r="A490" t="s">
        <v>29</v>
      </c>
      <c r="B490" t="s">
        <v>1029</v>
      </c>
      <c r="C490" t="str">
        <f t="shared" si="37"/>
        <v>静岡県伊東市</v>
      </c>
      <c r="D490" s="2" t="str">
        <f t="shared" si="35"/>
        <v>http://geocode.csis.u-tokyo.ac.jp/cgi-bin/simple_geocode.cgi?charset=UTF8&amp;addr=%E9%9D%99%E5%B2%A1%E7%9C%8C%E4%BC%8A%E6%9D%B1%E5%B8%82</v>
      </c>
      <c r="E490" t="str">
        <f t="shared" si="36"/>
        <v xml:space="preserve">&lt;?xml version="1.0" encoding="UTF-8" ?&gt;
&lt;results&gt;
&lt;query&gt;静岡県伊東市&lt;/query&gt;
&lt;geodetic&gt;wgs1984&lt;/geodetic&gt;
&lt;iConf&gt;5&lt;/iConf&gt;
&lt;converted&gt;静岡県伊東市&lt;/converted&gt;
&lt;candidate&gt;
&lt;address&gt;静岡県/伊東市&lt;/address&gt;
&lt;longitude&gt;139.102051&lt;/longitude&gt;
&lt;latitude&gt;34.965679&lt;/latitude&gt;
&lt;iLvl&gt;3&lt;/iLvl&gt;
&lt;/candidate&gt;
&lt;/results&gt;
</v>
      </c>
      <c r="F490" cm="1">
        <f t="array" ref="F490">INDEX(_xlfn.FILTERXML(E490,"//latitude"),1)</f>
        <v>34.965679000000002</v>
      </c>
      <c r="G490" cm="1">
        <f t="array" ref="G490">INDEX(_xlfn.FILTERXML(E490,"//longitude"),1)</f>
        <v>139.10205099999999</v>
      </c>
      <c r="H490">
        <v>34.965679000000002</v>
      </c>
      <c r="I490">
        <v>139.10205099999999</v>
      </c>
    </row>
    <row r="491" spans="1:9" x14ac:dyDescent="0.4">
      <c r="A491" t="s">
        <v>11</v>
      </c>
      <c r="B491" t="s">
        <v>1030</v>
      </c>
      <c r="C491" t="str">
        <f t="shared" si="37"/>
        <v>大阪府富田林市</v>
      </c>
      <c r="D491" s="2" t="str">
        <f t="shared" si="35"/>
        <v>http://geocode.csis.u-tokyo.ac.jp/cgi-bin/simple_geocode.cgi?charset=UTF8&amp;addr=%E5%A4%A7%E9%98%AA%E5%BA%9C%E5%AF%8C%E7%94%B0%E6%9E%97%E5%B8%82</v>
      </c>
      <c r="E491" t="str">
        <f t="shared" si="36"/>
        <v xml:space="preserve">&lt;?xml version="1.0" encoding="UTF-8" ?&gt;
&lt;results&gt;
&lt;query&gt;大阪府富田林市&lt;/query&gt;
&lt;geodetic&gt;wgs1984&lt;/geodetic&gt;
&lt;iConf&gt;5&lt;/iConf&gt;
&lt;converted&gt;大阪府富田林市&lt;/converted&gt;
&lt;candidate&gt;
&lt;address&gt;大阪府/富田林市&lt;/address&gt;
&lt;longitude&gt;135.597275&lt;/longitude&gt;
&lt;latitude&gt;34.499676&lt;/latitude&gt;
&lt;iLvl&gt;3&lt;/iLvl&gt;
&lt;/candidate&gt;
&lt;/results&gt;
</v>
      </c>
      <c r="F491" cm="1">
        <f t="array" ref="F491">INDEX(_xlfn.FILTERXML(E491,"//latitude"),1)</f>
        <v>34.499676000000001</v>
      </c>
      <c r="G491" cm="1">
        <f t="array" ref="G491">INDEX(_xlfn.FILTERXML(E491,"//longitude"),1)</f>
        <v>135.597275</v>
      </c>
      <c r="H491">
        <v>34.499676000000001</v>
      </c>
      <c r="I491">
        <v>135.597275</v>
      </c>
    </row>
    <row r="492" spans="1:9" x14ac:dyDescent="0.4">
      <c r="A492" t="s">
        <v>18</v>
      </c>
      <c r="B492" t="s">
        <v>954</v>
      </c>
      <c r="C492" t="str">
        <f t="shared" si="37"/>
        <v>千葉県鴨川市</v>
      </c>
      <c r="D492" s="2" t="str">
        <f t="shared" si="35"/>
        <v>http://geocode.csis.u-tokyo.ac.jp/cgi-bin/simple_geocode.cgi?charset=UTF8&amp;addr=%E5%8D%83%E8%91%89%E7%9C%8C%E9%B4%A8%E5%B7%9D%E5%B8%82</v>
      </c>
      <c r="E492" t="str">
        <f t="shared" si="36"/>
        <v xml:space="preserve">&lt;?xml version="1.0" encoding="UTF-8" ?&gt;
&lt;results&gt;
&lt;query&gt;千葉県鴨川市&lt;/query&gt;
&lt;geodetic&gt;wgs1984&lt;/geodetic&gt;
&lt;iConf&gt;5&lt;/iConf&gt;
&lt;converted&gt;千葉県鴨川市&lt;/converted&gt;
&lt;candidate&gt;
&lt;address&gt;千葉県/鴨川市&lt;/address&gt;
&lt;longitude&gt;140.098801&lt;/longitude&gt;
&lt;latitude&gt;35.114017&lt;/latitude&gt;
&lt;iLvl&gt;3&lt;/iLvl&gt;
&lt;/candidate&gt;
&lt;/results&gt;
</v>
      </c>
      <c r="F492" cm="1">
        <f t="array" ref="F492">INDEX(_xlfn.FILTERXML(E492,"//latitude"),1)</f>
        <v>35.114016999999997</v>
      </c>
      <c r="G492" cm="1">
        <f t="array" ref="G492">INDEX(_xlfn.FILTERXML(E492,"//longitude"),1)</f>
        <v>140.09880100000001</v>
      </c>
      <c r="H492">
        <v>35.114016999999997</v>
      </c>
      <c r="I492">
        <v>140.09880100000001</v>
      </c>
    </row>
    <row r="493" spans="1:9" x14ac:dyDescent="0.4">
      <c r="A493" t="s">
        <v>9</v>
      </c>
      <c r="B493" t="s">
        <v>1031</v>
      </c>
      <c r="C493" t="str">
        <f t="shared" si="37"/>
        <v>東京都練馬区　東大泉5丁目</v>
      </c>
      <c r="D493" s="2" t="str">
        <f t="shared" si="35"/>
        <v>http://geocode.csis.u-tokyo.ac.jp/cgi-bin/simple_geocode.cgi?charset=UTF8&amp;addr=%E6%9D%B1%E4%BA%AC%E9%83%BD%E7%B7%B4%E9%A6%AC%E5%8C%BA%E3%80%80%E6%9D%B1%E5%A4%A7%E6%B3%895%E4%B8%81%E7%9B%AE</v>
      </c>
      <c r="E493" t="str">
        <f t="shared" si="36"/>
        <v xml:space="preserve">&lt;?xml version="1.0" encoding="UTF-8" ?&gt;
&lt;results&gt;
&lt;query&gt;東京都練馬区　東大泉5丁目&lt;/query&gt;
&lt;geodetic&gt;wgs1984&lt;/geodetic&gt;
&lt;iConf&gt;5&lt;/iConf&gt;
&lt;converted&gt;東京都練馬区　東大泉5丁目&lt;/converted&gt;
&lt;candidate&gt;
&lt;address&gt;東京都/練馬区/東大泉/五丁目&lt;/address&gt;
&lt;longitude&gt;139.590286&lt;/longitude&gt;
&lt;latitude&gt;35.746025&lt;/latitude&gt;
&lt;iLvl&gt;6&lt;/iLvl&gt;
&lt;/candidate&gt;
&lt;/results&gt;
</v>
      </c>
      <c r="F493" cm="1">
        <f t="array" ref="F493">INDEX(_xlfn.FILTERXML(E493,"//latitude"),1)</f>
        <v>35.746025000000003</v>
      </c>
      <c r="G493" cm="1">
        <f t="array" ref="G493">INDEX(_xlfn.FILTERXML(E493,"//longitude"),1)</f>
        <v>139.59028599999999</v>
      </c>
      <c r="H493">
        <v>35.746025000000003</v>
      </c>
      <c r="I493">
        <v>139.59028599999999</v>
      </c>
    </row>
    <row r="494" spans="1:9" x14ac:dyDescent="0.4">
      <c r="A494" t="s">
        <v>9</v>
      </c>
      <c r="B494" t="s">
        <v>218</v>
      </c>
      <c r="C494" t="str">
        <f t="shared" si="37"/>
        <v>東京都練馬区</v>
      </c>
      <c r="D494" s="2" t="str">
        <f t="shared" si="35"/>
        <v>http://geocode.csis.u-tokyo.ac.jp/cgi-bin/simple_geocode.cgi?charset=UTF8&amp;addr=%E6%9D%B1%E4%BA%AC%E9%83%BD%E7%B7%B4%E9%A6%AC%E5%8C%BA</v>
      </c>
      <c r="E494" t="str">
        <f t="shared" si="36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494" cm="1">
        <f t="array" ref="F494">INDEX(_xlfn.FILTERXML(E494,"//latitude"),1)</f>
        <v>35.735599999999998</v>
      </c>
      <c r="G494" cm="1">
        <f t="array" ref="G494">INDEX(_xlfn.FILTERXML(E494,"//longitude"),1)</f>
        <v>139.65171799999999</v>
      </c>
      <c r="H494">
        <v>35.735599999999998</v>
      </c>
      <c r="I494">
        <v>139.65171799999999</v>
      </c>
    </row>
    <row r="495" spans="1:9" x14ac:dyDescent="0.4">
      <c r="A495" t="s">
        <v>25</v>
      </c>
      <c r="B495" t="s">
        <v>1032</v>
      </c>
      <c r="C495" t="str">
        <f t="shared" si="37"/>
        <v>香川県高松市多肥上町</v>
      </c>
      <c r="D495" s="2" t="str">
        <f t="shared" si="35"/>
        <v>http://geocode.csis.u-tokyo.ac.jp/cgi-bin/simple_geocode.cgi?charset=UTF8&amp;addr=%E9%A6%99%E5%B7%9D%E7%9C%8C%E9%AB%98%E6%9D%BE%E5%B8%82%E5%A4%9A%E8%82%A5%E4%B8%8A%E7%94%BA</v>
      </c>
      <c r="E495" t="str">
        <f t="shared" si="36"/>
        <v xml:space="preserve">&lt;?xml version="1.0" encoding="UTF-8" ?&gt;
&lt;results&gt;
&lt;query&gt;香川県高松市多肥上町&lt;/query&gt;
&lt;geodetic&gt;wgs1984&lt;/geodetic&gt;
&lt;iConf&gt;5&lt;/iConf&gt;
&lt;converted&gt;香川県高松市多肥上町&lt;/converted&gt;
&lt;candidate&gt;
&lt;address&gt;香川県/高松市/多肥上町&lt;/address&gt;
&lt;longitude&gt;134.055756&lt;/longitude&gt;
&lt;latitude&gt;34.282890&lt;/latitude&gt;
&lt;iLvl&gt;5&lt;/iLvl&gt;
&lt;/candidate&gt;
&lt;/results&gt;
</v>
      </c>
      <c r="F495" cm="1">
        <f t="array" ref="F495">INDEX(_xlfn.FILTERXML(E495,"//latitude"),1)</f>
        <v>34.282890000000002</v>
      </c>
      <c r="G495" cm="1">
        <f t="array" ref="G495">INDEX(_xlfn.FILTERXML(E495,"//longitude"),1)</f>
        <v>134.055756</v>
      </c>
      <c r="H495">
        <v>34.282890000000002</v>
      </c>
      <c r="I495">
        <v>134.055756</v>
      </c>
    </row>
    <row r="496" spans="1:9" x14ac:dyDescent="0.4">
      <c r="A496" t="s">
        <v>113</v>
      </c>
      <c r="B496" t="s">
        <v>1033</v>
      </c>
      <c r="C496" t="str">
        <f t="shared" si="37"/>
        <v>岡山県岡山市北区桑田町</v>
      </c>
      <c r="D496" s="2" t="str">
        <f t="shared" si="35"/>
        <v>http://geocode.csis.u-tokyo.ac.jp/cgi-bin/simple_geocode.cgi?charset=UTF8&amp;addr=%E5%B2%A1%E5%B1%B1%E7%9C%8C%E5%B2%A1%E5%B1%B1%E5%B8%82%E5%8C%97%E5%8C%BA%E6%A1%91%E7%94%B0%E7%94%BA</v>
      </c>
      <c r="E496" t="str">
        <f t="shared" si="36"/>
        <v xml:space="preserve">&lt;?xml version="1.0" encoding="UTF-8" ?&gt;
&lt;results&gt;
&lt;query&gt;岡山県岡山市北区桑田町&lt;/query&gt;
&lt;geodetic&gt;wgs1984&lt;/geodetic&gt;
&lt;iConf&gt;5&lt;/iConf&gt;
&lt;converted&gt;岡山県岡山市北区桑田町&lt;/converted&gt;
&lt;candidate&gt;
&lt;address&gt;岡山県/岡山市/北区/桑田町&lt;/address&gt;
&lt;longitude&gt;133.915543&lt;/longitude&gt;
&lt;latitude&gt;34.659115&lt;/latitude&gt;
&lt;iLvl&gt;5&lt;/iLvl&gt;
&lt;/candidate&gt;
&lt;/results&gt;
</v>
      </c>
      <c r="F496" cm="1">
        <f t="array" ref="F496">INDEX(_xlfn.FILTERXML(E496,"//latitude"),1)</f>
        <v>34.659115</v>
      </c>
      <c r="G496" cm="1">
        <f t="array" ref="G496">INDEX(_xlfn.FILTERXML(E496,"//longitude"),1)</f>
        <v>133.91554300000001</v>
      </c>
      <c r="H496">
        <v>34.659115</v>
      </c>
      <c r="I496">
        <v>133.91554300000001</v>
      </c>
    </row>
    <row r="497" spans="1:9" x14ac:dyDescent="0.4">
      <c r="A497" t="s">
        <v>9</v>
      </c>
      <c r="B497" t="s">
        <v>1034</v>
      </c>
      <c r="C497" t="str">
        <f t="shared" si="37"/>
        <v>東京都目黒区</v>
      </c>
      <c r="D497" s="2" t="str">
        <f t="shared" si="35"/>
        <v>http://geocode.csis.u-tokyo.ac.jp/cgi-bin/simple_geocode.cgi?charset=UTF8&amp;addr=%E6%9D%B1%E4%BA%AC%E9%83%BD%E7%9B%AE%E9%BB%92%E5%8C%BA</v>
      </c>
      <c r="E497" t="str">
        <f t="shared" si="36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497" cm="1">
        <f t="array" ref="F497">INDEX(_xlfn.FILTERXML(E497,"//latitude"),1)</f>
        <v>35.641410999999998</v>
      </c>
      <c r="G497" cm="1">
        <f t="array" ref="G497">INDEX(_xlfn.FILTERXML(E497,"//longitude"),1)</f>
        <v>139.69811999999999</v>
      </c>
      <c r="H497">
        <v>35.641410999999998</v>
      </c>
      <c r="I497">
        <v>139.69811999999999</v>
      </c>
    </row>
    <row r="498" spans="1:9" x14ac:dyDescent="0.4">
      <c r="A498" t="s">
        <v>16</v>
      </c>
      <c r="B498" t="s">
        <v>1035</v>
      </c>
      <c r="C498" t="str">
        <f t="shared" si="37"/>
        <v>長野県長野市小島田町</v>
      </c>
      <c r="D498" s="2" t="str">
        <f t="shared" si="35"/>
        <v>http://geocode.csis.u-tokyo.ac.jp/cgi-bin/simple_geocode.cgi?charset=UTF8&amp;addr=%E9%95%B7%E9%87%8E%E7%9C%8C%E9%95%B7%E9%87%8E%E5%B8%82%E5%B0%8F%E5%B3%B6%E7%94%B0%E7%94%BA</v>
      </c>
      <c r="E498" t="str">
        <f t="shared" si="36"/>
        <v xml:space="preserve">&lt;?xml version="1.0" encoding="UTF-8" ?&gt;
&lt;results&gt;
&lt;query&gt;長野県長野市小島田町&lt;/query&gt;
&lt;geodetic&gt;wgs1984&lt;/geodetic&gt;
&lt;iConf&gt;5&lt;/iConf&gt;
&lt;converted&gt;長野県長野市小島田町&lt;/converted&gt;
&lt;candidate&gt;
&lt;address&gt;長野県/長野市/小島田町&lt;/address&gt;
&lt;longitude&gt;138.187958&lt;/longitude&gt;
&lt;latitude&gt;36.596783&lt;/latitude&gt;
&lt;iLvl&gt;5&lt;/iLvl&gt;
&lt;/candidate&gt;
&lt;/results&gt;
</v>
      </c>
      <c r="F498" cm="1">
        <f t="array" ref="F498">INDEX(_xlfn.FILTERXML(E498,"//latitude"),1)</f>
        <v>36.596783000000002</v>
      </c>
      <c r="G498" cm="1">
        <f t="array" ref="G498">INDEX(_xlfn.FILTERXML(E498,"//longitude"),1)</f>
        <v>138.18795800000001</v>
      </c>
      <c r="H498">
        <v>36.596783000000002</v>
      </c>
      <c r="I498">
        <v>138.18795800000001</v>
      </c>
    </row>
    <row r="499" spans="1:9" x14ac:dyDescent="0.4">
      <c r="A499" t="s">
        <v>37</v>
      </c>
      <c r="B499" t="s">
        <v>1036</v>
      </c>
      <c r="C499" t="str">
        <f t="shared" si="37"/>
        <v>三重県津市阿漕町津興</v>
      </c>
      <c r="D499" s="2" t="str">
        <f t="shared" si="35"/>
        <v>http://geocode.csis.u-tokyo.ac.jp/cgi-bin/simple_geocode.cgi?charset=UTF8&amp;addr=%E4%B8%89%E9%87%8D%E7%9C%8C%E6%B4%A5%E5%B8%82%E9%98%BF%E6%BC%95%E7%94%BA%E6%B4%A5%E8%88%88</v>
      </c>
      <c r="E499" t="str">
        <f t="shared" si="36"/>
        <v xml:space="preserve">&lt;?xml version="1.0" encoding="UTF-8" ?&gt;
&lt;results&gt;
&lt;query&gt;三重県津市阿漕町津興&lt;/query&gt;
&lt;geodetic&gt;wgs1984&lt;/geodetic&gt;
&lt;iConf&gt;5&lt;/iConf&gt;
&lt;converted&gt;三重県津市阿漕町津興&lt;/converted&gt;
&lt;candidate&gt;
&lt;address&gt;三重県/津市/阿漕町津興&lt;/address&gt;
&lt;longitude&gt;136.517227&lt;/longitude&gt;
&lt;latitude&gt;34.701290&lt;/latitude&gt;
&lt;iLvl&gt;5&lt;/iLvl&gt;
&lt;/candidate&gt;
&lt;/results&gt;
</v>
      </c>
      <c r="F499" cm="1">
        <f t="array" ref="F499">INDEX(_xlfn.FILTERXML(E499,"//latitude"),1)</f>
        <v>34.70129</v>
      </c>
      <c r="G499" cm="1">
        <f t="array" ref="G499">INDEX(_xlfn.FILTERXML(E499,"//longitude"),1)</f>
        <v>136.51722699999999</v>
      </c>
      <c r="H499">
        <v>34.70129</v>
      </c>
      <c r="I499">
        <v>136.51722699999999</v>
      </c>
    </row>
    <row r="500" spans="1:9" x14ac:dyDescent="0.4">
      <c r="A500" t="s">
        <v>13</v>
      </c>
      <c r="B500" t="s">
        <v>1037</v>
      </c>
      <c r="C500" t="str">
        <f t="shared" si="37"/>
        <v>埼玉県川越市東田町</v>
      </c>
      <c r="D500" s="2" t="str">
        <f t="shared" si="35"/>
        <v>http://geocode.csis.u-tokyo.ac.jp/cgi-bin/simple_geocode.cgi?charset=UTF8&amp;addr=%E5%9F%BC%E7%8E%89%E7%9C%8C%E5%B7%9D%E8%B6%8A%E5%B8%82%E6%9D%B1%E7%94%B0%E7%94%BA</v>
      </c>
      <c r="E500" t="str">
        <f t="shared" si="36"/>
        <v xml:space="preserve">&lt;?xml version="1.0" encoding="UTF-8" ?&gt;
&lt;results&gt;
&lt;query&gt;埼玉県川越市東田町&lt;/query&gt;
&lt;geodetic&gt;wgs1984&lt;/geodetic&gt;
&lt;iConf&gt;5&lt;/iConf&gt;
&lt;converted&gt;埼玉県川越市東田町&lt;/converted&gt;
&lt;candidate&gt;
&lt;address&gt;埼玉県/川越市/東田町&lt;/address&gt;
&lt;longitude&gt;139.477036&lt;/longitude&gt;
&lt;latitude&gt;35.909462&lt;/latitude&gt;
&lt;iLvl&gt;5&lt;/iLvl&gt;
&lt;/candidate&gt;
&lt;/results&gt;
</v>
      </c>
      <c r="F500" cm="1">
        <f t="array" ref="F500">INDEX(_xlfn.FILTERXML(E500,"//latitude"),1)</f>
        <v>35.909461999999998</v>
      </c>
      <c r="G500" cm="1">
        <f t="array" ref="G500">INDEX(_xlfn.FILTERXML(E500,"//longitude"),1)</f>
        <v>139.477036</v>
      </c>
      <c r="H500">
        <v>35.909461999999998</v>
      </c>
      <c r="I500">
        <v>139.477036</v>
      </c>
    </row>
    <row r="501" spans="1:9" x14ac:dyDescent="0.4">
      <c r="A501" t="s">
        <v>21</v>
      </c>
      <c r="B501" t="s">
        <v>1038</v>
      </c>
      <c r="C501" t="str">
        <f t="shared" si="37"/>
        <v>福岡県福岡市博多区那珂</v>
      </c>
      <c r="D501" s="2" t="str">
        <f t="shared" si="35"/>
        <v>http://geocode.csis.u-tokyo.ac.jp/cgi-bin/simple_geocode.cgi?charset=UTF8&amp;addr=%E7%A6%8F%E5%B2%A1%E7%9C%8C%E7%A6%8F%E5%B2%A1%E5%B8%82%E5%8D%9A%E5%A4%9A%E5%8C%BA%E9%82%A3%E7%8F%82</v>
      </c>
      <c r="E501" t="str">
        <f t="shared" si="36"/>
        <v xml:space="preserve">&lt;?xml version="1.0" encoding="UTF-8" ?&gt;
&lt;results&gt;
&lt;query&gt;福岡県福岡市博多区那珂&lt;/query&gt;
&lt;geodetic&gt;wgs1984&lt;/geodetic&gt;
&lt;iConf&gt;5&lt;/iConf&gt;
&lt;converted&gt;福岡県福岡市博多区那珂&lt;/converted&gt;
&lt;candidate&gt;
&lt;address&gt;福岡県/福岡市/博多区/那珂&lt;/address&gt;
&lt;longitude&gt;130.435745&lt;/longitude&gt;
&lt;latitude&gt;33.572243&lt;/latitude&gt;
&lt;iLvl&gt;5&lt;/iLvl&gt;
&lt;/candidate&gt;
&lt;/results&gt;
</v>
      </c>
      <c r="F501" cm="1">
        <f t="array" ref="F501">INDEX(_xlfn.FILTERXML(E501,"//latitude"),1)</f>
        <v>33.572243</v>
      </c>
      <c r="G501" cm="1">
        <f t="array" ref="G501">INDEX(_xlfn.FILTERXML(E501,"//longitude"),1)</f>
        <v>130.435745</v>
      </c>
      <c r="H501">
        <v>33.572243</v>
      </c>
      <c r="I501">
        <v>130.435745</v>
      </c>
    </row>
    <row r="502" spans="1:9" x14ac:dyDescent="0.4">
      <c r="A502" t="s">
        <v>12</v>
      </c>
      <c r="B502" t="s">
        <v>1039</v>
      </c>
      <c r="C502" t="str">
        <f t="shared" si="37"/>
        <v>奈良県奈良市南登美ケ丘</v>
      </c>
      <c r="D502" s="2" t="str">
        <f t="shared" si="35"/>
        <v>http://geocode.csis.u-tokyo.ac.jp/cgi-bin/simple_geocode.cgi?charset=UTF8&amp;addr=%E5%A5%88%E8%89%AF%E7%9C%8C%E5%A5%88%E8%89%AF%E5%B8%82%E5%8D%97%E7%99%BB%E7%BE%8E%E3%82%B1%E4%B8%98</v>
      </c>
      <c r="E502" t="str">
        <f t="shared" si="36"/>
        <v xml:space="preserve">&lt;?xml version="1.0" encoding="UTF-8" ?&gt;
&lt;results&gt;
&lt;query&gt;奈良県奈良市南登美ケ丘&lt;/query&gt;
&lt;geodetic&gt;wgs1984&lt;/geodetic&gt;
&lt;iConf&gt;5&lt;/iConf&gt;
&lt;converted&gt;奈良県奈良市南登美ケ丘&lt;/converted&gt;
&lt;candidate&gt;
&lt;address&gt;奈良県/奈良市/南登美ヶ丘&lt;/address&gt;
&lt;longitude&gt;135.745697&lt;/longitude&gt;
&lt;latitude&gt;34.705574&lt;/latitude&gt;
&lt;iLvl&gt;5&lt;/iLvl&gt;
&lt;/candidate&gt;
&lt;/results&gt;
</v>
      </c>
      <c r="F502" cm="1">
        <f t="array" ref="F502">INDEX(_xlfn.FILTERXML(E502,"//latitude"),1)</f>
        <v>34.705573999999999</v>
      </c>
      <c r="G502" cm="1">
        <f t="array" ref="G502">INDEX(_xlfn.FILTERXML(E502,"//longitude"),1)</f>
        <v>135.74569700000001</v>
      </c>
      <c r="H502">
        <v>34.705573999999999</v>
      </c>
      <c r="I502">
        <v>135.74569700000001</v>
      </c>
    </row>
    <row r="503" spans="1:9" x14ac:dyDescent="0.4">
      <c r="A503" t="s">
        <v>9</v>
      </c>
      <c r="B503" t="s">
        <v>1040</v>
      </c>
      <c r="C503" t="str">
        <f t="shared" si="37"/>
        <v>東京都小金井市本町</v>
      </c>
      <c r="D503" s="2" t="str">
        <f t="shared" si="35"/>
        <v>http://geocode.csis.u-tokyo.ac.jp/cgi-bin/simple_geocode.cgi?charset=UTF8&amp;addr=%E6%9D%B1%E4%BA%AC%E9%83%BD%E5%B0%8F%E9%87%91%E4%BA%95%E5%B8%82%E6%9C%AC%E7%94%BA</v>
      </c>
      <c r="E503" t="str">
        <f t="shared" si="36"/>
        <v xml:space="preserve">&lt;?xml version="1.0" encoding="UTF-8" ?&gt;
&lt;results&gt;
&lt;query&gt;東京都小金井市本町&lt;/query&gt;
&lt;geodetic&gt;wgs1984&lt;/geodetic&gt;
&lt;iConf&gt;5&lt;/iConf&gt;
&lt;converted&gt;東京都小金井市本町&lt;/converted&gt;
&lt;candidate&gt;
&lt;address&gt;東京都/小金井市/本町&lt;/address&gt;
&lt;longitude&gt;139.509109&lt;/longitude&gt;
&lt;latitude&gt;35.699242&lt;/latitude&gt;
&lt;iLvl&gt;5&lt;/iLvl&gt;
&lt;/candidate&gt;
&lt;/results&gt;
</v>
      </c>
      <c r="F503" cm="1">
        <f t="array" ref="F503">INDEX(_xlfn.FILTERXML(E503,"//latitude"),1)</f>
        <v>35.699241999999998</v>
      </c>
      <c r="G503" cm="1">
        <f t="array" ref="G503">INDEX(_xlfn.FILTERXML(E503,"//longitude"),1)</f>
        <v>139.509109</v>
      </c>
      <c r="H503">
        <v>35.699241999999998</v>
      </c>
      <c r="I503">
        <v>139.509109</v>
      </c>
    </row>
    <row r="504" spans="1:9" x14ac:dyDescent="0.4">
      <c r="A504" t="s">
        <v>23</v>
      </c>
      <c r="B504" t="s">
        <v>1041</v>
      </c>
      <c r="C504" t="str">
        <f t="shared" si="37"/>
        <v>宮城県柴田郡大河原町南桜町</v>
      </c>
      <c r="D504" s="2" t="str">
        <f t="shared" si="35"/>
        <v>http://geocode.csis.u-tokyo.ac.jp/cgi-bin/simple_geocode.cgi?charset=UTF8&amp;addr=%E5%AE%AE%E5%9F%8E%E7%9C%8C%E6%9F%B4%E7%94%B0%E9%83%A1%E5%A4%A7%E6%B2%B3%E5%8E%9F%E7%94%BA%E5%8D%97%E6%A1%9C%E7%94%BA</v>
      </c>
      <c r="E504" t="str">
        <f t="shared" si="36"/>
        <v xml:space="preserve">&lt;?xml version="1.0" encoding="UTF-8" ?&gt;
&lt;results&gt;
&lt;query&gt;宮城県柴田郡大河原町南桜町&lt;/query&gt;
&lt;geodetic&gt;wgs1984&lt;/geodetic&gt;
&lt;iConf&gt;5&lt;/iConf&gt;
&lt;converted&gt;宮城県柴田郡大河原町南桜町&lt;/converted&gt;
&lt;candidate&gt;
&lt;address&gt;宮城県/柴田郡/大河原町/南桜町&lt;/address&gt;
&lt;longitude&gt;140.743546&lt;/longitude&gt;
&lt;latitude&gt;38.058060&lt;/latitude&gt;
&lt;iLvl&gt;5&lt;/iLvl&gt;
&lt;/candidate&gt;
&lt;/results&gt;
</v>
      </c>
      <c r="F504" cm="1">
        <f t="array" ref="F504">INDEX(_xlfn.FILTERXML(E504,"//latitude"),1)</f>
        <v>38.058059999999998</v>
      </c>
      <c r="G504" cm="1">
        <f t="array" ref="G504">INDEX(_xlfn.FILTERXML(E504,"//longitude"),1)</f>
        <v>140.74354600000001</v>
      </c>
      <c r="H504">
        <v>38.058059999999998</v>
      </c>
      <c r="I504">
        <v>140.74354600000001</v>
      </c>
    </row>
    <row r="505" spans="1:9" x14ac:dyDescent="0.4">
      <c r="A505" t="s">
        <v>17</v>
      </c>
      <c r="B505" t="s">
        <v>1042</v>
      </c>
      <c r="C505" t="str">
        <f t="shared" si="37"/>
        <v>愛知県名古屋市東区</v>
      </c>
      <c r="D505" s="2" t="str">
        <f t="shared" si="35"/>
        <v>http://geocode.csis.u-tokyo.ac.jp/cgi-bin/simple_geocode.cgi?charset=UTF8&amp;addr=%E6%84%9B%E7%9F%A5%E7%9C%8C%E5%90%8D%E5%8F%A4%E5%B1%8B%E5%B8%82%E6%9D%B1%E5%8C%BA</v>
      </c>
      <c r="E505" t="str">
        <f t="shared" si="36"/>
        <v xml:space="preserve">&lt;?xml version="1.0" encoding="UTF-8" ?&gt;
&lt;results&gt;
&lt;query&gt;愛知県名古屋市東区&lt;/query&gt;
&lt;geodetic&gt;wgs1984&lt;/geodetic&gt;
&lt;iConf&gt;5&lt;/iConf&gt;
&lt;converted&gt;愛知県名古屋市東区&lt;/converted&gt;
&lt;candidate&gt;
&lt;address&gt;愛知県/名古屋市/東区&lt;/address&gt;
&lt;longitude&gt;136.926041&lt;/longitude&gt;
&lt;latitude&gt;35.179314&lt;/latitude&gt;
&lt;iLvl&gt;4&lt;/iLvl&gt;
&lt;/candidate&gt;
&lt;/results&gt;
</v>
      </c>
      <c r="F505" cm="1">
        <f t="array" ref="F505">INDEX(_xlfn.FILTERXML(E505,"//latitude"),1)</f>
        <v>35.179313999999998</v>
      </c>
      <c r="G505" cm="1">
        <f t="array" ref="G505">INDEX(_xlfn.FILTERXML(E505,"//longitude"),1)</f>
        <v>136.926041</v>
      </c>
      <c r="H505">
        <v>35.179313999999998</v>
      </c>
      <c r="I505">
        <v>136.926041</v>
      </c>
    </row>
    <row r="506" spans="1:9" x14ac:dyDescent="0.4">
      <c r="A506" t="s">
        <v>46</v>
      </c>
      <c r="B506" t="s">
        <v>256</v>
      </c>
      <c r="C506" t="str">
        <f t="shared" si="37"/>
        <v>山口県山口市小郡高砂町</v>
      </c>
      <c r="D506" s="2" t="str">
        <f t="shared" si="35"/>
        <v>http://geocode.csis.u-tokyo.ac.jp/cgi-bin/simple_geocode.cgi?charset=UTF8&amp;addr=%E5%B1%B1%E5%8F%A3%E7%9C%8C%E5%B1%B1%E5%8F%A3%E5%B8%82%E5%B0%8F%E9%83%A1%E9%AB%98%E7%A0%82%E7%94%BA</v>
      </c>
      <c r="E506" t="str">
        <f t="shared" si="36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506" cm="1">
        <f t="array" ref="F506">INDEX(_xlfn.FILTERXML(E506,"//latitude"),1)</f>
        <v>34.092606000000004</v>
      </c>
      <c r="G506" cm="1">
        <f t="array" ref="G506">INDEX(_xlfn.FILTERXML(E506,"//longitude"),1)</f>
        <v>131.400284</v>
      </c>
      <c r="H506">
        <v>34.092606000000004</v>
      </c>
      <c r="I506">
        <v>131.400284</v>
      </c>
    </row>
    <row r="507" spans="1:9" x14ac:dyDescent="0.4">
      <c r="A507" t="s">
        <v>34</v>
      </c>
      <c r="B507" t="s">
        <v>1043</v>
      </c>
      <c r="C507" t="str">
        <f t="shared" si="37"/>
        <v>岐阜県岐阜市蔵前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http://geocode.csis.u-tokyo.ac.jp/cgi-bin/simple_geocode.cgi?charset=UTF8&amp;addr=%E5%B2%90%E9%98%9C%E7%9C%8C%E5%B2%90%E9%98%9C%E5%B8%82%E8%94%B5%E5%89%8D</v>
      </c>
      <c r="E507" t="str">
        <f t="shared" ref="E507:E570" si="39" xml:space="preserve"> _xlfn.WEBSERVICE(D507)</f>
        <v xml:space="preserve">&lt;?xml version="1.0" encoding="UTF-8" ?&gt;
&lt;results&gt;
&lt;query&gt;岐阜県岐阜市蔵前&lt;/query&gt;
&lt;geodetic&gt;wgs1984&lt;/geodetic&gt;
&lt;iConf&gt;5&lt;/iConf&gt;
&lt;converted&gt;岐阜県岐阜市蔵前&lt;/converted&gt;
&lt;candidate&gt;
&lt;address&gt;岐阜県/岐阜市/蔵前&lt;/address&gt;
&lt;longitude&gt;136.804611&lt;/longitude&gt;
&lt;latitude&gt;35.402534&lt;/latitude&gt;
&lt;iLvl&gt;5&lt;/iLvl&gt;
&lt;/candidate&gt;
&lt;/results&gt;
</v>
      </c>
      <c r="F507" cm="1">
        <f t="array" ref="F507">INDEX(_xlfn.FILTERXML(E507,"//latitude"),1)</f>
        <v>35.402534000000003</v>
      </c>
      <c r="G507" cm="1">
        <f t="array" ref="G507">INDEX(_xlfn.FILTERXML(E507,"//longitude"),1)</f>
        <v>136.80461099999999</v>
      </c>
      <c r="H507">
        <v>35.402534000000003</v>
      </c>
      <c r="I507">
        <v>136.80461099999999</v>
      </c>
    </row>
    <row r="508" spans="1:9" x14ac:dyDescent="0.4">
      <c r="A508" t="s">
        <v>11</v>
      </c>
      <c r="B508" t="s">
        <v>1044</v>
      </c>
      <c r="C508" t="str">
        <f t="shared" si="37"/>
        <v>大阪府大阪市東淀川区相川</v>
      </c>
      <c r="D508" s="2" t="str">
        <f t="shared" si="38"/>
        <v>http://geocode.csis.u-tokyo.ac.jp/cgi-bin/simple_geocode.cgi?charset=UTF8&amp;addr=%E5%A4%A7%E9%98%AA%E5%BA%9C%E5%A4%A7%E9%98%AA%E5%B8%82%E6%9D%B1%E6%B7%80%E5%B7%9D%E5%8C%BA%E7%9B%B8%E5%B7%9D</v>
      </c>
      <c r="E508" t="str">
        <f t="shared" si="39"/>
        <v xml:space="preserve">&lt;?xml version="1.0" encoding="UTF-8" ?&gt;
&lt;results&gt;
&lt;query&gt;大阪府大阪市東淀川区相川&lt;/query&gt;
&lt;geodetic&gt;wgs1984&lt;/geodetic&gt;
&lt;iConf&gt;5&lt;/iConf&gt;
&lt;converted&gt;大阪府大阪市東淀川区相川&lt;/converted&gt;
&lt;candidate&gt;
&lt;address&gt;大阪府/大阪市/東淀川区/相川&lt;/address&gt;
&lt;longitude&gt;135.532181&lt;/longitude&gt;
&lt;latitude&gt;34.756897&lt;/latitude&gt;
&lt;iLvl&gt;5&lt;/iLvl&gt;
&lt;/candidate&gt;
&lt;/results&gt;
</v>
      </c>
      <c r="F508" cm="1">
        <f t="array" ref="F508">INDEX(_xlfn.FILTERXML(E508,"//latitude"),1)</f>
        <v>34.756897000000002</v>
      </c>
      <c r="G508" cm="1">
        <f t="array" ref="G508">INDEX(_xlfn.FILTERXML(E508,"//longitude"),1)</f>
        <v>135.53218100000001</v>
      </c>
      <c r="H508">
        <v>34.756897000000002</v>
      </c>
      <c r="I508">
        <v>135.53218100000001</v>
      </c>
    </row>
    <row r="509" spans="1:9" x14ac:dyDescent="0.4">
      <c r="A509" t="s">
        <v>11</v>
      </c>
      <c r="B509" t="s">
        <v>766</v>
      </c>
      <c r="C509" t="str">
        <f t="shared" si="37"/>
        <v>大阪府泉南郡熊取町つばさが丘西</v>
      </c>
      <c r="D509" s="2" t="str">
        <f t="shared" si="38"/>
        <v>http://geocode.csis.u-tokyo.ac.jp/cgi-bin/simple_geocode.cgi?charset=UTF8&amp;addr=%E5%A4%A7%E9%98%AA%E5%BA%9C%E6%B3%89%E5%8D%97%E9%83%A1%E7%86%8A%E5%8F%96%E7%94%BA%E3%81%A4%E3%81%B0%E3%81%95%E3%81%8C%E4%B8%98%E8%A5%BF</v>
      </c>
      <c r="E509" t="str">
        <f t="shared" si="39"/>
        <v xml:space="preserve">&lt;?xml version="1.0" encoding="UTF-8" ?&gt;
&lt;results&gt;
&lt;query&gt;大阪府泉南郡熊取町つばさが丘西&lt;/query&gt;
&lt;geodetic&gt;wgs1984&lt;/geodetic&gt;
&lt;iConf&gt;5&lt;/iConf&gt;
&lt;converted&gt;大阪府泉南郡熊取町つばさが丘西&lt;/converted&gt;
&lt;candidate&gt;
&lt;address&gt;大阪府/泉南郡/熊取町/つばさが丘西&lt;/address&gt;
&lt;longitude&gt;135.367981&lt;/longitude&gt;
&lt;latitude&gt;34.383347&lt;/latitude&gt;
&lt;iLvl&gt;5&lt;/iLvl&gt;
&lt;/candidate&gt;
&lt;/results&gt;
</v>
      </c>
      <c r="F509" cm="1">
        <f t="array" ref="F509">INDEX(_xlfn.FILTERXML(E509,"//latitude"),1)</f>
        <v>34.383347000000001</v>
      </c>
      <c r="G509" cm="1">
        <f t="array" ref="G509">INDEX(_xlfn.FILTERXML(E509,"//longitude"),1)</f>
        <v>135.36798099999999</v>
      </c>
      <c r="H509">
        <v>34.383347000000001</v>
      </c>
      <c r="I509">
        <v>135.36798099999999</v>
      </c>
    </row>
    <row r="510" spans="1:9" x14ac:dyDescent="0.4">
      <c r="A510" t="s">
        <v>10</v>
      </c>
      <c r="B510" t="s">
        <v>1045</v>
      </c>
      <c r="C510" t="str">
        <f t="shared" si="37"/>
        <v>神奈川県高津区蟹ケ谷</v>
      </c>
      <c r="D510" s="2" t="str">
        <f t="shared" si="38"/>
        <v>http://geocode.csis.u-tokyo.ac.jp/cgi-bin/simple_geocode.cgi?charset=UTF8&amp;addr=%E7%A5%9E%E5%A5%88%E5%B7%9D%E7%9C%8C%E9%AB%98%E6%B4%A5%E5%8C%BA%E8%9F%B9%E3%82%B1%E8%B0%B7</v>
      </c>
      <c r="E510" t="str">
        <f t="shared" si="39"/>
        <v xml:space="preserve">&lt;?xml version="1.0" encoding="UTF-8" ?&gt;
&lt;results&gt;
&lt;query&gt;神奈川県高津区蟹ケ谷&lt;/query&gt;
&lt;geodetic&gt;wgs1984&lt;/geodetic&gt;
&lt;iConf&gt;5&lt;/iConf&gt;
&lt;converted&gt;神奈川県高津区&lt;/converted&gt;
&lt;candidate&gt;
&lt;address&gt;神奈川県/高津区&lt;/address&gt;
&lt;longitude&gt;139.593445&lt;/longitude&gt;
&lt;latitude&gt;35.584751&lt;/latitude&gt;
&lt;iLvl&gt;0&lt;/iLvl&gt;
&lt;/candidate&gt;
&lt;/results&gt;
</v>
      </c>
      <c r="F510" cm="1">
        <f t="array" ref="F510">INDEX(_xlfn.FILTERXML(E510,"//latitude"),1)</f>
        <v>35.584750999999997</v>
      </c>
      <c r="G510" cm="1">
        <f t="array" ref="G510">INDEX(_xlfn.FILTERXML(E510,"//longitude"),1)</f>
        <v>139.593445</v>
      </c>
      <c r="H510">
        <v>35.584750999999997</v>
      </c>
      <c r="I510">
        <v>139.593445</v>
      </c>
    </row>
    <row r="511" spans="1:9" x14ac:dyDescent="0.4">
      <c r="A511" t="s">
        <v>9</v>
      </c>
      <c r="B511" t="s">
        <v>1046</v>
      </c>
      <c r="C511" t="str">
        <f t="shared" si="37"/>
        <v>東京都町田市小山ヶ丘</v>
      </c>
      <c r="D511" s="2" t="str">
        <f t="shared" si="38"/>
        <v>http://geocode.csis.u-tokyo.ac.jp/cgi-bin/simple_geocode.cgi?charset=UTF8&amp;addr=%E6%9D%B1%E4%BA%AC%E9%83%BD%E7%94%BA%E7%94%B0%E5%B8%82%E5%B0%8F%E5%B1%B1%E3%83%B6%E4%B8%98</v>
      </c>
      <c r="E511" t="str">
        <f t="shared" si="39"/>
        <v xml:space="preserve">&lt;?xml version="1.0" encoding="UTF-8" ?&gt;
&lt;results&gt;
&lt;query&gt;東京都町田市小山ヶ丘&lt;/query&gt;
&lt;geodetic&gt;wgs1984&lt;/geodetic&gt;
&lt;iConf&gt;5&lt;/iConf&gt;
&lt;converted&gt;東京都町田市小山ヶ丘&lt;/converted&gt;
&lt;candidate&gt;
&lt;address&gt;東京都/町田市/小山ヶ丘&lt;/address&gt;
&lt;longitude&gt;139.384827&lt;/longitude&gt;
&lt;latitude&gt;35.597061&lt;/latitude&gt;
&lt;iLvl&gt;5&lt;/iLvl&gt;
&lt;/candidate&gt;
&lt;/results&gt;
</v>
      </c>
      <c r="F511" cm="1">
        <f t="array" ref="F511">INDEX(_xlfn.FILTERXML(E511,"//latitude"),1)</f>
        <v>35.597060999999997</v>
      </c>
      <c r="G511" cm="1">
        <f t="array" ref="G511">INDEX(_xlfn.FILTERXML(E511,"//longitude"),1)</f>
        <v>139.384827</v>
      </c>
      <c r="H511">
        <v>35.597060999999997</v>
      </c>
      <c r="I511">
        <v>139.384827</v>
      </c>
    </row>
    <row r="512" spans="1:9" x14ac:dyDescent="0.4">
      <c r="A512" t="s">
        <v>10</v>
      </c>
      <c r="B512" t="s">
        <v>1047</v>
      </c>
      <c r="C512" t="str">
        <f t="shared" si="37"/>
        <v>神奈川県藤沢市</v>
      </c>
      <c r="D512" s="2" t="str">
        <f t="shared" si="38"/>
        <v>http://geocode.csis.u-tokyo.ac.jp/cgi-bin/simple_geocode.cgi?charset=UTF8&amp;addr=%E7%A5%9E%E5%A5%88%E5%B7%9D%E7%9C%8C%E8%97%A4%E6%B2%A2%E5%B8%82</v>
      </c>
      <c r="E512" t="str">
        <f t="shared" si="39"/>
        <v xml:space="preserve">&lt;?xml version="1.0" encoding="UTF-8" ?&gt;
&lt;results&gt;
&lt;query&gt;神奈川県藤沢市&lt;/query&gt;
&lt;geodetic&gt;wgs1984&lt;/geodetic&gt;
&lt;iConf&gt;5&lt;/iConf&gt;
&lt;converted&gt;神奈川県藤沢市&lt;/converted&gt;
&lt;candidate&gt;
&lt;address&gt;神奈川県/藤沢市&lt;/address&gt;
&lt;longitude&gt;139.491119&lt;/longitude&gt;
&lt;latitude&gt;35.338940&lt;/latitude&gt;
&lt;iLvl&gt;3&lt;/iLvl&gt;
&lt;/candidate&gt;
&lt;/results&gt;
</v>
      </c>
      <c r="F512" cm="1">
        <f t="array" ref="F512">INDEX(_xlfn.FILTERXML(E512,"//latitude"),1)</f>
        <v>35.338940000000001</v>
      </c>
      <c r="G512" cm="1">
        <f t="array" ref="G512">INDEX(_xlfn.FILTERXML(E512,"//longitude"),1)</f>
        <v>139.491119</v>
      </c>
      <c r="H512">
        <v>35.338940000000001</v>
      </c>
      <c r="I512">
        <v>139.491119</v>
      </c>
    </row>
    <row r="513" spans="1:9" x14ac:dyDescent="0.4">
      <c r="A513" t="s">
        <v>13</v>
      </c>
      <c r="B513" t="s">
        <v>1048</v>
      </c>
      <c r="C513" t="str">
        <f t="shared" si="37"/>
        <v>埼玉県飯能市</v>
      </c>
      <c r="D513" s="2" t="str">
        <f t="shared" si="38"/>
        <v>http://geocode.csis.u-tokyo.ac.jp/cgi-bin/simple_geocode.cgi?charset=UTF8&amp;addr=%E5%9F%BC%E7%8E%89%E7%9C%8C%E9%A3%AF%E8%83%BD%E5%B8%82</v>
      </c>
      <c r="E513" t="str">
        <f t="shared" si="39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513" cm="1">
        <f t="array" ref="F513">INDEX(_xlfn.FILTERXML(E513,"//latitude"),1)</f>
        <v>35.855758999999999</v>
      </c>
      <c r="G513" cm="1">
        <f t="array" ref="G513">INDEX(_xlfn.FILTERXML(E513,"//longitude"),1)</f>
        <v>139.327789</v>
      </c>
      <c r="H513">
        <v>35.855758999999999</v>
      </c>
      <c r="I513">
        <v>139.327789</v>
      </c>
    </row>
    <row r="514" spans="1:9" x14ac:dyDescent="0.4">
      <c r="A514" t="s">
        <v>24</v>
      </c>
      <c r="B514" t="s">
        <v>1049</v>
      </c>
      <c r="C514" t="str">
        <f t="shared" si="37"/>
        <v>栃木県佐野市赤見町</v>
      </c>
      <c r="D514" s="2" t="str">
        <f t="shared" si="38"/>
        <v>http://geocode.csis.u-tokyo.ac.jp/cgi-bin/simple_geocode.cgi?charset=UTF8&amp;addr=%E6%A0%83%E6%9C%A8%E7%9C%8C%E4%BD%90%E9%87%8E%E5%B8%82%E8%B5%A4%E8%A6%8B%E7%94%BA</v>
      </c>
      <c r="E514" t="str">
        <f t="shared" si="39"/>
        <v xml:space="preserve">&lt;?xml version="1.0" encoding="UTF-8" ?&gt;
&lt;results&gt;
&lt;query&gt;栃木県佐野市赤見町&lt;/query&gt;
&lt;geodetic&gt;wgs1984&lt;/geodetic&gt;
&lt;iConf&gt;5&lt;/iConf&gt;
&lt;converted&gt;栃木県佐野市赤見町&lt;/converted&gt;
&lt;candidate&gt;
&lt;address&gt;栃木県/佐野市/赤見町&lt;/address&gt;
&lt;longitude&gt;139.528793&lt;/longitude&gt;
&lt;latitude&gt;36.349895&lt;/latitude&gt;
&lt;iLvl&gt;5&lt;/iLvl&gt;
&lt;/candidate&gt;
&lt;/results&gt;
</v>
      </c>
      <c r="F514" cm="1">
        <f t="array" ref="F514">INDEX(_xlfn.FILTERXML(E514,"//latitude"),1)</f>
        <v>36.349894999999997</v>
      </c>
      <c r="G514" cm="1">
        <f t="array" ref="G514">INDEX(_xlfn.FILTERXML(E514,"//longitude"),1)</f>
        <v>139.52879300000001</v>
      </c>
      <c r="H514">
        <v>36.349894999999997</v>
      </c>
      <c r="I514">
        <v>139.52879300000001</v>
      </c>
    </row>
    <row r="515" spans="1:9" x14ac:dyDescent="0.4">
      <c r="A515" t="s">
        <v>113</v>
      </c>
      <c r="B515" t="s">
        <v>1050</v>
      </c>
      <c r="C515" t="str">
        <f t="shared" ref="C515:C516" si="40">+A515&amp;B515</f>
        <v>岡山県笠岡市吉浜</v>
      </c>
      <c r="D515" s="2" t="str">
        <f t="shared" si="38"/>
        <v>http://geocode.csis.u-tokyo.ac.jp/cgi-bin/simple_geocode.cgi?charset=UTF8&amp;addr=%E5%B2%A1%E5%B1%B1%E7%9C%8C%E7%AC%A0%E5%B2%A1%E5%B8%82%E5%90%89%E6%B5%9C</v>
      </c>
      <c r="E515" t="str">
        <f t="shared" si="39"/>
        <v xml:space="preserve">&lt;?xml version="1.0" encoding="UTF-8" ?&gt;
&lt;results&gt;
&lt;query&gt;岡山県笠岡市吉浜&lt;/query&gt;
&lt;geodetic&gt;wgs1984&lt;/geodetic&gt;
&lt;iConf&gt;5&lt;/iConf&gt;
&lt;converted&gt;岡山県笠岡市吉浜&lt;/converted&gt;
&lt;candidate&gt;
&lt;address&gt;岡山県/笠岡市/吉浜&lt;/address&gt;
&lt;longitude&gt;133.479385&lt;/longitude&gt;
&lt;latitude&gt;34.519665&lt;/latitude&gt;
&lt;iLvl&gt;5&lt;/iLvl&gt;
&lt;/candidate&gt;
&lt;/results&gt;
</v>
      </c>
      <c r="F515" cm="1">
        <f t="array" ref="F515">INDEX(_xlfn.FILTERXML(E515,"//latitude"),1)</f>
        <v>34.519665000000003</v>
      </c>
      <c r="G515" cm="1">
        <f t="array" ref="G515">INDEX(_xlfn.FILTERXML(E515,"//longitude"),1)</f>
        <v>133.47938500000001</v>
      </c>
      <c r="H515">
        <v>34.519665000000003</v>
      </c>
      <c r="I515">
        <v>133.47938500000001</v>
      </c>
    </row>
    <row r="516" spans="1:9" x14ac:dyDescent="0.4">
      <c r="A516" t="s">
        <v>46</v>
      </c>
      <c r="B516" t="s">
        <v>1051</v>
      </c>
      <c r="C516" t="str">
        <f t="shared" si="40"/>
        <v>山口県下関市菊川町上田部</v>
      </c>
      <c r="D516" s="2" t="str">
        <f t="shared" si="38"/>
        <v>http://geocode.csis.u-tokyo.ac.jp/cgi-bin/simple_geocode.cgi?charset=UTF8&amp;addr=%E5%B1%B1%E5%8F%A3%E7%9C%8C%E4%B8%8B%E9%96%A2%E5%B8%82%E8%8F%8A%E5%B7%9D%E7%94%BA%E4%B8%8A%E7%94%B0%E9%83%A8</v>
      </c>
      <c r="E516" t="str">
        <f t="shared" si="39"/>
        <v xml:space="preserve">&lt;?xml version="1.0" encoding="UTF-8" ?&gt;
&lt;results&gt;
&lt;query&gt;山口県下関市菊川町上田部&lt;/query&gt;
&lt;geodetic&gt;wgs1984&lt;/geodetic&gt;
&lt;iConf&gt;5&lt;/iConf&gt;
&lt;converted&gt;山口県下関市菊川町上田部&lt;/converted&gt;
&lt;candidate&gt;
&lt;address&gt;山口県/下関市/菊川町/上田部&lt;/address&gt;
&lt;longitude&gt;131.023621&lt;/longitude&gt;
&lt;latitude&gt;34.102440&lt;/latitude&gt;
&lt;iLvl&gt;6&lt;/iLvl&gt;
&lt;/candidate&gt;
&lt;/results&gt;
</v>
      </c>
      <c r="F516" cm="1">
        <f t="array" ref="F516">INDEX(_xlfn.FILTERXML(E516,"//latitude"),1)</f>
        <v>34.102440000000001</v>
      </c>
      <c r="G516" cm="1">
        <f t="array" ref="G516">INDEX(_xlfn.FILTERXML(E516,"//longitude"),1)</f>
        <v>131.02362099999999</v>
      </c>
      <c r="H516">
        <v>34.102440000000001</v>
      </c>
      <c r="I516">
        <v>131.02362099999999</v>
      </c>
    </row>
    <row r="517" spans="1:9" x14ac:dyDescent="0.4">
      <c r="A517" t="s">
        <v>34</v>
      </c>
      <c r="B517" t="s">
        <v>1052</v>
      </c>
      <c r="C517" t="str">
        <f t="shared" ref="C517:C578" si="41">+A517&amp;B517</f>
        <v>岐阜県可児市若葉台</v>
      </c>
      <c r="D517" s="2" t="str">
        <f t="shared" si="38"/>
        <v>http://geocode.csis.u-tokyo.ac.jp/cgi-bin/simple_geocode.cgi?charset=UTF8&amp;addr=%E5%B2%90%E9%98%9C%E7%9C%8C%E5%8F%AF%E5%85%90%E5%B8%82%E8%8B%A5%E8%91%89%E5%8F%B0</v>
      </c>
      <c r="E517" t="str">
        <f t="shared" si="39"/>
        <v xml:space="preserve">&lt;?xml version="1.0" encoding="UTF-8" ?&gt;
&lt;results&gt;
&lt;query&gt;岐阜県可児市若葉台&lt;/query&gt;
&lt;geodetic&gt;wgs1984&lt;/geodetic&gt;
&lt;iConf&gt;5&lt;/iConf&gt;
&lt;converted&gt;岐阜県可児市若葉台&lt;/converted&gt;
&lt;candidate&gt;
&lt;address&gt;岐阜県/可児市/若葉台&lt;/address&gt;
&lt;longitude&gt;137.014526&lt;/longitude&gt;
&lt;latitude&gt;35.402138&lt;/latitude&gt;
&lt;iLvl&gt;5&lt;/iLvl&gt;
&lt;/candidate&gt;
&lt;/results&gt;
</v>
      </c>
      <c r="F517" cm="1">
        <f t="array" ref="F517">INDEX(_xlfn.FILTERXML(E517,"//latitude"),1)</f>
        <v>35.402138000000001</v>
      </c>
      <c r="G517" cm="1">
        <f t="array" ref="G517">INDEX(_xlfn.FILTERXML(E517,"//longitude"),1)</f>
        <v>137.01452599999999</v>
      </c>
      <c r="H517">
        <v>35.402138000000001</v>
      </c>
      <c r="I517">
        <v>137.01452599999999</v>
      </c>
    </row>
    <row r="518" spans="1:9" x14ac:dyDescent="0.4">
      <c r="A518" t="s">
        <v>25</v>
      </c>
      <c r="B518" t="s">
        <v>1053</v>
      </c>
      <c r="C518" t="str">
        <f t="shared" si="41"/>
        <v>香川県高松市東ハゼ町</v>
      </c>
      <c r="D518" s="2" t="str">
        <f t="shared" si="38"/>
        <v>http://geocode.csis.u-tokyo.ac.jp/cgi-bin/simple_geocode.cgi?charset=UTF8&amp;addr=%E9%A6%99%E5%B7%9D%E7%9C%8C%E9%AB%98%E6%9D%BE%E5%B8%82%E6%9D%B1%E3%83%8F%E3%82%BC%E7%94%BA</v>
      </c>
      <c r="E518" t="str">
        <f t="shared" si="39"/>
        <v xml:space="preserve">&lt;?xml version="1.0" encoding="UTF-8" ?&gt;
&lt;results&gt;
&lt;query&gt;香川県高松市東ハゼ町&lt;/query&gt;
&lt;geodetic&gt;wgs1984&lt;/geodetic&gt;
&lt;iConf&gt;5&lt;/iConf&gt;
&lt;converted&gt;香川県高松市東ハゼ町&lt;/converted&gt;
&lt;candidate&gt;
&lt;address&gt;香川県/高松市/東ハゼ町&lt;/address&gt;
&lt;longitude&gt;134.040955&lt;/longitude&gt;
&lt;latitude&gt;34.320431&lt;/latitude&gt;
&lt;iLvl&gt;5&lt;/iLvl&gt;
&lt;/candidate&gt;
&lt;/results&gt;
</v>
      </c>
      <c r="F518" cm="1">
        <f t="array" ref="F518">INDEX(_xlfn.FILTERXML(E518,"//latitude"),1)</f>
        <v>34.320430999999999</v>
      </c>
      <c r="G518" cm="1">
        <f t="array" ref="G518">INDEX(_xlfn.FILTERXML(E518,"//longitude"),1)</f>
        <v>134.040955</v>
      </c>
      <c r="H518">
        <v>34.320430999999999</v>
      </c>
      <c r="I518">
        <v>134.040955</v>
      </c>
    </row>
    <row r="519" spans="1:9" x14ac:dyDescent="0.4">
      <c r="A519" t="s">
        <v>29</v>
      </c>
      <c r="B519" t="s">
        <v>519</v>
      </c>
      <c r="C519" t="str">
        <f t="shared" si="41"/>
        <v>静岡県可児市</v>
      </c>
      <c r="D519" s="2" t="str">
        <f t="shared" si="38"/>
        <v>http://geocode.csis.u-tokyo.ac.jp/cgi-bin/simple_geocode.cgi?charset=UTF8&amp;addr=%E9%9D%99%E5%B2%A1%E7%9C%8C%E5%8F%AF%E5%85%90%E5%B8%82</v>
      </c>
      <c r="E519" t="str">
        <f t="shared" si="39"/>
        <v xml:space="preserve">&lt;?xml version="1.0" encoding="UTF-8" ?&gt;
&lt;results&gt;
&lt;query&gt;静岡県可児市&lt;/query&gt;
&lt;geodetic&gt;wgs1984&lt;/geodetic&gt;
&lt;iConf&gt;3&lt;/iConf&gt;
&lt;converted&gt;静岡県&lt;/converted&gt;
&lt;candidate&gt;
&lt;address&gt;静岡県&lt;/address&gt;
&lt;longitude&gt;138.382385&lt;/longitude&gt;
&lt;latitude&gt;34.975471&lt;/latitude&gt;
&lt;iLvl&gt;1&lt;/iLvl&gt;
&lt;/candidate&gt;
&lt;/results&gt;
</v>
      </c>
      <c r="F519" cm="1">
        <f t="array" ref="F519">INDEX(_xlfn.FILTERXML(E519,"//latitude"),1)</f>
        <v>34.975470999999999</v>
      </c>
      <c r="G519" cm="1">
        <f t="array" ref="G519">INDEX(_xlfn.FILTERXML(E519,"//longitude"),1)</f>
        <v>138.382385</v>
      </c>
      <c r="H519">
        <v>34.975470999999999</v>
      </c>
      <c r="I519">
        <v>138.382385</v>
      </c>
    </row>
    <row r="520" spans="1:9" x14ac:dyDescent="0.4">
      <c r="A520" t="s">
        <v>12</v>
      </c>
      <c r="B520" t="s">
        <v>1054</v>
      </c>
      <c r="C520" t="str">
        <f t="shared" si="41"/>
        <v>奈良県小明町</v>
      </c>
      <c r="D520" s="2" t="str">
        <f t="shared" si="38"/>
        <v>http://geocode.csis.u-tokyo.ac.jp/cgi-bin/simple_geocode.cgi?charset=UTF8&amp;addr=%E5%A5%88%E8%89%AF%E7%9C%8C%E5%B0%8F%E6%98%8E%E7%94%BA</v>
      </c>
      <c r="E520" t="str">
        <f t="shared" si="39"/>
        <v xml:space="preserve">&lt;?xml version="1.0" encoding="UTF-8" ?&gt;
&lt;results&gt;
&lt;query&gt;奈良県小明町&lt;/query&gt;
&lt;geodetic&gt;wgs1984&lt;/geodetic&gt;
&lt;iConf&gt;3&lt;/iConf&gt;
&lt;converted&gt;奈良県&lt;/converted&gt;
&lt;candidate&gt;
&lt;address&gt;奈良県&lt;/address&gt;
&lt;longitude&gt;135.804993&lt;/longitude&gt;
&lt;latitude&gt;34.685116&lt;/latitude&gt;
&lt;iLvl&gt;1&lt;/iLvl&gt;
&lt;/candidate&gt;
&lt;/results&gt;
</v>
      </c>
      <c r="F520" cm="1">
        <f t="array" ref="F520">INDEX(_xlfn.FILTERXML(E520,"//latitude"),1)</f>
        <v>34.685116000000001</v>
      </c>
      <c r="G520" cm="1">
        <f t="array" ref="G520">INDEX(_xlfn.FILTERXML(E520,"//longitude"),1)</f>
        <v>135.804993</v>
      </c>
      <c r="H520">
        <v>34.685116000000001</v>
      </c>
      <c r="I520">
        <v>135.804993</v>
      </c>
    </row>
    <row r="521" spans="1:9" x14ac:dyDescent="0.4">
      <c r="A521" t="s">
        <v>18</v>
      </c>
      <c r="B521" t="s">
        <v>1055</v>
      </c>
      <c r="C521" t="str">
        <f t="shared" si="41"/>
        <v>千葉県富津市佐貫</v>
      </c>
      <c r="D521" s="2" t="str">
        <f t="shared" si="38"/>
        <v>http://geocode.csis.u-tokyo.ac.jp/cgi-bin/simple_geocode.cgi?charset=UTF8&amp;addr=%E5%8D%83%E8%91%89%E7%9C%8C%E5%AF%8C%E6%B4%A5%E5%B8%82%E4%BD%90%E8%B2%AB</v>
      </c>
      <c r="E521" t="str">
        <f t="shared" si="39"/>
        <v xml:space="preserve">&lt;?xml version="1.0" encoding="UTF-8" ?&gt;
&lt;results&gt;
&lt;query&gt;千葉県富津市佐貫&lt;/query&gt;
&lt;geodetic&gt;wgs1984&lt;/geodetic&gt;
&lt;iConf&gt;5&lt;/iConf&gt;
&lt;converted&gt;千葉県富津市佐貫&lt;/converted&gt;
&lt;candidate&gt;
&lt;address&gt;千葉県/富津市/佐貫&lt;/address&gt;
&lt;longitude&gt;139.897186&lt;/longitude&gt;
&lt;latitude&gt;35.264503&lt;/latitude&gt;
&lt;iLvl&gt;5&lt;/iLvl&gt;
&lt;/candidate&gt;
&lt;/results&gt;
</v>
      </c>
      <c r="F521" cm="1">
        <f t="array" ref="F521">INDEX(_xlfn.FILTERXML(E521,"//latitude"),1)</f>
        <v>35.264502999999998</v>
      </c>
      <c r="G521" cm="1">
        <f t="array" ref="G521">INDEX(_xlfn.FILTERXML(E521,"//longitude"),1)</f>
        <v>139.897186</v>
      </c>
      <c r="H521">
        <v>35.264502999999998</v>
      </c>
      <c r="I521">
        <v>139.897186</v>
      </c>
    </row>
    <row r="522" spans="1:9" x14ac:dyDescent="0.4">
      <c r="A522" t="s">
        <v>37</v>
      </c>
      <c r="B522" t="s">
        <v>1056</v>
      </c>
      <c r="C522" t="str">
        <f t="shared" si="41"/>
        <v>三重県北牟婁郡紀北町海野</v>
      </c>
      <c r="D522" s="2" t="str">
        <f t="shared" si="38"/>
        <v>http://geocode.csis.u-tokyo.ac.jp/cgi-bin/simple_geocode.cgi?charset=UTF8&amp;addr=%E4%B8%89%E9%87%8D%E7%9C%8C%E5%8C%97%E7%89%9F%E5%A9%81%E9%83%A1%E7%B4%80%E5%8C%97%E7%94%BA%E6%B5%B7%E9%87%8E</v>
      </c>
      <c r="E522" t="str">
        <f t="shared" si="39"/>
        <v xml:space="preserve">&lt;?xml version="1.0" encoding="UTF-8" ?&gt;
&lt;results&gt;
&lt;query&gt;三重県北牟婁郡紀北町海野&lt;/query&gt;
&lt;geodetic&gt;wgs1984&lt;/geodetic&gt;
&lt;iConf&gt;5&lt;/iConf&gt;
&lt;converted&gt;三重県北牟婁郡紀北町海野&lt;/converted&gt;
&lt;candidate&gt;
&lt;address&gt;三重県/北牟婁郡/紀北町/海野&lt;/address&gt;
&lt;longitude&gt;136.320389&lt;/longitude&gt;
&lt;latitude&gt;34.187405&lt;/latitude&gt;
&lt;iLvl&gt;5&lt;/iLvl&gt;
&lt;/candidate&gt;
&lt;/results&gt;
</v>
      </c>
      <c r="F522" cm="1">
        <f t="array" ref="F522">INDEX(_xlfn.FILTERXML(E522,"//latitude"),1)</f>
        <v>34.187404999999998</v>
      </c>
      <c r="G522" cm="1">
        <f t="array" ref="G522">INDEX(_xlfn.FILTERXML(E522,"//longitude"),1)</f>
        <v>136.32038900000001</v>
      </c>
      <c r="H522">
        <v>34.187404999999998</v>
      </c>
      <c r="I522">
        <v>136.32038900000001</v>
      </c>
    </row>
    <row r="523" spans="1:9" x14ac:dyDescent="0.4">
      <c r="A523" t="s">
        <v>34</v>
      </c>
      <c r="B523" t="s">
        <v>1057</v>
      </c>
      <c r="C523" t="str">
        <f t="shared" si="41"/>
        <v>岐阜県大垣市 安井町</v>
      </c>
      <c r="D523" s="2" t="str">
        <f t="shared" si="38"/>
        <v>http://geocode.csis.u-tokyo.ac.jp/cgi-bin/simple_geocode.cgi?charset=UTF8&amp;addr=%E5%B2%90%E9%98%9C%E7%9C%8C%E5%A4%A7%E5%9E%A3%E5%B8%82%20%E5%AE%89%E4%BA%95%E7%94%BA</v>
      </c>
      <c r="E523" t="str">
        <f t="shared" si="39"/>
        <v xml:space="preserve">&lt;?xml version="1.0" encoding="UTF-8" ?&gt;
&lt;results&gt;
&lt;query&gt;岐阜県大垣市 安井町&lt;/query&gt;
&lt;geodetic&gt;wgs1984&lt;/geodetic&gt;
&lt;iConf&gt;5&lt;/iConf&gt;
&lt;converted&gt;岐阜県垣市 安井町&lt;/converted&gt;
&lt;candidate&gt;
&lt;address&gt;岐阜県/大垣市/安井町&lt;/address&gt;
&lt;longitude&gt;136.628082&lt;/longitude&gt;
&lt;latitude&gt;35.355305&lt;/latitude&gt;
&lt;iLvl&gt;5&lt;/iLvl&gt;
&lt;/candidate&gt;
&lt;/results&gt;
</v>
      </c>
      <c r="F523" cm="1">
        <f t="array" ref="F523">INDEX(_xlfn.FILTERXML(E523,"//latitude"),1)</f>
        <v>35.355305000000001</v>
      </c>
      <c r="G523" cm="1">
        <f t="array" ref="G523">INDEX(_xlfn.FILTERXML(E523,"//longitude"),1)</f>
        <v>136.62808200000001</v>
      </c>
      <c r="H523">
        <v>35.355305000000001</v>
      </c>
      <c r="I523">
        <v>136.62808200000001</v>
      </c>
    </row>
    <row r="524" spans="1:9" x14ac:dyDescent="0.4">
      <c r="A524" t="s">
        <v>28</v>
      </c>
      <c r="B524" t="s">
        <v>1058</v>
      </c>
      <c r="C524" t="str">
        <f t="shared" si="41"/>
        <v>沖縄県那覇市銘苅</v>
      </c>
      <c r="D524" s="2" t="str">
        <f t="shared" si="38"/>
        <v>http://geocode.csis.u-tokyo.ac.jp/cgi-bin/simple_geocode.cgi?charset=UTF8&amp;addr=%E6%B2%96%E7%B8%84%E7%9C%8C%E9%82%A3%E8%A6%87%E5%B8%82%E9%8A%98%E8%8B%85</v>
      </c>
      <c r="E524" t="str">
        <f t="shared" si="39"/>
        <v xml:space="preserve">&lt;?xml version="1.0" encoding="UTF-8" ?&gt;
&lt;results&gt;
&lt;query&gt;沖縄県那覇市銘苅&lt;/query&gt;
&lt;geodetic&gt;wgs1984&lt;/geodetic&gt;
&lt;iConf&gt;5&lt;/iConf&gt;
&lt;converted&gt;沖縄県那覇市銘苅&lt;/converted&gt;
&lt;candidate&gt;
&lt;address&gt;沖縄県/那覇市/銘苅&lt;/address&gt;
&lt;longitude&gt;127.701256&lt;/longitude&gt;
&lt;latitude&gt;26.230446&lt;/latitude&gt;
&lt;iLvl&gt;5&lt;/iLvl&gt;
&lt;/candidate&gt;
&lt;/results&gt;
</v>
      </c>
      <c r="F524" cm="1">
        <f t="array" ref="F524">INDEX(_xlfn.FILTERXML(E524,"//latitude"),1)</f>
        <v>26.230446000000001</v>
      </c>
      <c r="G524" cm="1">
        <f t="array" ref="G524">INDEX(_xlfn.FILTERXML(E524,"//longitude"),1)</f>
        <v>127.701256</v>
      </c>
      <c r="H524">
        <v>26.230446000000001</v>
      </c>
      <c r="I524">
        <v>127.701256</v>
      </c>
    </row>
    <row r="525" spans="1:9" x14ac:dyDescent="0.4">
      <c r="A525" t="s">
        <v>29</v>
      </c>
      <c r="B525" t="s">
        <v>1059</v>
      </c>
      <c r="C525" t="str">
        <f t="shared" si="41"/>
        <v>静岡県富士宮市中央町</v>
      </c>
      <c r="D525" s="2" t="str">
        <f t="shared" si="38"/>
        <v>http://geocode.csis.u-tokyo.ac.jp/cgi-bin/simple_geocode.cgi?charset=UTF8&amp;addr=%E9%9D%99%E5%B2%A1%E7%9C%8C%E5%AF%8C%E5%A3%AB%E5%AE%AE%E5%B8%82%E4%B8%AD%E5%A4%AE%E7%94%BA</v>
      </c>
      <c r="E525" t="str">
        <f t="shared" si="39"/>
        <v xml:space="preserve">&lt;?xml version="1.0" encoding="UTF-8" ?&gt;
&lt;results&gt;
&lt;query&gt;静岡県富士宮市中央町&lt;/query&gt;
&lt;geodetic&gt;wgs1984&lt;/geodetic&gt;
&lt;iConf&gt;5&lt;/iConf&gt;
&lt;converted&gt;静岡県富士宮市中央町&lt;/converted&gt;
&lt;candidate&gt;
&lt;address&gt;静岡県/富士宮市/中央町&lt;/address&gt;
&lt;longitude&gt;138.614975&lt;/longitude&gt;
&lt;latitude&gt;35.223049&lt;/latitude&gt;
&lt;iLvl&gt;5&lt;/iLvl&gt;
&lt;/candidate&gt;
&lt;/results&gt;
</v>
      </c>
      <c r="F525" cm="1">
        <f t="array" ref="F525">INDEX(_xlfn.FILTERXML(E525,"//latitude"),1)</f>
        <v>35.223049000000003</v>
      </c>
      <c r="G525" cm="1">
        <f t="array" ref="G525">INDEX(_xlfn.FILTERXML(E525,"//longitude"),1)</f>
        <v>138.61497499999999</v>
      </c>
      <c r="H525">
        <v>35.223049000000003</v>
      </c>
      <c r="I525">
        <v>138.61497499999999</v>
      </c>
    </row>
    <row r="526" spans="1:9" x14ac:dyDescent="0.4">
      <c r="A526" t="s">
        <v>9</v>
      </c>
      <c r="B526" t="s">
        <v>1060</v>
      </c>
      <c r="C526" t="str">
        <f t="shared" si="41"/>
        <v>東京都墨田区石原</v>
      </c>
      <c r="D526" s="2" t="str">
        <f t="shared" si="38"/>
        <v>http://geocode.csis.u-tokyo.ac.jp/cgi-bin/simple_geocode.cgi?charset=UTF8&amp;addr=%E6%9D%B1%E4%BA%AC%E9%83%BD%E5%A2%A8%E7%94%B0%E5%8C%BA%E7%9F%B3%E5%8E%9F</v>
      </c>
      <c r="E526" t="str">
        <f t="shared" si="39"/>
        <v xml:space="preserve">&lt;?xml version="1.0" encoding="UTF-8" ?&gt;
&lt;results&gt;
&lt;query&gt;東京都墨田区石原&lt;/query&gt;
&lt;geodetic&gt;wgs1984&lt;/geodetic&gt;
&lt;iConf&gt;5&lt;/iConf&gt;
&lt;converted&gt;東京都墨田区石原&lt;/converted&gt;
&lt;candidate&gt;
&lt;address&gt;東京都/墨田区/石原&lt;/address&gt;
&lt;longitude&gt;139.798523&lt;/longitude&gt;
&lt;latitude&gt;35.700329&lt;/latitude&gt;
&lt;iLvl&gt;5&lt;/iLvl&gt;
&lt;/candidate&gt;
&lt;/results&gt;
</v>
      </c>
      <c r="F526" cm="1">
        <f t="array" ref="F526">INDEX(_xlfn.FILTERXML(E526,"//latitude"),1)</f>
        <v>35.700329000000004</v>
      </c>
      <c r="G526" cm="1">
        <f t="array" ref="G526">INDEX(_xlfn.FILTERXML(E526,"//longitude"),1)</f>
        <v>139.79852299999999</v>
      </c>
      <c r="H526">
        <v>35.700329000000004</v>
      </c>
      <c r="I526">
        <v>139.79852299999999</v>
      </c>
    </row>
    <row r="527" spans="1:9" x14ac:dyDescent="0.4">
      <c r="A527" t="s">
        <v>9</v>
      </c>
      <c r="B527" t="s">
        <v>1061</v>
      </c>
      <c r="C527" t="str">
        <f t="shared" si="41"/>
        <v>東京都北区田端</v>
      </c>
      <c r="D527" s="2" t="str">
        <f t="shared" si="38"/>
        <v>http://geocode.csis.u-tokyo.ac.jp/cgi-bin/simple_geocode.cgi?charset=UTF8&amp;addr=%E6%9D%B1%E4%BA%AC%E9%83%BD%E5%8C%97%E5%8C%BA%E7%94%B0%E7%AB%AF</v>
      </c>
      <c r="E527" t="str">
        <f t="shared" si="39"/>
        <v xml:space="preserve">&lt;?xml version="1.0" encoding="UTF-8" ?&gt;
&lt;results&gt;
&lt;query&gt;東京都北区田端&lt;/query&gt;
&lt;geodetic&gt;wgs1984&lt;/geodetic&gt;
&lt;iConf&gt;5&lt;/iConf&gt;
&lt;converted&gt;東京都北区田端&lt;/converted&gt;
&lt;candidate&gt;
&lt;address&gt;東京都/北区/田端&lt;/address&gt;
&lt;longitude&gt;139.761551&lt;/longitude&gt;
&lt;latitude&gt;35.734928&lt;/latitude&gt;
&lt;iLvl&gt;5&lt;/iLvl&gt;
&lt;/candidate&gt;
&lt;/results&gt;
</v>
      </c>
      <c r="F527" cm="1">
        <f t="array" ref="F527">INDEX(_xlfn.FILTERXML(E527,"//latitude"),1)</f>
        <v>35.734927999999996</v>
      </c>
      <c r="G527" cm="1">
        <f t="array" ref="G527">INDEX(_xlfn.FILTERXML(E527,"//longitude"),1)</f>
        <v>139.761551</v>
      </c>
      <c r="H527">
        <v>35.734927999999996</v>
      </c>
      <c r="I527">
        <v>139.761551</v>
      </c>
    </row>
    <row r="528" spans="1:9" x14ac:dyDescent="0.4">
      <c r="A528" t="s">
        <v>13</v>
      </c>
      <c r="B528" t="s">
        <v>919</v>
      </c>
      <c r="C528" t="str">
        <f t="shared" si="41"/>
        <v>埼玉県さいたま市大宮区</v>
      </c>
      <c r="D528" s="2" t="str">
        <f t="shared" si="38"/>
        <v>http://geocode.csis.u-tokyo.ac.jp/cgi-bin/simple_geocode.cgi?charset=UTF8&amp;addr=%E5%9F%BC%E7%8E%89%E7%9C%8C%E3%81%95%E3%81%84%E3%81%9F%E3%81%BE%E5%B8%82%E5%A4%A7%E5%AE%AE%E5%8C%BA</v>
      </c>
      <c r="E528" t="str">
        <f t="shared" si="39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528" cm="1">
        <f t="array" ref="F528">INDEX(_xlfn.FILTERXML(E528,"//latitude"),1)</f>
        <v>35.906483000000001</v>
      </c>
      <c r="G528" cm="1">
        <f t="array" ref="G528">INDEX(_xlfn.FILTERXML(E528,"//longitude"),1)</f>
        <v>139.62872300000001</v>
      </c>
      <c r="H528">
        <v>35.906483000000001</v>
      </c>
      <c r="I528">
        <v>139.62872300000001</v>
      </c>
    </row>
    <row r="529" spans="1:9" x14ac:dyDescent="0.4">
      <c r="A529" t="s">
        <v>26</v>
      </c>
      <c r="B529" t="s">
        <v>262</v>
      </c>
      <c r="C529" t="str">
        <f t="shared" si="41"/>
        <v>京都府京都市中京区壬生松原町</v>
      </c>
      <c r="D529" s="2" t="str">
        <f t="shared" si="38"/>
        <v>http://geocode.csis.u-tokyo.ac.jp/cgi-bin/simple_geocode.cgi?charset=UTF8&amp;addr=%E4%BA%AC%E9%83%BD%E5%BA%9C%E4%BA%AC%E9%83%BD%E5%B8%82%E4%B8%AD%E4%BA%AC%E5%8C%BA%E5%A3%AC%E7%94%9F%E6%9D%BE%E5%8E%9F%E7%94%BA</v>
      </c>
      <c r="E529" t="str">
        <f t="shared" si="39"/>
        <v xml:space="preserve">&lt;?xml version="1.0" encoding="UTF-8" ?&gt;
&lt;results&gt;
&lt;query&gt;京都府京都市中京区壬生松原町&lt;/query&gt;
&lt;geodetic&gt;wgs1984&lt;/geodetic&gt;
&lt;iConf&gt;5&lt;/iConf&gt;
&lt;converted&gt;京都府京都市中京区壬生松原町&lt;/converted&gt;
&lt;candidate&gt;
&lt;address&gt;京都府/京都市/中京区/壬生松原町&lt;/address&gt;
&lt;longitude&gt;135.740891&lt;/longitude&gt;
&lt;latitude&gt;34.999931&lt;/latitude&gt;
&lt;iLvl&gt;5&lt;/iLvl&gt;
&lt;/candidate&gt;
&lt;/results&gt;
</v>
      </c>
      <c r="F529" cm="1">
        <f t="array" ref="F529">INDEX(_xlfn.FILTERXML(E529,"//latitude"),1)</f>
        <v>34.999930999999997</v>
      </c>
      <c r="G529" cm="1">
        <f t="array" ref="G529">INDEX(_xlfn.FILTERXML(E529,"//longitude"),1)</f>
        <v>135.740891</v>
      </c>
      <c r="H529">
        <v>34.999930999999997</v>
      </c>
      <c r="I529">
        <v>135.740891</v>
      </c>
    </row>
    <row r="530" spans="1:9" x14ac:dyDescent="0.4">
      <c r="A530" t="s">
        <v>35</v>
      </c>
      <c r="B530" t="s">
        <v>675</v>
      </c>
      <c r="C530" t="str">
        <f t="shared" si="41"/>
        <v>宮崎県日向市</v>
      </c>
      <c r="D530" s="2" t="str">
        <f t="shared" si="38"/>
        <v>http://geocode.csis.u-tokyo.ac.jp/cgi-bin/simple_geocode.cgi?charset=UTF8&amp;addr=%E5%AE%AE%E5%B4%8E%E7%9C%8C%E6%97%A5%E5%90%91%E5%B8%82</v>
      </c>
      <c r="E530" t="str">
        <f t="shared" si="39"/>
        <v xml:space="preserve">&lt;?xml version="1.0" encoding="UTF-8" ?&gt;
&lt;results&gt;
&lt;query&gt;宮崎県日向市&lt;/query&gt;
&lt;geodetic&gt;wgs1984&lt;/geodetic&gt;
&lt;iConf&gt;5&lt;/iConf&gt;
&lt;converted&gt;宮崎県日向市&lt;/converted&gt;
&lt;candidate&gt;
&lt;address&gt;宮崎県/日向市&lt;/address&gt;
&lt;longitude&gt;131.623962&lt;/longitude&gt;
&lt;latitude&gt;32.422947&lt;/latitude&gt;
&lt;iLvl&gt;3&lt;/iLvl&gt;
&lt;/candidate&gt;
&lt;/results&gt;
</v>
      </c>
      <c r="F530" cm="1">
        <f t="array" ref="F530">INDEX(_xlfn.FILTERXML(E530,"//latitude"),1)</f>
        <v>32.422947000000001</v>
      </c>
      <c r="G530" cm="1">
        <f t="array" ref="G530">INDEX(_xlfn.FILTERXML(E530,"//longitude"),1)</f>
        <v>131.62396200000001</v>
      </c>
      <c r="H530">
        <v>32.422947000000001</v>
      </c>
      <c r="I530">
        <v>131.62396200000001</v>
      </c>
    </row>
    <row r="531" spans="1:9" x14ac:dyDescent="0.4">
      <c r="A531" t="s">
        <v>9</v>
      </c>
      <c r="B531" t="s">
        <v>1062</v>
      </c>
      <c r="C531" t="str">
        <f t="shared" si="41"/>
        <v>東京都新宿区西新宿</v>
      </c>
      <c r="D531" s="2" t="str">
        <f t="shared" si="38"/>
        <v>http://geocode.csis.u-tokyo.ac.jp/cgi-bin/simple_geocode.cgi?charset=UTF8&amp;addr=%E6%9D%B1%E4%BA%AC%E9%83%BD%E6%96%B0%E5%AE%BF%E5%8C%BA%E8%A5%BF%E6%96%B0%E5%AE%BF</v>
      </c>
      <c r="E531" t="str">
        <f t="shared" si="39"/>
        <v xml:space="preserve">&lt;?xml version="1.0" encoding="UTF-8" ?&gt;
&lt;results&gt;
&lt;query&gt;東京都新宿区西新宿&lt;/query&gt;
&lt;geodetic&gt;wgs1984&lt;/geodetic&gt;
&lt;iConf&gt;5&lt;/iConf&gt;
&lt;converted&gt;東京都新宿区西新宿&lt;/converted&gt;
&lt;candidate&gt;
&lt;address&gt;東京都/新宿区/西新宿&lt;/address&gt;
&lt;longitude&gt;139.697495&lt;/longitude&gt;
&lt;latitude&gt;35.690384&lt;/latitude&gt;
&lt;iLvl&gt;5&lt;/iLvl&gt;
&lt;/candidate&gt;
&lt;/results&gt;
</v>
      </c>
      <c r="F531" cm="1">
        <f t="array" ref="F531">INDEX(_xlfn.FILTERXML(E531,"//latitude"),1)</f>
        <v>35.690384000000002</v>
      </c>
      <c r="G531" cm="1">
        <f t="array" ref="G531">INDEX(_xlfn.FILTERXML(E531,"//longitude"),1)</f>
        <v>139.697495</v>
      </c>
      <c r="H531">
        <v>35.690384000000002</v>
      </c>
      <c r="I531">
        <v>139.697495</v>
      </c>
    </row>
    <row r="532" spans="1:9" x14ac:dyDescent="0.4">
      <c r="A532" t="s">
        <v>16</v>
      </c>
      <c r="B532" t="s">
        <v>70</v>
      </c>
      <c r="C532" t="str">
        <f t="shared" si="41"/>
        <v>長野県長野市川中島町上氷鉋</v>
      </c>
      <c r="D532" s="2" t="str">
        <f t="shared" si="38"/>
        <v>http://geocode.csis.u-tokyo.ac.jp/cgi-bin/simple_geocode.cgi?charset=UTF8&amp;addr=%E9%95%B7%E9%87%8E%E7%9C%8C%E9%95%B7%E9%87%8E%E5%B8%82%E5%B7%9D%E4%B8%AD%E5%B3%B6%E7%94%BA%E4%B8%8A%E6%B0%B7%E9%89%8B</v>
      </c>
      <c r="E532" t="str">
        <f t="shared" si="39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532" cm="1">
        <f t="array" ref="F532">INDEX(_xlfn.FILTERXML(E532,"//latitude"),1)</f>
        <v>36.611911999999997</v>
      </c>
      <c r="G532" cm="1">
        <f t="array" ref="G532">INDEX(_xlfn.FILTERXML(E532,"//longitude"),1)</f>
        <v>138.157059</v>
      </c>
      <c r="H532">
        <v>36.611911999999997</v>
      </c>
      <c r="I532">
        <v>138.157059</v>
      </c>
    </row>
    <row r="533" spans="1:9" x14ac:dyDescent="0.4">
      <c r="A533" t="s">
        <v>15</v>
      </c>
      <c r="B533" t="s">
        <v>1063</v>
      </c>
      <c r="C533" t="str">
        <f t="shared" si="41"/>
        <v>兵庫県尼崎市南塚口町</v>
      </c>
      <c r="D533" s="2" t="str">
        <f t="shared" si="38"/>
        <v>http://geocode.csis.u-tokyo.ac.jp/cgi-bin/simple_geocode.cgi?charset=UTF8&amp;addr=%E5%85%B5%E5%BA%AB%E7%9C%8C%E5%B0%BC%E5%B4%8E%E5%B8%82%E5%8D%97%E5%A1%9A%E5%8F%A3%E7%94%BA</v>
      </c>
      <c r="E533" t="str">
        <f t="shared" si="39"/>
        <v xml:space="preserve">&lt;?xml version="1.0" encoding="UTF-8" ?&gt;
&lt;results&gt;
&lt;query&gt;兵庫県尼崎市南塚口町&lt;/query&gt;
&lt;geodetic&gt;wgs1984&lt;/geodetic&gt;
&lt;iConf&gt;5&lt;/iConf&gt;
&lt;converted&gt;兵庫県尼崎市南塚口町&lt;/converted&gt;
&lt;candidate&gt;
&lt;address&gt;兵庫県/尼崎市/南塚口町&lt;/address&gt;
&lt;longitude&gt;135.413361&lt;/longitude&gt;
&lt;latitude&gt;34.750542&lt;/latitude&gt;
&lt;iLvl&gt;5&lt;/iLvl&gt;
&lt;/candidate&gt;
&lt;/results&gt;
</v>
      </c>
      <c r="F533" cm="1">
        <f t="array" ref="F533">INDEX(_xlfn.FILTERXML(E533,"//latitude"),1)</f>
        <v>34.750542000000003</v>
      </c>
      <c r="G533" cm="1">
        <f t="array" ref="G533">INDEX(_xlfn.FILTERXML(E533,"//longitude"),1)</f>
        <v>135.41336100000001</v>
      </c>
      <c r="H533">
        <v>34.750542000000003</v>
      </c>
      <c r="I533">
        <v>135.41336100000001</v>
      </c>
    </row>
    <row r="534" spans="1:9" x14ac:dyDescent="0.4">
      <c r="A534" t="s">
        <v>9</v>
      </c>
      <c r="B534" t="s">
        <v>331</v>
      </c>
      <c r="C534" t="str">
        <f t="shared" si="41"/>
        <v>東京都調布市</v>
      </c>
      <c r="D534" s="2" t="str">
        <f t="shared" si="38"/>
        <v>http://geocode.csis.u-tokyo.ac.jp/cgi-bin/simple_geocode.cgi?charset=UTF8&amp;addr=%E6%9D%B1%E4%BA%AC%E9%83%BD%E8%AA%BF%E5%B8%83%E5%B8%82</v>
      </c>
      <c r="E534" t="str">
        <f t="shared" si="39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534" cm="1">
        <f t="array" ref="F534">INDEX(_xlfn.FILTERXML(E534,"//latitude"),1)</f>
        <v>35.650627</v>
      </c>
      <c r="G534" cm="1">
        <f t="array" ref="G534">INDEX(_xlfn.FILTERXML(E534,"//longitude"),1)</f>
        <v>139.54068000000001</v>
      </c>
      <c r="H534">
        <v>35.650627</v>
      </c>
      <c r="I534">
        <v>139.54068000000001</v>
      </c>
    </row>
    <row r="535" spans="1:9" x14ac:dyDescent="0.4">
      <c r="A535" t="s">
        <v>9</v>
      </c>
      <c r="B535" t="s">
        <v>223</v>
      </c>
      <c r="C535" t="str">
        <f t="shared" si="41"/>
        <v>東京都世田谷区</v>
      </c>
      <c r="D535" s="2" t="str">
        <f t="shared" si="38"/>
        <v>http://geocode.csis.u-tokyo.ac.jp/cgi-bin/simple_geocode.cgi?charset=UTF8&amp;addr=%E6%9D%B1%E4%BA%AC%E9%83%BD%E4%B8%96%E7%94%B0%E8%B0%B7%E5%8C%BA</v>
      </c>
      <c r="E535" t="str">
        <f t="shared" si="3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35" cm="1">
        <f t="array" ref="F535">INDEX(_xlfn.FILTERXML(E535,"//latitude"),1)</f>
        <v>35.646481000000001</v>
      </c>
      <c r="G535" cm="1">
        <f t="array" ref="G535">INDEX(_xlfn.FILTERXML(E535,"//longitude"),1)</f>
        <v>139.65321399999999</v>
      </c>
      <c r="H535">
        <v>35.646481000000001</v>
      </c>
      <c r="I535">
        <v>139.65321399999999</v>
      </c>
    </row>
    <row r="536" spans="1:9" x14ac:dyDescent="0.4">
      <c r="A536" t="s">
        <v>15</v>
      </c>
      <c r="B536" t="s">
        <v>1064</v>
      </c>
      <c r="C536" t="str">
        <f t="shared" si="41"/>
        <v>兵庫県宝塚市亀井町</v>
      </c>
      <c r="D536" s="2" t="str">
        <f t="shared" si="38"/>
        <v>http://geocode.csis.u-tokyo.ac.jp/cgi-bin/simple_geocode.cgi?charset=UTF8&amp;addr=%E5%85%B5%E5%BA%AB%E7%9C%8C%E5%AE%9D%E5%A1%9A%E5%B8%82%E4%BA%80%E4%BA%95%E7%94%BA</v>
      </c>
      <c r="E536" t="str">
        <f t="shared" si="39"/>
        <v xml:space="preserve">&lt;?xml version="1.0" encoding="UTF-8" ?&gt;
&lt;results&gt;
&lt;query&gt;兵庫県宝塚市亀井町&lt;/query&gt;
&lt;geodetic&gt;wgs1984&lt;/geodetic&gt;
&lt;iConf&gt;5&lt;/iConf&gt;
&lt;converted&gt;兵庫県宝塚市亀井町&lt;/converted&gt;
&lt;candidate&gt;
&lt;address&gt;兵庫県/宝塚市/亀井町&lt;/address&gt;
&lt;longitude&gt;135.362381&lt;/longitude&gt;
&lt;latitude&gt;34.794121&lt;/latitude&gt;
&lt;iLvl&gt;5&lt;/iLvl&gt;
&lt;/candidate&gt;
&lt;/results&gt;
</v>
      </c>
      <c r="F536" cm="1">
        <f t="array" ref="F536">INDEX(_xlfn.FILTERXML(E536,"//latitude"),1)</f>
        <v>34.794120999999997</v>
      </c>
      <c r="G536" cm="1">
        <f t="array" ref="G536">INDEX(_xlfn.FILTERXML(E536,"//longitude"),1)</f>
        <v>135.362381</v>
      </c>
      <c r="H536">
        <v>34.794120999999997</v>
      </c>
      <c r="I536">
        <v>135.362381</v>
      </c>
    </row>
    <row r="537" spans="1:9" x14ac:dyDescent="0.4">
      <c r="A537" t="s">
        <v>11</v>
      </c>
      <c r="B537" t="s">
        <v>1065</v>
      </c>
      <c r="C537" t="str">
        <f t="shared" si="41"/>
        <v>大阪府柏原市片山町</v>
      </c>
      <c r="D537" s="2" t="str">
        <f t="shared" si="38"/>
        <v>http://geocode.csis.u-tokyo.ac.jp/cgi-bin/simple_geocode.cgi?charset=UTF8&amp;addr=%E5%A4%A7%E9%98%AA%E5%BA%9C%E6%9F%8F%E5%8E%9F%E5%B8%82%E7%89%87%E5%B1%B1%E7%94%BA</v>
      </c>
      <c r="E537" t="str">
        <f t="shared" si="39"/>
        <v xml:space="preserve">&lt;?xml version="1.0" encoding="UTF-8" ?&gt;
&lt;results&gt;
&lt;query&gt;大阪府柏原市片山町&lt;/query&gt;
&lt;geodetic&gt;wgs1984&lt;/geodetic&gt;
&lt;iConf&gt;5&lt;/iConf&gt;
&lt;converted&gt;大阪府柏原市片山町&lt;/converted&gt;
&lt;candidate&gt;
&lt;address&gt;大阪府/柏原市/片山町&lt;/address&gt;
&lt;longitude&gt;135.629745&lt;/longitude&gt;
&lt;latitude&gt;34.570717&lt;/latitude&gt;
&lt;iLvl&gt;5&lt;/iLvl&gt;
&lt;/candidate&gt;
&lt;/results&gt;
</v>
      </c>
      <c r="F537" cm="1">
        <f t="array" ref="F537">INDEX(_xlfn.FILTERXML(E537,"//latitude"),1)</f>
        <v>34.570717000000002</v>
      </c>
      <c r="G537" cm="1">
        <f t="array" ref="G537">INDEX(_xlfn.FILTERXML(E537,"//longitude"),1)</f>
        <v>135.62974500000001</v>
      </c>
      <c r="H537">
        <v>34.570717000000002</v>
      </c>
      <c r="I537">
        <v>135.62974500000001</v>
      </c>
    </row>
    <row r="538" spans="1:9" x14ac:dyDescent="0.4">
      <c r="A538" t="s">
        <v>9</v>
      </c>
      <c r="B538" t="s">
        <v>1066</v>
      </c>
      <c r="C538" t="str">
        <f t="shared" si="41"/>
        <v>東京都あきる野市野辺</v>
      </c>
      <c r="D538" s="2" t="str">
        <f t="shared" si="38"/>
        <v>http://geocode.csis.u-tokyo.ac.jp/cgi-bin/simple_geocode.cgi?charset=UTF8&amp;addr=%E6%9D%B1%E4%BA%AC%E9%83%BD%E3%81%82%E3%81%8D%E3%82%8B%E9%87%8E%E5%B8%82%E9%87%8E%E8%BE%BA</v>
      </c>
      <c r="E538" t="str">
        <f t="shared" si="39"/>
        <v xml:space="preserve">&lt;?xml version="1.0" encoding="UTF-8" ?&gt;
&lt;results&gt;
&lt;query&gt;東京都あきる野市野辺&lt;/query&gt;
&lt;geodetic&gt;wgs1984&lt;/geodetic&gt;
&lt;iConf&gt;5&lt;/iConf&gt;
&lt;converted&gt;東京都あきる野市野辺&lt;/converted&gt;
&lt;candidate&gt;
&lt;address&gt;東京都/あきる野市/野辺&lt;/address&gt;
&lt;longitude&gt;139.307983&lt;/longitude&gt;
&lt;latitude&gt;35.721210&lt;/latitude&gt;
&lt;iLvl&gt;5&lt;/iLvl&gt;
&lt;/candidate&gt;
&lt;/results&gt;
</v>
      </c>
      <c r="F538" cm="1">
        <f t="array" ref="F538">INDEX(_xlfn.FILTERXML(E538,"//latitude"),1)</f>
        <v>35.721209999999999</v>
      </c>
      <c r="G538" cm="1">
        <f t="array" ref="G538">INDEX(_xlfn.FILTERXML(E538,"//longitude"),1)</f>
        <v>139.30798300000001</v>
      </c>
      <c r="H538">
        <v>35.721209999999999</v>
      </c>
      <c r="I538">
        <v>139.30798300000001</v>
      </c>
    </row>
    <row r="539" spans="1:9" x14ac:dyDescent="0.4">
      <c r="A539" t="s">
        <v>19</v>
      </c>
      <c r="B539" t="s">
        <v>1067</v>
      </c>
      <c r="C539" t="str">
        <f t="shared" si="41"/>
        <v>滋賀県甲賀市水口町貴生川</v>
      </c>
      <c r="D539" s="2" t="str">
        <f t="shared" si="38"/>
        <v>http://geocode.csis.u-tokyo.ac.jp/cgi-bin/simple_geocode.cgi?charset=UTF8&amp;addr=%E6%BB%8B%E8%B3%80%E7%9C%8C%E7%94%B2%E8%B3%80%E5%B8%82%E6%B0%B4%E5%8F%A3%E7%94%BA%E8%B2%B4%E7%94%9F%E5%B7%9D</v>
      </c>
      <c r="E539" t="str">
        <f t="shared" si="39"/>
        <v xml:space="preserve">&lt;?xml version="1.0" encoding="UTF-8" ?&gt;
&lt;results&gt;
&lt;query&gt;滋賀県甲賀市水口町貴生川&lt;/query&gt;
&lt;geodetic&gt;wgs1984&lt;/geodetic&gt;
&lt;iConf&gt;5&lt;/iConf&gt;
&lt;converted&gt;滋賀県甲賀市水口町貴生川&lt;/converted&gt;
&lt;candidate&gt;
&lt;address&gt;滋賀県/甲賀市/水口町貴生川&lt;/address&gt;
&lt;longitude&gt;136.147110&lt;/longitude&gt;
&lt;latitude&gt;34.955788&lt;/latitude&gt;
&lt;iLvl&gt;5&lt;/iLvl&gt;
&lt;/candidate&gt;
&lt;/results&gt;
</v>
      </c>
      <c r="F539" cm="1">
        <f t="array" ref="F539">INDEX(_xlfn.FILTERXML(E539,"//latitude"),1)</f>
        <v>34.955787999999998</v>
      </c>
      <c r="G539" cm="1">
        <f t="array" ref="G539">INDEX(_xlfn.FILTERXML(E539,"//longitude"),1)</f>
        <v>136.14711</v>
      </c>
      <c r="H539">
        <v>34.955787999999998</v>
      </c>
      <c r="I539">
        <v>136.14711</v>
      </c>
    </row>
    <row r="540" spans="1:9" x14ac:dyDescent="0.4">
      <c r="A540" t="s">
        <v>46</v>
      </c>
      <c r="B540" t="s">
        <v>1068</v>
      </c>
      <c r="C540" t="str">
        <f t="shared" si="41"/>
        <v>山口県防府市</v>
      </c>
      <c r="D540" s="2" t="str">
        <f t="shared" si="38"/>
        <v>http://geocode.csis.u-tokyo.ac.jp/cgi-bin/simple_geocode.cgi?charset=UTF8&amp;addr=%E5%B1%B1%E5%8F%A3%E7%9C%8C%E9%98%B2%E5%BA%9C%E5%B8%82</v>
      </c>
      <c r="E540" t="str">
        <f t="shared" si="39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540" cm="1">
        <f t="array" ref="F540">INDEX(_xlfn.FILTERXML(E540,"//latitude"),1)</f>
        <v>34.051758</v>
      </c>
      <c r="G540" cm="1">
        <f t="array" ref="G540">INDEX(_xlfn.FILTERXML(E540,"//longitude"),1)</f>
        <v>131.562622</v>
      </c>
      <c r="H540">
        <v>34.051758</v>
      </c>
      <c r="I540">
        <v>131.562622</v>
      </c>
    </row>
    <row r="541" spans="1:9" x14ac:dyDescent="0.4">
      <c r="A541" t="s">
        <v>10</v>
      </c>
      <c r="B541" t="s">
        <v>857</v>
      </c>
      <c r="C541" t="str">
        <f t="shared" si="41"/>
        <v>神奈川県横浜市南区永田東</v>
      </c>
      <c r="D541" s="2" t="str">
        <f t="shared" si="38"/>
        <v>http://geocode.csis.u-tokyo.ac.jp/cgi-bin/simple_geocode.cgi?charset=UTF8&amp;addr=%E7%A5%9E%E5%A5%88%E5%B7%9D%E7%9C%8C%E6%A8%AA%E6%B5%9C%E5%B8%82%E5%8D%97%E5%8C%BA%E6%B0%B8%E7%94%B0%E6%9D%B1</v>
      </c>
      <c r="E541" t="str">
        <f t="shared" si="39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541" cm="1">
        <f t="array" ref="F541">INDEX(_xlfn.FILTERXML(E541,"//latitude"),1)</f>
        <v>35.433525000000003</v>
      </c>
      <c r="G541" cm="1">
        <f t="array" ref="G541">INDEX(_xlfn.FILTERXML(E541,"//longitude"),1)</f>
        <v>139.59738200000001</v>
      </c>
      <c r="H541">
        <v>35.433525000000003</v>
      </c>
      <c r="I541">
        <v>139.59738200000001</v>
      </c>
    </row>
    <row r="542" spans="1:9" x14ac:dyDescent="0.4">
      <c r="A542" t="s">
        <v>34</v>
      </c>
      <c r="B542" t="s">
        <v>1069</v>
      </c>
      <c r="C542" t="str">
        <f t="shared" si="41"/>
        <v>岐阜県多治見市宝町</v>
      </c>
      <c r="D542" s="2" t="str">
        <f t="shared" si="38"/>
        <v>http://geocode.csis.u-tokyo.ac.jp/cgi-bin/simple_geocode.cgi?charset=UTF8&amp;addr=%E5%B2%90%E9%98%9C%E7%9C%8C%E5%A4%9A%E6%B2%BB%E8%A6%8B%E5%B8%82%E5%AE%9D%E7%94%BA</v>
      </c>
      <c r="E542" t="str">
        <f t="shared" si="39"/>
        <v xml:space="preserve">&lt;?xml version="1.0" encoding="UTF-8" ?&gt;
&lt;results&gt;
&lt;query&gt;岐県多治見市宝町&lt;/query&gt;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542" cm="1">
        <f t="array" ref="F542">INDEX(_xlfn.FILTERXML(E542,"//latitude"),1)</f>
        <v>35.338383</v>
      </c>
      <c r="G542" cm="1">
        <f t="array" ref="G542">INDEX(_xlfn.FILTERXML(E542,"//longitude"),1)</f>
        <v>137.11308299999999</v>
      </c>
      <c r="H542">
        <v>35.338383</v>
      </c>
      <c r="I542">
        <v>137.11308299999999</v>
      </c>
    </row>
    <row r="543" spans="1:9" x14ac:dyDescent="0.4">
      <c r="A543" t="s">
        <v>11</v>
      </c>
      <c r="B543" t="s">
        <v>1070</v>
      </c>
      <c r="C543" t="str">
        <f t="shared" si="41"/>
        <v>大阪府豊中市城山町</v>
      </c>
      <c r="D543" s="2" t="str">
        <f t="shared" si="38"/>
        <v>http://geocode.csis.u-tokyo.ac.jp/cgi-bin/simple_geocode.cgi?charset=UTF8&amp;addr=%E5%A4%A7%E9%98%AA%E5%BA%9C%E8%B1%8A%E4%B8%AD%E5%B8%82%E5%9F%8E%E5%B1%B1%E7%94%BA</v>
      </c>
      <c r="E543" t="str">
        <f t="shared" si="39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543" cm="1">
        <f t="array" ref="F543">INDEX(_xlfn.FILTERXML(E543,"//latitude"),1)</f>
        <v>34.770943000000003</v>
      </c>
      <c r="G543" cm="1">
        <f t="array" ref="G543">INDEX(_xlfn.FILTERXML(E543,"//longitude"),1)</f>
        <v>135.475525</v>
      </c>
      <c r="H543">
        <v>34.770943000000003</v>
      </c>
      <c r="I543">
        <v>135.475525</v>
      </c>
    </row>
    <row r="544" spans="1:9" x14ac:dyDescent="0.4">
      <c r="A544" t="s">
        <v>9</v>
      </c>
      <c r="B544" t="s">
        <v>1071</v>
      </c>
      <c r="C544" t="str">
        <f t="shared" si="41"/>
        <v>東京都板橋区栄町</v>
      </c>
      <c r="D544" s="2" t="str">
        <f t="shared" si="38"/>
        <v>http://geocode.csis.u-tokyo.ac.jp/cgi-bin/simple_geocode.cgi?charset=UTF8&amp;addr=%E6%9D%B1%E4%BA%AC%E9%83%BD%E6%9D%BF%E6%A9%8B%E5%8C%BA%E6%A0%84%E7%94%BA</v>
      </c>
      <c r="E544" t="str">
        <f t="shared" si="39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544" cm="1">
        <f t="array" ref="F544">INDEX(_xlfn.FILTERXML(E544,"//latitude"),1)</f>
        <v>35.753070999999998</v>
      </c>
      <c r="G544" cm="1">
        <f t="array" ref="G544">INDEX(_xlfn.FILTERXML(E544,"//longitude"),1)</f>
        <v>139.70214799999999</v>
      </c>
      <c r="H544">
        <v>35.753070999999998</v>
      </c>
      <c r="I544">
        <v>139.70214799999999</v>
      </c>
    </row>
    <row r="545" spans="1:9" x14ac:dyDescent="0.4">
      <c r="A545" t="s">
        <v>15</v>
      </c>
      <c r="B545" t="s">
        <v>1072</v>
      </c>
      <c r="C545" t="str">
        <f t="shared" si="41"/>
        <v>兵庫県川西市火打</v>
      </c>
      <c r="D545" s="2" t="str">
        <f t="shared" si="38"/>
        <v>http://geocode.csis.u-tokyo.ac.jp/cgi-bin/simple_geocode.cgi?charset=UTF8&amp;addr=%E5%85%B5%E5%BA%AB%E7%9C%8C%E5%B7%9D%E8%A5%BF%E5%B8%82%E7%81%AB%E6%89%93</v>
      </c>
      <c r="E545" t="str">
        <f t="shared" si="39"/>
        <v xml:space="preserve">&lt;?xml version="1.0" encoding="UTF-8" ?&gt;
&lt;results&gt;
&lt;query&gt;兵庫県川西市火打&lt;/query&gt;
&lt;geodetic&gt;wgs1984&lt;/geodetic&gt;
&lt;iConf&gt;5&lt;/iConf&gt;
&lt;converted&gt;兵庫県川西市火打&lt;/converted&gt;
&lt;candidate&gt;
&lt;address&gt;兵庫県/川西市/火打&lt;/address&gt;
&lt;longitude&gt;135.418442&lt;/longitude&gt;
&lt;latitude&gt;34.835686&lt;/latitude&gt;
&lt;iLvl&gt;5&lt;/iLvl&gt;
&lt;/candidate&gt;
&lt;/results&gt;
</v>
      </c>
      <c r="F545" cm="1">
        <f t="array" ref="F545">INDEX(_xlfn.FILTERXML(E545,"//latitude"),1)</f>
        <v>34.835686000000003</v>
      </c>
      <c r="G545" cm="1">
        <f t="array" ref="G545">INDEX(_xlfn.FILTERXML(E545,"//longitude"),1)</f>
        <v>135.418442</v>
      </c>
      <c r="H545">
        <v>34.835686000000003</v>
      </c>
      <c r="I545">
        <v>135.418442</v>
      </c>
    </row>
    <row r="546" spans="1:9" x14ac:dyDescent="0.4">
      <c r="A546" t="s">
        <v>9</v>
      </c>
      <c r="B546" t="s">
        <v>861</v>
      </c>
      <c r="C546" t="str">
        <f t="shared" si="41"/>
        <v>東京都板橋区徳丸</v>
      </c>
      <c r="D546" s="2" t="str">
        <f t="shared" si="38"/>
        <v>http://geocode.csis.u-tokyo.ac.jp/cgi-bin/simple_geocode.cgi?charset=UTF8&amp;addr=%E6%9D%B1%E4%BA%AC%E9%83%BD%E6%9D%BF%E6%A9%8B%E5%8C%BA%E5%BE%B3%E4%B8%B8</v>
      </c>
      <c r="E546" t="str">
        <f t="shared" si="39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546" cm="1">
        <f t="array" ref="F546">INDEX(_xlfn.FILTERXML(E546,"//latitude"),1)</f>
        <v>35.771675000000002</v>
      </c>
      <c r="G546" cm="1">
        <f t="array" ref="G546">INDEX(_xlfn.FILTERXML(E546,"//longitude"),1)</f>
        <v>139.66551200000001</v>
      </c>
      <c r="H546">
        <v>35.771675000000002</v>
      </c>
      <c r="I546">
        <v>139.66551200000001</v>
      </c>
    </row>
    <row r="547" spans="1:9" x14ac:dyDescent="0.4">
      <c r="A547" t="s">
        <v>46</v>
      </c>
      <c r="B547" t="s">
        <v>1073</v>
      </c>
      <c r="C547" t="str">
        <f t="shared" si="41"/>
        <v>山口県宇部市東岐波</v>
      </c>
      <c r="D547" s="2" t="str">
        <f t="shared" si="38"/>
        <v>http://geocode.csis.u-tokyo.ac.jp/cgi-bin/simple_geocode.cgi?charset=UTF8&amp;addr=%E5%B1%B1%E5%8F%A3%E7%9C%8C%E5%AE%87%E9%83%A8%E5%B8%82%E6%9D%B1%E5%B2%90%E6%B3%A2</v>
      </c>
      <c r="E547" t="str">
        <f t="shared" si="39"/>
        <v xml:space="preserve">&lt;?xml version="1.0" encoding="UTF-8" ?&gt;
&lt;results&gt;
&lt;query&gt;山口県宇部市東岐波&lt;/query&gt;
&lt;geodetic&gt;wgs1984&lt;/geodetic&gt;
&lt;iConf&gt;5&lt;/iConf&gt;
&lt;converted&gt;山口県宇部市東岐波&lt;/converted&gt;
&lt;candidate&gt;
&lt;address&gt;山口県/宇部市/東岐波&lt;/address&gt;
&lt;longitude&gt;131.331787&lt;/longitude&gt;
&lt;latitude&gt;33.980255&lt;/latitude&gt;
&lt;iLvl&gt;5&lt;/iLvl&gt;
&lt;/candidate&gt;
&lt;/results&gt;
</v>
      </c>
      <c r="F547" cm="1">
        <f t="array" ref="F547">INDEX(_xlfn.FILTERXML(E547,"//latitude"),1)</f>
        <v>33.980255</v>
      </c>
      <c r="G547" cm="1">
        <f t="array" ref="G547">INDEX(_xlfn.FILTERXML(E547,"//longitude"),1)</f>
        <v>131.33178699999999</v>
      </c>
      <c r="H547">
        <v>33.980255</v>
      </c>
      <c r="I547">
        <v>131.33178699999999</v>
      </c>
    </row>
    <row r="548" spans="1:9" x14ac:dyDescent="0.4">
      <c r="A548" t="s">
        <v>43</v>
      </c>
      <c r="B548" t="s">
        <v>774</v>
      </c>
      <c r="C548" t="str">
        <f t="shared" si="41"/>
        <v>大分県大分市公園通り</v>
      </c>
      <c r="D548" s="2" t="str">
        <f t="shared" si="38"/>
        <v>http://geocode.csis.u-tokyo.ac.jp/cgi-bin/simple_geocode.cgi?charset=UTF8&amp;addr=%E5%A4%A7%E5%88%86%E7%9C%8C%E5%A4%A7%E5%88%86%E5%B8%82%E5%85%AC%E5%9C%92%E9%80%9A%E3%82%8A</v>
      </c>
      <c r="E548" t="str">
        <f t="shared" si="39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548" cm="1">
        <f t="array" ref="F548">INDEX(_xlfn.FILTERXML(E548,"//latitude"),1)</f>
        <v>33.188915000000001</v>
      </c>
      <c r="G548" cm="1">
        <f t="array" ref="G548">INDEX(_xlfn.FILTERXML(E548,"//longitude"),1)</f>
        <v>131.65512100000001</v>
      </c>
      <c r="H548">
        <v>33.188915000000001</v>
      </c>
      <c r="I548">
        <v>131.65512100000001</v>
      </c>
    </row>
    <row r="549" spans="1:9" x14ac:dyDescent="0.4">
      <c r="A549" t="s">
        <v>11</v>
      </c>
      <c r="B549" t="s">
        <v>656</v>
      </c>
      <c r="C549" t="str">
        <f t="shared" si="41"/>
        <v>大阪府枚方市</v>
      </c>
      <c r="D549" s="2" t="str">
        <f t="shared" si="38"/>
        <v>http://geocode.csis.u-tokyo.ac.jp/cgi-bin/simple_geocode.cgi?charset=UTF8&amp;addr=%E5%A4%A7%E9%98%AA%E5%BA%9C%E6%9E%9A%E6%96%B9%E5%B8%82</v>
      </c>
      <c r="E549" t="str">
        <f t="shared" si="39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549" cm="1">
        <f t="array" ref="F549">INDEX(_xlfn.FILTERXML(E549,"//latitude"),1)</f>
        <v>34.814464999999998</v>
      </c>
      <c r="G549" cm="1">
        <f t="array" ref="G549">INDEX(_xlfn.FILTERXML(E549,"//longitude"),1)</f>
        <v>135.65063499999999</v>
      </c>
      <c r="H549">
        <v>34.814464999999998</v>
      </c>
      <c r="I549">
        <v>135.65063499999999</v>
      </c>
    </row>
    <row r="550" spans="1:9" x14ac:dyDescent="0.4">
      <c r="A550" t="s">
        <v>48</v>
      </c>
      <c r="B550" t="s">
        <v>1074</v>
      </c>
      <c r="C550" t="str">
        <f t="shared" si="41"/>
        <v>石川県加賀市大聖寺荒町</v>
      </c>
      <c r="D550" s="2" t="str">
        <f t="shared" si="38"/>
        <v>http://geocode.csis.u-tokyo.ac.jp/cgi-bin/simple_geocode.cgi?charset=UTF8&amp;addr=%E7%9F%B3%E5%B7%9D%E7%9C%8C%E5%8A%A0%E8%B3%80%E5%B8%82%E5%A4%A7%E8%81%96%E5%AF%BA%E8%8D%92%E7%94%BA</v>
      </c>
      <c r="E550" t="str">
        <f t="shared" si="39"/>
        <v xml:space="preserve">&lt;?xml version="1.0" encoding="UTF-8" ?&gt;
&lt;results&gt;
&lt;query&gt;石川県加賀市大聖寺荒町&lt;/query&gt;
&lt;geodetic&gt;wgs1984&lt;/geodetic&gt;
&lt;iConf&gt;5&lt;/iConf&gt;
&lt;converted&gt;石川県加賀市大聖寺荒町&lt;/converted&gt;
&lt;candidate&gt;
&lt;address&gt;石川県/加賀市/大聖寺荒町&lt;/address&gt;
&lt;longitude&gt;136.314590&lt;/longitude&gt;
&lt;latitude&gt;36.305531&lt;/latitude&gt;
&lt;iLvl&gt;5&lt;/iLvl&gt;
&lt;/candidate&gt;
&lt;/results&gt;
</v>
      </c>
      <c r="F550" cm="1">
        <f t="array" ref="F550">INDEX(_xlfn.FILTERXML(E550,"//latitude"),1)</f>
        <v>36.305531000000002</v>
      </c>
      <c r="G550" cm="1">
        <f t="array" ref="G550">INDEX(_xlfn.FILTERXML(E550,"//longitude"),1)</f>
        <v>136.31459000000001</v>
      </c>
      <c r="H550">
        <v>36.305531000000002</v>
      </c>
      <c r="I550">
        <v>136.31459000000001</v>
      </c>
    </row>
    <row r="551" spans="1:9" x14ac:dyDescent="0.4">
      <c r="A551" t="s">
        <v>9</v>
      </c>
      <c r="B551" t="s">
        <v>547</v>
      </c>
      <c r="C551" t="str">
        <f t="shared" si="41"/>
        <v>東京都港区虎ノ門</v>
      </c>
      <c r="D551" s="2" t="str">
        <f t="shared" si="38"/>
        <v>http://geocode.csis.u-tokyo.ac.jp/cgi-bin/simple_geocode.cgi?charset=UTF8&amp;addr=%E6%9D%B1%E4%BA%AC%E9%83%BD%E6%B8%AF%E5%8C%BA%E8%99%8E%E3%83%8E%E9%96%80</v>
      </c>
      <c r="E551" t="str">
        <f t="shared" si="39"/>
        <v xml:space="preserve">&lt;?xml version="1.0" encoding="UTF-8" ?&gt;
&lt;results&gt;
&lt;query&gt;東京都港区虎ノ門&lt;/query&gt;
&lt;geodetic&gt;wgs1984&lt;/geodetic&gt;
&lt;iConf&gt;5&lt;/iConf&gt;
&lt;converted&gt;東京都港区虎ノ門&lt;/converted&gt;
&lt;candidate&gt;
&lt;address&gt;東京都/港区/虎ノ門&lt;/address&gt;
&lt;longitude&gt;139.749512&lt;/longitude&gt;
&lt;latitude&gt;35.668579&lt;/latitude&gt;
&lt;iLvl&gt;5&lt;/iLvl&gt;
&lt;/candidate&gt;
&lt;/results&gt;
</v>
      </c>
      <c r="F551" cm="1">
        <f t="array" ref="F551">INDEX(_xlfn.FILTERXML(E551,"//latitude"),1)</f>
        <v>35.668579000000001</v>
      </c>
      <c r="G551" cm="1">
        <f t="array" ref="G551">INDEX(_xlfn.FILTERXML(E551,"//longitude"),1)</f>
        <v>139.74951200000001</v>
      </c>
      <c r="H551">
        <v>35.668579000000001</v>
      </c>
      <c r="I551">
        <v>139.74951200000001</v>
      </c>
    </row>
    <row r="552" spans="1:9" x14ac:dyDescent="0.4">
      <c r="A552" t="s">
        <v>11</v>
      </c>
      <c r="B552" t="s">
        <v>65</v>
      </c>
      <c r="C552" t="str">
        <f t="shared" si="41"/>
        <v>大阪府豊能郡豊能町ときわ台４丁目</v>
      </c>
      <c r="D552" s="2" t="str">
        <f t="shared" si="38"/>
        <v>http://geocode.csis.u-tokyo.ac.jp/cgi-bin/simple_geocode.cgi?charset=UTF8&amp;addr=%E5%A4%A7%E9%98%AA%E5%BA%9C%E8%B1%8A%E8%83%BD%E9%83%A1%E8%B1%8A%E8%83%BD%E7%94%BA%E3%81%A8%E3%81%8D%E3%82%8F%E5%8F%B0%EF%BC%94%E4%B8%81%E7%9B%AE</v>
      </c>
      <c r="E552" t="str">
        <f t="shared" si="39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552" cm="1">
        <f t="array" ref="F552">INDEX(_xlfn.FILTERXML(E552,"//latitude"),1)</f>
        <v>34.904015000000001</v>
      </c>
      <c r="G552" cm="1">
        <f t="array" ref="G552">INDEX(_xlfn.FILTERXML(E552,"//longitude"),1)</f>
        <v>135.44091800000001</v>
      </c>
      <c r="H552">
        <v>34.904015000000001</v>
      </c>
      <c r="I552">
        <v>135.44091800000001</v>
      </c>
    </row>
    <row r="553" spans="1:9" x14ac:dyDescent="0.4">
      <c r="A553" t="s">
        <v>15</v>
      </c>
      <c r="B553" t="s">
        <v>1075</v>
      </c>
      <c r="C553" t="str">
        <f t="shared" si="41"/>
        <v>兵庫県伊丹市中野北4丁目</v>
      </c>
      <c r="D553" s="2" t="str">
        <f t="shared" si="38"/>
        <v>http://geocode.csis.u-tokyo.ac.jp/cgi-bin/simple_geocode.cgi?charset=UTF8&amp;addr=%E5%85%B5%E5%BA%AB%E7%9C%8C%E4%BC%8A%E4%B8%B9%E5%B8%82%E4%B8%AD%E9%87%8E%E5%8C%974%E4%B8%81%E7%9B%AE</v>
      </c>
      <c r="E553" t="str">
        <f t="shared" si="39"/>
        <v xml:space="preserve">&lt;?xml version="1.0" encoding="UTF-8" ?&gt;
&lt;results&gt;
&lt;query&gt;兵庫県伊丹市中野北4丁目&lt;/query&gt;
&lt;geodetic&gt;wgs1984&lt;/geodetic&gt;
&lt;iConf&gt;5&lt;/iConf&gt;
&lt;converted&gt;兵庫県伊丹市中野北4丁目&lt;/converted&gt;
&lt;candidate&gt;
&lt;address&gt;兵庫県/伊丹市/中野北/四丁目&lt;/address&gt;
&lt;longitude&gt;135.380585&lt;/longitude&gt;
&lt;latitude&gt;34.793007&lt;/latitude&gt;
&lt;iLvl&gt;6&lt;/iLvl&gt;
&lt;/candidate&gt;
&lt;/results&gt;
</v>
      </c>
      <c r="F553" cm="1">
        <f t="array" ref="F553">INDEX(_xlfn.FILTERXML(E553,"//latitude"),1)</f>
        <v>34.793007000000003</v>
      </c>
      <c r="G553" cm="1">
        <f t="array" ref="G553">INDEX(_xlfn.FILTERXML(E553,"//longitude"),1)</f>
        <v>135.380585</v>
      </c>
      <c r="H553">
        <v>34.793007000000003</v>
      </c>
      <c r="I553">
        <v>135.380585</v>
      </c>
    </row>
    <row r="554" spans="1:9" x14ac:dyDescent="0.4">
      <c r="A554" t="s">
        <v>48</v>
      </c>
      <c r="B554" t="s">
        <v>1076</v>
      </c>
      <c r="C554" t="str">
        <f t="shared" si="41"/>
        <v>石川県金沢市彦三町１丁目１番１８号</v>
      </c>
      <c r="D554" s="2" t="str">
        <f t="shared" si="38"/>
        <v>http://geocode.csis.u-tokyo.ac.jp/cgi-bin/simple_geocode.cgi?charset=UTF8&amp;addr=%E7%9F%B3%E5%B7%9D%E7%9C%8C%E9%87%91%E6%B2%A2%E5%B8%82%E5%BD%A6%E4%B8%89%E7%94%BA%EF%BC%91%E4%B8%81%E7%9B%AE%EF%BC%91%E7%95%AA%EF%BC%91%EF%BC%98%E5%8F%B7</v>
      </c>
      <c r="E554" t="str">
        <f t="shared" si="39"/>
        <v xml:space="preserve">&lt;?xml version="1.0" encoding="UTF-8" ?&gt;
&lt;results&gt;
&lt;query&gt;石川県金沢市彦三町１丁目１番１８号&lt;/query&gt;
&lt;geodetic&gt;wgs1984&lt;/geodetic&gt;
&lt;iConf&gt;5&lt;/iConf&gt;
&lt;converted&gt;石川県金沢市彦三町１丁目１番１８号&lt;/converted&gt;
&lt;candidate&gt;
&lt;address&gt;石川県/金沢市/彦三町/一丁目/１番/１８号&lt;/address&gt;
&lt;longitude&gt;136.658035&lt;/longitude&gt;
&lt;latitude&gt;36.572987&lt;/latitude&gt;
&lt;iLvl&gt;8&lt;/iLvl&gt;
&lt;/candidate&gt;
&lt;/results&gt;
</v>
      </c>
      <c r="F554" cm="1">
        <f t="array" ref="F554">INDEX(_xlfn.FILTERXML(E554,"//latitude"),1)</f>
        <v>36.572986999999998</v>
      </c>
      <c r="G554" cm="1">
        <f t="array" ref="G554">INDEX(_xlfn.FILTERXML(E554,"//longitude"),1)</f>
        <v>136.65803500000001</v>
      </c>
      <c r="H554">
        <v>36.572986999999998</v>
      </c>
      <c r="I554">
        <v>136.65803500000001</v>
      </c>
    </row>
    <row r="555" spans="1:9" x14ac:dyDescent="0.4">
      <c r="A555" t="s">
        <v>9</v>
      </c>
      <c r="B555" t="s">
        <v>900</v>
      </c>
      <c r="C555" t="str">
        <f t="shared" si="41"/>
        <v>東京都新宿区高田馬場</v>
      </c>
      <c r="D555" s="2" t="str">
        <f t="shared" si="38"/>
        <v>http://geocode.csis.u-tokyo.ac.jp/cgi-bin/simple_geocode.cgi?charset=UTF8&amp;addr=%E6%9D%B1%E4%BA%AC%E9%83%BD%E6%96%B0%E5%AE%BF%E5%8C%BA%E9%AB%98%E7%94%B0%E9%A6%AC%E5%A0%B4</v>
      </c>
      <c r="E555" t="str">
        <f t="shared" si="39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555" cm="1">
        <f t="array" ref="F555">INDEX(_xlfn.FILTERXML(E555,"//latitude"),1)</f>
        <v>35.710979000000002</v>
      </c>
      <c r="G555" cm="1">
        <f t="array" ref="G555">INDEX(_xlfn.FILTERXML(E555,"//longitude"),1)</f>
        <v>139.70642100000001</v>
      </c>
      <c r="H555">
        <v>35.710979000000002</v>
      </c>
      <c r="I555">
        <v>139.70642100000001</v>
      </c>
    </row>
    <row r="556" spans="1:9" x14ac:dyDescent="0.4">
      <c r="A556" t="s">
        <v>128</v>
      </c>
      <c r="B556" t="s">
        <v>1077</v>
      </c>
      <c r="C556" t="str">
        <f t="shared" si="41"/>
        <v>山形県山形市</v>
      </c>
      <c r="D556" s="2" t="str">
        <f t="shared" si="38"/>
        <v>http://geocode.csis.u-tokyo.ac.jp/cgi-bin/simple_geocode.cgi?charset=UTF8&amp;addr=%E5%B1%B1%E5%BD%A2%E7%9C%8C%E5%B1%B1%E5%BD%A2%E5%B8%82</v>
      </c>
      <c r="E556" t="str">
        <f t="shared" si="39"/>
        <v xml:space="preserve">&lt;?xml version="1.0" encoding="UTF-8" ?&gt;
&lt;results&gt;
&lt;query&gt;山形県山形市&lt;/query&gt;
&lt;geodetic&gt;wgs1984&lt;/geodetic&gt;
&lt;iConf&gt;5&lt;/iConf&gt;
&lt;converted&gt;山形県山形市&lt;/converted&gt;
&lt;candidate&gt;
&lt;address&gt;山形県/山形市&lt;/address&gt;
&lt;longitude&gt;140.339600&lt;/longitude&gt;
&lt;latitude&gt;38.255436&lt;/latitude&gt;
&lt;iLvl&gt;3&lt;/iLvl&gt;
&lt;/candidate&gt;
&lt;/results&gt;
</v>
      </c>
      <c r="F556" cm="1">
        <f t="array" ref="F556">INDEX(_xlfn.FILTERXML(E556,"//latitude"),1)</f>
        <v>38.255436000000003</v>
      </c>
      <c r="G556" cm="1">
        <f t="array" ref="G556">INDEX(_xlfn.FILTERXML(E556,"//longitude"),1)</f>
        <v>140.33959999999999</v>
      </c>
      <c r="H556">
        <v>38.255436000000003</v>
      </c>
      <c r="I556">
        <v>140.33959999999999</v>
      </c>
    </row>
    <row r="557" spans="1:9" x14ac:dyDescent="0.4">
      <c r="A557" t="s">
        <v>18</v>
      </c>
      <c r="B557" t="s">
        <v>156</v>
      </c>
      <c r="C557" t="str">
        <f t="shared" si="41"/>
        <v>千葉県松戸市</v>
      </c>
      <c r="D557" s="2" t="str">
        <f t="shared" si="38"/>
        <v>http://geocode.csis.u-tokyo.ac.jp/cgi-bin/simple_geocode.cgi?charset=UTF8&amp;addr=%E5%8D%83%E8%91%89%E7%9C%8C%E6%9D%BE%E6%88%B8%E5%B8%82</v>
      </c>
      <c r="E557" t="str">
        <f t="shared" si="39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557" cm="1">
        <f t="array" ref="F557">INDEX(_xlfn.FILTERXML(E557,"//latitude"),1)</f>
        <v>35.787650999999997</v>
      </c>
      <c r="G557" cm="1">
        <f t="array" ref="G557">INDEX(_xlfn.FILTERXML(E557,"//longitude"),1)</f>
        <v>139.90322900000001</v>
      </c>
      <c r="H557">
        <v>35.787650999999997</v>
      </c>
      <c r="I557">
        <v>139.90322900000001</v>
      </c>
    </row>
    <row r="558" spans="1:9" x14ac:dyDescent="0.4">
      <c r="A558" t="s">
        <v>13</v>
      </c>
      <c r="B558" t="s">
        <v>1078</v>
      </c>
      <c r="C558" t="str">
        <f t="shared" si="41"/>
        <v>埼玉県富士見市</v>
      </c>
      <c r="D558" s="2" t="str">
        <f t="shared" si="38"/>
        <v>http://geocode.csis.u-tokyo.ac.jp/cgi-bin/simple_geocode.cgi?charset=UTF8&amp;addr=%E5%9F%BC%E7%8E%89%E7%9C%8C%E5%AF%8C%E5%A3%AB%E8%A6%8B%E5%B8%82</v>
      </c>
      <c r="E558" t="str">
        <f t="shared" si="39"/>
        <v xml:space="preserve">&lt;?xml version="1.0" encoding="UTF-8" ?&gt;
&lt;results&gt;
&lt;query&gt;埼玉県富士見市&lt;/query&gt;
&lt;geodetic&gt;wgs1984&lt;/geodetic&gt;
&lt;iConf&gt;5&lt;/iConf&gt;
&lt;converted&gt;埼玉県富士見市&lt;/converted&gt;
&lt;candidate&gt;
&lt;address&gt;埼玉県/富士見市&lt;/address&gt;
&lt;longitude&gt;139.549072&lt;/longitude&gt;
&lt;latitude&gt;35.856758&lt;/latitude&gt;
&lt;iLvl&gt;3&lt;/iLvl&gt;
&lt;/candidate&gt;
&lt;/results&gt;
</v>
      </c>
      <c r="F558" cm="1">
        <f t="array" ref="F558">INDEX(_xlfn.FILTERXML(E558,"//latitude"),1)</f>
        <v>35.856757999999999</v>
      </c>
      <c r="G558" cm="1">
        <f t="array" ref="G558">INDEX(_xlfn.FILTERXML(E558,"//longitude"),1)</f>
        <v>139.549072</v>
      </c>
      <c r="H558">
        <v>35.856757999999999</v>
      </c>
      <c r="I558">
        <v>139.549072</v>
      </c>
    </row>
    <row r="559" spans="1:9" x14ac:dyDescent="0.4">
      <c r="A559" t="s">
        <v>34</v>
      </c>
      <c r="B559" t="s">
        <v>1079</v>
      </c>
      <c r="C559" t="str">
        <f t="shared" si="41"/>
        <v>岐阜県各務原市那加巾下町</v>
      </c>
      <c r="D559" s="2" t="str">
        <f t="shared" si="38"/>
        <v>http://geocode.csis.u-tokyo.ac.jp/cgi-bin/simple_geocode.cgi?charset=UTF8&amp;addr=%E5%B2%90%E9%98%9C%E7%9C%8C%E5%90%84%E5%8B%99%E5%8E%9F%E5%B8%82%E9%82%A3%E5%8A%A0%E5%B7%BE%E4%B8%8B%E7%94%BA</v>
      </c>
      <c r="E559" t="str">
        <f t="shared" si="39"/>
        <v xml:space="preserve">&lt;?xml version="1.0" encoding="UTF-8" ?&gt;
&lt;results&gt;
&lt;query&gt;岐阜県各務原市那加巾下町&lt;/query&gt;
&lt;geodetic&gt;wgs1984&lt;/geodetic&gt;
&lt;iConf&gt;5&lt;/iConf&gt;
&lt;converted&gt;岐阜県各務原市那加巾下町&lt;/converted&gt;
&lt;candidate&gt;
&lt;address&gt;岐阜県/各務原市/那加巾下町&lt;/address&gt;
&lt;longitude&gt;136.845840&lt;/longitude&gt;
&lt;latitude&gt;35.409416&lt;/latitude&gt;
&lt;iLvl&gt;5&lt;/iLvl&gt;
&lt;/candidate&gt;
&lt;/results&gt;
</v>
      </c>
      <c r="F559" cm="1">
        <f t="array" ref="F559">INDEX(_xlfn.FILTERXML(E559,"//latitude"),1)</f>
        <v>35.409416</v>
      </c>
      <c r="G559" cm="1">
        <f t="array" ref="G559">INDEX(_xlfn.FILTERXML(E559,"//longitude"),1)</f>
        <v>136.84584000000001</v>
      </c>
      <c r="H559">
        <v>35.409416</v>
      </c>
      <c r="I559">
        <v>136.84584000000001</v>
      </c>
    </row>
    <row r="560" spans="1:9" x14ac:dyDescent="0.4">
      <c r="A560" t="s">
        <v>15</v>
      </c>
      <c r="B560" t="s">
        <v>1080</v>
      </c>
      <c r="C560" t="str">
        <f t="shared" si="41"/>
        <v>兵庫県丹波篠山市立町</v>
      </c>
      <c r="D560" s="2" t="str">
        <f t="shared" si="38"/>
        <v>http://geocode.csis.u-tokyo.ac.jp/cgi-bin/simple_geocode.cgi?charset=UTF8&amp;addr=%E5%85%B5%E5%BA%AB%E7%9C%8C%E4%B8%B9%E6%B3%A2%E7%AF%A0%E5%B1%B1%E5%B8%82%E7%AB%8B%E7%94%BA</v>
      </c>
      <c r="E560" t="str">
        <f t="shared" si="39"/>
        <v xml:space="preserve">&lt;?xml version="1.0" encoding="UTF-8" ?&gt;
&lt;results&gt;
&lt;query&gt;兵庫県丹波篠山市立町&lt;/query&gt;
&lt;geodetic&gt;wgs1984&lt;/geodetic&gt;
&lt;iConf&gt;5&lt;/iConf&gt;
&lt;converted&gt;兵庫県丹波篠山市立町&lt;/converted&gt;
&lt;candidate&gt;
&lt;address&gt;兵庫県/丹波篠山市/立町&lt;/address&gt;
&lt;longitude&gt;135.224091&lt;/longitude&gt;
&lt;latitude&gt;35.075436&lt;/latitude&gt;
&lt;iLvl&gt;5&lt;/iLvl&gt;
&lt;/candidate&gt;
&lt;/results&gt;
</v>
      </c>
      <c r="F560" cm="1">
        <f t="array" ref="F560">INDEX(_xlfn.FILTERXML(E560,"//latitude"),1)</f>
        <v>35.075436000000003</v>
      </c>
      <c r="G560" cm="1">
        <f t="array" ref="G560">INDEX(_xlfn.FILTERXML(E560,"//longitude"),1)</f>
        <v>135.22409099999999</v>
      </c>
      <c r="H560">
        <v>35.075436000000003</v>
      </c>
      <c r="I560">
        <v>135.22409099999999</v>
      </c>
    </row>
    <row r="561" spans="1:9" x14ac:dyDescent="0.4">
      <c r="A561" t="s">
        <v>39</v>
      </c>
      <c r="B561" t="s">
        <v>40</v>
      </c>
      <c r="C561" t="str">
        <f t="shared" si="41"/>
        <v>愛媛県松山市</v>
      </c>
      <c r="D561" s="2" t="str">
        <f t="shared" si="38"/>
        <v>http://geocode.csis.u-tokyo.ac.jp/cgi-bin/simple_geocode.cgi?charset=UTF8&amp;addr=%E6%84%9B%E5%AA%9B%E7%9C%8C%E6%9D%BE%E5%B1%B1%E5%B8%82</v>
      </c>
      <c r="E561" t="str">
        <f t="shared" si="39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561" cm="1">
        <f t="array" ref="F561">INDEX(_xlfn.FILTERXML(E561,"//latitude"),1)</f>
        <v>33.839157</v>
      </c>
      <c r="G561" cm="1">
        <f t="array" ref="G561">INDEX(_xlfn.FILTERXML(E561,"//longitude"),1)</f>
        <v>132.76554899999999</v>
      </c>
      <c r="H561">
        <v>33.839157</v>
      </c>
      <c r="I561">
        <v>132.76554899999999</v>
      </c>
    </row>
    <row r="562" spans="1:9" x14ac:dyDescent="0.4">
      <c r="A562" t="s">
        <v>17</v>
      </c>
      <c r="B562" t="s">
        <v>782</v>
      </c>
      <c r="C562" t="str">
        <f t="shared" si="41"/>
        <v>愛知県名古屋市中川区愛知町</v>
      </c>
      <c r="D562" s="2" t="str">
        <f t="shared" si="38"/>
        <v>http://geocode.csis.u-tokyo.ac.jp/cgi-bin/simple_geocode.cgi?charset=UTF8&amp;addr=%E6%84%9B%E7%9F%A5%E7%9C%8C%E5%90%8D%E5%8F%A4%E5%B1%8B%E5%B8%82%E4%B8%AD%E5%B7%9D%E5%8C%BA%E6%84%9B%E7%9F%A5%E7%94%BA</v>
      </c>
      <c r="E562" t="str">
        <f t="shared" si="39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562" cm="1">
        <f t="array" ref="F562">INDEX(_xlfn.FILTERXML(E562,"//latitude"),1)</f>
        <v>35.154071999999999</v>
      </c>
      <c r="G562" cm="1">
        <f t="array" ref="G562">INDEX(_xlfn.FILTERXML(E562,"//longitude"),1)</f>
        <v>136.87617499999999</v>
      </c>
      <c r="H562">
        <v>35.154071999999999</v>
      </c>
      <c r="I562">
        <v>136.87617499999999</v>
      </c>
    </row>
    <row r="563" spans="1:9" x14ac:dyDescent="0.4">
      <c r="A563" t="s">
        <v>9</v>
      </c>
      <c r="B563" t="s">
        <v>252</v>
      </c>
      <c r="C563" t="str">
        <f t="shared" si="41"/>
        <v>東京都渋谷区代々木</v>
      </c>
      <c r="D563" s="2" t="str">
        <f t="shared" si="38"/>
        <v>http://geocode.csis.u-tokyo.ac.jp/cgi-bin/simple_geocode.cgi?charset=UTF8&amp;addr=%E6%9D%B1%E4%BA%AC%E9%83%BD%E6%B8%8B%E8%B0%B7%E5%8C%BA%E4%BB%A3%E3%80%85%E6%9C%A8</v>
      </c>
      <c r="E563" t="str">
        <f t="shared" si="39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563" cm="1">
        <f t="array" ref="F563">INDEX(_xlfn.FILTERXML(E563,"//latitude"),1)</f>
        <v>35.681885000000001</v>
      </c>
      <c r="G563" cm="1">
        <f t="array" ref="G563">INDEX(_xlfn.FILTERXML(E563,"//longitude"),1)</f>
        <v>139.70004299999999</v>
      </c>
      <c r="H563">
        <v>35.681885000000001</v>
      </c>
      <c r="I563">
        <v>139.70004299999999</v>
      </c>
    </row>
    <row r="564" spans="1:9" x14ac:dyDescent="0.4">
      <c r="A564" t="s">
        <v>28</v>
      </c>
      <c r="B564" t="s">
        <v>172</v>
      </c>
      <c r="C564" t="str">
        <f t="shared" si="41"/>
        <v>沖縄県那覇市</v>
      </c>
      <c r="D564" s="2" t="str">
        <f t="shared" si="38"/>
        <v>http://geocode.csis.u-tokyo.ac.jp/cgi-bin/simple_geocode.cgi?charset=UTF8&amp;addr=%E6%B2%96%E7%B8%84%E7%9C%8C%E9%82%A3%E8%A6%87%E5%B8%82</v>
      </c>
      <c r="E564" t="str">
        <f t="shared" si="39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564" cm="1">
        <f t="array" ref="F564">INDEX(_xlfn.FILTERXML(E564,"//latitude"),1)</f>
        <v>26.212295999999998</v>
      </c>
      <c r="G564" cm="1">
        <f t="array" ref="G564">INDEX(_xlfn.FILTERXML(E564,"//longitude"),1)</f>
        <v>127.679214</v>
      </c>
      <c r="H564">
        <v>26.212295999999998</v>
      </c>
      <c r="I564">
        <v>127.679214</v>
      </c>
    </row>
    <row r="565" spans="1:9" x14ac:dyDescent="0.4">
      <c r="A565" t="s">
        <v>13</v>
      </c>
      <c r="B565" t="s">
        <v>1081</v>
      </c>
      <c r="C565" t="str">
        <f t="shared" si="41"/>
        <v>埼玉県越谷市大間野町</v>
      </c>
      <c r="D565" s="2" t="str">
        <f t="shared" si="38"/>
        <v>http://geocode.csis.u-tokyo.ac.jp/cgi-bin/simple_geocode.cgi?charset=UTF8&amp;addr=%E5%9F%BC%E7%8E%89%E7%9C%8C%E8%B6%8A%E8%B0%B7%E5%B8%82%E5%A4%A7%E9%96%93%E9%87%8E%E7%94%BA</v>
      </c>
      <c r="E565" t="str">
        <f t="shared" si="39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565" cm="1">
        <f t="array" ref="F565">INDEX(_xlfn.FILTERXML(E565,"//latitude"),1)</f>
        <v>35.862247000000004</v>
      </c>
      <c r="G565" cm="1">
        <f t="array" ref="G565">INDEX(_xlfn.FILTERXML(E565,"//longitude"),1)</f>
        <v>139.78457599999999</v>
      </c>
      <c r="H565">
        <v>35.862247000000004</v>
      </c>
      <c r="I565">
        <v>139.78457599999999</v>
      </c>
    </row>
    <row r="566" spans="1:9" x14ac:dyDescent="0.4">
      <c r="A566" t="s">
        <v>14</v>
      </c>
      <c r="B566" t="s">
        <v>1082</v>
      </c>
      <c r="C566" t="str">
        <f t="shared" si="41"/>
        <v>広島県福山市南蔵王町</v>
      </c>
      <c r="D566" s="2" t="str">
        <f t="shared" si="38"/>
        <v>http://geocode.csis.u-tokyo.ac.jp/cgi-bin/simple_geocode.cgi?charset=UTF8&amp;addr=%E5%BA%83%E5%B3%B6%E7%9C%8C%E7%A6%8F%E5%B1%B1%E5%B8%82%E5%8D%97%E8%94%B5%E7%8E%8B%E7%94%BA</v>
      </c>
      <c r="E566" t="str">
        <f t="shared" si="39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566" cm="1">
        <f t="array" ref="F566">INDEX(_xlfn.FILTERXML(E566,"//latitude"),1)</f>
        <v>34.502276999999999</v>
      </c>
      <c r="G566" cm="1">
        <f t="array" ref="G566">INDEX(_xlfn.FILTERXML(E566,"//longitude"),1)</f>
        <v>133.388138</v>
      </c>
      <c r="H566">
        <v>34.502276999999999</v>
      </c>
      <c r="I566">
        <v>133.388138</v>
      </c>
    </row>
    <row r="567" spans="1:9" x14ac:dyDescent="0.4">
      <c r="A567" t="s">
        <v>22</v>
      </c>
      <c r="B567" t="s">
        <v>1083</v>
      </c>
      <c r="C567" t="str">
        <f t="shared" si="41"/>
        <v>群馬県佐波郡玉村町下之宮</v>
      </c>
      <c r="D567" s="2" t="str">
        <f t="shared" si="38"/>
        <v>http://geocode.csis.u-tokyo.ac.jp/cgi-bin/simple_geocode.cgi?charset=UTF8&amp;addr=%E7%BE%A4%E9%A6%AC%E7%9C%8C%E4%BD%90%E6%B3%A2%E9%83%A1%E7%8E%89%E6%9D%91%E7%94%BA%E4%B8%8B%E4%B9%8B%E5%AE%AE</v>
      </c>
      <c r="E567" t="str">
        <f t="shared" si="39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567" cm="1">
        <f t="array" ref="F567">INDEX(_xlfn.FILTERXML(E567,"//latitude"),1)</f>
        <v>36.302546999999997</v>
      </c>
      <c r="G567" cm="1">
        <f t="array" ref="G567">INDEX(_xlfn.FILTERXML(E567,"//longitude"),1)</f>
        <v>139.14781199999999</v>
      </c>
      <c r="H567">
        <v>36.302546999999997</v>
      </c>
      <c r="I567">
        <v>139.14781199999999</v>
      </c>
    </row>
    <row r="568" spans="1:9" x14ac:dyDescent="0.4">
      <c r="A568" t="s">
        <v>10</v>
      </c>
      <c r="B568" t="s">
        <v>748</v>
      </c>
      <c r="C568" t="str">
        <f t="shared" si="41"/>
        <v>神奈川県横浜市旭区四季美台</v>
      </c>
      <c r="D568" s="2" t="str">
        <f t="shared" si="38"/>
        <v>http://geocode.csis.u-tokyo.ac.jp/cgi-bin/simple_geocode.cgi?charset=UTF8&amp;addr=%E7%A5%9E%E5%A5%88%E5%B7%9D%E7%9C%8C%E6%A8%AA%E6%B5%9C%E5%B8%82%E6%97%AD%E5%8C%BA%E5%9B%9B%E5%AD%A3%E7%BE%8E%E5%8F%B0</v>
      </c>
      <c r="E568" t="str">
        <f t="shared" si="39"/>
        <v xml:space="preserve">&lt;?xml version="1.0" encoding="UTF-8" ?&gt;
&lt;results&gt;
&lt;query&gt;神奈川県横浜市旭区四季美台&lt;/query&gt;
&lt;geodetic&gt;wgs1984&lt;/geodetic&gt;
&lt;iConf&gt;5&lt;/iConf&gt;
&lt;converted&gt;神奈川県横浜市旭区四季美台&lt;/converted&gt;
&lt;candidate&gt;
&lt;address&gt;神奈川県/横浜市/旭区/四季美台&lt;/address&gt;
&lt;longitude&gt;139.538208&lt;/longitude&gt;
&lt;latitude&gt;35.472000&lt;/latitude&gt;
&lt;iLvl&gt;5&lt;/iLvl&gt;
&lt;/candidate&gt;
&lt;/results&gt;
</v>
      </c>
      <c r="F568" cm="1">
        <f t="array" ref="F568">INDEX(_xlfn.FILTERXML(E568,"//latitude"),1)</f>
        <v>35.472000000000001</v>
      </c>
      <c r="G568" cm="1">
        <f t="array" ref="G568">INDEX(_xlfn.FILTERXML(E568,"//longitude"),1)</f>
        <v>139.538208</v>
      </c>
      <c r="H568">
        <v>35.472000000000001</v>
      </c>
      <c r="I568">
        <v>139.538208</v>
      </c>
    </row>
    <row r="569" spans="1:9" x14ac:dyDescent="0.4">
      <c r="A569" t="s">
        <v>11</v>
      </c>
      <c r="B569" t="s">
        <v>1084</v>
      </c>
      <c r="C569" t="str">
        <f t="shared" si="41"/>
        <v>大阪府大阪市東住吉区南田辺</v>
      </c>
      <c r="D569" s="2" t="str">
        <f t="shared" si="38"/>
        <v>http://geocode.csis.u-tokyo.ac.jp/cgi-bin/simple_geocode.cgi?charset=UTF8&amp;addr=%E5%A4%A7%E9%98%AA%E5%BA%9C%E5%A4%A7%E9%98%AA%E5%B8%82%E6%9D%B1%E4%BD%8F%E5%90%89%E5%8C%BA%E5%8D%97%E7%94%B0%E8%BE%BA</v>
      </c>
      <c r="E569" t="str">
        <f t="shared" si="39"/>
        <v xml:space="preserve">&lt;?xml version="1.0" encoding="UTF-8" ?&gt;
&lt;results&gt;
&lt;query&gt;大阪府大阪市東住吉区南田辺&lt;/query&gt;
&lt;geodetic&gt;wgs1984&lt;/geodetic&gt;
&lt;iConf&gt;5&lt;/iConf&gt;
&lt;converted&gt;大阪府大阪市東住吉区南田辺&lt;/converted&gt;
&lt;candidate&gt;
&lt;address&gt;大阪府/大阪市/東住吉区/南田辺&lt;/address&gt;
&lt;longitude&gt;135.524170&lt;/longitude&gt;
&lt;latitude&gt;34.622089&lt;/latitude&gt;
&lt;iLvl&gt;5&lt;/iLvl&gt;
&lt;/candidate&gt;
&lt;/results&gt;
</v>
      </c>
      <c r="F569" cm="1">
        <f t="array" ref="F569">INDEX(_xlfn.FILTERXML(E569,"//latitude"),1)</f>
        <v>34.622089000000003</v>
      </c>
      <c r="G569" cm="1">
        <f t="array" ref="G569">INDEX(_xlfn.FILTERXML(E569,"//longitude"),1)</f>
        <v>135.52417</v>
      </c>
      <c r="H569">
        <v>34.622089000000003</v>
      </c>
      <c r="I569">
        <v>135.52417</v>
      </c>
    </row>
    <row r="570" spans="1:9" x14ac:dyDescent="0.4">
      <c r="A570" t="s">
        <v>9</v>
      </c>
      <c r="B570" t="s">
        <v>1085</v>
      </c>
      <c r="C570" t="str">
        <f t="shared" si="41"/>
        <v>東京都杉並区今川</v>
      </c>
      <c r="D570" s="2" t="str">
        <f t="shared" si="38"/>
        <v>http://geocode.csis.u-tokyo.ac.jp/cgi-bin/simple_geocode.cgi?charset=UTF8&amp;addr=%E6%9D%B1%E4%BA%AC%E9%83%BD%E6%9D%89%E4%B8%A6%E5%8C%BA%E4%BB%8A%E5%B7%9D</v>
      </c>
      <c r="E570" t="str">
        <f t="shared" si="39"/>
        <v xml:space="preserve">&lt;?xml version="1.0" encoding="UTF-8" ?&gt;
&lt;results&gt;
&lt;query&gt;東京都杉並区今川&lt;/query&gt;
&lt;geodetic&gt;wgs1984&lt;/geodetic&gt;
&lt;iConf&gt;5&lt;/iConf&gt;
&lt;converted&gt;東京都杉並区今川&lt;/converted&gt;
&lt;candidate&gt;
&lt;address&gt;東京都/杉並区/今川&lt;/address&gt;
&lt;longitude&gt;139.612579&lt;/longitude&gt;
&lt;latitude&gt;35.716805&lt;/latitude&gt;
&lt;iLvl&gt;5&lt;/iLvl&gt;
&lt;/candidate&gt;
&lt;/results&gt;
</v>
      </c>
      <c r="F570" cm="1">
        <f t="array" ref="F570">INDEX(_xlfn.FILTERXML(E570,"//latitude"),1)</f>
        <v>35.716805000000001</v>
      </c>
      <c r="G570" cm="1">
        <f t="array" ref="G570">INDEX(_xlfn.FILTERXML(E570,"//longitude"),1)</f>
        <v>139.61257900000001</v>
      </c>
      <c r="H570">
        <v>35.716805000000001</v>
      </c>
      <c r="I570">
        <v>139.61257900000001</v>
      </c>
    </row>
    <row r="571" spans="1:9" x14ac:dyDescent="0.4">
      <c r="A571" t="s">
        <v>26</v>
      </c>
      <c r="B571" t="s">
        <v>1086</v>
      </c>
      <c r="C571" t="str">
        <f t="shared" si="41"/>
        <v>京都府京都市右京区梅津前田町</v>
      </c>
      <c r="D571" s="2" t="str">
        <f t="shared" ref="D571:D634" si="42" xml:space="preserve"> "http://geocode.csis.u-tokyo.ac.jp/cgi-bin/simple_geocode.cgi?charset=UTF8&amp;addr=" &amp; _xlfn.ENCODEURL(C571)</f>
        <v>http://geocode.csis.u-tokyo.ac.jp/cgi-bin/simple_geocode.cgi?charset=UTF8&amp;addr=%E4%BA%AC%E9%83%BD%E5%BA%9C%E4%BA%AC%E9%83%BD%E5%B8%82%E5%8F%B3%E4%BA%AC%E5%8C%BA%E6%A2%85%E6%B4%A5%E5%89%8D%E7%94%B0%E7%94%BA</v>
      </c>
      <c r="E571" t="str">
        <f t="shared" ref="E571:E634" si="43" xml:space="preserve"> _xlfn.WEBSERVICE(D571)</f>
        <v xml:space="preserve">&lt;?xml version="1.0" encoding="UTF-8" ?&gt;
&lt;results&gt;
&lt;query&gt;京都府京都市右京区梅津前田町&lt;/query&gt;
&lt;geodetic&gt;wgs1984&lt;/geodetic&gt;
&lt;iConf&gt;5&lt;/iConf&gt;
&lt;converted&gt;京都府京都市右京区梅津前田町&lt;/converted&gt;
&lt;candidate&gt;
&lt;address&gt;京都府/京都市/右京区/梅津前田町&lt;/address&gt;
&lt;longitude&gt;135.694061&lt;/longitude&gt;
&lt;latitude&gt;35.003010&lt;/latitude&gt;
&lt;iLvl&gt;5&lt;/iLvl&gt;
&lt;/candidate&gt;
&lt;/results&gt;
</v>
      </c>
      <c r="F571" cm="1">
        <f t="array" ref="F571">INDEX(_xlfn.FILTERXML(E571,"//latitude"),1)</f>
        <v>35.003010000000003</v>
      </c>
      <c r="G571" cm="1">
        <f t="array" ref="G571">INDEX(_xlfn.FILTERXML(E571,"//longitude"),1)</f>
        <v>135.694061</v>
      </c>
      <c r="H571">
        <v>35.003010000000003</v>
      </c>
      <c r="I571">
        <v>135.694061</v>
      </c>
    </row>
    <row r="572" spans="1:9" x14ac:dyDescent="0.4">
      <c r="A572" t="s">
        <v>21</v>
      </c>
      <c r="B572" t="s">
        <v>729</v>
      </c>
      <c r="C572" t="str">
        <f t="shared" si="41"/>
        <v>福岡県福岡市南区若久</v>
      </c>
      <c r="D572" s="2" t="str">
        <f t="shared" si="42"/>
        <v>http://geocode.csis.u-tokyo.ac.jp/cgi-bin/simple_geocode.cgi?charset=UTF8&amp;addr=%E7%A6%8F%E5%B2%A1%E7%9C%8C%E7%A6%8F%E5%B2%A1%E5%B8%82%E5%8D%97%E5%8C%BA%E8%8B%A5%E4%B9%85</v>
      </c>
      <c r="E572" t="str">
        <f t="shared" si="43"/>
        <v xml:space="preserve">&lt;?xml version="1.0" encoding="UTF-8" ?&gt;
&lt;results&gt;
&lt;query&gt;福岡県福岡市南区若久&lt;/query&gt;
&lt;geodetic&gt;wgs1984&lt;/geodetic&gt;
&lt;iConf&gt;5&lt;/iConf&gt;
&lt;converted&gt;福岡県福岡市南区若久&lt;/converted&gt;
&lt;candidate&gt;
&lt;address&gt;福岡県/福岡市/南区/若久&lt;/address&gt;
&lt;longitude&gt;130.413757&lt;/longitude&gt;
&lt;latitude&gt;33.555710&lt;/latitude&gt;
&lt;iLvl&gt;5&lt;/iLvl&gt;
&lt;/candidate&gt;
&lt;/results&gt;
</v>
      </c>
      <c r="F572" cm="1">
        <f t="array" ref="F572">INDEX(_xlfn.FILTERXML(E572,"//latitude"),1)</f>
        <v>33.555709999999998</v>
      </c>
      <c r="G572" cm="1">
        <f t="array" ref="G572">INDEX(_xlfn.FILTERXML(E572,"//longitude"),1)</f>
        <v>130.413757</v>
      </c>
      <c r="H572">
        <v>33.555709999999998</v>
      </c>
      <c r="I572">
        <v>130.413757</v>
      </c>
    </row>
    <row r="573" spans="1:9" x14ac:dyDescent="0.4">
      <c r="A573" t="s">
        <v>9</v>
      </c>
      <c r="B573" t="s">
        <v>331</v>
      </c>
      <c r="C573" t="str">
        <f t="shared" si="41"/>
        <v>東京都調布市</v>
      </c>
      <c r="D573" s="2" t="str">
        <f t="shared" si="42"/>
        <v>http://geocode.csis.u-tokyo.ac.jp/cgi-bin/simple_geocode.cgi?charset=UTF8&amp;addr=%E6%9D%B1%E4%BA%AC%E9%83%BD%E8%AA%BF%E5%B8%83%E5%B8%82</v>
      </c>
      <c r="E573" t="str">
        <f t="shared" si="43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573" cm="1">
        <f t="array" ref="F573">INDEX(_xlfn.FILTERXML(E573,"//latitude"),1)</f>
        <v>35.650627</v>
      </c>
      <c r="G573" cm="1">
        <f t="array" ref="G573">INDEX(_xlfn.FILTERXML(E573,"//longitude"),1)</f>
        <v>139.54068000000001</v>
      </c>
      <c r="H573">
        <v>35.650627</v>
      </c>
      <c r="I573">
        <v>139.54068000000001</v>
      </c>
    </row>
    <row r="574" spans="1:9" x14ac:dyDescent="0.4">
      <c r="A574" t="s">
        <v>11</v>
      </c>
      <c r="B574" t="s">
        <v>1087</v>
      </c>
      <c r="C574" t="str">
        <f t="shared" si="41"/>
        <v>大阪府大阪市城東区新喜多</v>
      </c>
      <c r="D574" s="2" t="str">
        <f t="shared" si="42"/>
        <v>http://geocode.csis.u-tokyo.ac.jp/cgi-bin/simple_geocode.cgi?charset=UTF8&amp;addr=%E5%A4%A7%E9%98%AA%E5%BA%9C%E5%A4%A7%E9%98%AA%E5%B8%82%E5%9F%8E%E6%9D%B1%E5%8C%BA%E6%96%B0%E5%96%9C%E5%A4%9A</v>
      </c>
      <c r="E574" t="str">
        <f t="shared" si="43"/>
        <v xml:space="preserve">&lt;?xml version="1.0" encoding="UTF-8" ?&gt;
&lt;results&gt;
&lt;query&gt;大阪府大阪市城東区新喜多&lt;/query&gt;
&lt;geodetic&gt;wgs1984&lt;/geodetic&gt;
&lt;iConf&gt;5&lt;/iConf&gt;
&lt;converted&gt;大阪府大阪市城東区新喜多&lt;/converted&gt;
&lt;candidate&gt;
&lt;address&gt;大阪府/大阪市/城東区/新喜多&lt;/address&gt;
&lt;longitude&gt;135.537460&lt;/longitude&gt;
&lt;latitude&gt;34.696735&lt;/latitude&gt;
&lt;iLvl&gt;5&lt;/iLvl&gt;
&lt;/candidate&gt;
&lt;/results&gt;
</v>
      </c>
      <c r="F574" cm="1">
        <f t="array" ref="F574">INDEX(_xlfn.FILTERXML(E574,"//latitude"),1)</f>
        <v>34.696734999999997</v>
      </c>
      <c r="G574" cm="1">
        <f t="array" ref="G574">INDEX(_xlfn.FILTERXML(E574,"//longitude"),1)</f>
        <v>135.53746000000001</v>
      </c>
      <c r="H574" s="3">
        <v>34.696734999999997</v>
      </c>
      <c r="I574" s="3">
        <v>135.53746000000001</v>
      </c>
    </row>
    <row r="575" spans="1:9" x14ac:dyDescent="0.4">
      <c r="A575" t="s">
        <v>20</v>
      </c>
      <c r="B575" t="s">
        <v>1088</v>
      </c>
      <c r="C575" t="str">
        <f t="shared" si="41"/>
        <v>茨城県神栖市</v>
      </c>
      <c r="D575" s="2" t="str">
        <f t="shared" si="42"/>
        <v>http://geocode.csis.u-tokyo.ac.jp/cgi-bin/simple_geocode.cgi?charset=UTF8&amp;addr=%E8%8C%A8%E5%9F%8E%E7%9C%8C%E7%A5%9E%E6%A0%96%E5%B8%82</v>
      </c>
      <c r="E575" t="str">
        <f t="shared" si="43"/>
        <v xml:space="preserve">&lt;?xml version="1.0" encoding="UTF-8" ?&gt;
&lt;results&gt;
&lt;query&gt;茨城県神栖市&lt;/query&gt;
&lt;geodetic&gt;wgs1984&lt;/geodetic&gt;
&lt;iConf&gt;5&lt;/iConf&gt;
&lt;converted&gt;茨城県神栖市&lt;/converted&gt;
&lt;candidate&gt;
&lt;address&gt;茨城県/神栖市&lt;/address&gt;
&lt;longitude&gt;140.664520&lt;/longitude&gt;
&lt;latitude&gt;35.889973&lt;/latitude&gt;
&lt;iLvl&gt;3&lt;/iLvl&gt;
&lt;/candidate&gt;
&lt;/results&gt;
</v>
      </c>
      <c r="F575" cm="1">
        <f t="array" ref="F575">INDEX(_xlfn.FILTERXML(E575,"//latitude"),1)</f>
        <v>35.889972999999998</v>
      </c>
      <c r="G575" cm="1">
        <f t="array" ref="G575">INDEX(_xlfn.FILTERXML(E575,"//longitude"),1)</f>
        <v>140.66452000000001</v>
      </c>
      <c r="H575">
        <v>35.889972999999998</v>
      </c>
      <c r="I575">
        <v>140.66452000000001</v>
      </c>
    </row>
    <row r="576" spans="1:9" x14ac:dyDescent="0.4">
      <c r="A576" t="s">
        <v>11</v>
      </c>
      <c r="B576" t="s">
        <v>796</v>
      </c>
      <c r="C576" t="str">
        <f t="shared" si="41"/>
        <v>大阪府高槻市別所中の町</v>
      </c>
      <c r="D576" s="2" t="str">
        <f t="shared" si="42"/>
        <v>http://geocode.csis.u-tokyo.ac.jp/cgi-bin/simple_geocode.cgi?charset=UTF8&amp;addr=%E5%A4%A7%E9%98%AA%E5%BA%9C%E9%AB%98%E6%A7%BB%E5%B8%82%E5%88%A5%E6%89%80%E4%B8%AD%E3%81%AE%E7%94%BA</v>
      </c>
      <c r="E576" t="str">
        <f t="shared" si="43"/>
        <v xml:space="preserve">&lt;?xml version="1.0" encoding="UTF-8" ?&gt;
&lt;results&gt;
&lt;query&gt;大阪府高槻市別所中の町&lt;/query&gt;
&lt;geodetic&gt;wgs1984&lt;/geodetic&gt;
&lt;iConf&gt;5&lt;/iConf&gt;
&lt;converted&gt;大阪府高槻市別所中の町&lt;/converted&gt;
&lt;candidate&gt;
&lt;address&gt;大阪府/高槻市/別所中の町&lt;/address&gt;
&lt;longitude&gt;135.626862&lt;/longitude&gt;
&lt;latitude&gt;34.859146&lt;/latitude&gt;
&lt;iLvl&gt;5&lt;/iLvl&gt;
&lt;/candidate&gt;
&lt;/results&gt;
</v>
      </c>
      <c r="F576" cm="1">
        <f t="array" ref="F576">INDEX(_xlfn.FILTERXML(E576,"//latitude"),1)</f>
        <v>34.859146000000003</v>
      </c>
      <c r="G576" cm="1">
        <f t="array" ref="G576">INDEX(_xlfn.FILTERXML(E576,"//longitude"),1)</f>
        <v>135.62686199999999</v>
      </c>
      <c r="H576">
        <v>34.859146000000003</v>
      </c>
      <c r="I576">
        <v>135.62686199999999</v>
      </c>
    </row>
    <row r="577" spans="1:9" x14ac:dyDescent="0.4">
      <c r="A577" t="s">
        <v>9</v>
      </c>
      <c r="B577" t="s">
        <v>1085</v>
      </c>
      <c r="C577" t="str">
        <f t="shared" si="41"/>
        <v>東京都杉並区今川</v>
      </c>
      <c r="D577" s="2" t="str">
        <f t="shared" si="42"/>
        <v>http://geocode.csis.u-tokyo.ac.jp/cgi-bin/simple_geocode.cgi?charset=UTF8&amp;addr=%E6%9D%B1%E4%BA%AC%E9%83%BD%E6%9D%89%E4%B8%A6%E5%8C%BA%E4%BB%8A%E5%B7%9D</v>
      </c>
      <c r="E577" t="str">
        <f t="shared" si="43"/>
        <v xml:space="preserve">&lt;?xml version="1.0" encoding="UTF-8" ?&gt;
&lt;results&gt;
&lt;query&gt;東京都杉並区今川&lt;/query&gt;
&lt;geodetic&gt;wgs1984&lt;/geodetic&gt;
&lt;iConf&gt;5&lt;/iConf&gt;
&lt;converted&gt;東京都杉並区今川&lt;/converted&gt;
&lt;candidate&gt;
&lt;address&gt;東京都/杉並区/今川&lt;/address&gt;
&lt;longitude&gt;139.612579&lt;/longitude&gt;
&lt;latitude&gt;35.716805&lt;/latitude&gt;
&lt;iLvl&gt;5&lt;/iLvl&gt;
&lt;/candidate&gt;
&lt;/results&gt;
</v>
      </c>
      <c r="F577" cm="1">
        <f t="array" ref="F577">INDEX(_xlfn.FILTERXML(E577,"//latitude"),1)</f>
        <v>35.716805000000001</v>
      </c>
      <c r="G577" cm="1">
        <f t="array" ref="G577">INDEX(_xlfn.FILTERXML(E577,"//longitude"),1)</f>
        <v>139.61257900000001</v>
      </c>
      <c r="H577">
        <v>35.716805000000001</v>
      </c>
      <c r="I577">
        <v>139.61257900000001</v>
      </c>
    </row>
    <row r="578" spans="1:9" x14ac:dyDescent="0.4">
      <c r="A578" t="s">
        <v>9</v>
      </c>
      <c r="B578" t="s">
        <v>1089</v>
      </c>
      <c r="C578" t="str">
        <f t="shared" si="41"/>
        <v>東京都練馬区田柄</v>
      </c>
      <c r="D578" s="2" t="str">
        <f t="shared" si="42"/>
        <v>http://geocode.csis.u-tokyo.ac.jp/cgi-bin/simple_geocode.cgi?charset=UTF8&amp;addr=%E6%9D%B1%E4%BA%AC%E9%83%BD%E7%B7%B4%E9%A6%AC%E5%8C%BA%E7%94%B0%E6%9F%84</v>
      </c>
      <c r="E578" t="str">
        <f t="shared" si="43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578" cm="1">
        <f t="array" ref="F578">INDEX(_xlfn.FILTERXML(E578,"//latitude"),1)</f>
        <v>35.760455999999998</v>
      </c>
      <c r="G578" cm="1">
        <f t="array" ref="G578">INDEX(_xlfn.FILTERXML(E578,"//longitude"),1)</f>
        <v>139.64588900000001</v>
      </c>
      <c r="H578">
        <v>35.760455999999998</v>
      </c>
      <c r="I578">
        <v>139.64588900000001</v>
      </c>
    </row>
    <row r="579" spans="1:9" x14ac:dyDescent="0.4">
      <c r="A579" t="s">
        <v>21</v>
      </c>
      <c r="B579" t="s">
        <v>1090</v>
      </c>
      <c r="C579" t="str">
        <f t="shared" ref="C579:C642" si="44">+A579&amp;B579</f>
        <v>福岡県福岡市東区香椎照葉</v>
      </c>
      <c r="D579" s="2" t="str">
        <f t="shared" si="42"/>
        <v>http://geocode.csis.u-tokyo.ac.jp/cgi-bin/simple_geocode.cgi?charset=UTF8&amp;addr=%E7%A6%8F%E5%B2%A1%E7%9C%8C%E7%A6%8F%E5%B2%A1%E5%B8%82%E6%9D%B1%E5%8C%BA%E9%A6%99%E6%A4%8E%E7%85%A7%E8%91%89</v>
      </c>
      <c r="E579" t="str">
        <f t="shared" si="43"/>
        <v xml:space="preserve">&lt;?xml version="1.0" encoding="UTF-8" ?&gt;
&lt;results&gt;
&lt;query&gt;福岡県福岡市東区香椎照葉&lt;/query&gt;
&lt;geodetic&gt;wgs1984&lt;/geodetic&gt;
&lt;iConf&gt;5&lt;/iConf&gt;
&lt;converted&gt;福岡県福岡市東区香椎照葉&lt;/converted&gt;
&lt;candidate&gt;
&lt;address&gt;福岡県/福岡市/東区/香椎照葉&lt;/address&gt;
&lt;longitude&gt;130.425842&lt;/longitude&gt;
&lt;latitude&gt;33.664173&lt;/latitude&gt;
&lt;iLvl&gt;5&lt;/iLvl&gt;
&lt;/candidate&gt;
&lt;/results&gt;
</v>
      </c>
      <c r="F579" cm="1">
        <f t="array" ref="F579">INDEX(_xlfn.FILTERXML(E579,"//latitude"),1)</f>
        <v>33.664172999999998</v>
      </c>
      <c r="G579" cm="1">
        <f t="array" ref="G579">INDEX(_xlfn.FILTERXML(E579,"//longitude"),1)</f>
        <v>130.42584199999999</v>
      </c>
      <c r="H579">
        <v>33.664172999999998</v>
      </c>
      <c r="I579">
        <v>130.42584199999999</v>
      </c>
    </row>
    <row r="580" spans="1:9" x14ac:dyDescent="0.4">
      <c r="A580" t="s">
        <v>10</v>
      </c>
      <c r="B580" t="s">
        <v>742</v>
      </c>
      <c r="C580" t="str">
        <f t="shared" si="44"/>
        <v>神奈川県横浜市港北区新吉田東</v>
      </c>
      <c r="D580" s="2" t="str">
        <f t="shared" si="42"/>
        <v>http://geocode.csis.u-tokyo.ac.jp/cgi-bin/simple_geocode.cgi?charset=UTF8&amp;addr=%E7%A5%9E%E5%A5%88%E5%B7%9D%E7%9C%8C%E6%A8%AA%E6%B5%9C%E5%B8%82%E6%B8%AF%E5%8C%97%E5%8C%BA%E6%96%B0%E5%90%89%E7%94%B0%E6%9D%B1</v>
      </c>
      <c r="E580" t="str">
        <f t="shared" si="43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580" cm="1">
        <f t="array" ref="F580">INDEX(_xlfn.FILTERXML(E580,"//latitude"),1)</f>
        <v>35.543315999999997</v>
      </c>
      <c r="G580" cm="1">
        <f t="array" ref="G580">INDEX(_xlfn.FILTERXML(E580,"//longitude"),1)</f>
        <v>139.62115499999999</v>
      </c>
      <c r="H580">
        <v>35.543315999999997</v>
      </c>
      <c r="I580">
        <v>139.62115499999999</v>
      </c>
    </row>
    <row r="581" spans="1:9" x14ac:dyDescent="0.4">
      <c r="A581" t="s">
        <v>9</v>
      </c>
      <c r="B581" t="s">
        <v>1091</v>
      </c>
      <c r="C581" t="str">
        <f t="shared" si="44"/>
        <v>東京都豊島区東池袋</v>
      </c>
      <c r="D581" s="2" t="str">
        <f t="shared" si="42"/>
        <v>http://geocode.csis.u-tokyo.ac.jp/cgi-bin/simple_geocode.cgi?charset=UTF8&amp;addr=%E6%9D%B1%E4%BA%AC%E9%83%BD%E8%B1%8A%E5%B3%B6%E5%8C%BA%E6%9D%B1%E6%B1%A0%E8%A2%8B</v>
      </c>
      <c r="E581" t="str">
        <f t="shared" si="43"/>
        <v xml:space="preserve">&lt;?xml version="1.0" encoding="UTF-8" ?&gt;
&lt;results&gt;
&lt;query&gt;東京都豊島区東池袋&lt;/query&gt;
&lt;geodetic&gt;wgs1984&lt;/geodetic&gt;
&lt;iConf&gt;5&lt;/iConf&gt;
&lt;converted&gt;東京都豊島区東池袋&lt;/converted&gt;
&lt;candidate&gt;
&lt;address&gt;東京都/豊島区/東池袋&lt;/address&gt;
&lt;longitude&gt;139.715302&lt;/longitude&gt;
&lt;latitude&gt;35.731373&lt;/latitude&gt;
&lt;iLvl&gt;5&lt;/iLvl&gt;
&lt;/candidate&gt;
&lt;/results&gt;
</v>
      </c>
      <c r="F581" cm="1">
        <f t="array" ref="F581">INDEX(_xlfn.FILTERXML(E581,"//latitude"),1)</f>
        <v>35.731372999999998</v>
      </c>
      <c r="G581" cm="1">
        <f t="array" ref="G581">INDEX(_xlfn.FILTERXML(E581,"//longitude"),1)</f>
        <v>139.71530200000001</v>
      </c>
      <c r="H581">
        <v>35.731372999999998</v>
      </c>
      <c r="I581">
        <v>139.71530200000001</v>
      </c>
    </row>
    <row r="582" spans="1:9" x14ac:dyDescent="0.4">
      <c r="A582" t="s">
        <v>21</v>
      </c>
      <c r="B582" t="s">
        <v>1092</v>
      </c>
      <c r="C582" t="str">
        <f t="shared" si="44"/>
        <v>福岡県福津市</v>
      </c>
      <c r="D582" s="2" t="str">
        <f t="shared" si="42"/>
        <v>http://geocode.csis.u-tokyo.ac.jp/cgi-bin/simple_geocode.cgi?charset=UTF8&amp;addr=%E7%A6%8F%E5%B2%A1%E7%9C%8C%E7%A6%8F%E6%B4%A5%E5%B8%82</v>
      </c>
      <c r="E582" t="str">
        <f t="shared" si="43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582" cm="1">
        <f t="array" ref="F582">INDEX(_xlfn.FILTERXML(E582,"//latitude"),1)</f>
        <v>33.766894999999998</v>
      </c>
      <c r="G582" cm="1">
        <f t="array" ref="G582">INDEX(_xlfn.FILTERXML(E582,"//longitude"),1)</f>
        <v>130.49104299999999</v>
      </c>
      <c r="H582">
        <v>33.766894999999998</v>
      </c>
      <c r="I582">
        <v>130.49104299999999</v>
      </c>
    </row>
    <row r="583" spans="1:9" x14ac:dyDescent="0.4">
      <c r="A583" t="s">
        <v>48</v>
      </c>
      <c r="B583" t="s">
        <v>1093</v>
      </c>
      <c r="C583" t="str">
        <f t="shared" si="44"/>
        <v>石川県金沢市長坂２丁目</v>
      </c>
      <c r="D583" s="2" t="str">
        <f t="shared" si="42"/>
        <v>http://geocode.csis.u-tokyo.ac.jp/cgi-bin/simple_geocode.cgi?charset=UTF8&amp;addr=%E7%9F%B3%E5%B7%9D%E7%9C%8C%E9%87%91%E6%B2%A2%E5%B8%82%E9%95%B7%E5%9D%82%EF%BC%92%E4%B8%81%E7%9B%AE</v>
      </c>
      <c r="E583" t="str">
        <f t="shared" si="43"/>
        <v xml:space="preserve">&lt;?xml version="1.0" encoding="UTF-8" ?&gt;
&lt;results&gt;
&lt;query&gt;石川県金沢市長坂２丁目&lt;/query&gt;
&lt;geodetic&gt;wgs1984&lt;/geodetic&gt;
&lt;iConf&gt;5&lt;/iConf&gt;
&lt;converted&gt;石川県金沢市長坂２丁目&lt;/converted&gt;
&lt;candidate&gt;
&lt;address&gt;石川県/金沢市/長坂/二丁目&lt;/address&gt;
&lt;longitude&gt;136.659622&lt;/longitude&gt;
&lt;latitude&gt;36.537258&lt;/latitude&gt;
&lt;iLvl&gt;6&lt;/iLvl&gt;
&lt;/candidate&gt;
&lt;/results&gt;
</v>
      </c>
      <c r="F583" cm="1">
        <f t="array" ref="F583">INDEX(_xlfn.FILTERXML(E583,"//latitude"),1)</f>
        <v>36.537258000000001</v>
      </c>
      <c r="G583" cm="1">
        <f t="array" ref="G583">INDEX(_xlfn.FILTERXML(E583,"//longitude"),1)</f>
        <v>136.65962200000001</v>
      </c>
      <c r="H583">
        <v>36.537258000000001</v>
      </c>
      <c r="I583">
        <v>136.65962200000001</v>
      </c>
    </row>
    <row r="584" spans="1:9" x14ac:dyDescent="0.4">
      <c r="A584" t="s">
        <v>26</v>
      </c>
      <c r="B584" t="s">
        <v>1094</v>
      </c>
      <c r="C584" t="str">
        <f t="shared" si="44"/>
        <v>京都府京都市北区小山東元町</v>
      </c>
      <c r="D584" s="2" t="str">
        <f t="shared" si="42"/>
        <v>http://geocode.csis.u-tokyo.ac.jp/cgi-bin/simple_geocode.cgi?charset=UTF8&amp;addr=%E4%BA%AC%E9%83%BD%E5%BA%9C%E4%BA%AC%E9%83%BD%E5%B8%82%E5%8C%97%E5%8C%BA%E5%B0%8F%E5%B1%B1%E6%9D%B1%E5%85%83%E7%94%BA</v>
      </c>
      <c r="E584" t="str">
        <f t="shared" si="43"/>
        <v xml:space="preserve">&lt;?xml version="1.0" encoding="UTF-8" ?&gt;
&lt;results&gt;
&lt;query&gt;京都府京都市北区小山東元町&lt;/query&gt;
&lt;geodetic&gt;wgs1984&lt;/geodetic&gt;
&lt;iConf&gt;5&lt;/iConf&gt;
&lt;converted&gt;京都府京都市北区小山東元町&lt;/converted&gt;
&lt;candidate&gt;
&lt;address&gt;京都府/京都市/北区/小山東元町&lt;/address&gt;
&lt;longitude&gt;135.757339&lt;/longitude&gt;
&lt;latitude&gt;35.050388&lt;/latitude&gt;
&lt;iLvl&gt;5&lt;/iLvl&gt;
&lt;/candidate&gt;
&lt;/results&gt;
</v>
      </c>
      <c r="F584" cm="1">
        <f t="array" ref="F584">INDEX(_xlfn.FILTERXML(E584,"//latitude"),1)</f>
        <v>35.050387999999998</v>
      </c>
      <c r="G584" cm="1">
        <f t="array" ref="G584">INDEX(_xlfn.FILTERXML(E584,"//longitude"),1)</f>
        <v>135.757339</v>
      </c>
      <c r="H584">
        <v>35.050387999999998</v>
      </c>
      <c r="I584">
        <v>135.757339</v>
      </c>
    </row>
    <row r="585" spans="1:9" x14ac:dyDescent="0.4">
      <c r="A585" t="s">
        <v>9</v>
      </c>
      <c r="B585" t="s">
        <v>1095</v>
      </c>
      <c r="C585" t="str">
        <f t="shared" si="44"/>
        <v>東京都東大和市蔵敷</v>
      </c>
      <c r="D585" s="2" t="str">
        <f t="shared" si="42"/>
        <v>http://geocode.csis.u-tokyo.ac.jp/cgi-bin/simple_geocode.cgi?charset=UTF8&amp;addr=%E6%9D%B1%E4%BA%AC%E9%83%BD%E6%9D%B1%E5%A4%A7%E5%92%8C%E5%B8%82%E8%94%B5%E6%95%B7</v>
      </c>
      <c r="E585" t="str">
        <f t="shared" si="43"/>
        <v xml:space="preserve">&lt;?xml version="1.0" encoding="UTF-8" ?&gt;
&lt;results&gt;
&lt;query&gt;東京都東大和市蔵敷&lt;/query&gt;
&lt;geodetic&gt;wgs1984&lt;/geodetic&gt;
&lt;iConf&gt;5&lt;/iConf&gt;
&lt;converted&gt;東京都東大和市蔵敷&lt;/converted&gt;
&lt;candidate&gt;
&lt;address&gt;東京都/東大和市/蔵敷&lt;/address&gt;
&lt;longitude&gt;139.418884&lt;/longitude&gt;
&lt;latitude&gt;35.755863&lt;/latitude&gt;
&lt;iLvl&gt;5&lt;/iLvl&gt;
&lt;/candidate&gt;
&lt;/results&gt;
</v>
      </c>
      <c r="F585" cm="1">
        <f t="array" ref="F585">INDEX(_xlfn.FILTERXML(E585,"//latitude"),1)</f>
        <v>35.755862999999998</v>
      </c>
      <c r="G585" cm="1">
        <f t="array" ref="G585">INDEX(_xlfn.FILTERXML(E585,"//longitude"),1)</f>
        <v>139.41888399999999</v>
      </c>
      <c r="H585">
        <v>35.755862999999998</v>
      </c>
      <c r="I585">
        <v>139.41888399999999</v>
      </c>
    </row>
    <row r="586" spans="1:9" x14ac:dyDescent="0.4">
      <c r="A586" t="s">
        <v>21</v>
      </c>
      <c r="B586" t="s">
        <v>1096</v>
      </c>
      <c r="C586" t="str">
        <f t="shared" si="44"/>
        <v>福岡県福岡市中央区鳥飼</v>
      </c>
      <c r="D586" s="2" t="str">
        <f t="shared" si="42"/>
        <v>http://geocode.csis.u-tokyo.ac.jp/cgi-bin/simple_geocode.cgi?charset=UTF8&amp;addr=%E7%A6%8F%E5%B2%A1%E7%9C%8C%E7%A6%8F%E5%B2%A1%E5%B8%82%E4%B8%AD%E5%A4%AE%E5%8C%BA%E9%B3%A5%E9%A3%BC</v>
      </c>
      <c r="E586" t="str">
        <f t="shared" si="43"/>
        <v xml:space="preserve">&lt;?xml version="1.0" encoding="UTF-8" ?&gt;
&lt;results&gt;
&lt;query&gt;福岡県福岡市中央区鳥飼&lt;/query&gt;
&lt;geodetic&gt;wgs1984&lt;/geodetic&gt;
&lt;iConf&gt;5&lt;/iConf&gt;
&lt;converted&gt;福岡県福岡市中央区鳥飼&lt;/converted&gt;
&lt;candidate&gt;
&lt;address&gt;福岡県/福岡市/中央区/鳥飼&lt;/address&gt;
&lt;longitude&gt;130.368988&lt;/longitude&gt;
&lt;latitude&gt;33.581902&lt;/latitude&gt;
&lt;iLvl&gt;5&lt;/iLvl&gt;
&lt;/candidate&gt;
&lt;/results&gt;
</v>
      </c>
      <c r="F586" cm="1">
        <f t="array" ref="F586">INDEX(_xlfn.FILTERXML(E586,"//latitude"),1)</f>
        <v>33.581901999999999</v>
      </c>
      <c r="G586" cm="1">
        <f t="array" ref="G586">INDEX(_xlfn.FILTERXML(E586,"//longitude"),1)</f>
        <v>130.368988</v>
      </c>
      <c r="H586">
        <v>33.581901999999999</v>
      </c>
      <c r="I586">
        <v>130.368988</v>
      </c>
    </row>
    <row r="587" spans="1:9" x14ac:dyDescent="0.4">
      <c r="A587" t="s">
        <v>9</v>
      </c>
      <c r="B587" t="s">
        <v>1097</v>
      </c>
      <c r="C587" t="str">
        <f t="shared" si="44"/>
        <v>東京都国立市北</v>
      </c>
      <c r="D587" s="2" t="str">
        <f t="shared" si="42"/>
        <v>http://geocode.csis.u-tokyo.ac.jp/cgi-bin/simple_geocode.cgi?charset=UTF8&amp;addr=%E6%9D%B1%E4%BA%AC%E9%83%BD%E5%9B%BD%E7%AB%8B%E5%B8%82%E5%8C%97</v>
      </c>
      <c r="E587" t="str">
        <f t="shared" si="43"/>
        <v xml:space="preserve">&lt;?xml version="1.0" encoding="UTF-8" ?&gt;
&lt;results&gt;
&lt;query&gt;東京都国立市北&lt;/query&gt;
&lt;geodetic&gt;wgs1984&lt;/geodetic&gt;
&lt;iConf&gt;5&lt;/iConf&gt;
&lt;converted&gt;東京都国立市北&lt;/converted&gt;
&lt;candidate&gt;
&lt;address&gt;東京都/国立市/北&lt;/address&gt;
&lt;longitude&gt;139.446136&lt;/longitude&gt;
&lt;latitude&gt;35.699921&lt;/latitude&gt;
&lt;iLvl&gt;5&lt;/iLvl&gt;
&lt;/candidate&gt;
&lt;/results&gt;
</v>
      </c>
      <c r="F587" cm="1">
        <f t="array" ref="F587">INDEX(_xlfn.FILTERXML(E587,"//latitude"),1)</f>
        <v>35.699921000000003</v>
      </c>
      <c r="G587" cm="1">
        <f t="array" ref="G587">INDEX(_xlfn.FILTERXML(E587,"//longitude"),1)</f>
        <v>139.446136</v>
      </c>
      <c r="H587">
        <v>35.699921000000003</v>
      </c>
      <c r="I587">
        <v>139.446136</v>
      </c>
    </row>
    <row r="588" spans="1:9" x14ac:dyDescent="0.4">
      <c r="A588" t="s">
        <v>9</v>
      </c>
      <c r="B588" t="s">
        <v>1098</v>
      </c>
      <c r="C588" t="str">
        <f t="shared" si="44"/>
        <v>東京都西東京市北原町一丁目</v>
      </c>
      <c r="D588" s="2" t="str">
        <f t="shared" si="42"/>
        <v>http://geocode.csis.u-tokyo.ac.jp/cgi-bin/simple_geocode.cgi?charset=UTF8&amp;addr=%E6%9D%B1%E4%BA%AC%E9%83%BD%E8%A5%BF%E6%9D%B1%E4%BA%AC%E5%B8%82%E5%8C%97%E5%8E%9F%E7%94%BA%E4%B8%80%E4%B8%81%E7%9B%AE</v>
      </c>
      <c r="E588" t="str">
        <f t="shared" si="43"/>
        <v xml:space="preserve">&lt;?xml version="1.0" encoding="UTF-8" ?&gt;
&lt;results&gt;
&lt;query&gt;東京都西東京市北原町一丁目&lt;/query&gt;
&lt;geodetic&gt;wgs1984&lt;/geodetic&gt;
&lt;iConf&gt;5&lt;/iConf&gt;
&lt;converted&gt;東京都西東京市北原町一丁目&lt;/converted&gt;
&lt;candidate&gt;
&lt;address&gt;東京都/西東京市/北原町/一丁目&lt;/address&gt;
&lt;longitude&gt;139.545959&lt;/longitude&gt;
&lt;latitude&gt;35.735165&lt;/latitude&gt;
&lt;iLvl&gt;6&lt;/iLvl&gt;
&lt;/candidate&gt;
&lt;/results&gt;
</v>
      </c>
      <c r="F588" cm="1">
        <f t="array" ref="F588">INDEX(_xlfn.FILTERXML(E588,"//latitude"),1)</f>
        <v>35.735165000000002</v>
      </c>
      <c r="G588" cm="1">
        <f t="array" ref="G588">INDEX(_xlfn.FILTERXML(E588,"//longitude"),1)</f>
        <v>139.54595900000001</v>
      </c>
      <c r="H588">
        <v>35.735165000000002</v>
      </c>
      <c r="I588">
        <v>139.54595900000001</v>
      </c>
    </row>
    <row r="589" spans="1:9" x14ac:dyDescent="0.4">
      <c r="A589" t="s">
        <v>10</v>
      </c>
      <c r="B589" t="s">
        <v>1099</v>
      </c>
      <c r="C589" t="str">
        <f t="shared" si="44"/>
        <v>神奈川県横浜市青葉区あざみ野4丁目</v>
      </c>
      <c r="D589" s="2" t="str">
        <f t="shared" si="42"/>
        <v>http://geocode.csis.u-tokyo.ac.jp/cgi-bin/simple_geocode.cgi?charset=UTF8&amp;addr=%E7%A5%9E%E5%A5%88%E5%B7%9D%E7%9C%8C%E6%A8%AA%E6%B5%9C%E5%B8%82%E9%9D%92%E8%91%89%E5%8C%BA%E3%81%82%E3%81%96%E3%81%BF%E9%87%8E4%E4%B8%81%E7%9B%AE</v>
      </c>
      <c r="E589" t="str">
        <f t="shared" si="43"/>
        <v xml:space="preserve">&lt;?xml version="1.0" encoding="UTF-8" ?&gt;
&lt;results&gt;
&lt;query&gt;神奈川県横浜市青葉区あざみ野4丁目&lt;/query&gt;
&lt;geodetic&gt;wgs1984&lt;/geodetic&gt;
&lt;iConf&gt;5&lt;/iConf&gt;
&lt;converted&gt;神奈川県横浜市青葉区あざみ野4丁目&lt;/converted&gt;
&lt;candidate&gt;
&lt;address&gt;神奈川県/横浜市/青葉区/あざみ野/四丁目&lt;/address&gt;
&lt;longitude&gt;139.544266&lt;/longitude&gt;
&lt;latitude&gt;35.573418&lt;/latitude&gt;
&lt;iLvl&gt;6&lt;/iLvl&gt;
&lt;/candidate&gt;
&lt;/results&gt;
</v>
      </c>
      <c r="F589" cm="1">
        <f t="array" ref="F589">INDEX(_xlfn.FILTERXML(E589,"//latitude"),1)</f>
        <v>35.573417999999997</v>
      </c>
      <c r="G589" cm="1">
        <f t="array" ref="G589">INDEX(_xlfn.FILTERXML(E589,"//longitude"),1)</f>
        <v>139.54426599999999</v>
      </c>
      <c r="H589">
        <v>35.573417999999997</v>
      </c>
      <c r="I589">
        <v>139.54426599999999</v>
      </c>
    </row>
    <row r="590" spans="1:9" x14ac:dyDescent="0.4">
      <c r="A590" t="s">
        <v>29</v>
      </c>
      <c r="B590" t="s">
        <v>202</v>
      </c>
      <c r="C590" t="str">
        <f t="shared" si="44"/>
        <v>静岡県富士市</v>
      </c>
      <c r="D590" s="2" t="str">
        <f t="shared" si="42"/>
        <v>http://geocode.csis.u-tokyo.ac.jp/cgi-bin/simple_geocode.cgi?charset=UTF8&amp;addr=%E9%9D%99%E5%B2%A1%E7%9C%8C%E5%AF%8C%E5%A3%AB%E5%B8%82</v>
      </c>
      <c r="E590" t="str">
        <f t="shared" si="43"/>
        <v xml:space="preserve">&lt;?xml version="1.0" encoding="UTF-8" ?&gt;
&lt;results&gt;
&lt;query&gt;静岡県富士市&lt;/query&gt;
&lt;geodetic&gt;wgs1984&lt;/geodetic&gt;
&lt;iConf&gt;5&lt;/iConf&gt;
&lt;converted&gt;静岡県富士市&lt;/converted&gt;
&lt;candidate&gt;
&lt;address&gt;静岡県/富士市&lt;/address&gt;
&lt;longitude&gt;138.676315&lt;/longitude&gt;
&lt;latitude&gt;35.161385&lt;/latitude&gt;
&lt;iLvl&gt;3&lt;/iLvl&gt;
&lt;/candidate&gt;
&lt;/results&gt;
</v>
      </c>
      <c r="F590" cm="1">
        <f t="array" ref="F590">INDEX(_xlfn.FILTERXML(E590,"//latitude"),1)</f>
        <v>35.161385000000003</v>
      </c>
      <c r="G590" cm="1">
        <f t="array" ref="G590">INDEX(_xlfn.FILTERXML(E590,"//longitude"),1)</f>
        <v>138.67631499999999</v>
      </c>
      <c r="H590">
        <v>35.161385000000003</v>
      </c>
      <c r="I590">
        <v>138.67631499999999</v>
      </c>
    </row>
    <row r="591" spans="1:9" x14ac:dyDescent="0.4">
      <c r="A591" t="s">
        <v>13</v>
      </c>
      <c r="B591" t="s">
        <v>1100</v>
      </c>
      <c r="C591" t="str">
        <f t="shared" si="44"/>
        <v>埼玉県深谷市田中</v>
      </c>
      <c r="D591" s="2" t="str">
        <f t="shared" si="42"/>
        <v>http://geocode.csis.u-tokyo.ac.jp/cgi-bin/simple_geocode.cgi?charset=UTF8&amp;addr=%E5%9F%BC%E7%8E%89%E7%9C%8C%E6%B7%B1%E8%B0%B7%E5%B8%82%E7%94%B0%E4%B8%AD</v>
      </c>
      <c r="E591" t="str">
        <f t="shared" si="43"/>
        <v xml:space="preserve">&lt;?xml version="1.0" encoding="UTF-8" ?&gt;
&lt;results&gt;
&lt;query&gt;埼玉県深谷市田中&lt;/query&gt;
&lt;geodetic&gt;wgs1984&lt;/geodetic&gt;
&lt;iConf&gt;5&lt;/iConf&gt;
&lt;converted&gt;埼玉県深谷市田中&lt;/converted&gt;
&lt;candidate&gt;
&lt;address&gt;埼玉県/深谷市/田中&lt;/address&gt;
&lt;longitude&gt;139.277191&lt;/longitude&gt;
&lt;latitude&gt;36.141003&lt;/latitude&gt;
&lt;iLvl&gt;5&lt;/iLvl&gt;
&lt;/candidate&gt;
&lt;/results&gt;
</v>
      </c>
      <c r="F591" cm="1">
        <f t="array" ref="F591">INDEX(_xlfn.FILTERXML(E591,"//latitude"),1)</f>
        <v>36.141002999999998</v>
      </c>
      <c r="G591" cm="1">
        <f t="array" ref="G591">INDEX(_xlfn.FILTERXML(E591,"//longitude"),1)</f>
        <v>139.27719099999999</v>
      </c>
      <c r="H591">
        <v>36.141002999999998</v>
      </c>
      <c r="I591">
        <v>139.27719099999999</v>
      </c>
    </row>
    <row r="592" spans="1:9" x14ac:dyDescent="0.4">
      <c r="A592" t="s">
        <v>9</v>
      </c>
      <c r="B592" t="s">
        <v>980</v>
      </c>
      <c r="C592" t="str">
        <f t="shared" si="44"/>
        <v>東京都世田谷区等々力</v>
      </c>
      <c r="D592" s="2" t="str">
        <f t="shared" si="42"/>
        <v>http://geocode.csis.u-tokyo.ac.jp/cgi-bin/simple_geocode.cgi?charset=UTF8&amp;addr=%E6%9D%B1%E4%BA%AC%E9%83%BD%E4%B8%96%E7%94%B0%E8%B0%B7%E5%8C%BA%E7%AD%89%E3%80%85%E5%8A%9B</v>
      </c>
      <c r="E592" t="str">
        <f t="shared" si="43"/>
        <v xml:space="preserve">&lt;?xml version="1.0" encoding="UTF-8" ?&gt;
&lt;results&gt;
&lt;query&gt;東京都世田谷区等々力&lt;/query&gt;
&lt;geodetic&gt;wgs1984&lt;/geodetic&gt;
&lt;iConf&gt;5&lt;/iConf&gt;
&lt;converted&gt;東京都世田谷区等々力&lt;/converted&gt;
&lt;candidate&gt;
&lt;address&gt;東京都/世田谷区/等々力&lt;/address&gt;
&lt;longitude&gt;139.648636&lt;/longitude&gt;
&lt;latitude&gt;35.602623&lt;/latitude&gt;
&lt;iLvl&gt;5&lt;/iLvl&gt;
&lt;/candidate&gt;
&lt;/results&gt;
</v>
      </c>
      <c r="F592" cm="1">
        <f t="array" ref="F592">INDEX(_xlfn.FILTERXML(E592,"//latitude"),1)</f>
        <v>35.602623000000001</v>
      </c>
      <c r="G592" cm="1">
        <f t="array" ref="G592">INDEX(_xlfn.FILTERXML(E592,"//longitude"),1)</f>
        <v>139.64863600000001</v>
      </c>
      <c r="H592">
        <v>35.602623000000001</v>
      </c>
      <c r="I592">
        <v>139.64863600000001</v>
      </c>
    </row>
    <row r="593" spans="1:9" x14ac:dyDescent="0.4">
      <c r="A593" t="s">
        <v>15</v>
      </c>
      <c r="B593" t="s">
        <v>1064</v>
      </c>
      <c r="C593" t="str">
        <f t="shared" si="44"/>
        <v>兵庫県宝塚市亀井町</v>
      </c>
      <c r="D593" s="2" t="str">
        <f t="shared" si="42"/>
        <v>http://geocode.csis.u-tokyo.ac.jp/cgi-bin/simple_geocode.cgi?charset=UTF8&amp;addr=%E5%85%B5%E5%BA%AB%E7%9C%8C%E5%AE%9D%E5%A1%9A%E5%B8%82%E4%BA%80%E4%BA%95%E7%94%BA</v>
      </c>
      <c r="E593" t="str">
        <f t="shared" si="43"/>
        <v xml:space="preserve">&lt;?xml version="1.0" encoding="UTF-8" ?&gt;
&lt;results&gt;
&lt;query&gt;兵庫県宝塚市亀井町&lt;/query&gt;
&lt;geodetic&gt;wgs1984&lt;/geodetic&gt;
&lt;iConf&gt;5&lt;/iConf&gt;
&lt;converted&gt;兵庫県宝塚市亀井町&lt;/converted&gt;
&lt;candidate&gt;
&lt;address&gt;兵庫県/宝塚市/亀井町&lt;/address&gt;
&lt;longitude&gt;135.362381&lt;/longitude&gt;
&lt;latitude&gt;34.794121&lt;/latitude&gt;
&lt;iLvl&gt;5&lt;/iLvl&gt;
&lt;/candidate&gt;
&lt;/results&gt;
</v>
      </c>
      <c r="F593" cm="1">
        <f t="array" ref="F593">INDEX(_xlfn.FILTERXML(E593,"//latitude"),1)</f>
        <v>34.794120999999997</v>
      </c>
      <c r="G593" cm="1">
        <f t="array" ref="G593">INDEX(_xlfn.FILTERXML(E593,"//longitude"),1)</f>
        <v>135.362381</v>
      </c>
      <c r="H593">
        <v>34.794120999999997</v>
      </c>
      <c r="I593">
        <v>135.362381</v>
      </c>
    </row>
    <row r="594" spans="1:9" x14ac:dyDescent="0.4">
      <c r="A594" t="s">
        <v>9</v>
      </c>
      <c r="B594" t="s">
        <v>561</v>
      </c>
      <c r="C594" t="str">
        <f t="shared" si="44"/>
        <v>東京都大田区南馬込</v>
      </c>
      <c r="D594" s="2" t="str">
        <f t="shared" si="42"/>
        <v>http://geocode.csis.u-tokyo.ac.jp/cgi-bin/simple_geocode.cgi?charset=UTF8&amp;addr=%E6%9D%B1%E4%BA%AC%E9%83%BD%E5%A4%A7%E7%94%B0%E5%8C%BA%E5%8D%97%E9%A6%AC%E8%BE%BC</v>
      </c>
      <c r="E594" t="str">
        <f t="shared" si="43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594" cm="1">
        <f t="array" ref="F594">INDEX(_xlfn.FILTERXML(E594,"//latitude"),1)</f>
        <v>35.591808</v>
      </c>
      <c r="G594" cm="1">
        <f t="array" ref="G594">INDEX(_xlfn.FILTERXML(E594,"//longitude"),1)</f>
        <v>139.71386699999999</v>
      </c>
      <c r="H594">
        <v>35.591808</v>
      </c>
      <c r="I594">
        <v>139.71386699999999</v>
      </c>
    </row>
    <row r="595" spans="1:9" x14ac:dyDescent="0.4">
      <c r="A595" t="s">
        <v>9</v>
      </c>
      <c r="B595" t="s">
        <v>223</v>
      </c>
      <c r="C595" t="str">
        <f t="shared" si="44"/>
        <v>東京都世田谷区</v>
      </c>
      <c r="D595" s="2" t="str">
        <f t="shared" si="42"/>
        <v>http://geocode.csis.u-tokyo.ac.jp/cgi-bin/simple_geocode.cgi?charset=UTF8&amp;addr=%E6%9D%B1%E4%BA%AC%E9%83%BD%E4%B8%96%E7%94%B0%E8%B0%B7%E5%8C%BA</v>
      </c>
      <c r="E595" t="str">
        <f t="shared" si="4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95" cm="1">
        <f t="array" ref="F595">INDEX(_xlfn.FILTERXML(E595,"//latitude"),1)</f>
        <v>35.646481000000001</v>
      </c>
      <c r="G595" cm="1">
        <f t="array" ref="G595">INDEX(_xlfn.FILTERXML(E595,"//longitude"),1)</f>
        <v>139.65321399999999</v>
      </c>
      <c r="H595">
        <v>35.646481000000001</v>
      </c>
      <c r="I595">
        <v>139.65321399999999</v>
      </c>
    </row>
    <row r="596" spans="1:9" x14ac:dyDescent="0.4">
      <c r="A596" t="s">
        <v>11</v>
      </c>
      <c r="B596" t="s">
        <v>560</v>
      </c>
      <c r="C596" t="str">
        <f t="shared" si="44"/>
        <v>大阪府吹田市千里山東</v>
      </c>
      <c r="D596" s="2" t="str">
        <f t="shared" si="42"/>
        <v>http://geocode.csis.u-tokyo.ac.jp/cgi-bin/simple_geocode.cgi?charset=UTF8&amp;addr=%E5%A4%A7%E9%98%AA%E5%BA%9C%E5%90%B9%E7%94%B0%E5%B8%82%E5%8D%83%E9%87%8C%E5%B1%B1%E6%9D%B1</v>
      </c>
      <c r="E596" t="str">
        <f t="shared" si="43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596" cm="1">
        <f t="array" ref="F596">INDEX(_xlfn.FILTERXML(E596,"//latitude"),1)</f>
        <v>34.773724000000001</v>
      </c>
      <c r="G596" cm="1">
        <f t="array" ref="G596">INDEX(_xlfn.FILTERXML(E596,"//longitude"),1)</f>
        <v>135.507339</v>
      </c>
      <c r="H596">
        <v>34.773724000000001</v>
      </c>
      <c r="I596">
        <v>135.507339</v>
      </c>
    </row>
    <row r="597" spans="1:9" x14ac:dyDescent="0.4">
      <c r="A597" t="s">
        <v>11</v>
      </c>
      <c r="B597" t="s">
        <v>562</v>
      </c>
      <c r="C597" t="str">
        <f t="shared" si="44"/>
        <v>大阪府大阪市西区新町</v>
      </c>
      <c r="D597" s="2" t="str">
        <f t="shared" si="42"/>
        <v>http://geocode.csis.u-tokyo.ac.jp/cgi-bin/simple_geocode.cgi?charset=UTF8&amp;addr=%E5%A4%A7%E9%98%AA%E5%BA%9C%E5%A4%A7%E9%98%AA%E5%B8%82%E8%A5%BF%E5%8C%BA%E6%96%B0%E7%94%BA</v>
      </c>
      <c r="E597" t="str">
        <f t="shared" si="43"/>
        <v xml:space="preserve">&lt;?xml version="1.0" encoding="UTF-8" ?&gt;
&lt;results&gt;
&lt;query&gt;大阪府大阪市西区新町&lt;/query&gt;
&lt;geodetic&gt;wgs1984&lt;/geodetic&gt;
&lt;iConf&gt;5&lt;/iConf&gt;
&lt;converted&gt;大阪府大阪市西区新町&lt;/converted&gt;
&lt;candidate&gt;
&lt;address&gt;大阪府/大阪市/西区/新町&lt;/address&gt;
&lt;longitude&gt;135.495361&lt;/longitude&gt;
&lt;latitude&gt;34.677189&lt;/latitude&gt;
&lt;iLvl&gt;5&lt;/iLvl&gt;
&lt;/candidate&gt;
&lt;/results&gt;
</v>
      </c>
      <c r="F597" cm="1">
        <f t="array" ref="F597">INDEX(_xlfn.FILTERXML(E597,"//latitude"),1)</f>
        <v>34.677188999999998</v>
      </c>
      <c r="G597" cm="1">
        <f t="array" ref="G597">INDEX(_xlfn.FILTERXML(E597,"//longitude"),1)</f>
        <v>135.495361</v>
      </c>
      <c r="H597">
        <v>34.677188999999998</v>
      </c>
      <c r="I597">
        <v>135.495361</v>
      </c>
    </row>
    <row r="598" spans="1:9" x14ac:dyDescent="0.4">
      <c r="A598" t="s">
        <v>17</v>
      </c>
      <c r="B598" t="s">
        <v>563</v>
      </c>
      <c r="C598" t="str">
        <f t="shared" si="44"/>
        <v>愛知県日進市藤塚</v>
      </c>
      <c r="D598" s="2" t="str">
        <f t="shared" si="42"/>
        <v>http://geocode.csis.u-tokyo.ac.jp/cgi-bin/simple_geocode.cgi?charset=UTF8&amp;addr=%E6%84%9B%E7%9F%A5%E7%9C%8C%E6%97%A5%E9%80%B2%E5%B8%82%E8%97%A4%E5%A1%9A</v>
      </c>
      <c r="E598" t="str">
        <f t="shared" si="43"/>
        <v xml:space="preserve">&lt;?xml version="1.0" encoding="UTF-8" ?&gt;
&lt;results&gt;
&lt;query&gt;愛知県日進市藤塚&lt;/query&gt;
&lt;geodetic&gt;wgs1984&lt;/geodetic&gt;
&lt;iConf&gt;5&lt;/iConf&gt;
&lt;converted&gt;愛知県日進市藤塚&lt;/converted&gt;
&lt;candidate&gt;
&lt;address&gt;愛知県/日進市/藤塚&lt;/address&gt;
&lt;longitude&gt;137.036819&lt;/longitude&gt;
&lt;latitude&gt;35.124542&lt;/latitude&gt;
&lt;iLvl&gt;5&lt;/iLvl&gt;
&lt;/candidate&gt;
&lt;/results&gt;
</v>
      </c>
      <c r="F598" cm="1">
        <f t="array" ref="F598">INDEX(_xlfn.FILTERXML(E598,"//latitude"),1)</f>
        <v>35.124541999999998</v>
      </c>
      <c r="G598" cm="1">
        <f t="array" ref="G598">INDEX(_xlfn.FILTERXML(E598,"//longitude"),1)</f>
        <v>137.03681900000001</v>
      </c>
      <c r="H598">
        <v>35.124541999999998</v>
      </c>
      <c r="I598">
        <v>137.03681900000001</v>
      </c>
    </row>
    <row r="599" spans="1:9" x14ac:dyDescent="0.4">
      <c r="A599" t="s">
        <v>9</v>
      </c>
      <c r="B599" t="s">
        <v>254</v>
      </c>
      <c r="C599" t="str">
        <f t="shared" si="44"/>
        <v>東京都杉並区上井草</v>
      </c>
      <c r="D599" s="2" t="str">
        <f t="shared" si="42"/>
        <v>http://geocode.csis.u-tokyo.ac.jp/cgi-bin/simple_geocode.cgi?charset=UTF8&amp;addr=%E6%9D%B1%E4%BA%AC%E9%83%BD%E6%9D%89%E4%B8%A6%E5%8C%BA%E4%B8%8A%E4%BA%95%E8%8D%89</v>
      </c>
      <c r="E599" t="str">
        <f t="shared" si="43"/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599" cm="1">
        <f t="array" ref="F599">INDEX(_xlfn.FILTERXML(E599,"//latitude"),1)</f>
        <v>35.722037999999998</v>
      </c>
      <c r="G599" cm="1">
        <f t="array" ref="G599">INDEX(_xlfn.FILTERXML(E599,"//longitude"),1)</f>
        <v>139.612335</v>
      </c>
      <c r="H599">
        <v>35.722037999999998</v>
      </c>
      <c r="I599">
        <v>139.612335</v>
      </c>
    </row>
    <row r="600" spans="1:9" x14ac:dyDescent="0.4">
      <c r="A600" t="s">
        <v>9</v>
      </c>
      <c r="B600" t="s">
        <v>1101</v>
      </c>
      <c r="C600" t="str">
        <f t="shared" si="44"/>
        <v>東京都練馬区貫井</v>
      </c>
      <c r="D600" s="2" t="str">
        <f t="shared" si="42"/>
        <v>http://geocode.csis.u-tokyo.ac.jp/cgi-bin/simple_geocode.cgi?charset=UTF8&amp;addr=%E6%9D%B1%E4%BA%AC%E9%83%BD%E7%B7%B4%E9%A6%AC%E5%8C%BA%E8%B2%AB%E4%BA%95</v>
      </c>
      <c r="E600" t="str">
        <f t="shared" si="43"/>
        <v xml:space="preserve">&lt;?xml version="1.0" encoding="UTF-8" ?&gt;
&lt;results&gt;
&lt;query&gt;東京都練馬区貫井&lt;/query&gt;
&lt;geodetic&gt;wgs1984&lt;/geodetic&gt;
&lt;iConf&gt;5&lt;/iConf&gt;
&lt;converted&gt;東京都練馬区貫井&lt;/converted&gt;
&lt;candidate&gt;
&lt;address&gt;東京都/練馬区/貫井&lt;/address&gt;
&lt;longitude&gt;139.634277&lt;/longitude&gt;
&lt;latitude&gt;35.737411&lt;/latitude&gt;
&lt;iLvl&gt;5&lt;/iLvl&gt;
&lt;/candidate&gt;
&lt;/results&gt;
</v>
      </c>
      <c r="F600" cm="1">
        <f t="array" ref="F600">INDEX(_xlfn.FILTERXML(E600,"//latitude"),1)</f>
        <v>35.737411000000002</v>
      </c>
      <c r="G600" cm="1">
        <f t="array" ref="G600">INDEX(_xlfn.FILTERXML(E600,"//longitude"),1)</f>
        <v>139.634277</v>
      </c>
      <c r="H600">
        <v>35.737411000000002</v>
      </c>
      <c r="I600">
        <v>139.634277</v>
      </c>
    </row>
    <row r="601" spans="1:9" x14ac:dyDescent="0.4">
      <c r="A601" t="s">
        <v>18</v>
      </c>
      <c r="B601" t="s">
        <v>1102</v>
      </c>
      <c r="C601" t="str">
        <f t="shared" si="44"/>
        <v>千葉県千葉市中央区大森町</v>
      </c>
      <c r="D601" s="2" t="str">
        <f t="shared" si="42"/>
        <v>http://geocode.csis.u-tokyo.ac.jp/cgi-bin/simple_geocode.cgi?charset=UTF8&amp;addr=%E5%8D%83%E8%91%89%E7%9C%8C%E5%8D%83%E8%91%89%E5%B8%82%E4%B8%AD%E5%A4%AE%E5%8C%BA%E5%A4%A7%E6%A3%AE%E7%94%BA</v>
      </c>
      <c r="E601" t="str">
        <f t="shared" si="43"/>
        <v xml:space="preserve">&lt;?xml version="1.0" encoding="UTF-8" ?&gt;
&lt;results&gt;
&lt;query&gt;千葉県千葉市中央区大森町&lt;/query&gt;
&lt;geodetic&gt;wgs1984&lt;/geodetic&gt;
&lt;iConf&gt;5&lt;/iConf&gt;
&lt;converted&gt;千葉県千葉市中央区大森町&lt;/converted&gt;
&lt;candidate&gt;
&lt;address&gt;千葉県/千葉市/中央区/大森町&lt;/address&gt;
&lt;longitude&gt;140.147705&lt;/longitude&gt;
&lt;latitude&gt;35.580109&lt;/latitude&gt;
&lt;iLvl&gt;5&lt;/iLvl&gt;
&lt;/candidate&gt;
&lt;/results&gt;
</v>
      </c>
      <c r="F601" cm="1">
        <f t="array" ref="F601">INDEX(_xlfn.FILTERXML(E601,"//latitude"),1)</f>
        <v>35.580109</v>
      </c>
      <c r="G601" cm="1">
        <f t="array" ref="G601">INDEX(_xlfn.FILTERXML(E601,"//longitude"),1)</f>
        <v>140.147705</v>
      </c>
      <c r="H601">
        <v>35.580109</v>
      </c>
      <c r="I601">
        <v>140.147705</v>
      </c>
    </row>
    <row r="602" spans="1:9" x14ac:dyDescent="0.4">
      <c r="A602" t="s">
        <v>118</v>
      </c>
      <c r="B602" t="s">
        <v>1103</v>
      </c>
      <c r="C602" t="str">
        <f t="shared" si="44"/>
        <v>北海道旭川市</v>
      </c>
      <c r="D602" s="2" t="str">
        <f t="shared" si="42"/>
        <v>http://geocode.csis.u-tokyo.ac.jp/cgi-bin/simple_geocode.cgi?charset=UTF8&amp;addr=%E5%8C%97%E6%B5%B7%E9%81%93%E6%97%AD%E5%B7%9D%E5%B8%82</v>
      </c>
      <c r="E602" t="str">
        <f t="shared" si="43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602" cm="1">
        <f t="array" ref="F602">INDEX(_xlfn.FILTERXML(E602,"//latitude"),1)</f>
        <v>43.770797999999999</v>
      </c>
      <c r="G602" cm="1">
        <f t="array" ref="G602">INDEX(_xlfn.FILTERXML(E602,"//longitude"),1)</f>
        <v>142.36479199999999</v>
      </c>
      <c r="H602">
        <v>43.770797999999999</v>
      </c>
      <c r="I602">
        <v>142.36479199999999</v>
      </c>
    </row>
    <row r="603" spans="1:9" x14ac:dyDescent="0.4">
      <c r="A603" t="s">
        <v>9</v>
      </c>
      <c r="B603" t="s">
        <v>1104</v>
      </c>
      <c r="C603" t="str">
        <f t="shared" si="44"/>
        <v>東京都台東区元浅草</v>
      </c>
      <c r="D603" s="2" t="str">
        <f t="shared" si="42"/>
        <v>http://geocode.csis.u-tokyo.ac.jp/cgi-bin/simple_geocode.cgi?charset=UTF8&amp;addr=%E6%9D%B1%E4%BA%AC%E9%83%BD%E5%8F%B0%E6%9D%B1%E5%8C%BA%E5%85%83%E6%B5%85%E8%8D%89</v>
      </c>
      <c r="E603" t="str">
        <f t="shared" si="43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603" cm="1">
        <f t="array" ref="F603">INDEX(_xlfn.FILTERXML(E603,"//latitude"),1)</f>
        <v>35.708111000000002</v>
      </c>
      <c r="G603" cm="1">
        <f t="array" ref="G603">INDEX(_xlfn.FILTERXML(E603,"//longitude"),1)</f>
        <v>139.78387499999999</v>
      </c>
      <c r="H603">
        <v>35.708111000000002</v>
      </c>
      <c r="I603">
        <v>139.78387499999999</v>
      </c>
    </row>
    <row r="604" spans="1:9" x14ac:dyDescent="0.4">
      <c r="A604" t="s">
        <v>10</v>
      </c>
      <c r="B604" t="s">
        <v>157</v>
      </c>
      <c r="C604" t="str">
        <f t="shared" si="44"/>
        <v>神奈川県横浜市青葉区美しが丘</v>
      </c>
      <c r="D604" s="2" t="str">
        <f t="shared" si="42"/>
        <v>http://geocode.csis.u-tokyo.ac.jp/cgi-bin/simple_geocode.cgi?charset=UTF8&amp;addr=%E7%A5%9E%E5%A5%88%E5%B7%9D%E7%9C%8C%E6%A8%AA%E6%B5%9C%E5%B8%82%E9%9D%92%E8%91%89%E5%8C%BA%E7%BE%8E%E3%81%97%E3%81%8C%E4%B8%98</v>
      </c>
      <c r="E604" t="str">
        <f t="shared" si="43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604" cm="1">
        <f t="array" ref="F604">INDEX(_xlfn.FILTERXML(E604,"//latitude"),1)</f>
        <v>35.579971</v>
      </c>
      <c r="G604" cm="1">
        <f t="array" ref="G604">INDEX(_xlfn.FILTERXML(E604,"//longitude"),1)</f>
        <v>139.555374</v>
      </c>
      <c r="H604">
        <v>35.579971</v>
      </c>
      <c r="I604">
        <v>139.555374</v>
      </c>
    </row>
    <row r="605" spans="1:9" x14ac:dyDescent="0.4">
      <c r="A605" t="s">
        <v>144</v>
      </c>
      <c r="B605" t="s">
        <v>1105</v>
      </c>
      <c r="C605" t="str">
        <f t="shared" si="44"/>
        <v>秋田県横手市寿町</v>
      </c>
      <c r="D605" s="2" t="str">
        <f t="shared" si="42"/>
        <v>http://geocode.csis.u-tokyo.ac.jp/cgi-bin/simple_geocode.cgi?charset=UTF8&amp;addr=%E7%A7%8B%E7%94%B0%E7%9C%8C%E6%A8%AA%E6%89%8B%E5%B8%82%E5%AF%BF%E7%94%BA</v>
      </c>
      <c r="E605" t="str">
        <f t="shared" si="43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605" cm="1">
        <f t="array" ref="F605">INDEX(_xlfn.FILTERXML(E605,"//latitude"),1)</f>
        <v>39.312344000000003</v>
      </c>
      <c r="G605" cm="1">
        <f t="array" ref="G605">INDEX(_xlfn.FILTERXML(E605,"//longitude"),1)</f>
        <v>140.56246899999999</v>
      </c>
      <c r="H605">
        <v>39.312344000000003</v>
      </c>
      <c r="I605">
        <v>140.56246899999999</v>
      </c>
    </row>
    <row r="606" spans="1:9" x14ac:dyDescent="0.4">
      <c r="A606" t="s">
        <v>28</v>
      </c>
      <c r="B606" t="s">
        <v>564</v>
      </c>
      <c r="C606" t="str">
        <f t="shared" si="44"/>
        <v>沖縄県国頭郡東村字有銘</v>
      </c>
      <c r="D606" s="2" t="str">
        <f t="shared" si="42"/>
        <v>http://geocode.csis.u-tokyo.ac.jp/cgi-bin/simple_geocode.cgi?charset=UTF8&amp;addr=%E6%B2%96%E7%B8%84%E7%9C%8C%E5%9B%BD%E9%A0%AD%E9%83%A1%E6%9D%B1%E6%9D%91%E5%AD%97%E6%9C%89%E9%8A%98</v>
      </c>
      <c r="E606" t="str">
        <f t="shared" si="43"/>
        <v xml:space="preserve">&lt;?xml version="1.0" encoding="UTF-8" ?&gt;
&lt;results&gt;
&lt;query&gt;沖縄県国頭郡東村字有銘&lt;/query&gt;
&lt;geodetic&gt;wgs1984&lt;/geodetic&gt;
&lt;iConf&gt;5&lt;/iConf&gt;
&lt;converted&gt;沖縄県国頭郡東村字有銘&lt;/converted&gt;
&lt;candidate&gt;
&lt;address&gt;沖縄県/国頭郡/東村/有銘&lt;/address&gt;
&lt;longitude&gt;128.119186&lt;/longitude&gt;
&lt;latitude&gt;26.603556&lt;/latitude&gt;
&lt;iLvl&gt;5&lt;/iLvl&gt;
&lt;/candidate&gt;
&lt;/results&gt;
</v>
      </c>
      <c r="F606" cm="1">
        <f t="array" ref="F606">INDEX(_xlfn.FILTERXML(E606,"//latitude"),1)</f>
        <v>26.603556000000001</v>
      </c>
      <c r="G606" cm="1">
        <f t="array" ref="G606">INDEX(_xlfn.FILTERXML(E606,"//longitude"),1)</f>
        <v>128.11918600000001</v>
      </c>
      <c r="H606">
        <v>26.603556000000001</v>
      </c>
      <c r="I606">
        <v>128.11918600000001</v>
      </c>
    </row>
    <row r="607" spans="1:9" x14ac:dyDescent="0.4">
      <c r="A607" t="s">
        <v>15</v>
      </c>
      <c r="B607" t="s">
        <v>244</v>
      </c>
      <c r="C607" t="str">
        <f t="shared" si="44"/>
        <v>兵庫県西宮市</v>
      </c>
      <c r="D607" s="2" t="str">
        <f t="shared" si="42"/>
        <v>http://geocode.csis.u-tokyo.ac.jp/cgi-bin/simple_geocode.cgi?charset=UTF8&amp;addr=%E5%85%B5%E5%BA%AB%E7%9C%8C%E8%A5%BF%E5%AE%AE%E5%B8%82</v>
      </c>
      <c r="E607" t="str">
        <f t="shared" si="43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607" cm="1">
        <f t="array" ref="F607">INDEX(_xlfn.FILTERXML(E607,"//latitude"),1)</f>
        <v>34.737690000000001</v>
      </c>
      <c r="G607" cm="1">
        <f t="array" ref="G607">INDEX(_xlfn.FILTERXML(E607,"//longitude"),1)</f>
        <v>135.34182699999999</v>
      </c>
      <c r="H607">
        <v>34.737690000000001</v>
      </c>
      <c r="I607">
        <v>135.34182699999999</v>
      </c>
    </row>
    <row r="608" spans="1:9" x14ac:dyDescent="0.4">
      <c r="A608" t="s">
        <v>9</v>
      </c>
      <c r="B608" t="s">
        <v>565</v>
      </c>
      <c r="C608" t="str">
        <f t="shared" si="44"/>
        <v>東京都文京区白山</v>
      </c>
      <c r="D608" s="2" t="str">
        <f t="shared" si="42"/>
        <v>http://geocode.csis.u-tokyo.ac.jp/cgi-bin/simple_geocode.cgi?charset=UTF8&amp;addr=%E6%9D%B1%E4%BA%AC%E9%83%BD%E6%96%87%E4%BA%AC%E5%8C%BA%E7%99%BD%E5%B1%B1</v>
      </c>
      <c r="E608" t="str">
        <f t="shared" si="43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608" cm="1">
        <f t="array" ref="F608">INDEX(_xlfn.FILTERXML(E608,"//latitude"),1)</f>
        <v>35.718795999999998</v>
      </c>
      <c r="G608" cm="1">
        <f t="array" ref="G608">INDEX(_xlfn.FILTERXML(E608,"//longitude"),1)</f>
        <v>139.75276199999999</v>
      </c>
      <c r="H608">
        <v>35.718795999999998</v>
      </c>
      <c r="I608">
        <v>139.75276199999999</v>
      </c>
    </row>
    <row r="609" spans="1:9" x14ac:dyDescent="0.4">
      <c r="A609" t="s">
        <v>11</v>
      </c>
      <c r="B609" t="s">
        <v>566</v>
      </c>
      <c r="C609" t="str">
        <f t="shared" si="44"/>
        <v>大阪府浪速区</v>
      </c>
      <c r="D609" s="2" t="str">
        <f t="shared" si="42"/>
        <v>http://geocode.csis.u-tokyo.ac.jp/cgi-bin/simple_geocode.cgi?charset=UTF8&amp;addr=%E5%A4%A7%E9%98%AA%E5%BA%9C%E6%B5%AA%E9%80%9F%E5%8C%BA</v>
      </c>
      <c r="E609" t="str">
        <f t="shared" si="43"/>
        <v xml:space="preserve">&lt;?xml version="1.0" encoding="UTF-8" ?&gt;
&lt;results&gt;
&lt;query&gt;大阪府浪速区&lt;/query&gt;
&lt;geodetic&gt;wgs1984&lt;/geodetic&gt;
&lt;iConf&gt;5&lt;/iConf&gt;
&lt;converted&gt;大阪府浪速区&lt;/converted&gt;
&lt;candidate&gt;
&lt;address&gt;大阪府/浪速区&lt;/address&gt;
&lt;longitude&gt;135.499557&lt;/longitude&gt;
&lt;latitude&gt;34.659420&lt;/latitude&gt;
&lt;iLvl&gt;0&lt;/iLvl&gt;
&lt;/candidate&gt;
&lt;/results&gt;
</v>
      </c>
      <c r="F609" cm="1">
        <f t="array" ref="F609">INDEX(_xlfn.FILTERXML(E609,"//latitude"),1)</f>
        <v>34.659419999999997</v>
      </c>
      <c r="G609" cm="1">
        <f t="array" ref="G609">INDEX(_xlfn.FILTERXML(E609,"//longitude"),1)</f>
        <v>135.49955700000001</v>
      </c>
      <c r="H609">
        <v>34.659419999999997</v>
      </c>
      <c r="I609">
        <v>135.49955700000001</v>
      </c>
    </row>
    <row r="610" spans="1:9" x14ac:dyDescent="0.4">
      <c r="A610" t="s">
        <v>29</v>
      </c>
      <c r="B610" t="s">
        <v>1106</v>
      </c>
      <c r="C610" t="str">
        <f t="shared" si="44"/>
        <v>静岡県浜松市中央区高塚町</v>
      </c>
      <c r="D610" s="2" t="str">
        <f t="shared" si="42"/>
        <v>http://geocode.csis.u-tokyo.ac.jp/cgi-bin/simple_geocode.cgi?charset=UTF8&amp;addr=%E9%9D%99%E5%B2%A1%E7%9C%8C%E6%B5%9C%E6%9D%BE%E5%B8%82%E4%B8%AD%E5%A4%AE%E5%8C%BA%E9%AB%98%E5%A1%9A%E7%94%BA</v>
      </c>
      <c r="E610" t="str">
        <f t="shared" si="43"/>
        <v xml:space="preserve">&lt;?xml version="1.0" encoding="UTF-8" ?&gt;
&lt;results&gt;
&lt;query&gt;静岡県浜松市中央区高塚町&lt;/query&gt;
&lt;geodetic&gt;wgs1984&lt;/geodetic&gt;
&lt;iConf&gt;5&lt;/iConf&gt;
&lt;converted&gt;静岡県浜松市中央区高塚町&lt;/converted&gt;
&lt;candidate&gt;
&lt;address&gt;静岡県/浜松市/中央区/高塚町&lt;/address&gt;
&lt;longitude&gt;137.681183&lt;/longitude&gt;
&lt;latitude&gt;34.690266&lt;/latitude&gt;
&lt;iLvl&gt;5&lt;/iLvl&gt;
&lt;/candidate&gt;
&lt;/results&gt;
</v>
      </c>
      <c r="F610" cm="1">
        <f t="array" ref="F610">INDEX(_xlfn.FILTERXML(E610,"//latitude"),1)</f>
        <v>34.690266000000001</v>
      </c>
      <c r="G610" cm="1">
        <f t="array" ref="G610">INDEX(_xlfn.FILTERXML(E610,"//longitude"),1)</f>
        <v>137.681183</v>
      </c>
      <c r="H610">
        <v>34.690266000000001</v>
      </c>
      <c r="I610">
        <v>137.681183</v>
      </c>
    </row>
    <row r="611" spans="1:9" x14ac:dyDescent="0.4">
      <c r="A611" t="s">
        <v>23</v>
      </c>
      <c r="B611" t="s">
        <v>567</v>
      </c>
      <c r="C611" t="str">
        <f t="shared" si="44"/>
        <v>宮城県気仙沼市</v>
      </c>
      <c r="D611" s="2" t="str">
        <f t="shared" si="42"/>
        <v>http://geocode.csis.u-tokyo.ac.jp/cgi-bin/simple_geocode.cgi?charset=UTF8&amp;addr=%E5%AE%AE%E5%9F%8E%E7%9C%8C%E6%B0%97%E4%BB%99%E6%B2%BC%E5%B8%82</v>
      </c>
      <c r="E611" t="str">
        <f t="shared" si="43"/>
        <v xml:space="preserve">&lt;?xml version="1.0" encoding="UTF-8" ?&gt;
&lt;results&gt;
&lt;query&gt;宮城県気仙沼市&lt;/query&gt;
&lt;geodetic&gt;wgs1984&lt;/geodetic&gt;
&lt;iConf&gt;5&lt;/iConf&gt;
&lt;converted&gt;宮城県気仙沼市&lt;/converted&gt;
&lt;candidate&gt;
&lt;address&gt;宮城県/気仙沼市&lt;/address&gt;
&lt;longitude&gt;141.570038&lt;/longitude&gt;
&lt;latitude&gt;38.908127&lt;/latitude&gt;
&lt;iLvl&gt;3&lt;/iLvl&gt;
&lt;/candidate&gt;
&lt;/results&gt;
</v>
      </c>
      <c r="F611" cm="1">
        <f t="array" ref="F611">INDEX(_xlfn.FILTERXML(E611,"//latitude"),1)</f>
        <v>38.908127</v>
      </c>
      <c r="G611" cm="1">
        <f t="array" ref="G611">INDEX(_xlfn.FILTERXML(E611,"//longitude"),1)</f>
        <v>141.57003800000001</v>
      </c>
      <c r="H611">
        <v>38.908127</v>
      </c>
      <c r="I611">
        <v>141.57003800000001</v>
      </c>
    </row>
    <row r="612" spans="1:9" x14ac:dyDescent="0.4">
      <c r="A612" t="s">
        <v>9</v>
      </c>
      <c r="B612" t="s">
        <v>568</v>
      </c>
      <c r="C612" t="str">
        <f t="shared" si="44"/>
        <v>東京都世田谷区野沢</v>
      </c>
      <c r="D612" s="2" t="str">
        <f t="shared" si="42"/>
        <v>http://geocode.csis.u-tokyo.ac.jp/cgi-bin/simple_geocode.cgi?charset=UTF8&amp;addr=%E6%9D%B1%E4%BA%AC%E9%83%BD%E4%B8%96%E7%94%B0%E8%B0%B7%E5%8C%BA%E9%87%8E%E6%B2%A2</v>
      </c>
      <c r="E612" t="str">
        <f t="shared" si="43"/>
        <v xml:space="preserve">&lt;?xml version="1.0" encoding="UTF-8" ?&gt;
&lt;results&gt;
&lt;query&gt;東京都世田谷区野沢&lt;/query&gt;
&lt;geodetic&gt;wgs1984&lt;/geodetic&gt;
&lt;iConf&gt;5&lt;/iConf&gt;
&lt;converted&gt;東京都世田谷区野沢&lt;/converted&gt;
&lt;candidate&gt;
&lt;address&gt;東京都/世田谷区/野沢&lt;/address&gt;
&lt;longitude&gt;139.670822&lt;/longitude&gt;
&lt;latitude&gt;35.636181&lt;/latitude&gt;
&lt;iLvl&gt;5&lt;/iLvl&gt;
&lt;/candidate&gt;
&lt;/results&gt;
</v>
      </c>
      <c r="F612" cm="1">
        <f t="array" ref="F612">INDEX(_xlfn.FILTERXML(E612,"//latitude"),1)</f>
        <v>35.636181000000001</v>
      </c>
      <c r="G612" cm="1">
        <f t="array" ref="G612">INDEX(_xlfn.FILTERXML(E612,"//longitude"),1)</f>
        <v>139.67082199999999</v>
      </c>
      <c r="H612">
        <v>35.636181000000001</v>
      </c>
      <c r="I612">
        <v>139.67082199999999</v>
      </c>
    </row>
    <row r="613" spans="1:9" x14ac:dyDescent="0.4">
      <c r="A613" t="s">
        <v>19</v>
      </c>
      <c r="B613" t="s">
        <v>569</v>
      </c>
      <c r="C613" t="str">
        <f t="shared" si="44"/>
        <v>滋賀県彦根市鳥居本町</v>
      </c>
      <c r="D613" s="2" t="str">
        <f t="shared" si="42"/>
        <v>http://geocode.csis.u-tokyo.ac.jp/cgi-bin/simple_geocode.cgi?charset=UTF8&amp;addr=%E6%BB%8B%E8%B3%80%E7%9C%8C%E5%BD%A6%E6%A0%B9%E5%B8%82%E9%B3%A5%E5%B1%85%E6%9C%AC%E7%94%BA</v>
      </c>
      <c r="E613" t="str">
        <f t="shared" si="43"/>
        <v xml:space="preserve">&lt;?xml version="1.0" encoding="UTF-8" ?&gt;
&lt;results&gt;
&lt;query&gt;滋賀県彦根市鳥居本町&lt;/query&gt;
&lt;geodetic&gt;wgs1984&lt;/geodetic&gt;
&lt;iConf&gt;5&lt;/iConf&gt;
&lt;converted&gt;滋賀県彦根市鳥居本町&lt;/converted&gt;
&lt;candidate&gt;
&lt;address&gt;滋賀県/彦根市/鳥居本町&lt;/address&gt;
&lt;longitude&gt;136.287521&lt;/longitude&gt;
&lt;latitude&gt;35.280972&lt;/latitude&gt;
&lt;iLvl&gt;5&lt;/iLvl&gt;
&lt;/candidate&gt;
&lt;/results&gt;
</v>
      </c>
      <c r="F613" cm="1">
        <f t="array" ref="F613">INDEX(_xlfn.FILTERXML(E613,"//latitude"),1)</f>
        <v>35.280971999999998</v>
      </c>
      <c r="G613" cm="1">
        <f t="array" ref="G613">INDEX(_xlfn.FILTERXML(E613,"//longitude"),1)</f>
        <v>136.287521</v>
      </c>
      <c r="H613">
        <v>35.280971999999998</v>
      </c>
      <c r="I613">
        <v>136.287521</v>
      </c>
    </row>
    <row r="614" spans="1:9" x14ac:dyDescent="0.4">
      <c r="A614" t="s">
        <v>11</v>
      </c>
      <c r="B614" t="s">
        <v>570</v>
      </c>
      <c r="C614" t="str">
        <f t="shared" si="44"/>
        <v>大阪府寝屋川市御幸東町</v>
      </c>
      <c r="D614" s="2" t="str">
        <f t="shared" si="42"/>
        <v>http://geocode.csis.u-tokyo.ac.jp/cgi-bin/simple_geocode.cgi?charset=UTF8&amp;addr=%E5%A4%A7%E9%98%AA%E5%BA%9C%E5%AF%9D%E5%B1%8B%E5%B7%9D%E5%B8%82%E5%BE%A1%E5%B9%B8%E6%9D%B1%E7%94%BA</v>
      </c>
      <c r="E614" t="str">
        <f t="shared" si="43"/>
        <v xml:space="preserve">&lt;?xml version="1.0" encoding="UTF-8" ?&gt;
&lt;results&gt;
&lt;query&gt;大阪府寝屋川市御幸東町&lt;/query&gt;
&lt;geodetic&gt;wgs1984&lt;/geodetic&gt;
&lt;iConf&gt;5&lt;/iConf&gt;
&lt;converted&gt;大阪府寝屋川市御幸東町&lt;/converted&gt;
&lt;candidate&gt;
&lt;address&gt;大阪府/寝屋川市/御幸東町&lt;/address&gt;
&lt;longitude&gt;135.607407&lt;/longitude&gt;
&lt;latitude&gt;34.751938&lt;/latitude&gt;
&lt;iLvl&gt;5&lt;/iLvl&gt;
&lt;/candidate&gt;
&lt;/results&gt;
</v>
      </c>
      <c r="F614" cm="1">
        <f t="array" ref="F614">INDEX(_xlfn.FILTERXML(E614,"//latitude"),1)</f>
        <v>34.751938000000003</v>
      </c>
      <c r="G614" cm="1">
        <f t="array" ref="G614">INDEX(_xlfn.FILTERXML(E614,"//longitude"),1)</f>
        <v>135.60740699999999</v>
      </c>
      <c r="H614">
        <v>34.751938000000003</v>
      </c>
      <c r="I614">
        <v>135.60740699999999</v>
      </c>
    </row>
    <row r="615" spans="1:9" x14ac:dyDescent="0.4">
      <c r="A615" t="s">
        <v>11</v>
      </c>
      <c r="B615" t="s">
        <v>69</v>
      </c>
      <c r="C615" t="str">
        <f t="shared" si="44"/>
        <v>大阪府茨木市</v>
      </c>
      <c r="D615" s="2" t="str">
        <f t="shared" si="42"/>
        <v>http://geocode.csis.u-tokyo.ac.jp/cgi-bin/simple_geocode.cgi?charset=UTF8&amp;addr=%E5%A4%A7%E9%98%AA%E5%BA%9C%E8%8C%A8%E6%9C%A8%E5%B8%82</v>
      </c>
      <c r="E615" t="str">
        <f t="shared" si="43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615" cm="1">
        <f t="array" ref="F615">INDEX(_xlfn.FILTERXML(E615,"//latitude"),1)</f>
        <v>34.816153999999997</v>
      </c>
      <c r="G615" cm="1">
        <f t="array" ref="G615">INDEX(_xlfn.FILTERXML(E615,"//longitude"),1)</f>
        <v>135.56849700000001</v>
      </c>
      <c r="H615">
        <v>34.816153999999997</v>
      </c>
      <c r="I615">
        <v>135.56849700000001</v>
      </c>
    </row>
    <row r="616" spans="1:9" x14ac:dyDescent="0.4">
      <c r="A616" t="s">
        <v>11</v>
      </c>
      <c r="B616" t="s">
        <v>571</v>
      </c>
      <c r="C616" t="str">
        <f t="shared" si="44"/>
        <v>大阪府吹田市古江台</v>
      </c>
      <c r="D616" s="2" t="str">
        <f t="shared" si="42"/>
        <v>http://geocode.csis.u-tokyo.ac.jp/cgi-bin/simple_geocode.cgi?charset=UTF8&amp;addr=%E5%A4%A7%E9%98%AA%E5%BA%9C%E5%90%B9%E7%94%B0%E5%B8%82%E5%8F%A4%E6%B1%9F%E5%8F%B0</v>
      </c>
      <c r="E616" t="str">
        <f t="shared" si="43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616" cm="1">
        <f t="array" ref="F616">INDEX(_xlfn.FILTERXML(E616,"//latitude"),1)</f>
        <v>34.810214999999999</v>
      </c>
      <c r="G616" cm="1">
        <f t="array" ref="G616">INDEX(_xlfn.FILTERXML(E616,"//longitude"),1)</f>
        <v>135.50968900000001</v>
      </c>
      <c r="H616">
        <v>34.810214999999999</v>
      </c>
      <c r="I616">
        <v>135.50968900000001</v>
      </c>
    </row>
    <row r="617" spans="1:9" x14ac:dyDescent="0.4">
      <c r="A617" t="s">
        <v>48</v>
      </c>
      <c r="B617" t="s">
        <v>572</v>
      </c>
      <c r="C617" t="str">
        <f t="shared" si="44"/>
        <v>石川県白山市中成1-34</v>
      </c>
      <c r="D617" s="2" t="str">
        <f t="shared" si="42"/>
        <v>http://geocode.csis.u-tokyo.ac.jp/cgi-bin/simple_geocode.cgi?charset=UTF8&amp;addr=%E7%9F%B3%E5%B7%9D%E7%9C%8C%E7%99%BD%E5%B1%B1%E5%B8%82%E4%B8%AD%E6%88%901-34</v>
      </c>
      <c r="E617" t="str">
        <f t="shared" si="43"/>
        <v xml:space="preserve">&lt;?xml version="1.0" encoding="UTF-8" ?&gt;
&lt;results&gt;
&lt;query&gt;石川県白山市中成1-34&lt;/query&gt;
&lt;geodetic&gt;wgs1984&lt;/geodetic&gt;
&lt;iConf&gt;5&lt;/iConf&gt;
&lt;converted&gt;石川県白山市中成1-34&lt;/converted&gt;
&lt;candidate&gt;
&lt;address&gt;石川県/白山市/中成/一丁目/３４番地&lt;/address&gt;
&lt;longitude&gt;136.559006&lt;/longitude&gt;
&lt;latitude&gt;36.525993&lt;/latitude&gt;
&lt;iLvl&gt;7&lt;/iLvl&gt;
&lt;/candidate&gt;
&lt;/results&gt;
</v>
      </c>
      <c r="F617" cm="1">
        <f t="array" ref="F617">INDEX(_xlfn.FILTERXML(E617,"//latitude"),1)</f>
        <v>36.525993</v>
      </c>
      <c r="G617" cm="1">
        <f t="array" ref="G617">INDEX(_xlfn.FILTERXML(E617,"//longitude"),1)</f>
        <v>136.55900600000001</v>
      </c>
      <c r="H617">
        <v>36.525993</v>
      </c>
      <c r="I617">
        <v>136.55900600000001</v>
      </c>
    </row>
    <row r="618" spans="1:9" x14ac:dyDescent="0.4">
      <c r="A618" t="s">
        <v>9</v>
      </c>
      <c r="B618" t="s">
        <v>573</v>
      </c>
      <c r="C618" t="str">
        <f t="shared" si="44"/>
        <v>東京都千代田区</v>
      </c>
      <c r="D618" s="2" t="str">
        <f t="shared" si="42"/>
        <v>http://geocode.csis.u-tokyo.ac.jp/cgi-bin/simple_geocode.cgi?charset=UTF8&amp;addr=%E6%9D%B1%E4%BA%AC%E9%83%BD%E5%8D%83%E4%BB%A3%E7%94%B0%E5%8C%BA</v>
      </c>
      <c r="E618" t="str">
        <f t="shared" si="43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618" cm="1">
        <f t="array" ref="F618">INDEX(_xlfn.FILTERXML(E618,"//latitude"),1)</f>
        <v>35.694004</v>
      </c>
      <c r="G618" cm="1">
        <f t="array" ref="G618">INDEX(_xlfn.FILTERXML(E618,"//longitude"),1)</f>
        <v>139.75363200000001</v>
      </c>
      <c r="H618">
        <v>35.694004</v>
      </c>
      <c r="I618">
        <v>139.75363200000001</v>
      </c>
    </row>
    <row r="619" spans="1:9" x14ac:dyDescent="0.4">
      <c r="A619" t="s">
        <v>13</v>
      </c>
      <c r="B619" t="s">
        <v>574</v>
      </c>
      <c r="C619" t="str">
        <f t="shared" si="44"/>
        <v>埼玉県春日部市中央1丁目</v>
      </c>
      <c r="D619" s="2" t="str">
        <f t="shared" si="42"/>
        <v>http://geocode.csis.u-tokyo.ac.jp/cgi-bin/simple_geocode.cgi?charset=UTF8&amp;addr=%E5%9F%BC%E7%8E%89%E7%9C%8C%E6%98%A5%E6%97%A5%E9%83%A8%E5%B8%82%E4%B8%AD%E5%A4%AE1%E4%B8%81%E7%9B%AE</v>
      </c>
      <c r="E619" t="str">
        <f t="shared" si="43"/>
        <v xml:space="preserve">&lt;?xml version="1.0" encoding="UTF-8" ?&gt;
&lt;results&gt;
&lt;query&gt;埼玉県春日部市中央1丁目&lt;/query&gt;
&lt;geodetic&gt;wgs1984&lt;/geodetic&gt;
&lt;iConf&gt;5&lt;/iConf&gt;
&lt;converted&gt;埼玉県春日部市中央1丁目&lt;/converted&gt;
&lt;candidate&gt;
&lt;address&gt;埼玉県/春日部市/中央/一丁目&lt;/address&gt;
&lt;longitude&gt;139.751465&lt;/longitude&gt;
&lt;latitude&gt;35.978149&lt;/latitude&gt;
&lt;iLvl&gt;6&lt;/iLvl&gt;
&lt;/candidate&gt;
&lt;/results&gt;
</v>
      </c>
      <c r="F619" cm="1">
        <f t="array" ref="F619">INDEX(_xlfn.FILTERXML(E619,"//latitude"),1)</f>
        <v>35.978149000000002</v>
      </c>
      <c r="G619" cm="1">
        <f t="array" ref="G619">INDEX(_xlfn.FILTERXML(E619,"//longitude"),1)</f>
        <v>139.751465</v>
      </c>
      <c r="H619">
        <v>35.978149000000002</v>
      </c>
      <c r="I619">
        <v>139.751465</v>
      </c>
    </row>
    <row r="620" spans="1:9" x14ac:dyDescent="0.4">
      <c r="A620" t="s">
        <v>15</v>
      </c>
      <c r="B620" t="s">
        <v>575</v>
      </c>
      <c r="C620" t="str">
        <f t="shared" si="44"/>
        <v>兵庫県西宮市深谷町</v>
      </c>
      <c r="D620" s="2" t="str">
        <f t="shared" si="42"/>
        <v>http://geocode.csis.u-tokyo.ac.jp/cgi-bin/simple_geocode.cgi?charset=UTF8&amp;addr=%E5%85%B5%E5%BA%AB%E7%9C%8C%E8%A5%BF%E5%AE%AE%E5%B8%82%E6%B7%B1%E8%B0%B7%E7%94%BA</v>
      </c>
      <c r="E620" t="str">
        <f t="shared" si="43"/>
        <v xml:space="preserve">&lt;?xml version="1.0" encoding="UTF-8" ?&gt;
&lt;results&gt;
&lt;query&gt;兵庫県西宮市深谷町&lt;/query&gt;
&lt;geodetic&gt;wgs1984&lt;/geodetic&gt;
&lt;iConf&gt;5&lt;/iConf&gt;
&lt;converted&gt;兵庫県西宮市深谷町&lt;/converted&gt;
&lt;candidate&gt;
&lt;address&gt;兵庫県/西宮市/深谷町&lt;/address&gt;
&lt;longitude&gt;135.317871&lt;/longitude&gt;
&lt;latitude&gt;34.747021&lt;/latitude&gt;
&lt;iLvl&gt;5&lt;/iLvl&gt;
&lt;/candidate&gt;
&lt;/results&gt;
</v>
      </c>
      <c r="F620" cm="1">
        <f t="array" ref="F620">INDEX(_xlfn.FILTERXML(E620,"//latitude"),1)</f>
        <v>34.747020999999997</v>
      </c>
      <c r="G620" cm="1">
        <f t="array" ref="G620">INDEX(_xlfn.FILTERXML(E620,"//longitude"),1)</f>
        <v>135.317871</v>
      </c>
      <c r="H620">
        <v>34.747020999999997</v>
      </c>
      <c r="I620">
        <v>135.317871</v>
      </c>
    </row>
    <row r="621" spans="1:9" x14ac:dyDescent="0.4">
      <c r="A621" t="s">
        <v>118</v>
      </c>
      <c r="B621" t="s">
        <v>576</v>
      </c>
      <c r="C621" t="str">
        <f t="shared" si="44"/>
        <v>北海道函館市西桔梗町</v>
      </c>
      <c r="D621" s="2" t="str">
        <f t="shared" si="42"/>
        <v>http://geocode.csis.u-tokyo.ac.jp/cgi-bin/simple_geocode.cgi?charset=UTF8&amp;addr=%E5%8C%97%E6%B5%B7%E9%81%93%E5%87%BD%E9%A4%A8%E5%B8%82%E8%A5%BF%E6%A1%94%E6%A2%97%E7%94%BA</v>
      </c>
      <c r="E621" t="str">
        <f t="shared" si="43"/>
        <v xml:space="preserve">&lt;?xml version="1.0" encoding="UTF-8" ?&gt;
&lt;results&gt;
&lt;query&gt;北海道函館市西桔梗町&lt;/query&gt;
&lt;geodetic&gt;wgs1984&lt;/geodetic&gt;
&lt;iConf&gt;5&lt;/iConf&gt;
&lt;converted&gt;北海道函館市西桔梗町&lt;/converted&gt;
&lt;candidate&gt;
&lt;address&gt;北海道/函館市/西桔梗町&lt;/address&gt;
&lt;longitude&gt;140.715027&lt;/longitude&gt;
&lt;latitude&gt;41.832321&lt;/latitude&gt;
&lt;iLvl&gt;5&lt;/iLvl&gt;
&lt;/candidate&gt;
&lt;/results&gt;
</v>
      </c>
      <c r="F621" cm="1">
        <f t="array" ref="F621">INDEX(_xlfn.FILTERXML(E621,"//latitude"),1)</f>
        <v>41.832321</v>
      </c>
      <c r="G621" cm="1">
        <f t="array" ref="G621">INDEX(_xlfn.FILTERXML(E621,"//longitude"),1)</f>
        <v>140.71502699999999</v>
      </c>
      <c r="H621">
        <v>41.832321</v>
      </c>
      <c r="I621">
        <v>140.71502699999999</v>
      </c>
    </row>
    <row r="622" spans="1:9" x14ac:dyDescent="0.4">
      <c r="A622" t="s">
        <v>11</v>
      </c>
      <c r="B622" t="s">
        <v>577</v>
      </c>
      <c r="C622" t="str">
        <f t="shared" si="44"/>
        <v>大阪府豊中市緑丘</v>
      </c>
      <c r="D622" s="2" t="str">
        <f t="shared" si="42"/>
        <v>http://geocode.csis.u-tokyo.ac.jp/cgi-bin/simple_geocode.cgi?charset=UTF8&amp;addr=%E5%A4%A7%E9%98%AA%E5%BA%9C%E8%B1%8A%E4%B8%AD%E5%B8%82%E7%B7%91%E4%B8%98</v>
      </c>
      <c r="E622" t="str">
        <f t="shared" si="43"/>
        <v xml:space="preserve">&lt;?xml version="1.0" encoding="UTF-8" ?&gt;
&lt;results&gt;
&lt;query&gt;大阪府豊中市緑丘&lt;/query&gt;
&lt;geodetic&gt;wgs1984&lt;/geodetic&gt;
&lt;iConf&gt;5&lt;/iConf&gt;
&lt;converted&gt;大阪府豊中市緑丘&lt;/converted&gt;
&lt;candidate&gt;
&lt;address&gt;大阪府/豊中市/緑丘&lt;/address&gt;
&lt;longitude&gt;135.479141&lt;/longitude&gt;
&lt;latitude&gt;34.808186&lt;/latitude&gt;
&lt;iLvl&gt;5&lt;/iLvl&gt;
&lt;/candidate&gt;
&lt;/results&gt;
</v>
      </c>
      <c r="F622" cm="1">
        <f t="array" ref="F622">INDEX(_xlfn.FILTERXML(E622,"//latitude"),1)</f>
        <v>34.808185999999999</v>
      </c>
      <c r="G622" cm="1">
        <f t="array" ref="G622">INDEX(_xlfn.FILTERXML(E622,"//longitude"),1)</f>
        <v>135.479141</v>
      </c>
      <c r="H622">
        <v>34.808185999999999</v>
      </c>
      <c r="I622">
        <v>135.479141</v>
      </c>
    </row>
    <row r="623" spans="1:9" x14ac:dyDescent="0.4">
      <c r="A623" t="s">
        <v>17</v>
      </c>
      <c r="B623" t="s">
        <v>578</v>
      </c>
      <c r="C623" t="str">
        <f t="shared" si="44"/>
        <v>愛知県名古屋中村区名駅</v>
      </c>
      <c r="D623" s="2" t="str">
        <f t="shared" si="42"/>
        <v>http://geocode.csis.u-tokyo.ac.jp/cgi-bin/simple_geocode.cgi?charset=UTF8&amp;addr=%E6%84%9B%E7%9F%A5%E7%9C%8C%E5%90%8D%E5%8F%A4%E5%B1%8B%E4%B8%AD%E6%9D%91%E5%8C%BA%E5%90%8D%E9%A7%85</v>
      </c>
      <c r="E623" t="str">
        <f t="shared" si="43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623" cm="1">
        <f t="array" ref="F623">INDEX(_xlfn.FILTERXML(E623,"//latitude"),1)</f>
        <v>35.181435</v>
      </c>
      <c r="G623" cm="1">
        <f t="array" ref="G623">INDEX(_xlfn.FILTERXML(E623,"//longitude"),1)</f>
        <v>136.906418</v>
      </c>
      <c r="H623">
        <v>35.181435</v>
      </c>
      <c r="I623">
        <v>136.906418</v>
      </c>
    </row>
    <row r="624" spans="1:9" x14ac:dyDescent="0.4">
      <c r="A624" t="s">
        <v>11</v>
      </c>
      <c r="B624" t="s">
        <v>579</v>
      </c>
      <c r="C624" t="str">
        <f t="shared" si="44"/>
        <v>大阪府守口市外島町</v>
      </c>
      <c r="D624" s="2" t="str">
        <f t="shared" si="42"/>
        <v>http://geocode.csis.u-tokyo.ac.jp/cgi-bin/simple_geocode.cgi?charset=UTF8&amp;addr=%E5%A4%A7%E9%98%AA%E5%BA%9C%E5%AE%88%E5%8F%A3%E5%B8%82%E5%A4%96%E5%B3%B6%E7%94%BA</v>
      </c>
      <c r="E624" t="str">
        <f t="shared" si="43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624" cm="1">
        <f t="array" ref="F624">INDEX(_xlfn.FILTERXML(E624,"//latitude"),1)</f>
        <v>34.743149000000003</v>
      </c>
      <c r="G624" cm="1">
        <f t="array" ref="G624">INDEX(_xlfn.FILTERXML(E624,"//longitude"),1)</f>
        <v>135.56140099999999</v>
      </c>
      <c r="H624">
        <v>34.743149000000003</v>
      </c>
      <c r="I624">
        <v>135.56140099999999</v>
      </c>
    </row>
    <row r="625" spans="1:9" x14ac:dyDescent="0.4">
      <c r="A625" t="s">
        <v>11</v>
      </c>
      <c r="B625" t="s">
        <v>580</v>
      </c>
      <c r="C625" t="str">
        <f t="shared" si="44"/>
        <v>大阪府大阪市東淀川区淡路</v>
      </c>
      <c r="D625" s="2" t="str">
        <f t="shared" si="42"/>
        <v>http://geocode.csis.u-tokyo.ac.jp/cgi-bin/simple_geocode.cgi?charset=UTF8&amp;addr=%E5%A4%A7%E9%98%AA%E5%BA%9C%E5%A4%A7%E9%98%AA%E5%B8%82%E6%9D%B1%E6%B7%80%E5%B7%9D%E5%8C%BA%E6%B7%A1%E8%B7%AF</v>
      </c>
      <c r="E625" t="str">
        <f t="shared" si="43"/>
        <v xml:space="preserve">&lt;?xml version="1.0" encoding="UTF-8" ?&gt;
&lt;results&gt;
&lt;query&gt;大阪府大阪市東淀川区淡路&lt;/query&gt;
&lt;geodetic&gt;wgs1984&lt;/geodetic&gt;
&lt;iConf&gt;5&lt;/iConf&gt;
&lt;converted&gt;大阪府大阪市東淀川区淡路&lt;/converted&gt;
&lt;candidate&gt;
&lt;address&gt;大阪府/大阪市/東淀川区/淡路&lt;/address&gt;
&lt;longitude&gt;135.509094&lt;/longitude&gt;
&lt;latitude&gt;34.736507&lt;/latitude&gt;
&lt;iLvl&gt;5&lt;/iLvl&gt;
&lt;/candidate&gt;
&lt;/results&gt;
</v>
      </c>
      <c r="F625" cm="1">
        <f t="array" ref="F625">INDEX(_xlfn.FILTERXML(E625,"//latitude"),1)</f>
        <v>34.736507000000003</v>
      </c>
      <c r="G625" cm="1">
        <f t="array" ref="G625">INDEX(_xlfn.FILTERXML(E625,"//longitude"),1)</f>
        <v>135.509094</v>
      </c>
      <c r="H625">
        <v>34.736507000000003</v>
      </c>
      <c r="I625">
        <v>135.509094</v>
      </c>
    </row>
    <row r="626" spans="1:9" x14ac:dyDescent="0.4">
      <c r="A626" t="s">
        <v>15</v>
      </c>
      <c r="B626" t="s">
        <v>581</v>
      </c>
      <c r="C626" t="str">
        <f t="shared" si="44"/>
        <v>兵庫県神戸市中央区元町通り</v>
      </c>
      <c r="D626" s="2" t="str">
        <f t="shared" si="42"/>
        <v>http://geocode.csis.u-tokyo.ac.jp/cgi-bin/simple_geocode.cgi?charset=UTF8&amp;addr=%E5%85%B5%E5%BA%AB%E7%9C%8C%E7%A5%9E%E6%88%B8%E5%B8%82%E4%B8%AD%E5%A4%AE%E5%8C%BA%E5%85%83%E7%94%BA%E9%80%9A%E3%82%8A</v>
      </c>
      <c r="E626" t="str">
        <f t="shared" si="43"/>
        <v xml:space="preserve">&lt;?xml version="1.0" encoding="UTF-8" ?&gt;
&lt;results&gt;
&lt;query&gt;兵庫県神戸市中央区元町通り&lt;/query&gt;
&lt;geodetic&gt;wgs1984&lt;/geodetic&gt;
&lt;iConf&gt;5&lt;/iConf&gt;
&lt;converted&gt;兵庫県神戸市中央区元町通&lt;/converted&gt;
&lt;candidate&gt;
&lt;address&gt;兵庫県/神戸市/中央区/元町通&lt;/address&gt;
&lt;longitude&gt;135.188690&lt;/longitude&gt;
&lt;latitude&gt;34.689056&lt;/latitude&gt;
&lt;iLvl&gt;5&lt;/iLvl&gt;
&lt;/candidate&gt;
&lt;/results&gt;
</v>
      </c>
      <c r="F626" cm="1">
        <f t="array" ref="F626">INDEX(_xlfn.FILTERXML(E626,"//latitude"),1)</f>
        <v>34.689056000000001</v>
      </c>
      <c r="G626" cm="1">
        <f t="array" ref="G626">INDEX(_xlfn.FILTERXML(E626,"//longitude"),1)</f>
        <v>135.18869000000001</v>
      </c>
      <c r="H626">
        <v>34.689056000000001</v>
      </c>
      <c r="I626">
        <v>135.18869000000001</v>
      </c>
    </row>
    <row r="627" spans="1:9" x14ac:dyDescent="0.4">
      <c r="A627" t="s">
        <v>11</v>
      </c>
      <c r="B627" t="s">
        <v>988</v>
      </c>
      <c r="C627" t="str">
        <f t="shared" si="44"/>
        <v>大阪府吹田市山田西</v>
      </c>
      <c r="D627" s="2" t="str">
        <f t="shared" si="42"/>
        <v>http://geocode.csis.u-tokyo.ac.jp/cgi-bin/simple_geocode.cgi?charset=UTF8&amp;addr=%E5%A4%A7%E9%98%AA%E5%BA%9C%E5%90%B9%E7%94%B0%E5%B8%82%E5%B1%B1%E7%94%B0%E8%A5%BF</v>
      </c>
      <c r="E627" t="str">
        <f t="shared" si="43"/>
        <v xml:space="preserve">&lt;?xml version="1.0" encoding="UTF-8" ?&gt;
&lt;results&gt;
&lt;query&gt;大阪府吹田市山田西&lt;/query&gt;
&lt;geodetic&gt;wgs1984&lt;/geodetic&gt;
&lt;iConf&gt;5&lt;/iConf&gt;
&lt;converted&gt;大阪府吹田市山田西&lt;/converted&gt;
&lt;candidate&gt;
&lt;address&gt;大阪府/吹田市/山田西&lt;/address&gt;
&lt;longitude&gt;135.530655&lt;/longitude&gt;
&lt;latitude&gt;34.791245&lt;/latitude&gt;
&lt;iLvl&gt;5&lt;/iLvl&gt;
&lt;/candidate&gt;
&lt;/results&gt;
</v>
      </c>
      <c r="F627" cm="1">
        <f t="array" ref="F627">INDEX(_xlfn.FILTERXML(E627,"//latitude"),1)</f>
        <v>34.791245000000004</v>
      </c>
      <c r="G627" cm="1">
        <f t="array" ref="G627">INDEX(_xlfn.FILTERXML(E627,"//longitude"),1)</f>
        <v>135.530655</v>
      </c>
      <c r="H627">
        <v>34.791245000000004</v>
      </c>
      <c r="I627">
        <v>135.530655</v>
      </c>
    </row>
    <row r="628" spans="1:9" x14ac:dyDescent="0.4">
      <c r="A628" t="s">
        <v>14</v>
      </c>
      <c r="B628" t="s">
        <v>582</v>
      </c>
      <c r="C628" t="str">
        <f t="shared" si="44"/>
        <v>広島県呉市阿賀北</v>
      </c>
      <c r="D628" s="2" t="str">
        <f t="shared" si="42"/>
        <v>http://geocode.csis.u-tokyo.ac.jp/cgi-bin/simple_geocode.cgi?charset=UTF8&amp;addr=%E5%BA%83%E5%B3%B6%E7%9C%8C%E5%91%89%E5%B8%82%E9%98%BF%E8%B3%80%E5%8C%97</v>
      </c>
      <c r="E628" t="str">
        <f t="shared" si="43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628" cm="1">
        <f t="array" ref="F628">INDEX(_xlfn.FILTERXML(E628,"//latitude"),1)</f>
        <v>34.254131000000001</v>
      </c>
      <c r="G628" cm="1">
        <f t="array" ref="G628">INDEX(_xlfn.FILTERXML(E628,"//longitude"),1)</f>
        <v>132.59178199999999</v>
      </c>
      <c r="H628">
        <v>34.254131000000001</v>
      </c>
      <c r="I628">
        <v>132.59178199999999</v>
      </c>
    </row>
    <row r="629" spans="1:9" x14ac:dyDescent="0.4">
      <c r="A629" t="s">
        <v>17</v>
      </c>
      <c r="B629" t="s">
        <v>583</v>
      </c>
      <c r="C629" t="str">
        <f t="shared" si="44"/>
        <v>愛知県名古屋市</v>
      </c>
      <c r="D629" s="2" t="str">
        <f t="shared" si="42"/>
        <v>http://geocode.csis.u-tokyo.ac.jp/cgi-bin/simple_geocode.cgi?charset=UTF8&amp;addr=%E6%84%9B%E7%9F%A5%E7%9C%8C%E5%90%8D%E5%8F%A4%E5%B1%8B%E5%B8%82</v>
      </c>
      <c r="E629" t="str">
        <f t="shared" si="43"/>
        <v xml:space="preserve">&lt;?xml version="1.0" encoding="UTF-8" ?&gt;
&lt;results&gt;
&lt;query&gt;愛知県名古屋市&lt;/query&gt;
&lt;geodetic&gt;wgs1984&lt;/geodetic&gt;
&lt;iConf&gt;5&lt;/iConf&gt;
&lt;converted&gt;愛知名古屋市&lt;/converted&gt;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629" cm="1">
        <f t="array" ref="F629">INDEX(_xlfn.FILTERXML(E629,"//latitude"),1)</f>
        <v>35.181435</v>
      </c>
      <c r="G629" cm="1">
        <f t="array" ref="G629">INDEX(_xlfn.FILTERXML(E629,"//longitude"),1)</f>
        <v>136.906418</v>
      </c>
      <c r="H629">
        <v>35.181435</v>
      </c>
      <c r="I629">
        <v>136.906418</v>
      </c>
    </row>
    <row r="630" spans="1:9" x14ac:dyDescent="0.4">
      <c r="A630" t="s">
        <v>18</v>
      </c>
      <c r="B630" t="s">
        <v>156</v>
      </c>
      <c r="C630" t="str">
        <f t="shared" si="44"/>
        <v>千葉県松戸市</v>
      </c>
      <c r="D630" s="2" t="str">
        <f t="shared" si="42"/>
        <v>http://geocode.csis.u-tokyo.ac.jp/cgi-bin/simple_geocode.cgi?charset=UTF8&amp;addr=%E5%8D%83%E8%91%89%E7%9C%8C%E6%9D%BE%E6%88%B8%E5%B8%82</v>
      </c>
      <c r="E630" t="str">
        <f t="shared" si="43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630" cm="1">
        <f t="array" ref="F630">INDEX(_xlfn.FILTERXML(E630,"//latitude"),1)</f>
        <v>35.787650999999997</v>
      </c>
      <c r="G630" cm="1">
        <f t="array" ref="G630">INDEX(_xlfn.FILTERXML(E630,"//longitude"),1)</f>
        <v>139.90322900000001</v>
      </c>
      <c r="H630">
        <v>35.787650999999997</v>
      </c>
      <c r="I630">
        <v>139.90322900000001</v>
      </c>
    </row>
    <row r="631" spans="1:9" x14ac:dyDescent="0.4">
      <c r="A631" t="s">
        <v>9</v>
      </c>
      <c r="B631" t="s">
        <v>584</v>
      </c>
      <c r="C631" t="str">
        <f t="shared" si="44"/>
        <v>東京都中央区</v>
      </c>
      <c r="D631" s="2" t="str">
        <f t="shared" si="42"/>
        <v>http://geocode.csis.u-tokyo.ac.jp/cgi-bin/simple_geocode.cgi?charset=UTF8&amp;addr=%E6%9D%B1%E4%BA%AC%E9%83%BD%E4%B8%AD%E5%A4%AE%E5%8C%BA</v>
      </c>
      <c r="E631" t="str">
        <f t="shared" si="43"/>
        <v xml:space="preserve">&lt;?xml version="1.0" encoding="UTF-8" ?&gt;
&lt;results&gt;
&lt;query&gt;東京都中央区&lt;/query&gt;
&lt;geodetic&gt;wgs1984&lt;/geodetic&gt;
&lt;iConf&gt;5&lt;/iConf&gt;
&lt;converted&gt;東京都中央区&lt;/converted&gt;
&lt;candidate&gt;
&lt;address&gt;東京都/中央区&lt;/address&gt;
&lt;longitude&gt;139.772003&lt;/longitude&gt;
&lt;latitude&gt;35.670586&lt;/latitude&gt;
&lt;iLvl&gt;3&lt;/iLvl&gt;
&lt;/candidate&gt;
&lt;/results&gt;
</v>
      </c>
      <c r="F631" cm="1">
        <f t="array" ref="F631">INDEX(_xlfn.FILTERXML(E631,"//latitude"),1)</f>
        <v>35.670586</v>
      </c>
      <c r="G631" cm="1">
        <f t="array" ref="G631">INDEX(_xlfn.FILTERXML(E631,"//longitude"),1)</f>
        <v>139.77200300000001</v>
      </c>
      <c r="H631">
        <v>35.670586</v>
      </c>
      <c r="I631">
        <v>139.77200300000001</v>
      </c>
    </row>
    <row r="632" spans="1:9" x14ac:dyDescent="0.4">
      <c r="A632" t="s">
        <v>9</v>
      </c>
      <c r="B632" t="s">
        <v>585</v>
      </c>
      <c r="C632" t="str">
        <f t="shared" si="44"/>
        <v>東京都三鷹市深大寺</v>
      </c>
      <c r="D632" s="2" t="str">
        <f t="shared" si="42"/>
        <v>http://geocode.csis.u-tokyo.ac.jp/cgi-bin/simple_geocode.cgi?charset=UTF8&amp;addr=%E6%9D%B1%E4%BA%AC%E9%83%BD%E4%B8%89%E9%B7%B9%E5%B8%82%E6%B7%B1%E5%A4%A7%E5%AF%BA</v>
      </c>
      <c r="E632" t="str">
        <f t="shared" si="43"/>
        <v xml:space="preserve">&lt;?xml version="1.0" encoding="UTF-8" ?&gt;
&lt;results&gt;
&lt;query&gt;東京都三鷹市深大寺&lt;/query&gt;
&lt;geodetic&gt;wgs1984&lt;/geodetic&gt;
&lt;iConf&gt;5&lt;/iConf&gt;
&lt;converted&gt;東京都三鷹市深大寺&lt;/converted&gt;
&lt;candidate&gt;
&lt;address&gt;東京都/三鷹市/深大寺&lt;/address&gt;
&lt;longitude&gt;139.540253&lt;/longitude&gt;
&lt;latitude&gt;35.691887&lt;/latitude&gt;
&lt;iLvl&gt;5&lt;/iLvl&gt;
&lt;/candidate&gt;
&lt;/results&gt;
</v>
      </c>
      <c r="F632" cm="1">
        <f t="array" ref="F632">INDEX(_xlfn.FILTERXML(E632,"//latitude"),1)</f>
        <v>35.691887000000001</v>
      </c>
      <c r="G632" cm="1">
        <f t="array" ref="G632">INDEX(_xlfn.FILTERXML(E632,"//longitude"),1)</f>
        <v>139.54025300000001</v>
      </c>
      <c r="H632">
        <v>35.691887000000001</v>
      </c>
      <c r="I632">
        <v>139.54025300000001</v>
      </c>
    </row>
    <row r="633" spans="1:9" x14ac:dyDescent="0.4">
      <c r="A633" t="s">
        <v>9</v>
      </c>
      <c r="B633" t="s">
        <v>586</v>
      </c>
      <c r="C633" t="str">
        <f t="shared" si="44"/>
        <v>東京都武蔵村山市中原</v>
      </c>
      <c r="D633" s="2" t="str">
        <f t="shared" si="42"/>
        <v>http://geocode.csis.u-tokyo.ac.jp/cgi-bin/simple_geocode.cgi?charset=UTF8&amp;addr=%E6%9D%B1%E4%BA%AC%E9%83%BD%E6%AD%A6%E8%94%B5%E6%9D%91%E5%B1%B1%E5%B8%82%E4%B8%AD%E5%8E%9F</v>
      </c>
      <c r="E633" t="str">
        <f t="shared" si="43"/>
        <v xml:space="preserve">&lt;?xml version="1.0" encoding="UTF-8" ?&gt;
&lt;results&gt;
&lt;query&gt;東京都武村山市中原&lt;/query&gt;
&lt;geodetic&gt;wgs1984&lt;/geodetic&gt;
&lt;iConf&gt;5&lt;/iConf&gt;
&lt;converted&gt;東京都武蔵村山市中原&lt;/converted&gt;
&lt;candidate&gt;
&lt;address&gt;東京都/武蔵村山市/中原&lt;/address&gt;
&lt;longitude&gt;139.365173&lt;/longitude&gt;
&lt;latitude&gt;35.755882&lt;/latitude&gt;
&lt;iLvl&gt;5&lt;/iLvl&gt;
&lt;/candidate&gt;
&lt;/results&gt;
</v>
      </c>
      <c r="F633" cm="1">
        <f t="array" ref="F633">INDEX(_xlfn.FILTERXML(E633,"//latitude"),1)</f>
        <v>35.755882</v>
      </c>
      <c r="G633" cm="1">
        <f t="array" ref="G633">INDEX(_xlfn.FILTERXML(E633,"//longitude"),1)</f>
        <v>139.365173</v>
      </c>
      <c r="H633" s="3">
        <v>35.755882</v>
      </c>
      <c r="I633" s="3">
        <v>139.365173</v>
      </c>
    </row>
    <row r="634" spans="1:9" x14ac:dyDescent="0.4">
      <c r="A634" t="s">
        <v>29</v>
      </c>
      <c r="B634" t="s">
        <v>587</v>
      </c>
      <c r="C634" t="str">
        <f t="shared" si="44"/>
        <v>静岡県静岡市駿河区国吉田</v>
      </c>
      <c r="D634" s="2" t="str">
        <f t="shared" si="42"/>
        <v>http://geocode.csis.u-tokyo.ac.jp/cgi-bin/simple_geocode.cgi?charset=UTF8&amp;addr=%E9%9D%99%E5%B2%A1%E7%9C%8C%E9%9D%99%E5%B2%A1%E5%B8%82%E9%A7%BF%E6%B2%B3%E5%8C%BA%E5%9B%BD%E5%90%89%E7%94%B0</v>
      </c>
      <c r="E634" t="str">
        <f t="shared" si="43"/>
        <v xml:space="preserve">&lt;?xml version="1.0" encoding="UTF-8" ?&gt;
&lt;results&gt;
&lt;query&gt;静岡県静岡市駿河区国吉田&lt;/query&gt;
&lt;geodetic&gt;wgs1984&lt;/geodetic&gt;
&lt;iConf&gt;5&lt;/iConf&gt;
&lt;converted&gt;静岡県静岡市駿河区国吉田&lt;/converted&gt;
&lt;candidate&gt;
&lt;address&gt;静岡県/静岡市/駿河区/国吉田&lt;/address&gt;
&lt;longitude&gt;138.441437&lt;/longitude&gt;
&lt;latitude&gt;34.985950&lt;/latitude&gt;
&lt;iLvl&gt;5&lt;/iLvl&gt;
&lt;/candidate&gt;
&lt;/results&gt;
</v>
      </c>
      <c r="F634" cm="1">
        <f t="array" ref="F634">INDEX(_xlfn.FILTERXML(E634,"//latitude"),1)</f>
        <v>34.985950000000003</v>
      </c>
      <c r="G634" cm="1">
        <f t="array" ref="G634">INDEX(_xlfn.FILTERXML(E634,"//longitude"),1)</f>
        <v>138.44143700000001</v>
      </c>
      <c r="H634">
        <v>34.985950000000003</v>
      </c>
      <c r="I634">
        <v>138.44143700000001</v>
      </c>
    </row>
    <row r="635" spans="1:9" x14ac:dyDescent="0.4">
      <c r="A635" t="s">
        <v>11</v>
      </c>
      <c r="B635" t="s">
        <v>588</v>
      </c>
      <c r="C635" t="str">
        <f t="shared" si="44"/>
        <v>大阪府大阪市福島区鷺洲</v>
      </c>
      <c r="D635" s="2" t="str">
        <f t="shared" ref="D635:D698" si="45" xml:space="preserve"> "http://geocode.csis.u-tokyo.ac.jp/cgi-bin/simple_geocode.cgi?charset=UTF8&amp;addr=" &amp; _xlfn.ENCODEURL(C635)</f>
        <v>http://geocode.csis.u-tokyo.ac.jp/cgi-bin/simple_geocode.cgi?charset=UTF8&amp;addr=%E5%A4%A7%E9%98%AA%E5%BA%9C%E5%A4%A7%E9%98%AA%E5%B8%82%E7%A6%8F%E5%B3%B6%E5%8C%BA%E9%B7%BA%E6%B4%B2</v>
      </c>
      <c r="E635" t="str">
        <f t="shared" ref="E635:E698" si="46" xml:space="preserve"> _xlfn.WEBSERVICE(D635)</f>
        <v xml:space="preserve">&lt;?xml version="1.0" encoding="UTF-8" ?&gt;
&lt;results&gt;
&lt;query&gt;大阪府大阪市福島区鷺洲&lt;/query&gt;
&lt;geodetic&gt;wgs1984&lt;/geodetic&gt;
&lt;iConf&gt;5&lt;/iConf&gt;
&lt;converted&gt;大阪府大阪市福島区鷺洲&lt;/converted&gt;
&lt;candidate&gt;
&lt;address&gt;大阪府/大阪市/福島区/鷺洲&lt;/address&gt;
&lt;longitude&gt;135.479294&lt;/longitude&gt;
&lt;latitude&gt;34.695038&lt;/latitude&gt;
&lt;iLvl&gt;5&lt;/iLvl&gt;
&lt;/candidate&gt;
&lt;/results&gt;
</v>
      </c>
      <c r="F635" cm="1">
        <f t="array" ref="F635">INDEX(_xlfn.FILTERXML(E635,"//latitude"),1)</f>
        <v>34.695037999999997</v>
      </c>
      <c r="G635" cm="1">
        <f t="array" ref="G635">INDEX(_xlfn.FILTERXML(E635,"//longitude"),1)</f>
        <v>135.47929400000001</v>
      </c>
      <c r="H635">
        <v>34.695037999999997</v>
      </c>
      <c r="I635">
        <v>135.47929400000001</v>
      </c>
    </row>
    <row r="636" spans="1:9" x14ac:dyDescent="0.4">
      <c r="A636" t="s">
        <v>193</v>
      </c>
      <c r="B636" t="s">
        <v>589</v>
      </c>
      <c r="C636" t="str">
        <f t="shared" si="44"/>
        <v>島根県安来市佐久保町</v>
      </c>
      <c r="D636" s="2" t="str">
        <f t="shared" si="45"/>
        <v>http://geocode.csis.u-tokyo.ac.jp/cgi-bin/simple_geocode.cgi?charset=UTF8&amp;addr=%E5%B3%B6%E6%A0%B9%E7%9C%8C%E5%AE%89%E6%9D%A5%E5%B8%82%E4%BD%90%E4%B9%85%E4%BF%9D%E7%94%BA</v>
      </c>
      <c r="E636" t="str">
        <f t="shared" si="46"/>
        <v xml:space="preserve">&lt;?xml version="1.0" encoding="UTF-8" ?&gt;
&lt;results&gt;
&lt;query&gt;島根県安来市佐久保町&lt;/query&gt;
&lt;geodetic&gt;wgs1984&lt;/geodetic&gt;
&lt;iConf&gt;5&lt;/iConf&gt;
&lt;converted&gt;島根県安来市佐久保町&lt;/converted&gt;
&lt;candidate&gt;
&lt;address&gt;島根県/安来市/佐久保町&lt;/address&gt;
&lt;longitude&gt;133.257675&lt;/longitude&gt;
&lt;latitude&gt;35.415443&lt;/latitude&gt;
&lt;iLvl&gt;5&lt;/iLvl&gt;
&lt;/candidate&gt;
&lt;/results&gt;
</v>
      </c>
      <c r="F636" cm="1">
        <f t="array" ref="F636">INDEX(_xlfn.FILTERXML(E636,"//latitude"),1)</f>
        <v>35.415443000000003</v>
      </c>
      <c r="G636" cm="1">
        <f t="array" ref="G636">INDEX(_xlfn.FILTERXML(E636,"//longitude"),1)</f>
        <v>133.25767500000001</v>
      </c>
      <c r="H636">
        <v>35.415443000000003</v>
      </c>
      <c r="I636">
        <v>133.25767500000001</v>
      </c>
    </row>
    <row r="637" spans="1:9" x14ac:dyDescent="0.4">
      <c r="A637" t="s">
        <v>13</v>
      </c>
      <c r="B637" t="s">
        <v>590</v>
      </c>
      <c r="C637" t="str">
        <f t="shared" si="44"/>
        <v>埼玉県所沢市東町12-8-912</v>
      </c>
      <c r="D637" s="2" t="str">
        <f t="shared" si="45"/>
        <v>http://geocode.csis.u-tokyo.ac.jp/cgi-bin/simple_geocode.cgi?charset=UTF8&amp;addr=%E5%9F%BC%E7%8E%89%E7%9C%8C%E6%89%80%E6%B2%A2%E5%B8%82%E6%9D%B1%E7%94%BA12-8-912</v>
      </c>
      <c r="E637" t="str">
        <f t="shared" si="46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637" cm="1">
        <f t="array" ref="F637">INDEX(_xlfn.FILTERXML(E637,"//latitude"),1)</f>
        <v>35.789966999999997</v>
      </c>
      <c r="G637" cm="1">
        <f t="array" ref="G637">INDEX(_xlfn.FILTERXML(E637,"//longitude"),1)</f>
        <v>139.470505</v>
      </c>
      <c r="H637">
        <v>35.789966999999997</v>
      </c>
      <c r="I637">
        <v>139.470505</v>
      </c>
    </row>
    <row r="638" spans="1:9" x14ac:dyDescent="0.4">
      <c r="A638" t="s">
        <v>34</v>
      </c>
      <c r="B638" t="s">
        <v>591</v>
      </c>
      <c r="C638" t="str">
        <f t="shared" si="44"/>
        <v>岐阜県高山市西之一色町１丁目</v>
      </c>
      <c r="D638" s="2" t="str">
        <f t="shared" si="45"/>
        <v>http://geocode.csis.u-tokyo.ac.jp/cgi-bin/simple_geocode.cgi?charset=UTF8&amp;addr=%E5%B2%90%E9%98%9C%E7%9C%8C%E9%AB%98%E5%B1%B1%E5%B8%82%E8%A5%BF%E4%B9%8B%E4%B8%80%E8%89%B2%E7%94%BA%EF%BC%91%E4%B8%81%E7%9B%AE</v>
      </c>
      <c r="E638" t="str">
        <f t="shared" si="46"/>
        <v xml:space="preserve">&lt;?xml version="1.0" encoding="UTF-8" ?&gt;
&lt;results&gt;
&lt;query&gt;岐阜県高山市西之一色町１丁目&lt;/query&gt;
&lt;geodetic&gt;wgs1984&lt;/geodetic&gt;
&lt;iConf&gt;5&lt;/iConf&gt;
&lt;converted&gt;岐阜県高山市西之一色町１丁目&lt;/converted&gt;
&lt;candidate&gt;
&lt;address&gt;岐阜県/高山市/西之一色町/一丁目&lt;/address&gt;
&lt;longitude&gt;137.250504&lt;/longitude&gt;
&lt;latitude&gt;36.134377&lt;/latitude&gt;
&lt;iLvl&gt;6&lt;/iLvl&gt;
&lt;/candidate&gt;
&lt;/results&gt;
</v>
      </c>
      <c r="F638" cm="1">
        <f t="array" ref="F638">INDEX(_xlfn.FILTERXML(E638,"//latitude"),1)</f>
        <v>36.134377000000001</v>
      </c>
      <c r="G638" cm="1">
        <f t="array" ref="G638">INDEX(_xlfn.FILTERXML(E638,"//longitude"),1)</f>
        <v>137.25050400000001</v>
      </c>
      <c r="H638">
        <v>36.134377000000001</v>
      </c>
      <c r="I638">
        <v>137.25050400000001</v>
      </c>
    </row>
    <row r="639" spans="1:9" x14ac:dyDescent="0.4">
      <c r="A639" t="s">
        <v>11</v>
      </c>
      <c r="B639" t="s">
        <v>592</v>
      </c>
      <c r="C639" t="str">
        <f t="shared" si="44"/>
        <v>大阪府守口市</v>
      </c>
      <c r="D639" s="2" t="str">
        <f t="shared" si="45"/>
        <v>http://geocode.csis.u-tokyo.ac.jp/cgi-bin/simple_geocode.cgi?charset=UTF8&amp;addr=%E5%A4%A7%E9%98%AA%E5%BA%9C%E5%AE%88%E5%8F%A3%E5%B8%82</v>
      </c>
      <c r="E639" t="str">
        <f t="shared" si="46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639" cm="1">
        <f t="array" ref="F639">INDEX(_xlfn.FILTERXML(E639,"//latitude"),1)</f>
        <v>34.737679</v>
      </c>
      <c r="G639" cm="1">
        <f t="array" ref="G639">INDEX(_xlfn.FILTERXML(E639,"//longitude"),1)</f>
        <v>135.563965</v>
      </c>
      <c r="H639">
        <v>34.737679</v>
      </c>
      <c r="I639">
        <v>135.563965</v>
      </c>
    </row>
    <row r="640" spans="1:9" x14ac:dyDescent="0.4">
      <c r="A640" t="s">
        <v>11</v>
      </c>
      <c r="B640" t="s">
        <v>593</v>
      </c>
      <c r="C640" t="str">
        <f t="shared" si="44"/>
        <v>大阪府西区浜寺昭和町</v>
      </c>
      <c r="D640" s="2" t="str">
        <f t="shared" si="45"/>
        <v>http://geocode.csis.u-tokyo.ac.jp/cgi-bin/simple_geocode.cgi?charset=UTF8&amp;addr=%E5%A4%A7%E9%98%AA%E5%BA%9C%E8%A5%BF%E5%8C%BA%E6%B5%9C%E5%AF%BA%E6%98%AD%E5%92%8C%E7%94%BA</v>
      </c>
      <c r="E640" t="str">
        <f t="shared" si="46"/>
        <v xml:space="preserve">&lt;?xml version="1.0" encoding="UTF-8" ?&gt;
&lt;results&gt;
&lt;query&gt;大阪府西区浜寺昭和町&lt;/query&gt;
&lt;geodetic&gt;wgs1984&lt;/geodetic&gt;
&lt;iConf&gt;4&lt;/iConf&gt;
&lt;converted&gt;大阪府西区浜寺昭和町&lt;/converted&gt;
&lt;candidate&gt;
&lt;address&gt;大阪府/堺市/西区/浜寺昭和町一丁&lt;/address&gt;
&lt;longitude&gt;135.448975&lt;/longitude&gt;
&lt;latitude&gt;34.545094&lt;/latitude&gt;
&lt;iLvl&gt;5&lt;/iLvl&gt;
&lt;/candidate&gt;
&lt;candidate&gt;
&lt;address&gt;大阪府/堺市/西区/浜寺昭和町二丁&lt;/address&gt;
&lt;longitude&gt;135.448013&lt;/longitude&gt;
&lt;latitude&gt;34.543148&lt;/latitude&gt;
&lt;iLvl&gt;5&lt;/iLvl&gt;
&lt;/candidate&gt;
&lt;candidate&gt;
&lt;address&gt;大阪府/堺市/西区/浜寺昭和町三丁&lt;/address&gt;
&lt;longitude&gt;135.447418&lt;/longitude&gt;
&lt;latitude&gt;34.541309&lt;/latitude&gt;
&lt;iLvl&gt;5&lt;/iLvl&gt;
&lt;/candidate&gt;
&lt;candidate&gt;
&lt;address&gt;大阪府/堺市/西区/浜寺昭和町四丁&lt;/address&gt;
&lt;longitude&gt;135.446091&lt;/longitude&gt;
&lt;latitude&gt;34.540154&lt;/latitude&gt;
&lt;iLvl&gt;5&lt;/iLvl&gt;
&lt;/candidate&gt;
&lt;candidate&gt;
&lt;address&gt;大阪府/堺市/西区/浜寺昭和町五丁&lt;/address&gt;
&lt;longitude&gt;135.445984&lt;/longitude&gt;
&lt;latitude&gt;34.537930&lt;/latitude&gt;
&lt;iLvl&gt;5&lt;/iLvl&gt;
&lt;/candidate&gt;
&lt;/results&gt;
</v>
      </c>
      <c r="F640" cm="1">
        <f t="array" ref="F640">INDEX(_xlfn.FILTERXML(E640,"//latitude"),1)</f>
        <v>34.545093999999999</v>
      </c>
      <c r="G640" cm="1">
        <f t="array" ref="G640">INDEX(_xlfn.FILTERXML(E640,"//longitude"),1)</f>
        <v>135.44897499999999</v>
      </c>
      <c r="H640">
        <v>34.545093999999999</v>
      </c>
      <c r="I640">
        <v>135.44897499999999</v>
      </c>
    </row>
    <row r="641" spans="1:9" x14ac:dyDescent="0.4">
      <c r="A641" t="s">
        <v>10</v>
      </c>
      <c r="B641" t="s">
        <v>594</v>
      </c>
      <c r="C641" t="str">
        <f t="shared" si="44"/>
        <v>神奈川県川崎市宮前区土橋</v>
      </c>
      <c r="D641" s="2" t="str">
        <f t="shared" si="45"/>
        <v>http://geocode.csis.u-tokyo.ac.jp/cgi-bin/simple_geocode.cgi?charset=UTF8&amp;addr=%E7%A5%9E%E5%A5%88%E5%B7%9D%E7%9C%8C%E5%B7%9D%E5%B4%8E%E5%B8%82%E5%AE%AE%E5%89%8D%E5%8C%BA%E5%9C%9F%E6%A9%8B</v>
      </c>
      <c r="E641" t="str">
        <f t="shared" si="46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641" cm="1">
        <f t="array" ref="F641">INDEX(_xlfn.FILTERXML(E641,"//latitude"),1)</f>
        <v>35.587051000000002</v>
      </c>
      <c r="G641" cm="1">
        <f t="array" ref="G641">INDEX(_xlfn.FILTERXML(E641,"//longitude"),1)</f>
        <v>139.57667499999999</v>
      </c>
      <c r="H641">
        <v>35.587051000000002</v>
      </c>
      <c r="I641">
        <v>139.57667499999999</v>
      </c>
    </row>
    <row r="642" spans="1:9" x14ac:dyDescent="0.4">
      <c r="A642" t="s">
        <v>15</v>
      </c>
      <c r="B642" t="s">
        <v>595</v>
      </c>
      <c r="C642" t="str">
        <f t="shared" si="44"/>
        <v>兵庫県神戸市垂水区</v>
      </c>
      <c r="D642" s="2" t="str">
        <f t="shared" si="45"/>
        <v>http://geocode.csis.u-tokyo.ac.jp/cgi-bin/simple_geocode.cgi?charset=UTF8&amp;addr=%E5%85%B5%E5%BA%AB%E7%9C%8C%E7%A5%9E%E6%88%B8%E5%B8%82%E5%9E%82%E6%B0%B4%E5%8C%BA</v>
      </c>
      <c r="E642" t="str">
        <f t="shared" si="46"/>
        <v xml:space="preserve">&lt;?xml version="1.0" encoding="UTF-8" ?&gt;
&lt;results&gt;
&lt;query&gt;兵庫県神戸市垂水区&lt;/query&gt;
&lt;geodetic&gt;wgs1984&lt;/geodetic&gt;
&lt;iConf&gt;5&lt;/iConf&gt;
&lt;converted&gt;兵庫県神戸市垂水区&lt;/converted&gt;
&lt;candidate&gt;
&lt;address&gt;兵庫県/神戸市/垂水区&lt;/address&gt;
&lt;longitude&gt;135.056915&lt;/longitude&gt;
&lt;latitude&gt;34.630611&lt;/latitude&gt;
&lt;iLvl&gt;4&lt;/iLvl&gt;
&lt;/candidate&gt;
&lt;/results&gt;
</v>
      </c>
      <c r="F642" cm="1">
        <f t="array" ref="F642">INDEX(_xlfn.FILTERXML(E642,"//latitude"),1)</f>
        <v>34.630611000000002</v>
      </c>
      <c r="G642" cm="1">
        <f t="array" ref="G642">INDEX(_xlfn.FILTERXML(E642,"//longitude"),1)</f>
        <v>135.056915</v>
      </c>
      <c r="H642">
        <v>34.630611000000002</v>
      </c>
      <c r="I642">
        <v>135.056915</v>
      </c>
    </row>
    <row r="643" spans="1:9" x14ac:dyDescent="0.4">
      <c r="A643" t="s">
        <v>123</v>
      </c>
      <c r="B643" t="s">
        <v>596</v>
      </c>
      <c r="C643" t="str">
        <f t="shared" ref="C643:C706" si="47">+A643&amp;B643</f>
        <v>和歌山県有田川町庄</v>
      </c>
      <c r="D643" s="2" t="str">
        <f t="shared" si="45"/>
        <v>http://geocode.csis.u-tokyo.ac.jp/cgi-bin/simple_geocode.cgi?charset=UTF8&amp;addr=%E5%92%8C%E6%AD%8C%E5%B1%B1%E7%9C%8C%E6%9C%89%E7%94%B0%E5%B7%9D%E7%94%BA%E5%BA%84</v>
      </c>
      <c r="E643" t="str">
        <f t="shared" si="46"/>
        <v xml:space="preserve">&lt;?xml version="1.0" encoding="UTF-8" ?&gt;
&lt;results&gt;
&lt;query&gt;和歌山県有田川町庄&lt;/query&gt;
&lt;geodetic&gt;wgs1984&lt;/geodetic&gt;
&lt;iConf&gt;5&lt;/iConf&gt;
&lt;converted&gt;和歌山県有田&lt;/converted&gt;
&lt;candidate&gt;
&lt;address&gt;和歌山県/有田郡&lt;/address&gt;
&lt;longitude&gt;135.127731&lt;/longitude&gt;
&lt;latitude&gt;34.083103&lt;/latitude&gt;
&lt;iLvl&gt;3&lt;/iLvl&gt;
&lt;/candidate&gt;
&lt;/results&gt;
</v>
      </c>
      <c r="F643" cm="1">
        <f t="array" ref="F643">INDEX(_xlfn.FILTERXML(E643,"//latitude"),1)</f>
        <v>34.083103000000001</v>
      </c>
      <c r="G643" cm="1">
        <f t="array" ref="G643">INDEX(_xlfn.FILTERXML(E643,"//longitude"),1)</f>
        <v>135.12773100000001</v>
      </c>
      <c r="H643">
        <v>34.083103000000001</v>
      </c>
      <c r="I643">
        <v>135.12773100000001</v>
      </c>
    </row>
    <row r="644" spans="1:9" x14ac:dyDescent="0.4">
      <c r="A644" t="s">
        <v>34</v>
      </c>
      <c r="B644" t="s">
        <v>597</v>
      </c>
      <c r="C644" t="str">
        <f t="shared" si="47"/>
        <v>岐阜県各務原市</v>
      </c>
      <c r="D644" s="2" t="str">
        <f t="shared" si="45"/>
        <v>http://geocode.csis.u-tokyo.ac.jp/cgi-bin/simple_geocode.cgi?charset=UTF8&amp;addr=%E5%B2%90%E9%98%9C%E7%9C%8C%E5%90%84%E5%8B%99%E5%8E%9F%E5%B8%82</v>
      </c>
      <c r="E644" t="str">
        <f t="shared" si="46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644" cm="1">
        <f t="array" ref="F644">INDEX(_xlfn.FILTERXML(E644,"//latitude"),1)</f>
        <v>35.398910999999998</v>
      </c>
      <c r="G644" cm="1">
        <f t="array" ref="G644">INDEX(_xlfn.FILTERXML(E644,"//longitude"),1)</f>
        <v>136.848389</v>
      </c>
      <c r="H644">
        <v>35.398910999999998</v>
      </c>
      <c r="I644">
        <v>136.848389</v>
      </c>
    </row>
    <row r="645" spans="1:9" x14ac:dyDescent="0.4">
      <c r="A645" t="s">
        <v>17</v>
      </c>
      <c r="B645" t="s">
        <v>598</v>
      </c>
      <c r="C645" t="str">
        <f t="shared" si="47"/>
        <v>愛知県半田市前田町</v>
      </c>
      <c r="D645" s="2" t="str">
        <f t="shared" si="45"/>
        <v>http://geocode.csis.u-tokyo.ac.jp/cgi-bin/simple_geocode.cgi?charset=UTF8&amp;addr=%E6%84%9B%E7%9F%A5%E7%9C%8C%E5%8D%8A%E7%94%B0%E5%B8%82%E5%89%8D%E7%94%B0%E7%94%BA</v>
      </c>
      <c r="E645" t="str">
        <f t="shared" si="46"/>
        <v xml:space="preserve">&lt;?xml version="1.0" encoding="UTF-8" ?&gt;
&lt;results&gt;
&lt;query&gt;愛知県半田市前田町&lt;/query&gt;
&lt;geodetic&gt;wgs1984&lt;/geodetic&gt;
&lt;iConf&gt;5&lt;/iConf&gt;
&lt;converted&gt;愛知県半田市前田町&lt;/converted&gt;
&lt;candidate&gt;
&lt;address&gt;愛知県/半田市/前田町&lt;/address&gt;
&lt;longitude&gt;136.956711&lt;/longitude&gt;
&lt;latitude&gt;34.913635&lt;/latitude&gt;
&lt;iLvl&gt;5&lt;/iLvl&gt;
&lt;/candidate&gt;
&lt;/results&gt;
</v>
      </c>
      <c r="F645" cm="1">
        <f t="array" ref="F645">INDEX(_xlfn.FILTERXML(E645,"//latitude"),1)</f>
        <v>34.913634999999999</v>
      </c>
      <c r="G645" cm="1">
        <f t="array" ref="G645">INDEX(_xlfn.FILTERXML(E645,"//longitude"),1)</f>
        <v>136.95671100000001</v>
      </c>
      <c r="H645">
        <v>34.913634999999999</v>
      </c>
      <c r="I645">
        <v>136.95671100000001</v>
      </c>
    </row>
    <row r="646" spans="1:9" x14ac:dyDescent="0.4">
      <c r="A646" t="s">
        <v>18</v>
      </c>
      <c r="B646" t="s">
        <v>599</v>
      </c>
      <c r="C646" t="str">
        <f t="shared" si="47"/>
        <v>千葉県松戸市河原塚</v>
      </c>
      <c r="D646" s="2" t="str">
        <f t="shared" si="45"/>
        <v>http://geocode.csis.u-tokyo.ac.jp/cgi-bin/simple_geocode.cgi?charset=UTF8&amp;addr=%E5%8D%83%E8%91%89%E7%9C%8C%E6%9D%BE%E6%88%B8%E5%B8%82%E6%B2%B3%E5%8E%9F%E5%A1%9A</v>
      </c>
      <c r="E646" t="str">
        <f t="shared" si="46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646" cm="1">
        <f t="array" ref="F646">INDEX(_xlfn.FILTERXML(E646,"//latitude"),1)</f>
        <v>35.781402999999997</v>
      </c>
      <c r="G646" cm="1">
        <f t="array" ref="G646">INDEX(_xlfn.FILTERXML(E646,"//longitude"),1)</f>
        <v>139.93985000000001</v>
      </c>
      <c r="H646" s="3">
        <v>35.781402999999997</v>
      </c>
      <c r="I646" s="3">
        <v>139.93985000000001</v>
      </c>
    </row>
    <row r="647" spans="1:9" x14ac:dyDescent="0.4">
      <c r="A647" t="s">
        <v>10</v>
      </c>
      <c r="B647" t="s">
        <v>600</v>
      </c>
      <c r="C647" t="str">
        <f t="shared" si="47"/>
        <v>神奈川県横浜市旭区南希望が丘</v>
      </c>
      <c r="D647" s="2" t="str">
        <f t="shared" si="45"/>
        <v>http://geocode.csis.u-tokyo.ac.jp/cgi-bin/simple_geocode.cgi?charset=UTF8&amp;addr=%E7%A5%9E%E5%A5%88%E5%B7%9D%E7%9C%8C%E6%A8%AA%E6%B5%9C%E5%B8%82%E6%97%AD%E5%8C%BA%E5%8D%97%E5%B8%8C%E6%9C%9B%E3%81%8C%E4%B8%98</v>
      </c>
      <c r="E647" t="str">
        <f t="shared" si="46"/>
        <v xml:space="preserve">&lt;?xml version="1.0" encoding="UTF-8" ?&gt;
&lt;results&gt;
&lt;query&gt;神奈川県横浜市旭区南希望が丘&lt;/query&gt;
&lt;geodetic&gt;wgs1984&lt;/geodetic&gt;
&lt;iConf&gt;5&lt;/iConf&gt;
&lt;converted&gt;神奈川県横浜市旭区南希望が丘&lt;/converted&gt;
&lt;candidate&gt;
&lt;address&gt;神奈川県/横浜市/旭区/南希望が丘&lt;/address&gt;
&lt;longitude&gt;139.514038&lt;/longitude&gt;
&lt;latitude&gt;35.454723&lt;/latitude&gt;
&lt;iLvl&gt;5&lt;/iLvl&gt;
&lt;/candidate&gt;
&lt;/results&gt;
</v>
      </c>
      <c r="F647" cm="1">
        <f t="array" ref="F647">INDEX(_xlfn.FILTERXML(E647,"//latitude"),1)</f>
        <v>35.454723000000001</v>
      </c>
      <c r="G647" cm="1">
        <f t="array" ref="G647">INDEX(_xlfn.FILTERXML(E647,"//longitude"),1)</f>
        <v>139.514038</v>
      </c>
      <c r="H647">
        <v>35.454723000000001</v>
      </c>
      <c r="I647">
        <v>139.514038</v>
      </c>
    </row>
    <row r="648" spans="1:9" x14ac:dyDescent="0.4">
      <c r="A648" t="s">
        <v>9</v>
      </c>
      <c r="B648" t="s">
        <v>601</v>
      </c>
      <c r="C648" t="str">
        <f t="shared" si="47"/>
        <v>東京都町田市つくし野</v>
      </c>
      <c r="D648" s="2" t="str">
        <f t="shared" si="45"/>
        <v>http://geocode.csis.u-tokyo.ac.jp/cgi-bin/simple_geocode.cgi?charset=UTF8&amp;addr=%E6%9D%B1%E4%BA%AC%E9%83%BD%E7%94%BA%E7%94%B0%E5%B8%82%E3%81%A4%E3%81%8F%E3%81%97%E9%87%8E</v>
      </c>
      <c r="E648" t="str">
        <f t="shared" si="46"/>
        <v xml:space="preserve">&lt;?xml version="1.0" encoding="UTF-8" ?&gt;
&lt;results&gt;
&lt;query&gt;東京都町田市つくし野&lt;/query&gt;
&lt;geodetic&gt;wgs1984&lt;/geodetic&gt;
&lt;iConf&gt;5&lt;/iConf&gt;
&lt;converted&gt;東京都町田市つくし野&lt;/converted&gt;
&lt;candidate&gt;
&lt;address&gt;東京都/町田市/つくし野&lt;/address&gt;
&lt;longitude&gt;139.482147&lt;/longitude&gt;
&lt;latitude&gt;35.529350&lt;/latitude&gt;
&lt;iLvl&gt;5&lt;/iLvl&gt;
&lt;/candidate&gt;
&lt;/results&gt;
</v>
      </c>
      <c r="F648" cm="1">
        <f t="array" ref="F648">INDEX(_xlfn.FILTERXML(E648,"//latitude"),1)</f>
        <v>35.529350000000001</v>
      </c>
      <c r="G648" cm="1">
        <f t="array" ref="G648">INDEX(_xlfn.FILTERXML(E648,"//longitude"),1)</f>
        <v>139.482147</v>
      </c>
      <c r="H648">
        <v>35.529350000000001</v>
      </c>
      <c r="I648">
        <v>139.482147</v>
      </c>
    </row>
    <row r="649" spans="1:9" x14ac:dyDescent="0.4">
      <c r="A649" t="s">
        <v>17</v>
      </c>
      <c r="B649" t="s">
        <v>602</v>
      </c>
      <c r="C649" t="str">
        <f t="shared" si="47"/>
        <v>愛知県春日井市上条町</v>
      </c>
      <c r="D649" s="2" t="str">
        <f t="shared" si="45"/>
        <v>http://geocode.csis.u-tokyo.ac.jp/cgi-bin/simple_geocode.cgi?charset=UTF8&amp;addr=%E6%84%9B%E7%9F%A5%E7%9C%8C%E6%98%A5%E6%97%A5%E4%BA%95%E5%B8%82%E4%B8%8A%E6%9D%A1%E7%94%BA</v>
      </c>
      <c r="E649" t="str">
        <f t="shared" si="46"/>
        <v xml:space="preserve">&lt;?xml version="1.0" encoding="UTF-8" ?&gt;
&lt;results&gt;
&lt;query&gt;愛知県春日井市上条町&lt;/query&gt;
&lt;geodetic&gt;wgs1984&lt;/geodetic&gt;
&lt;iConf&gt;5&lt;/iConf&gt;
&lt;converted&gt;愛知県春日井市上条町&lt;/converted&gt;
&lt;candidate&gt;
&lt;address&gt;愛知県/春日井市/上条町&lt;/address&gt;
&lt;longitude&gt;136.982193&lt;/longitude&gt;
&lt;latitude&gt;35.243069&lt;/latitude&gt;
&lt;iLvl&gt;5&lt;/iLvl&gt;
&lt;/candidate&gt;
&lt;/results&gt;
</v>
      </c>
      <c r="F649" cm="1">
        <f t="array" ref="F649">INDEX(_xlfn.FILTERXML(E649,"//latitude"),1)</f>
        <v>35.243068999999998</v>
      </c>
      <c r="G649" cm="1">
        <f t="array" ref="G649">INDEX(_xlfn.FILTERXML(E649,"//longitude"),1)</f>
        <v>136.982193</v>
      </c>
      <c r="H649">
        <v>35.243068999999998</v>
      </c>
      <c r="I649">
        <v>136.982193</v>
      </c>
    </row>
    <row r="650" spans="1:9" x14ac:dyDescent="0.4">
      <c r="A650" t="s">
        <v>10</v>
      </c>
      <c r="B650" t="s">
        <v>157</v>
      </c>
      <c r="C650" t="str">
        <f t="shared" si="47"/>
        <v>神奈川県横浜市青葉区美しが丘</v>
      </c>
      <c r="D650" s="2" t="str">
        <f t="shared" si="45"/>
        <v>http://geocode.csis.u-tokyo.ac.jp/cgi-bin/simple_geocode.cgi?charset=UTF8&amp;addr=%E7%A5%9E%E5%A5%88%E5%B7%9D%E7%9C%8C%E6%A8%AA%E6%B5%9C%E5%B8%82%E9%9D%92%E8%91%89%E5%8C%BA%E7%BE%8E%E3%81%97%E3%81%8C%E4%B8%98</v>
      </c>
      <c r="E650" t="str">
        <f t="shared" si="46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650" cm="1">
        <f t="array" ref="F650">INDEX(_xlfn.FILTERXML(E650,"//latitude"),1)</f>
        <v>35.579971</v>
      </c>
      <c r="G650" cm="1">
        <f t="array" ref="G650">INDEX(_xlfn.FILTERXML(E650,"//longitude"),1)</f>
        <v>139.555374</v>
      </c>
      <c r="H650">
        <v>35.579971</v>
      </c>
      <c r="I650">
        <v>139.555374</v>
      </c>
    </row>
    <row r="651" spans="1:9" x14ac:dyDescent="0.4">
      <c r="A651" t="s">
        <v>13</v>
      </c>
      <c r="B651" t="s">
        <v>603</v>
      </c>
      <c r="C651" t="str">
        <f t="shared" si="47"/>
        <v>埼玉県さいたま市南区四谷</v>
      </c>
      <c r="D651" s="2" t="str">
        <f t="shared" si="45"/>
        <v>http://geocode.csis.u-tokyo.ac.jp/cgi-bin/simple_geocode.cgi?charset=UTF8&amp;addr=%E5%9F%BC%E7%8E%89%E7%9C%8C%E3%81%95%E3%81%84%E3%81%9F%E3%81%BE%E5%B8%82%E5%8D%97%E5%8C%BA%E5%9B%9B%E8%B0%B7</v>
      </c>
      <c r="E651" t="str">
        <f t="shared" si="46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651" cm="1">
        <f t="array" ref="F651">INDEX(_xlfn.FILTERXML(E651,"//latitude"),1)</f>
        <v>35.839626000000003</v>
      </c>
      <c r="G651" cm="1">
        <f t="array" ref="G651">INDEX(_xlfn.FILTERXML(E651,"//longitude"),1)</f>
        <v>139.63407900000001</v>
      </c>
      <c r="H651">
        <v>35.839626000000003</v>
      </c>
      <c r="I651">
        <v>139.63407900000001</v>
      </c>
    </row>
    <row r="652" spans="1:9" x14ac:dyDescent="0.4">
      <c r="A652" t="s">
        <v>9</v>
      </c>
      <c r="B652" t="s">
        <v>604</v>
      </c>
      <c r="C652" t="str">
        <f t="shared" si="47"/>
        <v>東京都台東区</v>
      </c>
      <c r="D652" s="2" t="str">
        <f t="shared" si="45"/>
        <v>http://geocode.csis.u-tokyo.ac.jp/cgi-bin/simple_geocode.cgi?charset=UTF8&amp;addr=%E6%9D%B1%E4%BA%AC%E9%83%BD%E5%8F%B0%E6%9D%B1%E5%8C%BA</v>
      </c>
      <c r="E652" t="str">
        <f t="shared" si="46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652" cm="1">
        <f t="array" ref="F652">INDEX(_xlfn.FILTERXML(E652,"//latitude"),1)</f>
        <v>35.712608000000003</v>
      </c>
      <c r="G652" cm="1">
        <f t="array" ref="G652">INDEX(_xlfn.FILTERXML(E652,"//longitude"),1)</f>
        <v>139.77998400000001</v>
      </c>
      <c r="H652">
        <v>35.712608000000003</v>
      </c>
      <c r="I652">
        <v>139.77998400000001</v>
      </c>
    </row>
    <row r="653" spans="1:9" x14ac:dyDescent="0.4">
      <c r="A653" t="s">
        <v>10</v>
      </c>
      <c r="B653" t="s">
        <v>228</v>
      </c>
      <c r="C653" t="str">
        <f t="shared" si="47"/>
        <v>神奈川県逗子市</v>
      </c>
      <c r="D653" s="2" t="str">
        <f t="shared" si="45"/>
        <v>http://geocode.csis.u-tokyo.ac.jp/cgi-bin/simple_geocode.cgi?charset=UTF8&amp;addr=%E7%A5%9E%E5%A5%88%E5%B7%9D%E7%9C%8C%E9%80%97%E5%AD%90%E5%B8%82</v>
      </c>
      <c r="E653" t="str">
        <f t="shared" si="46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653" cm="1">
        <f t="array" ref="F653">INDEX(_xlfn.FILTERXML(E653,"//latitude"),1)</f>
        <v>35.295592999999997</v>
      </c>
      <c r="G653" cm="1">
        <f t="array" ref="G653">INDEX(_xlfn.FILTERXML(E653,"//longitude"),1)</f>
        <v>139.58041399999999</v>
      </c>
      <c r="H653">
        <v>35.295592999999997</v>
      </c>
      <c r="I653">
        <v>139.58041399999999</v>
      </c>
    </row>
    <row r="654" spans="1:9" x14ac:dyDescent="0.4">
      <c r="A654" t="s">
        <v>16</v>
      </c>
      <c r="B654" t="s">
        <v>86</v>
      </c>
      <c r="C654" t="str">
        <f t="shared" si="47"/>
        <v>長野県飯田市</v>
      </c>
      <c r="D654" s="2" t="str">
        <f t="shared" si="45"/>
        <v>http://geocode.csis.u-tokyo.ac.jp/cgi-bin/simple_geocode.cgi?charset=UTF8&amp;addr=%E9%95%B7%E9%87%8E%E7%9C%8C%E9%A3%AF%E7%94%B0%E5%B8%82</v>
      </c>
      <c r="E654" t="str">
        <f t="shared" si="46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654" cm="1">
        <f t="array" ref="F654">INDEX(_xlfn.FILTERXML(E654,"//latitude"),1)</f>
        <v>35.514702</v>
      </c>
      <c r="G654" cm="1">
        <f t="array" ref="G654">INDEX(_xlfn.FILTERXML(E654,"//longitude"),1)</f>
        <v>137.82182299999999</v>
      </c>
      <c r="H654">
        <v>35.514702</v>
      </c>
      <c r="I654">
        <v>137.82182299999999</v>
      </c>
    </row>
    <row r="655" spans="1:9" x14ac:dyDescent="0.4">
      <c r="A655" t="s">
        <v>10</v>
      </c>
      <c r="B655" t="s">
        <v>228</v>
      </c>
      <c r="C655" t="str">
        <f t="shared" si="47"/>
        <v>神奈川県逗子市</v>
      </c>
      <c r="D655" s="2" t="str">
        <f t="shared" si="45"/>
        <v>http://geocode.csis.u-tokyo.ac.jp/cgi-bin/simple_geocode.cgi?charset=UTF8&amp;addr=%E7%A5%9E%E5%A5%88%E5%B7%9D%E7%9C%8C%E9%80%97%E5%AD%90%E5%B8%82</v>
      </c>
      <c r="E655" t="str">
        <f t="shared" si="46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655" cm="1">
        <f t="array" ref="F655">INDEX(_xlfn.FILTERXML(E655,"//latitude"),1)</f>
        <v>35.295592999999997</v>
      </c>
      <c r="G655" cm="1">
        <f t="array" ref="G655">INDEX(_xlfn.FILTERXML(E655,"//longitude"),1)</f>
        <v>139.58041399999999</v>
      </c>
      <c r="H655">
        <v>35.295592999999997</v>
      </c>
      <c r="I655">
        <v>139.58041399999999</v>
      </c>
    </row>
    <row r="656" spans="1:9" x14ac:dyDescent="0.4">
      <c r="A656" t="s">
        <v>20</v>
      </c>
      <c r="B656" t="s">
        <v>605</v>
      </c>
      <c r="C656" t="str">
        <f t="shared" si="47"/>
        <v>茨城県牛久市ひたち野西2丁目</v>
      </c>
      <c r="D656" s="2" t="str">
        <f t="shared" si="45"/>
        <v>http://geocode.csis.u-tokyo.ac.jp/cgi-bin/simple_geocode.cgi?charset=UTF8&amp;addr=%E8%8C%A8%E5%9F%8E%E7%9C%8C%E7%89%9B%E4%B9%85%E5%B8%82%E3%81%B2%E3%81%9F%E3%81%A1%E9%87%8E%E8%A5%BF2%E4%B8%81%E7%9B%AE</v>
      </c>
      <c r="E656" t="str">
        <f t="shared" si="46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656" cm="1">
        <f t="array" ref="F656">INDEX(_xlfn.FILTERXML(E656,"//latitude"),1)</f>
        <v>36.011432999999997</v>
      </c>
      <c r="G656" cm="1">
        <f t="array" ref="G656">INDEX(_xlfn.FILTERXML(E656,"//longitude"),1)</f>
        <v>140.154663</v>
      </c>
      <c r="H656">
        <v>36.011432999999997</v>
      </c>
      <c r="I656">
        <v>140.154663</v>
      </c>
    </row>
    <row r="657" spans="1:9" x14ac:dyDescent="0.4">
      <c r="A657" t="s">
        <v>11</v>
      </c>
      <c r="B657" t="s">
        <v>606</v>
      </c>
      <c r="C657" t="str">
        <f t="shared" si="47"/>
        <v>大阪府守口市金田町</v>
      </c>
      <c r="D657" s="2" t="str">
        <f t="shared" si="45"/>
        <v>http://geocode.csis.u-tokyo.ac.jp/cgi-bin/simple_geocode.cgi?charset=UTF8&amp;addr=%E5%A4%A7%E9%98%AA%E5%BA%9C%E5%AE%88%E5%8F%A3%E5%B8%82%E9%87%91%E7%94%B0%E7%94%BA</v>
      </c>
      <c r="E657" t="str">
        <f t="shared" si="46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657" cm="1">
        <f t="array" ref="F657">INDEX(_xlfn.FILTERXML(E657,"//latitude"),1)</f>
        <v>34.753807000000002</v>
      </c>
      <c r="G657" cm="1">
        <f t="array" ref="G657">INDEX(_xlfn.FILTERXML(E657,"//longitude"),1)</f>
        <v>135.59071399999999</v>
      </c>
      <c r="H657">
        <v>34.753807000000002</v>
      </c>
      <c r="I657">
        <v>135.59071399999999</v>
      </c>
    </row>
    <row r="658" spans="1:9" x14ac:dyDescent="0.4">
      <c r="A658" t="s">
        <v>9</v>
      </c>
      <c r="B658" t="s">
        <v>205</v>
      </c>
      <c r="C658" t="str">
        <f t="shared" si="47"/>
        <v>東京都杉並区</v>
      </c>
      <c r="D658" s="2" t="str">
        <f t="shared" si="45"/>
        <v>http://geocode.csis.u-tokyo.ac.jp/cgi-bin/simple_geocode.cgi?charset=UTF8&amp;addr=%E6%9D%B1%E4%BA%AC%E9%83%BD%E6%9D%89%E4%B8%A6%E5%8C%BA</v>
      </c>
      <c r="E658" t="str">
        <f t="shared" si="4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658" cm="1">
        <f t="array" ref="F658">INDEX(_xlfn.FILTERXML(E658,"//latitude"),1)</f>
        <v>35.699547000000003</v>
      </c>
      <c r="G658" cm="1">
        <f t="array" ref="G658">INDEX(_xlfn.FILTERXML(E658,"//longitude"),1)</f>
        <v>139.636414</v>
      </c>
      <c r="H658">
        <v>35.699547000000003</v>
      </c>
      <c r="I658">
        <v>139.636414</v>
      </c>
    </row>
    <row r="659" spans="1:9" x14ac:dyDescent="0.4">
      <c r="A659" t="s">
        <v>17</v>
      </c>
      <c r="B659" t="s">
        <v>607</v>
      </c>
      <c r="C659" t="str">
        <f t="shared" si="47"/>
        <v>愛知県半田市大池町</v>
      </c>
      <c r="D659" s="2" t="str">
        <f t="shared" si="45"/>
        <v>http://geocode.csis.u-tokyo.ac.jp/cgi-bin/simple_geocode.cgi?charset=UTF8&amp;addr=%E6%84%9B%E7%9F%A5%E7%9C%8C%E5%8D%8A%E7%94%B0%E5%B8%82%E5%A4%A7%E6%B1%A0%E7%94%BA</v>
      </c>
      <c r="E659" t="str">
        <f t="shared" si="46"/>
        <v xml:space="preserve">&lt;?xml version="1.0" encoding="UTF-8" ?&gt;
&lt;results&gt;
&lt;query&gt;愛知県半田市大池町&lt;/query&gt;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659" cm="1">
        <f t="array" ref="F659">INDEX(_xlfn.FILTERXML(E659,"//latitude"),1)</f>
        <v>34.918365000000001</v>
      </c>
      <c r="G659" cm="1">
        <f t="array" ref="G659">INDEX(_xlfn.FILTERXML(E659,"//longitude"),1)</f>
        <v>136.952789</v>
      </c>
      <c r="H659">
        <v>34.918365000000001</v>
      </c>
      <c r="I659">
        <v>136.952789</v>
      </c>
    </row>
    <row r="660" spans="1:9" x14ac:dyDescent="0.4">
      <c r="A660" t="s">
        <v>9</v>
      </c>
      <c r="B660" t="s">
        <v>608</v>
      </c>
      <c r="C660" t="str">
        <f t="shared" si="47"/>
        <v>東京都武蔵野市吉祥寺本町</v>
      </c>
      <c r="D660" s="2" t="str">
        <f t="shared" si="45"/>
        <v>http://geocode.csis.u-tokyo.ac.jp/cgi-bin/simple_geocode.cgi?charset=UTF8&amp;addr=%E6%9D%B1%E4%BA%AC%E9%83%BD%E6%AD%A6%E8%94%B5%E9%87%8E%E5%B8%82%E5%90%89%E7%A5%A5%E5%AF%BA%E6%9C%AC%E7%94%BA</v>
      </c>
      <c r="E660" t="str">
        <f t="shared" si="46"/>
        <v xml:space="preserve">&lt;?xml version="1.0" encoding="UTF-8" ?&gt;
&lt;results&gt;
&lt;query&gt;東京都武蔵野市吉祥寺本町&lt;/query&gt;
&lt;geodetic&gt;wgs1984&lt;/geodetic&gt;
&lt;iConf&gt;5&lt;/iConf&gt;
&lt;converted&gt;東京都武蔵野市吉祥寺本町&lt;/converted&gt;
&lt;candidate&gt;
&lt;address&gt;東京都/武蔵野市/吉祥寺本町&lt;/address&gt;
&lt;longitude&gt;139.580994&lt;/longitude&gt;
&lt;latitude&gt;35.705219&lt;/latitude&gt;
&lt;iLvl&gt;5&lt;/iLvl&gt;
&lt;/candidate&gt;
&lt;/results&gt;
</v>
      </c>
      <c r="F660" cm="1">
        <f t="array" ref="F660">INDEX(_xlfn.FILTERXML(E660,"//latitude"),1)</f>
        <v>35.705219</v>
      </c>
      <c r="G660" cm="1">
        <f t="array" ref="G660">INDEX(_xlfn.FILTERXML(E660,"//longitude"),1)</f>
        <v>139.580994</v>
      </c>
      <c r="H660">
        <v>35.705219</v>
      </c>
      <c r="I660">
        <v>139.580994</v>
      </c>
    </row>
    <row r="661" spans="1:9" x14ac:dyDescent="0.4">
      <c r="A661" t="s">
        <v>18</v>
      </c>
      <c r="B661" t="s">
        <v>609</v>
      </c>
      <c r="C661" t="str">
        <f t="shared" si="47"/>
        <v>千葉県千葉市中央区東千葉</v>
      </c>
      <c r="D661" s="2" t="str">
        <f t="shared" si="45"/>
        <v>http://geocode.csis.u-tokyo.ac.jp/cgi-bin/simple_geocode.cgi?charset=UTF8&amp;addr=%E5%8D%83%E8%91%89%E7%9C%8C%E5%8D%83%E8%91%89%E5%B8%82%E4%B8%AD%E5%A4%AE%E5%8C%BA%E6%9D%B1%E5%8D%83%E8%91%89</v>
      </c>
      <c r="E661" t="str">
        <f t="shared" si="46"/>
        <v xml:space="preserve">&lt;?xml version="1.0" encoding="UTF-8" ?&gt;
&lt;results&gt;
&lt;query&gt;千葉県千葉市中央区東千葉&lt;/query&gt;
&lt;geodetic&gt;wgs1984&lt;/geodetic&gt;
&lt;iConf&gt;5&lt;/iConf&gt;
&lt;converted&gt;千葉県千葉市中央区東千葉&lt;/converted&gt;
&lt;candidate&gt;
&lt;address&gt;千葉県/千葉市/中央区/東千葉&lt;/address&gt;
&lt;longitude&gt;140.125275&lt;/longitude&gt;
&lt;latitude&gt;35.622589&lt;/latitude&gt;
&lt;iLvl&gt;5&lt;/iLvl&gt;
&lt;/candidate&gt;
&lt;/results&gt;
</v>
      </c>
      <c r="F661" cm="1">
        <f t="array" ref="F661">INDEX(_xlfn.FILTERXML(E661,"//latitude"),1)</f>
        <v>35.622588999999998</v>
      </c>
      <c r="G661" cm="1">
        <f t="array" ref="G661">INDEX(_xlfn.FILTERXML(E661,"//longitude"),1)</f>
        <v>140.12527499999999</v>
      </c>
      <c r="H661">
        <v>35.622588999999998</v>
      </c>
      <c r="I661">
        <v>140.12527499999999</v>
      </c>
    </row>
    <row r="662" spans="1:9" x14ac:dyDescent="0.4">
      <c r="A662" t="s">
        <v>193</v>
      </c>
      <c r="B662" t="s">
        <v>610</v>
      </c>
      <c r="C662" t="str">
        <f t="shared" si="47"/>
        <v>島根県出雲市斐川町上直江</v>
      </c>
      <c r="D662" s="2" t="str">
        <f t="shared" si="45"/>
        <v>http://geocode.csis.u-tokyo.ac.jp/cgi-bin/simple_geocode.cgi?charset=UTF8&amp;addr=%E5%B3%B6%E6%A0%B9%E7%9C%8C%E5%87%BA%E9%9B%B2%E5%B8%82%E6%96%90%E5%B7%9D%E7%94%BA%E4%B8%8A%E7%9B%B4%E6%B1%9F</v>
      </c>
      <c r="E662" t="str">
        <f t="shared" si="46"/>
        <v xml:space="preserve">&lt;?xml version="1.0" encoding="UTF-8" ?&gt;
&lt;results&gt;
&lt;query&gt;島根県出雲市斐川町上直江&lt;/query&gt;
&lt;geodetic&gt;wgs1984&lt;/geodetic&gt;
&lt;iConf&gt;5&lt;/iConf&gt;
&lt;converted&gt;島根県出雲市斐川町上直江&lt;/converted&gt;
&lt;candidate&gt;
&lt;address&gt;島根県/出雲市/斐川町上直江&lt;/address&gt;
&lt;longitude&gt;132.807312&lt;/longitude&gt;
&lt;latitude&gt;35.388817&lt;/latitude&gt;
&lt;iLvl&gt;5&lt;/iLvl&gt;
&lt;/candidate&gt;
&lt;/results&gt;
</v>
      </c>
      <c r="F662" cm="1">
        <f t="array" ref="F662">INDEX(_xlfn.FILTERXML(E662,"//latitude"),1)</f>
        <v>35.388817000000003</v>
      </c>
      <c r="G662" cm="1">
        <f t="array" ref="G662">INDEX(_xlfn.FILTERXML(E662,"//longitude"),1)</f>
        <v>132.807312</v>
      </c>
      <c r="H662">
        <v>35.388817000000003</v>
      </c>
      <c r="I662">
        <v>132.807312</v>
      </c>
    </row>
    <row r="663" spans="1:9" x14ac:dyDescent="0.4">
      <c r="A663" t="s">
        <v>11</v>
      </c>
      <c r="B663" t="s">
        <v>611</v>
      </c>
      <c r="C663" t="str">
        <f t="shared" si="47"/>
        <v>大阪府東大阪市新池島町</v>
      </c>
      <c r="D663" s="2" t="str">
        <f t="shared" si="45"/>
        <v>http://geocode.csis.u-tokyo.ac.jp/cgi-bin/simple_geocode.cgi?charset=UTF8&amp;addr=%E5%A4%A7%E9%98%AA%E5%BA%9C%E6%9D%B1%E5%A4%A7%E9%98%AA%E5%B8%82%E6%96%B0%E6%B1%A0%E5%B3%B6%E7%94%BA</v>
      </c>
      <c r="E663" t="str">
        <f t="shared" si="46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663" cm="1">
        <f t="array" ref="F663">INDEX(_xlfn.FILTERXML(E663,"//latitude"),1)</f>
        <v>34.658169000000001</v>
      </c>
      <c r="G663" cm="1">
        <f t="array" ref="G663">INDEX(_xlfn.FILTERXML(E663,"//longitude"),1)</f>
        <v>135.631516</v>
      </c>
      <c r="H663">
        <v>34.658169000000001</v>
      </c>
      <c r="I663">
        <v>135.631516</v>
      </c>
    </row>
    <row r="664" spans="1:9" x14ac:dyDescent="0.4">
      <c r="A664" t="s">
        <v>17</v>
      </c>
      <c r="B664" t="s">
        <v>612</v>
      </c>
      <c r="C664" t="str">
        <f t="shared" si="47"/>
        <v>愛知県知多郡東浦町大字森岡字祖母懐</v>
      </c>
      <c r="D664" s="2" t="str">
        <f t="shared" si="45"/>
        <v>http://geocode.csis.u-tokyo.ac.jp/cgi-bin/simple_geocode.cgi?charset=UTF8&amp;addr=%E6%84%9B%E7%9F%A5%E7%9C%8C%E7%9F%A5%E5%A4%9A%E9%83%A1%E6%9D%B1%E6%B5%A6%E7%94%BA%E5%A4%A7%E5%AD%97%E6%A3%AE%E5%B2%A1%E5%AD%97%E7%A5%96%E6%AF%8D%E6%87%90</v>
      </c>
      <c r="E664" t="str">
        <f t="shared" si="46"/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664" cm="1">
        <f t="array" ref="F664">INDEX(_xlfn.FILTERXML(E664,"//latitude"),1)</f>
        <v>34.994807999999999</v>
      </c>
      <c r="G664" cm="1">
        <f t="array" ref="G664">INDEX(_xlfn.FILTERXML(E664,"//longitude"),1)</f>
        <v>136.95208700000001</v>
      </c>
      <c r="H664">
        <v>34.994807999999999</v>
      </c>
      <c r="I664">
        <v>136.95208700000001</v>
      </c>
    </row>
    <row r="665" spans="1:9" x14ac:dyDescent="0.4">
      <c r="A665" t="s">
        <v>17</v>
      </c>
      <c r="B665" t="s">
        <v>613</v>
      </c>
      <c r="C665" t="str">
        <f t="shared" si="47"/>
        <v>愛知県豊田市若宮町</v>
      </c>
      <c r="D665" s="2" t="str">
        <f t="shared" si="45"/>
        <v>http://geocode.csis.u-tokyo.ac.jp/cgi-bin/simple_geocode.cgi?charset=UTF8&amp;addr=%E6%84%9B%E7%9F%A5%E7%9C%8C%E8%B1%8A%E7%94%B0%E5%B8%82%E8%8B%A5%E5%AE%AE%E7%94%BA</v>
      </c>
      <c r="E665" t="str">
        <f t="shared" si="46"/>
        <v xml:space="preserve">&lt;?xml version="1.0" encoding="UTF-8" ?&gt;
&lt;results&gt;
&lt;query&gt;愛知県豊田市若宮町&lt;/query&gt;
&lt;geodetic&gt;wgs1984&lt;/geodetic&gt;
&lt;iConf&gt;5&lt;/iConf&gt;
&lt;converted&gt;愛知県豊田市若宮町&lt;/converted&gt;
&lt;candidate&gt;
&lt;address&gt;愛知県/豊田市/若宮町&lt;/address&gt;
&lt;longitude&gt;137.155869&lt;/longitude&gt;
&lt;latitude&gt;35.087631&lt;/latitude&gt;
&lt;iLvl&gt;5&lt;/iLvl&gt;
&lt;/candidate&gt;
&lt;/results&gt;
</v>
      </c>
      <c r="F665" cm="1">
        <f t="array" ref="F665">INDEX(_xlfn.FILTERXML(E665,"//latitude"),1)</f>
        <v>35.087631000000002</v>
      </c>
      <c r="G665" cm="1">
        <f t="array" ref="G665">INDEX(_xlfn.FILTERXML(E665,"//longitude"),1)</f>
        <v>137.155869</v>
      </c>
      <c r="H665">
        <v>35.087631000000002</v>
      </c>
      <c r="I665">
        <v>137.155869</v>
      </c>
    </row>
    <row r="666" spans="1:9" x14ac:dyDescent="0.4">
      <c r="A666" t="s">
        <v>9</v>
      </c>
      <c r="B666" t="s">
        <v>614</v>
      </c>
      <c r="C666" t="str">
        <f t="shared" si="47"/>
        <v>東京都府中市東芝町1-64</v>
      </c>
      <c r="D666" s="2" t="str">
        <f t="shared" si="45"/>
        <v>http://geocode.csis.u-tokyo.ac.jp/cgi-bin/simple_geocode.cgi?charset=UTF8&amp;addr=%E6%9D%B1%E4%BA%AC%E9%83%BD%E5%BA%9C%E4%B8%AD%E5%B8%82%E6%9D%B1%E8%8A%9D%E7%94%BA1-64</v>
      </c>
      <c r="E666" t="str">
        <f t="shared" si="46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666" cm="1">
        <f t="array" ref="F666">INDEX(_xlfn.FILTERXML(E666,"//latitude"),1)</f>
        <v>35.681538000000003</v>
      </c>
      <c r="G666" cm="1">
        <f t="array" ref="G666">INDEX(_xlfn.FILTERXML(E666,"//longitude"),1)</f>
        <v>139.46318099999999</v>
      </c>
      <c r="H666">
        <v>35.681538000000003</v>
      </c>
      <c r="I666">
        <v>139.46318099999999</v>
      </c>
    </row>
    <row r="667" spans="1:9" x14ac:dyDescent="0.4">
      <c r="A667" t="s">
        <v>9</v>
      </c>
      <c r="B667" t="s">
        <v>615</v>
      </c>
      <c r="C667" t="str">
        <f t="shared" si="47"/>
        <v>東京都八王子市みつい台</v>
      </c>
      <c r="D667" s="2" t="str">
        <f t="shared" si="45"/>
        <v>http://geocode.csis.u-tokyo.ac.jp/cgi-bin/simple_geocode.cgi?charset=UTF8&amp;addr=%E6%9D%B1%E4%BA%AC%E9%83%BD%E5%85%AB%E7%8E%8B%E5%AD%90%E5%B8%82%E3%81%BF%E3%81%A4%E3%81%84%E5%8F%B0</v>
      </c>
      <c r="E667" t="str">
        <f t="shared" si="46"/>
        <v xml:space="preserve">&lt;?xml version="1.0" encoding="UTF-8" ?&gt;
&lt;results&gt;
&lt;query&gt;東京都八王子市みつい台&lt;/query&gt;
&lt;geodetic&gt;wgs1984&lt;/geodetic&gt;
&lt;iConf&gt;5&lt;/iConf&gt;
&lt;converted&gt;東京都八王子市みつい台&lt;/converted&gt;
&lt;candidate&gt;
&lt;address&gt;東京都/八王子市/みつい台&lt;/address&gt;
&lt;longitude&gt;139.328857&lt;/longitude&gt;
&lt;latitude&gt;35.681244&lt;/latitude&gt;
&lt;iLvl&gt;5&lt;/iLvl&gt;
&lt;/candidate&gt;
&lt;/results&gt;
</v>
      </c>
      <c r="F667" cm="1">
        <f t="array" ref="F667">INDEX(_xlfn.FILTERXML(E667,"//latitude"),1)</f>
        <v>35.681244</v>
      </c>
      <c r="G667" cm="1">
        <f t="array" ref="G667">INDEX(_xlfn.FILTERXML(E667,"//longitude"),1)</f>
        <v>139.328857</v>
      </c>
      <c r="H667">
        <v>35.681244</v>
      </c>
      <c r="I667">
        <v>139.328857</v>
      </c>
    </row>
    <row r="668" spans="1:9" x14ac:dyDescent="0.4">
      <c r="A668" t="s">
        <v>52</v>
      </c>
      <c r="B668" t="s">
        <v>616</v>
      </c>
      <c r="C668" t="str">
        <f t="shared" si="47"/>
        <v>徳島県徳島市</v>
      </c>
      <c r="D668" s="2" t="str">
        <f t="shared" si="45"/>
        <v>http://geocode.csis.u-tokyo.ac.jp/cgi-bin/simple_geocode.cgi?charset=UTF8&amp;addr=%E5%BE%B3%E5%B3%B6%E7%9C%8C%E5%BE%B3%E5%B3%B6%E5%B8%82</v>
      </c>
      <c r="E668" t="str">
        <f t="shared" si="46"/>
        <v xml:space="preserve">&lt;?xml version="1.0" encoding="UTF-8" ?&gt;
&lt;results&gt;
&lt;query&gt;徳島県徳島市&lt;/query&gt;
&lt;geodetic&gt;wgs1984&lt;/geodetic&gt;
&lt;iConf&gt;5&lt;/iConf&gt;
&lt;converted&gt;徳島県徳島市&lt;/converted&gt;
&lt;candidate&gt;
&lt;address&gt;徳島県/徳島市&lt;/address&gt;
&lt;longitude&gt;134.554718&lt;/longitude&gt;
&lt;latitude&gt;34.070232&lt;/latitude&gt;
&lt;iLvl&gt;3&lt;/iLvl&gt;
&lt;/candidate&gt;
&lt;/results&gt;
</v>
      </c>
      <c r="F668" cm="1">
        <f t="array" ref="F668">INDEX(_xlfn.FILTERXML(E668,"//latitude"),1)</f>
        <v>34.070231999999997</v>
      </c>
      <c r="G668" cm="1">
        <f t="array" ref="G668">INDEX(_xlfn.FILTERXML(E668,"//longitude"),1)</f>
        <v>134.55471800000001</v>
      </c>
      <c r="H668">
        <v>34.070231999999997</v>
      </c>
      <c r="I668">
        <v>134.55471800000001</v>
      </c>
    </row>
    <row r="669" spans="1:9" x14ac:dyDescent="0.4">
      <c r="A669" t="s">
        <v>42</v>
      </c>
      <c r="B669" t="s">
        <v>617</v>
      </c>
      <c r="C669" t="str">
        <f t="shared" si="47"/>
        <v>富山県魚津市経田西町</v>
      </c>
      <c r="D669" s="2" t="str">
        <f t="shared" si="45"/>
        <v>http://geocode.csis.u-tokyo.ac.jp/cgi-bin/simple_geocode.cgi?charset=UTF8&amp;addr=%E5%AF%8C%E5%B1%B1%E7%9C%8C%E9%AD%9A%E6%B4%A5%E5%B8%82%E7%B5%8C%E7%94%B0%E8%A5%BF%E7%94%BA</v>
      </c>
      <c r="E669" t="str">
        <f t="shared" si="46"/>
        <v xml:space="preserve">&lt;?xml version="1.0" encoding="UTF-8" ?&gt;
&lt;results&gt;
&lt;query&gt;富山県魚津市経田西町&lt;/query&gt;
&lt;geodetic&gt;wgs1984&lt;/geodetic&gt;
&lt;iConf&gt;5&lt;/iConf&gt;
&lt;converted&gt;富山県魚津市経田西町&lt;/converted&gt;
&lt;candidate&gt;
&lt;address&gt;富山県/魚津市/経田西町&lt;/address&gt;
&lt;longitude&gt;137.413071&lt;/longitude&gt;
&lt;latitude&gt;36.847164&lt;/latitude&gt;
&lt;iLvl&gt;5&lt;/iLvl&gt;
&lt;/candidate&gt;
&lt;/results&gt;
</v>
      </c>
      <c r="F669" cm="1">
        <f t="array" ref="F669">INDEX(_xlfn.FILTERXML(E669,"//latitude"),1)</f>
        <v>36.847163999999999</v>
      </c>
      <c r="G669" cm="1">
        <f t="array" ref="G669">INDEX(_xlfn.FILTERXML(E669,"//longitude"),1)</f>
        <v>137.413071</v>
      </c>
      <c r="H669">
        <v>36.847163999999999</v>
      </c>
      <c r="I669">
        <v>137.413071</v>
      </c>
    </row>
    <row r="670" spans="1:9" x14ac:dyDescent="0.4">
      <c r="A670" t="s">
        <v>9</v>
      </c>
      <c r="B670" t="s">
        <v>177</v>
      </c>
      <c r="C670" t="str">
        <f t="shared" si="47"/>
        <v>東京都板橋区</v>
      </c>
      <c r="D670" s="2" t="str">
        <f t="shared" si="45"/>
        <v>http://geocode.csis.u-tokyo.ac.jp/cgi-bin/simple_geocode.cgi?charset=UTF8&amp;addr=%E6%9D%B1%E4%BA%AC%E9%83%BD%E6%9D%BF%E6%A9%8B%E5%8C%BA</v>
      </c>
      <c r="E670" t="str">
        <f t="shared" si="46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670" cm="1">
        <f t="array" ref="F670">INDEX(_xlfn.FILTERXML(E670,"//latitude"),1)</f>
        <v>35.751244</v>
      </c>
      <c r="G670" cm="1">
        <f t="array" ref="G670">INDEX(_xlfn.FILTERXML(E670,"//longitude"),1)</f>
        <v>139.70924400000001</v>
      </c>
      <c r="H670">
        <v>35.751244</v>
      </c>
      <c r="I670">
        <v>139.70924400000001</v>
      </c>
    </row>
    <row r="671" spans="1:9" x14ac:dyDescent="0.4">
      <c r="A671" t="s">
        <v>12</v>
      </c>
      <c r="B671" t="s">
        <v>618</v>
      </c>
      <c r="C671" t="str">
        <f t="shared" si="47"/>
        <v>奈良県奈良市あやめ池南5丁目</v>
      </c>
      <c r="D671" s="2" t="str">
        <f t="shared" si="45"/>
        <v>http://geocode.csis.u-tokyo.ac.jp/cgi-bin/simple_geocode.cgi?charset=UTF8&amp;addr=%E5%A5%88%E8%89%AF%E7%9C%8C%E5%A5%88%E8%89%AF%E5%B8%82%E3%81%82%E3%82%84%E3%82%81%E6%B1%A0%E5%8D%975%E4%B8%81%E7%9B%AE</v>
      </c>
      <c r="E671" t="str">
        <f t="shared" si="46"/>
        <v xml:space="preserve">&lt;?xml version="1.0" encoding="UTF-8" ?&gt;
&lt;results&gt;
&lt;query&gt;奈良県奈良市あやめ池南5丁目&lt;/query&gt;
&lt;geodetic&gt;wgs1984&lt;/geodetic&gt;
&lt;iConf&gt;5&lt;/iConf&gt;
&lt;converted&gt;奈良県奈良市あやめ池南5丁目&lt;/converted&gt;
&lt;candidate&gt;
&lt;address&gt;奈良県/奈良市/あやめ池南/五丁目&lt;/address&gt;
&lt;longitude&gt;135.766357&lt;/longitude&gt;
&lt;latitude&gt;34.693672&lt;/latitude&gt;
&lt;iLvl&gt;6&lt;/iLvl&gt;
&lt;/candidate&gt;
&lt;/results&gt;
</v>
      </c>
      <c r="F671" cm="1">
        <f t="array" ref="F671">INDEX(_xlfn.FILTERXML(E671,"//latitude"),1)</f>
        <v>34.693671999999999</v>
      </c>
      <c r="G671" cm="1">
        <f t="array" ref="G671">INDEX(_xlfn.FILTERXML(E671,"//longitude"),1)</f>
        <v>135.766357</v>
      </c>
      <c r="H671">
        <v>34.693671999999999</v>
      </c>
      <c r="I671">
        <v>135.766357</v>
      </c>
    </row>
    <row r="672" spans="1:9" x14ac:dyDescent="0.4">
      <c r="A672" t="s">
        <v>114</v>
      </c>
      <c r="B672" t="s">
        <v>619</v>
      </c>
      <c r="C672" t="str">
        <f t="shared" si="47"/>
        <v>福島県会津若松市</v>
      </c>
      <c r="D672" s="2" t="str">
        <f t="shared" si="45"/>
        <v>http://geocode.csis.u-tokyo.ac.jp/cgi-bin/simple_geocode.cgi?charset=UTF8&amp;addr=%E7%A6%8F%E5%B3%B6%E7%9C%8C%E4%BC%9A%E6%B4%A5%E8%8B%A5%E6%9D%BE%E5%B8%82</v>
      </c>
      <c r="E672" t="str">
        <f t="shared" si="46"/>
        <v xml:space="preserve">&lt;?xml version="1.0" encoding="UTF-8" ?&gt;
&lt;results&gt;
&lt;query&gt;福島県会津若松市&lt;/query&gt;
&lt;geodetic&gt;wgs1984&lt;/geodetic&gt;
&lt;iConf&gt;5&lt;/iConf&gt;
&lt;converted&gt;福島県会津若松市&lt;/converted&gt;
&lt;candidate&gt;
&lt;address&gt;福島県/会津若松市&lt;/address&gt;
&lt;longitude&gt;139.929703&lt;/longitude&gt;
&lt;latitude&gt;37.494843&lt;/latitude&gt;
&lt;iLvl&gt;3&lt;/iLvl&gt;
&lt;/candidate&gt;
&lt;/results&gt;
</v>
      </c>
      <c r="F672" cm="1">
        <f t="array" ref="F672">INDEX(_xlfn.FILTERXML(E672,"//latitude"),1)</f>
        <v>37.494843000000003</v>
      </c>
      <c r="G672" cm="1">
        <f t="array" ref="G672">INDEX(_xlfn.FILTERXML(E672,"//longitude"),1)</f>
        <v>139.92970299999999</v>
      </c>
      <c r="H672">
        <v>37.494843000000003</v>
      </c>
      <c r="I672">
        <v>139.92970299999999</v>
      </c>
    </row>
    <row r="673" spans="1:9" x14ac:dyDescent="0.4">
      <c r="A673" t="s">
        <v>9</v>
      </c>
      <c r="B673" t="s">
        <v>620</v>
      </c>
      <c r="C673" t="str">
        <f t="shared" si="47"/>
        <v>東京都板橋区前野町4丁目</v>
      </c>
      <c r="D673" s="2" t="str">
        <f t="shared" si="45"/>
        <v>http://geocode.csis.u-tokyo.ac.jp/cgi-bin/simple_geocode.cgi?charset=UTF8&amp;addr=%E6%9D%B1%E4%BA%AC%E9%83%BD%E6%9D%BF%E6%A9%8B%E5%8C%BA%E5%89%8D%E9%87%8E%E7%94%BA4%E4%B8%81%E7%9B%AE</v>
      </c>
      <c r="E673" t="str">
        <f t="shared" si="46"/>
        <v xml:space="preserve">&lt;?xml version="1.0" encoding="UTF-8" ?&gt;
&lt;results&gt;
&lt;query&gt;東京都板橋区前野町4丁目&lt;/query&gt;
&lt;geodetic&gt;wgs1984&lt;/geodetic&gt;
&lt;iConf&gt;5&lt;/iConf&gt;
&lt;converted&gt;東京都板橋区前野町4丁目&lt;/converted&gt;
&lt;candidate&gt;
&lt;address&gt;東京都/板橋区/前野町/四丁目&lt;/address&gt;
&lt;longitude&gt;139.690430&lt;/longitude&gt;
&lt;latitude&gt;35.771446&lt;/latitude&gt;
&lt;iLvl&gt;6&lt;/iLvl&gt;
&lt;/candidate&gt;
&lt;/results&gt;
</v>
      </c>
      <c r="F673" cm="1">
        <f t="array" ref="F673">INDEX(_xlfn.FILTERXML(E673,"//latitude"),1)</f>
        <v>35.771445999999997</v>
      </c>
      <c r="G673" cm="1">
        <f t="array" ref="G673">INDEX(_xlfn.FILTERXML(E673,"//longitude"),1)</f>
        <v>139.69042999999999</v>
      </c>
      <c r="H673">
        <v>35.771445999999997</v>
      </c>
      <c r="I673">
        <v>139.69042999999999</v>
      </c>
    </row>
    <row r="674" spans="1:9" x14ac:dyDescent="0.4">
      <c r="A674" t="s">
        <v>12</v>
      </c>
      <c r="B674" t="s">
        <v>1107</v>
      </c>
      <c r="C674" t="str">
        <f t="shared" si="47"/>
        <v>奈良県生駒市</v>
      </c>
      <c r="D674" s="2" t="str">
        <f t="shared" si="45"/>
        <v>http://geocode.csis.u-tokyo.ac.jp/cgi-bin/simple_geocode.cgi?charset=UTF8&amp;addr=%E5%A5%88%E8%89%AF%E7%9C%8C%E7%94%9F%E9%A7%92%E5%B8%82</v>
      </c>
      <c r="E674" t="str">
        <f t="shared" si="46"/>
        <v xml:space="preserve">&lt;?xml version="1.0" encoding="UTF-8" ?&gt;
&lt;results&gt;
&lt;query&gt;奈良県生駒市&lt;/query&gt;
&lt;geodetic&gt;wgs1984&lt;/geodetic&gt;
&lt;iConf&gt;5&lt;/iConf&gt;
&lt;converted&gt;奈良県生駒市&lt;/converted&gt;
&lt;candidate&gt;
&lt;address&gt;奈良県/生駒市&lt;/address&gt;
&lt;longitude&gt;135.700546&lt;/longitude&gt;
&lt;latitude&gt;34.691978&lt;/latitude&gt;
&lt;iLvl&gt;3&lt;/iLvl&gt;
&lt;/candidate&gt;
&lt;/results&gt;
</v>
      </c>
      <c r="F674" cm="1">
        <f t="array" ref="F674">INDEX(_xlfn.FILTERXML(E674,"//latitude"),1)</f>
        <v>34.691977999999999</v>
      </c>
      <c r="G674" cm="1">
        <f t="array" ref="G674">INDEX(_xlfn.FILTERXML(E674,"//longitude"),1)</f>
        <v>135.700546</v>
      </c>
      <c r="H674">
        <v>34.691977999999999</v>
      </c>
      <c r="I674">
        <v>135.700546</v>
      </c>
    </row>
    <row r="675" spans="1:9" x14ac:dyDescent="0.4">
      <c r="A675" t="s">
        <v>118</v>
      </c>
      <c r="B675" t="s">
        <v>621</v>
      </c>
      <c r="C675" t="str">
        <f t="shared" si="47"/>
        <v>北海道札幌市東区</v>
      </c>
      <c r="D675" s="2" t="str">
        <f t="shared" si="45"/>
        <v>http://geocode.csis.u-tokyo.ac.jp/cgi-bin/simple_geocode.cgi?charset=UTF8&amp;addr=%E5%8C%97%E6%B5%B7%E9%81%93%E6%9C%AD%E5%B9%8C%E5%B8%82%E6%9D%B1%E5%8C%BA</v>
      </c>
      <c r="E675" t="str">
        <f t="shared" si="46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675" cm="1">
        <f t="array" ref="F675">INDEX(_xlfn.FILTERXML(E675,"//latitude"),1)</f>
        <v>43.076241000000003</v>
      </c>
      <c r="G675" cm="1">
        <f t="array" ref="G675">INDEX(_xlfn.FILTERXML(E675,"//longitude"),1)</f>
        <v>141.363663</v>
      </c>
      <c r="H675">
        <v>43.076241000000003</v>
      </c>
      <c r="I675">
        <v>141.363663</v>
      </c>
    </row>
    <row r="676" spans="1:9" x14ac:dyDescent="0.4">
      <c r="A676" t="s">
        <v>144</v>
      </c>
      <c r="B676" t="s">
        <v>522</v>
      </c>
      <c r="C676" t="str">
        <f t="shared" si="47"/>
        <v>秋田県能代市</v>
      </c>
      <c r="D676" s="2" t="str">
        <f t="shared" si="45"/>
        <v>http://geocode.csis.u-tokyo.ac.jp/cgi-bin/simple_geocode.cgi?charset=UTF8&amp;addr=%E7%A7%8B%E7%94%B0%E7%9C%8C%E8%83%BD%E4%BB%A3%E5%B8%82</v>
      </c>
      <c r="E676" t="str">
        <f t="shared" si="46"/>
        <v xml:space="preserve">&lt;?xml version="1.0" encoding="UTF-8" ?&gt;
&lt;results&gt;
&lt;query&gt;秋田県能代市&lt;/query&gt;
&lt;geodetic&gt;wgs1984&lt;/geodetic&gt;
&lt;iConf&gt;5&lt;/iConf&gt;
&lt;converted&gt;秋田県能代市&lt;/converted&gt;
&lt;candidate&gt;
&lt;address&gt;秋田県/能代市&lt;/address&gt;
&lt;longitude&gt;140.026642&lt;/longitude&gt;
&lt;latitude&gt;40.212132&lt;/latitude&gt;
&lt;iLvl&gt;3&lt;/iLvl&gt;
&lt;/candidate&gt;
&lt;/results&gt;
</v>
      </c>
      <c r="F676" cm="1">
        <f t="array" ref="F676">INDEX(_xlfn.FILTERXML(E676,"//latitude"),1)</f>
        <v>40.212131999999997</v>
      </c>
      <c r="G676" cm="1">
        <f t="array" ref="G676">INDEX(_xlfn.FILTERXML(E676,"//longitude"),1)</f>
        <v>140.02664200000001</v>
      </c>
      <c r="H676">
        <v>40.212131999999997</v>
      </c>
      <c r="I676">
        <v>140.02664200000001</v>
      </c>
    </row>
    <row r="677" spans="1:9" x14ac:dyDescent="0.4">
      <c r="A677" t="s">
        <v>9</v>
      </c>
      <c r="B677" t="s">
        <v>622</v>
      </c>
      <c r="C677" t="str">
        <f t="shared" si="47"/>
        <v>東京都小金井貫井南町</v>
      </c>
      <c r="D677" s="2" t="str">
        <f t="shared" si="45"/>
        <v>http://geocode.csis.u-tokyo.ac.jp/cgi-bin/simple_geocode.cgi?charset=UTF8&amp;addr=%E6%9D%B1%E4%BA%AC%E9%83%BD%E5%B0%8F%E9%87%91%E4%BA%95%E8%B2%AB%E4%BA%95%E5%8D%97%E7%94%BA</v>
      </c>
      <c r="E677" t="str">
        <f t="shared" si="46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677" cm="1">
        <f t="array" ref="F677">INDEX(_xlfn.FILTERXML(E677,"//latitude"),1)</f>
        <v>35.699477999999999</v>
      </c>
      <c r="G677" cm="1">
        <f t="array" ref="G677">INDEX(_xlfn.FILTERXML(E677,"//longitude"),1)</f>
        <v>139.50299100000001</v>
      </c>
      <c r="H677">
        <v>35.699477999999999</v>
      </c>
      <c r="I677">
        <v>139.50299100000001</v>
      </c>
    </row>
    <row r="678" spans="1:9" x14ac:dyDescent="0.4">
      <c r="A678" t="s">
        <v>35</v>
      </c>
      <c r="B678" t="s">
        <v>623</v>
      </c>
      <c r="C678" t="str">
        <f t="shared" si="47"/>
        <v>宮崎県都城市郡元町</v>
      </c>
      <c r="D678" s="2" t="str">
        <f t="shared" si="45"/>
        <v>http://geocode.csis.u-tokyo.ac.jp/cgi-bin/simple_geocode.cgi?charset=UTF8&amp;addr=%E5%AE%AE%E5%B4%8E%E7%9C%8C%E9%83%BD%E5%9F%8E%E5%B8%82%E9%83%A1%E5%85%83%E7%94%BA</v>
      </c>
      <c r="E678" t="str">
        <f t="shared" si="46"/>
        <v xml:space="preserve">&lt;?xml version="1.0" encoding="UTF-8" ?&gt;
&lt;results&gt;
&lt;query&gt;宮崎県都城市郡元町&lt;/query&gt;
&lt;geodetic&gt;wgs1984&lt;/geodetic&gt;
&lt;iConf&gt;5&lt;/iConf&gt;
&lt;converted&gt;宮崎県都城市郡元町&lt;/converted&gt;
&lt;candidate&gt;
&lt;address&gt;宮崎県/都城市/郡元町&lt;/address&gt;
&lt;longitude&gt;131.097366&lt;/longitude&gt;
&lt;latitude&gt;31.744802&lt;/latitude&gt;
&lt;iLvl&gt;5&lt;/iLvl&gt;
&lt;/candidate&gt;
&lt;/results&gt;
</v>
      </c>
      <c r="F678" cm="1">
        <f t="array" ref="F678">INDEX(_xlfn.FILTERXML(E678,"//latitude"),1)</f>
        <v>31.744802</v>
      </c>
      <c r="G678" cm="1">
        <f t="array" ref="G678">INDEX(_xlfn.FILTERXML(E678,"//longitude"),1)</f>
        <v>131.09736599999999</v>
      </c>
      <c r="H678">
        <v>31.744802</v>
      </c>
      <c r="I678">
        <v>131.09736599999999</v>
      </c>
    </row>
    <row r="679" spans="1:9" x14ac:dyDescent="0.4">
      <c r="A679" t="s">
        <v>48</v>
      </c>
      <c r="B679" t="s">
        <v>624</v>
      </c>
      <c r="C679" t="str">
        <f t="shared" si="47"/>
        <v>石川県小松市</v>
      </c>
      <c r="D679" s="2" t="str">
        <f t="shared" si="45"/>
        <v>http://geocode.csis.u-tokyo.ac.jp/cgi-bin/simple_geocode.cgi?charset=UTF8&amp;addr=%E7%9F%B3%E5%B7%9D%E7%9C%8C%E5%B0%8F%E6%9D%BE%E5%B8%82</v>
      </c>
      <c r="E679" t="str">
        <f t="shared" si="46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679" cm="1">
        <f t="array" ref="F679">INDEX(_xlfn.FILTERXML(E679,"//latitude"),1)</f>
        <v>36.408355999999998</v>
      </c>
      <c r="G679" cm="1">
        <f t="array" ref="G679">INDEX(_xlfn.FILTERXML(E679,"//longitude"),1)</f>
        <v>136.44558699999999</v>
      </c>
      <c r="H679">
        <v>36.408355999999998</v>
      </c>
      <c r="I679">
        <v>136.44558699999999</v>
      </c>
    </row>
    <row r="680" spans="1:9" x14ac:dyDescent="0.4">
      <c r="A680" t="s">
        <v>9</v>
      </c>
      <c r="B680" t="s">
        <v>625</v>
      </c>
      <c r="C680" t="str">
        <f t="shared" si="47"/>
        <v>東京都足立区</v>
      </c>
      <c r="D680" s="2" t="str">
        <f t="shared" si="45"/>
        <v>http://geocode.csis.u-tokyo.ac.jp/cgi-bin/simple_geocode.cgi?charset=UTF8&amp;addr=%E6%9D%B1%E4%BA%AC%E9%83%BD%E8%B6%B3%E7%AB%8B%E5%8C%BA</v>
      </c>
      <c r="E680" t="str">
        <f t="shared" si="46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680" cm="1">
        <f t="array" ref="F680">INDEX(_xlfn.FILTERXML(E680,"//latitude"),1)</f>
        <v>35.774943999999998</v>
      </c>
      <c r="G680" cm="1">
        <f t="array" ref="G680">INDEX(_xlfn.FILTERXML(E680,"//longitude"),1)</f>
        <v>139.80458100000001</v>
      </c>
      <c r="H680">
        <v>35.774943999999998</v>
      </c>
      <c r="I680">
        <v>139.80458100000001</v>
      </c>
    </row>
    <row r="681" spans="1:9" x14ac:dyDescent="0.4">
      <c r="A681" t="s">
        <v>12</v>
      </c>
      <c r="B681" t="s">
        <v>626</v>
      </c>
      <c r="C681" t="str">
        <f t="shared" si="47"/>
        <v>奈良県大和郡山市小泉町</v>
      </c>
      <c r="D681" s="2" t="str">
        <f t="shared" si="45"/>
        <v>http://geocode.csis.u-tokyo.ac.jp/cgi-bin/simple_geocode.cgi?charset=UTF8&amp;addr=%E5%A5%88%E8%89%AF%E7%9C%8C%E5%A4%A7%E5%92%8C%E9%83%A1%E5%B1%B1%E5%B8%82%E5%B0%8F%E6%B3%89%E7%94%BA</v>
      </c>
      <c r="E681" t="str">
        <f t="shared" si="46"/>
        <v xml:space="preserve">&lt;?xml version="1.0" encoding="UTF-8" ?&gt;
&lt;results&gt;
&lt;query&gt;奈良県大和郡山市小泉町&lt;/query&gt;
&lt;geodetic&gt;wgs1984&lt;/geodetic&gt;
&lt;iConf&gt;5&lt;/iConf&gt;
&lt;converted&gt;奈良県大和郡山市小泉町&lt;/converted&gt;
&lt;candidate&gt;
&lt;address&gt;奈良県/大和郡山市/小泉町&lt;/address&gt;
&lt;longitude&gt;135.757339&lt;/longitude&gt;
&lt;latitude&gt;34.626335&lt;/latitude&gt;
&lt;iLvl&gt;5&lt;/iLvl&gt;
&lt;/candidate&gt;
&lt;/results&gt;
</v>
      </c>
      <c r="F681" cm="1">
        <f t="array" ref="F681">INDEX(_xlfn.FILTERXML(E681,"//latitude"),1)</f>
        <v>34.626334999999997</v>
      </c>
      <c r="G681" cm="1">
        <f t="array" ref="G681">INDEX(_xlfn.FILTERXML(E681,"//longitude"),1)</f>
        <v>135.757339</v>
      </c>
      <c r="H681">
        <v>34.626334999999997</v>
      </c>
      <c r="I681">
        <v>135.757339</v>
      </c>
    </row>
    <row r="682" spans="1:9" x14ac:dyDescent="0.4">
      <c r="A682" t="s">
        <v>11</v>
      </c>
      <c r="B682" t="s">
        <v>627</v>
      </c>
      <c r="C682" t="str">
        <f t="shared" si="47"/>
        <v>大阪府大阪狭山市池之原</v>
      </c>
      <c r="D682" s="2" t="str">
        <f t="shared" si="45"/>
        <v>http://geocode.csis.u-tokyo.ac.jp/cgi-bin/simple_geocode.cgi?charset=UTF8&amp;addr=%E5%A4%A7%E9%98%AA%E5%BA%9C%E5%A4%A7%E9%98%AA%E7%8B%AD%E5%B1%B1%E5%B8%82%E6%B1%A0%E4%B9%8B%E5%8E%9F</v>
      </c>
      <c r="E682" t="str">
        <f t="shared" si="46"/>
        <v xml:space="preserve">&lt;?xml version="1.0" encoding="UTF-8" ?&gt;
&lt;results&gt;
&lt;query&gt;大阪府大阪狭山市池之原&lt;/query&gt;
&lt;geodetic&gt;wgs1984&lt;/geodetic&gt;
&lt;iConf&gt;5&lt;/iConf&gt;
&lt;converted&gt;大阪府大阪狭山市池之原&lt;/converted&gt;
&lt;candidate&gt;
&lt;address&gt;大阪府/大阪狭山市/池之原&lt;/address&gt;
&lt;longitude&gt;135.545242&lt;/longitude&gt;
&lt;latitude&gt;34.508797&lt;/latitude&gt;
&lt;iLvl&gt;5&lt;/iLvl&gt;
&lt;/candidate&gt;
&lt;/results&gt;
</v>
      </c>
      <c r="F682" cm="1">
        <f t="array" ref="F682">INDEX(_xlfn.FILTERXML(E682,"//latitude"),1)</f>
        <v>34.508797000000001</v>
      </c>
      <c r="G682" cm="1">
        <f t="array" ref="G682">INDEX(_xlfn.FILTERXML(E682,"//longitude"),1)</f>
        <v>135.545242</v>
      </c>
      <c r="H682">
        <v>34.508797000000001</v>
      </c>
      <c r="I682">
        <v>135.545242</v>
      </c>
    </row>
    <row r="683" spans="1:9" x14ac:dyDescent="0.4">
      <c r="A683" t="s">
        <v>9</v>
      </c>
      <c r="B683" t="s">
        <v>628</v>
      </c>
      <c r="C683" t="str">
        <f t="shared" si="47"/>
        <v>東京都北区赤羽</v>
      </c>
      <c r="D683" s="2" t="str">
        <f t="shared" si="45"/>
        <v>http://geocode.csis.u-tokyo.ac.jp/cgi-bin/simple_geocode.cgi?charset=UTF8&amp;addr=%E6%9D%B1%E4%BA%AC%E9%83%BD%E5%8C%97%E5%8C%BA%E8%B5%A4%E7%BE%BD</v>
      </c>
      <c r="E683" t="str">
        <f t="shared" si="46"/>
        <v xml:space="preserve">&lt;?xml version="1.0" encoding="UTF-8" ?&gt;
&lt;results&gt;
&lt;query&gt;東京都北区赤羽&lt;/query&gt;
&lt;geodetic&gt;wgs1984&lt;/geodetic&gt;
&lt;iConf&gt;5&lt;/iConf&gt;
&lt;converted&gt;東京都北区赤羽&lt;/converted&gt;
&lt;candidate&gt;
&lt;address&gt;東京都/北区/赤羽&lt;/address&gt;
&lt;longitude&gt;139.720612&lt;/longitude&gt;
&lt;latitude&gt;35.780739&lt;/latitude&gt;
&lt;iLvl&gt;5&lt;/iLvl&gt;
&lt;/candidate&gt;
&lt;/results&gt;
</v>
      </c>
      <c r="F683" cm="1">
        <f t="array" ref="F683">INDEX(_xlfn.FILTERXML(E683,"//latitude"),1)</f>
        <v>35.780738999999997</v>
      </c>
      <c r="G683" cm="1">
        <f t="array" ref="G683">INDEX(_xlfn.FILTERXML(E683,"//longitude"),1)</f>
        <v>139.72061199999999</v>
      </c>
      <c r="H683">
        <v>35.780738999999997</v>
      </c>
      <c r="I683">
        <v>139.72061199999999</v>
      </c>
    </row>
    <row r="684" spans="1:9" x14ac:dyDescent="0.4">
      <c r="A684" t="s">
        <v>9</v>
      </c>
      <c r="B684" t="s">
        <v>629</v>
      </c>
      <c r="C684" t="str">
        <f t="shared" si="47"/>
        <v>東京都杉並区和泉</v>
      </c>
      <c r="D684" s="2" t="str">
        <f t="shared" si="45"/>
        <v>http://geocode.csis.u-tokyo.ac.jp/cgi-bin/simple_geocode.cgi?charset=UTF8&amp;addr=%E6%9D%B1%E4%BA%AC%E9%83%BD%E6%9D%89%E4%B8%A6%E5%8C%BA%E5%92%8C%E6%B3%89</v>
      </c>
      <c r="E684" t="str">
        <f t="shared" si="46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684" cm="1">
        <f t="array" ref="F684">INDEX(_xlfn.FILTERXML(E684,"//latitude"),1)</f>
        <v>35.675258999999997</v>
      </c>
      <c r="G684" cm="1">
        <f t="array" ref="G684">INDEX(_xlfn.FILTERXML(E684,"//longitude"),1)</f>
        <v>139.65695199999999</v>
      </c>
      <c r="H684">
        <v>35.675258999999997</v>
      </c>
      <c r="I684">
        <v>139.65695199999999</v>
      </c>
    </row>
    <row r="685" spans="1:9" x14ac:dyDescent="0.4">
      <c r="A685" t="s">
        <v>20</v>
      </c>
      <c r="B685" t="s">
        <v>630</v>
      </c>
      <c r="C685" t="str">
        <f t="shared" si="47"/>
        <v>茨城県行方市</v>
      </c>
      <c r="D685" s="2" t="str">
        <f t="shared" si="45"/>
        <v>http://geocode.csis.u-tokyo.ac.jp/cgi-bin/simple_geocode.cgi?charset=UTF8&amp;addr=%E8%8C%A8%E5%9F%8E%E7%9C%8C%E8%A1%8C%E6%96%B9%E5%B8%82</v>
      </c>
      <c r="E685" t="str">
        <f t="shared" si="46"/>
        <v xml:space="preserve">&lt;?xml version="1.0" encoding="UTF-8" ?&gt;
&lt;results&gt;
&lt;query&gt;茨城県行方市&lt;/query&gt;
&lt;geodetic&gt;wgs1984&lt;/geodetic&gt;
&lt;iConf&gt;5&lt;/iConf&gt;
&lt;converted&gt;茨城県行方市&lt;/converted&gt;
&lt;candidate&gt;
&lt;address&gt;茨城県/行方市&lt;/address&gt;
&lt;longitude&gt;140.489105&lt;/longitude&gt;
&lt;latitude&gt;35.990166&lt;/latitude&gt;
&lt;iLvl&gt;3&lt;/iLvl&gt;
&lt;/candidate&gt;
&lt;/results&gt;
</v>
      </c>
      <c r="F685" cm="1">
        <f t="array" ref="F685">INDEX(_xlfn.FILTERXML(E685,"//latitude"),1)</f>
        <v>35.990166000000002</v>
      </c>
      <c r="G685" cm="1">
        <f t="array" ref="G685">INDEX(_xlfn.FILTERXML(E685,"//longitude"),1)</f>
        <v>140.489105</v>
      </c>
      <c r="H685">
        <v>35.990166000000002</v>
      </c>
      <c r="I685">
        <v>140.489105</v>
      </c>
    </row>
    <row r="686" spans="1:9" x14ac:dyDescent="0.4">
      <c r="A686" t="s">
        <v>16</v>
      </c>
      <c r="B686" t="s">
        <v>631</v>
      </c>
      <c r="C686" t="str">
        <f t="shared" si="47"/>
        <v>長野県上田市</v>
      </c>
      <c r="D686" s="2" t="str">
        <f t="shared" si="45"/>
        <v>http://geocode.csis.u-tokyo.ac.jp/cgi-bin/simple_geocode.cgi?charset=UTF8&amp;addr=%E9%95%B7%E9%87%8E%E7%9C%8C%E4%B8%8A%E7%94%B0%E5%B8%82</v>
      </c>
      <c r="E686" t="str">
        <f t="shared" si="46"/>
        <v xml:space="preserve">&lt;?xml version="1.0" encoding="UTF-8" ?&gt;
&lt;results&gt;
&lt;query&gt;長野県上田市&lt;/query&gt;
&lt;geodetic&gt;wgs1984&lt;/geodetic&gt;
&lt;iConf&gt;5&lt;/iConf&gt;
&lt;converted&gt;長野県上田市&lt;/converted&gt;
&lt;candidate&gt;
&lt;address&gt;長野県/上田市&lt;/address&gt;
&lt;longitude&gt;138.249069&lt;/longitude&gt;
&lt;latitude&gt;36.401943&lt;/latitude&gt;
&lt;iLvl&gt;3&lt;/iLvl&gt;
&lt;/candidate&gt;
&lt;/results&gt;
</v>
      </c>
      <c r="F686" cm="1">
        <f t="array" ref="F686">INDEX(_xlfn.FILTERXML(E686,"//latitude"),1)</f>
        <v>36.401943000000003</v>
      </c>
      <c r="G686" cm="1">
        <f t="array" ref="G686">INDEX(_xlfn.FILTERXML(E686,"//longitude"),1)</f>
        <v>138.24906899999999</v>
      </c>
      <c r="H686">
        <v>36.401943000000003</v>
      </c>
      <c r="I686">
        <v>138.24906899999999</v>
      </c>
    </row>
    <row r="687" spans="1:9" x14ac:dyDescent="0.4">
      <c r="A687" t="s">
        <v>10</v>
      </c>
      <c r="B687" t="s">
        <v>632</v>
      </c>
      <c r="C687" t="str">
        <f t="shared" si="47"/>
        <v>神奈川県横浜市西区中央一丁目</v>
      </c>
      <c r="D687" s="2" t="str">
        <f t="shared" si="45"/>
        <v>http://geocode.csis.u-tokyo.ac.jp/cgi-bin/simple_geocode.cgi?charset=UTF8&amp;addr=%E7%A5%9E%E5%A5%88%E5%B7%9D%E7%9C%8C%E6%A8%AA%E6%B5%9C%E5%B8%82%E8%A5%BF%E5%8C%BA%E4%B8%AD%E5%A4%AE%E4%B8%80%E4%B8%81%E7%9B%AE</v>
      </c>
      <c r="E687" t="str">
        <f t="shared" si="46"/>
        <v xml:space="preserve">&lt;?xml version="1.0" encoding="UTF-8" ?&gt;
&lt;results&gt;
&lt;query&gt;神奈川県横浜市西区中央一丁目&lt;/query&gt;
&lt;geodetic&gt;wgs1984&lt;/geodetic&gt;
&lt;iConf&gt;5&lt;/iConf&gt;
&lt;converted&gt;神奈川県横浜市西区中央一丁目&lt;/converted&gt;
&lt;candidate&gt;
&lt;address&gt;神奈川県/横浜市/西区/中央/一丁目&lt;/address&gt;
&lt;longitude&gt;139.617004&lt;/longitude&gt;
&lt;latitude&gt;35.455040&lt;/latitude&gt;
&lt;iLvl&gt;6&lt;/iLvl&gt;
&lt;/candidate&gt;
&lt;/results&gt;
</v>
      </c>
      <c r="F687" cm="1">
        <f t="array" ref="F687">INDEX(_xlfn.FILTERXML(E687,"//latitude"),1)</f>
        <v>35.455039999999997</v>
      </c>
      <c r="G687" cm="1">
        <f t="array" ref="G687">INDEX(_xlfn.FILTERXML(E687,"//longitude"),1)</f>
        <v>139.61700400000001</v>
      </c>
      <c r="H687">
        <v>35.455039999999997</v>
      </c>
      <c r="I687">
        <v>139.61700400000001</v>
      </c>
    </row>
    <row r="688" spans="1:9" x14ac:dyDescent="0.4">
      <c r="A688" t="s">
        <v>16</v>
      </c>
      <c r="B688" t="s">
        <v>237</v>
      </c>
      <c r="C688" t="str">
        <f t="shared" si="47"/>
        <v>長野県松本市</v>
      </c>
      <c r="D688" s="2" t="str">
        <f t="shared" si="45"/>
        <v>http://geocode.csis.u-tokyo.ac.jp/cgi-bin/simple_geocode.cgi?charset=UTF8&amp;addr=%E9%95%B7%E9%87%8E%E7%9C%8C%E6%9D%BE%E6%9C%AC%E5%B8%82</v>
      </c>
      <c r="E688" t="str">
        <f t="shared" si="46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688" cm="1">
        <f t="array" ref="F688">INDEX(_xlfn.FILTERXML(E688,"//latitude"),1)</f>
        <v>36.238093999999997</v>
      </c>
      <c r="G688" cm="1">
        <f t="array" ref="G688">INDEX(_xlfn.FILTERXML(E688,"//longitude"),1)</f>
        <v>137.97198499999999</v>
      </c>
      <c r="H688">
        <v>36.238093999999997</v>
      </c>
      <c r="I688">
        <v>137.97198499999999</v>
      </c>
    </row>
    <row r="689" spans="1:9" x14ac:dyDescent="0.4">
      <c r="A689" t="s">
        <v>10</v>
      </c>
      <c r="B689" t="s">
        <v>633</v>
      </c>
      <c r="C689" t="str">
        <f t="shared" si="47"/>
        <v>神奈川県横浜市港北区綱島上町</v>
      </c>
      <c r="D689" s="2" t="str">
        <f t="shared" si="45"/>
        <v>http://geocode.csis.u-tokyo.ac.jp/cgi-bin/simple_geocode.cgi?charset=UTF8&amp;addr=%E7%A5%9E%E5%A5%88%E5%B7%9D%E7%9C%8C%E6%A8%AA%E6%B5%9C%E5%B8%82%E6%B8%AF%E5%8C%97%E5%8C%BA%E7%B6%B1%E5%B3%B6%E4%B8%8A%E7%94%BA</v>
      </c>
      <c r="E689" t="str">
        <f t="shared" si="46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689" cm="1">
        <f t="array" ref="F689">INDEX(_xlfn.FILTERXML(E689,"//latitude"),1)</f>
        <v>35.536560000000001</v>
      </c>
      <c r="G689" cm="1">
        <f t="array" ref="G689">INDEX(_xlfn.FILTERXML(E689,"//longitude"),1)</f>
        <v>139.62498500000001</v>
      </c>
      <c r="H689">
        <v>35.536560000000001</v>
      </c>
      <c r="I689">
        <v>139.62498500000001</v>
      </c>
    </row>
    <row r="690" spans="1:9" x14ac:dyDescent="0.4">
      <c r="A690" t="s">
        <v>10</v>
      </c>
      <c r="B690" t="s">
        <v>634</v>
      </c>
      <c r="C690" t="str">
        <f t="shared" si="47"/>
        <v>神奈川県横浜市金沢区東朝比奈</v>
      </c>
      <c r="D690" s="2" t="str">
        <f t="shared" si="45"/>
        <v>http://geocode.csis.u-tokyo.ac.jp/cgi-bin/simple_geocode.cgi?charset=UTF8&amp;addr=%E7%A5%9E%E5%A5%88%E5%B7%9D%E7%9C%8C%E6%A8%AA%E6%B5%9C%E5%B8%82%E9%87%91%E6%B2%A2%E5%8C%BA%E6%9D%B1%E6%9C%9D%E6%AF%94%E5%A5%88</v>
      </c>
      <c r="E690" t="str">
        <f t="shared" si="46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690" cm="1">
        <f t="array" ref="F690">INDEX(_xlfn.FILTERXML(E690,"//latitude"),1)</f>
        <v>35.324542999999998</v>
      </c>
      <c r="G690" cm="1">
        <f t="array" ref="G690">INDEX(_xlfn.FILTERXML(E690,"//longitude"),1)</f>
        <v>139.60403400000001</v>
      </c>
      <c r="H690">
        <v>35.324542999999998</v>
      </c>
      <c r="I690">
        <v>139.60403400000001</v>
      </c>
    </row>
    <row r="691" spans="1:9" x14ac:dyDescent="0.4">
      <c r="A691" t="s">
        <v>37</v>
      </c>
      <c r="B691" t="s">
        <v>367</v>
      </c>
      <c r="C691" t="str">
        <f t="shared" si="47"/>
        <v>三重県津市</v>
      </c>
      <c r="D691" s="2" t="str">
        <f t="shared" si="45"/>
        <v>http://geocode.csis.u-tokyo.ac.jp/cgi-bin/simple_geocode.cgi?charset=UTF8&amp;addr=%E4%B8%89%E9%87%8D%E7%9C%8C%E6%B4%A5%E5%B8%82</v>
      </c>
      <c r="E691" t="str">
        <f t="shared" si="46"/>
        <v xml:space="preserve">&lt;?xml version="1.0" encoding="UTF-8" ?&gt;
&lt;results&gt;
&lt;query&gt;三重県津市&lt;/query&gt;
&lt;geodetic&gt;wgs1984&lt;/geodetic&gt;
&lt;iConf&gt;5&lt;/iConf&gt;
&lt;converted&gt;三重県津市&lt;/converted&gt;
&lt;candidate&gt;
&lt;address&gt;三重県/津市&lt;/address&gt;
&lt;longitude&gt;136.505447&lt;/longitude&gt;
&lt;latitude&gt;34.718563&lt;/latitude&gt;
&lt;iLvl&gt;3&lt;/iLvl&gt;
&lt;/candidate&gt;
&lt;/results&gt;
</v>
      </c>
      <c r="F691" cm="1">
        <f t="array" ref="F691">INDEX(_xlfn.FILTERXML(E691,"//latitude"),1)</f>
        <v>34.718563000000003</v>
      </c>
      <c r="G691" cm="1">
        <f t="array" ref="G691">INDEX(_xlfn.FILTERXML(E691,"//longitude"),1)</f>
        <v>136.505447</v>
      </c>
      <c r="H691">
        <v>34.718563000000003</v>
      </c>
      <c r="I691">
        <v>136.505447</v>
      </c>
    </row>
    <row r="692" spans="1:9" x14ac:dyDescent="0.4">
      <c r="A692" t="s">
        <v>46</v>
      </c>
      <c r="B692" t="s">
        <v>635</v>
      </c>
      <c r="C692" t="str">
        <f t="shared" si="47"/>
        <v>山口県柳井市</v>
      </c>
      <c r="D692" s="2" t="str">
        <f t="shared" si="45"/>
        <v>http://geocode.csis.u-tokyo.ac.jp/cgi-bin/simple_geocode.cgi?charset=UTF8&amp;addr=%E5%B1%B1%E5%8F%A3%E7%9C%8C%E6%9F%B3%E4%BA%95%E5%B8%82</v>
      </c>
      <c r="E692" t="str">
        <f t="shared" si="46"/>
        <v xml:space="preserve">&lt;?xml version="1.0" encoding="UTF-8" ?&gt;
&lt;results&gt;
&lt;query&gt;山口県柳井市&lt;/query&gt;
&lt;geodetic&gt;wgs1984&lt;/geodetic&gt;
&lt;iConf&gt;5&lt;/iConf&gt;
&lt;converted&gt;山口県柳井市&lt;/converted&gt;
&lt;candidate&gt;
&lt;address&gt;山口県/柳井市&lt;/address&gt;
&lt;longitude&gt;132.101593&lt;/longitude&gt;
&lt;latitude&gt;33.963840&lt;/latitude&gt;
&lt;iLvl&gt;3&lt;/iLvl&gt;
&lt;/candidate&gt;
&lt;/results&gt;
</v>
      </c>
      <c r="F692" cm="1">
        <f t="array" ref="F692">INDEX(_xlfn.FILTERXML(E692,"//latitude"),1)</f>
        <v>33.963839999999998</v>
      </c>
      <c r="G692" cm="1">
        <f t="array" ref="G692">INDEX(_xlfn.FILTERXML(E692,"//longitude"),1)</f>
        <v>132.10159300000001</v>
      </c>
      <c r="H692">
        <v>33.963839999999998</v>
      </c>
      <c r="I692">
        <v>132.10159300000001</v>
      </c>
    </row>
    <row r="693" spans="1:9" x14ac:dyDescent="0.4">
      <c r="A693" t="s">
        <v>15</v>
      </c>
      <c r="B693" t="s">
        <v>231</v>
      </c>
      <c r="C693" t="str">
        <f t="shared" si="47"/>
        <v>兵庫県川西市大和東</v>
      </c>
      <c r="D693" s="2" t="str">
        <f t="shared" si="45"/>
        <v>http://geocode.csis.u-tokyo.ac.jp/cgi-bin/simple_geocode.cgi?charset=UTF8&amp;addr=%E5%85%B5%E5%BA%AB%E7%9C%8C%E5%B7%9D%E8%A5%BF%E5%B8%82%E5%A4%A7%E5%92%8C%E6%9D%B1</v>
      </c>
      <c r="E693" t="str">
        <f t="shared" si="46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693" cm="1">
        <f t="array" ref="F693">INDEX(_xlfn.FILTERXML(E693,"//latitude"),1)</f>
        <v>34.884841999999999</v>
      </c>
      <c r="G693" cm="1">
        <f t="array" ref="G693">INDEX(_xlfn.FILTERXML(E693,"//longitude"),1)</f>
        <v>135.42190600000001</v>
      </c>
      <c r="H693">
        <v>34.884841999999999</v>
      </c>
      <c r="I693">
        <v>135.42190600000001</v>
      </c>
    </row>
    <row r="694" spans="1:9" x14ac:dyDescent="0.4">
      <c r="A694" t="s">
        <v>31</v>
      </c>
      <c r="B694" t="s">
        <v>636</v>
      </c>
      <c r="C694" t="str">
        <f t="shared" si="47"/>
        <v>熊本県人吉市下林町</v>
      </c>
      <c r="D694" s="2" t="str">
        <f t="shared" si="45"/>
        <v>http://geocode.csis.u-tokyo.ac.jp/cgi-bin/simple_geocode.cgi?charset=UTF8&amp;addr=%E7%86%8A%E6%9C%AC%E7%9C%8C%E4%BA%BA%E5%90%89%E5%B8%82%E4%B8%8B%E6%9E%97%E7%94%BA</v>
      </c>
      <c r="E694" t="str">
        <f t="shared" si="46"/>
        <v xml:space="preserve">&lt;?xml version="1.0" encoding="UTF-8" ?&gt;
&lt;results&gt;
&lt;query&gt;熊本県人吉市下林町&lt;/query&gt;
&lt;geodetic&gt;wgs1984&lt;/geodetic&gt;
&lt;iConf&gt;5&lt;/iConf&gt;
&lt;converted&gt;熊本県人吉市下林町&lt;/converted&gt;
&lt;candidate&gt;
&lt;address&gt;熊本県/人吉市/下林町&lt;/address&gt;
&lt;longitude&gt;130.733704&lt;/longitude&gt;
&lt;latitude&gt;32.218044&lt;/latitude&gt;
&lt;iLvl&gt;5&lt;/iLvl&gt;
&lt;/candidate&gt;
&lt;/results&gt;
</v>
      </c>
      <c r="F694" cm="1">
        <f t="array" ref="F694">INDEX(_xlfn.FILTERXML(E694,"//latitude"),1)</f>
        <v>32.218043999999999</v>
      </c>
      <c r="G694" cm="1">
        <f t="array" ref="G694">INDEX(_xlfn.FILTERXML(E694,"//longitude"),1)</f>
        <v>130.73370399999999</v>
      </c>
      <c r="H694">
        <v>32.218043999999999</v>
      </c>
      <c r="I694">
        <v>130.73370399999999</v>
      </c>
    </row>
    <row r="695" spans="1:9" x14ac:dyDescent="0.4">
      <c r="A695" t="s">
        <v>21</v>
      </c>
      <c r="B695" t="s">
        <v>637</v>
      </c>
      <c r="C695" t="str">
        <f t="shared" si="47"/>
        <v>福岡県糟屋郡宇美町宇美中央</v>
      </c>
      <c r="D695" s="2" t="str">
        <f t="shared" si="45"/>
        <v>http://geocode.csis.u-tokyo.ac.jp/cgi-bin/simple_geocode.cgi?charset=UTF8&amp;addr=%E7%A6%8F%E5%B2%A1%E7%9C%8C%E7%B3%9F%E5%B1%8B%E9%83%A1%E5%AE%87%E7%BE%8E%E7%94%BA%E5%AE%87%E7%BE%8E%E4%B8%AD%E5%A4%AE</v>
      </c>
      <c r="E695" t="str">
        <f t="shared" si="46"/>
        <v xml:space="preserve">&lt;?xml version="1.0" encoding="UTF-8" ?&gt;
&lt;results&gt;
&lt;query&gt;福岡県糟屋郡宇美町宇美中央&lt;/query&gt;
&lt;geodetic&gt;wgs1984&lt;/geodetic&gt;
&lt;iConf&gt;5&lt;/iConf&gt;
&lt;converted&gt;福岡県糟屋郡宇美町宇美中央&lt;/converted&gt;
&lt;candidate&gt;
&lt;address&gt;福岡県/糟屋郡/宇美町/宇美中央&lt;/address&gt;
&lt;longitude&gt;130.520889&lt;/longitude&gt;
&lt;latitude&gt;33.570984&lt;/latitude&gt;
&lt;iLvl&gt;5&lt;/iLvl&gt;
&lt;/candidate&gt;
&lt;/results&gt;
</v>
      </c>
      <c r="F695" cm="1">
        <f t="array" ref="F695">INDEX(_xlfn.FILTERXML(E695,"//latitude"),1)</f>
        <v>33.570984000000003</v>
      </c>
      <c r="G695" cm="1">
        <f t="array" ref="G695">INDEX(_xlfn.FILTERXML(E695,"//longitude"),1)</f>
        <v>130.52088900000001</v>
      </c>
      <c r="H695">
        <v>33.570984000000003</v>
      </c>
      <c r="I695">
        <v>130.52088900000001</v>
      </c>
    </row>
    <row r="696" spans="1:9" x14ac:dyDescent="0.4">
      <c r="A696" t="s">
        <v>10</v>
      </c>
      <c r="B696" t="s">
        <v>638</v>
      </c>
      <c r="C696" t="str">
        <f t="shared" si="47"/>
        <v>神奈川県横浜市　旭区　東希望が丘</v>
      </c>
      <c r="D696" s="2" t="str">
        <f t="shared" si="45"/>
        <v>http://geocode.csis.u-tokyo.ac.jp/cgi-bin/simple_geocode.cgi?charset=UTF8&amp;addr=%E7%A5%9E%E5%A5%88%E5%B7%9D%E7%9C%8C%E6%A8%AA%E6%B5%9C%E5%B8%82%E3%80%80%E6%97%AD%E5%8C%BA%E3%80%80%E6%9D%B1%E5%B8%8C%E6%9C%9B%E3%81%8C%E4%B8%98</v>
      </c>
      <c r="E696" t="str">
        <f t="shared" si="46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696" cm="1">
        <f t="array" ref="F696">INDEX(_xlfn.FILTERXML(E696,"//latitude"),1)</f>
        <v>35.464314000000002</v>
      </c>
      <c r="G696" cm="1">
        <f t="array" ref="G696">INDEX(_xlfn.FILTERXML(E696,"//longitude"),1)</f>
        <v>139.51432800000001</v>
      </c>
      <c r="H696">
        <v>35.464314000000002</v>
      </c>
      <c r="I696">
        <v>139.51432800000001</v>
      </c>
    </row>
    <row r="697" spans="1:9" x14ac:dyDescent="0.4">
      <c r="A697" t="s">
        <v>17</v>
      </c>
      <c r="B697" t="s">
        <v>639</v>
      </c>
      <c r="C697" t="str">
        <f t="shared" si="47"/>
        <v>愛知県知多郡東浦町緒川</v>
      </c>
      <c r="D697" s="2" t="str">
        <f t="shared" si="45"/>
        <v>http://geocode.csis.u-tokyo.ac.jp/cgi-bin/simple_geocode.cgi?charset=UTF8&amp;addr=%E6%84%9B%E7%9F%A5%E7%9C%8C%E7%9F%A5%E5%A4%9A%E9%83%A1%E6%9D%B1%E6%B5%A6%E7%94%BA%E7%B7%92%E5%B7%9D</v>
      </c>
      <c r="E697" t="str">
        <f t="shared" si="46"/>
        <v xml:space="preserve">&lt;?xml version="1.0" encoding="UTF-8" ?&gt;
&lt;results&gt;
&lt;query&gt;愛知県知多郡東浦町緒川&lt;/query&gt;
&lt;geodetic&gt;wgs1984&lt;/geodetic&gt;
&lt;iConf&gt;5&lt;/iConf&gt;
&lt;converted&gt;愛知県知多郡東浦町緒川&lt;/converted&gt;
&lt;candidate&gt;
&lt;address&gt;愛知県/知多郡/東浦町/緒川&lt;/address&gt;
&lt;longitude&gt;136.936691&lt;/longitude&gt;
&lt;latitude&gt;34.972813&lt;/latitude&gt;
&lt;iLvl&gt;5&lt;/iLvl&gt;
&lt;/candidate&gt;
&lt;/results&gt;
</v>
      </c>
      <c r="F697" cm="1">
        <f t="array" ref="F697">INDEX(_xlfn.FILTERXML(E697,"//latitude"),1)</f>
        <v>34.972813000000002</v>
      </c>
      <c r="G697" cm="1">
        <f t="array" ref="G697">INDEX(_xlfn.FILTERXML(E697,"//longitude"),1)</f>
        <v>136.936691</v>
      </c>
      <c r="H697">
        <v>34.972813000000002</v>
      </c>
      <c r="I697">
        <v>136.936691</v>
      </c>
    </row>
    <row r="698" spans="1:9" x14ac:dyDescent="0.4">
      <c r="A698" t="s">
        <v>17</v>
      </c>
      <c r="B698" t="s">
        <v>640</v>
      </c>
      <c r="C698" t="str">
        <f t="shared" si="47"/>
        <v>愛知県名古屋市西区則武新町三丁目</v>
      </c>
      <c r="D698" s="2" t="str">
        <f t="shared" si="45"/>
        <v>http://geocode.csis.u-tokyo.ac.jp/cgi-bin/simple_geocode.cgi?charset=UTF8&amp;addr=%E6%84%9B%E7%9F%A5%E7%9C%8C%E5%90%8D%E5%8F%A4%E5%B1%8B%E5%B8%82%E8%A5%BF%E5%8C%BA%E5%89%87%E6%AD%A6%E6%96%B0%E7%94%BA%E4%B8%89%E4%B8%81%E7%9B%AE</v>
      </c>
      <c r="E698" t="str">
        <f t="shared" si="46"/>
        <v xml:space="preserve">&lt;?xml version="1.0" encoding="UTF-8" ?&gt;
&lt;results&gt;
&lt;query&gt;愛知県名古屋市西区則武新町三丁目&lt;/query&gt;
&lt;geodetic&gt;wgs1984&lt;/geodetic&gt;
&lt;iConf&gt;5&lt;/iConf&gt;
&lt;converted&gt;愛知県名古屋市西区則武新町三丁目&lt;/converted&gt;
&lt;candidate&gt;
&lt;address&gt;愛知県/名古屋市/西区/則武新町/三丁目&lt;/address&gt;
&lt;longitude&gt;136.879395&lt;/longitude&gt;
&lt;latitude&gt;35.179600&lt;/latitude&gt;
&lt;iLvl&gt;6&lt;/iLvl&gt;
&lt;/candidate&gt;
&lt;/results&gt;
</v>
      </c>
      <c r="F698" cm="1">
        <f t="array" ref="F698">INDEX(_xlfn.FILTERXML(E698,"//latitude"),1)</f>
        <v>35.179600000000001</v>
      </c>
      <c r="G698" cm="1">
        <f t="array" ref="G698">INDEX(_xlfn.FILTERXML(E698,"//longitude"),1)</f>
        <v>136.87939499999999</v>
      </c>
      <c r="H698">
        <v>35.179600000000001</v>
      </c>
      <c r="I698">
        <v>136.87939499999999</v>
      </c>
    </row>
    <row r="699" spans="1:9" x14ac:dyDescent="0.4">
      <c r="A699" t="s">
        <v>9</v>
      </c>
      <c r="B699" t="s">
        <v>641</v>
      </c>
      <c r="C699" t="str">
        <f t="shared" si="47"/>
        <v>東京都小金井市桜町</v>
      </c>
      <c r="D699" s="2" t="str">
        <f t="shared" ref="D699:D718" si="48" xml:space="preserve"> "http://geocode.csis.u-tokyo.ac.jp/cgi-bin/simple_geocode.cgi?charset=UTF8&amp;addr=" &amp; _xlfn.ENCODEURL(C699)</f>
        <v>http://geocode.csis.u-tokyo.ac.jp/cgi-bin/simple_geocode.cgi?charset=UTF8&amp;addr=%E6%9D%B1%E4%BA%AC%E9%83%BD%E5%B0%8F%E9%87%91%E4%BA%95%E5%B8%82%E6%A1%9C%E7%94%BA</v>
      </c>
      <c r="E699" t="str">
        <f t="shared" ref="E699:E718" si="49" xml:space="preserve"> _xlfn.WEBSERVICE(D699)</f>
        <v xml:space="preserve">&lt;?xml version="1.0" encoding="UTF-8" ?&gt;
&lt;results&gt;
&lt;query&gt;東京都小金井市桜町&lt;/query&gt;
&lt;geodetic&gt;wgs1984&lt;/geodetic&gt;
&lt;iConf&gt;5&lt;/iConf&gt;
&lt;converted&gt;東京都小金井市桜町&lt;/converted&gt;
&lt;candidate&gt;
&lt;address&gt;東京都/小金井市/桜町&lt;/address&gt;
&lt;longitude&gt;139.510223&lt;/longitude&gt;
&lt;latitude&gt;35.710110&lt;/latitude&gt;
&lt;iLvl&gt;5&lt;/iLvl&gt;
&lt;/candidate&gt;
&lt;/results&gt;
</v>
      </c>
      <c r="F699" cm="1">
        <f t="array" ref="F699">INDEX(_xlfn.FILTERXML(E699,"//latitude"),1)</f>
        <v>35.71011</v>
      </c>
      <c r="G699" cm="1">
        <f t="array" ref="G699">INDEX(_xlfn.FILTERXML(E699,"//longitude"),1)</f>
        <v>139.510223</v>
      </c>
      <c r="H699">
        <v>35.71011</v>
      </c>
      <c r="I699">
        <v>139.510223</v>
      </c>
    </row>
    <row r="700" spans="1:9" x14ac:dyDescent="0.4">
      <c r="A700" t="s">
        <v>26</v>
      </c>
      <c r="B700" t="s">
        <v>642</v>
      </c>
      <c r="C700" t="str">
        <f t="shared" si="47"/>
        <v>京都府京都市山科区東野舞台町</v>
      </c>
      <c r="D700" s="2" t="str">
        <f t="shared" si="48"/>
        <v>http://geocode.csis.u-tokyo.ac.jp/cgi-bin/simple_geocode.cgi?charset=UTF8&amp;addr=%E4%BA%AC%E9%83%BD%E5%BA%9C%E4%BA%AC%E9%83%BD%E5%B8%82%E5%B1%B1%E7%A7%91%E5%8C%BA%E6%9D%B1%E9%87%8E%E8%88%9E%E5%8F%B0%E7%94%BA</v>
      </c>
      <c r="E700" t="str">
        <f t="shared" si="49"/>
        <v xml:space="preserve">&lt;?xml version="1.0" encoding="UTF-8" ?&gt;
&lt;results&gt;
&lt;query&gt;京都府京都市山科区東野舞台町&lt;/query&gt;
&lt;geodetic&gt;wgs1984&lt;/geodetic&gt;
&lt;iConf&gt;5&lt;/iConf&gt;
&lt;converted&gt;京都府京都市山科区東野舞台町&lt;/converted&gt;
&lt;candidate&gt;
&lt;address&gt;京都府/京都市/山科区/東野舞台町&lt;/address&gt;
&lt;longitude&gt;135.808807&lt;/longitude&gt;
&lt;latitude&gt;34.975178&lt;/latitude&gt;
&lt;iLvl&gt;5&lt;/iLvl&gt;
&lt;/candidate&gt;
&lt;/results&gt;
</v>
      </c>
      <c r="F700" cm="1">
        <f t="array" ref="F700">INDEX(_xlfn.FILTERXML(E700,"//latitude"),1)</f>
        <v>34.975178</v>
      </c>
      <c r="G700" cm="1">
        <f t="array" ref="G700">INDEX(_xlfn.FILTERXML(E700,"//longitude"),1)</f>
        <v>135.808807</v>
      </c>
      <c r="H700">
        <v>34.975178</v>
      </c>
      <c r="I700">
        <v>135.808807</v>
      </c>
    </row>
    <row r="701" spans="1:9" x14ac:dyDescent="0.4">
      <c r="A701" t="s">
        <v>13</v>
      </c>
      <c r="B701" t="s">
        <v>643</v>
      </c>
      <c r="C701" t="str">
        <f t="shared" si="47"/>
        <v>埼玉県秩父市山田</v>
      </c>
      <c r="D701" s="2" t="str">
        <f t="shared" si="48"/>
        <v>http://geocode.csis.u-tokyo.ac.jp/cgi-bin/simple_geocode.cgi?charset=UTF8&amp;addr=%E5%9F%BC%E7%8E%89%E7%9C%8C%E7%A7%A9%E7%88%B6%E5%B8%82%E5%B1%B1%E7%94%B0</v>
      </c>
      <c r="E701" t="str">
        <f t="shared" si="49"/>
        <v xml:space="preserve">&lt;?xml version="1.0" encoding="UTF-8" ?&gt;
&lt;results&gt;
&lt;query&gt;埼玉県秩父市山田&lt;/query&gt;
&lt;geodetic&gt;wgs1984&lt;/geodetic&gt;
&lt;iConf&gt;5&lt;/iConf&gt;
&lt;converted&gt;埼玉県秩父市山田&lt;/converted&gt;
&lt;candidate&gt;
&lt;address&gt;埼玉県/秩父市/山田&lt;/address&gt;
&lt;longitude&gt;139.121002&lt;/longitude&gt;
&lt;latitude&gt;36.010696&lt;/latitude&gt;
&lt;iLvl&gt;5&lt;/iLvl&gt;
&lt;/candidate&gt;
&lt;/results&gt;
</v>
      </c>
      <c r="F701" cm="1">
        <f t="array" ref="F701">INDEX(_xlfn.FILTERXML(E701,"//latitude"),1)</f>
        <v>36.010696000000003</v>
      </c>
      <c r="G701" cm="1">
        <f t="array" ref="G701">INDEX(_xlfn.FILTERXML(E701,"//longitude"),1)</f>
        <v>139.121002</v>
      </c>
      <c r="H701">
        <v>36.010696000000003</v>
      </c>
      <c r="I701">
        <v>139.121002</v>
      </c>
    </row>
    <row r="702" spans="1:9" x14ac:dyDescent="0.4">
      <c r="A702" t="s">
        <v>24</v>
      </c>
      <c r="B702" t="s">
        <v>644</v>
      </c>
      <c r="C702" t="str">
        <f t="shared" si="47"/>
        <v>栃木県日光市今市</v>
      </c>
      <c r="D702" s="2" t="str">
        <f t="shared" si="48"/>
        <v>http://geocode.csis.u-tokyo.ac.jp/cgi-bin/simple_geocode.cgi?charset=UTF8&amp;addr=%E6%A0%83%E6%9C%A8%E7%9C%8C%E6%97%A5%E5%85%89%E5%B8%82%E4%BB%8A%E5%B8%82</v>
      </c>
      <c r="E702" t="str">
        <f t="shared" si="49"/>
        <v xml:space="preserve">&lt;?xml version="1.0" encoding="UTF-8" ?&gt;
&lt;results&gt;
&lt;query&gt;栃木県日光市今市&lt;/query&gt;
&lt;geodetic&gt;wgs1984&lt;/geodetic&gt;
&lt;iConf&gt;5&lt;/iConf&gt;
&lt;converted&gt;栃木県日光市今市&lt;/converted&gt;
&lt;candidate&gt;
&lt;address&gt;栃木県/日光市/今市&lt;/address&gt;
&lt;longitude&gt;139.699020&lt;/longitude&gt;
&lt;latitude&gt;36.728233&lt;/latitude&gt;
&lt;iLvl&gt;5&lt;/iLvl&gt;
&lt;/candidate&gt;
&lt;/results&gt;
</v>
      </c>
      <c r="F702" cm="1">
        <f t="array" ref="F702">INDEX(_xlfn.FILTERXML(E702,"//latitude"),1)</f>
        <v>36.728233000000003</v>
      </c>
      <c r="G702" cm="1">
        <f t="array" ref="G702">INDEX(_xlfn.FILTERXML(E702,"//longitude"),1)</f>
        <v>139.69901999999999</v>
      </c>
      <c r="H702">
        <v>36.728233000000003</v>
      </c>
      <c r="I702">
        <v>139.69901999999999</v>
      </c>
    </row>
    <row r="703" spans="1:9" x14ac:dyDescent="0.4">
      <c r="A703" t="s">
        <v>11</v>
      </c>
      <c r="B703" t="s">
        <v>579</v>
      </c>
      <c r="C703" t="str">
        <f t="shared" si="47"/>
        <v>大阪府守口市外島町</v>
      </c>
      <c r="D703" s="2" t="str">
        <f t="shared" si="48"/>
        <v>http://geocode.csis.u-tokyo.ac.jp/cgi-bin/simple_geocode.cgi?charset=UTF8&amp;addr=%E5%A4%A7%E9%98%AA%E5%BA%9C%E5%AE%88%E5%8F%A3%E5%B8%82%E5%A4%96%E5%B3%B6%E7%94%BA</v>
      </c>
      <c r="E703" t="str">
        <f t="shared" si="49"/>
        <v xml:space="preserve">&lt;?xml version="1.0" encoding="UTF-8" ?&gt;
&lt;results&gt;
&lt;query&gt;大阪府守口市外島町&lt;/query&gt;
&lt;geodetic&gt;wgs1984&lt;/geodetic&gt;
&lt;iConf&gt;5&lt;/iConf&gt;
&lt;converted&gt;大阪府守口市外島町&lt;/converted&gt;
&lt;candidate&gt;
&lt;address&gt;大阪府/守口市/外島町&lt;/address&gt;
&lt;longitude&gt;135.561401&lt;/longitude&gt;
&lt;latitude&gt;34.743149&lt;/latitude&gt;
&lt;iLvl&gt;5&lt;/iLvl&gt;
&lt;/candidate&gt;
&lt;/results&gt;
</v>
      </c>
      <c r="F703" cm="1">
        <f t="array" ref="F703">INDEX(_xlfn.FILTERXML(E703,"//latitude"),1)</f>
        <v>34.743149000000003</v>
      </c>
      <c r="G703" cm="1">
        <f t="array" ref="G703">INDEX(_xlfn.FILTERXML(E703,"//longitude"),1)</f>
        <v>135.56140099999999</v>
      </c>
      <c r="H703">
        <v>34.743149000000003</v>
      </c>
      <c r="I703">
        <v>135.56140099999999</v>
      </c>
    </row>
    <row r="704" spans="1:9" x14ac:dyDescent="0.4">
      <c r="A704" t="s">
        <v>48</v>
      </c>
      <c r="B704" t="s">
        <v>645</v>
      </c>
      <c r="C704" t="str">
        <f t="shared" si="47"/>
        <v>石川県金沢市大手町</v>
      </c>
      <c r="D704" s="2" t="str">
        <f t="shared" si="48"/>
        <v>http://geocode.csis.u-tokyo.ac.jp/cgi-bin/simple_geocode.cgi?charset=UTF8&amp;addr=%E7%9F%B3%E5%B7%9D%E7%9C%8C%E9%87%91%E6%B2%A2%E5%B8%82%E5%A4%A7%E6%89%8B%E7%94%BA</v>
      </c>
      <c r="E704" t="str">
        <f t="shared" si="49"/>
        <v xml:space="preserve">&lt;?xml version="1.0" encoding="UTF-8" ?&gt;
&lt;results&gt;
&lt;query&gt;石川県金沢市大手町&lt;/query&gt;
&lt;geodetic&gt;wgs1984&lt;/geodetic&gt;
&lt;iConf&gt;5&lt;/iConf&gt;
&lt;converted&gt;石川県金沢市大手町&lt;/converted&gt;
&lt;candidate&gt;
&lt;address&gt;石川県/金沢市/大手町&lt;/address&gt;
&lt;longitude&gt;136.662521&lt;/longitude&gt;
&lt;latitude&gt;36.568584&lt;/latitude&gt;
&lt;iLvl&gt;5&lt;/iLvl&gt;
&lt;/candidate&gt;
&lt;/results&gt;
</v>
      </c>
      <c r="F704" cm="1">
        <f t="array" ref="F704">INDEX(_xlfn.FILTERXML(E704,"//latitude"),1)</f>
        <v>36.568584000000001</v>
      </c>
      <c r="G704" cm="1">
        <f t="array" ref="G704">INDEX(_xlfn.FILTERXML(E704,"//longitude"),1)</f>
        <v>136.662521</v>
      </c>
      <c r="H704">
        <v>36.568584000000001</v>
      </c>
      <c r="I704">
        <v>136.662521</v>
      </c>
    </row>
    <row r="705" spans="1:9" x14ac:dyDescent="0.4">
      <c r="A705" t="s">
        <v>11</v>
      </c>
      <c r="B705" t="s">
        <v>137</v>
      </c>
      <c r="C705" t="str">
        <f t="shared" si="47"/>
        <v>大阪府吹田市</v>
      </c>
      <c r="D705" s="2" t="str">
        <f t="shared" si="48"/>
        <v>http://geocode.csis.u-tokyo.ac.jp/cgi-bin/simple_geocode.cgi?charset=UTF8&amp;addr=%E5%A4%A7%E9%98%AA%E5%BA%9C%E5%90%B9%E7%94%B0%E5%B8%82</v>
      </c>
      <c r="E705" t="str">
        <f t="shared" si="4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705" cm="1">
        <f t="array" ref="F705">INDEX(_xlfn.FILTERXML(E705,"//latitude"),1)</f>
        <v>34.759402999999999</v>
      </c>
      <c r="G705" cm="1">
        <f t="array" ref="G705">INDEX(_xlfn.FILTERXML(E705,"//longitude"),1)</f>
        <v>135.51679999999999</v>
      </c>
      <c r="H705">
        <v>34.759402999999999</v>
      </c>
      <c r="I705">
        <v>135.51679999999999</v>
      </c>
    </row>
    <row r="706" spans="1:9" x14ac:dyDescent="0.4">
      <c r="A706" t="s">
        <v>21</v>
      </c>
      <c r="B706" t="s">
        <v>646</v>
      </c>
      <c r="C706" t="str">
        <f t="shared" si="47"/>
        <v>福岡県うきは市吉井町新治</v>
      </c>
      <c r="D706" s="2" t="str">
        <f t="shared" si="48"/>
        <v>http://geocode.csis.u-tokyo.ac.jp/cgi-bin/simple_geocode.cgi?charset=UTF8&amp;addr=%E7%A6%8F%E5%B2%A1%E7%9C%8C%E3%81%86%E3%81%8D%E3%81%AF%E5%B8%82%E5%90%89%E4%BA%95%E7%94%BA%E6%96%B0%E6%B2%BB</v>
      </c>
      <c r="E706" t="str">
        <f t="shared" si="49"/>
        <v xml:space="preserve">&lt;?xml version="1.0" encoding="UTF-8" ?&gt;
&lt;results&gt;
&lt;query&gt;福岡県うきは市吉井町新治&lt;/query&gt;
&lt;geodetic&gt;wgs1984&lt;/geodetic&gt;
&lt;iConf&gt;5&lt;/iConf&gt;
&lt;converted&gt;福岡県うきは市吉井町新治&lt;/converted&gt;
&lt;candidate&gt;
&lt;address&gt;福岡県/うきは市/吉井町新治&lt;/address&gt;
&lt;longitude&gt;130.749939&lt;/longitude&gt;
&lt;latitude&gt;33.351410&lt;/latitude&gt;
&lt;iLvl&gt;5&lt;/iLvl&gt;
&lt;/candidate&gt;
&lt;/results&gt;
</v>
      </c>
      <c r="F706" cm="1">
        <f t="array" ref="F706">INDEX(_xlfn.FILTERXML(E706,"//latitude"),1)</f>
        <v>33.351410000000001</v>
      </c>
      <c r="G706" cm="1">
        <f t="array" ref="G706">INDEX(_xlfn.FILTERXML(E706,"//longitude"),1)</f>
        <v>130.74993900000001</v>
      </c>
      <c r="H706">
        <v>33.351410000000001</v>
      </c>
      <c r="I706">
        <v>130.74993900000001</v>
      </c>
    </row>
    <row r="707" spans="1:9" x14ac:dyDescent="0.4">
      <c r="A707" t="s">
        <v>10</v>
      </c>
      <c r="B707" t="s">
        <v>229</v>
      </c>
      <c r="C707" t="str">
        <f t="shared" ref="C707:C718" si="50">+A707&amp;B707</f>
        <v>神奈川県横浜市港北区新羽町</v>
      </c>
      <c r="D707" s="2" t="str">
        <f t="shared" si="48"/>
        <v>http://geocode.csis.u-tokyo.ac.jp/cgi-bin/simple_geocode.cgi?charset=UTF8&amp;addr=%E7%A5%9E%E5%A5%88%E5%B7%9D%E7%9C%8C%E6%A8%AA%E6%B5%9C%E5%B8%82%E6%B8%AF%E5%8C%97%E5%8C%BA%E6%96%B0%E7%BE%BD%E7%94%BA</v>
      </c>
      <c r="E707" t="str">
        <f t="shared" si="49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707" cm="1">
        <f t="array" ref="F707">INDEX(_xlfn.FILTERXML(E707,"//latitude"),1)</f>
        <v>35.527622000000001</v>
      </c>
      <c r="G707" cm="1">
        <f t="array" ref="G707">INDEX(_xlfn.FILTERXML(E707,"//longitude"),1)</f>
        <v>139.60934399999999</v>
      </c>
      <c r="H707">
        <v>35.527622000000001</v>
      </c>
      <c r="I707">
        <v>139.60934399999999</v>
      </c>
    </row>
    <row r="708" spans="1:9" x14ac:dyDescent="0.4">
      <c r="A708" t="s">
        <v>9</v>
      </c>
      <c r="B708" t="s">
        <v>248</v>
      </c>
      <c r="C708" t="str">
        <f t="shared" si="50"/>
        <v>東京都八王子市中野町</v>
      </c>
      <c r="D708" s="2" t="str">
        <f t="shared" si="48"/>
        <v>http://geocode.csis.u-tokyo.ac.jp/cgi-bin/simple_geocode.cgi?charset=UTF8&amp;addr=%E6%9D%B1%E4%BA%AC%E9%83%BD%E5%85%AB%E7%8E%8B%E5%AD%90%E5%B8%82%E4%B8%AD%E9%87%8E%E7%94%BA</v>
      </c>
      <c r="E708" t="str">
        <f t="shared" si="49"/>
        <v xml:space="preserve">&lt;?xml version="1.0" encoding="UTF-8" ?&gt;
&lt;results&gt;
&lt;query&gt;東京都八王子市中野町&lt;/query&gt;
&lt;geodetic&gt;wgs1984&lt;/geodetic&gt;
&lt;iConf&gt;5&lt;/iConf&gt;
&lt;converted&gt;東京都八王子市中野町&lt;/converted&gt;
&lt;candidate&gt;
&lt;address&gt;東京都/八王子市/中野町&lt;/address&gt;
&lt;longitude&gt;139.320480&lt;/longitude&gt;
&lt;latitude&gt;35.680599&lt;/latitude&gt;
&lt;iLvl&gt;5&lt;/iLvl&gt;
&lt;/candidate&gt;
&lt;/results&gt;
</v>
      </c>
      <c r="F708" cm="1">
        <f t="array" ref="F708">INDEX(_xlfn.FILTERXML(E708,"//latitude"),1)</f>
        <v>35.680599000000001</v>
      </c>
      <c r="G708" cm="1">
        <f t="array" ref="G708">INDEX(_xlfn.FILTERXML(E708,"//longitude"),1)</f>
        <v>139.32048</v>
      </c>
      <c r="H708">
        <v>35.680599000000001</v>
      </c>
      <c r="I708">
        <v>139.32048</v>
      </c>
    </row>
    <row r="709" spans="1:9" x14ac:dyDescent="0.4">
      <c r="A709" t="s">
        <v>13</v>
      </c>
      <c r="B709" t="s">
        <v>647</v>
      </c>
      <c r="C709" t="str">
        <f t="shared" si="50"/>
        <v>埼玉県さいたま市宮原町</v>
      </c>
      <c r="D709" s="2" t="str">
        <f t="shared" si="48"/>
        <v>http://geocode.csis.u-tokyo.ac.jp/cgi-bin/simple_geocode.cgi?charset=UTF8&amp;addr=%E5%9F%BC%E7%8E%89%E7%9C%8C%E3%81%95%E3%81%84%E3%81%9F%E3%81%BE%E5%B8%82%E5%AE%AE%E5%8E%9F%E7%94%BA</v>
      </c>
      <c r="E709" t="str">
        <f t="shared" si="49"/>
        <v xml:space="preserve">&lt;?xml version="1.0" encoding="UTF-8" ?&gt;
&lt;results&gt;
&lt;query&gt;埼玉県さいたま市宮原町&lt;/query&gt;
&lt;geodetic&gt;wgs1984&lt;/geodetic&gt;
&lt;iConf&gt;5&lt;/iConf&gt;
&lt;converted&gt;埼玉県さいたま市宮原町&lt;/converted&gt;
&lt;candidate&gt;
&lt;address&gt;埼玉県/さいたま市/宮原町&lt;/address&gt;
&lt;longitude&gt;139.620193&lt;/longitude&gt;
&lt;latitude&gt;35.936043&lt;/latitude&gt;
&lt;iLvl&gt;0&lt;/iLvl&gt;
&lt;/candidate&gt;
&lt;/results&gt;
</v>
      </c>
      <c r="F709" cm="1">
        <f t="array" ref="F709">INDEX(_xlfn.FILTERXML(E709,"//latitude"),1)</f>
        <v>35.936042999999998</v>
      </c>
      <c r="G709" cm="1">
        <f t="array" ref="G709">INDEX(_xlfn.FILTERXML(E709,"//longitude"),1)</f>
        <v>139.620193</v>
      </c>
      <c r="H709">
        <v>35.936042999999998</v>
      </c>
      <c r="I709">
        <v>139.620193</v>
      </c>
    </row>
    <row r="710" spans="1:9" x14ac:dyDescent="0.4">
      <c r="A710" t="s">
        <v>15</v>
      </c>
      <c r="B710" t="s">
        <v>648</v>
      </c>
      <c r="C710" t="str">
        <f t="shared" si="50"/>
        <v>兵庫県姫路市広畑区吾妻町</v>
      </c>
      <c r="D710" s="2" t="str">
        <f t="shared" si="48"/>
        <v>http://geocode.csis.u-tokyo.ac.jp/cgi-bin/simple_geocode.cgi?charset=UTF8&amp;addr=%E5%85%B5%E5%BA%AB%E7%9C%8C%E5%A7%AB%E8%B7%AF%E5%B8%82%E5%BA%83%E7%95%91%E5%8C%BA%E5%90%BE%E5%A6%BB%E7%94%BA</v>
      </c>
      <c r="E710" t="str">
        <f t="shared" si="49"/>
        <v xml:space="preserve">&lt;?xml version="1.0" encoding="UTF-8" ?&gt;
&lt;results&gt;
&lt;query&gt;兵庫県姫路市広畑区吾妻町&lt;/query&gt;
&lt;geodetic&gt;wgs1984&lt;/geodetic&gt;
&lt;iConf&gt;5&lt;/iConf&gt;
&lt;converted&gt;兵庫県姫路市広畑区吾妻町&lt;/converted&gt;
&lt;candidate&gt;
&lt;address&gt;兵庫県/姫路市/広畑区吾妻町&lt;/address&gt;
&lt;longitude&gt;134.626663&lt;/longitude&gt;
&lt;latitude&gt;34.796532&lt;/latitude&gt;
&lt;iLvl&gt;5&lt;/iLvl&gt;
&lt;/candidate&gt;
&lt;/results&gt;
</v>
      </c>
      <c r="F710" cm="1">
        <f t="array" ref="F710">INDEX(_xlfn.FILTERXML(E710,"//latitude"),1)</f>
        <v>34.796531999999999</v>
      </c>
      <c r="G710" cm="1">
        <f t="array" ref="G710">INDEX(_xlfn.FILTERXML(E710,"//longitude"),1)</f>
        <v>134.62666300000001</v>
      </c>
      <c r="H710">
        <v>34.796531999999999</v>
      </c>
      <c r="I710">
        <v>134.62666300000001</v>
      </c>
    </row>
    <row r="711" spans="1:9" x14ac:dyDescent="0.4">
      <c r="A711" t="s">
        <v>17</v>
      </c>
      <c r="B711" t="s">
        <v>649</v>
      </c>
      <c r="C711" t="str">
        <f t="shared" si="50"/>
        <v>愛知県瀬戸市窯町</v>
      </c>
      <c r="D711" s="2" t="str">
        <f t="shared" si="48"/>
        <v>http://geocode.csis.u-tokyo.ac.jp/cgi-bin/simple_geocode.cgi?charset=UTF8&amp;addr=%E6%84%9B%E7%9F%A5%E7%9C%8C%E7%80%AC%E6%88%B8%E5%B8%82%E7%AA%AF%E7%94%BA</v>
      </c>
      <c r="E711" t="str">
        <f t="shared" si="49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711" cm="1">
        <f t="array" ref="F711">INDEX(_xlfn.FILTERXML(E711,"//latitude"),1)</f>
        <v>35.240887000000001</v>
      </c>
      <c r="G711" cm="1">
        <f t="array" ref="G711">INDEX(_xlfn.FILTERXML(E711,"//longitude"),1)</f>
        <v>137.12818899999999</v>
      </c>
      <c r="H711">
        <v>35.240887000000001</v>
      </c>
      <c r="I711">
        <v>137.12818899999999</v>
      </c>
    </row>
    <row r="712" spans="1:9" x14ac:dyDescent="0.4">
      <c r="A712" t="s">
        <v>37</v>
      </c>
      <c r="B712" t="s">
        <v>650</v>
      </c>
      <c r="C712" t="str">
        <f t="shared" si="50"/>
        <v>三重県松阪市末広町一丁目</v>
      </c>
      <c r="D712" s="2" t="str">
        <f t="shared" si="48"/>
        <v>http://geocode.csis.u-tokyo.ac.jp/cgi-bin/simple_geocode.cgi?charset=UTF8&amp;addr=%E4%B8%89%E9%87%8D%E7%9C%8C%E6%9D%BE%E9%98%AA%E5%B8%82%E6%9C%AB%E5%BA%83%E7%94%BA%E4%B8%80%E4%B8%81%E7%9B%AE</v>
      </c>
      <c r="E712" t="str">
        <f t="shared" si="49"/>
        <v xml:space="preserve">&lt;?xml version="1.0" encoding="UTF-8" ?&gt;
&lt;results&gt;
&lt;query&gt;三重県松阪市末広町一丁目&lt;/query&gt;
&lt;geodetic&gt;wgs1984&lt;/geodetic&gt;
&lt;iConf&gt;5&lt;/iConf&gt;
&lt;converted&gt;三重県松阪市末広町一丁目&lt;/converted&gt;
&lt;candidate&gt;
&lt;address&gt;三重県/松阪市/末広町/一丁目&lt;/address&gt;
&lt;longitude&gt;136.539612&lt;/longitude&gt;
&lt;latitude&gt;34.575199&lt;/latitude&gt;
&lt;iLvl&gt;6&lt;/iLvl&gt;
&lt;/candidate&gt;
&lt;/results&gt;
</v>
      </c>
      <c r="F712" cm="1">
        <f t="array" ref="F712">INDEX(_xlfn.FILTERXML(E712,"//latitude"),1)</f>
        <v>34.575198999999998</v>
      </c>
      <c r="G712" cm="1">
        <f t="array" ref="G712">INDEX(_xlfn.FILTERXML(E712,"//longitude"),1)</f>
        <v>136.53961200000001</v>
      </c>
      <c r="H712">
        <v>34.575198999999998</v>
      </c>
      <c r="I712">
        <v>136.53961200000001</v>
      </c>
    </row>
    <row r="713" spans="1:9" x14ac:dyDescent="0.4">
      <c r="A713" t="s">
        <v>118</v>
      </c>
      <c r="B713" t="s">
        <v>651</v>
      </c>
      <c r="C713" t="str">
        <f t="shared" si="50"/>
        <v>北海道恵庭市</v>
      </c>
      <c r="D713" s="2" t="str">
        <f t="shared" si="48"/>
        <v>http://geocode.csis.u-tokyo.ac.jp/cgi-bin/simple_geocode.cgi?charset=UTF8&amp;addr=%E5%8C%97%E6%B5%B7%E9%81%93%E6%81%B5%E5%BA%AD%E5%B8%82</v>
      </c>
      <c r="E713" t="str">
        <f t="shared" si="49"/>
        <v xml:space="preserve">&lt;?xml version="1.0" encoding="UTF-8" ?&gt;
&lt;results&gt;
&lt;query&gt;北海道恵庭市&lt;/query&gt;
&lt;geodetic&gt;wgs1984&lt;/geodetic&gt;
&lt;iConf&gt;5&lt;/iConf&gt;
&lt;converted&gt;北海道恵庭市&lt;/converted&gt;
&lt;candidate&gt;
&lt;address&gt;北海道/恵庭市&lt;/address&gt;
&lt;longitude&gt;141.577805&lt;/longitude&gt;
&lt;latitude&gt;42.882591&lt;/latitude&gt;
&lt;iLvl&gt;3&lt;/iLvl&gt;
&lt;/candidate&gt;
&lt;/results&gt;
</v>
      </c>
      <c r="F713" cm="1">
        <f t="array" ref="F713">INDEX(_xlfn.FILTERXML(E713,"//latitude"),1)</f>
        <v>42.882590999999998</v>
      </c>
      <c r="G713" cm="1">
        <f t="array" ref="G713">INDEX(_xlfn.FILTERXML(E713,"//longitude"),1)</f>
        <v>141.57780500000001</v>
      </c>
      <c r="H713">
        <v>42.882590999999998</v>
      </c>
      <c r="I713">
        <v>141.57780500000001</v>
      </c>
    </row>
    <row r="714" spans="1:9" x14ac:dyDescent="0.4">
      <c r="A714" t="s">
        <v>11</v>
      </c>
      <c r="B714" t="s">
        <v>652</v>
      </c>
      <c r="C714" t="str">
        <f t="shared" si="50"/>
        <v>大阪府堺市北区長曾根町</v>
      </c>
      <c r="D714" s="2" t="str">
        <f t="shared" si="48"/>
        <v>http://geocode.csis.u-tokyo.ac.jp/cgi-bin/simple_geocode.cgi?charset=UTF8&amp;addr=%E5%A4%A7%E9%98%AA%E5%BA%9C%E5%A0%BA%E5%B8%82%E5%8C%97%E5%8C%BA%E9%95%B7%E6%9B%BE%E6%A0%B9%E7%94%BA</v>
      </c>
      <c r="E714" t="str">
        <f t="shared" si="49"/>
        <v xml:space="preserve">&lt;?xml version="1.0" encoding="UTF-8" ?&gt;
&lt;results&gt;
&lt;query&gt;大阪府堺市北区長曾根町&lt;/query&gt;
&lt;geodetic&gt;wgs1984&lt;/geodetic&gt;
&lt;iConf&gt;5&lt;/iConf&gt;
&lt;converted&gt;大阪府堺市北区長曾根町&lt;/converted&gt;
&lt;candidate&gt;
&lt;address&gt;大阪府/堺市/北区/長曽根町&lt;/address&gt;
&lt;longitude&gt;135.508591&lt;/longitude&gt;
&lt;latitude&gt;34.565018&lt;/latitude&gt;
&lt;iLvl&gt;5&lt;/iLvl&gt;
&lt;/candidate&gt;
&lt;/results&gt;
</v>
      </c>
      <c r="F714" cm="1">
        <f t="array" ref="F714">INDEX(_xlfn.FILTERXML(E714,"//latitude"),1)</f>
        <v>34.565018000000002</v>
      </c>
      <c r="G714" cm="1">
        <f t="array" ref="G714">INDEX(_xlfn.FILTERXML(E714,"//longitude"),1)</f>
        <v>135.508591</v>
      </c>
      <c r="H714">
        <v>34.565018000000002</v>
      </c>
      <c r="I714">
        <v>135.508591</v>
      </c>
    </row>
    <row r="715" spans="1:9" x14ac:dyDescent="0.4">
      <c r="A715" t="s">
        <v>9</v>
      </c>
      <c r="B715" t="s">
        <v>653</v>
      </c>
      <c r="C715" t="str">
        <f t="shared" si="50"/>
        <v>東京都世田谷区太子堂</v>
      </c>
      <c r="D715" s="2" t="str">
        <f t="shared" si="48"/>
        <v>http://geocode.csis.u-tokyo.ac.jp/cgi-bin/simple_geocode.cgi?charset=UTF8&amp;addr=%E6%9D%B1%E4%BA%AC%E9%83%BD%E4%B8%96%E7%94%B0%E8%B0%B7%E5%8C%BA%E5%A4%AA%E5%AD%90%E5%A0%82</v>
      </c>
      <c r="E715" t="str">
        <f t="shared" si="49"/>
        <v xml:space="preserve">&lt;?xml version="1.0" encoding="UTF-8" ?&gt;
&lt;results&gt;
&lt;query&gt;東京都世田谷区太子堂&lt;/query&gt;
&lt;geodetic&gt;wgs1984&lt;/geodetic&gt;
&lt;iConf&gt;5&lt;/iConf&gt;
&lt;converted&gt;東京都世田谷区太子堂&lt;/converted&gt;
&lt;candidate&gt;
&lt;address&gt;東京都/世田谷区/太子堂&lt;/address&gt;
&lt;longitude&gt;139.675827&lt;/longitude&gt;
&lt;latitude&gt;35.644234&lt;/latitude&gt;
&lt;iLvl&gt;5&lt;/iLvl&gt;
&lt;/candidate&gt;
&lt;/results&gt;
</v>
      </c>
      <c r="F715" cm="1">
        <f t="array" ref="F715">INDEX(_xlfn.FILTERXML(E715,"//latitude"),1)</f>
        <v>35.644233999999997</v>
      </c>
      <c r="G715" cm="1">
        <f t="array" ref="G715">INDEX(_xlfn.FILTERXML(E715,"//longitude"),1)</f>
        <v>139.675827</v>
      </c>
      <c r="H715">
        <v>35.644233999999997</v>
      </c>
      <c r="I715">
        <v>139.675827</v>
      </c>
    </row>
    <row r="716" spans="1:9" x14ac:dyDescent="0.4">
      <c r="A716" t="s">
        <v>17</v>
      </c>
      <c r="B716" t="s">
        <v>654</v>
      </c>
      <c r="C716" t="str">
        <f t="shared" si="50"/>
        <v>愛知県名古屋市天白区</v>
      </c>
      <c r="D716" s="2" t="str">
        <f t="shared" si="48"/>
        <v>http://geocode.csis.u-tokyo.ac.jp/cgi-bin/simple_geocode.cgi?charset=UTF8&amp;addr=%E6%84%9B%E7%9F%A5%E7%9C%8C%E5%90%8D%E5%8F%A4%E5%B1%8B%E5%B8%82%E5%A4%A9%E7%99%BD%E5%8C%BA</v>
      </c>
      <c r="E716" t="str">
        <f t="shared" si="49"/>
        <v xml:space="preserve">&lt;?xml version="1.0" encoding="UTF-8" ?&gt;
&lt;results&gt;
&lt;query&gt;愛知県名古屋市天白区&lt;/query&gt;
&lt;geodetic&gt;wgs1984&lt;/geodetic&gt;
&lt;iConf&gt;5&lt;/iConf&gt;
&lt;converted&gt;愛知県名古屋市天白区&lt;/converted&gt;
&lt;candidate&gt;
&lt;address&gt;愛知県/名古屋市/天白区&lt;/address&gt;
&lt;longitude&gt;136.975052&lt;/longitude&gt;
&lt;latitude&gt;35.122742&lt;/latitude&gt;
&lt;iLvl&gt;4&lt;/iLvl&gt;
&lt;/candidate&gt;
&lt;/results&gt;
</v>
      </c>
      <c r="F716" cm="1">
        <f t="array" ref="F716">INDEX(_xlfn.FILTERXML(E716,"//latitude"),1)</f>
        <v>35.122742000000002</v>
      </c>
      <c r="G716" cm="1">
        <f t="array" ref="G716">INDEX(_xlfn.FILTERXML(E716,"//longitude"),1)</f>
        <v>136.97505200000001</v>
      </c>
      <c r="H716">
        <v>35.122742000000002</v>
      </c>
      <c r="I716">
        <v>136.97505200000001</v>
      </c>
    </row>
    <row r="717" spans="1:9" x14ac:dyDescent="0.4">
      <c r="A717" t="s">
        <v>17</v>
      </c>
      <c r="B717" t="s">
        <v>655</v>
      </c>
      <c r="C717" t="str">
        <f t="shared" si="50"/>
        <v>愛知県瀬戸市西松山町</v>
      </c>
      <c r="D717" s="2" t="str">
        <f t="shared" si="48"/>
        <v>http://geocode.csis.u-tokyo.ac.jp/cgi-bin/simple_geocode.cgi?charset=UTF8&amp;addr=%E6%84%9B%E7%9F%A5%E7%9C%8C%E7%80%AC%E6%88%B8%E5%B8%82%E8%A5%BF%E6%9D%BE%E5%B1%B1%E7%94%BA</v>
      </c>
      <c r="E717" t="str">
        <f t="shared" si="49"/>
        <v xml:space="preserve">&lt;?xml version="1.0" encoding="UTF-8" ?&gt;
&lt;results&gt;
&lt;query&gt;愛知県瀬戸市西松山町&lt;/query&gt;
&lt;geodetic&gt;wgs1984&lt;/geodetic&gt;
&lt;iConf&gt;5&lt;/iConf&gt;
&lt;converted&gt;愛知県瀬戸市西松山町&lt;/converted&gt;
&lt;candidate&gt;
&lt;address&gt;愛知県/瀬戸市/西松山町&lt;/address&gt;
&lt;longitude&gt;137.077881&lt;/longitude&gt;
&lt;latitude&gt;35.229172&lt;/latitude&gt;
&lt;iLvl&gt;5&lt;/iLvl&gt;
&lt;/candidate&gt;
&lt;/results&gt;
</v>
      </c>
      <c r="F717" cm="1">
        <f t="array" ref="F717">INDEX(_xlfn.FILTERXML(E717,"//latitude"),1)</f>
        <v>35.229171999999998</v>
      </c>
      <c r="G717" cm="1">
        <f t="array" ref="G717">INDEX(_xlfn.FILTERXML(E717,"//longitude"),1)</f>
        <v>137.07788099999999</v>
      </c>
      <c r="H717">
        <v>35.229171999999998</v>
      </c>
      <c r="I717">
        <v>137.07788099999999</v>
      </c>
    </row>
    <row r="718" spans="1:9" x14ac:dyDescent="0.4">
      <c r="A718" t="s">
        <v>11</v>
      </c>
      <c r="B718" t="s">
        <v>656</v>
      </c>
      <c r="C718" t="str">
        <f t="shared" si="50"/>
        <v>大阪府枚方市</v>
      </c>
      <c r="D718" s="2" t="str">
        <f t="shared" si="48"/>
        <v>http://geocode.csis.u-tokyo.ac.jp/cgi-bin/simple_geocode.cgi?charset=UTF8&amp;addr=%E5%A4%A7%E9%98%AA%E5%BA%9C%E6%9E%9A%E6%96%B9%E5%B8%82</v>
      </c>
      <c r="E718" t="str">
        <f t="shared" si="49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718" cm="1">
        <f t="array" ref="F718">INDEX(_xlfn.FILTERXML(E718,"//latitude"),1)</f>
        <v>34.814464999999998</v>
      </c>
      <c r="G718" cm="1">
        <f t="array" ref="G718">INDEX(_xlfn.FILTERXML(E718,"//longitude"),1)</f>
        <v>135.65063499999999</v>
      </c>
      <c r="H718">
        <v>34.814464999999998</v>
      </c>
      <c r="I718">
        <v>135.65063499999999</v>
      </c>
    </row>
    <row r="719" spans="1:9" x14ac:dyDescent="0.4">
      <c r="A719" t="s">
        <v>9</v>
      </c>
      <c r="B719" t="s">
        <v>657</v>
      </c>
      <c r="C719" t="str">
        <f t="shared" ref="C719:C782" si="51">+A719&amp;B719</f>
        <v>東京都八王子市</v>
      </c>
      <c r="D719" s="2" t="str">
        <f t="shared" ref="D719:D782" si="52" xml:space="preserve"> "http://geocode.csis.u-tokyo.ac.jp/cgi-bin/simple_geocode.cgi?charset=UTF8&amp;addr=" &amp; _xlfn.ENCODEURL(C719)</f>
        <v>http://geocode.csis.u-tokyo.ac.jp/cgi-bin/simple_geocode.cgi?charset=UTF8&amp;addr=%E6%9D%B1%E4%BA%AC%E9%83%BD%E5%85%AB%E7%8E%8B%E5%AD%90%E5%B8%82</v>
      </c>
      <c r="E719" t="str">
        <f t="shared" ref="E719:E782" si="53" xml:space="preserve"> _xlfn.WEBSERVICE(D719)</f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719" cm="1">
        <f t="array" ref="F719">INDEX(_xlfn.FILTERXML(E719,"//latitude"),1)</f>
        <v>35.666569000000003</v>
      </c>
      <c r="G719" cm="1">
        <f t="array" ref="G719">INDEX(_xlfn.FILTERXML(E719,"//longitude"),1)</f>
        <v>139.31607099999999</v>
      </c>
      <c r="H719">
        <v>35.666569000000003</v>
      </c>
      <c r="I719">
        <v>139.31607099999999</v>
      </c>
    </row>
    <row r="720" spans="1:9" x14ac:dyDescent="0.4">
      <c r="A720" t="s">
        <v>115</v>
      </c>
      <c r="B720" t="s">
        <v>658</v>
      </c>
      <c r="C720" t="str">
        <f t="shared" si="51"/>
        <v>長崎県東彼杵郡波佐見町</v>
      </c>
      <c r="D720" s="2" t="str">
        <f t="shared" si="52"/>
        <v>http://geocode.csis.u-tokyo.ac.jp/cgi-bin/simple_geocode.cgi?charset=UTF8&amp;addr=%E9%95%B7%E5%B4%8E%E7%9C%8C%E6%9D%B1%E5%BD%BC%E6%9D%B5%E9%83%A1%E6%B3%A2%E4%BD%90%E8%A6%8B%E7%94%BA</v>
      </c>
      <c r="E720" t="str">
        <f t="shared" si="53"/>
        <v xml:space="preserve">&lt;?xml version="1.0" encoding="UTF-8" ?&gt;
&lt;results&gt;
&lt;query&gt;長崎県東彼杵郡波佐見町&lt;/query&gt;
&lt;geodetic&gt;wgs1984&lt;/geodetic&gt;
&lt;iConf&gt;5&lt;/iConf&gt;
&lt;converted&gt;長崎県東彼杵郡波佐見町&lt;/converted&gt;
&lt;candidate&gt;
&lt;address&gt;長崎県/東彼杵郡/波佐見町&lt;/address&gt;
&lt;longitude&gt;129.895554&lt;/longitude&gt;
&lt;latitude&gt;33.137890&lt;/latitude&gt;
&lt;iLvl&gt;3&lt;/iLvl&gt;
&lt;/candidate&gt;
&lt;/results&gt;
</v>
      </c>
      <c r="F720" cm="1">
        <f t="array" ref="F720">INDEX(_xlfn.FILTERXML(E720,"//latitude"),1)</f>
        <v>33.137889999999999</v>
      </c>
      <c r="G720" cm="1">
        <f t="array" ref="G720">INDEX(_xlfn.FILTERXML(E720,"//longitude"),1)</f>
        <v>129.895554</v>
      </c>
      <c r="H720">
        <v>33.137889999999999</v>
      </c>
      <c r="I720">
        <v>129.895554</v>
      </c>
    </row>
    <row r="721" spans="1:9" x14ac:dyDescent="0.4">
      <c r="A721" t="s">
        <v>144</v>
      </c>
      <c r="B721" t="s">
        <v>234</v>
      </c>
      <c r="C721" t="str">
        <f t="shared" si="51"/>
        <v>秋田県北秋田市鷹巣字下家下</v>
      </c>
      <c r="D721" s="2" t="str">
        <f t="shared" si="52"/>
        <v>http://geocode.csis.u-tokyo.ac.jp/cgi-bin/simple_geocode.cgi?charset=UTF8&amp;addr=%E7%A7%8B%E7%94%B0%E7%9C%8C%E5%8C%97%E7%A7%8B%E7%94%B0%E5%B8%82%E9%B7%B9%E5%B7%A3%E5%AD%97%E4%B8%8B%E5%AE%B6%E4%B8%8B</v>
      </c>
      <c r="E721" t="str">
        <f t="shared" si="53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721" cm="1">
        <f t="array" ref="F721">INDEX(_xlfn.FILTERXML(E721,"//latitude"),1)</f>
        <v>40.230370000000001</v>
      </c>
      <c r="G721" cm="1">
        <f t="array" ref="G721">INDEX(_xlfn.FILTERXML(E721,"//longitude"),1)</f>
        <v>140.35974100000001</v>
      </c>
      <c r="H721">
        <v>40.230370000000001</v>
      </c>
      <c r="I721">
        <v>140.35974100000001</v>
      </c>
    </row>
    <row r="722" spans="1:9" x14ac:dyDescent="0.4">
      <c r="A722" t="s">
        <v>9</v>
      </c>
      <c r="B722" t="s">
        <v>659</v>
      </c>
      <c r="C722" t="str">
        <f t="shared" si="51"/>
        <v>東京都世田谷区弦巻</v>
      </c>
      <c r="D722" s="2" t="str">
        <f t="shared" si="52"/>
        <v>http://geocode.csis.u-tokyo.ac.jp/cgi-bin/simple_geocode.cgi?charset=UTF8&amp;addr=%E6%9D%B1%E4%BA%AC%E9%83%BD%E4%B8%96%E7%94%B0%E8%B0%B7%E5%8C%BA%E5%BC%A6%E5%B7%BB</v>
      </c>
      <c r="E722" t="str">
        <f t="shared" si="53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722" cm="1">
        <f t="array" ref="F722">INDEX(_xlfn.FILTERXML(E722,"//latitude"),1)</f>
        <v>35.638038999999999</v>
      </c>
      <c r="G722" cm="1">
        <f t="array" ref="G722">INDEX(_xlfn.FILTERXML(E722,"//longitude"),1)</f>
        <v>139.651962</v>
      </c>
      <c r="H722">
        <v>35.638038999999999</v>
      </c>
      <c r="I722">
        <v>139.651962</v>
      </c>
    </row>
    <row r="723" spans="1:9" x14ac:dyDescent="0.4">
      <c r="A723" t="s">
        <v>9</v>
      </c>
      <c r="B723" t="s">
        <v>252</v>
      </c>
      <c r="C723" t="str">
        <f t="shared" si="51"/>
        <v>東京都渋谷区代々木</v>
      </c>
      <c r="D723" s="2" t="str">
        <f t="shared" si="52"/>
        <v>http://geocode.csis.u-tokyo.ac.jp/cgi-bin/simple_geocode.cgi?charset=UTF8&amp;addr=%E6%9D%B1%E4%BA%AC%E9%83%BD%E6%B8%8B%E8%B0%B7%E5%8C%BA%E4%BB%A3%E3%80%85%E6%9C%A8</v>
      </c>
      <c r="E723" t="str">
        <f t="shared" si="53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723" cm="1">
        <f t="array" ref="F723">INDEX(_xlfn.FILTERXML(E723,"//latitude"),1)</f>
        <v>35.681885000000001</v>
      </c>
      <c r="G723" cm="1">
        <f t="array" ref="G723">INDEX(_xlfn.FILTERXML(E723,"//longitude"),1)</f>
        <v>139.70004299999999</v>
      </c>
      <c r="H723">
        <v>35.681885000000001</v>
      </c>
      <c r="I723">
        <v>139.70004299999999</v>
      </c>
    </row>
    <row r="724" spans="1:9" x14ac:dyDescent="0.4">
      <c r="A724" t="s">
        <v>29</v>
      </c>
      <c r="B724" t="s">
        <v>660</v>
      </c>
      <c r="C724" t="str">
        <f t="shared" si="51"/>
        <v>静岡県浜松市中央区西伊場町</v>
      </c>
      <c r="D724" s="2" t="str">
        <f t="shared" si="52"/>
        <v>http://geocode.csis.u-tokyo.ac.jp/cgi-bin/simple_geocode.cgi?charset=UTF8&amp;addr=%E9%9D%99%E5%B2%A1%E7%9C%8C%E6%B5%9C%E6%9D%BE%E5%B8%82%E4%B8%AD%E5%A4%AE%E5%8C%BA%E8%A5%BF%E4%BC%8A%E5%A0%B4%E7%94%BA</v>
      </c>
      <c r="E724" t="str">
        <f t="shared" si="53"/>
        <v xml:space="preserve">&lt;?xml version="1.0" encoding="UTF-8" ?&gt;
&lt;results&gt;
&lt;query&gt;静岡県浜松市中央区西伊場町&lt;/query&gt;
&lt;geodetic&gt;wgs1984&lt;/geodetic&gt;
&lt;iConf&gt;5&lt;/iConf&gt;
&lt;converted&gt;静岡県浜松市中央区西伊場町&lt;/converted&gt;
&lt;candidate&gt;
&lt;address&gt;静岡県/浜松市/中央区/西伊場町&lt;/address&gt;
&lt;longitude&gt;137.704849&lt;/longitude&gt;
&lt;latitude&gt;34.700233&lt;/latitude&gt;
&lt;iLvl&gt;5&lt;/iLvl&gt;
&lt;/candidate&gt;
&lt;/results&gt;
</v>
      </c>
      <c r="F724" cm="1">
        <f t="array" ref="F724">INDEX(_xlfn.FILTERXML(E724,"//latitude"),1)</f>
        <v>34.700232999999997</v>
      </c>
      <c r="G724" cm="1">
        <f t="array" ref="G724">INDEX(_xlfn.FILTERXML(E724,"//longitude"),1)</f>
        <v>137.704849</v>
      </c>
      <c r="H724">
        <v>34.700232999999997</v>
      </c>
      <c r="I724">
        <v>137.704849</v>
      </c>
    </row>
    <row r="725" spans="1:9" x14ac:dyDescent="0.4">
      <c r="A725" t="s">
        <v>10</v>
      </c>
      <c r="B725" t="s">
        <v>484</v>
      </c>
      <c r="C725" t="str">
        <f t="shared" si="51"/>
        <v>神奈川県横須賀市</v>
      </c>
      <c r="D725" s="2" t="str">
        <f t="shared" si="52"/>
        <v>http://geocode.csis.u-tokyo.ac.jp/cgi-bin/simple_geocode.cgi?charset=UTF8&amp;addr=%E7%A5%9E%E5%A5%88%E5%B7%9D%E7%9C%8C%E6%A8%AA%E9%A0%88%E8%B3%80%E5%B8%82</v>
      </c>
      <c r="E725" t="str">
        <f t="shared" si="53"/>
        <v xml:space="preserve">&lt;?xml version="1.0" encoding="UTF-8" ?&gt;
&lt;results&gt;
&lt;query&gt;神奈川県横須賀市&lt;/query&gt;
&lt;geodetic&gt;wgs1984&lt;/geodetic&gt;
&lt;iConf&gt;5&lt;/iConf&gt;
&lt;converted&gt;神奈川県横須賀市&lt;/converted&gt;
&lt;candidate&gt;
&lt;address&gt;神奈川県/横須賀市&lt;/address&gt;
&lt;longitude&gt;139.672287&lt;/longitude&gt;
&lt;latitude&gt;35.281277&lt;/latitude&gt;
&lt;iLvl&gt;3&lt;/iLvl&gt;
&lt;/candidate&gt;
&lt;/results&gt;
</v>
      </c>
      <c r="F725" cm="1">
        <f t="array" ref="F725">INDEX(_xlfn.FILTERXML(E725,"//latitude"),1)</f>
        <v>35.281277000000003</v>
      </c>
      <c r="G725" cm="1">
        <f t="array" ref="G725">INDEX(_xlfn.FILTERXML(E725,"//longitude"),1)</f>
        <v>139.67228700000001</v>
      </c>
      <c r="H725">
        <v>35.281277000000003</v>
      </c>
      <c r="I725">
        <v>139.67228700000001</v>
      </c>
    </row>
    <row r="726" spans="1:9" x14ac:dyDescent="0.4">
      <c r="A726" t="s">
        <v>9</v>
      </c>
      <c r="B726" t="s">
        <v>661</v>
      </c>
      <c r="C726" t="str">
        <f t="shared" si="51"/>
        <v>東京都品川区西五反田</v>
      </c>
      <c r="D726" s="2" t="str">
        <f t="shared" si="52"/>
        <v>http://geocode.csis.u-tokyo.ac.jp/cgi-bin/simple_geocode.cgi?charset=UTF8&amp;addr=%E6%9D%B1%E4%BA%AC%E9%83%BD%E5%93%81%E5%B7%9D%E5%8C%BA%E8%A5%BF%E4%BA%94%E5%8F%8D%E7%94%B0</v>
      </c>
      <c r="E726" t="str">
        <f t="shared" si="53"/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726" cm="1">
        <f t="array" ref="F726">INDEX(_xlfn.FILTERXML(E726,"//latitude"),1)</f>
        <v>35.624512000000003</v>
      </c>
      <c r="G726" cm="1">
        <f t="array" ref="G726">INDEX(_xlfn.FILTERXML(E726,"//longitude"),1)</f>
        <v>139.723129</v>
      </c>
      <c r="H726">
        <v>35.624512000000003</v>
      </c>
      <c r="I726">
        <v>139.723129</v>
      </c>
    </row>
    <row r="727" spans="1:9" x14ac:dyDescent="0.4">
      <c r="A727" t="s">
        <v>9</v>
      </c>
      <c r="B727" t="s">
        <v>662</v>
      </c>
      <c r="C727" t="str">
        <f t="shared" si="51"/>
        <v>東京都世田谷区深</v>
      </c>
      <c r="D727" s="2" t="str">
        <f t="shared" si="52"/>
        <v>http://geocode.csis.u-tokyo.ac.jp/cgi-bin/simple_geocode.cgi?charset=UTF8&amp;addr=%E6%9D%B1%E4%BA%AC%E9%83%BD%E4%B8%96%E7%94%B0%E8%B0%B7%E5%8C%BA%E6%B7%B1</v>
      </c>
      <c r="E727" t="str">
        <f t="shared" si="53"/>
        <v xml:space="preserve">&lt;?xml version="1.0" encoding="UTF-8" ?&gt;
&lt;results&gt;
&lt;query&gt;東京都世田谷区深&lt;/query&gt;
&lt;geodetic&gt;wgs1984&lt;/geodetic&gt;
&lt;iConf&gt;5&lt;/iConf&gt;
&lt;converted&gt;東京都世田谷区深&lt;/converted&gt;
&lt;candidate&gt;
&lt;address&gt;東京都/世田谷区/深沢&lt;/address&gt;
&lt;longitude&gt;139.662445&lt;/longitude&gt;
&lt;latitude&gt;35.616959&lt;/latitude&gt;
&lt;iLvl&gt;5&lt;/iLvl&gt;
&lt;/candidate&gt;
&lt;/results&gt;
</v>
      </c>
      <c r="F727" cm="1">
        <f t="array" ref="F727">INDEX(_xlfn.FILTERXML(E727,"//latitude"),1)</f>
        <v>35.616959000000001</v>
      </c>
      <c r="G727" cm="1">
        <f t="array" ref="G727">INDEX(_xlfn.FILTERXML(E727,"//longitude"),1)</f>
        <v>139.66244499999999</v>
      </c>
      <c r="H727">
        <v>35.616959000000001</v>
      </c>
      <c r="I727">
        <v>139.66244499999999</v>
      </c>
    </row>
    <row r="728" spans="1:9" x14ac:dyDescent="0.4">
      <c r="A728" t="s">
        <v>13</v>
      </c>
      <c r="B728" t="s">
        <v>663</v>
      </c>
      <c r="C728" t="str">
        <f t="shared" si="51"/>
        <v>埼玉県川口市</v>
      </c>
      <c r="D728" s="2" t="str">
        <f t="shared" si="52"/>
        <v>http://geocode.csis.u-tokyo.ac.jp/cgi-bin/simple_geocode.cgi?charset=UTF8&amp;addr=%E5%9F%BC%E7%8E%89%E7%9C%8C%E5%B7%9D%E5%8F%A3%E5%B8%82</v>
      </c>
      <c r="E728" t="str">
        <f t="shared" si="53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728" cm="1">
        <f t="array" ref="F728">INDEX(_xlfn.FILTERXML(E728,"//latitude"),1)</f>
        <v>35.807738999999998</v>
      </c>
      <c r="G728" cm="1">
        <f t="array" ref="G728">INDEX(_xlfn.FILTERXML(E728,"//longitude"),1)</f>
        <v>139.72416699999999</v>
      </c>
      <c r="H728">
        <v>35.807738999999998</v>
      </c>
      <c r="I728">
        <v>139.72416699999999</v>
      </c>
    </row>
    <row r="729" spans="1:9" x14ac:dyDescent="0.4">
      <c r="A729" t="s">
        <v>11</v>
      </c>
      <c r="B729" t="s">
        <v>664</v>
      </c>
      <c r="C729" t="str">
        <f t="shared" si="51"/>
        <v>大阪府豊中市東豊中町</v>
      </c>
      <c r="D729" s="2" t="str">
        <f t="shared" si="52"/>
        <v>http://geocode.csis.u-tokyo.ac.jp/cgi-bin/simple_geocode.cgi?charset=UTF8&amp;addr=%E5%A4%A7%E9%98%AA%E5%BA%9C%E8%B1%8A%E4%B8%AD%E5%B8%82%E6%9D%B1%E8%B1%8A%E4%B8%AD%E7%94%BA</v>
      </c>
      <c r="E729" t="str">
        <f t="shared" si="53"/>
        <v xml:space="preserve">&lt;?xml version="1.0" encoding="UTF-8" ?&gt;
&lt;results&gt;
&lt;query&gt;大阪府豊中市東豊中町&lt;/query&gt;
&lt;geodetic&gt;wgs1984&lt;/geodetic&gt;
&lt;iConf&gt;5&lt;/iConf&gt;
&lt;converted&gt;大阪府豊中市東豊中町&lt;/converted&gt;
&lt;candidate&gt;
&lt;address&gt;大阪府/豊中市/東豊中町&lt;/address&gt;
&lt;longitude&gt;135.478714&lt;/longitude&gt;
&lt;latitude&gt;34.800533&lt;/latitude&gt;
&lt;iLvl&gt;5&lt;/iLvl&gt;
&lt;/candidate&gt;
&lt;/results&gt;
</v>
      </c>
      <c r="F729" cm="1">
        <f t="array" ref="F729">INDEX(_xlfn.FILTERXML(E729,"//latitude"),1)</f>
        <v>34.800533000000001</v>
      </c>
      <c r="G729" cm="1">
        <f t="array" ref="G729">INDEX(_xlfn.FILTERXML(E729,"//longitude"),1)</f>
        <v>135.478714</v>
      </c>
      <c r="H729">
        <v>34.800533000000001</v>
      </c>
      <c r="I729">
        <v>135.478714</v>
      </c>
    </row>
    <row r="730" spans="1:9" x14ac:dyDescent="0.4">
      <c r="A730" t="s">
        <v>9</v>
      </c>
      <c r="B730" t="s">
        <v>331</v>
      </c>
      <c r="C730" t="str">
        <f t="shared" si="51"/>
        <v>東京都調布市</v>
      </c>
      <c r="D730" s="2" t="str">
        <f t="shared" si="52"/>
        <v>http://geocode.csis.u-tokyo.ac.jp/cgi-bin/simple_geocode.cgi?charset=UTF8&amp;addr=%E6%9D%B1%E4%BA%AC%E9%83%BD%E8%AA%BF%E5%B8%83%E5%B8%82</v>
      </c>
      <c r="E730" t="str">
        <f t="shared" si="53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730" cm="1">
        <f t="array" ref="F730">INDEX(_xlfn.FILTERXML(E730,"//latitude"),1)</f>
        <v>35.650627</v>
      </c>
      <c r="G730" cm="1">
        <f t="array" ref="G730">INDEX(_xlfn.FILTERXML(E730,"//longitude"),1)</f>
        <v>139.54068000000001</v>
      </c>
      <c r="H730">
        <v>35.650627</v>
      </c>
      <c r="I730">
        <v>139.54068000000001</v>
      </c>
    </row>
    <row r="731" spans="1:9" x14ac:dyDescent="0.4">
      <c r="A731" t="s">
        <v>9</v>
      </c>
      <c r="B731" t="s">
        <v>45</v>
      </c>
      <c r="C731" t="str">
        <f t="shared" si="51"/>
        <v>東京都品川区</v>
      </c>
      <c r="D731" s="2" t="str">
        <f t="shared" si="52"/>
        <v>http://geocode.csis.u-tokyo.ac.jp/cgi-bin/simple_geocode.cgi?charset=UTF8&amp;addr=%E6%9D%B1%E4%BA%AC%E9%83%BD%E5%93%81%E5%B7%9D%E5%8C%BA</v>
      </c>
      <c r="E731" t="str">
        <f t="shared" si="53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731" cm="1">
        <f t="array" ref="F731">INDEX(_xlfn.FILTERXML(E731,"//latitude"),1)</f>
        <v>35.609065999999999</v>
      </c>
      <c r="G731" cm="1">
        <f t="array" ref="G731">INDEX(_xlfn.FILTERXML(E731,"//longitude"),1)</f>
        <v>139.730255</v>
      </c>
      <c r="H731">
        <v>35.609065999999999</v>
      </c>
      <c r="I731">
        <v>139.730255</v>
      </c>
    </row>
    <row r="732" spans="1:9" x14ac:dyDescent="0.4">
      <c r="A732" t="s">
        <v>18</v>
      </c>
      <c r="B732" t="s">
        <v>156</v>
      </c>
      <c r="C732" t="str">
        <f t="shared" si="51"/>
        <v>千葉県松戸市</v>
      </c>
      <c r="D732" s="2" t="str">
        <f t="shared" si="52"/>
        <v>http://geocode.csis.u-tokyo.ac.jp/cgi-bin/simple_geocode.cgi?charset=UTF8&amp;addr=%E5%8D%83%E8%91%89%E7%9C%8C%E6%9D%BE%E6%88%B8%E5%B8%82</v>
      </c>
      <c r="E732" t="str">
        <f t="shared" si="53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732" cm="1">
        <f t="array" ref="F732">INDEX(_xlfn.FILTERXML(E732,"//latitude"),1)</f>
        <v>35.787650999999997</v>
      </c>
      <c r="G732" cm="1">
        <f t="array" ref="G732">INDEX(_xlfn.FILTERXML(E732,"//longitude"),1)</f>
        <v>139.90322900000001</v>
      </c>
      <c r="H732">
        <v>35.787650999999997</v>
      </c>
      <c r="I732">
        <v>139.90322900000001</v>
      </c>
    </row>
    <row r="733" spans="1:9" x14ac:dyDescent="0.4">
      <c r="A733" t="s">
        <v>14</v>
      </c>
      <c r="B733" t="s">
        <v>665</v>
      </c>
      <c r="C733" t="str">
        <f t="shared" si="51"/>
        <v>広島県広島市安佐南区川内</v>
      </c>
      <c r="D733" s="2" t="str">
        <f t="shared" si="52"/>
        <v>http://geocode.csis.u-tokyo.ac.jp/cgi-bin/simple_geocode.cgi?charset=UTF8&amp;addr=%E5%BA%83%E5%B3%B6%E7%9C%8C%E5%BA%83%E5%B3%B6%E5%B8%82%E5%AE%89%E4%BD%90%E5%8D%97%E5%8C%BA%E5%B7%9D%E5%86%85</v>
      </c>
      <c r="E733" t="str">
        <f t="shared" si="53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733" cm="1">
        <f t="array" ref="F733">INDEX(_xlfn.FILTERXML(E733,"//latitude"),1)</f>
        <v>34.458027000000001</v>
      </c>
      <c r="G733" cm="1">
        <f t="array" ref="G733">INDEX(_xlfn.FILTERXML(E733,"//longitude"),1)</f>
        <v>132.48445100000001</v>
      </c>
      <c r="H733">
        <v>34.458027000000001</v>
      </c>
      <c r="I733">
        <v>132.48445100000001</v>
      </c>
    </row>
    <row r="734" spans="1:9" x14ac:dyDescent="0.4">
      <c r="A734" t="s">
        <v>28</v>
      </c>
      <c r="B734" t="s">
        <v>666</v>
      </c>
      <c r="C734" t="str">
        <f t="shared" si="51"/>
        <v>沖縄県豊見城市</v>
      </c>
      <c r="D734" s="2" t="str">
        <f t="shared" si="52"/>
        <v>http://geocode.csis.u-tokyo.ac.jp/cgi-bin/simple_geocode.cgi?charset=UTF8&amp;addr=%E6%B2%96%E7%B8%84%E7%9C%8C%E8%B1%8A%E8%A6%8B%E5%9F%8E%E5%B8%82</v>
      </c>
      <c r="E734" t="str">
        <f t="shared" si="53"/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734" cm="1">
        <f t="array" ref="F734">INDEX(_xlfn.FILTERXML(E734,"//latitude"),1)</f>
        <v>26.161026</v>
      </c>
      <c r="G734" cm="1">
        <f t="array" ref="G734">INDEX(_xlfn.FILTERXML(E734,"//longitude"),1)</f>
        <v>127.66888400000001</v>
      </c>
      <c r="H734">
        <v>26.161026</v>
      </c>
      <c r="I734">
        <v>127.66888400000001</v>
      </c>
    </row>
    <row r="735" spans="1:9" x14ac:dyDescent="0.4">
      <c r="A735" t="s">
        <v>11</v>
      </c>
      <c r="B735" t="s">
        <v>236</v>
      </c>
      <c r="C735" t="str">
        <f t="shared" si="51"/>
        <v>大阪府吹田市桃山台</v>
      </c>
      <c r="D735" s="2" t="str">
        <f t="shared" si="52"/>
        <v>http://geocode.csis.u-tokyo.ac.jp/cgi-bin/simple_geocode.cgi?charset=UTF8&amp;addr=%E5%A4%A7%E9%98%AA%E5%BA%9C%E5%90%B9%E7%94%B0%E5%B8%82%E6%A1%83%E5%B1%B1%E5%8F%B0</v>
      </c>
      <c r="E735" t="str">
        <f t="shared" si="53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735" cm="1">
        <f t="array" ref="F735">INDEX(_xlfn.FILTERXML(E735,"//latitude"),1)</f>
        <v>34.791454000000002</v>
      </c>
      <c r="G735" cm="1">
        <f t="array" ref="G735">INDEX(_xlfn.FILTERXML(E735,"//longitude"),1)</f>
        <v>135.505402</v>
      </c>
      <c r="H735" s="3">
        <v>34.791454000000002</v>
      </c>
      <c r="I735" s="3">
        <v>135.505402</v>
      </c>
    </row>
    <row r="736" spans="1:9" x14ac:dyDescent="0.4">
      <c r="A736" t="s">
        <v>17</v>
      </c>
      <c r="B736" t="s">
        <v>667</v>
      </c>
      <c r="C736" t="str">
        <f t="shared" si="51"/>
        <v>愛知県名古屋市東区徳川町</v>
      </c>
      <c r="D736" s="2" t="str">
        <f t="shared" si="52"/>
        <v>http://geocode.csis.u-tokyo.ac.jp/cgi-bin/simple_geocode.cgi?charset=UTF8&amp;addr=%E6%84%9B%E7%9F%A5%E7%9C%8C%E5%90%8D%E5%8F%A4%E5%B1%8B%E5%B8%82%E6%9D%B1%E5%8C%BA%E5%BE%B3%E5%B7%9D%E7%94%BA</v>
      </c>
      <c r="E736" t="str">
        <f t="shared" si="53"/>
        <v xml:space="preserve">&lt;?xml version="1.0" encoding="UTF-8" ?&gt;
&lt;results&gt;
&lt;query&gt;愛知県名古屋市東区徳川町&lt;/query&gt;
&lt;geodetic&gt;wgs1984&lt;/geodetic&gt;
&lt;iConf&gt;5&lt;/iConf&gt;
&lt;converted&gt;愛知県名古屋市東区徳川町&lt;/converted&gt;
&lt;candidate&gt;
&lt;address&gt;愛知県/名古屋市/東区/徳川町&lt;/address&gt;
&lt;longitude&gt;136.932159&lt;/longitude&gt;
&lt;latitude&gt;35.184521&lt;/latitude&gt;
&lt;iLvl&gt;5&lt;/iLvl&gt;
&lt;/candidate&gt;
&lt;/results&gt;
</v>
      </c>
      <c r="F736" cm="1">
        <f t="array" ref="F736">INDEX(_xlfn.FILTERXML(E736,"//latitude"),1)</f>
        <v>35.184520999999997</v>
      </c>
      <c r="G736" cm="1">
        <f t="array" ref="G736">INDEX(_xlfn.FILTERXML(E736,"//longitude"),1)</f>
        <v>136.93215900000001</v>
      </c>
      <c r="H736">
        <v>35.184520999999997</v>
      </c>
      <c r="I736">
        <v>136.93215900000001</v>
      </c>
    </row>
    <row r="737" spans="1:9" x14ac:dyDescent="0.4">
      <c r="A737" t="s">
        <v>48</v>
      </c>
      <c r="B737" t="s">
        <v>268</v>
      </c>
      <c r="C737" t="str">
        <f t="shared" si="51"/>
        <v>石川県能美市福島町</v>
      </c>
      <c r="D737" s="2" t="str">
        <f t="shared" si="52"/>
        <v>http://geocode.csis.u-tokyo.ac.jp/cgi-bin/simple_geocode.cgi?charset=UTF8&amp;addr=%E7%9F%B3%E5%B7%9D%E7%9C%8C%E8%83%BD%E7%BE%8E%E5%B8%82%E7%A6%8F%E5%B3%B6%E7%94%BA</v>
      </c>
      <c r="E737" t="str">
        <f t="shared" si="53"/>
        <v xml:space="preserve">&lt;?xml version="1.0" encoding="UTF-8" ?&gt;
&lt;results&gt;
&lt;query&gt;石川県能美市福島町&lt;/query&gt;
&lt;geodetic&gt;wgs1984&lt;/geodetic&gt;
&lt;iConf&gt;5&lt;/iConf&gt;
&lt;converted&gt;石川県能美市福島町&lt;/converted&gt;
&lt;candidate&gt;
&lt;address&gt;石川県/能美市/福島町&lt;/address&gt;
&lt;longitude&gt;136.470688&lt;/longitude&gt;
&lt;latitude&gt;36.458138&lt;/latitude&gt;
&lt;iLvl&gt;5&lt;/iLvl&gt;
&lt;/candidate&gt;
&lt;/results&gt;
</v>
      </c>
      <c r="F737" cm="1">
        <f t="array" ref="F737">INDEX(_xlfn.FILTERXML(E737,"//latitude"),1)</f>
        <v>36.458137999999998</v>
      </c>
      <c r="G737" cm="1">
        <f t="array" ref="G737">INDEX(_xlfn.FILTERXML(E737,"//longitude"),1)</f>
        <v>136.470688</v>
      </c>
      <c r="H737">
        <v>36.458137999999998</v>
      </c>
      <c r="I737">
        <v>136.470688</v>
      </c>
    </row>
    <row r="738" spans="1:9" x14ac:dyDescent="0.4">
      <c r="A738" t="s">
        <v>34</v>
      </c>
      <c r="B738" t="s">
        <v>119</v>
      </c>
      <c r="C738" t="str">
        <f t="shared" si="51"/>
        <v>岐阜県揖斐郡池田町下東野</v>
      </c>
      <c r="D738" s="2" t="str">
        <f t="shared" si="52"/>
        <v>http://geocode.csis.u-tokyo.ac.jp/cgi-bin/simple_geocode.cgi?charset=UTF8&amp;addr=%E5%B2%90%E9%98%9C%E7%9C%8C%E6%8F%96%E6%96%90%E9%83%A1%E6%B1%A0%E7%94%B0%E7%94%BA%E4%B8%8B%E6%9D%B1%E9%87%8E</v>
      </c>
      <c r="E738" t="str">
        <f t="shared" si="53"/>
        <v xml:space="preserve">&lt;?xml version="1.0" encoding="UTF-8" ?&gt;
&lt;results&gt;
&lt;query&gt;岐阜県揖斐郡池田町下東野&lt;/query&gt;
&lt;geodetic&gt;wgs1984&lt;/geodetic&gt;
&lt;iConf&gt;5&lt;/iConf&gt;
&lt;converted&gt;岐阜県揖斐郡池田町下東野&lt;/converted&gt;
&lt;candidate&gt;
&lt;address&gt;岐阜県/揖斐郡/池田町/下東野&lt;/address&gt;
&lt;longitude&gt;136.582870&lt;/longitude&gt;
&lt;latitude&gt;35.442852&lt;/latitude&gt;
&lt;iLvl&gt;5&lt;/iLvl&gt;
&lt;/candidate&gt;
&lt;/results&gt;
</v>
      </c>
      <c r="F738" cm="1">
        <f t="array" ref="F738">INDEX(_xlfn.FILTERXML(E738,"//latitude"),1)</f>
        <v>35.442852000000002</v>
      </c>
      <c r="G738" cm="1">
        <f t="array" ref="G738">INDEX(_xlfn.FILTERXML(E738,"//longitude"),1)</f>
        <v>136.58287000000001</v>
      </c>
      <c r="H738">
        <v>35.442852000000002</v>
      </c>
      <c r="I738">
        <v>136.58287000000001</v>
      </c>
    </row>
    <row r="739" spans="1:9" x14ac:dyDescent="0.4">
      <c r="A739" t="s">
        <v>16</v>
      </c>
      <c r="B739" t="s">
        <v>269</v>
      </c>
      <c r="C739" t="str">
        <f t="shared" si="51"/>
        <v>長野県松本市笹賀</v>
      </c>
      <c r="D739" s="2" t="str">
        <f t="shared" si="52"/>
        <v>http://geocode.csis.u-tokyo.ac.jp/cgi-bin/simple_geocode.cgi?charset=UTF8&amp;addr=%E9%95%B7%E9%87%8E%E7%9C%8C%E6%9D%BE%E6%9C%AC%E5%B8%82%E7%AC%B9%E8%B3%80</v>
      </c>
      <c r="E739" t="str">
        <f t="shared" si="53"/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739" cm="1">
        <f t="array" ref="F739">INDEX(_xlfn.FILTERXML(E739,"//latitude"),1)</f>
        <v>36.177273</v>
      </c>
      <c r="G739" cm="1">
        <f t="array" ref="G739">INDEX(_xlfn.FILTERXML(E739,"//longitude"),1)</f>
        <v>137.93632500000001</v>
      </c>
      <c r="H739">
        <v>36.177273</v>
      </c>
      <c r="I739">
        <v>137.93632500000001</v>
      </c>
    </row>
    <row r="740" spans="1:9" x14ac:dyDescent="0.4">
      <c r="A740" t="s">
        <v>11</v>
      </c>
      <c r="B740" t="s">
        <v>270</v>
      </c>
      <c r="C740" t="str">
        <f t="shared" si="51"/>
        <v>大阪府枚方市枚方元町</v>
      </c>
      <c r="D740" s="2" t="str">
        <f t="shared" si="52"/>
        <v>http://geocode.csis.u-tokyo.ac.jp/cgi-bin/simple_geocode.cgi?charset=UTF8&amp;addr=%E5%A4%A7%E9%98%AA%E5%BA%9C%E6%9E%9A%E6%96%B9%E5%B8%82%E6%9E%9A%E6%96%B9%E5%85%83%E7%94%BA</v>
      </c>
      <c r="E740" t="str">
        <f t="shared" si="53"/>
        <v xml:space="preserve">&lt;?xml version="1.0" encoding="UTF-8" ?&gt;
&lt;results&gt;
&lt;query&gt;大阪府枚方市枚方元町&lt;/query&gt;
&lt;geodetic&gt;wgs1984&lt;/geodetic&gt;
&lt;iConf&gt;5&lt;/iConf&gt;
&lt;converted&gt;大阪府枚方市枚方元町&lt;/converted&gt;
&lt;candidate&gt;
&lt;address&gt;大阪府/枚方市/枚方元町&lt;/address&gt;
&lt;longitude&gt;135.641769&lt;/longitude&gt;
&lt;latitude&gt;34.812546&lt;/latitude&gt;
&lt;iLvl&gt;5&lt;/iLvl&gt;
&lt;/candidate&gt;
&lt;/results&gt;
</v>
      </c>
      <c r="F740" cm="1">
        <f t="array" ref="F740">INDEX(_xlfn.FILTERXML(E740,"//latitude"),1)</f>
        <v>34.812545999999998</v>
      </c>
      <c r="G740" cm="1">
        <f t="array" ref="G740">INDEX(_xlfn.FILTERXML(E740,"//longitude"),1)</f>
        <v>135.64176900000001</v>
      </c>
      <c r="H740">
        <v>34.812545999999998</v>
      </c>
      <c r="I740">
        <v>135.64176900000001</v>
      </c>
    </row>
    <row r="741" spans="1:9" x14ac:dyDescent="0.4">
      <c r="A741" t="s">
        <v>15</v>
      </c>
      <c r="B741" t="s">
        <v>271</v>
      </c>
      <c r="C741" t="str">
        <f t="shared" si="51"/>
        <v>兵庫県小野市</v>
      </c>
      <c r="D741" s="2" t="str">
        <f t="shared" si="52"/>
        <v>http://geocode.csis.u-tokyo.ac.jp/cgi-bin/simple_geocode.cgi?charset=UTF8&amp;addr=%E5%85%B5%E5%BA%AB%E7%9C%8C%E5%B0%8F%E9%87%8E%E5%B8%82</v>
      </c>
      <c r="E741" t="str">
        <f t="shared" si="53"/>
        <v xml:space="preserve">&lt;?xml version="1.0" encoding="UTF-8" ?&gt;
&lt;results&gt;
&lt;query&gt;兵庫県小野市&lt;/query&gt;
&lt;geodetic&gt;wgs1984&lt;/geodetic&gt;
&lt;iConf&gt;5&lt;/iConf&gt;
&lt;converted&gt;兵庫県小野市&lt;/converted&gt;
&lt;candidate&gt;
&lt;address&gt;兵庫県/小野市&lt;/address&gt;
&lt;longitude&gt;134.931549&lt;/longitude&gt;
&lt;latitude&gt;34.853184&lt;/latitude&gt;
&lt;iLvl&gt;3&lt;/iLvl&gt;
&lt;/candidate&gt;
&lt;/results&gt;
</v>
      </c>
      <c r="F741" cm="1">
        <f t="array" ref="F741">INDEX(_xlfn.FILTERXML(E741,"//latitude"),1)</f>
        <v>34.853183999999999</v>
      </c>
      <c r="G741" cm="1">
        <f t="array" ref="G741">INDEX(_xlfn.FILTERXML(E741,"//longitude"),1)</f>
        <v>134.93154899999999</v>
      </c>
      <c r="H741">
        <v>34.853183999999999</v>
      </c>
      <c r="I741">
        <v>134.93154899999999</v>
      </c>
    </row>
    <row r="742" spans="1:9" x14ac:dyDescent="0.4">
      <c r="A742" t="s">
        <v>18</v>
      </c>
      <c r="B742" t="s">
        <v>272</v>
      </c>
      <c r="C742" t="str">
        <f t="shared" si="51"/>
        <v>千葉県大和田</v>
      </c>
      <c r="D742" s="2" t="str">
        <f t="shared" si="52"/>
        <v>http://geocode.csis.u-tokyo.ac.jp/cgi-bin/simple_geocode.cgi?charset=UTF8&amp;addr=%E5%8D%83%E8%91%89%E7%9C%8C%E5%A4%A7%E5%92%8C%E7%94%B0</v>
      </c>
      <c r="E742" t="str">
        <f t="shared" si="53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742" cm="1">
        <f t="array" ref="F742">INDEX(_xlfn.FILTERXML(E742,"//latitude"),1)</f>
        <v>35.834408000000003</v>
      </c>
      <c r="G742" cm="1">
        <f t="array" ref="G742">INDEX(_xlfn.FILTERXML(E742,"//longitude"),1)</f>
        <v>140.46289100000001</v>
      </c>
      <c r="H742">
        <v>35.834408000000003</v>
      </c>
      <c r="I742">
        <v>140.46289100000001</v>
      </c>
    </row>
    <row r="743" spans="1:9" x14ac:dyDescent="0.4">
      <c r="A743" t="s">
        <v>10</v>
      </c>
      <c r="B743" t="s">
        <v>1108</v>
      </c>
      <c r="C743" t="str">
        <f t="shared" si="51"/>
        <v>神奈川県横浜市中区海岸通</v>
      </c>
      <c r="D743" s="2" t="str">
        <f t="shared" si="52"/>
        <v>http://geocode.csis.u-tokyo.ac.jp/cgi-bin/simple_geocode.cgi?charset=UTF8&amp;addr=%E7%A5%9E%E5%A5%88%E5%B7%9D%E7%9C%8C%E6%A8%AA%E6%B5%9C%E5%B8%82%E4%B8%AD%E5%8C%BA%E6%B5%B7%E5%B2%B8%E9%80%9A</v>
      </c>
      <c r="E743" t="str">
        <f t="shared" si="53"/>
        <v xml:space="preserve">&lt;?xml version="1.0" encoding="UTF-8" ?&gt;
&lt;results&gt;
&lt;query&gt;神奈川県横浜市中区海岸通&lt;/query&gt;
&lt;geodetic&gt;wgs1984&lt;/geodetic&gt;
&lt;iConf&gt;5&lt;/iConf&gt;
&lt;converted&gt;神奈川県横浜市中区海岸通&lt;/converted&gt;
&lt;candidate&gt;
&lt;address&gt;神奈川県/横浜市/中区/海岸通&lt;/address&gt;
&lt;longitude&gt;139.646835&lt;/longitude&gt;
&lt;latitude&gt;35.450535&lt;/latitude&gt;
&lt;iLvl&gt;5&lt;/iLvl&gt;
&lt;/candidate&gt;
&lt;/results&gt;
</v>
      </c>
      <c r="F743" cm="1">
        <f t="array" ref="F743">INDEX(_xlfn.FILTERXML(E743,"//latitude"),1)</f>
        <v>35.450535000000002</v>
      </c>
      <c r="G743" cm="1">
        <f t="array" ref="G743">INDEX(_xlfn.FILTERXML(E743,"//longitude"),1)</f>
        <v>139.64683500000001</v>
      </c>
      <c r="H743">
        <v>35.450535000000002</v>
      </c>
      <c r="I743">
        <v>139.64683500000001</v>
      </c>
    </row>
    <row r="744" spans="1:9" x14ac:dyDescent="0.4">
      <c r="A744" t="s">
        <v>9</v>
      </c>
      <c r="B744" t="s">
        <v>223</v>
      </c>
      <c r="C744" t="str">
        <f t="shared" si="51"/>
        <v>東京都世田谷区</v>
      </c>
      <c r="D744" s="2" t="str">
        <f t="shared" si="52"/>
        <v>http://geocode.csis.u-tokyo.ac.jp/cgi-bin/simple_geocode.cgi?charset=UTF8&amp;addr=%E6%9D%B1%E4%BA%AC%E9%83%BD%E4%B8%96%E7%94%B0%E8%B0%B7%E5%8C%BA</v>
      </c>
      <c r="E744" t="str">
        <f t="shared" si="5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44" cm="1">
        <f t="array" ref="F744">INDEX(_xlfn.FILTERXML(E744,"//latitude"),1)</f>
        <v>35.646481000000001</v>
      </c>
      <c r="G744" cm="1">
        <f t="array" ref="G744">INDEX(_xlfn.FILTERXML(E744,"//longitude"),1)</f>
        <v>139.65321399999999</v>
      </c>
      <c r="H744">
        <v>35.646481000000001</v>
      </c>
      <c r="I744">
        <v>139.65321399999999</v>
      </c>
    </row>
    <row r="745" spans="1:9" x14ac:dyDescent="0.4">
      <c r="A745" t="s">
        <v>13</v>
      </c>
      <c r="B745" t="s">
        <v>273</v>
      </c>
      <c r="C745" t="str">
        <f t="shared" si="51"/>
        <v>埼玉県春日部市</v>
      </c>
      <c r="D745" s="2" t="str">
        <f t="shared" si="52"/>
        <v>http://geocode.csis.u-tokyo.ac.jp/cgi-bin/simple_geocode.cgi?charset=UTF8&amp;addr=%E5%9F%BC%E7%8E%89%E7%9C%8C%E6%98%A5%E6%97%A5%E9%83%A8%E5%B8%82</v>
      </c>
      <c r="E745" t="str">
        <f t="shared" si="53"/>
        <v xml:space="preserve">&lt;?xml version="1.0" encoding="UTF-8" ?&gt;
&lt;results&gt;
&lt;query&gt;埼玉県春日部市&lt;/query&gt;
&lt;geodetic&gt;wgs1984&lt;/geodetic&gt;
&lt;iConf&gt;5&lt;/iConf&gt;
&lt;converted&gt;埼玉県春日部市&lt;/converted&gt;
&lt;candidate&gt;
&lt;address&gt;埼玉県/春日部市&lt;/address&gt;
&lt;longitude&gt;139.752411&lt;/longitude&gt;
&lt;latitude&gt;35.975304&lt;/latitude&gt;
&lt;iLvl&gt;3&lt;/iLvl&gt;
&lt;/candidate&gt;
&lt;/results&gt;
</v>
      </c>
      <c r="F745" cm="1">
        <f t="array" ref="F745">INDEX(_xlfn.FILTERXML(E745,"//latitude"),1)</f>
        <v>35.975304000000001</v>
      </c>
      <c r="G745" cm="1">
        <f t="array" ref="G745">INDEX(_xlfn.FILTERXML(E745,"//longitude"),1)</f>
        <v>139.752411</v>
      </c>
      <c r="H745">
        <v>35.975304000000001</v>
      </c>
      <c r="I745">
        <v>139.752411</v>
      </c>
    </row>
    <row r="746" spans="1:9" x14ac:dyDescent="0.4">
      <c r="A746" t="s">
        <v>13</v>
      </c>
      <c r="B746" t="s">
        <v>273</v>
      </c>
      <c r="C746" t="str">
        <f t="shared" si="51"/>
        <v>埼玉県春日部市</v>
      </c>
      <c r="D746" s="2" t="str">
        <f t="shared" si="52"/>
        <v>http://geocode.csis.u-tokyo.ac.jp/cgi-bin/simple_geocode.cgi?charset=UTF8&amp;addr=%E5%9F%BC%E7%8E%89%E7%9C%8C%E6%98%A5%E6%97%A5%E9%83%A8%E5%B8%82</v>
      </c>
      <c r="E746" t="str">
        <f t="shared" si="53"/>
        <v xml:space="preserve">&lt;?xml version="1.0" encoding="UTF-8" ?&gt;
&lt;results&gt;
&lt;query&gt;埼玉県春日部市&lt;/query&gt;
&lt;geodetic&gt;wgs1984&lt;/geodetic&gt;
&lt;iConf&gt;5&lt;/iConf&gt;
&lt;converted&gt;埼玉県春日部市&lt;/converted&gt;
&lt;candidate&gt;
&lt;address&gt;埼玉県/春日部市&lt;/address&gt;
&lt;longitude&gt;139.752411&lt;/longitude&gt;
&lt;latitude&gt;35.975304&lt;/latitude&gt;
&lt;iLvl&gt;3&lt;/iLvl&gt;
&lt;/candidate&gt;
&lt;/results&gt;
</v>
      </c>
      <c r="F746" cm="1">
        <f t="array" ref="F746">INDEX(_xlfn.FILTERXML(E746,"//latitude"),1)</f>
        <v>35.975304000000001</v>
      </c>
      <c r="G746" cm="1">
        <f t="array" ref="G746">INDEX(_xlfn.FILTERXML(E746,"//longitude"),1)</f>
        <v>139.752411</v>
      </c>
      <c r="H746">
        <v>35.975304000000001</v>
      </c>
      <c r="I746">
        <v>139.752411</v>
      </c>
    </row>
    <row r="747" spans="1:9" x14ac:dyDescent="0.4">
      <c r="A747" t="s">
        <v>37</v>
      </c>
      <c r="B747" t="s">
        <v>274</v>
      </c>
      <c r="C747" t="str">
        <f t="shared" si="51"/>
        <v>三重県津市河芸町千里ケ丘</v>
      </c>
      <c r="D747" s="2" t="str">
        <f t="shared" si="52"/>
        <v>http://geocode.csis.u-tokyo.ac.jp/cgi-bin/simple_geocode.cgi?charset=UTF8&amp;addr=%E4%B8%89%E9%87%8D%E7%9C%8C%E6%B4%A5%E5%B8%82%E6%B2%B3%E8%8A%B8%E7%94%BA%E5%8D%83%E9%87%8C%E3%82%B1%E4%B8%98</v>
      </c>
      <c r="E747" t="str">
        <f t="shared" si="53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747" cm="1">
        <f t="array" ref="F747">INDEX(_xlfn.FILTERXML(E747,"//latitude"),1)</f>
        <v>34.804855000000003</v>
      </c>
      <c r="G747" cm="1">
        <f t="array" ref="G747">INDEX(_xlfn.FILTERXML(E747,"//longitude"),1)</f>
        <v>136.54585299999999</v>
      </c>
      <c r="H747">
        <v>34.804855000000003</v>
      </c>
      <c r="I747">
        <v>136.54585299999999</v>
      </c>
    </row>
    <row r="748" spans="1:9" x14ac:dyDescent="0.4">
      <c r="A748" t="s">
        <v>17</v>
      </c>
      <c r="B748" t="s">
        <v>275</v>
      </c>
      <c r="C748" t="str">
        <f t="shared" si="51"/>
        <v>愛知県名古屋市東区前浪町</v>
      </c>
      <c r="D748" s="2" t="str">
        <f t="shared" si="52"/>
        <v>http://geocode.csis.u-tokyo.ac.jp/cgi-bin/simple_geocode.cgi?charset=UTF8&amp;addr=%E6%84%9B%E7%9F%A5%E7%9C%8C%E5%90%8D%E5%8F%A4%E5%B1%8B%E5%B8%82%E6%9D%B1%E5%8C%BA%E5%89%8D%E6%B5%AA%E7%94%BA</v>
      </c>
      <c r="E748" t="str">
        <f t="shared" si="53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748" cm="1">
        <f t="array" ref="F748">INDEX(_xlfn.FILTERXML(E748,"//latitude"),1)</f>
        <v>35.185032</v>
      </c>
      <c r="G748" cm="1">
        <f t="array" ref="G748">INDEX(_xlfn.FILTERXML(E748,"//longitude"),1)</f>
        <v>136.95257599999999</v>
      </c>
      <c r="H748">
        <v>35.185032</v>
      </c>
      <c r="I748">
        <v>136.95257599999999</v>
      </c>
    </row>
    <row r="749" spans="1:9" x14ac:dyDescent="0.4">
      <c r="A749" t="s">
        <v>16</v>
      </c>
      <c r="B749" t="s">
        <v>276</v>
      </c>
      <c r="C749" t="str">
        <f t="shared" si="51"/>
        <v>長野県飯田市丸山町</v>
      </c>
      <c r="D749" s="2" t="str">
        <f t="shared" si="52"/>
        <v>http://geocode.csis.u-tokyo.ac.jp/cgi-bin/simple_geocode.cgi?charset=UTF8&amp;addr=%E9%95%B7%E9%87%8E%E7%9C%8C%E9%A3%AF%E7%94%B0%E5%B8%82%E4%B8%B8%E5%B1%B1%E7%94%BA</v>
      </c>
      <c r="E749" t="str">
        <f t="shared" si="53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749" cm="1">
        <f t="array" ref="F749">INDEX(_xlfn.FILTERXML(E749,"//latitude"),1)</f>
        <v>35.523266</v>
      </c>
      <c r="G749" cm="1">
        <f t="array" ref="G749">INDEX(_xlfn.FILTERXML(E749,"//longitude"),1)</f>
        <v>137.81454500000001</v>
      </c>
      <c r="H749">
        <v>35.523266</v>
      </c>
      <c r="I749">
        <v>137.81454500000001</v>
      </c>
    </row>
    <row r="750" spans="1:9" x14ac:dyDescent="0.4">
      <c r="A750" t="s">
        <v>25</v>
      </c>
      <c r="B750" t="s">
        <v>277</v>
      </c>
      <c r="C750" t="str">
        <f t="shared" si="51"/>
        <v>香川県観音寺市柞田町甲</v>
      </c>
      <c r="D750" s="2" t="str">
        <f t="shared" si="52"/>
        <v>http://geocode.csis.u-tokyo.ac.jp/cgi-bin/simple_geocode.cgi?charset=UTF8&amp;addr=%E9%A6%99%E5%B7%9D%E7%9C%8C%E8%A6%B3%E9%9F%B3%E5%AF%BA%E5%B8%82%E6%9F%9E%E7%94%B0%E7%94%BA%E7%94%B2</v>
      </c>
      <c r="E750" t="str">
        <f t="shared" si="53"/>
        <v xml:space="preserve">&lt;?xml version="1.0" encoding="UTF-8" ?&gt;
&lt;results&gt;
&lt;query&gt;香川県観音寺市柞田町甲&lt;/query&gt;
&lt;geodetic&gt;wgs1984&lt;/geodetic&gt;
&lt;iConf&gt;4&lt;/iConf&gt;
&lt;converted&gt;香川県観音寺市柞田町甲&lt;/converted&gt;
&lt;candidate&gt;
&lt;address&gt;香川県/観音寺市/柞田町/甲１２３７番地&lt;/address&gt;
&lt;longitude&gt;133.665024&lt;/longitude&gt;
&lt;latitude&gt;34.119408&lt;/latitude&gt;
&lt;iLvl&gt;7&lt;/iLvl&gt;
&lt;/candidate&gt;
&lt;candidate&gt;
&lt;address&gt;香川県/観音寺市/柞田町/甲１４２５番地&lt;/address&gt;
&lt;longitude&gt;133.662186&lt;/longitude&gt;
&lt;latitude&gt;34.113583&lt;/latitude&gt;
&lt;iLvl&gt;7&lt;/iLvl&gt;
&lt;/candidate&gt;
&lt;/results&gt;
</v>
      </c>
      <c r="F750" cm="1">
        <f t="array" ref="F750">INDEX(_xlfn.FILTERXML(E750,"//latitude"),1)</f>
        <v>34.119408</v>
      </c>
      <c r="G750" cm="1">
        <f t="array" ref="G750">INDEX(_xlfn.FILTERXML(E750,"//longitude"),1)</f>
        <v>133.66502399999999</v>
      </c>
      <c r="H750">
        <v>34.119408</v>
      </c>
      <c r="I750">
        <v>133.66502399999999</v>
      </c>
    </row>
    <row r="751" spans="1:9" x14ac:dyDescent="0.4">
      <c r="A751" t="s">
        <v>37</v>
      </c>
      <c r="B751" t="s">
        <v>278</v>
      </c>
      <c r="C751" t="str">
        <f t="shared" si="51"/>
        <v>三重県伊勢市宮後</v>
      </c>
      <c r="D751" s="2" t="str">
        <f t="shared" si="52"/>
        <v>http://geocode.csis.u-tokyo.ac.jp/cgi-bin/simple_geocode.cgi?charset=UTF8&amp;addr=%E4%B8%89%E9%87%8D%E7%9C%8C%E4%BC%8A%E5%8B%A2%E5%B8%82%E5%AE%AE%E5%BE%8C</v>
      </c>
      <c r="E751" t="str">
        <f t="shared" si="53"/>
        <v xml:space="preserve">&lt;?xml version="1.0" encoding="UTF-8" ?&gt;
&lt;results&gt;
&lt;query&gt;三重県伊勢市宮後&lt;/query&gt;
&lt;geodetic&gt;wgs1984&lt;/geodetic&gt;
&lt;iConf&gt;5&lt;/iConf&gt;
&lt;converted&gt;三重県伊勢市宮後&lt;/converted&gt;
&lt;candidate&gt;
&lt;address&gt;三重県/伊勢市/宮後&lt;/address&gt;
&lt;longitude&gt;136.706985&lt;/longitude&gt;
&lt;latitude&gt;34.491867&lt;/latitude&gt;
&lt;iLvl&gt;5&lt;/iLvl&gt;
&lt;/candidate&gt;
&lt;/results&gt;
</v>
      </c>
      <c r="F751" cm="1">
        <f t="array" ref="F751">INDEX(_xlfn.FILTERXML(E751,"//latitude"),1)</f>
        <v>34.491866999999999</v>
      </c>
      <c r="G751" cm="1">
        <f t="array" ref="G751">INDEX(_xlfn.FILTERXML(E751,"//longitude"),1)</f>
        <v>136.706985</v>
      </c>
      <c r="H751">
        <v>34.491866999999999</v>
      </c>
      <c r="I751">
        <v>136.706985</v>
      </c>
    </row>
    <row r="752" spans="1:9" x14ac:dyDescent="0.4">
      <c r="A752" t="s">
        <v>10</v>
      </c>
      <c r="B752" t="s">
        <v>279</v>
      </c>
      <c r="C752" t="str">
        <f t="shared" si="51"/>
        <v>神奈川県秦野市水神町</v>
      </c>
      <c r="D752" s="2" t="str">
        <f t="shared" si="52"/>
        <v>http://geocode.csis.u-tokyo.ac.jp/cgi-bin/simple_geocode.cgi?charset=UTF8&amp;addr=%E7%A5%9E%E5%A5%88%E5%B7%9D%E7%9C%8C%E7%A7%A6%E9%87%8E%E5%B8%82%E6%B0%B4%E7%A5%9E%E7%94%BA</v>
      </c>
      <c r="E752" t="str">
        <f t="shared" si="53"/>
        <v xml:space="preserve">&lt;?xml version="1.0" encoding="UTF-8" ?&gt;
&lt;results&gt;
&lt;query&gt;神奈川県秦野市水神町&lt;/query&gt;
&lt;geodetic&gt;wgs1984&lt;/geodetic&gt;
&lt;iConf&gt;5&lt;/iConf&gt;
&lt;converted&gt;神奈川県秦野市水神町&lt;/converted&gt;
&lt;candidate&gt;
&lt;address&gt;神奈川県/秦野市/水神町&lt;/address&gt;
&lt;longitude&gt;139.220383&lt;/longitude&gt;
&lt;latitude&gt;35.378361&lt;/latitude&gt;
&lt;iLvl&gt;5&lt;/iLvl&gt;
&lt;/candidate&gt;
&lt;/results&gt;
</v>
      </c>
      <c r="F752" cm="1">
        <f t="array" ref="F752">INDEX(_xlfn.FILTERXML(E752,"//latitude"),1)</f>
        <v>35.378360999999998</v>
      </c>
      <c r="G752" cm="1">
        <f t="array" ref="G752">INDEX(_xlfn.FILTERXML(E752,"//longitude"),1)</f>
        <v>139.220383</v>
      </c>
      <c r="H752">
        <v>35.378360999999998</v>
      </c>
      <c r="I752">
        <v>139.220383</v>
      </c>
    </row>
    <row r="753" spans="1:9" x14ac:dyDescent="0.4">
      <c r="A753" t="s">
        <v>11</v>
      </c>
      <c r="B753" t="s">
        <v>1109</v>
      </c>
      <c r="C753" t="str">
        <f t="shared" si="51"/>
        <v>大阪府大阪市城東区諏訪</v>
      </c>
      <c r="D753" s="2" t="str">
        <f t="shared" si="52"/>
        <v>http://geocode.csis.u-tokyo.ac.jp/cgi-bin/simple_geocode.cgi?charset=UTF8&amp;addr=%E5%A4%A7%E9%98%AA%E5%BA%9C%E5%A4%A7%E9%98%AA%E5%B8%82%E5%9F%8E%E6%9D%B1%E5%8C%BA%E8%AB%8F%E8%A8%AA</v>
      </c>
      <c r="E753" t="str">
        <f t="shared" si="53"/>
        <v xml:space="preserve">&lt;?xml version="1.0" encoding="UTF-8" ?&gt;
&lt;results&gt;
&lt;query&gt;大阪府大阪市城東区諏訪&lt;/query&gt;
&lt;geodetic&gt;wgs1984&lt;/geodetic&gt;
&lt;iConf&gt;5&lt;/iConf&gt;
&lt;converted&gt;大阪府大阪市城東区諏訪&lt;/converted&gt;
&lt;candidate&gt;
&lt;address&gt;大阪府/大阪市/城東区/諏訪&lt;/address&gt;
&lt;longitude&gt;135.561844&lt;/longitude&gt;
&lt;latitude&gt;34.686092&lt;/latitude&gt;
&lt;iLvl&gt;5&lt;/iLvl&gt;
&lt;/candidate&gt;
&lt;/results&gt;
</v>
      </c>
      <c r="F753" cm="1">
        <f t="array" ref="F753">INDEX(_xlfn.FILTERXML(E753,"//latitude"),1)</f>
        <v>34.686092000000002</v>
      </c>
      <c r="G753" cm="1">
        <f t="array" ref="G753">INDEX(_xlfn.FILTERXML(E753,"//longitude"),1)</f>
        <v>135.56184400000001</v>
      </c>
      <c r="H753">
        <v>34.686092000000002</v>
      </c>
      <c r="I753">
        <v>135.56184400000001</v>
      </c>
    </row>
    <row r="754" spans="1:9" x14ac:dyDescent="0.4">
      <c r="A754" t="s">
        <v>20</v>
      </c>
      <c r="B754" t="s">
        <v>280</v>
      </c>
      <c r="C754" t="str">
        <f t="shared" si="51"/>
        <v>茨城県下妻市</v>
      </c>
      <c r="D754" s="2" t="str">
        <f t="shared" si="52"/>
        <v>http://geocode.csis.u-tokyo.ac.jp/cgi-bin/simple_geocode.cgi?charset=UTF8&amp;addr=%E8%8C%A8%E5%9F%8E%E7%9C%8C%E4%B8%8B%E5%A6%BB%E5%B8%82</v>
      </c>
      <c r="E754" t="str">
        <f t="shared" si="53"/>
        <v xml:space="preserve">&lt;?xml version="1.0" encoding="UTF-8" ?&gt;
&lt;results&gt;
&lt;query&gt;茨城県下妻市&lt;/query&gt;
&lt;geodetic&gt;wgs1984&lt;/geodetic&gt;
&lt;iConf&gt;5&lt;/iConf&gt;
&lt;converted&gt;茨城県下妻市&lt;/converted&gt;
&lt;candidate&gt;
&lt;address&gt;茨城県/下妻市&lt;/address&gt;
&lt;longitude&gt;139.967377&lt;/longitude&gt;
&lt;latitude&gt;36.184517&lt;/latitude&gt;
&lt;iLvl&gt;3&lt;/iLvl&gt;
&lt;/candidate&gt;
&lt;/results&gt;
</v>
      </c>
      <c r="F754" cm="1">
        <f t="array" ref="F754">INDEX(_xlfn.FILTERXML(E754,"//latitude"),1)</f>
        <v>36.184517</v>
      </c>
      <c r="G754" cm="1">
        <f t="array" ref="G754">INDEX(_xlfn.FILTERXML(E754,"//longitude"),1)</f>
        <v>139.967377</v>
      </c>
      <c r="H754">
        <v>36.184517</v>
      </c>
      <c r="I754">
        <v>139.967377</v>
      </c>
    </row>
    <row r="755" spans="1:9" x14ac:dyDescent="0.4">
      <c r="A755" t="s">
        <v>34</v>
      </c>
      <c r="B755" t="s">
        <v>281</v>
      </c>
      <c r="C755" t="str">
        <f t="shared" si="51"/>
        <v>岐阜県関市山田</v>
      </c>
      <c r="D755" s="2" t="str">
        <f t="shared" si="52"/>
        <v>http://geocode.csis.u-tokyo.ac.jp/cgi-bin/simple_geocode.cgi?charset=UTF8&amp;addr=%E5%B2%90%E9%98%9C%E7%9C%8C%E9%96%A2%E5%B8%82%E5%B1%B1%E7%94%B0</v>
      </c>
      <c r="E755" t="str">
        <f t="shared" si="53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755" cm="1">
        <f t="array" ref="F755">INDEX(_xlfn.FILTERXML(E755,"//latitude"),1)</f>
        <v>35.467384000000003</v>
      </c>
      <c r="G755" cm="1">
        <f t="array" ref="G755">INDEX(_xlfn.FILTERXML(E755,"//longitude"),1)</f>
        <v>136.87733499999999</v>
      </c>
      <c r="H755">
        <v>35.467384000000003</v>
      </c>
      <c r="I755">
        <v>136.87733499999999</v>
      </c>
    </row>
    <row r="756" spans="1:9" x14ac:dyDescent="0.4">
      <c r="A756" t="s">
        <v>9</v>
      </c>
      <c r="B756" t="s">
        <v>184</v>
      </c>
      <c r="C756" t="str">
        <f t="shared" si="51"/>
        <v>東京都武蔵野市西久保</v>
      </c>
      <c r="D756" s="2" t="str">
        <f t="shared" si="52"/>
        <v>http://geocode.csis.u-tokyo.ac.jp/cgi-bin/simple_geocode.cgi?charset=UTF8&amp;addr=%E6%9D%B1%E4%BA%AC%E9%83%BD%E6%AD%A6%E8%94%B5%E9%87%8E%E5%B8%82%E8%A5%BF%E4%B9%85%E4%BF%9D</v>
      </c>
      <c r="E756" t="str">
        <f t="shared" si="53"/>
        <v xml:space="preserve">&lt;?xml version="1.0" encoding="UTF-8" ?&gt;
&lt;results&gt;
&lt;query&gt;東京都武蔵野市西久保&lt;/query&gt;
&lt;geodetic&gt;wgs1984&lt;/geodetic&gt;
&lt;iConf&gt;5&lt;/iConf&gt;
&lt;converted&gt;東京都武蔵野市西久保&lt;/converted&gt;
&lt;candidate&gt;
&lt;address&gt;東京都/武蔵野市/西久保&lt;/address&gt;
&lt;longitude&gt;139.556351&lt;/longitude&gt;
&lt;latitude&gt;35.706089&lt;/latitude&gt;
&lt;iLvl&gt;5&lt;/iLvl&gt;
&lt;/candidate&gt;
&lt;/results&gt;
</v>
      </c>
      <c r="F756" cm="1">
        <f t="array" ref="F756">INDEX(_xlfn.FILTERXML(E756,"//latitude"),1)</f>
        <v>35.706088999999999</v>
      </c>
      <c r="G756" cm="1">
        <f t="array" ref="G756">INDEX(_xlfn.FILTERXML(E756,"//longitude"),1)</f>
        <v>139.55635100000001</v>
      </c>
      <c r="H756">
        <v>35.706088999999999</v>
      </c>
      <c r="I756">
        <v>139.55635100000001</v>
      </c>
    </row>
    <row r="757" spans="1:9" x14ac:dyDescent="0.4">
      <c r="A757" t="s">
        <v>9</v>
      </c>
      <c r="B757" t="s">
        <v>282</v>
      </c>
      <c r="C757" t="str">
        <f t="shared" si="51"/>
        <v>東京都練馬区羽沢</v>
      </c>
      <c r="D757" s="2" t="str">
        <f t="shared" si="52"/>
        <v>http://geocode.csis.u-tokyo.ac.jp/cgi-bin/simple_geocode.cgi?charset=UTF8&amp;addr=%E6%9D%B1%E4%BA%AC%E9%83%BD%E7%B7%B4%E9%A6%AC%E5%8C%BA%E7%BE%BD%E6%B2%A2</v>
      </c>
      <c r="E757" t="str">
        <f t="shared" si="53"/>
        <v xml:space="preserve">&lt;?xml version="1.0" encoding="UTF-8" ?&gt;
&lt;results&gt;
&lt;query&gt;東京都練馬区羽沢&lt;/query&gt;
&lt;geodetic&gt;wgs1984&lt;/geodetic&gt;
&lt;iConf&gt;5&lt;/iConf&gt;
&lt;converted&gt;東京都練馬区羽沢&lt;/converted&gt;
&lt;candidate&gt;
&lt;address&gt;東京都/練馬区/羽沢&lt;/address&gt;
&lt;longitude&gt;139.671219&lt;/longitude&gt;
&lt;latitude&gt;35.741688&lt;/latitude&gt;
&lt;iLvl&gt;5&lt;/iLvl&gt;
&lt;/candidate&gt;
&lt;/results&gt;
</v>
      </c>
      <c r="F757" cm="1">
        <f t="array" ref="F757">INDEX(_xlfn.FILTERXML(E757,"//latitude"),1)</f>
        <v>35.741688000000003</v>
      </c>
      <c r="G757" cm="1">
        <f t="array" ref="G757">INDEX(_xlfn.FILTERXML(E757,"//longitude"),1)</f>
        <v>139.67121900000001</v>
      </c>
      <c r="H757">
        <v>35.741688000000003</v>
      </c>
      <c r="I757">
        <v>139.67121900000001</v>
      </c>
    </row>
    <row r="758" spans="1:9" x14ac:dyDescent="0.4">
      <c r="A758" t="s">
        <v>11</v>
      </c>
      <c r="B758" t="s">
        <v>283</v>
      </c>
      <c r="C758" t="str">
        <f t="shared" si="51"/>
        <v>大阪府東大阪市鴻池町</v>
      </c>
      <c r="D758" s="2" t="str">
        <f t="shared" si="52"/>
        <v>http://geocode.csis.u-tokyo.ac.jp/cgi-bin/simple_geocode.cgi?charset=UTF8&amp;addr=%E5%A4%A7%E9%98%AA%E5%BA%9C%E6%9D%B1%E5%A4%A7%E9%98%AA%E5%B8%82%E9%B4%BB%E6%B1%A0%E7%94%BA</v>
      </c>
      <c r="E758" t="str">
        <f t="shared" si="53"/>
        <v xml:space="preserve">&lt;?xml version="1.0" encoding="UTF-8" ?&gt;
&lt;results&gt;
&lt;query&gt;大阪府東大阪市鴻池町&lt;/query&gt;
&lt;geodetic&gt;wgs1984&lt;/geodetic&gt;
&lt;iConf&gt;5&lt;/iConf&gt;
&lt;converted&gt;大阪府東大阪市鴻池町&lt;/converted&gt;
&lt;candidate&gt;
&lt;address&gt;大阪府/東大阪市/鴻池町&lt;/address&gt;
&lt;longitude&gt;135.604752&lt;/longitude&gt;
&lt;latitude&gt;34.699322&lt;/latitude&gt;
&lt;iLvl&gt;5&lt;/iLvl&gt;
&lt;/candidate&gt;
&lt;/results&gt;
</v>
      </c>
      <c r="F758" cm="1">
        <f t="array" ref="F758">INDEX(_xlfn.FILTERXML(E758,"//latitude"),1)</f>
        <v>34.699322000000002</v>
      </c>
      <c r="G758" cm="1">
        <f t="array" ref="G758">INDEX(_xlfn.FILTERXML(E758,"//longitude"),1)</f>
        <v>135.60475199999999</v>
      </c>
      <c r="H758">
        <v>34.699322000000002</v>
      </c>
      <c r="I758">
        <v>135.60475199999999</v>
      </c>
    </row>
    <row r="759" spans="1:9" x14ac:dyDescent="0.4">
      <c r="A759" t="s">
        <v>9</v>
      </c>
      <c r="B759" t="s">
        <v>252</v>
      </c>
      <c r="C759" t="str">
        <f t="shared" si="51"/>
        <v>東京都渋谷区代々木</v>
      </c>
      <c r="D759" s="2" t="str">
        <f t="shared" si="52"/>
        <v>http://geocode.csis.u-tokyo.ac.jp/cgi-bin/simple_geocode.cgi?charset=UTF8&amp;addr=%E6%9D%B1%E4%BA%AC%E9%83%BD%E6%B8%8B%E8%B0%B7%E5%8C%BA%E4%BB%A3%E3%80%85%E6%9C%A8</v>
      </c>
      <c r="E759" t="str">
        <f t="shared" si="53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759" cm="1">
        <f t="array" ref="F759">INDEX(_xlfn.FILTERXML(E759,"//latitude"),1)</f>
        <v>35.681885000000001</v>
      </c>
      <c r="G759" cm="1">
        <f t="array" ref="G759">INDEX(_xlfn.FILTERXML(E759,"//longitude"),1)</f>
        <v>139.70004299999999</v>
      </c>
      <c r="H759">
        <v>35.681885000000001</v>
      </c>
      <c r="I759">
        <v>139.70004299999999</v>
      </c>
    </row>
    <row r="760" spans="1:9" x14ac:dyDescent="0.4">
      <c r="A760" t="s">
        <v>33</v>
      </c>
      <c r="B760" t="s">
        <v>284</v>
      </c>
      <c r="C760" t="str">
        <f t="shared" si="51"/>
        <v>岩手県二戸市上斗米字上川代</v>
      </c>
      <c r="D760" s="2" t="str">
        <f t="shared" si="52"/>
        <v>http://geocode.csis.u-tokyo.ac.jp/cgi-bin/simple_geocode.cgi?charset=UTF8&amp;addr=%E5%B2%A9%E6%89%8B%E7%9C%8C%E4%BA%8C%E6%88%B8%E5%B8%82%E4%B8%8A%E6%96%97%E7%B1%B3%E5%AD%97%E4%B8%8A%E5%B7%9D%E4%BB%A3</v>
      </c>
      <c r="E760" t="str">
        <f t="shared" si="53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760" cm="1">
        <f t="array" ref="F760">INDEX(_xlfn.FILTERXML(E760,"//latitude"),1)</f>
        <v>40.277240999999997</v>
      </c>
      <c r="G760" cm="1">
        <f t="array" ref="G760">INDEX(_xlfn.FILTERXML(E760,"//longitude"),1)</f>
        <v>141.16333</v>
      </c>
      <c r="H760">
        <v>40.277240999999997</v>
      </c>
      <c r="I760">
        <v>141.16333</v>
      </c>
    </row>
    <row r="761" spans="1:9" x14ac:dyDescent="0.4">
      <c r="A761" t="s">
        <v>17</v>
      </c>
      <c r="B761" t="s">
        <v>285</v>
      </c>
      <c r="C761" t="str">
        <f t="shared" si="51"/>
        <v>愛知県豊川市伊奈町</v>
      </c>
      <c r="D761" s="2" t="str">
        <f t="shared" si="52"/>
        <v>http://geocode.csis.u-tokyo.ac.jp/cgi-bin/simple_geocode.cgi?charset=UTF8&amp;addr=%E6%84%9B%E7%9F%A5%E7%9C%8C%E8%B1%8A%E5%B7%9D%E5%B8%82%E4%BC%8A%E5%A5%88%E7%94%BA</v>
      </c>
      <c r="E761" t="str">
        <f t="shared" si="53"/>
        <v xml:space="preserve">&lt;?xml version="1.0" encoding="UTF-8" ?&gt;
&lt;results&gt;
&lt;query&gt;愛知県豊川市伊奈町&lt;/query&gt;
&lt;geodetic&gt;wgs1984&lt;/geodetic&gt;
&lt;iConf&gt;5&lt;/iConf&gt;
&lt;converted&gt;愛知県豊川市伊奈町&lt;/converted&gt;
&lt;candidate&gt;
&lt;address&gt;愛知県/豊川市/伊奈町&lt;/address&gt;
&lt;longitude&gt;137.346375&lt;/longitude&gt;
&lt;latitude&gt;34.800495&lt;/latitude&gt;
&lt;iLvl&gt;5&lt;/iLvl&gt;
&lt;/candidate&gt;
&lt;/results&gt;
</v>
      </c>
      <c r="F761" cm="1">
        <f t="array" ref="F761">INDEX(_xlfn.FILTERXML(E761,"//latitude"),1)</f>
        <v>34.800494999999998</v>
      </c>
      <c r="G761" cm="1">
        <f t="array" ref="G761">INDEX(_xlfn.FILTERXML(E761,"//longitude"),1)</f>
        <v>137.34637499999999</v>
      </c>
      <c r="H761">
        <v>34.800494999999998</v>
      </c>
      <c r="I761">
        <v>137.34637499999999</v>
      </c>
    </row>
    <row r="762" spans="1:9" x14ac:dyDescent="0.4">
      <c r="A762" t="s">
        <v>17</v>
      </c>
      <c r="B762" t="s">
        <v>286</v>
      </c>
      <c r="C762" t="str">
        <f t="shared" si="51"/>
        <v>愛知県岡崎市真伝町亀山</v>
      </c>
      <c r="D762" s="2" t="str">
        <f t="shared" si="52"/>
        <v>http://geocode.csis.u-tokyo.ac.jp/cgi-bin/simple_geocode.cgi?charset=UTF8&amp;addr=%E6%84%9B%E7%9F%A5%E7%9C%8C%E5%B2%A1%E5%B4%8E%E5%B8%82%E7%9C%9F%E4%BC%9D%E7%94%BA%E4%BA%80%E5%B1%B1</v>
      </c>
      <c r="E762" t="str">
        <f t="shared" si="53"/>
        <v xml:space="preserve">&lt;?xml version="1.0" encoding="UTF-8" ?&gt;
&lt;results&gt;
&lt;query&gt;愛知県岡崎市真伝町亀山&lt;/query&gt;
&lt;geodetic&gt;wgs1984&lt;/geodetic&gt;
&lt;iConf&gt;5&lt;/iConf&gt;
&lt;converted&gt;愛知県岡崎市真伝町亀山&lt;/converted&gt;
&lt;candidate&gt;
&lt;address&gt;愛知県/岡崎市/真伝町/亀山&lt;/address&gt;
&lt;longitude&gt;137.186035&lt;/longitude&gt;
&lt;latitude&gt;34.982132&lt;/latitude&gt;
&lt;iLvl&gt;6&lt;/iLvl&gt;
&lt;/candidate&gt;
&lt;/results&gt;
</v>
      </c>
      <c r="F762" cm="1">
        <f t="array" ref="F762">INDEX(_xlfn.FILTERXML(E762,"//latitude"),1)</f>
        <v>34.982132</v>
      </c>
      <c r="G762" cm="1">
        <f t="array" ref="G762">INDEX(_xlfn.FILTERXML(E762,"//longitude"),1)</f>
        <v>137.186035</v>
      </c>
      <c r="H762">
        <v>34.982132</v>
      </c>
      <c r="I762">
        <v>137.186035</v>
      </c>
    </row>
    <row r="763" spans="1:9" x14ac:dyDescent="0.4">
      <c r="A763" t="s">
        <v>11</v>
      </c>
      <c r="B763" t="s">
        <v>287</v>
      </c>
      <c r="C763" t="str">
        <f t="shared" si="51"/>
        <v>大阪府大阪市淀川区三国本町</v>
      </c>
      <c r="D763" s="2" t="str">
        <f t="shared" si="52"/>
        <v>http://geocode.csis.u-tokyo.ac.jp/cgi-bin/simple_geocode.cgi?charset=UTF8&amp;addr=%E5%A4%A7%E9%98%AA%E5%BA%9C%E5%A4%A7%E9%98%AA%E5%B8%82%E6%B7%80%E5%B7%9D%E5%8C%BA%E4%B8%89%E5%9B%BD%E6%9C%AC%E7%94%BA</v>
      </c>
      <c r="E763" t="str">
        <f t="shared" si="53"/>
        <v xml:space="preserve">&lt;?xml version="1.0" encoding="UTF-8" ?&gt;
&lt;results&gt;
&lt;query&gt;大阪府大阪市淀川区三国本町&lt;/query&gt;
&lt;geodetic&gt;wgs1984&lt;/geodetic&gt;
&lt;iConf&gt;5&lt;/iConf&gt;
&lt;converted&gt;大阪府大阪市淀川区三国本町&lt;/converted&gt;
&lt;candidate&gt;
&lt;address&gt;大阪府/大阪市/淀川区/三国本町&lt;/address&gt;
&lt;longitude&gt;135.487366&lt;/longitude&gt;
&lt;latitude&gt;34.731243&lt;/latitude&gt;
&lt;iLvl&gt;5&lt;/iLvl&gt;
&lt;/candidate&gt;
&lt;/results&gt;
</v>
      </c>
      <c r="F763" cm="1">
        <f t="array" ref="F763">INDEX(_xlfn.FILTERXML(E763,"//latitude"),1)</f>
        <v>34.731242999999999</v>
      </c>
      <c r="G763" cm="1">
        <f t="array" ref="G763">INDEX(_xlfn.FILTERXML(E763,"//longitude"),1)</f>
        <v>135.48736600000001</v>
      </c>
      <c r="H763">
        <v>34.731242999999999</v>
      </c>
      <c r="I763">
        <v>135.48736600000001</v>
      </c>
    </row>
    <row r="764" spans="1:9" x14ac:dyDescent="0.4">
      <c r="A764" t="s">
        <v>10</v>
      </c>
      <c r="B764" t="s">
        <v>288</v>
      </c>
      <c r="C764" t="str">
        <f t="shared" si="51"/>
        <v>神奈川県藤沢市大庭</v>
      </c>
      <c r="D764" s="2" t="str">
        <f t="shared" si="52"/>
        <v>http://geocode.csis.u-tokyo.ac.jp/cgi-bin/simple_geocode.cgi?charset=UTF8&amp;addr=%E7%A5%9E%E5%A5%88%E5%B7%9D%E7%9C%8C%E8%97%A4%E6%B2%A2%E5%B8%82%E5%A4%A7%E5%BA%AD</v>
      </c>
      <c r="E764" t="str">
        <f t="shared" si="53"/>
        <v xml:space="preserve">&lt;?xml version="1.0" encoding="UTF-8" ?&gt;
&lt;results&gt;
&lt;query&gt;神奈川県藤沢市大庭&lt;/query&gt;
&lt;geodetic&gt;wgs1984&lt;/geodetic&gt;
&lt;iConf&gt;5&lt;/iConf&gt;
&lt;converted&gt;神奈川県藤沢市大庭&lt;/converted&gt;
&lt;candidate&gt;
&lt;address&gt;神奈川県/藤沢市/大庭&lt;/address&gt;
&lt;longitude&gt;139.446350&lt;/longitude&gt;
&lt;latitude&gt;35.360580&lt;/latitude&gt;
&lt;iLvl&gt;5&lt;/iLvl&gt;
&lt;/candidate&gt;
&lt;/results&gt;
</v>
      </c>
      <c r="F764" cm="1">
        <f t="array" ref="F764">INDEX(_xlfn.FILTERXML(E764,"//latitude"),1)</f>
        <v>35.360579999999999</v>
      </c>
      <c r="G764" cm="1">
        <f t="array" ref="G764">INDEX(_xlfn.FILTERXML(E764,"//longitude"),1)</f>
        <v>139.44635</v>
      </c>
      <c r="H764">
        <v>35.360579999999999</v>
      </c>
      <c r="I764">
        <v>139.44635</v>
      </c>
    </row>
    <row r="765" spans="1:9" x14ac:dyDescent="0.4">
      <c r="A765" t="s">
        <v>9</v>
      </c>
      <c r="B765" t="s">
        <v>243</v>
      </c>
      <c r="C765" t="str">
        <f t="shared" si="51"/>
        <v>東京都立川市柴崎町</v>
      </c>
      <c r="D765" s="2" t="str">
        <f t="shared" si="52"/>
        <v>http://geocode.csis.u-tokyo.ac.jp/cgi-bin/simple_geocode.cgi?charset=UTF8&amp;addr=%E6%9D%B1%E4%BA%AC%E9%83%BD%E7%AB%8B%E5%B7%9D%E5%B8%82%E6%9F%B4%E5%B4%8E%E7%94%BA</v>
      </c>
      <c r="E765" t="str">
        <f t="shared" si="53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765" cm="1">
        <f t="array" ref="F765">INDEX(_xlfn.FILTERXML(E765,"//latitude"),1)</f>
        <v>35.694065000000002</v>
      </c>
      <c r="G765" cm="1">
        <f t="array" ref="G765">INDEX(_xlfn.FILTERXML(E765,"//longitude"),1)</f>
        <v>139.40458699999999</v>
      </c>
      <c r="H765">
        <v>35.694065000000002</v>
      </c>
      <c r="I765">
        <v>139.40458699999999</v>
      </c>
    </row>
    <row r="766" spans="1:9" x14ac:dyDescent="0.4">
      <c r="A766" t="s">
        <v>9</v>
      </c>
      <c r="B766" t="s">
        <v>93</v>
      </c>
      <c r="C766" t="str">
        <f t="shared" si="51"/>
        <v>東京都品川区八潮5-2-7-1007</v>
      </c>
      <c r="D766" s="2" t="str">
        <f t="shared" si="52"/>
        <v>http://geocode.csis.u-tokyo.ac.jp/cgi-bin/simple_geocode.cgi?charset=UTF8&amp;addr=%E6%9D%B1%E4%BA%AC%E9%83%BD%E5%93%81%E5%B7%9D%E5%8C%BA%E5%85%AB%E6%BD%AE5-2-7-1007</v>
      </c>
      <c r="E766" t="str">
        <f t="shared" si="53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766" cm="1">
        <f t="array" ref="F766">INDEX(_xlfn.FILTERXML(E766,"//latitude"),1)</f>
        <v>35.603225999999999</v>
      </c>
      <c r="G766" cm="1">
        <f t="array" ref="G766">INDEX(_xlfn.FILTERXML(E766,"//longitude"),1)</f>
        <v>139.75405900000001</v>
      </c>
      <c r="H766">
        <v>35.603225999999999</v>
      </c>
      <c r="I766">
        <v>139.75405900000001</v>
      </c>
    </row>
    <row r="767" spans="1:9" x14ac:dyDescent="0.4">
      <c r="A767" t="s">
        <v>10</v>
      </c>
      <c r="B767" t="s">
        <v>289</v>
      </c>
      <c r="C767" t="str">
        <f t="shared" si="51"/>
        <v>神奈川県川崎市多摩区長尾</v>
      </c>
      <c r="D767" s="2" t="str">
        <f t="shared" si="52"/>
        <v>http://geocode.csis.u-tokyo.ac.jp/cgi-bin/simple_geocode.cgi?charset=UTF8&amp;addr=%E7%A5%9E%E5%A5%88%E5%B7%9D%E7%9C%8C%E5%B7%9D%E5%B4%8E%E5%B8%82%E5%A4%9A%E6%91%A9%E5%8C%BA%E9%95%B7%E5%B0%BE</v>
      </c>
      <c r="E767" t="str">
        <f t="shared" si="53"/>
        <v xml:space="preserve">&lt;?xml version="1.0" encoding="UTF-8" ?&gt;
&lt;results&gt;
&lt;query&gt;神奈川県川崎市多摩区長尾&lt;/query&gt;
&lt;geodetic&gt;wgs1984&lt;/geodetic&gt;
&lt;iConf&gt;5&lt;/iConf&gt;
&lt;converted&gt;神奈川県川崎市多摩区長尾&lt;/converted&gt;
&lt;candidate&gt;
&lt;address&gt;神奈川県/川崎市/多摩区/長尾&lt;/address&gt;
&lt;longitude&gt;139.573898&lt;/longitude&gt;
&lt;latitude&gt;35.611519&lt;/latitude&gt;
&lt;iLvl&gt;5&lt;/iLvl&gt;
&lt;/candidate&gt;
&lt;/results&gt;
</v>
      </c>
      <c r="F767" cm="1">
        <f t="array" ref="F767">INDEX(_xlfn.FILTERXML(E767,"//latitude"),1)</f>
        <v>35.611519000000001</v>
      </c>
      <c r="G767" cm="1">
        <f t="array" ref="G767">INDEX(_xlfn.FILTERXML(E767,"//longitude"),1)</f>
        <v>139.57389800000001</v>
      </c>
      <c r="H767">
        <v>35.611519000000001</v>
      </c>
      <c r="I767">
        <v>139.57389800000001</v>
      </c>
    </row>
    <row r="768" spans="1:9" x14ac:dyDescent="0.4">
      <c r="A768" t="s">
        <v>29</v>
      </c>
      <c r="B768" t="s">
        <v>290</v>
      </c>
      <c r="C768" t="str">
        <f t="shared" si="51"/>
        <v>静岡県掛川市紅葉台</v>
      </c>
      <c r="D768" s="2" t="str">
        <f t="shared" si="52"/>
        <v>http://geocode.csis.u-tokyo.ac.jp/cgi-bin/simple_geocode.cgi?charset=UTF8&amp;addr=%E9%9D%99%E5%B2%A1%E7%9C%8C%E6%8E%9B%E5%B7%9D%E5%B8%82%E7%B4%85%E8%91%89%E5%8F%B0</v>
      </c>
      <c r="E768" t="str">
        <f t="shared" si="53"/>
        <v xml:space="preserve">&lt;?xml version="1.0" encoding="UTF-8" ?&gt;
&lt;results&gt;
&lt;query&gt;静岡県掛川市紅葉台&lt;/query&gt;
&lt;geodetic&gt;wgs1984&lt;/geodetic&gt;
&lt;iConf&gt;5&lt;/iConf&gt;
&lt;converted&gt;静岡県掛川市紅葉台&lt;/converted&gt;
&lt;candidate&gt;
&lt;address&gt;静岡県/掛川市/紅葉台&lt;/address&gt;
&lt;longitude&gt;138.034058&lt;/longitude&gt;
&lt;latitude&gt;34.769848&lt;/latitude&gt;
&lt;iLvl&gt;5&lt;/iLvl&gt;
&lt;/candidate&gt;
&lt;/results&gt;
</v>
      </c>
      <c r="F768" cm="1">
        <f t="array" ref="F768">INDEX(_xlfn.FILTERXML(E768,"//latitude"),1)</f>
        <v>34.769848000000003</v>
      </c>
      <c r="G768" cm="1">
        <f t="array" ref="G768">INDEX(_xlfn.FILTERXML(E768,"//longitude"),1)</f>
        <v>138.03405799999999</v>
      </c>
      <c r="H768">
        <v>34.769848000000003</v>
      </c>
      <c r="I768">
        <v>138.03405799999999</v>
      </c>
    </row>
    <row r="769" spans="1:9" x14ac:dyDescent="0.4">
      <c r="A769" t="s">
        <v>17</v>
      </c>
      <c r="B769" t="s">
        <v>291</v>
      </c>
      <c r="C769" t="str">
        <f t="shared" si="51"/>
        <v>愛知県弥富市平島東三丁目</v>
      </c>
      <c r="D769" s="2" t="str">
        <f t="shared" si="52"/>
        <v>http://geocode.csis.u-tokyo.ac.jp/cgi-bin/simple_geocode.cgi?charset=UTF8&amp;addr=%E6%84%9B%E7%9F%A5%E7%9C%8C%E5%BC%A5%E5%AF%8C%E5%B8%82%E5%B9%B3%E5%B3%B6%E6%9D%B1%E4%B8%89%E4%B8%81%E7%9B%AE</v>
      </c>
      <c r="E769" t="str">
        <f t="shared" si="53"/>
        <v xml:space="preserve">&lt;?xml version="1.0" encoding="UTF-8" ?&gt;
&lt;results&gt;
&lt;query&gt;愛知県弥富市平島東三丁目&lt;/query&gt;
&lt;geodetic&gt;wgs1984&lt;/geodetic&gt;
&lt;iConf&gt;5&lt;/iConf&gt;
&lt;converted&gt;愛知県弥富市平島東三丁目&lt;/converted&gt;
&lt;candidate&gt;
&lt;address&gt;愛知県/弥富市/平島東/三丁目&lt;/address&gt;
&lt;longitude&gt;136.745468&lt;/longitude&gt;
&lt;latitude&gt;35.105873&lt;/latitude&gt;
&lt;iLvl&gt;6&lt;/iLvl&gt;
&lt;/candidate&gt;
&lt;/results&gt;
</v>
      </c>
      <c r="F769" cm="1">
        <f t="array" ref="F769">INDEX(_xlfn.FILTERXML(E769,"//latitude"),1)</f>
        <v>35.105873000000003</v>
      </c>
      <c r="G769" cm="1">
        <f t="array" ref="G769">INDEX(_xlfn.FILTERXML(E769,"//longitude"),1)</f>
        <v>136.74546799999999</v>
      </c>
      <c r="H769">
        <v>35.105873000000003</v>
      </c>
      <c r="I769">
        <v>136.74546799999999</v>
      </c>
    </row>
    <row r="770" spans="1:9" x14ac:dyDescent="0.4">
      <c r="A770" t="s">
        <v>11</v>
      </c>
      <c r="B770" t="s">
        <v>247</v>
      </c>
      <c r="C770" t="str">
        <f t="shared" si="51"/>
        <v>大阪府大阪市浪速区湊町</v>
      </c>
      <c r="D770" s="2" t="str">
        <f t="shared" si="52"/>
        <v>http://geocode.csis.u-tokyo.ac.jp/cgi-bin/simple_geocode.cgi?charset=UTF8&amp;addr=%E5%A4%A7%E9%98%AA%E5%BA%9C%E5%A4%A7%E9%98%AA%E5%B8%82%E6%B5%AA%E9%80%9F%E5%8C%BA%E6%B9%8A%E7%94%BA</v>
      </c>
      <c r="E770" t="str">
        <f t="shared" si="53"/>
        <v xml:space="preserve">&lt;?xml version="1.0" encoding="UTF-8" ?&gt;
&lt;results&gt;
&lt;query&gt;大阪府大阪市浪速区湊町&lt;/query&gt;
&lt;geodetic&gt;wgs1984&lt;/geodetic&gt;
&lt;iConf&gt;5&lt;/iConf&gt;
&lt;converted&gt;大阪府大阪市浪速区湊町&lt;/converted&gt;
&lt;candidate&gt;
&lt;address&gt;大阪府/大阪市/浪速区/湊町&lt;/address&gt;
&lt;longitude&gt;135.495621&lt;/longitude&gt;
&lt;latitude&gt;34.667252&lt;/latitude&gt;
&lt;iLvl&gt;5&lt;/iLvl&gt;
&lt;/candidate&gt;
&lt;/results&gt;
</v>
      </c>
      <c r="F770" cm="1">
        <f t="array" ref="F770">INDEX(_xlfn.FILTERXML(E770,"//latitude"),1)</f>
        <v>34.667251999999998</v>
      </c>
      <c r="G770" cm="1">
        <f t="array" ref="G770">INDEX(_xlfn.FILTERXML(E770,"//longitude"),1)</f>
        <v>135.495621</v>
      </c>
      <c r="H770">
        <v>34.667251999999998</v>
      </c>
      <c r="I770">
        <v>135.495621</v>
      </c>
    </row>
    <row r="771" spans="1:9" x14ac:dyDescent="0.4">
      <c r="A771" t="s">
        <v>29</v>
      </c>
      <c r="B771" t="s">
        <v>292</v>
      </c>
      <c r="C771" t="str">
        <f t="shared" si="51"/>
        <v>静岡県掛川市大坪台</v>
      </c>
      <c r="D771" s="2" t="str">
        <f t="shared" si="52"/>
        <v>http://geocode.csis.u-tokyo.ac.jp/cgi-bin/simple_geocode.cgi?charset=UTF8&amp;addr=%E9%9D%99%E5%B2%A1%E7%9C%8C%E6%8E%9B%E5%B7%9D%E5%B8%82%E5%A4%A7%E5%9D%AA%E5%8F%B0</v>
      </c>
      <c r="E771" t="str">
        <f t="shared" si="53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771" cm="1">
        <f t="array" ref="F771">INDEX(_xlfn.FILTERXML(E771,"//latitude"),1)</f>
        <v>34.710231999999998</v>
      </c>
      <c r="G771" cm="1">
        <f t="array" ref="G771">INDEX(_xlfn.FILTERXML(E771,"//longitude"),1)</f>
        <v>138.04037500000001</v>
      </c>
      <c r="H771">
        <v>34.710231999999998</v>
      </c>
      <c r="I771">
        <v>138.04037500000001</v>
      </c>
    </row>
    <row r="772" spans="1:9" x14ac:dyDescent="0.4">
      <c r="A772" t="s">
        <v>20</v>
      </c>
      <c r="B772" t="s">
        <v>293</v>
      </c>
      <c r="C772" t="str">
        <f t="shared" si="51"/>
        <v>茨城県那珂市本米崎</v>
      </c>
      <c r="D772" s="2" t="str">
        <f t="shared" si="52"/>
        <v>http://geocode.csis.u-tokyo.ac.jp/cgi-bin/simple_geocode.cgi?charset=UTF8&amp;addr=%E8%8C%A8%E5%9F%8E%E7%9C%8C%E9%82%A3%E7%8F%82%E5%B8%82%E6%9C%AC%E7%B1%B3%E5%B4%8E</v>
      </c>
      <c r="E772" t="str">
        <f t="shared" si="53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772" cm="1">
        <f t="array" ref="F772">INDEX(_xlfn.FILTERXML(E772,"//latitude"),1)</f>
        <v>36.490650000000002</v>
      </c>
      <c r="G772" cm="1">
        <f t="array" ref="G772">INDEX(_xlfn.FILTERXML(E772,"//longitude"),1)</f>
        <v>140.54766799999999</v>
      </c>
      <c r="H772">
        <v>36.490650000000002</v>
      </c>
      <c r="I772">
        <v>140.54766799999999</v>
      </c>
    </row>
    <row r="773" spans="1:9" x14ac:dyDescent="0.4">
      <c r="A773" t="s">
        <v>17</v>
      </c>
      <c r="B773" t="s">
        <v>139</v>
      </c>
      <c r="C773" t="str">
        <f t="shared" si="51"/>
        <v>愛知県名古屋市西区枇杷島</v>
      </c>
      <c r="D773" s="2" t="str">
        <f t="shared" si="52"/>
        <v>http://geocode.csis.u-tokyo.ac.jp/cgi-bin/simple_geocode.cgi?charset=UTF8&amp;addr=%E6%84%9B%E7%9F%A5%E7%9C%8C%E5%90%8D%E5%8F%A4%E5%B1%8B%E5%B8%82%E8%A5%BF%E5%8C%BA%E6%9E%87%E6%9D%B7%E5%B3%B6</v>
      </c>
      <c r="E773" t="str">
        <f t="shared" si="53"/>
        <v xml:space="preserve">&lt;?xml version="1.0" encoding="UTF-8" ?&gt;
&lt;results&gt;
&lt;query&gt;愛知県名古屋市西区枇杷島&lt;/query&gt;
&lt;geodetic&gt;wgs1984&lt;/geodetic&gt;
&lt;iConf&gt;5&lt;/iConf&gt;
&lt;converted&gt;愛知県名古屋市西区枇杷島&lt;/converted&gt;
&lt;candidate&gt;
&lt;address&gt;愛知県/名古屋市/西区/枇杷島&lt;/address&gt;
&lt;longitude&gt;136.872971&lt;/longitude&gt;
&lt;latitude&gt;35.189644&lt;/latitude&gt;
&lt;iLvl&gt;5&lt;/iLvl&gt;
&lt;/candidate&gt;
&lt;/results&gt;
</v>
      </c>
      <c r="F773" cm="1">
        <f t="array" ref="F773">INDEX(_xlfn.FILTERXML(E773,"//latitude"),1)</f>
        <v>35.189644000000001</v>
      </c>
      <c r="G773" cm="1">
        <f t="array" ref="G773">INDEX(_xlfn.FILTERXML(E773,"//longitude"),1)</f>
        <v>136.87297100000001</v>
      </c>
      <c r="H773">
        <v>35.189644000000001</v>
      </c>
      <c r="I773">
        <v>136.87297100000001</v>
      </c>
    </row>
    <row r="774" spans="1:9" x14ac:dyDescent="0.4">
      <c r="A774" t="s">
        <v>10</v>
      </c>
      <c r="B774" t="s">
        <v>294</v>
      </c>
      <c r="C774" t="str">
        <f t="shared" si="51"/>
        <v>神奈川県茅ケ崎市元町</v>
      </c>
      <c r="D774" s="2" t="str">
        <f t="shared" si="52"/>
        <v>http://geocode.csis.u-tokyo.ac.jp/cgi-bin/simple_geocode.cgi?charset=UTF8&amp;addr=%E7%A5%9E%E5%A5%88%E5%B7%9D%E7%9C%8C%E8%8C%85%E3%82%B1%E5%B4%8E%E5%B8%82%E5%85%83%E7%94%BA</v>
      </c>
      <c r="E774" t="str">
        <f t="shared" si="53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774" cm="1">
        <f t="array" ref="F774">INDEX(_xlfn.FILTERXML(E774,"//latitude"),1)</f>
        <v>35.33231</v>
      </c>
      <c r="G774" cm="1">
        <f t="array" ref="G774">INDEX(_xlfn.FILTERXML(E774,"//longitude"),1)</f>
        <v>139.40823399999999</v>
      </c>
      <c r="H774">
        <v>35.33231</v>
      </c>
      <c r="I774">
        <v>139.40823399999999</v>
      </c>
    </row>
    <row r="775" spans="1:9" x14ac:dyDescent="0.4">
      <c r="A775" t="s">
        <v>21</v>
      </c>
      <c r="B775" t="s">
        <v>203</v>
      </c>
      <c r="C775" t="str">
        <f t="shared" si="51"/>
        <v>福岡県柳川市三橋町棚町</v>
      </c>
      <c r="D775" s="2" t="str">
        <f t="shared" si="52"/>
        <v>http://geocode.csis.u-tokyo.ac.jp/cgi-bin/simple_geocode.cgi?charset=UTF8&amp;addr=%E7%A6%8F%E5%B2%A1%E7%9C%8C%E6%9F%B3%E5%B7%9D%E5%B8%82%E4%B8%89%E6%A9%8B%E7%94%BA%E6%A3%9A%E7%94%BA</v>
      </c>
      <c r="E775" t="str">
        <f t="shared" si="53"/>
        <v xml:space="preserve">&lt;?xml version="1.0" encoding="UTF-8" ?&gt;
&lt;results&gt;
&lt;query&gt;福岡県柳川市三橋町棚町&lt;/query&gt;
&lt;geodetic&gt;wgs1984&lt;/geodetic&gt;
&lt;iConf&gt;5&lt;/iConf&gt;
&lt;converted&gt;福岡県柳川市三橋町棚町&lt;/converted&gt;
&lt;candidate&gt;
&lt;address&gt;福岡県/柳川市/三橋町棚町&lt;/address&gt;
&lt;longitude&gt;130.449966&lt;/longitude&gt;
&lt;latitude&gt;33.151855&lt;/latitude&gt;
&lt;iLvl&gt;5&lt;/iLvl&gt;
&lt;/candidate&gt;
&lt;/results&gt;
</v>
      </c>
      <c r="F775" cm="1">
        <f t="array" ref="F775">INDEX(_xlfn.FILTERXML(E775,"//latitude"),1)</f>
        <v>33.151854999999998</v>
      </c>
      <c r="G775" cm="1">
        <f t="array" ref="G775">INDEX(_xlfn.FILTERXML(E775,"//longitude"),1)</f>
        <v>130.44996599999999</v>
      </c>
      <c r="H775">
        <v>33.151854999999998</v>
      </c>
      <c r="I775">
        <v>130.44996599999999</v>
      </c>
    </row>
    <row r="776" spans="1:9" x14ac:dyDescent="0.4">
      <c r="A776" t="s">
        <v>39</v>
      </c>
      <c r="B776" t="s">
        <v>295</v>
      </c>
      <c r="C776" t="str">
        <f t="shared" si="51"/>
        <v>愛媛県四国中央市金生町山田井</v>
      </c>
      <c r="D776" s="2" t="str">
        <f t="shared" si="52"/>
        <v>http://geocode.csis.u-tokyo.ac.jp/cgi-bin/simple_geocode.cgi?charset=UTF8&amp;addr=%E6%84%9B%E5%AA%9B%E7%9C%8C%E5%9B%9B%E5%9B%BD%E4%B8%AD%E5%A4%AE%E5%B8%82%E9%87%91%E7%94%9F%E7%94%BA%E5%B1%B1%E7%94%B0%E4%BA%95</v>
      </c>
      <c r="E776" t="str">
        <f t="shared" si="53"/>
        <v xml:space="preserve">&lt;?xml version="1.0" encoding="UTF-8" ?&gt;
&lt;results&gt;
&lt;query&gt;愛媛県四国中央市金生町山田井&lt;/query&gt;
&lt;geodetic&gt;wgs1984&lt;/geodetic&gt;
&lt;iConf&gt;5&lt;/iConf&gt;
&lt;converted&gt;愛媛県四国中央市金生町山田井&lt;/converted&gt;
&lt;candidate&gt;
&lt;address&gt;愛媛県/四国中央市/金生町山田井&lt;/address&gt;
&lt;longitude&gt;133.616501&lt;/longitude&gt;
&lt;latitude&gt;34.016640&lt;/latitude&gt;
&lt;iLvl&gt;5&lt;/iLvl&gt;
&lt;/candidate&gt;
&lt;/results&gt;
</v>
      </c>
      <c r="F776" cm="1">
        <f t="array" ref="F776">INDEX(_xlfn.FILTERXML(E776,"//latitude"),1)</f>
        <v>34.016640000000002</v>
      </c>
      <c r="G776" cm="1">
        <f t="array" ref="G776">INDEX(_xlfn.FILTERXML(E776,"//longitude"),1)</f>
        <v>133.616501</v>
      </c>
      <c r="H776">
        <v>34.016640000000002</v>
      </c>
      <c r="I776">
        <v>133.616501</v>
      </c>
    </row>
    <row r="777" spans="1:9" x14ac:dyDescent="0.4">
      <c r="A777" t="s">
        <v>26</v>
      </c>
      <c r="B777" t="s">
        <v>296</v>
      </c>
      <c r="C777" t="str">
        <f t="shared" si="51"/>
        <v>京都府宇治市伊勢田町名木1丁目</v>
      </c>
      <c r="D777" s="2" t="str">
        <f t="shared" si="52"/>
        <v>http://geocode.csis.u-tokyo.ac.jp/cgi-bin/simple_geocode.cgi?charset=UTF8&amp;addr=%E4%BA%AC%E9%83%BD%E5%BA%9C%E5%AE%87%E6%B2%BB%E5%B8%82%E4%BC%8A%E5%8B%A2%E7%94%B0%E7%94%BA%E5%90%8D%E6%9C%A81%E4%B8%81%E7%9B%AE</v>
      </c>
      <c r="E777" t="str">
        <f t="shared" si="53"/>
        <v xml:space="preserve">&lt;?xml version="1.0" encoding="UTF-8" ?&gt;
&lt;results&gt;
&lt;query&gt;京都府宇治市伊勢田町名木1丁目&lt;/query&gt;
&lt;geodetic&gt;wgs1984&lt;/geodetic&gt;
&lt;iConf&gt;5&lt;/iConf&gt;
&lt;converted&gt;京都府宇治市伊勢田町名木1丁目&lt;/converted&gt;
&lt;candidate&gt;
&lt;address&gt;京都府/宇治市/伊勢田町名木/一丁目&lt;/address&gt;
&lt;longitude&gt;135.767776&lt;/longitude&gt;
&lt;latitude&gt;34.882561&lt;/latitude&gt;
&lt;iLvl&gt;6&lt;/iLvl&gt;
&lt;/candidate&gt;
&lt;/results&gt;
</v>
      </c>
      <c r="F777" cm="1">
        <f t="array" ref="F777">INDEX(_xlfn.FILTERXML(E777,"//latitude"),1)</f>
        <v>34.882561000000003</v>
      </c>
      <c r="G777" cm="1">
        <f t="array" ref="G777">INDEX(_xlfn.FILTERXML(E777,"//longitude"),1)</f>
        <v>135.767776</v>
      </c>
      <c r="H777">
        <v>34.882561000000003</v>
      </c>
      <c r="I777">
        <v>135.767776</v>
      </c>
    </row>
    <row r="778" spans="1:9" x14ac:dyDescent="0.4">
      <c r="A778" t="s">
        <v>31</v>
      </c>
      <c r="B778" t="s">
        <v>297</v>
      </c>
      <c r="C778" t="str">
        <f t="shared" si="51"/>
        <v>熊本県熊本市中央区帯山</v>
      </c>
      <c r="D778" s="2" t="str">
        <f t="shared" si="52"/>
        <v>http://geocode.csis.u-tokyo.ac.jp/cgi-bin/simple_geocode.cgi?charset=UTF8&amp;addr=%E7%86%8A%E6%9C%AC%E7%9C%8C%E7%86%8A%E6%9C%AC%E5%B8%82%E4%B8%AD%E5%A4%AE%E5%8C%BA%E5%B8%AF%E5%B1%B1</v>
      </c>
      <c r="E778" t="str">
        <f t="shared" si="53"/>
        <v xml:space="preserve">&lt;?xml version="1.0" encoding="UTF-8" ?&gt;
&lt;results&gt;
&lt;query&gt;熊本県熊本市中央区帯山&lt;/query&gt;
&lt;geodetic&gt;wgs1984&lt;/geodetic&gt;
&lt;iConf&gt;5&lt;/iConf&gt;
&lt;converted&gt;熊本県熊本市中央区帯山&lt;/converted&gt;
&lt;candidate&gt;
&lt;address&gt;熊本県/熊本市/中央区/帯山&lt;/address&gt;
&lt;longitude&gt;130.741364&lt;/longitude&gt;
&lt;latitude&gt;32.801014&lt;/latitude&gt;
&lt;iLvl&gt;5&lt;/iLvl&gt;
&lt;/candidate&gt;
&lt;/results&gt;
</v>
      </c>
      <c r="F778" cm="1">
        <f t="array" ref="F778">INDEX(_xlfn.FILTERXML(E778,"//latitude"),1)</f>
        <v>32.801014000000002</v>
      </c>
      <c r="G778" cm="1">
        <f t="array" ref="G778">INDEX(_xlfn.FILTERXML(E778,"//longitude"),1)</f>
        <v>130.741364</v>
      </c>
      <c r="H778">
        <v>32.801014000000002</v>
      </c>
      <c r="I778">
        <v>130.741364</v>
      </c>
    </row>
    <row r="779" spans="1:9" x14ac:dyDescent="0.4">
      <c r="A779" t="s">
        <v>17</v>
      </c>
      <c r="B779" t="s">
        <v>298</v>
      </c>
      <c r="C779" t="str">
        <f t="shared" si="51"/>
        <v>愛知県津島市唐臼町囲外</v>
      </c>
      <c r="D779" s="2" t="str">
        <f t="shared" si="52"/>
        <v>http://geocode.csis.u-tokyo.ac.jp/cgi-bin/simple_geocode.cgi?charset=UTF8&amp;addr=%E6%84%9B%E7%9F%A5%E7%9C%8C%E6%B4%A5%E5%B3%B6%E5%B8%82%E5%94%90%E8%87%BC%E7%94%BA%E5%9B%B2%E5%A4%96</v>
      </c>
      <c r="E779" t="str">
        <f t="shared" si="53"/>
        <v xml:space="preserve">&lt;?xml version="1.0" encoding="UTF-8" ?&gt;
&lt;results&gt;
&lt;query&gt;愛知県津島市唐臼町囲外&lt;/query&gt;
&lt;geodetic&gt;wgs1984&lt;/geodetic&gt;
&lt;iConf&gt;5&lt;/iConf&gt;
&lt;converted&gt;愛知県津島市唐臼町囲外&lt;/converted&gt;
&lt;candidate&gt;
&lt;address&gt;愛知県/津島市/唐臼町/囲外&lt;/address&gt;
&lt;longitude&gt;136.747574&lt;/longitude&gt;
&lt;latitude&gt;35.163383&lt;/latitude&gt;
&lt;iLvl&gt;6&lt;/iLvl&gt;
&lt;/candidate&gt;
&lt;/results&gt;
</v>
      </c>
      <c r="F779" cm="1">
        <f t="array" ref="F779">INDEX(_xlfn.FILTERXML(E779,"//latitude"),1)</f>
        <v>35.163383000000003</v>
      </c>
      <c r="G779" cm="1">
        <f t="array" ref="G779">INDEX(_xlfn.FILTERXML(E779,"//longitude"),1)</f>
        <v>136.74757399999999</v>
      </c>
      <c r="H779">
        <v>35.163383000000003</v>
      </c>
      <c r="I779">
        <v>136.74757399999999</v>
      </c>
    </row>
    <row r="780" spans="1:9" x14ac:dyDescent="0.4">
      <c r="A780" t="s">
        <v>10</v>
      </c>
      <c r="B780" t="s">
        <v>53</v>
      </c>
      <c r="C780" t="str">
        <f t="shared" si="51"/>
        <v>神奈川県川崎市中原区</v>
      </c>
      <c r="D780" s="2" t="str">
        <f t="shared" si="52"/>
        <v>http://geocode.csis.u-tokyo.ac.jp/cgi-bin/simple_geocode.cgi?charset=UTF8&amp;addr=%E7%A5%9E%E5%A5%88%E5%B7%9D%E7%9C%8C%E5%B7%9D%E5%B4%8E%E5%B8%82%E4%B8%AD%E5%8E%9F%E5%8C%BA</v>
      </c>
      <c r="E780" t="str">
        <f t="shared" si="53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780" cm="1">
        <f t="array" ref="F780">INDEX(_xlfn.FILTERXML(E780,"//latitude"),1)</f>
        <v>35.576259999999998</v>
      </c>
      <c r="G780" cm="1">
        <f t="array" ref="G780">INDEX(_xlfn.FILTERXML(E780,"//longitude"),1)</f>
        <v>139.65576200000001</v>
      </c>
      <c r="H780">
        <v>35.576259999999998</v>
      </c>
      <c r="I780">
        <v>139.65576200000001</v>
      </c>
    </row>
    <row r="781" spans="1:9" x14ac:dyDescent="0.4">
      <c r="A781" t="s">
        <v>10</v>
      </c>
      <c r="B781" t="s">
        <v>53</v>
      </c>
      <c r="C781" t="str">
        <f t="shared" si="51"/>
        <v>神奈川県川崎市中原区</v>
      </c>
      <c r="D781" s="2" t="str">
        <f t="shared" si="52"/>
        <v>http://geocode.csis.u-tokyo.ac.jp/cgi-bin/simple_geocode.cgi?charset=UTF8&amp;addr=%E7%A5%9E%E5%A5%88%E5%B7%9D%E7%9C%8C%E5%B7%9D%E5%B4%8E%E5%B8%82%E4%B8%AD%E5%8E%9F%E5%8C%BA</v>
      </c>
      <c r="E781" t="str">
        <f t="shared" si="53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781" cm="1">
        <f t="array" ref="F781">INDEX(_xlfn.FILTERXML(E781,"//latitude"),1)</f>
        <v>35.576259999999998</v>
      </c>
      <c r="G781" cm="1">
        <f t="array" ref="G781">INDEX(_xlfn.FILTERXML(E781,"//longitude"),1)</f>
        <v>139.65576200000001</v>
      </c>
      <c r="H781">
        <v>35.576259999999998</v>
      </c>
      <c r="I781">
        <v>139.65576200000001</v>
      </c>
    </row>
    <row r="782" spans="1:9" x14ac:dyDescent="0.4">
      <c r="A782" t="s">
        <v>15</v>
      </c>
      <c r="B782" t="s">
        <v>244</v>
      </c>
      <c r="C782" t="str">
        <f t="shared" si="51"/>
        <v>兵庫県西宮市</v>
      </c>
      <c r="D782" s="2" t="str">
        <f t="shared" si="52"/>
        <v>http://geocode.csis.u-tokyo.ac.jp/cgi-bin/simple_geocode.cgi?charset=UTF8&amp;addr=%E5%85%B5%E5%BA%AB%E7%9C%8C%E8%A5%BF%E5%AE%AE%E5%B8%82</v>
      </c>
      <c r="E782" t="str">
        <f t="shared" si="53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782" cm="1">
        <f t="array" ref="F782">INDEX(_xlfn.FILTERXML(E782,"//latitude"),1)</f>
        <v>34.737690000000001</v>
      </c>
      <c r="G782" cm="1">
        <f t="array" ref="G782">INDEX(_xlfn.FILTERXML(E782,"//longitude"),1)</f>
        <v>135.34182699999999</v>
      </c>
      <c r="H782">
        <v>34.737690000000001</v>
      </c>
      <c r="I782">
        <v>135.34182699999999</v>
      </c>
    </row>
    <row r="783" spans="1:9" x14ac:dyDescent="0.4">
      <c r="A783" t="s">
        <v>9</v>
      </c>
      <c r="B783" t="s">
        <v>299</v>
      </c>
      <c r="C783" t="str">
        <f t="shared" ref="C783:C846" si="54">+A783&amp;B783</f>
        <v>東京都荒川区</v>
      </c>
      <c r="D783" s="2" t="str">
        <f t="shared" ref="D783:D846" si="55" xml:space="preserve"> "http://geocode.csis.u-tokyo.ac.jp/cgi-bin/simple_geocode.cgi?charset=UTF8&amp;addr=" &amp; _xlfn.ENCODEURL(C783)</f>
        <v>http://geocode.csis.u-tokyo.ac.jp/cgi-bin/simple_geocode.cgi?charset=UTF8&amp;addr=%E6%9D%B1%E4%BA%AC%E9%83%BD%E8%8D%92%E5%B7%9D%E5%8C%BA</v>
      </c>
      <c r="E783" t="str">
        <f t="shared" ref="E783:E846" si="56" xml:space="preserve"> _xlfn.WEBSERVICE(D783)</f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783" cm="1">
        <f t="array" ref="F783">INDEX(_xlfn.FILTERXML(E783,"//latitude"),1)</f>
        <v>35.736083999999998</v>
      </c>
      <c r="G783" cm="1">
        <f t="array" ref="G783">INDEX(_xlfn.FILTERXML(E783,"//longitude"),1)</f>
        <v>139.78337099999999</v>
      </c>
      <c r="H783">
        <v>35.736083999999998</v>
      </c>
      <c r="I783">
        <v>139.78337099999999</v>
      </c>
    </row>
    <row r="784" spans="1:9" x14ac:dyDescent="0.4">
      <c r="A784" t="s">
        <v>16</v>
      </c>
      <c r="B784" t="s">
        <v>300</v>
      </c>
      <c r="C784" t="str">
        <f t="shared" si="54"/>
        <v>長野県長野市平林</v>
      </c>
      <c r="D784" s="2" t="str">
        <f t="shared" si="55"/>
        <v>http://geocode.csis.u-tokyo.ac.jp/cgi-bin/simple_geocode.cgi?charset=UTF8&amp;addr=%E9%95%B7%E9%87%8E%E7%9C%8C%E9%95%B7%E9%87%8E%E5%B8%82%E5%B9%B3%E6%9E%97</v>
      </c>
      <c r="E784" t="str">
        <f t="shared" si="56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784" cm="1">
        <f t="array" ref="F784">INDEX(_xlfn.FILTERXML(E784,"//latitude"),1)</f>
        <v>36.649807000000003</v>
      </c>
      <c r="G784" cm="1">
        <f t="array" ref="G784">INDEX(_xlfn.FILTERXML(E784,"//longitude"),1)</f>
        <v>138.21038799999999</v>
      </c>
      <c r="H784">
        <v>36.649807000000003</v>
      </c>
      <c r="I784">
        <v>138.21038799999999</v>
      </c>
    </row>
    <row r="785" spans="1:9" x14ac:dyDescent="0.4">
      <c r="A785" t="s">
        <v>9</v>
      </c>
      <c r="B785" t="s">
        <v>223</v>
      </c>
      <c r="C785" t="str">
        <f t="shared" si="54"/>
        <v>東京都世田谷区</v>
      </c>
      <c r="D785" s="2" t="str">
        <f t="shared" si="55"/>
        <v>http://geocode.csis.u-tokyo.ac.jp/cgi-bin/simple_geocode.cgi?charset=UTF8&amp;addr=%E6%9D%B1%E4%BA%AC%E9%83%BD%E4%B8%96%E7%94%B0%E8%B0%B7%E5%8C%BA</v>
      </c>
      <c r="E785" t="str">
        <f t="shared" si="5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785" cm="1">
        <f t="array" ref="F785">INDEX(_xlfn.FILTERXML(E785,"//latitude"),1)</f>
        <v>35.646481000000001</v>
      </c>
      <c r="G785" cm="1">
        <f t="array" ref="G785">INDEX(_xlfn.FILTERXML(E785,"//longitude"),1)</f>
        <v>139.65321399999999</v>
      </c>
      <c r="H785">
        <v>35.646481000000001</v>
      </c>
      <c r="I785">
        <v>139.65321399999999</v>
      </c>
    </row>
    <row r="786" spans="1:9" x14ac:dyDescent="0.4">
      <c r="A786" t="s">
        <v>16</v>
      </c>
      <c r="B786" t="s">
        <v>219</v>
      </c>
      <c r="C786" t="str">
        <f t="shared" si="54"/>
        <v>長野県須坂市大字福島</v>
      </c>
      <c r="D786" s="2" t="str">
        <f t="shared" si="55"/>
        <v>http://geocode.csis.u-tokyo.ac.jp/cgi-bin/simple_geocode.cgi?charset=UTF8&amp;addr=%E9%95%B7%E9%87%8E%E7%9C%8C%E9%A0%88%E5%9D%82%E5%B8%82%E5%A4%A7%E5%AD%97%E7%A6%8F%E5%B3%B6</v>
      </c>
      <c r="E786" t="str">
        <f t="shared" si="56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786" cm="1">
        <f t="array" ref="F786">INDEX(_xlfn.FILTERXML(E786,"//latitude"),1)</f>
        <v>36.646191000000002</v>
      </c>
      <c r="G786" cm="1">
        <f t="array" ref="G786">INDEX(_xlfn.FILTERXML(E786,"//longitude"),1)</f>
        <v>138.26513700000001</v>
      </c>
      <c r="H786">
        <v>36.646191000000002</v>
      </c>
      <c r="I786">
        <v>138.26513700000001</v>
      </c>
    </row>
    <row r="787" spans="1:9" x14ac:dyDescent="0.4">
      <c r="A787" t="s">
        <v>9</v>
      </c>
      <c r="B787" t="s">
        <v>220</v>
      </c>
      <c r="C787" t="str">
        <f t="shared" si="54"/>
        <v>東京都港区芝浦</v>
      </c>
      <c r="D787" s="2" t="str">
        <f t="shared" si="55"/>
        <v>http://geocode.csis.u-tokyo.ac.jp/cgi-bin/simple_geocode.cgi?charset=UTF8&amp;addr=%E6%9D%B1%E4%BA%AC%E9%83%BD%E6%B8%AF%E5%8C%BA%E8%8A%9D%E6%B5%A6</v>
      </c>
      <c r="E787" t="str">
        <f t="shared" si="56"/>
        <v xml:space="preserve">&lt;?xml version="1.0" encoding="UTF-8" ?&gt;
&lt;results&gt;
&lt;query&gt;東京都港区芝浦&lt;/query&gt;
&lt;geodetic&gt;wgs1984&lt;/geodetic&gt;
&lt;iConf&gt;5&lt;/iConf&gt;
&lt;converted&gt;東京都港区芝浦&lt;/converted&gt;
&lt;candidate&gt;
&lt;address&gt;東京都/港区/芝浦&lt;/address&gt;
&lt;longitude&gt;139.755447&lt;/longitude&gt;
&lt;latitude&gt;35.648743&lt;/latitude&gt;
&lt;iLvl&gt;5&lt;/iLvl&gt;
&lt;/candidate&gt;
&lt;/results&gt;
</v>
      </c>
      <c r="F787" cm="1">
        <f t="array" ref="F787">INDEX(_xlfn.FILTERXML(E787,"//latitude"),1)</f>
        <v>35.648743000000003</v>
      </c>
      <c r="G787" cm="1">
        <f t="array" ref="G787">INDEX(_xlfn.FILTERXML(E787,"//longitude"),1)</f>
        <v>139.755447</v>
      </c>
      <c r="H787">
        <v>35.648743000000003</v>
      </c>
      <c r="I787">
        <v>139.755447</v>
      </c>
    </row>
    <row r="788" spans="1:9" x14ac:dyDescent="0.4">
      <c r="A788" t="s">
        <v>13</v>
      </c>
      <c r="B788" t="s">
        <v>1078</v>
      </c>
      <c r="C788" t="str">
        <f t="shared" si="54"/>
        <v>埼玉県富士見市</v>
      </c>
      <c r="D788" s="2" t="str">
        <f t="shared" si="55"/>
        <v>http://geocode.csis.u-tokyo.ac.jp/cgi-bin/simple_geocode.cgi?charset=UTF8&amp;addr=%E5%9F%BC%E7%8E%89%E7%9C%8C%E5%AF%8C%E5%A3%AB%E8%A6%8B%E5%B8%82</v>
      </c>
      <c r="E788" t="str">
        <f t="shared" si="56"/>
        <v xml:space="preserve">&lt;?xml version="1.0" encoding="UTF-8" ?&gt;
&lt;results&gt;
&lt;query&gt;埼玉県富士見市&lt;/query&gt;
&lt;geodetic&gt;wgs1984&lt;/geodetic&gt;
&lt;iConf&gt;5&lt;/iConf&gt;
&lt;converted&gt;埼玉県富士見市&lt;/converted&gt;
&lt;candidate&gt;
&lt;address&gt;埼玉県/富士見市&lt;/address&gt;
&lt;longitude&gt;139.549072&lt;/longitude&gt;
&lt;latitude&gt;35.856758&lt;/latitude&gt;
&lt;iLvl&gt;3&lt;/iLvl&gt;
&lt;/candidate&gt;
&lt;/results&gt;
</v>
      </c>
      <c r="F788" cm="1">
        <f t="array" ref="F788">INDEX(_xlfn.FILTERXML(E788,"//latitude"),1)</f>
        <v>35.856757999999999</v>
      </c>
      <c r="G788" cm="1">
        <f t="array" ref="G788">INDEX(_xlfn.FILTERXML(E788,"//longitude"),1)</f>
        <v>139.549072</v>
      </c>
      <c r="H788">
        <v>35.856757999999999</v>
      </c>
      <c r="I788">
        <v>139.549072</v>
      </c>
    </row>
    <row r="789" spans="1:9" x14ac:dyDescent="0.4">
      <c r="A789" t="s">
        <v>12</v>
      </c>
      <c r="B789" t="s">
        <v>301</v>
      </c>
      <c r="C789" t="str">
        <f t="shared" si="54"/>
        <v>奈良県北葛城郡広陵町</v>
      </c>
      <c r="D789" s="2" t="str">
        <f t="shared" si="55"/>
        <v>http://geocode.csis.u-tokyo.ac.jp/cgi-bin/simple_geocode.cgi?charset=UTF8&amp;addr=%E5%A5%88%E8%89%AF%E7%9C%8C%E5%8C%97%E8%91%9B%E5%9F%8E%E9%83%A1%E5%BA%83%E9%99%B5%E7%94%BA</v>
      </c>
      <c r="E789" t="str">
        <f t="shared" si="56"/>
        <v xml:space="preserve">&lt;?xml version="1.0" encoding="UTF-8" ?&gt;
&lt;results&gt;
&lt;query&gt;奈良県北葛城郡広陵町&lt;/query&gt;
&lt;geodetic&gt;wgs1984&lt;/geodetic&gt;
&lt;iConf&gt;5&lt;/iConf&gt;
&lt;converted&gt;奈良県北葛城郡広陵町&lt;/converted&gt;
&lt;candidate&gt;
&lt;address&gt;奈良県/北葛城郡/広陵町&lt;/address&gt;
&lt;longitude&gt;135.750839&lt;/longitude&gt;
&lt;latitude&gt;34.542740&lt;/latitude&gt;
&lt;iLvl&gt;3&lt;/iLvl&gt;
&lt;/candidate&gt;
&lt;/results&gt;
</v>
      </c>
      <c r="F789" cm="1">
        <f t="array" ref="F789">INDEX(_xlfn.FILTERXML(E789,"//latitude"),1)</f>
        <v>34.542740000000002</v>
      </c>
      <c r="G789" cm="1">
        <f t="array" ref="G789">INDEX(_xlfn.FILTERXML(E789,"//longitude"),1)</f>
        <v>135.75083900000001</v>
      </c>
      <c r="H789">
        <v>34.542740000000002</v>
      </c>
      <c r="I789">
        <v>135.75083900000001</v>
      </c>
    </row>
    <row r="790" spans="1:9" x14ac:dyDescent="0.4">
      <c r="A790" t="s">
        <v>9</v>
      </c>
      <c r="B790" t="s">
        <v>30</v>
      </c>
      <c r="C790" t="str">
        <f t="shared" si="54"/>
        <v>東京都中野区</v>
      </c>
      <c r="D790" s="2" t="str">
        <f t="shared" si="55"/>
        <v>http://geocode.csis.u-tokyo.ac.jp/cgi-bin/simple_geocode.cgi?charset=UTF8&amp;addr=%E6%9D%B1%E4%BA%AC%E9%83%BD%E4%B8%AD%E9%87%8E%E5%8C%BA</v>
      </c>
      <c r="E790" t="str">
        <f t="shared" si="56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790" cm="1">
        <f t="array" ref="F790">INDEX(_xlfn.FILTERXML(E790,"//latitude"),1)</f>
        <v>35.707267999999999</v>
      </c>
      <c r="G790" cm="1">
        <f t="array" ref="G790">INDEX(_xlfn.FILTERXML(E790,"//longitude"),1)</f>
        <v>139.66374200000001</v>
      </c>
      <c r="H790">
        <v>35.707267999999999</v>
      </c>
      <c r="I790">
        <v>139.66374200000001</v>
      </c>
    </row>
    <row r="791" spans="1:9" x14ac:dyDescent="0.4">
      <c r="A791" t="s">
        <v>10</v>
      </c>
      <c r="B791" t="s">
        <v>302</v>
      </c>
      <c r="C791" t="str">
        <f t="shared" si="54"/>
        <v>神奈川県川崎市麻生区万福寺３－１２－１－１４１１</v>
      </c>
      <c r="D791" s="2" t="str">
        <f t="shared" si="55"/>
        <v>http://geocode.csis.u-tokyo.ac.jp/cgi-bin/simple_geocode.cgi?charset=UTF8&amp;addr=%E7%A5%9E%E5%A5%88%E5%B7%9D%E7%9C%8C%E5%B7%9D%E5%B4%8E%E5%B8%82%E9%BA%BB%E7%94%9F%E5%8C%BA%E4%B8%87%E7%A6%8F%E5%AF%BA%EF%BC%93%EF%BC%8D%EF%BC%91%EF%BC%92%EF%BC%8D%EF%BC%91%EF%BC%8D%EF%BC%91%EF%BC%94%EF%BC%91%EF%BC%91</v>
      </c>
      <c r="E791" t="str">
        <f t="shared" si="56"/>
        <v xml:space="preserve">&lt;?xml version="1.0" encoding="UTF-8" ?&gt;
&lt;results&gt;
&lt;query&gt;神奈川県川崎市麻生区万福寺３−１２−１−１４１１&lt;/query&gt;
&lt;geodetic&gt;wgs1984&lt;/geodetic&gt;
&lt;iConf&gt;5&lt;/iConf&gt;
&lt;converted&gt;神奈川県川崎市麻生区万福寺３−１２−&lt;/converted&gt;
&lt;candidate&gt;
&lt;address&gt;神奈川県/川崎市/麻生区/万福寺/三丁目/１２番&lt;/address&gt;
&lt;longitude&gt;139.509857&lt;/longitude&gt;
&lt;latitude&gt;35.607277&lt;/latitude&gt;
&lt;iLvl&gt;7&lt;/iLvl&gt;
&lt;/candidate&gt;
&lt;/results&gt;
</v>
      </c>
      <c r="F791" cm="1">
        <f t="array" ref="F791">INDEX(_xlfn.FILTERXML(E791,"//latitude"),1)</f>
        <v>35.607277000000003</v>
      </c>
      <c r="G791" cm="1">
        <f t="array" ref="G791">INDEX(_xlfn.FILTERXML(E791,"//longitude"),1)</f>
        <v>139.50985700000001</v>
      </c>
      <c r="H791">
        <v>35.607277000000003</v>
      </c>
      <c r="I791">
        <v>139.50985700000001</v>
      </c>
    </row>
    <row r="792" spans="1:9" x14ac:dyDescent="0.4">
      <c r="A792" t="s">
        <v>9</v>
      </c>
      <c r="B792" t="s">
        <v>233</v>
      </c>
      <c r="C792" t="str">
        <f t="shared" si="54"/>
        <v>東京都北区</v>
      </c>
      <c r="D792" s="2" t="str">
        <f t="shared" si="55"/>
        <v>http://geocode.csis.u-tokyo.ac.jp/cgi-bin/simple_geocode.cgi?charset=UTF8&amp;addr=%E6%9D%B1%E4%BA%AC%E9%83%BD%E5%8C%97%E5%8C%BA</v>
      </c>
      <c r="E792" t="str">
        <f t="shared" si="56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792" cm="1">
        <f t="array" ref="F792">INDEX(_xlfn.FILTERXML(E792,"//latitude"),1)</f>
        <v>35.752803999999998</v>
      </c>
      <c r="G792" cm="1">
        <f t="array" ref="G792">INDEX(_xlfn.FILTERXML(E792,"//longitude"),1)</f>
        <v>139.73365799999999</v>
      </c>
      <c r="H792">
        <v>35.752803999999998</v>
      </c>
      <c r="I792">
        <v>139.73365799999999</v>
      </c>
    </row>
    <row r="793" spans="1:9" x14ac:dyDescent="0.4">
      <c r="A793" t="s">
        <v>11</v>
      </c>
      <c r="B793" t="s">
        <v>303</v>
      </c>
      <c r="C793" t="str">
        <f t="shared" si="54"/>
        <v>大阪府大阪市平野区長吉長原西</v>
      </c>
      <c r="D793" s="2" t="str">
        <f t="shared" si="55"/>
        <v>http://geocode.csis.u-tokyo.ac.jp/cgi-bin/simple_geocode.cgi?charset=UTF8&amp;addr=%E5%A4%A7%E9%98%AA%E5%BA%9C%E5%A4%A7%E9%98%AA%E5%B8%82%E5%B9%B3%E9%87%8E%E5%8C%BA%E9%95%B7%E5%90%89%E9%95%B7%E5%8E%9F%E8%A5%BF</v>
      </c>
      <c r="E793" t="str">
        <f t="shared" si="56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793" cm="1">
        <f t="array" ref="F793">INDEX(_xlfn.FILTERXML(E793,"//latitude"),1)</f>
        <v>34.607632000000002</v>
      </c>
      <c r="G793" cm="1">
        <f t="array" ref="G793">INDEX(_xlfn.FILTERXML(E793,"//longitude"),1)</f>
        <v>135.565979</v>
      </c>
      <c r="H793">
        <v>34.607632000000002</v>
      </c>
      <c r="I793">
        <v>135.565979</v>
      </c>
    </row>
    <row r="794" spans="1:9" x14ac:dyDescent="0.4">
      <c r="A794" t="s">
        <v>144</v>
      </c>
      <c r="B794" t="s">
        <v>210</v>
      </c>
      <c r="C794" t="str">
        <f t="shared" si="54"/>
        <v>秋田県秋田市</v>
      </c>
      <c r="D794" s="2" t="str">
        <f t="shared" si="55"/>
        <v>http://geocode.csis.u-tokyo.ac.jp/cgi-bin/simple_geocode.cgi?charset=UTF8&amp;addr=%E7%A7%8B%E7%94%B0%E7%9C%8C%E7%A7%8B%E7%94%B0%E5%B8%82</v>
      </c>
      <c r="E794" t="str">
        <f t="shared" si="56"/>
        <v xml:space="preserve">&lt;?xml version="1.0" encoding="UTF-8" ?&gt;
&lt;results&gt;
&lt;query&gt;秋田県秋田市&lt;/query&gt;
&lt;geodetic&gt;wgs1984&lt;/geodetic&gt;
&lt;iConf&gt;5&lt;/iConf&gt;
&lt;converted&gt;秋田県秋田市&lt;/converted&gt;
&lt;candidate&gt;
&lt;address&gt;秋田県/秋田市&lt;/address&gt;
&lt;longitude&gt;140.102509&lt;/longitude&gt;
&lt;latitude&gt;39.719929&lt;/latitude&gt;
&lt;iLvl&gt;3&lt;/iLvl&gt;
&lt;/candidate&gt;
&lt;/results&gt;
</v>
      </c>
      <c r="F794" cm="1">
        <f t="array" ref="F794">INDEX(_xlfn.FILTERXML(E794,"//latitude"),1)</f>
        <v>39.719929</v>
      </c>
      <c r="G794" cm="1">
        <f t="array" ref="G794">INDEX(_xlfn.FILTERXML(E794,"//longitude"),1)</f>
        <v>140.102509</v>
      </c>
      <c r="H794">
        <v>39.719929</v>
      </c>
      <c r="I794">
        <v>140.102509</v>
      </c>
    </row>
    <row r="795" spans="1:9" x14ac:dyDescent="0.4">
      <c r="A795" t="s">
        <v>9</v>
      </c>
      <c r="B795" t="s">
        <v>304</v>
      </c>
      <c r="C795" t="str">
        <f t="shared" si="54"/>
        <v>東京都目黒区鷹番</v>
      </c>
      <c r="D795" s="2" t="str">
        <f t="shared" si="55"/>
        <v>http://geocode.csis.u-tokyo.ac.jp/cgi-bin/simple_geocode.cgi?charset=UTF8&amp;addr=%E6%9D%B1%E4%BA%AC%E9%83%BD%E7%9B%AE%E9%BB%92%E5%8C%BA%E9%B7%B9%E7%95%AA</v>
      </c>
      <c r="E795" t="str">
        <f t="shared" si="56"/>
        <v xml:space="preserve">&lt;?xml version="1.0" encoding="UTF-8" ?&gt;
&lt;results&gt;
&lt;query&gt;東京都目黒区鷹番&lt;/query&gt;
&lt;geodetic&gt;wgs1984&lt;/geodetic&gt;
&lt;iConf&gt;5&lt;/iConf&gt;
&lt;converted&gt;東京都目黒区鷹番&lt;/converted&gt;
&lt;candidate&gt;
&lt;address&gt;東京都/目黒区/鷹番&lt;/address&gt;
&lt;longitude&gt;139.687408&lt;/longitude&gt;
&lt;latitude&gt;35.625717&lt;/latitude&gt;
&lt;iLvl&gt;5&lt;/iLvl&gt;
&lt;/candidate&gt;
&lt;/results&gt;
</v>
      </c>
      <c r="F795" cm="1">
        <f t="array" ref="F795">INDEX(_xlfn.FILTERXML(E795,"//latitude"),1)</f>
        <v>35.625717000000002</v>
      </c>
      <c r="G795" cm="1">
        <f t="array" ref="G795">INDEX(_xlfn.FILTERXML(E795,"//longitude"),1)</f>
        <v>139.687408</v>
      </c>
      <c r="H795">
        <v>35.625717000000002</v>
      </c>
      <c r="I795">
        <v>139.687408</v>
      </c>
    </row>
    <row r="796" spans="1:9" x14ac:dyDescent="0.4">
      <c r="A796" t="s">
        <v>22</v>
      </c>
      <c r="B796" t="s">
        <v>167</v>
      </c>
      <c r="C796" t="str">
        <f t="shared" si="54"/>
        <v>群馬県前橋市下新田町</v>
      </c>
      <c r="D796" s="2" t="str">
        <f t="shared" si="55"/>
        <v>http://geocode.csis.u-tokyo.ac.jp/cgi-bin/simple_geocode.cgi?charset=UTF8&amp;addr=%E7%BE%A4%E9%A6%AC%E7%9C%8C%E5%89%8D%E6%A9%8B%E5%B8%82%E4%B8%8B%E6%96%B0%E7%94%B0%E7%94%BA</v>
      </c>
      <c r="E796" t="str">
        <f t="shared" si="56"/>
        <v xml:space="preserve">&lt;?xml version="1.0" encoding="UTF-8" ?&gt;
&lt;results&gt;
&lt;query&gt;群馬県前橋市下新田町&lt;/query&gt;
&lt;geodetic&gt;wgs1984&lt;/geodetic&gt;
&lt;iConf&gt;5&lt;/iConf&gt;
&lt;converted&gt;群馬県前橋市下新田町&lt;/converted&gt;
&lt;candidate&gt;
&lt;address&gt;群馬県/前橋市/下新田町&lt;/address&gt;
&lt;longitude&gt;139.067230&lt;/longitude&gt;
&lt;latitude&gt;36.356426&lt;/latitude&gt;
&lt;iLvl&gt;5&lt;/iLvl&gt;
&lt;/candidate&gt;
&lt;/results&gt;
</v>
      </c>
      <c r="F796" cm="1">
        <f t="array" ref="F796">INDEX(_xlfn.FILTERXML(E796,"//latitude"),1)</f>
        <v>36.356425999999999</v>
      </c>
      <c r="G796" cm="1">
        <f t="array" ref="G796">INDEX(_xlfn.FILTERXML(E796,"//longitude"),1)</f>
        <v>139.06723</v>
      </c>
      <c r="H796">
        <v>36.356425999999999</v>
      </c>
      <c r="I796">
        <v>139.06723</v>
      </c>
    </row>
    <row r="797" spans="1:9" x14ac:dyDescent="0.4">
      <c r="A797" t="s">
        <v>15</v>
      </c>
      <c r="B797" t="s">
        <v>305</v>
      </c>
      <c r="C797" t="str">
        <f t="shared" si="54"/>
        <v>兵庫県神戸市東灘区本庄町2丁目</v>
      </c>
      <c r="D797" s="2" t="str">
        <f t="shared" si="55"/>
        <v>http://geocode.csis.u-tokyo.ac.jp/cgi-bin/simple_geocode.cgi?charset=UTF8&amp;addr=%E5%85%B5%E5%BA%AB%E7%9C%8C%E7%A5%9E%E6%88%B8%E5%B8%82%E6%9D%B1%E7%81%98%E5%8C%BA%E6%9C%AC%E5%BA%84%E7%94%BA2%E4%B8%81%E7%9B%AE</v>
      </c>
      <c r="E797" t="str">
        <f t="shared" si="56"/>
        <v xml:space="preserve">&lt;?xml version="1.0" encoding="UTF-8" ?&gt;
&lt;results&gt;
&lt;query&gt;兵庫県神戸市東灘区本庄町2丁目&lt;/query&gt;
&lt;geodetic&gt;wgs1984&lt;/geodetic&gt;
&lt;iConf&gt;5&lt;/iConf&gt;
&lt;converted&gt;兵庫県神戸市東灘区本庄町2丁目&lt;/converted&gt;
&lt;candidate&gt;
&lt;address&gt;兵庫県/神戸市/東灘区/本庄町/二丁目&lt;/address&gt;
&lt;longitude&gt;135.291550&lt;/longitude&gt;
&lt;latitude&gt;34.726772&lt;/latitude&gt;
&lt;iLvl&gt;6&lt;/iLvl&gt;
&lt;/candidate&gt;
&lt;/results&gt;
</v>
      </c>
      <c r="F797" cm="1">
        <f t="array" ref="F797">INDEX(_xlfn.FILTERXML(E797,"//latitude"),1)</f>
        <v>34.726771999999997</v>
      </c>
      <c r="G797" cm="1">
        <f t="array" ref="G797">INDEX(_xlfn.FILTERXML(E797,"//longitude"),1)</f>
        <v>135.29155</v>
      </c>
      <c r="H797">
        <v>34.726771999999997</v>
      </c>
      <c r="I797">
        <v>135.29155</v>
      </c>
    </row>
    <row r="798" spans="1:9" x14ac:dyDescent="0.4">
      <c r="A798" t="s">
        <v>118</v>
      </c>
      <c r="B798" t="s">
        <v>306</v>
      </c>
      <c r="C798" t="str">
        <f t="shared" si="54"/>
        <v>北海道上川郡東川町</v>
      </c>
      <c r="D798" s="2" t="str">
        <f t="shared" si="55"/>
        <v>http://geocode.csis.u-tokyo.ac.jp/cgi-bin/simple_geocode.cgi?charset=UTF8&amp;addr=%E5%8C%97%E6%B5%B7%E9%81%93%E4%B8%8A%E5%B7%9D%E9%83%A1%E6%9D%B1%E5%B7%9D%E7%94%BA</v>
      </c>
      <c r="E798" t="str">
        <f t="shared" si="56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798" cm="1">
        <f t="array" ref="F798">INDEX(_xlfn.FILTERXML(E798,"//latitude"),1)</f>
        <v>43.698875000000001</v>
      </c>
      <c r="G798" cm="1">
        <f t="array" ref="G798">INDEX(_xlfn.FILTERXML(E798,"//longitude"),1)</f>
        <v>142.510132</v>
      </c>
      <c r="H798">
        <v>43.698875000000001</v>
      </c>
      <c r="I798">
        <v>142.510132</v>
      </c>
    </row>
    <row r="799" spans="1:9" x14ac:dyDescent="0.4">
      <c r="A799" t="s">
        <v>19</v>
      </c>
      <c r="B799" t="s">
        <v>264</v>
      </c>
      <c r="C799" t="str">
        <f t="shared" si="54"/>
        <v>滋賀県栗東市小柿</v>
      </c>
      <c r="D799" s="2" t="str">
        <f t="shared" si="55"/>
        <v>http://geocode.csis.u-tokyo.ac.jp/cgi-bin/simple_geocode.cgi?charset=UTF8&amp;addr=%E6%BB%8B%E8%B3%80%E7%9C%8C%E6%A0%97%E6%9D%B1%E5%B8%82%E5%B0%8F%E6%9F%BF</v>
      </c>
      <c r="E799" t="str">
        <f t="shared" si="56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799" cm="1">
        <f t="array" ref="F799">INDEX(_xlfn.FILTERXML(E799,"//latitude"),1)</f>
        <v>35.025832999999999</v>
      </c>
      <c r="G799" cm="1">
        <f t="array" ref="G799">INDEX(_xlfn.FILTERXML(E799,"//longitude"),1)</f>
        <v>135.97669999999999</v>
      </c>
      <c r="H799">
        <v>35.025832999999999</v>
      </c>
      <c r="I799">
        <v>135.97669999999999</v>
      </c>
    </row>
    <row r="800" spans="1:9" x14ac:dyDescent="0.4">
      <c r="A800" t="s">
        <v>15</v>
      </c>
      <c r="B800" t="s">
        <v>62</v>
      </c>
      <c r="C800" t="str">
        <f t="shared" si="54"/>
        <v>兵庫県西宮市甲陽園若江町</v>
      </c>
      <c r="D800" s="2" t="str">
        <f t="shared" si="55"/>
        <v>http://geocode.csis.u-tokyo.ac.jp/cgi-bin/simple_geocode.cgi?charset=UTF8&amp;addr=%E5%85%B5%E5%BA%AB%E7%9C%8C%E8%A5%BF%E5%AE%AE%E5%B8%82%E7%94%B2%E9%99%BD%E5%9C%92%E8%8B%A5%E6%B1%9F%E7%94%BA</v>
      </c>
      <c r="E800" t="str">
        <f t="shared" si="56"/>
        <v xml:space="preserve">&lt;?xml version="1.0" encoding="UTF-8" ?&gt;
&lt;results&gt;
&lt;query&gt;兵庫県西宮市甲陽園若江町&lt;/query&gt;
&lt;geodetic&gt;wgs1984&lt;/geodetic&gt;
&lt;iConf&gt;5&lt;/iConf&gt;
&lt;converted&gt;兵庫県西宮市甲陽園若江町&lt;/converted&gt;
&lt;candidate&gt;
&lt;address&gt;兵庫県/西宮市/甲陽園若江町&lt;/address&gt;
&lt;longitude&gt;135.330902&lt;/longitude&gt;
&lt;latitude&gt;34.759026&lt;/latitude&gt;
&lt;iLvl&gt;5&lt;/iLvl&gt;
&lt;/candidate&gt;
&lt;/results&gt;
</v>
      </c>
      <c r="F800" cm="1">
        <f t="array" ref="F800">INDEX(_xlfn.FILTERXML(E800,"//latitude"),1)</f>
        <v>34.759025999999999</v>
      </c>
      <c r="G800" cm="1">
        <f t="array" ref="G800">INDEX(_xlfn.FILTERXML(E800,"//longitude"),1)</f>
        <v>135.33090200000001</v>
      </c>
      <c r="H800">
        <v>34.759025999999999</v>
      </c>
      <c r="I800">
        <v>135.33090200000001</v>
      </c>
    </row>
    <row r="801" spans="1:9" x14ac:dyDescent="0.4">
      <c r="A801" t="s">
        <v>11</v>
      </c>
      <c r="B801" t="s">
        <v>307</v>
      </c>
      <c r="C801" t="str">
        <f t="shared" si="54"/>
        <v>大阪府枚方市東香里</v>
      </c>
      <c r="D801" s="2" t="str">
        <f t="shared" si="55"/>
        <v>http://geocode.csis.u-tokyo.ac.jp/cgi-bin/simple_geocode.cgi?charset=UTF8&amp;addr=%E5%A4%A7%E9%98%AA%E5%BA%9C%E6%9E%9A%E6%96%B9%E5%B8%82%E6%9D%B1%E9%A6%99%E9%87%8C</v>
      </c>
      <c r="E801" t="str">
        <f t="shared" si="56"/>
        <v xml:space="preserve">&lt;?xml version="1.0" encoding="UTF-8" ?&gt;
&lt;results&gt;
&lt;query&gt;大阪府枚方市東香里&lt;/query&gt;
&lt;geodetic&gt;wgs1984&lt;/geodetic&gt;
&lt;iConf&gt;5&lt;/iConf&gt;
&lt;converted&gt;大阪府枚方市東香里&lt;/converted&gt;
&lt;candidate&gt;
&lt;address&gt;大阪府/枚方市/東香里&lt;/address&gt;
&lt;longitude&gt;135.656021&lt;/longitude&gt;
&lt;latitude&gt;34.779026&lt;/latitude&gt;
&lt;iLvl&gt;5&lt;/iLvl&gt;
&lt;/candidate&gt;
&lt;/results&gt;
</v>
      </c>
      <c r="F801" cm="1">
        <f t="array" ref="F801">INDEX(_xlfn.FILTERXML(E801,"//latitude"),1)</f>
        <v>34.779026000000002</v>
      </c>
      <c r="G801" cm="1">
        <f t="array" ref="G801">INDEX(_xlfn.FILTERXML(E801,"//longitude"),1)</f>
        <v>135.65602100000001</v>
      </c>
      <c r="H801">
        <v>34.779026000000002</v>
      </c>
      <c r="I801">
        <v>135.65602100000001</v>
      </c>
    </row>
    <row r="802" spans="1:9" x14ac:dyDescent="0.4">
      <c r="A802" t="s">
        <v>13</v>
      </c>
      <c r="B802" t="s">
        <v>308</v>
      </c>
      <c r="C802" t="str">
        <f t="shared" si="54"/>
        <v>埼玉県所沢市向陽町</v>
      </c>
      <c r="D802" s="2" t="str">
        <f t="shared" si="55"/>
        <v>http://geocode.csis.u-tokyo.ac.jp/cgi-bin/simple_geocode.cgi?charset=UTF8&amp;addr=%E5%9F%BC%E7%8E%89%E7%9C%8C%E6%89%80%E6%B2%A2%E5%B8%82%E5%90%91%E9%99%BD%E7%94%BA</v>
      </c>
      <c r="E802" t="str">
        <f t="shared" si="56"/>
        <v xml:space="preserve">&lt;?xml version="1.0" encoding="UTF-8" ?&gt;
&lt;results&gt;
&lt;query&gt;埼玉県所沢市向陽町&lt;/query&gt;
&lt;geodetic&gt;wgs1984&lt;/geodetic&gt;
&lt;iConf&gt;5&lt;/iConf&gt;
&lt;converted&gt;埼玉県所沢市向陽町&lt;/converted&gt;
&lt;candidate&gt;
&lt;address&gt;埼玉県/所沢市/向陽町&lt;/address&gt;
&lt;longitude&gt;139.447861&lt;/longitude&gt;
&lt;latitude&gt;35.810959&lt;/latitude&gt;
&lt;iLvl&gt;5&lt;/iLvl&gt;
&lt;/candidate&gt;
&lt;/results&gt;
</v>
      </c>
      <c r="F802" cm="1">
        <f t="array" ref="F802">INDEX(_xlfn.FILTERXML(E802,"//latitude"),1)</f>
        <v>35.810958999999997</v>
      </c>
      <c r="G802" cm="1">
        <f t="array" ref="G802">INDEX(_xlfn.FILTERXML(E802,"//longitude"),1)</f>
        <v>139.44786099999999</v>
      </c>
      <c r="H802">
        <v>35.810958999999997</v>
      </c>
      <c r="I802">
        <v>139.44786099999999</v>
      </c>
    </row>
    <row r="803" spans="1:9" x14ac:dyDescent="0.4">
      <c r="A803" t="s">
        <v>26</v>
      </c>
      <c r="B803" t="s">
        <v>309</v>
      </c>
      <c r="C803" t="str">
        <f t="shared" si="54"/>
        <v>京都府京都市伏見区醍醐下端山町</v>
      </c>
      <c r="D803" s="2" t="str">
        <f t="shared" si="55"/>
        <v>http://geocode.csis.u-tokyo.ac.jp/cgi-bin/simple_geocode.cgi?charset=UTF8&amp;addr=%E4%BA%AC%E9%83%BD%E5%BA%9C%E4%BA%AC%E9%83%BD%E5%B8%82%E4%BC%8F%E8%A6%8B%E5%8C%BA%E9%86%8D%E9%86%90%E4%B8%8B%E7%AB%AF%E5%B1%B1%E7%94%BA</v>
      </c>
      <c r="E803" t="str">
        <f t="shared" si="56"/>
        <v xml:space="preserve">&lt;?xml version="1.0" encoding="UTF-8" ?&gt;
&lt;results&gt;
&lt;query&gt;京都府京都市伏見区醍醐下端山町&lt;/query&gt;
&lt;geodetic&gt;wgs1984&lt;/geodetic&gt;
&lt;iConf&gt;5&lt;/iConf&gt;
&lt;converted&gt;京都府京都市伏見区醍醐下端山町&lt;/converted&gt;
&lt;candidate&gt;
&lt;address&gt;京都府/京都市/伏見区/醍醐下端山町&lt;/address&gt;
&lt;longitude&gt;135.818863&lt;/longitude&gt;
&lt;latitude&gt;34.946930&lt;/latitude&gt;
&lt;iLvl&gt;5&lt;/iLvl&gt;
&lt;/candidate&gt;
&lt;/results&gt;
</v>
      </c>
      <c r="F803" cm="1">
        <f t="array" ref="F803">INDEX(_xlfn.FILTERXML(E803,"//latitude"),1)</f>
        <v>34.946930000000002</v>
      </c>
      <c r="G803" cm="1">
        <f t="array" ref="G803">INDEX(_xlfn.FILTERXML(E803,"//longitude"),1)</f>
        <v>135.81886299999999</v>
      </c>
      <c r="H803">
        <v>34.946930000000002</v>
      </c>
      <c r="I803">
        <v>135.81886299999999</v>
      </c>
    </row>
    <row r="804" spans="1:9" x14ac:dyDescent="0.4">
      <c r="A804" t="s">
        <v>11</v>
      </c>
      <c r="B804" t="s">
        <v>310</v>
      </c>
      <c r="C804" t="str">
        <f t="shared" si="54"/>
        <v>大阪府大阪市都島区中野町</v>
      </c>
      <c r="D804" s="2" t="str">
        <f t="shared" si="55"/>
        <v>http://geocode.csis.u-tokyo.ac.jp/cgi-bin/simple_geocode.cgi?charset=UTF8&amp;addr=%E5%A4%A7%E9%98%AA%E5%BA%9C%E5%A4%A7%E9%98%AA%E5%B8%82%E9%83%BD%E5%B3%B6%E5%8C%BA%E4%B8%AD%E9%87%8E%E7%94%BA</v>
      </c>
      <c r="E804" t="str">
        <f t="shared" si="56"/>
        <v xml:space="preserve">&lt;?xml version="1.0" encoding="UTF-8" ?&gt;
&lt;results&gt;
&lt;query&gt;大阪府大阪市都島区中野町&lt;/query&gt;
&lt;geodetic&gt;wgs1984&lt;/geodetic&gt;
&lt;iConf&gt;5&lt;/iConf&gt;
&lt;converted&gt;大阪府大阪市都島区中野町&lt;/converted&gt;
&lt;candidate&gt;
&lt;address&gt;大阪府/大阪市/都島区/中野町&lt;/address&gt;
&lt;longitude&gt;135.523590&lt;/longitude&gt;
&lt;latitude&gt;34.699627&lt;/latitude&gt;
&lt;iLvl&gt;5&lt;/iLvl&gt;
&lt;/candidate&gt;
&lt;/results&gt;
</v>
      </c>
      <c r="F804" cm="1">
        <f t="array" ref="F804">INDEX(_xlfn.FILTERXML(E804,"//latitude"),1)</f>
        <v>34.699627</v>
      </c>
      <c r="G804" cm="1">
        <f t="array" ref="G804">INDEX(_xlfn.FILTERXML(E804,"//longitude"),1)</f>
        <v>135.52359000000001</v>
      </c>
      <c r="H804">
        <v>34.699627</v>
      </c>
      <c r="I804">
        <v>135.52359000000001</v>
      </c>
    </row>
    <row r="805" spans="1:9" x14ac:dyDescent="0.4">
      <c r="A805" t="s">
        <v>11</v>
      </c>
      <c r="B805" t="s">
        <v>41</v>
      </c>
      <c r="C805" t="str">
        <f t="shared" si="54"/>
        <v>大阪府豊中市</v>
      </c>
      <c r="D805" s="2" t="str">
        <f t="shared" si="55"/>
        <v>http://geocode.csis.u-tokyo.ac.jp/cgi-bin/simple_geocode.cgi?charset=UTF8&amp;addr=%E5%A4%A7%E9%98%AA%E5%BA%9C%E8%B1%8A%E4%B8%AD%E5%B8%82</v>
      </c>
      <c r="E805" t="str">
        <f t="shared" si="56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805" cm="1">
        <f t="array" ref="F805">INDEX(_xlfn.FILTERXML(E805,"//latitude"),1)</f>
        <v>34.781238999999999</v>
      </c>
      <c r="G805" cm="1">
        <f t="array" ref="G805">INDEX(_xlfn.FILTERXML(E805,"//longitude"),1)</f>
        <v>135.46989400000001</v>
      </c>
      <c r="H805">
        <v>34.781238999999999</v>
      </c>
      <c r="I805">
        <v>135.46989400000001</v>
      </c>
    </row>
    <row r="806" spans="1:9" x14ac:dyDescent="0.4">
      <c r="A806" t="s">
        <v>42</v>
      </c>
      <c r="B806" t="s">
        <v>311</v>
      </c>
      <c r="C806" t="str">
        <f t="shared" si="54"/>
        <v>富山県滑川市</v>
      </c>
      <c r="D806" s="2" t="str">
        <f t="shared" si="55"/>
        <v>http://geocode.csis.u-tokyo.ac.jp/cgi-bin/simple_geocode.cgi?charset=UTF8&amp;addr=%E5%AF%8C%E5%B1%B1%E7%9C%8C%E6%BB%91%E5%B7%9D%E5%B8%82</v>
      </c>
      <c r="E806" t="str">
        <f t="shared" si="56"/>
        <v xml:space="preserve">&lt;?xml version="1.0" encoding="UTF-8" ?&gt;
&lt;results&gt;
&lt;query&gt;富山県滑川市&lt;/query&gt;
&lt;geodetic&gt;wgs1984&lt;/geodetic&gt;
&lt;iConf&gt;5&lt;/iConf&gt;
&lt;converted&gt;富山県滑川市&lt;/converted&gt;
&lt;candidate&gt;
&lt;address&gt;富山県/滑川市&lt;/address&gt;
&lt;longitude&gt;137.341187&lt;/longitude&gt;
&lt;latitude&gt;36.764393&lt;/latitude&gt;
&lt;iLvl&gt;3&lt;/iLvl&gt;
&lt;/candidate&gt;
&lt;/results&gt;
</v>
      </c>
      <c r="F806" cm="1">
        <f t="array" ref="F806">INDEX(_xlfn.FILTERXML(E806,"//latitude"),1)</f>
        <v>36.764392999999998</v>
      </c>
      <c r="G806" cm="1">
        <f t="array" ref="G806">INDEX(_xlfn.FILTERXML(E806,"//longitude"),1)</f>
        <v>137.34118699999999</v>
      </c>
      <c r="H806" s="3">
        <v>36.764392999999998</v>
      </c>
      <c r="I806" s="3">
        <v>137.34118699999999</v>
      </c>
    </row>
    <row r="807" spans="1:9" x14ac:dyDescent="0.4">
      <c r="A807" t="s">
        <v>20</v>
      </c>
      <c r="B807" t="s">
        <v>258</v>
      </c>
      <c r="C807" t="str">
        <f t="shared" si="54"/>
        <v>茨城県ひたちなか市中根</v>
      </c>
      <c r="D807" s="2" t="str">
        <f t="shared" si="55"/>
        <v>http://geocode.csis.u-tokyo.ac.jp/cgi-bin/simple_geocode.cgi?charset=UTF8&amp;addr=%E8%8C%A8%E5%9F%8E%E7%9C%8C%E3%81%B2%E3%81%9F%E3%81%A1%E3%81%AA%E3%81%8B%E5%B8%82%E4%B8%AD%E6%A0%B9</v>
      </c>
      <c r="E807" t="str">
        <f t="shared" si="56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807" cm="1">
        <f t="array" ref="F807">INDEX(_xlfn.FILTERXML(E807,"//latitude"),1)</f>
        <v>36.389361999999998</v>
      </c>
      <c r="G807" cm="1">
        <f t="array" ref="G807">INDEX(_xlfn.FILTERXML(E807,"//longitude"),1)</f>
        <v>140.55647300000001</v>
      </c>
      <c r="H807">
        <v>36.389361999999998</v>
      </c>
      <c r="I807">
        <v>140.55647300000001</v>
      </c>
    </row>
    <row r="808" spans="1:9" x14ac:dyDescent="0.4">
      <c r="A808" t="s">
        <v>15</v>
      </c>
      <c r="B808" t="s">
        <v>312</v>
      </c>
      <c r="C808" t="str">
        <f t="shared" si="54"/>
        <v>兵庫県三田市けやき台</v>
      </c>
      <c r="D808" s="2" t="str">
        <f t="shared" si="55"/>
        <v>http://geocode.csis.u-tokyo.ac.jp/cgi-bin/simple_geocode.cgi?charset=UTF8&amp;addr=%E5%85%B5%E5%BA%AB%E7%9C%8C%E4%B8%89%E7%94%B0%E5%B8%82%E3%81%91%E3%82%84%E3%81%8D%E5%8F%B0</v>
      </c>
      <c r="E808" t="str">
        <f t="shared" si="56"/>
        <v xml:space="preserve">&lt;?xml version="1.0" encoding="UTF-8" ?&gt;
&lt;results&gt;
&lt;query&gt;兵庫県三田市けやき台&lt;/query&gt;
&lt;geodetic&gt;wgs1984&lt;/geodetic&gt;
&lt;iConf&gt;5&lt;/iConf&gt;
&lt;converted&gt;兵庫県三田市けやき台&lt;/converted&gt;
&lt;candidate&gt;
&lt;address&gt;兵庫県/三田市/けやき台&lt;/address&gt;
&lt;longitude&gt;135.186768&lt;/longitude&gt;
&lt;latitude&gt;34.908199&lt;/latitude&gt;
&lt;iLvl&gt;5&lt;/iLvl&gt;
&lt;/candidate&gt;
&lt;/results&gt;
</v>
      </c>
      <c r="F808" cm="1">
        <f t="array" ref="F808">INDEX(_xlfn.FILTERXML(E808,"//latitude"),1)</f>
        <v>34.908199000000003</v>
      </c>
      <c r="G808" cm="1">
        <f t="array" ref="G808">INDEX(_xlfn.FILTERXML(E808,"//longitude"),1)</f>
        <v>135.186768</v>
      </c>
      <c r="H808">
        <v>34.908199000000003</v>
      </c>
      <c r="I808">
        <v>135.186768</v>
      </c>
    </row>
    <row r="809" spans="1:9" x14ac:dyDescent="0.4">
      <c r="A809" t="s">
        <v>123</v>
      </c>
      <c r="B809" t="s">
        <v>134</v>
      </c>
      <c r="C809" t="str">
        <f t="shared" si="54"/>
        <v>和歌山県奈良市西大寺赤田町</v>
      </c>
      <c r="D809" s="2" t="str">
        <f t="shared" si="55"/>
        <v>http://geocode.csis.u-tokyo.ac.jp/cgi-bin/simple_geocode.cgi?charset=UTF8&amp;addr=%E5%92%8C%E6%AD%8C%E5%B1%B1%E7%9C%8C%E5%A5%88%E8%89%AF%E5%B8%82%E8%A5%BF%E5%A4%A7%E5%AF%BA%E8%B5%A4%E7%94%B0%E7%94%BA</v>
      </c>
      <c r="E809" t="str">
        <f t="shared" si="56"/>
        <v xml:space="preserve">&lt;?xml version="1.0" encoding="UTF-8" ?&gt;
&lt;results&gt;
&lt;query&gt;和歌山県奈良市西大寺赤田町&lt;/query&gt;
&lt;geodetic&gt;wgs1984&lt;/geodetic&gt;
&lt;iConf&gt;3&lt;/iConf&gt;
&lt;converted&gt;和歌山県&lt;/converted&gt;
&lt;candidate&gt;
&lt;address&gt;和歌山県&lt;/address&gt;
&lt;longitude&gt;135.170807&lt;/longitude&gt;
&lt;latitude&gt;34.230515&lt;/latitude&gt;
&lt;iLvl&gt;1&lt;/iLvl&gt;
&lt;/candidate&gt;
&lt;/results&gt;
</v>
      </c>
      <c r="F809" cm="1">
        <f t="array" ref="F809">INDEX(_xlfn.FILTERXML(E809,"//latitude"),1)</f>
        <v>34.230514999999997</v>
      </c>
      <c r="G809" cm="1">
        <f t="array" ref="G809">INDEX(_xlfn.FILTERXML(E809,"//longitude"),1)</f>
        <v>135.170807</v>
      </c>
      <c r="H809">
        <v>34.230514999999997</v>
      </c>
      <c r="I809">
        <v>135.170807</v>
      </c>
    </row>
    <row r="810" spans="1:9" x14ac:dyDescent="0.4">
      <c r="A810" t="s">
        <v>15</v>
      </c>
      <c r="B810" t="s">
        <v>313</v>
      </c>
      <c r="C810" t="str">
        <f t="shared" si="54"/>
        <v>兵庫県宝塚市すみれが丘3-6-1-112</v>
      </c>
      <c r="D810" s="2" t="str">
        <f t="shared" si="55"/>
        <v>http://geocode.csis.u-tokyo.ac.jp/cgi-bin/simple_geocode.cgi?charset=UTF8&amp;addr=%E5%85%B5%E5%BA%AB%E7%9C%8C%E5%AE%9D%E5%A1%9A%E5%B8%82%E3%81%99%E3%81%BF%E3%82%8C%E3%81%8C%E4%B8%983-6-1-112</v>
      </c>
      <c r="E810" t="str">
        <f t="shared" si="56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810" cm="1">
        <f t="array" ref="F810">INDEX(_xlfn.FILTERXML(E810,"//latitude"),1)</f>
        <v>34.823956000000003</v>
      </c>
      <c r="G810" cm="1">
        <f t="array" ref="G810">INDEX(_xlfn.FILTERXML(E810,"//longitude"),1)</f>
        <v>135.34510800000001</v>
      </c>
      <c r="H810">
        <v>34.823956000000003</v>
      </c>
      <c r="I810">
        <v>135.34510800000001</v>
      </c>
    </row>
    <row r="811" spans="1:9" x14ac:dyDescent="0.4">
      <c r="A811" t="s">
        <v>9</v>
      </c>
      <c r="B811" t="s">
        <v>314</v>
      </c>
      <c r="C811" t="str">
        <f t="shared" si="54"/>
        <v>東京都八王子市鑓水</v>
      </c>
      <c r="D811" s="2" t="str">
        <f t="shared" si="55"/>
        <v>http://geocode.csis.u-tokyo.ac.jp/cgi-bin/simple_geocode.cgi?charset=UTF8&amp;addr=%E6%9D%B1%E4%BA%AC%E9%83%BD%E5%85%AB%E7%8E%8B%E5%AD%90%E5%B8%82%E9%91%93%E6%B0%B4</v>
      </c>
      <c r="E811" t="str">
        <f t="shared" si="56"/>
        <v xml:space="preserve">&lt;?xml version="1.0" encoding="UTF-8" ?&gt;
&lt;results&gt;
&lt;query&gt;東京都八王子市鑓水&lt;/query&gt;
&lt;geodetic&gt;wgs1984&lt;/geodetic&gt;
&lt;iConf&gt;5&lt;/iConf&gt;
&lt;converted&gt;東京都八王子市鑓水&lt;/converted&gt;
&lt;candidate&gt;
&lt;address&gt;東京都/八王子市/鑓水&lt;/address&gt;
&lt;longitude&gt;139.356369&lt;/longitude&gt;
&lt;latitude&gt;35.611221&lt;/latitude&gt;
&lt;iLvl&gt;5&lt;/iLvl&gt;
&lt;/candidate&gt;
&lt;/results&gt;
</v>
      </c>
      <c r="F811" cm="1">
        <f t="array" ref="F811">INDEX(_xlfn.FILTERXML(E811,"//latitude"),1)</f>
        <v>35.611221</v>
      </c>
      <c r="G811" cm="1">
        <f t="array" ref="G811">INDEX(_xlfn.FILTERXML(E811,"//longitude"),1)</f>
        <v>139.356369</v>
      </c>
      <c r="H811">
        <v>35.611221</v>
      </c>
      <c r="I811">
        <v>139.356369</v>
      </c>
    </row>
    <row r="812" spans="1:9" x14ac:dyDescent="0.4">
      <c r="A812" t="s">
        <v>11</v>
      </c>
      <c r="B812" t="s">
        <v>315</v>
      </c>
      <c r="C812" t="str">
        <f t="shared" si="54"/>
        <v>大阪府都島区都島北通２丁目</v>
      </c>
      <c r="D812" s="2" t="str">
        <f t="shared" si="55"/>
        <v>http://geocode.csis.u-tokyo.ac.jp/cgi-bin/simple_geocode.cgi?charset=UTF8&amp;addr=%E5%A4%A7%E9%98%AA%E5%BA%9C%E9%83%BD%E5%B3%B6%E5%8C%BA%E9%83%BD%E5%B3%B6%E5%8C%97%E9%80%9A%EF%BC%92%E4%B8%81%E7%9B%AE</v>
      </c>
      <c r="E812" t="str">
        <f t="shared" si="56"/>
        <v xml:space="preserve">&lt;?xml version="1.0" encoding="UTF-8" ?&gt;
&lt;results&gt;
&lt;query&gt;大阪府都島区都島北通２丁目&lt;/query&gt;
&lt;geodetic&gt;wgs1984&lt;/geodetic&gt;
&lt;iConf&gt;5&lt;/iConf&gt;
&lt;converted&gt;大阪府都島区都島北通２丁目&lt;/converted&gt;
&lt;candidate&gt;
&lt;address&gt;大阪府/大阪市/都島区/都島北通/二丁目&lt;/address&gt;
&lt;longitude&gt;135.532242&lt;/longitude&gt;
&lt;latitude&gt;34.710690&lt;/latitude&gt;
&lt;iLvl&gt;6&lt;/iLvl&gt;
&lt;/candidate&gt;
&lt;/results&gt;
</v>
      </c>
      <c r="F812" cm="1">
        <f t="array" ref="F812">INDEX(_xlfn.FILTERXML(E812,"//latitude"),1)</f>
        <v>34.71069</v>
      </c>
      <c r="G812" cm="1">
        <f t="array" ref="G812">INDEX(_xlfn.FILTERXML(E812,"//longitude"),1)</f>
        <v>135.532242</v>
      </c>
      <c r="H812">
        <v>34.71069</v>
      </c>
      <c r="I812">
        <v>135.532242</v>
      </c>
    </row>
    <row r="813" spans="1:9" x14ac:dyDescent="0.4">
      <c r="A813" t="s">
        <v>10</v>
      </c>
      <c r="B813" t="s">
        <v>225</v>
      </c>
      <c r="C813" t="str">
        <f t="shared" si="54"/>
        <v>神奈川県横浜市青葉区つつじヶ丘</v>
      </c>
      <c r="D813" s="2" t="str">
        <f t="shared" si="55"/>
        <v>http://geocode.csis.u-tokyo.ac.jp/cgi-bin/simple_geocode.cgi?charset=UTF8&amp;addr=%E7%A5%9E%E5%A5%88%E5%B7%9D%E7%9C%8C%E6%A8%AA%E6%B5%9C%E5%B8%82%E9%9D%92%E8%91%89%E5%8C%BA%E3%81%A4%E3%81%A4%E3%81%98%E3%83%B6%E4%B8%98</v>
      </c>
      <c r="E813" t="str">
        <f t="shared" si="56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813" cm="1">
        <f t="array" ref="F813">INDEX(_xlfn.FILTERXML(E813,"//latitude"),1)</f>
        <v>35.538448000000002</v>
      </c>
      <c r="G813" cm="1">
        <f t="array" ref="G813">INDEX(_xlfn.FILTERXML(E813,"//longitude"),1)</f>
        <v>139.519623</v>
      </c>
      <c r="H813">
        <v>35.538448000000002</v>
      </c>
      <c r="I813">
        <v>139.519623</v>
      </c>
    </row>
    <row r="814" spans="1:9" x14ac:dyDescent="0.4">
      <c r="A814" t="s">
        <v>9</v>
      </c>
      <c r="B814" t="s">
        <v>316</v>
      </c>
      <c r="C814" t="str">
        <f t="shared" si="54"/>
        <v>東京都西東京市下保谷</v>
      </c>
      <c r="D814" s="2" t="str">
        <f t="shared" si="55"/>
        <v>http://geocode.csis.u-tokyo.ac.jp/cgi-bin/simple_geocode.cgi?charset=UTF8&amp;addr=%E6%9D%B1%E4%BA%AC%E9%83%BD%E8%A5%BF%E6%9D%B1%E4%BA%AC%E5%B8%82%E4%B8%8B%E4%BF%9D%E8%B0%B7</v>
      </c>
      <c r="E814" t="str">
        <f t="shared" si="56"/>
        <v xml:space="preserve">&lt;?xml version="1.0" encoding="UTF-8" ?&gt;
&lt;results&gt;
&lt;query&gt;東京都西東京市下保谷&lt;/query&gt;
&lt;geodetic&gt;wgs1984&lt;/geodetic&gt;
&lt;iConf&gt;5&lt;/iConf&gt;
&lt;converted&gt;東京都西東京市下保谷&lt;/converted&gt;
&lt;candidate&gt;
&lt;address&gt;東京都/西東京市/下保谷&lt;/address&gt;
&lt;longitude&gt;139.559235&lt;/longitude&gt;
&lt;latitude&gt;35.749161&lt;/latitude&gt;
&lt;iLvl&gt;5&lt;/iLvl&gt;
&lt;/candidate&gt;
&lt;/results&gt;
</v>
      </c>
      <c r="F814" cm="1">
        <f t="array" ref="F814">INDEX(_xlfn.FILTERXML(E814,"//latitude"),1)</f>
        <v>35.749161000000001</v>
      </c>
      <c r="G814" cm="1">
        <f t="array" ref="G814">INDEX(_xlfn.FILTERXML(E814,"//longitude"),1)</f>
        <v>139.559235</v>
      </c>
      <c r="H814">
        <v>35.749161000000001</v>
      </c>
      <c r="I814">
        <v>139.559235</v>
      </c>
    </row>
    <row r="815" spans="1:9" x14ac:dyDescent="0.4">
      <c r="A815" t="s">
        <v>9</v>
      </c>
      <c r="B815" t="s">
        <v>169</v>
      </c>
      <c r="C815" t="str">
        <f t="shared" si="54"/>
        <v>東京都港区</v>
      </c>
      <c r="D815" s="2" t="str">
        <f t="shared" si="55"/>
        <v>http://geocode.csis.u-tokyo.ac.jp/cgi-bin/simple_geocode.cgi?charset=UTF8&amp;addr=%E6%9D%B1%E4%BA%AC%E9%83%BD%E6%B8%AF%E5%8C%BA</v>
      </c>
      <c r="E815" t="str">
        <f t="shared" si="56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815" cm="1">
        <f t="array" ref="F815">INDEX(_xlfn.FILTERXML(E815,"//latitude"),1)</f>
        <v>35.658070000000002</v>
      </c>
      <c r="G815" cm="1">
        <f t="array" ref="G815">INDEX(_xlfn.FILTERXML(E815,"//longitude"),1)</f>
        <v>139.75160199999999</v>
      </c>
      <c r="H815">
        <v>35.658070000000002</v>
      </c>
      <c r="I815">
        <v>139.75160199999999</v>
      </c>
    </row>
    <row r="816" spans="1:9" x14ac:dyDescent="0.4">
      <c r="A816" t="s">
        <v>18</v>
      </c>
      <c r="B816" t="s">
        <v>317</v>
      </c>
      <c r="C816" t="str">
        <f t="shared" si="54"/>
        <v>千葉県千葉市中央区神明町205-1</v>
      </c>
      <c r="D816" s="2" t="str">
        <f t="shared" si="55"/>
        <v>http://geocode.csis.u-tokyo.ac.jp/cgi-bin/simple_geocode.cgi?charset=UTF8&amp;addr=%E5%8D%83%E8%91%89%E7%9C%8C%E5%8D%83%E8%91%89%E5%B8%82%E4%B8%AD%E5%A4%AE%E5%8C%BA%E7%A5%9E%E6%98%8E%E7%94%BA205-1</v>
      </c>
      <c r="E816" t="str">
        <f t="shared" si="56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816" cm="1">
        <f t="array" ref="F816">INDEX(_xlfn.FILTERXML(E816,"//latitude"),1)</f>
        <v>35.604281999999998</v>
      </c>
      <c r="G816" cm="1">
        <f t="array" ref="G816">INDEX(_xlfn.FILTERXML(E816,"//longitude"),1)</f>
        <v>140.116501</v>
      </c>
      <c r="H816">
        <v>35.604281999999998</v>
      </c>
      <c r="I816">
        <v>140.116501</v>
      </c>
    </row>
    <row r="817" spans="1:9" x14ac:dyDescent="0.4">
      <c r="A817" t="s">
        <v>11</v>
      </c>
      <c r="B817" t="s">
        <v>318</v>
      </c>
      <c r="C817" t="str">
        <f t="shared" si="54"/>
        <v>大阪府交野市倉治</v>
      </c>
      <c r="D817" s="2" t="str">
        <f t="shared" si="55"/>
        <v>http://geocode.csis.u-tokyo.ac.jp/cgi-bin/simple_geocode.cgi?charset=UTF8&amp;addr=%E5%A4%A7%E9%98%AA%E5%BA%9C%E4%BA%A4%E9%87%8E%E5%B8%82%E5%80%89%E6%B2%BB</v>
      </c>
      <c r="E817" t="str">
        <f t="shared" si="56"/>
        <v xml:space="preserve">&lt;?xml version="1.0" encoding="UTF-8" ?&gt;
&lt;results&gt;
&lt;query&gt;大阪府交野市倉治&lt;/query&gt;
&lt;geodetic&gt;wgs1984&lt;/geodetic&gt;
&lt;iConf&gt;5&lt;/iConf&gt;
&lt;converted&gt;大阪府交野市倉治&lt;/converted&gt;
&lt;candidate&gt;
&lt;address&gt;大阪府/交野市/倉治&lt;/address&gt;
&lt;longitude&gt;135.694214&lt;/longitude&gt;
&lt;latitude&gt;34.793362&lt;/latitude&gt;
&lt;iLvl&gt;5&lt;/iLvl&gt;
&lt;/candidate&gt;
&lt;/results&gt;
</v>
      </c>
      <c r="F817" cm="1">
        <f t="array" ref="F817">INDEX(_xlfn.FILTERXML(E817,"//latitude"),1)</f>
        <v>34.793362000000002</v>
      </c>
      <c r="G817" cm="1">
        <f t="array" ref="G817">INDEX(_xlfn.FILTERXML(E817,"//longitude"),1)</f>
        <v>135.69421399999999</v>
      </c>
      <c r="H817">
        <v>34.793362000000002</v>
      </c>
      <c r="I817">
        <v>135.69421399999999</v>
      </c>
    </row>
    <row r="818" spans="1:9" x14ac:dyDescent="0.4">
      <c r="A818" t="s">
        <v>9</v>
      </c>
      <c r="B818" t="s">
        <v>319</v>
      </c>
      <c r="C818" t="str">
        <f t="shared" si="54"/>
        <v>東京都文京区</v>
      </c>
      <c r="D818" s="2" t="str">
        <f t="shared" si="55"/>
        <v>http://geocode.csis.u-tokyo.ac.jp/cgi-bin/simple_geocode.cgi?charset=UTF8&amp;addr=%E6%9D%B1%E4%BA%AC%E9%83%BD%E6%96%87%E4%BA%AC%E5%8C%BA</v>
      </c>
      <c r="E818" t="str">
        <f t="shared" si="56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818" cm="1">
        <f t="array" ref="F818">INDEX(_xlfn.FILTERXML(E818,"//latitude"),1)</f>
        <v>35.707977</v>
      </c>
      <c r="G818" cm="1">
        <f t="array" ref="G818">INDEX(_xlfn.FILTERXML(E818,"//longitude"),1)</f>
        <v>139.75247200000001</v>
      </c>
      <c r="H818">
        <v>35.707977</v>
      </c>
      <c r="I818">
        <v>139.75247200000001</v>
      </c>
    </row>
    <row r="819" spans="1:9" x14ac:dyDescent="0.4">
      <c r="A819" t="s">
        <v>9</v>
      </c>
      <c r="B819" t="s">
        <v>319</v>
      </c>
      <c r="C819" t="str">
        <f t="shared" si="54"/>
        <v>東京都文京区</v>
      </c>
      <c r="D819" s="2" t="str">
        <f t="shared" si="55"/>
        <v>http://geocode.csis.u-tokyo.ac.jp/cgi-bin/simple_geocode.cgi?charset=UTF8&amp;addr=%E6%9D%B1%E4%BA%AC%E9%83%BD%E6%96%87%E4%BA%AC%E5%8C%BA</v>
      </c>
      <c r="E819" t="str">
        <f t="shared" si="56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819" cm="1">
        <f t="array" ref="F819">INDEX(_xlfn.FILTERXML(E819,"//latitude"),1)</f>
        <v>35.707977</v>
      </c>
      <c r="G819" cm="1">
        <f t="array" ref="G819">INDEX(_xlfn.FILTERXML(E819,"//longitude"),1)</f>
        <v>139.75247200000001</v>
      </c>
      <c r="H819" s="3">
        <v>35.707977</v>
      </c>
      <c r="I819" s="3">
        <v>139.75247200000001</v>
      </c>
    </row>
    <row r="820" spans="1:9" x14ac:dyDescent="0.4">
      <c r="A820" t="s">
        <v>10</v>
      </c>
      <c r="B820" t="s">
        <v>320</v>
      </c>
      <c r="C820" t="str">
        <f t="shared" si="54"/>
        <v>神奈川県川崎市宮前区けやき平</v>
      </c>
      <c r="D820" s="2" t="str">
        <f t="shared" si="55"/>
        <v>http://geocode.csis.u-tokyo.ac.jp/cgi-bin/simple_geocode.cgi?charset=UTF8&amp;addr=%E7%A5%9E%E5%A5%88%E5%B7%9D%E7%9C%8C%E5%B7%9D%E5%B4%8E%E5%B8%82%E5%AE%AE%E5%89%8D%E5%8C%BA%E3%81%91%E3%82%84%E3%81%8D%E5%B9%B3</v>
      </c>
      <c r="E820" t="str">
        <f t="shared" si="56"/>
        <v xml:space="preserve">&lt;?xml version="1.0" encoding="UTF-8" ?&gt;
&lt;results&gt;
&lt;query&gt;神奈川県川崎市宮前区けやき平&lt;/query&gt;
&lt;geodetic&gt;wgs1984&lt;/geodetic&gt;
&lt;iConf&gt;5&lt;/iConf&gt;
&lt;converted&gt;神奈川県川崎市宮前区けやき平&lt;/converted&gt;
&lt;candidate&gt;
&lt;address&gt;神奈川県/川崎市/宮前区/けやき平&lt;/address&gt;
&lt;longitude&gt;139.575012&lt;/longitude&gt;
&lt;latitude&gt;35.593079&lt;/latitude&gt;
&lt;iLvl&gt;5&lt;/iLvl&gt;
&lt;/candidate&gt;
&lt;/results&gt;
</v>
      </c>
      <c r="F820" cm="1">
        <f t="array" ref="F820">INDEX(_xlfn.FILTERXML(E820,"//latitude"),1)</f>
        <v>35.593079000000003</v>
      </c>
      <c r="G820" cm="1">
        <f t="array" ref="G820">INDEX(_xlfn.FILTERXML(E820,"//longitude"),1)</f>
        <v>139.57501199999999</v>
      </c>
      <c r="H820">
        <v>35.593079000000003</v>
      </c>
      <c r="I820">
        <v>139.57501199999999</v>
      </c>
    </row>
    <row r="821" spans="1:9" x14ac:dyDescent="0.4">
      <c r="A821" t="s">
        <v>11</v>
      </c>
      <c r="B821" t="s">
        <v>321</v>
      </c>
      <c r="C821" t="str">
        <f t="shared" si="54"/>
        <v>大阪府大阪市北区鶴野町</v>
      </c>
      <c r="D821" s="2" t="str">
        <f t="shared" si="55"/>
        <v>http://geocode.csis.u-tokyo.ac.jp/cgi-bin/simple_geocode.cgi?charset=UTF8&amp;addr=%E5%A4%A7%E9%98%AA%E5%BA%9C%E5%A4%A7%E9%98%AA%E5%B8%82%E5%8C%97%E5%8C%BA%E9%B6%B4%E9%87%8E%E7%94%BA</v>
      </c>
      <c r="E821" t="str">
        <f t="shared" si="56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821" cm="1">
        <f t="array" ref="F821">INDEX(_xlfn.FILTERXML(E821,"//latitude"),1)</f>
        <v>34.707633999999999</v>
      </c>
      <c r="G821" cm="1">
        <f t="array" ref="G821">INDEX(_xlfn.FILTERXML(E821,"//longitude"),1)</f>
        <v>135.501114</v>
      </c>
      <c r="H821">
        <v>34.707633999999999</v>
      </c>
      <c r="I821">
        <v>135.501114</v>
      </c>
    </row>
    <row r="822" spans="1:9" x14ac:dyDescent="0.4">
      <c r="A822" t="s">
        <v>204</v>
      </c>
      <c r="B822" t="s">
        <v>322</v>
      </c>
      <c r="C822" t="str">
        <f t="shared" si="54"/>
        <v>青森県青森市浜田</v>
      </c>
      <c r="D822" s="2" t="str">
        <f t="shared" si="55"/>
        <v>http://geocode.csis.u-tokyo.ac.jp/cgi-bin/simple_geocode.cgi?charset=UTF8&amp;addr=%E9%9D%92%E6%A3%AE%E7%9C%8C%E9%9D%92%E6%A3%AE%E5%B8%82%E6%B5%9C%E7%94%B0</v>
      </c>
      <c r="E822" t="str">
        <f t="shared" si="56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822" cm="1">
        <f t="array" ref="F822">INDEX(_xlfn.FILTERXML(E822,"//latitude"),1)</f>
        <v>40.798389</v>
      </c>
      <c r="G822" cm="1">
        <f t="array" ref="G822">INDEX(_xlfn.FILTERXML(E822,"//longitude"),1)</f>
        <v>140.752319</v>
      </c>
      <c r="H822">
        <v>40.798389</v>
      </c>
      <c r="I822">
        <v>140.752319</v>
      </c>
    </row>
    <row r="823" spans="1:9" x14ac:dyDescent="0.4">
      <c r="A823" t="s">
        <v>9</v>
      </c>
      <c r="B823" t="s">
        <v>223</v>
      </c>
      <c r="C823" t="str">
        <f t="shared" si="54"/>
        <v>東京都世田谷区</v>
      </c>
      <c r="D823" s="2" t="str">
        <f t="shared" si="55"/>
        <v>http://geocode.csis.u-tokyo.ac.jp/cgi-bin/simple_geocode.cgi?charset=UTF8&amp;addr=%E6%9D%B1%E4%BA%AC%E9%83%BD%E4%B8%96%E7%94%B0%E8%B0%B7%E5%8C%BA</v>
      </c>
      <c r="E823" t="str">
        <f t="shared" si="56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823" cm="1">
        <f t="array" ref="F823">INDEX(_xlfn.FILTERXML(E823,"//latitude"),1)</f>
        <v>35.646481000000001</v>
      </c>
      <c r="G823" cm="1">
        <f t="array" ref="G823">INDEX(_xlfn.FILTERXML(E823,"//longitude"),1)</f>
        <v>139.65321399999999</v>
      </c>
      <c r="H823">
        <v>35.646481000000001</v>
      </c>
      <c r="I823">
        <v>139.65321399999999</v>
      </c>
    </row>
    <row r="824" spans="1:9" x14ac:dyDescent="0.4">
      <c r="A824" t="s">
        <v>21</v>
      </c>
      <c r="B824" t="s">
        <v>323</v>
      </c>
      <c r="C824" t="str">
        <f t="shared" si="54"/>
        <v>福岡県八女郡広川町</v>
      </c>
      <c r="D824" s="2" t="str">
        <f t="shared" si="55"/>
        <v>http://geocode.csis.u-tokyo.ac.jp/cgi-bin/simple_geocode.cgi?charset=UTF8&amp;addr=%E7%A6%8F%E5%B2%A1%E7%9C%8C%E5%85%AB%E5%A5%B3%E9%83%A1%E5%BA%83%E5%B7%9D%E7%94%BA</v>
      </c>
      <c r="E824" t="str">
        <f t="shared" si="56"/>
        <v xml:space="preserve">&lt;?xml version="1.0" encoding="UTF-8" ?&gt;
&lt;results&gt;
&lt;query&gt;福岡県八女郡広川町&lt;/query&gt;
&lt;geodetic&gt;wgs1984&lt;/geodetic&gt;
&lt;iConf&gt;5&lt;/iConf&gt;
&lt;converted&gt;福岡県八女郡広川町&lt;/converted&gt;
&lt;candidate&gt;
&lt;address&gt;福岡県/八女郡/広川町&lt;/address&gt;
&lt;longitude&gt;130.551422&lt;/longitude&gt;
&lt;latitude&gt;33.241501&lt;/latitude&gt;
&lt;iLvl&gt;3&lt;/iLvl&gt;
&lt;/candidate&gt;
&lt;/results&gt;
</v>
      </c>
      <c r="F824" cm="1">
        <f t="array" ref="F824">INDEX(_xlfn.FILTERXML(E824,"//latitude"),1)</f>
        <v>33.241501</v>
      </c>
      <c r="G824" cm="1">
        <f t="array" ref="G824">INDEX(_xlfn.FILTERXML(E824,"//longitude"),1)</f>
        <v>130.551422</v>
      </c>
      <c r="H824">
        <v>33.241501</v>
      </c>
      <c r="I824">
        <v>130.551422</v>
      </c>
    </row>
    <row r="825" spans="1:9" x14ac:dyDescent="0.4">
      <c r="A825" t="s">
        <v>10</v>
      </c>
      <c r="B825" t="s">
        <v>324</v>
      </c>
      <c r="C825" t="str">
        <f t="shared" si="54"/>
        <v>神奈川県横浜市神奈川区</v>
      </c>
      <c r="D825" s="2" t="str">
        <f t="shared" si="55"/>
        <v>http://geocode.csis.u-tokyo.ac.jp/cgi-bin/simple_geocode.cgi?charset=UTF8&amp;addr=%E7%A5%9E%E5%A5%88%E5%B7%9D%E7%9C%8C%E6%A8%AA%E6%B5%9C%E5%B8%82%E7%A5%9E%E5%A5%88%E5%B7%9D%E5%8C%BA</v>
      </c>
      <c r="E825" t="str">
        <f t="shared" si="56"/>
        <v xml:space="preserve">&lt;?xml version="1.0" encoding="UTF-8" ?&gt;
&lt;results&gt;
&lt;query&gt;神奈川県横浜市神奈川区&lt;/query&gt;
&lt;geodetic&gt;wgs1984&lt;/geodetic&gt;
&lt;iConf&gt;5&lt;/iConf&gt;
&lt;converted&gt;神奈川県横浜市神奈川区&lt;/converted&gt;
&lt;candidate&gt;
&lt;address&gt;神奈川県/横浜市/神奈川区&lt;/address&gt;
&lt;longitude&gt;139.629288&lt;/longitude&gt;
&lt;latitude&gt;35.477051&lt;/latitude&gt;
&lt;iLvl&gt;4&lt;/iLvl&gt;
&lt;/candidate&gt;
&lt;/results&gt;
</v>
      </c>
      <c r="F825" cm="1">
        <f t="array" ref="F825">INDEX(_xlfn.FILTERXML(E825,"//latitude"),1)</f>
        <v>35.477051000000003</v>
      </c>
      <c r="G825" cm="1">
        <f t="array" ref="G825">INDEX(_xlfn.FILTERXML(E825,"//longitude"),1)</f>
        <v>139.629288</v>
      </c>
      <c r="H825">
        <v>35.477051000000003</v>
      </c>
      <c r="I825">
        <v>139.629288</v>
      </c>
    </row>
    <row r="826" spans="1:9" x14ac:dyDescent="0.4">
      <c r="A826" t="s">
        <v>9</v>
      </c>
      <c r="B826" t="s">
        <v>99</v>
      </c>
      <c r="C826" t="str">
        <f t="shared" si="54"/>
        <v>東京都品川区東五反田</v>
      </c>
      <c r="D826" s="2" t="str">
        <f t="shared" si="55"/>
        <v>http://geocode.csis.u-tokyo.ac.jp/cgi-bin/simple_geocode.cgi?charset=UTF8&amp;addr=%E6%9D%B1%E4%BA%AC%E9%83%BD%E5%93%81%E5%B7%9D%E5%8C%BA%E6%9D%B1%E4%BA%94%E5%8F%8D%E7%94%B0</v>
      </c>
      <c r="E826" t="str">
        <f t="shared" si="56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826" cm="1">
        <f t="array" ref="F826">INDEX(_xlfn.FILTERXML(E826,"//latitude"),1)</f>
        <v>35.627761999999997</v>
      </c>
      <c r="G826" cm="1">
        <f t="array" ref="G826">INDEX(_xlfn.FILTERXML(E826,"//longitude"),1)</f>
        <v>139.72642500000001</v>
      </c>
      <c r="H826">
        <v>35.627761999999997</v>
      </c>
      <c r="I826">
        <v>139.72642500000001</v>
      </c>
    </row>
    <row r="827" spans="1:9" x14ac:dyDescent="0.4">
      <c r="A827" t="s">
        <v>13</v>
      </c>
      <c r="B827" t="s">
        <v>325</v>
      </c>
      <c r="C827" t="str">
        <f t="shared" si="54"/>
        <v>埼玉県戸田市川岸</v>
      </c>
      <c r="D827" s="2" t="str">
        <f t="shared" si="55"/>
        <v>http://geocode.csis.u-tokyo.ac.jp/cgi-bin/simple_geocode.cgi?charset=UTF8&amp;addr=%E5%9F%BC%E7%8E%89%E7%9C%8C%E6%88%B8%E7%94%B0%E5%B8%82%E5%B7%9D%E5%B2%B8</v>
      </c>
      <c r="E827" t="str">
        <f t="shared" si="56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827" cm="1">
        <f t="array" ref="F827">INDEX(_xlfn.FILTERXML(E827,"//latitude"),1)</f>
        <v>35.802562999999999</v>
      </c>
      <c r="G827" cm="1">
        <f t="array" ref="G827">INDEX(_xlfn.FILTERXML(E827,"//longitude"),1)</f>
        <v>139.68940699999999</v>
      </c>
      <c r="H827">
        <v>35.802562999999999</v>
      </c>
      <c r="I827">
        <v>139.68940699999999</v>
      </c>
    </row>
    <row r="828" spans="1:9" x14ac:dyDescent="0.4">
      <c r="A828" t="s">
        <v>9</v>
      </c>
      <c r="B828" t="s">
        <v>179</v>
      </c>
      <c r="C828" t="str">
        <f t="shared" si="54"/>
        <v>東京都国立市</v>
      </c>
      <c r="D828" s="2" t="str">
        <f t="shared" si="55"/>
        <v>http://geocode.csis.u-tokyo.ac.jp/cgi-bin/simple_geocode.cgi?charset=UTF8&amp;addr=%E6%9D%B1%E4%BA%AC%E9%83%BD%E5%9B%BD%E7%AB%8B%E5%B8%82</v>
      </c>
      <c r="E828" t="str">
        <f t="shared" si="56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828" cm="1">
        <f t="array" ref="F828">INDEX(_xlfn.FILTERXML(E828,"//latitude"),1)</f>
        <v>35.683909999999997</v>
      </c>
      <c r="G828" cm="1">
        <f t="array" ref="G828">INDEX(_xlfn.FILTERXML(E828,"//longitude"),1)</f>
        <v>139.44136</v>
      </c>
      <c r="H828">
        <v>35.683909999999997</v>
      </c>
      <c r="I828">
        <v>139.44136</v>
      </c>
    </row>
    <row r="829" spans="1:9" x14ac:dyDescent="0.4">
      <c r="A829" t="s">
        <v>12</v>
      </c>
      <c r="B829" t="s">
        <v>326</v>
      </c>
      <c r="C829" t="str">
        <f t="shared" si="54"/>
        <v>奈良県生駒郡三郷町</v>
      </c>
      <c r="D829" s="2" t="str">
        <f t="shared" si="55"/>
        <v>http://geocode.csis.u-tokyo.ac.jp/cgi-bin/simple_geocode.cgi?charset=UTF8&amp;addr=%E5%A5%88%E8%89%AF%E7%9C%8C%E7%94%9F%E9%A7%92%E9%83%A1%E4%B8%89%E9%83%B7%E7%94%BA</v>
      </c>
      <c r="E829" t="str">
        <f t="shared" si="56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829" cm="1">
        <f t="array" ref="F829">INDEX(_xlfn.FILTERXML(E829,"//latitude"),1)</f>
        <v>34.599975999999998</v>
      </c>
      <c r="G829" cm="1">
        <f t="array" ref="G829">INDEX(_xlfn.FILTERXML(E829,"//longitude"),1)</f>
        <v>135.69541899999999</v>
      </c>
      <c r="H829">
        <v>34.599975999999998</v>
      </c>
      <c r="I829">
        <v>135.69541899999999</v>
      </c>
    </row>
    <row r="830" spans="1:9" x14ac:dyDescent="0.4">
      <c r="A830" t="s">
        <v>15</v>
      </c>
      <c r="B830" t="s">
        <v>327</v>
      </c>
      <c r="C830" t="str">
        <f t="shared" si="54"/>
        <v>兵庫県川西市小戸</v>
      </c>
      <c r="D830" s="2" t="str">
        <f t="shared" si="55"/>
        <v>http://geocode.csis.u-tokyo.ac.jp/cgi-bin/simple_geocode.cgi?charset=UTF8&amp;addr=%E5%85%B5%E5%BA%AB%E7%9C%8C%E5%B7%9D%E8%A5%BF%E5%B8%82%E5%B0%8F%E6%88%B8</v>
      </c>
      <c r="E830" t="str">
        <f t="shared" si="56"/>
        <v xml:space="preserve">&lt;?xml version="1.0" encoding="UTF-8" ?&gt;
&lt;results&gt;
&lt;query&gt;兵庫県川西市小戸&lt;/query&gt;
&lt;geodetic&gt;wgs1984&lt;/geodetic&gt;
&lt;iConf&gt;5&lt;/iConf&gt;
&lt;converted&gt;兵庫県川西市小戸&lt;/converted&gt;
&lt;candidate&gt;
&lt;address&gt;兵庫県/川西市/小戸&lt;/address&gt;
&lt;longitude&gt;135.417847&lt;/longitude&gt;
&lt;latitude&gt;34.828758&lt;/latitude&gt;
&lt;iLvl&gt;5&lt;/iLvl&gt;
&lt;/candidate&gt;
&lt;/results&gt;
</v>
      </c>
      <c r="F830" cm="1">
        <f t="array" ref="F830">INDEX(_xlfn.FILTERXML(E830,"//latitude"),1)</f>
        <v>34.828758000000001</v>
      </c>
      <c r="G830" cm="1">
        <f t="array" ref="G830">INDEX(_xlfn.FILTERXML(E830,"//longitude"),1)</f>
        <v>135.41784699999999</v>
      </c>
      <c r="H830">
        <v>34.828758000000001</v>
      </c>
      <c r="I830">
        <v>135.41784699999999</v>
      </c>
    </row>
    <row r="831" spans="1:9" x14ac:dyDescent="0.4">
      <c r="A831" t="s">
        <v>13</v>
      </c>
      <c r="B831" t="s">
        <v>328</v>
      </c>
      <c r="C831" t="str">
        <f t="shared" si="54"/>
        <v>埼玉県狭山市</v>
      </c>
      <c r="D831" s="2" t="str">
        <f t="shared" si="55"/>
        <v>http://geocode.csis.u-tokyo.ac.jp/cgi-bin/simple_geocode.cgi?charset=UTF8&amp;addr=%E5%9F%BC%E7%8E%89%E7%9C%8C%E7%8B%AD%E5%B1%B1%E5%B8%82</v>
      </c>
      <c r="E831" t="str">
        <f t="shared" si="56"/>
        <v xml:space="preserve">&lt;?xml version="1.0" encoding="UTF-8" ?&gt;
&lt;results&gt;
&lt;query&gt;埼玉県狭山市&lt;/query&gt;
&lt;geodetic&gt;wgs1984&lt;/geodetic&gt;
&lt;iConf&gt;5&lt;/iConf&gt;
&lt;converted&gt;埼玉県狭山市&lt;/converted&gt;
&lt;candidate&gt;
&lt;address&gt;埼玉県/狭山市&lt;/address&gt;
&lt;longitude&gt;139.412231&lt;/longitude&gt;
&lt;latitude&gt;35.852905&lt;/latitude&gt;
&lt;iLvl&gt;3&lt;/iLvl&gt;
&lt;/candidate&gt;
&lt;/results&gt;
</v>
      </c>
      <c r="F831" cm="1">
        <f t="array" ref="F831">INDEX(_xlfn.FILTERXML(E831,"//latitude"),1)</f>
        <v>35.852905</v>
      </c>
      <c r="G831" cm="1">
        <f t="array" ref="G831">INDEX(_xlfn.FILTERXML(E831,"//longitude"),1)</f>
        <v>139.41223099999999</v>
      </c>
      <c r="H831">
        <v>35.852905</v>
      </c>
      <c r="I831">
        <v>139.41223099999999</v>
      </c>
    </row>
    <row r="832" spans="1:9" x14ac:dyDescent="0.4">
      <c r="A832" t="s">
        <v>9</v>
      </c>
      <c r="B832" t="s">
        <v>329</v>
      </c>
      <c r="C832" t="str">
        <f t="shared" si="54"/>
        <v>東京都中央区勝どき</v>
      </c>
      <c r="D832" s="2" t="str">
        <f t="shared" si="55"/>
        <v>http://geocode.csis.u-tokyo.ac.jp/cgi-bin/simple_geocode.cgi?charset=UTF8&amp;addr=%E6%9D%B1%E4%BA%AC%E9%83%BD%E4%B8%AD%E5%A4%AE%E5%8C%BA%E5%8B%9D%E3%81%A9%E3%81%8D</v>
      </c>
      <c r="E832" t="str">
        <f t="shared" si="56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832" cm="1">
        <f t="array" ref="F832">INDEX(_xlfn.FILTERXML(E832,"//latitude"),1)</f>
        <v>35.660708999999997</v>
      </c>
      <c r="G832" cm="1">
        <f t="array" ref="G832">INDEX(_xlfn.FILTERXML(E832,"//longitude"),1)</f>
        <v>139.77647400000001</v>
      </c>
      <c r="H832">
        <v>35.660708999999997</v>
      </c>
      <c r="I832">
        <v>139.77647400000001</v>
      </c>
    </row>
    <row r="833" spans="1:9" x14ac:dyDescent="0.4">
      <c r="A833" t="s">
        <v>9</v>
      </c>
      <c r="B833" t="s">
        <v>227</v>
      </c>
      <c r="C833" t="str">
        <f t="shared" si="54"/>
        <v>東京都港区港南</v>
      </c>
      <c r="D833" s="2" t="str">
        <f t="shared" si="55"/>
        <v>http://geocode.csis.u-tokyo.ac.jp/cgi-bin/simple_geocode.cgi?charset=UTF8&amp;addr=%E6%9D%B1%E4%BA%AC%E9%83%BD%E6%B8%AF%E5%8C%BA%E6%B8%AF%E5%8D%97</v>
      </c>
      <c r="E833" t="str">
        <f t="shared" si="56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833" cm="1">
        <f t="array" ref="F833">INDEX(_xlfn.FILTERXML(E833,"//latitude"),1)</f>
        <v>35.630707000000001</v>
      </c>
      <c r="G833" cm="1">
        <f t="array" ref="G833">INDEX(_xlfn.FILTERXML(E833,"//longitude"),1)</f>
        <v>139.744339</v>
      </c>
      <c r="H833">
        <v>35.630707000000001</v>
      </c>
      <c r="I833">
        <v>139.744339</v>
      </c>
    </row>
    <row r="834" spans="1:9" x14ac:dyDescent="0.4">
      <c r="A834" t="s">
        <v>23</v>
      </c>
      <c r="B834" t="s">
        <v>1110</v>
      </c>
      <c r="C834" t="str">
        <f t="shared" si="54"/>
        <v>宮城県仙台市太白区東中田5丁目</v>
      </c>
      <c r="D834" s="2" t="str">
        <f t="shared" si="55"/>
        <v>http://geocode.csis.u-tokyo.ac.jp/cgi-bin/simple_geocode.cgi?charset=UTF8&amp;addr=%E5%AE%AE%E5%9F%8E%E7%9C%8C%E4%BB%99%E5%8F%B0%E5%B8%82%E5%A4%AA%E7%99%BD%E5%8C%BA%E6%9D%B1%E4%B8%AD%E7%94%B05%E4%B8%81%E7%9B%AE</v>
      </c>
      <c r="E834" t="str">
        <f t="shared" si="56"/>
        <v xml:space="preserve">&lt;?xml version="1.0" encoding="UTF-8" ?&gt;
&lt;results&gt;
&lt;query&gt;宮城県仙台市太白区東中田5丁目&lt;/query&gt;
&lt;geodetic&gt;wgs1984&lt;/geodetic&gt;
&lt;iConf&gt;5&lt;/iConf&gt;
&lt;converted&gt;宮城県仙台市太白区東中田5丁目&lt;/converted&gt;
&lt;candidate&gt;
&lt;address&gt;宮城県/仙台市/太白区/東中田/五丁目&lt;/address&gt;
&lt;longitude&gt;140.898972&lt;/longitude&gt;
&lt;latitude&gt;38.199066&lt;/latitude&gt;
&lt;iLvl&gt;6&lt;/iLvl&gt;
&lt;/candidate&gt;
&lt;/results&gt;
</v>
      </c>
      <c r="F834" cm="1">
        <f t="array" ref="F834">INDEX(_xlfn.FILTERXML(E834,"//latitude"),1)</f>
        <v>38.199066000000002</v>
      </c>
      <c r="G834" cm="1">
        <f t="array" ref="G834">INDEX(_xlfn.FILTERXML(E834,"//longitude"),1)</f>
        <v>140.89897199999999</v>
      </c>
      <c r="H834">
        <v>38.199066000000002</v>
      </c>
      <c r="I834">
        <v>140.89897199999999</v>
      </c>
    </row>
    <row r="835" spans="1:9" x14ac:dyDescent="0.4">
      <c r="A835" t="s">
        <v>9</v>
      </c>
      <c r="B835" t="s">
        <v>330</v>
      </c>
      <c r="C835" t="str">
        <f t="shared" si="54"/>
        <v>東京都大田区南千束</v>
      </c>
      <c r="D835" s="2" t="str">
        <f t="shared" si="55"/>
        <v>http://geocode.csis.u-tokyo.ac.jp/cgi-bin/simple_geocode.cgi?charset=UTF8&amp;addr=%E6%9D%B1%E4%BA%AC%E9%83%BD%E5%A4%A7%E7%94%B0%E5%8C%BA%E5%8D%97%E5%8D%83%E6%9D%9F</v>
      </c>
      <c r="E835" t="str">
        <f t="shared" si="56"/>
        <v xml:space="preserve">&lt;?xml version="1.0" encoding="UTF-8" ?&gt;
&lt;results&gt;
&lt;query&gt;東京都大田区南千束&lt;/query&gt;
&lt;geodetic&gt;wgs1984&lt;/geodetic&gt;
&lt;iConf&gt;5&lt;/iConf&gt;
&lt;converted&gt;東京都大田区南千束&lt;/converted&gt;
&lt;candidate&gt;
&lt;address&gt;東京都/大田区/南千束&lt;/address&gt;
&lt;longitude&gt;139.694168&lt;/longitude&gt;
&lt;latitude&gt;35.603043&lt;/latitude&gt;
&lt;iLvl&gt;5&lt;/iLvl&gt;
&lt;/candidate&gt;
&lt;/results&gt;
</v>
      </c>
      <c r="F835" cm="1">
        <f t="array" ref="F835">INDEX(_xlfn.FILTERXML(E835,"//latitude"),1)</f>
        <v>35.603043</v>
      </c>
      <c r="G835" cm="1">
        <f t="array" ref="G835">INDEX(_xlfn.FILTERXML(E835,"//longitude"),1)</f>
        <v>139.69416799999999</v>
      </c>
      <c r="H835">
        <v>35.603043</v>
      </c>
      <c r="I835">
        <v>139.69416799999999</v>
      </c>
    </row>
    <row r="836" spans="1:9" x14ac:dyDescent="0.4">
      <c r="A836" t="s">
        <v>16</v>
      </c>
      <c r="B836" t="s">
        <v>70</v>
      </c>
      <c r="C836" t="str">
        <f t="shared" si="54"/>
        <v>長野県長野市川中島町上氷鉋</v>
      </c>
      <c r="D836" s="2" t="str">
        <f t="shared" si="55"/>
        <v>http://geocode.csis.u-tokyo.ac.jp/cgi-bin/simple_geocode.cgi?charset=UTF8&amp;addr=%E9%95%B7%E9%87%8E%E7%9C%8C%E9%95%B7%E9%87%8E%E5%B8%82%E5%B7%9D%E4%B8%AD%E5%B3%B6%E7%94%BA%E4%B8%8A%E6%B0%B7%E9%89%8B</v>
      </c>
      <c r="E836" t="str">
        <f t="shared" si="56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836" cm="1">
        <f t="array" ref="F836">INDEX(_xlfn.FILTERXML(E836,"//latitude"),1)</f>
        <v>36.611911999999997</v>
      </c>
      <c r="G836" cm="1">
        <f t="array" ref="G836">INDEX(_xlfn.FILTERXML(E836,"//longitude"),1)</f>
        <v>138.157059</v>
      </c>
      <c r="H836">
        <v>36.611911999999997</v>
      </c>
      <c r="I836">
        <v>138.157059</v>
      </c>
    </row>
    <row r="837" spans="1:9" x14ac:dyDescent="0.4">
      <c r="A837" t="s">
        <v>9</v>
      </c>
      <c r="B837" t="s">
        <v>331</v>
      </c>
      <c r="C837" t="str">
        <f t="shared" si="54"/>
        <v>東京都調布市</v>
      </c>
      <c r="D837" s="2" t="str">
        <f t="shared" si="55"/>
        <v>http://geocode.csis.u-tokyo.ac.jp/cgi-bin/simple_geocode.cgi?charset=UTF8&amp;addr=%E6%9D%B1%E4%BA%AC%E9%83%BD%E8%AA%BF%E5%B8%83%E5%B8%82</v>
      </c>
      <c r="E837" t="str">
        <f t="shared" si="56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837" cm="1">
        <f t="array" ref="F837">INDEX(_xlfn.FILTERXML(E837,"//latitude"),1)</f>
        <v>35.650627</v>
      </c>
      <c r="G837" cm="1">
        <f t="array" ref="G837">INDEX(_xlfn.FILTERXML(E837,"//longitude"),1)</f>
        <v>139.54068000000001</v>
      </c>
      <c r="H837">
        <v>35.650627</v>
      </c>
      <c r="I837">
        <v>139.54068000000001</v>
      </c>
    </row>
    <row r="838" spans="1:9" x14ac:dyDescent="0.4">
      <c r="A838" t="s">
        <v>13</v>
      </c>
      <c r="B838" t="s">
        <v>332</v>
      </c>
      <c r="C838" t="str">
        <f t="shared" si="54"/>
        <v>埼玉県越谷市新越谷</v>
      </c>
      <c r="D838" s="2" t="str">
        <f t="shared" si="55"/>
        <v>http://geocode.csis.u-tokyo.ac.jp/cgi-bin/simple_geocode.cgi?charset=UTF8&amp;addr=%E5%9F%BC%E7%8E%89%E7%9C%8C%E8%B6%8A%E8%B0%B7%E5%B8%82%E6%96%B0%E8%B6%8A%E8%B0%B7</v>
      </c>
      <c r="E838" t="str">
        <f t="shared" si="56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838" cm="1">
        <f t="array" ref="F838">INDEX(_xlfn.FILTERXML(E838,"//latitude"),1)</f>
        <v>35.874282999999998</v>
      </c>
      <c r="G838" cm="1">
        <f t="array" ref="G838">INDEX(_xlfn.FILTERXML(E838,"//longitude"),1)</f>
        <v>139.78247099999999</v>
      </c>
      <c r="H838">
        <v>35.874282999999998</v>
      </c>
      <c r="I838">
        <v>139.78247099999999</v>
      </c>
    </row>
    <row r="839" spans="1:9" x14ac:dyDescent="0.4">
      <c r="A839" t="s">
        <v>9</v>
      </c>
      <c r="B839" t="s">
        <v>227</v>
      </c>
      <c r="C839" t="str">
        <f t="shared" si="54"/>
        <v>東京都港区港南</v>
      </c>
      <c r="D839" s="2" t="str">
        <f t="shared" si="55"/>
        <v>http://geocode.csis.u-tokyo.ac.jp/cgi-bin/simple_geocode.cgi?charset=UTF8&amp;addr=%E6%9D%B1%E4%BA%AC%E9%83%BD%E6%B8%AF%E5%8C%BA%E6%B8%AF%E5%8D%97</v>
      </c>
      <c r="E839" t="str">
        <f t="shared" si="56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839" cm="1">
        <f t="array" ref="F839">INDEX(_xlfn.FILTERXML(E839,"//latitude"),1)</f>
        <v>35.630707000000001</v>
      </c>
      <c r="G839" cm="1">
        <f t="array" ref="G839">INDEX(_xlfn.FILTERXML(E839,"//longitude"),1)</f>
        <v>139.744339</v>
      </c>
      <c r="H839">
        <v>35.630707000000001</v>
      </c>
      <c r="I839">
        <v>139.744339</v>
      </c>
    </row>
    <row r="840" spans="1:9" x14ac:dyDescent="0.4">
      <c r="A840" t="s">
        <v>10</v>
      </c>
      <c r="B840" t="s">
        <v>333</v>
      </c>
      <c r="C840" t="str">
        <f t="shared" si="54"/>
        <v>神奈川県横浜市西区平沼</v>
      </c>
      <c r="D840" s="2" t="str">
        <f t="shared" si="55"/>
        <v>http://geocode.csis.u-tokyo.ac.jp/cgi-bin/simple_geocode.cgi?charset=UTF8&amp;addr=%E7%A5%9E%E5%A5%88%E5%B7%9D%E7%9C%8C%E6%A8%AA%E6%B5%9C%E5%B8%82%E8%A5%BF%E5%8C%BA%E5%B9%B3%E6%B2%BC</v>
      </c>
      <c r="E840" t="str">
        <f t="shared" si="56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840" cm="1">
        <f t="array" ref="F840">INDEX(_xlfn.FILTERXML(E840,"//latitude"),1)</f>
        <v>35.460503000000003</v>
      </c>
      <c r="G840" cm="1">
        <f t="array" ref="G840">INDEX(_xlfn.FILTERXML(E840,"//longitude"),1)</f>
        <v>139.61964399999999</v>
      </c>
      <c r="H840">
        <v>35.460503000000003</v>
      </c>
      <c r="I840">
        <v>139.61964399999999</v>
      </c>
    </row>
    <row r="841" spans="1:9" x14ac:dyDescent="0.4">
      <c r="A841" t="s">
        <v>22</v>
      </c>
      <c r="B841" t="s">
        <v>181</v>
      </c>
      <c r="C841" t="str">
        <f t="shared" si="54"/>
        <v>群馬県渋川市半田</v>
      </c>
      <c r="D841" s="2" t="str">
        <f t="shared" si="55"/>
        <v>http://geocode.csis.u-tokyo.ac.jp/cgi-bin/simple_geocode.cgi?charset=UTF8&amp;addr=%E7%BE%A4%E9%A6%AC%E7%9C%8C%E6%B8%8B%E5%B7%9D%E5%B8%82%E5%8D%8A%E7%94%B0</v>
      </c>
      <c r="E841" t="str">
        <f t="shared" si="56"/>
        <v xml:space="preserve">&lt;?xml version="1.0" encoding="UTF-8" ?&gt;
&lt;results&gt;
&lt;query&gt;群馬県渋川市半田&lt;/query&gt;
&lt;geodetic&gt;wgs1984&lt;/geodetic&gt;
&lt;iConf&gt;5&lt;/iConf&gt;
&lt;converted&gt;群馬県渋川市半田&lt;/converted&gt;
&lt;candidate&gt;
&lt;address&gt;群馬県/渋川市/半田&lt;/address&gt;
&lt;longitude&gt;139.029572&lt;/longitude&gt;
&lt;latitude&gt;36.463806&lt;/latitude&gt;
&lt;iLvl&gt;5&lt;/iLvl&gt;
&lt;/candidate&gt;
&lt;/results&gt;
</v>
      </c>
      <c r="F841" cm="1">
        <f t="array" ref="F841">INDEX(_xlfn.FILTERXML(E841,"//latitude"),1)</f>
        <v>36.463805999999998</v>
      </c>
      <c r="G841" cm="1">
        <f t="array" ref="G841">INDEX(_xlfn.FILTERXML(E841,"//longitude"),1)</f>
        <v>139.029572</v>
      </c>
      <c r="H841">
        <v>36.463805999999998</v>
      </c>
      <c r="I841">
        <v>139.029572</v>
      </c>
    </row>
    <row r="842" spans="1:9" x14ac:dyDescent="0.4">
      <c r="A842" t="s">
        <v>13</v>
      </c>
      <c r="B842" t="s">
        <v>334</v>
      </c>
      <c r="C842" t="str">
        <f t="shared" si="54"/>
        <v>埼玉県和光市</v>
      </c>
      <c r="D842" s="2" t="str">
        <f t="shared" si="55"/>
        <v>http://geocode.csis.u-tokyo.ac.jp/cgi-bin/simple_geocode.cgi?charset=UTF8&amp;addr=%E5%9F%BC%E7%8E%89%E7%9C%8C%E5%92%8C%E5%85%89%E5%B8%82</v>
      </c>
      <c r="E842" t="str">
        <f t="shared" si="56"/>
        <v xml:space="preserve">&lt;?xml version="1.0" encoding="UTF-8" ?&gt;
&lt;results&gt;
&lt;query&gt;埼玉県和光市&lt;/query&gt;
&lt;geodetic&gt;wgs1984&lt;/geodetic&gt;
&lt;iConf&gt;5&lt;/iConf&gt;
&lt;converted&gt;埼玉県和光市&lt;/converted&gt;
&lt;candidate&gt;
&lt;address&gt;埼玉県/和光市&lt;/address&gt;
&lt;longitude&gt;139.605698&lt;/longitude&gt;
&lt;latitude&gt;35.781105&lt;/latitude&gt;
&lt;iLvl&gt;3&lt;/iLvl&gt;
&lt;/candidate&gt;
&lt;/results&gt;
</v>
      </c>
      <c r="F842" cm="1">
        <f t="array" ref="F842">INDEX(_xlfn.FILTERXML(E842,"//latitude"),1)</f>
        <v>35.781104999999997</v>
      </c>
      <c r="G842" cm="1">
        <f t="array" ref="G842">INDEX(_xlfn.FILTERXML(E842,"//longitude"),1)</f>
        <v>139.60569799999999</v>
      </c>
      <c r="H842">
        <v>35.781104999999997</v>
      </c>
      <c r="I842">
        <v>139.60569799999999</v>
      </c>
    </row>
    <row r="843" spans="1:9" x14ac:dyDescent="0.4">
      <c r="A843" t="s">
        <v>13</v>
      </c>
      <c r="B843" t="s">
        <v>335</v>
      </c>
      <c r="C843" t="str">
        <f t="shared" si="54"/>
        <v>埼玉県川口市南鳩ヶ谷4-7-20</v>
      </c>
      <c r="D843" s="2" t="str">
        <f t="shared" si="55"/>
        <v>http://geocode.csis.u-tokyo.ac.jp/cgi-bin/simple_geocode.cgi?charset=UTF8&amp;addr=%E5%9F%BC%E7%8E%89%E7%9C%8C%E5%B7%9D%E5%8F%A3%E5%B8%82%E5%8D%97%E9%B3%A9%E3%83%B6%E8%B0%B74-7-20</v>
      </c>
      <c r="E843" t="str">
        <f t="shared" si="56"/>
        <v xml:space="preserve">&lt;?xml version="1.0" encoding="UTF-8" ?&gt;
&lt;results&gt;
&lt;query&gt;埼玉県川口市南鳩ヶ谷4-7-20&lt;/query&gt;
&lt;geodetic&gt;wgs1984&lt;/geodetic&gt;
&lt;iConf&gt;5&lt;/iConf&gt;
&lt;converted&gt;埼玉県川口市南鳩ヶ谷4-7-20&lt;/converted&gt;
&lt;candidate&gt;
&lt;address&gt;埼玉県/川口市/南鳩ヶ谷/四丁目/７番/２０号&lt;/address&gt;
&lt;longitude&gt;139.736694&lt;/longitude&gt;
&lt;latitude&gt;35.814995&lt;/latitude&gt;
&lt;iLvl&gt;8&lt;/iLvl&gt;
&lt;/candidate&gt;
&lt;/results&gt;
</v>
      </c>
      <c r="F843" cm="1">
        <f t="array" ref="F843">INDEX(_xlfn.FILTERXML(E843,"//latitude"),1)</f>
        <v>35.814995000000003</v>
      </c>
      <c r="G843" cm="1">
        <f t="array" ref="G843">INDEX(_xlfn.FILTERXML(E843,"//longitude"),1)</f>
        <v>139.736694</v>
      </c>
      <c r="H843">
        <v>35.814995000000003</v>
      </c>
      <c r="I843">
        <v>139.736694</v>
      </c>
    </row>
    <row r="844" spans="1:9" x14ac:dyDescent="0.4">
      <c r="A844" t="s">
        <v>14</v>
      </c>
      <c r="B844" t="s">
        <v>336</v>
      </c>
      <c r="C844" t="str">
        <f t="shared" si="54"/>
        <v>広島県三原市</v>
      </c>
      <c r="D844" s="2" t="str">
        <f t="shared" si="55"/>
        <v>http://geocode.csis.u-tokyo.ac.jp/cgi-bin/simple_geocode.cgi?charset=UTF8&amp;addr=%E5%BA%83%E5%B3%B6%E7%9C%8C%E4%B8%89%E5%8E%9F%E5%B8%82</v>
      </c>
      <c r="E844" t="str">
        <f t="shared" si="56"/>
        <v xml:space="preserve">&lt;?xml version="1.0" encoding="UTF-8" ?&gt;
&lt;results&gt;
&lt;query&gt;広島県三原市&lt;/query&gt;
&lt;geodetic&gt;wgs1984&lt;/geodetic&gt;
&lt;iConf&gt;5&lt;/iConf&gt;
&lt;converted&gt;広島県三原市&lt;/converted&gt;
&lt;candidate&gt;
&lt;address&gt;広島県/三原市&lt;/address&gt;
&lt;longitude&gt;133.078522&lt;/longitude&gt;
&lt;latitude&gt;34.397469&lt;/latitude&gt;
&lt;iLvl&gt;3&lt;/iLvl&gt;
&lt;/candidate&gt;
&lt;/results&gt;
</v>
      </c>
      <c r="F844" cm="1">
        <f t="array" ref="F844">INDEX(_xlfn.FILTERXML(E844,"//latitude"),1)</f>
        <v>34.397469000000001</v>
      </c>
      <c r="G844" cm="1">
        <f t="array" ref="G844">INDEX(_xlfn.FILTERXML(E844,"//longitude"),1)</f>
        <v>133.07852199999999</v>
      </c>
      <c r="H844">
        <v>34.397469000000001</v>
      </c>
      <c r="I844">
        <v>133.07852199999999</v>
      </c>
    </row>
    <row r="845" spans="1:9" x14ac:dyDescent="0.4">
      <c r="A845" t="s">
        <v>9</v>
      </c>
      <c r="B845" t="s">
        <v>337</v>
      </c>
      <c r="C845" t="str">
        <f t="shared" si="54"/>
        <v>東京都世田谷区上野毛</v>
      </c>
      <c r="D845" s="2" t="str">
        <f t="shared" si="55"/>
        <v>http://geocode.csis.u-tokyo.ac.jp/cgi-bin/simple_geocode.cgi?charset=UTF8&amp;addr=%E6%9D%B1%E4%BA%AC%E9%83%BD%E4%B8%96%E7%94%B0%E8%B0%B7%E5%8C%BA%E4%B8%8A%E9%87%8E%E6%AF%9B</v>
      </c>
      <c r="E845" t="str">
        <f t="shared" si="56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845" cm="1">
        <f t="array" ref="F845">INDEX(_xlfn.FILTERXML(E845,"//latitude"),1)</f>
        <v>35.61121</v>
      </c>
      <c r="G845" cm="1">
        <f t="array" ref="G845">INDEX(_xlfn.FILTERXML(E845,"//longitude"),1)</f>
        <v>139.63961800000001</v>
      </c>
      <c r="H845">
        <v>35.61121</v>
      </c>
      <c r="I845">
        <v>139.63961800000001</v>
      </c>
    </row>
    <row r="846" spans="1:9" x14ac:dyDescent="0.4">
      <c r="A846" t="s">
        <v>52</v>
      </c>
      <c r="B846" t="s">
        <v>338</v>
      </c>
      <c r="C846" t="str">
        <f t="shared" si="54"/>
        <v>徳島県美馬市脇町字小星</v>
      </c>
      <c r="D846" s="2" t="str">
        <f t="shared" si="55"/>
        <v>http://geocode.csis.u-tokyo.ac.jp/cgi-bin/simple_geocode.cgi?charset=UTF8&amp;addr=%E5%BE%B3%E5%B3%B6%E7%9C%8C%E7%BE%8E%E9%A6%AC%E5%B8%82%E8%84%87%E7%94%BA%E5%AD%97%E5%B0%8F%E6%98%9F</v>
      </c>
      <c r="E846" t="str">
        <f t="shared" si="56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846" cm="1">
        <f t="array" ref="F846">INDEX(_xlfn.FILTERXML(E846,"//latitude"),1)</f>
        <v>34.066153999999997</v>
      </c>
      <c r="G846" cm="1">
        <f t="array" ref="G846">INDEX(_xlfn.FILTERXML(E846,"//longitude"),1)</f>
        <v>134.092636</v>
      </c>
      <c r="H846">
        <v>34.066153999999997</v>
      </c>
      <c r="I846">
        <v>134.092636</v>
      </c>
    </row>
    <row r="847" spans="1:9" x14ac:dyDescent="0.4">
      <c r="A847" t="s">
        <v>10</v>
      </c>
      <c r="B847" t="s">
        <v>339</v>
      </c>
      <c r="C847" t="str">
        <f t="shared" ref="C847:C910" si="57">+A847&amp;B847</f>
        <v>神奈川県横浜市緑区霧が丘</v>
      </c>
      <c r="D847" s="2" t="str">
        <f t="shared" ref="D847:D910" si="58" xml:space="preserve"> "http://geocode.csis.u-tokyo.ac.jp/cgi-bin/simple_geocode.cgi?charset=UTF8&amp;addr=" &amp; _xlfn.ENCODEURL(C847)</f>
        <v>http://geocode.csis.u-tokyo.ac.jp/cgi-bin/simple_geocode.cgi?charset=UTF8&amp;addr=%E7%A5%9E%E5%A5%88%E5%B7%9D%E7%9C%8C%E6%A8%AA%E6%B5%9C%E5%B8%82%E7%B7%91%E5%8C%BA%E9%9C%A7%E3%81%8C%E4%B8%98</v>
      </c>
      <c r="E847" t="str">
        <f t="shared" ref="E847:E910" si="59" xml:space="preserve"> _xlfn.WEBSERVICE(D847)</f>
        <v xml:space="preserve">&lt;?xml version="1.0" encoding="UTF-8" ?&gt;
&lt;results&gt;
&lt;query&gt;神奈川県横浜市緑区霧が丘&lt;/query&gt;
&lt;geodetic&gt;wgs1984&lt;/geodetic&gt;
&lt;iConf&gt;5&lt;/iConf&gt;
&lt;converted&gt;神奈川県横浜市緑区霧が丘&lt;/converted&gt;
&lt;candidate&gt;
&lt;address&gt;神奈川県/横浜市/緑区/霧が丘&lt;/address&gt;
&lt;longitude&gt;139.509109&lt;/longitude&gt;
&lt;latitude&gt;35.517365&lt;/latitude&gt;
&lt;iLvl&gt;5&lt;/iLvl&gt;
&lt;/candidate&gt;
&lt;/results&gt;
</v>
      </c>
      <c r="F847" cm="1">
        <f t="array" ref="F847">INDEX(_xlfn.FILTERXML(E847,"//latitude"),1)</f>
        <v>35.517364999999998</v>
      </c>
      <c r="G847" cm="1">
        <f t="array" ref="G847">INDEX(_xlfn.FILTERXML(E847,"//longitude"),1)</f>
        <v>139.509109</v>
      </c>
      <c r="H847">
        <v>35.517364999999998</v>
      </c>
      <c r="I847">
        <v>139.509109</v>
      </c>
    </row>
    <row r="848" spans="1:9" x14ac:dyDescent="0.4">
      <c r="A848" t="s">
        <v>9</v>
      </c>
      <c r="B848" t="s">
        <v>340</v>
      </c>
      <c r="C848" t="str">
        <f t="shared" si="57"/>
        <v>東京都豊島区西巣鴨</v>
      </c>
      <c r="D848" s="2" t="str">
        <f t="shared" si="58"/>
        <v>http://geocode.csis.u-tokyo.ac.jp/cgi-bin/simple_geocode.cgi?charset=UTF8&amp;addr=%E6%9D%B1%E4%BA%AC%E9%83%BD%E8%B1%8A%E5%B3%B6%E5%8C%BA%E8%A5%BF%E5%B7%A3%E9%B4%A8</v>
      </c>
      <c r="E848" t="str">
        <f t="shared" si="59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848" cm="1">
        <f t="array" ref="F848">INDEX(_xlfn.FILTERXML(E848,"//latitude"),1)</f>
        <v>35.737560000000002</v>
      </c>
      <c r="G848" cm="1">
        <f t="array" ref="G848">INDEX(_xlfn.FILTERXML(E848,"//longitude"),1)</f>
        <v>139.725266</v>
      </c>
      <c r="H848">
        <v>35.737560000000002</v>
      </c>
      <c r="I848">
        <v>139.725266</v>
      </c>
    </row>
    <row r="849" spans="1:9" x14ac:dyDescent="0.4">
      <c r="A849" t="s">
        <v>9</v>
      </c>
      <c r="B849" t="s">
        <v>1111</v>
      </c>
      <c r="C849" t="str">
        <f t="shared" si="57"/>
        <v>東京都杉並区高井戸東</v>
      </c>
      <c r="D849" s="2" t="str">
        <f t="shared" si="58"/>
        <v>http://geocode.csis.u-tokyo.ac.jp/cgi-bin/simple_geocode.cgi?charset=UTF8&amp;addr=%E6%9D%B1%E4%BA%AC%E9%83%BD%E6%9D%89%E4%B8%A6%E5%8C%BA%E9%AB%98%E4%BA%95%E6%88%B8%E6%9D%B1</v>
      </c>
      <c r="E849" t="str">
        <f t="shared" si="59"/>
        <v xml:space="preserve">&lt;?xml version="1.0" encoding="UTF-8" ?&gt;
&lt;results&gt;
&lt;query&gt;東京都杉並区高井戸東&lt;/query&gt;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849" cm="1">
        <f t="array" ref="F849">INDEX(_xlfn.FILTERXML(E849,"//latitude"),1)</f>
        <v>35.679405000000003</v>
      </c>
      <c r="G849" cm="1">
        <f t="array" ref="G849">INDEX(_xlfn.FILTERXML(E849,"//longitude"),1)</f>
        <v>139.621948</v>
      </c>
      <c r="H849">
        <v>35.679405000000003</v>
      </c>
      <c r="I849">
        <v>139.621948</v>
      </c>
    </row>
    <row r="850" spans="1:9" x14ac:dyDescent="0.4">
      <c r="A850" t="s">
        <v>18</v>
      </c>
      <c r="B850" t="s">
        <v>341</v>
      </c>
      <c r="C850" t="str">
        <f t="shared" si="57"/>
        <v>千葉県山武市横田</v>
      </c>
      <c r="D850" s="2" t="str">
        <f t="shared" si="58"/>
        <v>http://geocode.csis.u-tokyo.ac.jp/cgi-bin/simple_geocode.cgi?charset=UTF8&amp;addr=%E5%8D%83%E8%91%89%E7%9C%8C%E5%B1%B1%E6%AD%A6%E5%B8%82%E6%A8%AA%E7%94%B0</v>
      </c>
      <c r="E850" t="str">
        <f t="shared" si="59"/>
        <v xml:space="preserve">&lt;?xml version="1.0" encoding="UTF-8" ?&gt;
&lt;results&gt;
&lt;query&gt;千葉県山武市横田&lt;/query&gt;
&lt;geodetic&gt;wgs1984&lt;/geodetic&gt;
&lt;iConf&gt;5&lt;/iConf&gt;
&lt;converted&gt;千葉県山武市横田&lt;/converted&gt;
&lt;candidate&gt;
&lt;address&gt;千葉県/山武市/横田&lt;/address&gt;
&lt;longitude&gt;140.365936&lt;/longitude&gt;
&lt;latitude&gt;35.673676&lt;/latitude&gt;
&lt;iLvl&gt;5&lt;/iLvl&gt;
&lt;/candidate&gt;
&lt;/results&gt;
</v>
      </c>
      <c r="F850" cm="1">
        <f t="array" ref="F850">INDEX(_xlfn.FILTERXML(E850,"//latitude"),1)</f>
        <v>35.673676</v>
      </c>
      <c r="G850" cm="1">
        <f t="array" ref="G850">INDEX(_xlfn.FILTERXML(E850,"//longitude"),1)</f>
        <v>140.365936</v>
      </c>
      <c r="H850">
        <v>35.673676</v>
      </c>
      <c r="I850">
        <v>140.365936</v>
      </c>
    </row>
    <row r="851" spans="1:9" x14ac:dyDescent="0.4">
      <c r="A851" t="s">
        <v>11</v>
      </c>
      <c r="B851" t="s">
        <v>1112</v>
      </c>
      <c r="C851" t="str">
        <f t="shared" si="57"/>
        <v>大阪府泉佐野市日根野</v>
      </c>
      <c r="D851" s="2" t="str">
        <f t="shared" si="58"/>
        <v>http://geocode.csis.u-tokyo.ac.jp/cgi-bin/simple_geocode.cgi?charset=UTF8&amp;addr=%E5%A4%A7%E9%98%AA%E5%BA%9C%E6%B3%89%E4%BD%90%E9%87%8E%E5%B8%82%E6%97%A5%E6%A0%B9%E9%87%8E</v>
      </c>
      <c r="E851" t="str">
        <f t="shared" si="59"/>
        <v xml:space="preserve">&lt;?xml version="1.0" encoding="UTF-8" ?&gt;
&lt;results&gt;
&lt;query&gt;大阪府泉佐野市日根野&lt;/query&gt;
&lt;geodetic&gt;wgs1984&lt;/geodetic&gt;
&lt;iConf&gt;5&lt;/iConf&gt;
&lt;converted&gt;大阪府泉佐野市日根野&lt;/converted&gt;
&lt;candidate&gt;
&lt;address&gt;大阪府/泉佐野市/日根野&lt;/address&gt;
&lt;longitude&gt;135.352539&lt;/longitude&gt;
&lt;latitude&gt;34.348953&lt;/latitude&gt;
&lt;iLvl&gt;5&lt;/iLvl&gt;
&lt;/candidate&gt;
&lt;/results&gt;
</v>
      </c>
      <c r="F851" cm="1">
        <f t="array" ref="F851">INDEX(_xlfn.FILTERXML(E851,"//latitude"),1)</f>
        <v>34.348953000000002</v>
      </c>
      <c r="G851" cm="1">
        <f t="array" ref="G851">INDEX(_xlfn.FILTERXML(E851,"//longitude"),1)</f>
        <v>135.35253900000001</v>
      </c>
      <c r="H851">
        <v>34.348953000000002</v>
      </c>
      <c r="I851">
        <v>135.35253900000001</v>
      </c>
    </row>
    <row r="852" spans="1:9" x14ac:dyDescent="0.4">
      <c r="A852" t="s">
        <v>193</v>
      </c>
      <c r="B852" t="s">
        <v>342</v>
      </c>
      <c r="C852" t="str">
        <f t="shared" si="57"/>
        <v>島根県出雲市上塩冶町</v>
      </c>
      <c r="D852" s="2" t="str">
        <f t="shared" si="58"/>
        <v>http://geocode.csis.u-tokyo.ac.jp/cgi-bin/simple_geocode.cgi?charset=UTF8&amp;addr=%E5%B3%B6%E6%A0%B9%E7%9C%8C%E5%87%BA%E9%9B%B2%E5%B8%82%E4%B8%8A%E5%A1%A9%E5%86%B6%E7%94%BA</v>
      </c>
      <c r="E852" t="str">
        <f t="shared" si="59"/>
        <v xml:space="preserve">&lt;?xml version="1.0" encoding="UTF-8" ?&gt;
&lt;results&gt;
&lt;query&gt;島根県出雲市上塩冶町&lt;/query&gt;
&lt;geodetic&gt;wgs1984&lt;/geodetic&gt;
&lt;iConf&gt;5&lt;/iConf&gt;
&lt;converted&gt;島根県出雲市上塩冶町&lt;/converted&gt;
&lt;candidate&gt;
&lt;address&gt;島根県/出雲市/上塩冶町&lt;/address&gt;
&lt;longitude&gt;132.771698&lt;/longitude&gt;
&lt;latitude&gt;35.347153&lt;/latitude&gt;
&lt;iLvl&gt;5&lt;/iLvl&gt;
&lt;/candidate&gt;
&lt;/results&gt;
</v>
      </c>
      <c r="F852" cm="1">
        <f t="array" ref="F852">INDEX(_xlfn.FILTERXML(E852,"//latitude"),1)</f>
        <v>35.347152999999999</v>
      </c>
      <c r="G852" cm="1">
        <f t="array" ref="G852">INDEX(_xlfn.FILTERXML(E852,"//longitude"),1)</f>
        <v>132.77169799999999</v>
      </c>
      <c r="H852">
        <v>35.347152999999999</v>
      </c>
      <c r="I852">
        <v>132.77169799999999</v>
      </c>
    </row>
    <row r="853" spans="1:9" x14ac:dyDescent="0.4">
      <c r="A853" t="s">
        <v>193</v>
      </c>
      <c r="B853" t="s">
        <v>342</v>
      </c>
      <c r="C853" t="str">
        <f t="shared" si="57"/>
        <v>島根県出雲市上塩冶町</v>
      </c>
      <c r="D853" s="2" t="str">
        <f t="shared" si="58"/>
        <v>http://geocode.csis.u-tokyo.ac.jp/cgi-bin/simple_geocode.cgi?charset=UTF8&amp;addr=%E5%B3%B6%E6%A0%B9%E7%9C%8C%E5%87%BA%E9%9B%B2%E5%B8%82%E4%B8%8A%E5%A1%A9%E5%86%B6%E7%94%BA</v>
      </c>
      <c r="E853" t="str">
        <f t="shared" si="59"/>
        <v xml:space="preserve">&lt;?xml version="1.0" encoding="UTF-8" ?&gt;
&lt;results&gt;
&lt;query&gt;島根県出雲市上塩冶町&lt;/query&gt;
&lt;geodetic&gt;wgs1984&lt;/geodetic&gt;
&lt;iConf&gt;5&lt;/iConf&gt;
&lt;converted&gt;島根県出雲市上塩冶町&lt;/converted&gt;
&lt;candidate&gt;
&lt;address&gt;島根県/出雲市/上塩冶町&lt;/address&gt;
&lt;longitude&gt;132.771698&lt;/longitude&gt;
&lt;latitude&gt;35.347153&lt;/latitude&gt;
&lt;iLvl&gt;5&lt;/iLvl&gt;
&lt;/candidate&gt;
&lt;/results&gt;
</v>
      </c>
      <c r="F853" cm="1">
        <f t="array" ref="F853">INDEX(_xlfn.FILTERXML(E853,"//latitude"),1)</f>
        <v>35.347152999999999</v>
      </c>
      <c r="G853" cm="1">
        <f t="array" ref="G853">INDEX(_xlfn.FILTERXML(E853,"//longitude"),1)</f>
        <v>132.77169799999999</v>
      </c>
      <c r="H853">
        <v>35.347152999999999</v>
      </c>
      <c r="I853">
        <v>132.77169799999999</v>
      </c>
    </row>
    <row r="854" spans="1:9" x14ac:dyDescent="0.4">
      <c r="A854" t="s">
        <v>21</v>
      </c>
      <c r="B854" t="s">
        <v>343</v>
      </c>
      <c r="C854" t="str">
        <f t="shared" si="57"/>
        <v>福岡県福岡市西区今宿駅前</v>
      </c>
      <c r="D854" s="2" t="str">
        <f t="shared" si="58"/>
        <v>http://geocode.csis.u-tokyo.ac.jp/cgi-bin/simple_geocode.cgi?charset=UTF8&amp;addr=%E7%A6%8F%E5%B2%A1%E7%9C%8C%E7%A6%8F%E5%B2%A1%E5%B8%82%E8%A5%BF%E5%8C%BA%E4%BB%8A%E5%AE%BF%E9%A7%85%E5%89%8D</v>
      </c>
      <c r="E854" t="str">
        <f t="shared" si="59"/>
        <v xml:space="preserve">&lt;?xml version="1.0" encoding="UTF-8" ?&gt;
&lt;results&gt;
&lt;query&gt;福岡県福岡市西区今宿駅前&lt;/query&gt;
&lt;geodetic&gt;wgs1984&lt;/geodetic&gt;
&lt;iConf&gt;5&lt;/iConf&gt;
&lt;converted&gt;福岡県福岡市西区今宿駅前&lt;/converted&gt;
&lt;candidate&gt;
&lt;address&gt;福岡県/福岡市/西区/今宿駅前&lt;/address&gt;
&lt;longitude&gt;130.277740&lt;/longitude&gt;
&lt;latitude&gt;33.580723&lt;/latitude&gt;
&lt;iLvl&gt;5&lt;/iLvl&gt;
&lt;/candidate&gt;
&lt;/results&gt;
</v>
      </c>
      <c r="F854" cm="1">
        <f t="array" ref="F854">INDEX(_xlfn.FILTERXML(E854,"//latitude"),1)</f>
        <v>33.580722999999999</v>
      </c>
      <c r="G854" cm="1">
        <f t="array" ref="G854">INDEX(_xlfn.FILTERXML(E854,"//longitude"),1)</f>
        <v>130.27773999999999</v>
      </c>
      <c r="H854">
        <v>33.580722999999999</v>
      </c>
      <c r="I854">
        <v>130.27773999999999</v>
      </c>
    </row>
    <row r="855" spans="1:9" x14ac:dyDescent="0.4">
      <c r="A855" t="s">
        <v>10</v>
      </c>
      <c r="B855" t="s">
        <v>136</v>
      </c>
      <c r="C855" t="str">
        <f t="shared" si="57"/>
        <v>神奈川県横浜市港北区綱島東</v>
      </c>
      <c r="D855" s="2" t="str">
        <f t="shared" si="58"/>
        <v>http://geocode.csis.u-tokyo.ac.jp/cgi-bin/simple_geocode.cgi?charset=UTF8&amp;addr=%E7%A5%9E%E5%A5%88%E5%B7%9D%E7%9C%8C%E6%A8%AA%E6%B5%9C%E5%B8%82%E6%B8%AF%E5%8C%97%E5%8C%BA%E7%B6%B1%E5%B3%B6%E6%9D%B1</v>
      </c>
      <c r="E855" t="str">
        <f t="shared" si="59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855" cm="1">
        <f t="array" ref="F855">INDEX(_xlfn.FILTERXML(E855,"//latitude"),1)</f>
        <v>35.535587</v>
      </c>
      <c r="G855" cm="1">
        <f t="array" ref="G855">INDEX(_xlfn.FILTERXML(E855,"//longitude"),1)</f>
        <v>139.63743600000001</v>
      </c>
      <c r="H855">
        <v>35.535587</v>
      </c>
      <c r="I855">
        <v>139.63743600000001</v>
      </c>
    </row>
    <row r="856" spans="1:9" x14ac:dyDescent="0.4">
      <c r="A856" t="s">
        <v>10</v>
      </c>
      <c r="B856" t="s">
        <v>344</v>
      </c>
      <c r="C856" t="str">
        <f t="shared" si="57"/>
        <v>神奈川県海老名市東柏ヶ谷</v>
      </c>
      <c r="D856" s="2" t="str">
        <f t="shared" si="58"/>
        <v>http://geocode.csis.u-tokyo.ac.jp/cgi-bin/simple_geocode.cgi?charset=UTF8&amp;addr=%E7%A5%9E%E5%A5%88%E5%B7%9D%E7%9C%8C%E6%B5%B7%E8%80%81%E5%90%8D%E5%B8%82%E6%9D%B1%E6%9F%8F%E3%83%B6%E8%B0%B7</v>
      </c>
      <c r="E856" t="str">
        <f t="shared" si="59"/>
        <v xml:space="preserve">&lt;?xml version="1.0" encoding="UTF-8" ?&gt;
&lt;results&gt;
&lt;query&gt;神奈川県海老名市東柏ヶ谷&lt;/query&gt;
&lt;geodetic&gt;wgs1984&lt;/geodetic&gt;
&lt;iConf&gt;5&lt;/iConf&gt;
&lt;converted&gt;神奈川県海老名市東柏ヶ谷&lt;/converted&gt;
&lt;candidate&gt;
&lt;address&gt;神奈川県/海老名市/東柏ケ谷&lt;/address&gt;
&lt;longitude&gt;139.426834&lt;/longitude&gt;
&lt;latitude&gt;35.467716&lt;/latitude&gt;
&lt;iLvl&gt;5&lt;/iLvl&gt;
&lt;/candidate&gt;
&lt;/results&gt;
</v>
      </c>
      <c r="F856" cm="1">
        <f t="array" ref="F856">INDEX(_xlfn.FILTERXML(E856,"//latitude"),1)</f>
        <v>35.467716000000003</v>
      </c>
      <c r="G856" cm="1">
        <f t="array" ref="G856">INDEX(_xlfn.FILTERXML(E856,"//longitude"),1)</f>
        <v>139.42683400000001</v>
      </c>
      <c r="H856">
        <v>35.467716000000003</v>
      </c>
      <c r="I856">
        <v>139.42683400000001</v>
      </c>
    </row>
    <row r="857" spans="1:9" x14ac:dyDescent="0.4">
      <c r="A857" t="s">
        <v>21</v>
      </c>
      <c r="B857" t="s">
        <v>668</v>
      </c>
      <c r="C857" t="str">
        <f t="shared" si="57"/>
        <v>福岡県福岡市東区香住ヶ丘</v>
      </c>
      <c r="D857" s="2" t="str">
        <f t="shared" si="58"/>
        <v>http://geocode.csis.u-tokyo.ac.jp/cgi-bin/simple_geocode.cgi?charset=UTF8&amp;addr=%E7%A6%8F%E5%B2%A1%E7%9C%8C%E7%A6%8F%E5%B2%A1%E5%B8%82%E6%9D%B1%E5%8C%BA%E9%A6%99%E4%BD%8F%E3%83%B6%E4%B8%98</v>
      </c>
      <c r="E857" t="str">
        <f t="shared" si="59"/>
        <v xml:space="preserve">&lt;?xml version="1.0" encoding="UTF-8" ?&gt;
&lt;results&gt;
&lt;query&gt;福岡県福岡市東区香住ヶ丘&lt;/query&gt;
&lt;geodetic&gt;wgs1984&lt;/geodetic&gt;
&lt;iConf&gt;5&lt;/iConf&gt;
&lt;converted&gt;福岡県福岡市東区香住ヶ丘&lt;/converted&gt;
&lt;candidate&gt;
&lt;address&gt;福岡県/福岡市/東区/香住ヶ丘&lt;/address&gt;
&lt;longitude&gt;130.438477&lt;/longitude&gt;
&lt;latitude&gt;33.667183&lt;/latitude&gt;
&lt;iLvl&gt;5&lt;/iLvl&gt;
&lt;/candidate&gt;
&lt;/results&gt;
</v>
      </c>
      <c r="F857" cm="1">
        <f t="array" ref="F857">INDEX(_xlfn.FILTERXML(E857,"//latitude"),1)</f>
        <v>33.667183000000001</v>
      </c>
      <c r="G857" cm="1">
        <f t="array" ref="G857">INDEX(_xlfn.FILTERXML(E857,"//longitude"),1)</f>
        <v>130.43847700000001</v>
      </c>
      <c r="H857">
        <v>33.667183000000001</v>
      </c>
      <c r="I857">
        <v>130.43847700000001</v>
      </c>
    </row>
    <row r="858" spans="1:9" x14ac:dyDescent="0.4">
      <c r="A858" t="s">
        <v>11</v>
      </c>
      <c r="B858" t="s">
        <v>345</v>
      </c>
      <c r="C858" t="str">
        <f t="shared" si="57"/>
        <v>大阪府吹田市千里丘下</v>
      </c>
      <c r="D858" s="2" t="str">
        <f t="shared" si="58"/>
        <v>http://geocode.csis.u-tokyo.ac.jp/cgi-bin/simple_geocode.cgi?charset=UTF8&amp;addr=%E5%A4%A7%E9%98%AA%E5%BA%9C%E5%90%B9%E7%94%B0%E5%B8%82%E5%8D%83%E9%87%8C%E4%B8%98%E4%B8%8B</v>
      </c>
      <c r="E858" t="str">
        <f t="shared" si="59"/>
        <v xml:space="preserve">&lt;?xml version="1.0" encoding="UTF-8" ?&gt;
&lt;results&gt;
&lt;query&gt;大阪府吹田市千里丘下&lt;/query&gt;
&lt;geodetic&gt;wgs1984&lt;/geodetic&gt;
&lt;iConf&gt;5&lt;/iConf&gt;
&lt;converted&gt;大阪府吹田市千里丘下&lt;/converted&gt;
&lt;candidate&gt;
&lt;address&gt;大阪府/吹田市/千里丘下&lt;/address&gt;
&lt;longitude&gt;135.548477&lt;/longitude&gt;
&lt;latitude&gt;34.793762&lt;/latitude&gt;
&lt;iLvl&gt;5&lt;/iLvl&gt;
&lt;/candidate&gt;
&lt;/results&gt;
</v>
      </c>
      <c r="F858" cm="1">
        <f t="array" ref="F858">INDEX(_xlfn.FILTERXML(E858,"//latitude"),1)</f>
        <v>34.793762000000001</v>
      </c>
      <c r="G858" cm="1">
        <f t="array" ref="G858">INDEX(_xlfn.FILTERXML(E858,"//longitude"),1)</f>
        <v>135.54847699999999</v>
      </c>
      <c r="H858">
        <v>34.793762000000001</v>
      </c>
      <c r="I858">
        <v>135.54847699999999</v>
      </c>
    </row>
    <row r="859" spans="1:9" x14ac:dyDescent="0.4">
      <c r="A859" t="s">
        <v>17</v>
      </c>
      <c r="B859" t="s">
        <v>346</v>
      </c>
      <c r="C859" t="str">
        <f t="shared" si="57"/>
        <v>愛知県豊川市平尾町</v>
      </c>
      <c r="D859" s="2" t="str">
        <f t="shared" si="58"/>
        <v>http://geocode.csis.u-tokyo.ac.jp/cgi-bin/simple_geocode.cgi?charset=UTF8&amp;addr=%E6%84%9B%E7%9F%A5%E7%9C%8C%E8%B1%8A%E5%B7%9D%E5%B8%82%E5%B9%B3%E5%B0%BE%E7%94%BA</v>
      </c>
      <c r="E859" t="str">
        <f t="shared" si="59"/>
        <v xml:space="preserve">&lt;?xml version="1.0" encoding="UTF-8" ?&gt;
&lt;results&gt;
&lt;query&gt;愛知県豊川市平尾町&lt;/query&gt;
&lt;geodetic&gt;wgs1984&lt;/geodetic&gt;
&lt;iConf&gt;5&lt;/iConf&gt;
&lt;converted&gt;愛知県豊川市平尾町&lt;/converted&gt;
&lt;candidate&gt;
&lt;address&gt;愛知県/豊川市/平尾町&lt;/address&gt;
&lt;longitude&gt;137.338104&lt;/longitude&gt;
&lt;latitude&gt;34.858440&lt;/latitude&gt;
&lt;iLvl&gt;5&lt;/iLvl&gt;
&lt;/candidate&gt;
&lt;/results&gt;
</v>
      </c>
      <c r="F859" cm="1">
        <f t="array" ref="F859">INDEX(_xlfn.FILTERXML(E859,"//latitude"),1)</f>
        <v>34.858440000000002</v>
      </c>
      <c r="G859" cm="1">
        <f t="array" ref="G859">INDEX(_xlfn.FILTERXML(E859,"//longitude"),1)</f>
        <v>137.33810399999999</v>
      </c>
      <c r="H859">
        <v>34.858440000000002</v>
      </c>
      <c r="I859">
        <v>137.33810399999999</v>
      </c>
    </row>
    <row r="860" spans="1:9" x14ac:dyDescent="0.4">
      <c r="A860" t="s">
        <v>15</v>
      </c>
      <c r="B860" t="s">
        <v>68</v>
      </c>
      <c r="C860" t="str">
        <f t="shared" si="57"/>
        <v>兵庫県神戸市垂水区舞多聞東</v>
      </c>
      <c r="D860" s="2" t="str">
        <f t="shared" si="58"/>
        <v>http://geocode.csis.u-tokyo.ac.jp/cgi-bin/simple_geocode.cgi?charset=UTF8&amp;addr=%E5%85%B5%E5%BA%AB%E7%9C%8C%E7%A5%9E%E6%88%B8%E5%B8%82%E5%9E%82%E6%B0%B4%E5%8C%BA%E8%88%9E%E5%A4%9A%E8%81%9E%E6%9D%B1</v>
      </c>
      <c r="E860" t="str">
        <f t="shared" si="59"/>
        <v xml:space="preserve">&lt;?xml version="1.0" encoding="UTF-8" ?&gt;
&lt;results&gt;
&lt;query&gt;兵庫県神戸市垂水区舞多聞東&lt;/query&gt;
&lt;geodetic&gt;wgs1984&lt;/geodetic&gt;
&lt;iConf&gt;5&lt;/iConf&gt;
&lt;converted&gt;兵庫県神戸市垂水区舞多聞東&lt;/converted&gt;
&lt;candidate&gt;
&lt;address&gt;兵庫県/神戸市/垂水区/舞多聞東&lt;/address&gt;
&lt;longitude&gt;135.056030&lt;/longitude&gt;
&lt;latitude&gt;34.663113&lt;/latitude&gt;
&lt;iLvl&gt;5&lt;/iLvl&gt;
&lt;/candidate&gt;
&lt;/results&gt;
</v>
      </c>
      <c r="F860" cm="1">
        <f t="array" ref="F860">INDEX(_xlfn.FILTERXML(E860,"//latitude"),1)</f>
        <v>34.663113000000003</v>
      </c>
      <c r="G860" cm="1">
        <f t="array" ref="G860">INDEX(_xlfn.FILTERXML(E860,"//longitude"),1)</f>
        <v>135.05602999999999</v>
      </c>
      <c r="H860">
        <v>34.663113000000003</v>
      </c>
      <c r="I860">
        <v>135.05602999999999</v>
      </c>
    </row>
    <row r="861" spans="1:9" x14ac:dyDescent="0.4">
      <c r="A861" t="s">
        <v>11</v>
      </c>
      <c r="B861" t="s">
        <v>143</v>
      </c>
      <c r="C861" t="str">
        <f t="shared" si="57"/>
        <v>大阪府大阪市中央区東心斎橋</v>
      </c>
      <c r="D861" s="2" t="str">
        <f t="shared" si="58"/>
        <v>http://geocode.csis.u-tokyo.ac.jp/cgi-bin/simple_geocode.cgi?charset=UTF8&amp;addr=%E5%A4%A7%E9%98%AA%E5%BA%9C%E5%A4%A7%E9%98%AA%E5%B8%82%E4%B8%AD%E5%A4%AE%E5%8C%BA%E6%9D%B1%E5%BF%83%E6%96%8E%E6%A9%8B</v>
      </c>
      <c r="E861" t="str">
        <f t="shared" si="59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861" cm="1">
        <f t="array" ref="F861">INDEX(_xlfn.FILTERXML(E861,"//latitude"),1)</f>
        <v>34.673416000000003</v>
      </c>
      <c r="G861" cm="1">
        <f t="array" ref="G861">INDEX(_xlfn.FILTERXML(E861,"//longitude"),1)</f>
        <v>135.50431800000001</v>
      </c>
      <c r="H861">
        <v>34.673416000000003</v>
      </c>
      <c r="I861">
        <v>135.50431800000001</v>
      </c>
    </row>
    <row r="862" spans="1:9" x14ac:dyDescent="0.4">
      <c r="A862" t="s">
        <v>29</v>
      </c>
      <c r="B862" t="s">
        <v>347</v>
      </c>
      <c r="C862" t="str">
        <f t="shared" si="57"/>
        <v>静岡県熱海市熱海</v>
      </c>
      <c r="D862" s="2" t="str">
        <f t="shared" si="58"/>
        <v>http://geocode.csis.u-tokyo.ac.jp/cgi-bin/simple_geocode.cgi?charset=UTF8&amp;addr=%E9%9D%99%E5%B2%A1%E7%9C%8C%E7%86%B1%E6%B5%B7%E5%B8%82%E7%86%B1%E6%B5%B7</v>
      </c>
      <c r="E862" t="str">
        <f t="shared" si="59"/>
        <v xml:space="preserve">&lt;?xml version="1.0" encoding="UTF-8" ?&gt;
&lt;results&gt;
&lt;query&gt;静岡県熱海市熱海&lt;/query&gt;
&lt;geodetic&gt;wgs1984&lt;/geodetic&gt;
&lt;iConf&gt;5&lt;/iConf&gt;
&lt;converted&gt;静岡県熱海市熱海&lt;/converted&gt;
&lt;candidate&gt;
&lt;address&gt;静岡県/熱海市/熱海&lt;/address&gt;
&lt;longitude&gt;139.044220&lt;/longitude&gt;
&lt;latitude&gt;35.099613&lt;/latitude&gt;
&lt;iLvl&gt;5&lt;/iLvl&gt;
&lt;/candidate&gt;
&lt;/results&gt;
</v>
      </c>
      <c r="F862" cm="1">
        <f t="array" ref="F862">INDEX(_xlfn.FILTERXML(E862,"//latitude"),1)</f>
        <v>35.099612999999998</v>
      </c>
      <c r="G862" cm="1">
        <f t="array" ref="G862">INDEX(_xlfn.FILTERXML(E862,"//longitude"),1)</f>
        <v>139.04422</v>
      </c>
      <c r="H862">
        <v>35.099612999999998</v>
      </c>
      <c r="I862">
        <v>139.04422</v>
      </c>
    </row>
    <row r="863" spans="1:9" x14ac:dyDescent="0.4">
      <c r="A863" t="s">
        <v>10</v>
      </c>
      <c r="B863" t="s">
        <v>348</v>
      </c>
      <c r="C863" t="str">
        <f t="shared" si="57"/>
        <v>神奈川県横浜市中区本牧原</v>
      </c>
      <c r="D863" s="2" t="str">
        <f t="shared" si="58"/>
        <v>http://geocode.csis.u-tokyo.ac.jp/cgi-bin/simple_geocode.cgi?charset=UTF8&amp;addr=%E7%A5%9E%E5%A5%88%E5%B7%9D%E7%9C%8C%E6%A8%AA%E6%B5%9C%E5%B8%82%E4%B8%AD%E5%8C%BA%E6%9C%AC%E7%89%A7%E5%8E%9F</v>
      </c>
      <c r="E863" t="str">
        <f t="shared" si="59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863" cm="1">
        <f t="array" ref="F863">INDEX(_xlfn.FILTERXML(E863,"//latitude"),1)</f>
        <v>35.425179</v>
      </c>
      <c r="G863" cm="1">
        <f t="array" ref="G863">INDEX(_xlfn.FILTERXML(E863,"//longitude"),1)</f>
        <v>139.66725199999999</v>
      </c>
      <c r="H863">
        <v>35.425179</v>
      </c>
      <c r="I863">
        <v>139.66725199999999</v>
      </c>
    </row>
    <row r="864" spans="1:9" x14ac:dyDescent="0.4">
      <c r="A864" t="s">
        <v>26</v>
      </c>
      <c r="B864" t="s">
        <v>267</v>
      </c>
      <c r="C864" t="str">
        <f t="shared" si="57"/>
        <v>京都府宇治市木幡平尾</v>
      </c>
      <c r="D864" s="2" t="str">
        <f t="shared" si="58"/>
        <v>http://geocode.csis.u-tokyo.ac.jp/cgi-bin/simple_geocode.cgi?charset=UTF8&amp;addr=%E4%BA%AC%E9%83%BD%E5%BA%9C%E5%AE%87%E6%B2%BB%E5%B8%82%E6%9C%A8%E5%B9%A1%E5%B9%B3%E5%B0%BE</v>
      </c>
      <c r="E864" t="str">
        <f t="shared" si="59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864" cm="1">
        <f t="array" ref="F864">INDEX(_xlfn.FILTERXML(E864,"//latitude"),1)</f>
        <v>34.934288000000002</v>
      </c>
      <c r="G864" cm="1">
        <f t="array" ref="G864">INDEX(_xlfn.FILTERXML(E864,"//longitude"),1)</f>
        <v>135.80509900000001</v>
      </c>
      <c r="H864">
        <v>34.934288000000002</v>
      </c>
      <c r="I864">
        <v>135.80509900000001</v>
      </c>
    </row>
    <row r="865" spans="1:9" x14ac:dyDescent="0.4">
      <c r="A865" t="s">
        <v>26</v>
      </c>
      <c r="B865" t="s">
        <v>267</v>
      </c>
      <c r="C865" t="str">
        <f t="shared" si="57"/>
        <v>京都府宇治市木幡平尾</v>
      </c>
      <c r="D865" s="2" t="str">
        <f t="shared" si="58"/>
        <v>http://geocode.csis.u-tokyo.ac.jp/cgi-bin/simple_geocode.cgi?charset=UTF8&amp;addr=%E4%BA%AC%E9%83%BD%E5%BA%9C%E5%AE%87%E6%B2%BB%E5%B8%82%E6%9C%A8%E5%B9%A1%E5%B9%B3%E5%B0%BE</v>
      </c>
      <c r="E865" t="str">
        <f t="shared" si="59"/>
        <v xml:space="preserve">&lt;?xml version="1.0" encoding="UTF-8" ?&gt;
&lt;results&gt;
&lt;query&gt;京都府宇治市木幡平尾&lt;/query&gt;
&lt;geodetic&gt;wgs1984&lt;/geodetic&gt;
&lt;iConf&gt;5&lt;/iConf&gt;
&lt;converted&gt;京都府宇治市木幡平尾&lt;/converted&gt;
&lt;candidate&gt;
&lt;address&gt;京都府/宇治市/木幡/平尾&lt;/address&gt;
&lt;longitude&gt;135.805099&lt;/longitude&gt;
&lt;latitude&gt;34.934288&lt;/latitude&gt;
&lt;iLvl&gt;6&lt;/iLvl&gt;
&lt;/candidate&gt;
&lt;/results&gt;
</v>
      </c>
      <c r="F865" cm="1">
        <f t="array" ref="F865">INDEX(_xlfn.FILTERXML(E865,"//latitude"),1)</f>
        <v>34.934288000000002</v>
      </c>
      <c r="G865" cm="1">
        <f t="array" ref="G865">INDEX(_xlfn.FILTERXML(E865,"//longitude"),1)</f>
        <v>135.80509900000001</v>
      </c>
      <c r="H865">
        <v>34.934288000000002</v>
      </c>
      <c r="I865">
        <v>135.80509900000001</v>
      </c>
    </row>
    <row r="866" spans="1:9" x14ac:dyDescent="0.4">
      <c r="A866" t="s">
        <v>11</v>
      </c>
      <c r="B866" t="s">
        <v>349</v>
      </c>
      <c r="C866" t="str">
        <f t="shared" si="57"/>
        <v>大阪府交野市</v>
      </c>
      <c r="D866" s="2" t="str">
        <f t="shared" si="58"/>
        <v>http://geocode.csis.u-tokyo.ac.jp/cgi-bin/simple_geocode.cgi?charset=UTF8&amp;addr=%E5%A4%A7%E9%98%AA%E5%BA%9C%E4%BA%A4%E9%87%8E%E5%B8%82</v>
      </c>
      <c r="E866" t="str">
        <f t="shared" si="59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866" cm="1">
        <f t="array" ref="F866">INDEX(_xlfn.FILTERXML(E866,"//latitude"),1)</f>
        <v>34.787956000000001</v>
      </c>
      <c r="G866" cm="1">
        <f t="array" ref="G866">INDEX(_xlfn.FILTERXML(E866,"//longitude"),1)</f>
        <v>135.67997700000001</v>
      </c>
      <c r="H866">
        <v>34.787956000000001</v>
      </c>
      <c r="I866">
        <v>135.67997700000001</v>
      </c>
    </row>
    <row r="867" spans="1:9" x14ac:dyDescent="0.4">
      <c r="A867" t="s">
        <v>17</v>
      </c>
      <c r="B867" t="s">
        <v>211</v>
      </c>
      <c r="C867" t="str">
        <f t="shared" si="57"/>
        <v>愛知県岡崎市</v>
      </c>
      <c r="D867" s="2" t="str">
        <f t="shared" si="58"/>
        <v>http://geocode.csis.u-tokyo.ac.jp/cgi-bin/simple_geocode.cgi?charset=UTF8&amp;addr=%E6%84%9B%E7%9F%A5%E7%9C%8C%E5%B2%A1%E5%B4%8E%E5%B8%82</v>
      </c>
      <c r="E867" t="str">
        <f t="shared" si="59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867" cm="1">
        <f t="array" ref="F867">INDEX(_xlfn.FILTERXML(E867,"//latitude"),1)</f>
        <v>34.954807000000002</v>
      </c>
      <c r="G867" cm="1">
        <f t="array" ref="G867">INDEX(_xlfn.FILTERXML(E867,"//longitude"),1)</f>
        <v>137.17300399999999</v>
      </c>
      <c r="H867">
        <v>34.954807000000002</v>
      </c>
      <c r="I867">
        <v>137.17300399999999</v>
      </c>
    </row>
    <row r="868" spans="1:9" x14ac:dyDescent="0.4">
      <c r="A868" t="s">
        <v>17</v>
      </c>
      <c r="B868" t="s">
        <v>350</v>
      </c>
      <c r="C868" t="str">
        <f t="shared" si="57"/>
        <v>愛知県名古屋市北区憧旛町3丁目</v>
      </c>
      <c r="D868" s="2" t="str">
        <f t="shared" si="58"/>
        <v>http://geocode.csis.u-tokyo.ac.jp/cgi-bin/simple_geocode.cgi?charset=UTF8&amp;addr=%E6%84%9B%E7%9F%A5%E7%9C%8C%E5%90%8D%E5%8F%A4%E5%B1%8B%E5%B8%82%E5%8C%97%E5%8C%BA%E6%86%A7%E6%97%9B%E7%94%BA3%E4%B8%81%E7%9B%AE</v>
      </c>
      <c r="E868" t="str">
        <f t="shared" si="59"/>
        <v xml:space="preserve">&lt;?xml version="1.0" encoding="UTF-8" ?&gt;
&lt;results&gt;
&lt;query&gt;愛知県名古屋市北区憧旛町3丁目&lt;/query&gt;
&lt;geodetic&gt;wgs1984&lt;/geodetic&gt;
&lt;iConf&gt;5&lt;/iConf&gt;
&lt;converted&gt;愛知県名古屋市北区憧旛町3丁目&lt;/converted&gt;
&lt;candidate&gt;
&lt;address&gt;愛知県/名古屋市/北区/憧旛町/三丁目&lt;/address&gt;
&lt;longitude&gt;136.923355&lt;/longitude&gt;
&lt;latitude&gt;35.198460&lt;/latitude&gt;
&lt;iLvl&gt;6&lt;/iLvl&gt;
&lt;/candidate&gt;
&lt;/results&gt;
</v>
      </c>
      <c r="F868" cm="1">
        <f t="array" ref="F868">INDEX(_xlfn.FILTERXML(E868,"//latitude"),1)</f>
        <v>35.198459999999997</v>
      </c>
      <c r="G868" cm="1">
        <f t="array" ref="G868">INDEX(_xlfn.FILTERXML(E868,"//longitude"),1)</f>
        <v>136.92335499999999</v>
      </c>
      <c r="H868">
        <v>35.198459999999997</v>
      </c>
      <c r="I868">
        <v>136.92335499999999</v>
      </c>
    </row>
    <row r="869" spans="1:9" x14ac:dyDescent="0.4">
      <c r="A869" t="s">
        <v>11</v>
      </c>
      <c r="B869" t="s">
        <v>351</v>
      </c>
      <c r="C869" t="str">
        <f t="shared" si="57"/>
        <v>大阪府豊中市宮山町</v>
      </c>
      <c r="D869" s="2" t="str">
        <f t="shared" si="58"/>
        <v>http://geocode.csis.u-tokyo.ac.jp/cgi-bin/simple_geocode.cgi?charset=UTF8&amp;addr=%E5%A4%A7%E9%98%AA%E5%BA%9C%E8%B1%8A%E4%B8%AD%E5%B8%82%E5%AE%AE%E5%B1%B1%E7%94%BA</v>
      </c>
      <c r="E869" t="str">
        <f t="shared" si="59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869" cm="1">
        <f t="array" ref="F869">INDEX(_xlfn.FILTERXML(E869,"//latitude"),1)</f>
        <v>34.80621</v>
      </c>
      <c r="G869" cm="1">
        <f t="array" ref="G869">INDEX(_xlfn.FILTERXML(E869,"//longitude"),1)</f>
        <v>135.46333300000001</v>
      </c>
      <c r="H869">
        <v>34.80621</v>
      </c>
      <c r="I869">
        <v>135.46333300000001</v>
      </c>
    </row>
    <row r="870" spans="1:9" x14ac:dyDescent="0.4">
      <c r="A870" t="s">
        <v>11</v>
      </c>
      <c r="B870" t="s">
        <v>143</v>
      </c>
      <c r="C870" t="str">
        <f t="shared" si="57"/>
        <v>大阪府大阪市中央区東心斎橋</v>
      </c>
      <c r="D870" s="2" t="str">
        <f t="shared" si="58"/>
        <v>http://geocode.csis.u-tokyo.ac.jp/cgi-bin/simple_geocode.cgi?charset=UTF8&amp;addr=%E5%A4%A7%E9%98%AA%E5%BA%9C%E5%A4%A7%E9%98%AA%E5%B8%82%E4%B8%AD%E5%A4%AE%E5%8C%BA%E6%9D%B1%E5%BF%83%E6%96%8E%E6%A9%8B</v>
      </c>
      <c r="E870" t="str">
        <f t="shared" si="59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870" cm="1">
        <f t="array" ref="F870">INDEX(_xlfn.FILTERXML(E870,"//latitude"),1)</f>
        <v>34.673416000000003</v>
      </c>
      <c r="G870" cm="1">
        <f t="array" ref="G870">INDEX(_xlfn.FILTERXML(E870,"//longitude"),1)</f>
        <v>135.50431800000001</v>
      </c>
      <c r="H870">
        <v>34.673416000000003</v>
      </c>
      <c r="I870">
        <v>135.50431800000001</v>
      </c>
    </row>
    <row r="871" spans="1:9" x14ac:dyDescent="0.4">
      <c r="A871" t="s">
        <v>24</v>
      </c>
      <c r="B871" t="s">
        <v>352</v>
      </c>
      <c r="C871" t="str">
        <f t="shared" si="57"/>
        <v>栃木県大田原市実取</v>
      </c>
      <c r="D871" s="2" t="str">
        <f t="shared" si="58"/>
        <v>http://geocode.csis.u-tokyo.ac.jp/cgi-bin/simple_geocode.cgi?charset=UTF8&amp;addr=%E6%A0%83%E6%9C%A8%E7%9C%8C%E5%A4%A7%E7%94%B0%E5%8E%9F%E5%B8%82%E5%AE%9F%E5%8F%96</v>
      </c>
      <c r="E871" t="str">
        <f t="shared" si="59"/>
        <v xml:space="preserve">&lt;?xml version="1.0" encoding="UTF-8" ?&gt;
&lt;results&gt;
&lt;query&gt;栃木県大田原市実取&lt;/query&gt;
&lt;geodetic&gt;wgs1984&lt;/geodetic&gt;
&lt;iConf&gt;5&lt;/iConf&gt;
&lt;converted&gt;栃木県大田原市実取&lt;/converted&gt;
&lt;candidate&gt;
&lt;address&gt;栃木県/大田原市/実取&lt;/address&gt;
&lt;longitude&gt;139.995331&lt;/longitude&gt;
&lt;latitude&gt;36.834736&lt;/latitude&gt;
&lt;iLvl&gt;5&lt;/iLvl&gt;
&lt;/candidate&gt;
&lt;/results&gt;
</v>
      </c>
      <c r="F871" cm="1">
        <f t="array" ref="F871">INDEX(_xlfn.FILTERXML(E871,"//latitude"),1)</f>
        <v>36.834735999999999</v>
      </c>
      <c r="G871" cm="1">
        <f t="array" ref="G871">INDEX(_xlfn.FILTERXML(E871,"//longitude"),1)</f>
        <v>139.99533099999999</v>
      </c>
      <c r="H871">
        <v>36.834735999999999</v>
      </c>
      <c r="I871">
        <v>139.99533099999999</v>
      </c>
    </row>
    <row r="872" spans="1:9" x14ac:dyDescent="0.4">
      <c r="A872" t="s">
        <v>37</v>
      </c>
      <c r="B872" t="s">
        <v>58</v>
      </c>
      <c r="C872" t="str">
        <f t="shared" si="57"/>
        <v>三重県四日市市</v>
      </c>
      <c r="D872" s="2" t="str">
        <f t="shared" si="58"/>
        <v>http://geocode.csis.u-tokyo.ac.jp/cgi-bin/simple_geocode.cgi?charset=UTF8&amp;addr=%E4%B8%89%E9%87%8D%E7%9C%8C%E5%9B%9B%E6%97%A5%E5%B8%82%E5%B8%82</v>
      </c>
      <c r="E872" t="str">
        <f t="shared" si="59"/>
        <v xml:space="preserve">&lt;?xml version="1.0" encoding="UTF-8" ?&gt;
&lt;results&gt;
&lt;query&gt;三重県四日市市&lt;/query&gt;
&lt;geodetic&gt;wgs1984&lt;/geodetic&gt;
&lt;iConf&gt;5&lt;/iConf&gt;
&lt;converted&gt;三重県四日市市&lt;/converted&gt;
&lt;candidate&gt;
&lt;address&gt;三重県/四日市市&lt;/address&gt;
&lt;longitude&gt;136.624420&lt;/longitude&gt;
&lt;latitude&gt;34.965092&lt;/latitude&gt;
&lt;iLvl&gt;3&lt;/iLvl&gt;
&lt;/candidate&gt;
&lt;/results&gt;
</v>
      </c>
      <c r="F872" cm="1">
        <f t="array" ref="F872">INDEX(_xlfn.FILTERXML(E872,"//latitude"),1)</f>
        <v>34.965091999999999</v>
      </c>
      <c r="G872" cm="1">
        <f t="array" ref="G872">INDEX(_xlfn.FILTERXML(E872,"//longitude"),1)</f>
        <v>136.62441999999999</v>
      </c>
      <c r="H872">
        <v>34.965091999999999</v>
      </c>
      <c r="I872">
        <v>136.62441999999999</v>
      </c>
    </row>
    <row r="873" spans="1:9" x14ac:dyDescent="0.4">
      <c r="A873" t="s">
        <v>13</v>
      </c>
      <c r="B873" t="s">
        <v>150</v>
      </c>
      <c r="C873" t="str">
        <f t="shared" si="57"/>
        <v>埼玉県蕨市</v>
      </c>
      <c r="D873" s="2" t="str">
        <f t="shared" si="58"/>
        <v>http://geocode.csis.u-tokyo.ac.jp/cgi-bin/simple_geocode.cgi?charset=UTF8&amp;addr=%E5%9F%BC%E7%8E%89%E7%9C%8C%E8%95%A8%E5%B8%82</v>
      </c>
      <c r="E873" t="str">
        <f t="shared" si="59"/>
        <v xml:space="preserve">&lt;?xml version="1.0" encoding="UTF-8" ?&gt;
&lt;results&gt;
&lt;query&gt;埼玉県蕨市&lt;/query&gt;
&lt;geodetic&gt;wgs1984&lt;/geodetic&gt;
&lt;iConf&gt;5&lt;/iConf&gt;
&lt;converted&gt;埼玉県蕨市&lt;/converted&gt;
&lt;candidate&gt;
&lt;address&gt;埼玉県/蕨市&lt;/address&gt;
&lt;longitude&gt;139.679764&lt;/longitude&gt;
&lt;latitude&gt;35.825577&lt;/latitude&gt;
&lt;iLvl&gt;3&lt;/iLvl&gt;
&lt;/candidate&gt;
&lt;/results&gt;
</v>
      </c>
      <c r="F873" cm="1">
        <f t="array" ref="F873">INDEX(_xlfn.FILTERXML(E873,"//latitude"),1)</f>
        <v>35.825577000000003</v>
      </c>
      <c r="G873" cm="1">
        <f t="array" ref="G873">INDEX(_xlfn.FILTERXML(E873,"//longitude"),1)</f>
        <v>139.67976400000001</v>
      </c>
      <c r="H873">
        <v>35.825577000000003</v>
      </c>
      <c r="I873">
        <v>139.67976400000001</v>
      </c>
    </row>
    <row r="874" spans="1:9" x14ac:dyDescent="0.4">
      <c r="A874" t="s">
        <v>52</v>
      </c>
      <c r="B874" t="s">
        <v>66</v>
      </c>
      <c r="C874" t="str">
        <f t="shared" si="57"/>
        <v>徳島県板野郡上板町神宅字滝ノ宮西</v>
      </c>
      <c r="D874" s="2" t="str">
        <f t="shared" si="58"/>
        <v>http://geocode.csis.u-tokyo.ac.jp/cgi-bin/simple_geocode.cgi?charset=UTF8&amp;addr=%E5%BE%B3%E5%B3%B6%E7%9C%8C%E6%9D%BF%E9%87%8E%E9%83%A1%E4%B8%8A%E6%9D%BF%E7%94%BA%E7%A5%9E%E5%AE%85%E5%AD%97%E6%BB%9D%E3%83%8E%E5%AE%AE%E8%A5%BF</v>
      </c>
      <c r="E874" t="str">
        <f t="shared" si="59"/>
        <v xml:space="preserve">&lt;?xml version="1.0" encoding="UTF-8" ?&gt;
&lt;results&gt;
&lt;query&gt;徳島県板野郡上板町神宅字滝ノ宮西&lt;/query&gt;
&lt;geodetic&gt;wgs1984&lt;/geodetic&gt;
&lt;iConf&gt;5&lt;/iConf&gt;
&lt;converted&gt;徳島県板野郡上板町神宅字&lt;/converted&gt;
&lt;candidate&gt;
&lt;address&gt;徳島県/板野郡/上板町/神宅&lt;/address&gt;
&lt;longitude&gt;134.411072&lt;/longitude&gt;
&lt;latitude&gt;34.145168&lt;/latitude&gt;
&lt;iLvl&gt;5&lt;/iLvl&gt;
&lt;/candidate&gt;
&lt;/results&gt;
</v>
      </c>
      <c r="F874" cm="1">
        <f t="array" ref="F874">INDEX(_xlfn.FILTERXML(E874,"//latitude"),1)</f>
        <v>34.145167999999998</v>
      </c>
      <c r="G874" cm="1">
        <f t="array" ref="G874">INDEX(_xlfn.FILTERXML(E874,"//longitude"),1)</f>
        <v>134.41107199999999</v>
      </c>
      <c r="H874">
        <v>34.145167999999998</v>
      </c>
      <c r="I874">
        <v>134.41107199999999</v>
      </c>
    </row>
    <row r="875" spans="1:9" x14ac:dyDescent="0.4">
      <c r="A875" t="s">
        <v>29</v>
      </c>
      <c r="B875" t="s">
        <v>152</v>
      </c>
      <c r="C875" t="str">
        <f t="shared" si="57"/>
        <v>静岡県焼津市柳新屋</v>
      </c>
      <c r="D875" s="2" t="str">
        <f t="shared" si="58"/>
        <v>http://geocode.csis.u-tokyo.ac.jp/cgi-bin/simple_geocode.cgi?charset=UTF8&amp;addr=%E9%9D%99%E5%B2%A1%E7%9C%8C%E7%84%BC%E6%B4%A5%E5%B8%82%E6%9F%B3%E6%96%B0%E5%B1%8B</v>
      </c>
      <c r="E875" t="str">
        <f t="shared" si="59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875" cm="1">
        <f t="array" ref="F875">INDEX(_xlfn.FILTERXML(E875,"//latitude"),1)</f>
        <v>34.857799999999997</v>
      </c>
      <c r="G875" cm="1">
        <f t="array" ref="G875">INDEX(_xlfn.FILTERXML(E875,"//longitude"),1)</f>
        <v>138.28758199999999</v>
      </c>
      <c r="H875">
        <v>34.857799999999997</v>
      </c>
      <c r="I875">
        <v>138.28758199999999</v>
      </c>
    </row>
    <row r="876" spans="1:9" x14ac:dyDescent="0.4">
      <c r="A876" t="s">
        <v>17</v>
      </c>
      <c r="B876" t="s">
        <v>168</v>
      </c>
      <c r="C876" t="str">
        <f t="shared" si="57"/>
        <v>愛知県名古屋市名東区神丘町</v>
      </c>
      <c r="D876" s="2" t="str">
        <f t="shared" si="58"/>
        <v>http://geocode.csis.u-tokyo.ac.jp/cgi-bin/simple_geocode.cgi?charset=UTF8&amp;addr=%E6%84%9B%E7%9F%A5%E7%9C%8C%E5%90%8D%E5%8F%A4%E5%B1%8B%E5%B8%82%E5%90%8D%E6%9D%B1%E5%8C%BA%E7%A5%9E%E4%B8%98%E7%94%BA</v>
      </c>
      <c r="E876" t="str">
        <f t="shared" si="59"/>
        <v xml:space="preserve">&lt;?xml version="1.0" encoding="UTF-8" ?&gt;
&lt;results&gt;
&lt;query&gt;愛知県名古屋市名東区神丘町&lt;/query&gt;
&lt;geodetic&gt;wgs1984&lt;/geodetic&gt;
&lt;iConf&gt;5&lt;/iConf&gt;
&lt;converted&gt;愛知県名古屋市名東区神丘町&lt;/converted&gt;
&lt;candidate&gt;
&lt;address&gt;愛知県/名古屋市/名東区/神丘町&lt;/address&gt;
&lt;longitude&gt;136.998886&lt;/longitude&gt;
&lt;latitude&gt;35.158398&lt;/latitude&gt;
&lt;iLvl&gt;5&lt;/iLvl&gt;
&lt;/candidate&gt;
&lt;/results&gt;
</v>
      </c>
      <c r="F876" cm="1">
        <f t="array" ref="F876">INDEX(_xlfn.FILTERXML(E876,"//latitude"),1)</f>
        <v>35.158397999999998</v>
      </c>
      <c r="G876" cm="1">
        <f t="array" ref="G876">INDEX(_xlfn.FILTERXML(E876,"//longitude"),1)</f>
        <v>136.998886</v>
      </c>
      <c r="H876">
        <v>35.158397999999998</v>
      </c>
      <c r="I876">
        <v>136.998886</v>
      </c>
    </row>
    <row r="877" spans="1:9" x14ac:dyDescent="0.4">
      <c r="A877" t="s">
        <v>10</v>
      </c>
      <c r="B877" t="s">
        <v>353</v>
      </c>
      <c r="C877" t="str">
        <f t="shared" si="57"/>
        <v>神奈川県横浜市金沢区能見台</v>
      </c>
      <c r="D877" s="2" t="str">
        <f t="shared" si="58"/>
        <v>http://geocode.csis.u-tokyo.ac.jp/cgi-bin/simple_geocode.cgi?charset=UTF8&amp;addr=%E7%A5%9E%E5%A5%88%E5%B7%9D%E7%9C%8C%E6%A8%AA%E6%B5%9C%E5%B8%82%E9%87%91%E6%B2%A2%E5%8C%BA%E8%83%BD%E8%A6%8B%E5%8F%B0</v>
      </c>
      <c r="E877" t="str">
        <f t="shared" si="59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877" cm="1">
        <f t="array" ref="F877">INDEX(_xlfn.FILTERXML(E877,"//latitude"),1)</f>
        <v>35.361786000000002</v>
      </c>
      <c r="G877" cm="1">
        <f t="array" ref="G877">INDEX(_xlfn.FILTERXML(E877,"//longitude"),1)</f>
        <v>139.61166399999999</v>
      </c>
      <c r="H877">
        <v>35.361786000000002</v>
      </c>
      <c r="I877">
        <v>139.61166399999999</v>
      </c>
    </row>
    <row r="878" spans="1:9" x14ac:dyDescent="0.4">
      <c r="A878" t="s">
        <v>15</v>
      </c>
      <c r="B878" t="s">
        <v>312</v>
      </c>
      <c r="C878" t="str">
        <f t="shared" si="57"/>
        <v>兵庫県三田市けやき台</v>
      </c>
      <c r="D878" s="2" t="str">
        <f t="shared" si="58"/>
        <v>http://geocode.csis.u-tokyo.ac.jp/cgi-bin/simple_geocode.cgi?charset=UTF8&amp;addr=%E5%85%B5%E5%BA%AB%E7%9C%8C%E4%B8%89%E7%94%B0%E5%B8%82%E3%81%91%E3%82%84%E3%81%8D%E5%8F%B0</v>
      </c>
      <c r="E878" t="str">
        <f t="shared" si="59"/>
        <v xml:space="preserve">&lt;?xml version="1.0" encoding="UTF-8" ?&gt;
&lt;results&gt;
&lt;query&gt;兵庫県三田市けやき台&lt;/query&gt;
&lt;geodetic&gt;wgs1984&lt;/geodetic&gt;
&lt;iConf&gt;5&lt;/iConf&gt;
&lt;converted&gt;兵庫県三田市けやき台&lt;/converted&gt;
&lt;candidate&gt;
&lt;address&gt;兵庫県/三田市/けやき台&lt;/address&gt;
&lt;longitude&gt;135.186768&lt;/longitude&gt;
&lt;latitude&gt;34.908199&lt;/latitude&gt;
&lt;iLvl&gt;5&lt;/iLvl&gt;
&lt;/candidate&gt;
&lt;/results&gt;
</v>
      </c>
      <c r="F878" cm="1">
        <f t="array" ref="F878">INDEX(_xlfn.FILTERXML(E878,"//latitude"),1)</f>
        <v>34.908199000000003</v>
      </c>
      <c r="G878" cm="1">
        <f t="array" ref="G878">INDEX(_xlfn.FILTERXML(E878,"//longitude"),1)</f>
        <v>135.186768</v>
      </c>
      <c r="H878">
        <v>34.908199000000003</v>
      </c>
      <c r="I878">
        <v>135.186768</v>
      </c>
    </row>
    <row r="879" spans="1:9" x14ac:dyDescent="0.4">
      <c r="A879" t="s">
        <v>19</v>
      </c>
      <c r="B879" t="s">
        <v>354</v>
      </c>
      <c r="C879" t="str">
        <f t="shared" si="57"/>
        <v>滋賀県東近江市五個荘山本町</v>
      </c>
      <c r="D879" s="2" t="str">
        <f t="shared" si="58"/>
        <v>http://geocode.csis.u-tokyo.ac.jp/cgi-bin/simple_geocode.cgi?charset=UTF8&amp;addr=%E6%BB%8B%E8%B3%80%E7%9C%8C%E6%9D%B1%E8%BF%91%E6%B1%9F%E5%B8%82%E4%BA%94%E5%80%8B%E8%8D%98%E5%B1%B1%E6%9C%AC%E7%94%BA</v>
      </c>
      <c r="E879" t="str">
        <f t="shared" si="59"/>
        <v xml:space="preserve">&lt;?xml version="1.0" encoding="UTF-8" ?&gt;
&lt;results&gt;
&lt;query&gt;滋賀県東近江市五個荘山本町&lt;/query&gt;
&lt;geodetic&gt;wgs1984&lt;/geodetic&gt;
&lt;iConf&gt;5&lt;/iConf&gt;
&lt;converted&gt;滋賀県東近江市五個荘山本町&lt;/converted&gt;
&lt;candidate&gt;
&lt;address&gt;滋賀県/東近江市/五個荘山本町&lt;/address&gt;
&lt;longitude&gt;136.183548&lt;/longitude&gt;
&lt;latitude&gt;35.139023&lt;/latitude&gt;
&lt;iLvl&gt;5&lt;/iLvl&gt;
&lt;/candidate&gt;
&lt;/results&gt;
</v>
      </c>
      <c r="F879" cm="1">
        <f t="array" ref="F879">INDEX(_xlfn.FILTERXML(E879,"//latitude"),1)</f>
        <v>35.139023000000002</v>
      </c>
      <c r="G879" cm="1">
        <f t="array" ref="G879">INDEX(_xlfn.FILTERXML(E879,"//longitude"),1)</f>
        <v>136.183548</v>
      </c>
      <c r="H879">
        <v>35.139023000000002</v>
      </c>
      <c r="I879">
        <v>136.183548</v>
      </c>
    </row>
    <row r="880" spans="1:9" x14ac:dyDescent="0.4">
      <c r="A880" t="s">
        <v>198</v>
      </c>
      <c r="B880" t="s">
        <v>226</v>
      </c>
      <c r="C880" t="str">
        <f t="shared" si="57"/>
        <v>鹿児島県鹿屋市川西町</v>
      </c>
      <c r="D880" s="2" t="str">
        <f t="shared" si="58"/>
        <v>http://geocode.csis.u-tokyo.ac.jp/cgi-bin/simple_geocode.cgi?charset=UTF8&amp;addr=%E9%B9%BF%E5%85%90%E5%B3%B6%E7%9C%8C%E9%B9%BF%E5%B1%8B%E5%B8%82%E5%B7%9D%E8%A5%BF%E7%94%BA</v>
      </c>
      <c r="E880" t="str">
        <f t="shared" si="59"/>
        <v xml:space="preserve">&lt;?xml version="1.0" encoding="UTF-8" ?&gt;
&lt;results&gt;
&lt;query&gt;鹿児島県鹿屋市川西町&lt;/query&gt;
&lt;geodetic&gt;wgs1984&lt;/geodetic&gt;
&lt;iConf&gt;5&lt;/iConf&gt;
&lt;converted&gt;鹿児島県鹿屋市川西町&lt;/converted&gt;
&lt;candidate&gt;
&lt;address&gt;鹿児島県/鹿屋市/川西町&lt;/address&gt;
&lt;longitude&gt;130.874603&lt;/longitude&gt;
&lt;latitude&gt;31.360531&lt;/latitude&gt;
&lt;iLvl&gt;5&lt;/iLvl&gt;
&lt;/candidate&gt;
&lt;/results&gt;
</v>
      </c>
      <c r="F880" cm="1">
        <f t="array" ref="F880">INDEX(_xlfn.FILTERXML(E880,"//latitude"),1)</f>
        <v>31.360531000000002</v>
      </c>
      <c r="G880" cm="1">
        <f t="array" ref="G880">INDEX(_xlfn.FILTERXML(E880,"//longitude"),1)</f>
        <v>130.87460300000001</v>
      </c>
      <c r="H880">
        <v>31.360531000000002</v>
      </c>
      <c r="I880">
        <v>130.87460300000001</v>
      </c>
    </row>
    <row r="881" spans="1:9" x14ac:dyDescent="0.4">
      <c r="A881" t="s">
        <v>48</v>
      </c>
      <c r="B881" t="s">
        <v>355</v>
      </c>
      <c r="C881" t="str">
        <f t="shared" si="57"/>
        <v>石川県羽咋市菅池町</v>
      </c>
      <c r="D881" s="2" t="str">
        <f t="shared" si="58"/>
        <v>http://geocode.csis.u-tokyo.ac.jp/cgi-bin/simple_geocode.cgi?charset=UTF8&amp;addr=%E7%9F%B3%E5%B7%9D%E7%9C%8C%E7%BE%BD%E5%92%8B%E5%B8%82%E8%8F%85%E6%B1%A0%E7%94%BA</v>
      </c>
      <c r="E881" t="str">
        <f t="shared" si="59"/>
        <v xml:space="preserve">&lt;?xml version="1.0" encoding="UTF-8" ?&gt;
&lt;results&gt;
&lt;query&gt;石川県羽咋市菅池町&lt;/query&gt;
&lt;geodetic&gt;wgs1984&lt;/geodetic&gt;
&lt;iConf&gt;5&lt;/iConf&gt;
&lt;converted&gt;石川県羽咋市菅池町&lt;/converted&gt;
&lt;candidate&gt;
&lt;address&gt;石川県/羽咋市/菅池町&lt;/address&gt;
&lt;longitude&gt;136.874756&lt;/longitude&gt;
&lt;latitude&gt;36.877190&lt;/latitude&gt;
&lt;iLvl&gt;5&lt;/iLvl&gt;
&lt;/candidate&gt;
&lt;/results&gt;
</v>
      </c>
      <c r="F881" cm="1">
        <f t="array" ref="F881">INDEX(_xlfn.FILTERXML(E881,"//latitude"),1)</f>
        <v>36.877189999999999</v>
      </c>
      <c r="G881" cm="1">
        <f t="array" ref="G881">INDEX(_xlfn.FILTERXML(E881,"//longitude"),1)</f>
        <v>136.87475599999999</v>
      </c>
      <c r="H881">
        <v>36.877189999999999</v>
      </c>
      <c r="I881">
        <v>136.87475599999999</v>
      </c>
    </row>
    <row r="882" spans="1:9" x14ac:dyDescent="0.4">
      <c r="A882" t="s">
        <v>132</v>
      </c>
      <c r="B882" t="s">
        <v>356</v>
      </c>
      <c r="C882" t="str">
        <f t="shared" si="57"/>
        <v>高知県高知市越前町１丁目</v>
      </c>
      <c r="D882" s="2" t="str">
        <f t="shared" si="58"/>
        <v>http://geocode.csis.u-tokyo.ac.jp/cgi-bin/simple_geocode.cgi?charset=UTF8&amp;addr=%E9%AB%98%E7%9F%A5%E7%9C%8C%E9%AB%98%E7%9F%A5%E5%B8%82%E8%B6%8A%E5%89%8D%E7%94%BA%EF%BC%91%E4%B8%81%E7%9B%AE</v>
      </c>
      <c r="E882" t="str">
        <f t="shared" si="59"/>
        <v xml:space="preserve">&lt;?xml version="1.0" encoding="UTF-8" ?&gt;
&lt;results&gt;
&lt;query&gt;高知県高知市越前町１丁目&lt;/query&gt;
&lt;geodetic&gt;wgs1984&lt;/geodetic&gt;
&lt;iConf&gt;5&lt;/iConf&gt;
&lt;converted&gt;高知県高知市越前町１丁目&lt;/converted&gt;
&lt;candidate&gt;
&lt;address&gt;高知県/高知市/越前町/一丁目&lt;/address&gt;
&lt;longitude&gt;133.525909&lt;/longitude&gt;
&lt;latitude&gt;33.559994&lt;/latitude&gt;
&lt;iLvl&gt;6&lt;/iLvl&gt;
&lt;/candidate&gt;
&lt;/results&gt;
</v>
      </c>
      <c r="F882" cm="1">
        <f t="array" ref="F882">INDEX(_xlfn.FILTERXML(E882,"//latitude"),1)</f>
        <v>33.559994000000003</v>
      </c>
      <c r="G882" cm="1">
        <f t="array" ref="G882">INDEX(_xlfn.FILTERXML(E882,"//longitude"),1)</f>
        <v>133.52590900000001</v>
      </c>
      <c r="H882">
        <v>33.559994000000003</v>
      </c>
      <c r="I882">
        <v>133.52590900000001</v>
      </c>
    </row>
    <row r="883" spans="1:9" x14ac:dyDescent="0.4">
      <c r="A883" t="s">
        <v>31</v>
      </c>
      <c r="B883" t="s">
        <v>357</v>
      </c>
      <c r="C883" t="str">
        <f t="shared" si="57"/>
        <v>熊本県熊本市西区高橋町</v>
      </c>
      <c r="D883" s="2" t="str">
        <f t="shared" si="58"/>
        <v>http://geocode.csis.u-tokyo.ac.jp/cgi-bin/simple_geocode.cgi?charset=UTF8&amp;addr=%E7%86%8A%E6%9C%AC%E7%9C%8C%E7%86%8A%E6%9C%AC%E5%B8%82%E8%A5%BF%E5%8C%BA%E9%AB%98%E6%A9%8B%E7%94%BA</v>
      </c>
      <c r="E883" t="str">
        <f t="shared" si="59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883" cm="1">
        <f t="array" ref="F883">INDEX(_xlfn.FILTERXML(E883,"//latitude"),1)</f>
        <v>32.784737</v>
      </c>
      <c r="G883" cm="1">
        <f t="array" ref="G883">INDEX(_xlfn.FILTERXML(E883,"//longitude"),1)</f>
        <v>130.65756200000001</v>
      </c>
      <c r="H883">
        <v>32.784737</v>
      </c>
      <c r="I883">
        <v>130.65756200000001</v>
      </c>
    </row>
    <row r="884" spans="1:9" x14ac:dyDescent="0.4">
      <c r="A884" t="s">
        <v>37</v>
      </c>
      <c r="B884" t="s">
        <v>130</v>
      </c>
      <c r="C884" t="str">
        <f t="shared" si="57"/>
        <v>三重県伊賀市北山</v>
      </c>
      <c r="D884" s="2" t="str">
        <f t="shared" si="58"/>
        <v>http://geocode.csis.u-tokyo.ac.jp/cgi-bin/simple_geocode.cgi?charset=UTF8&amp;addr=%E4%B8%89%E9%87%8D%E7%9C%8C%E4%BC%8A%E8%B3%80%E5%B8%82%E5%8C%97%E5%B1%B1</v>
      </c>
      <c r="E884" t="str">
        <f t="shared" si="59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884" cm="1">
        <f t="array" ref="F884">INDEX(_xlfn.FILTERXML(E884,"//latitude"),1)</f>
        <v>34.685459000000002</v>
      </c>
      <c r="G884" cm="1">
        <f t="array" ref="G884">INDEX(_xlfn.FILTERXML(E884,"//longitude"),1)</f>
        <v>136.22288499999999</v>
      </c>
      <c r="H884">
        <v>34.685459000000002</v>
      </c>
      <c r="I884">
        <v>136.22288499999999</v>
      </c>
    </row>
    <row r="885" spans="1:9" x14ac:dyDescent="0.4">
      <c r="A885" t="s">
        <v>17</v>
      </c>
      <c r="B885" t="s">
        <v>131</v>
      </c>
      <c r="C885" t="str">
        <f t="shared" si="57"/>
        <v>愛知県東海市加木屋町北平井３８－１</v>
      </c>
      <c r="D885" s="2" t="str">
        <f t="shared" si="58"/>
        <v>http://geocode.csis.u-tokyo.ac.jp/cgi-bin/simple_geocode.cgi?charset=UTF8&amp;addr=%E6%84%9B%E7%9F%A5%E7%9C%8C%E6%9D%B1%E6%B5%B7%E5%B8%82%E5%8A%A0%E6%9C%A8%E5%B1%8B%E7%94%BA%E5%8C%97%E5%B9%B3%E4%BA%95%EF%BC%93%EF%BC%98%EF%BC%8D%EF%BC%91</v>
      </c>
      <c r="E885" t="str">
        <f t="shared" si="59"/>
        <v xml:space="preserve">&lt;?xml version="1.0" encoding="UTF-8" ?&gt;
&lt;results&gt;
&lt;query&gt;愛知県東海市加木屋町北平井３８−１&lt;/query&gt;
&lt;geodetic&gt;wgs1984&lt;/geodetic&gt;
&lt;iConf&gt;5&lt;/iConf&gt;
&lt;converted&gt;愛知県東海市加木屋町北平井３８−&lt;/converted&gt;
&lt;candidate&gt;
&lt;address&gt;愛知県/東海市/加木屋町/北平井/３８番地&lt;/address&gt;
&lt;longitude&gt;136.908707&lt;/longitude&gt;
&lt;latitude&gt;34.990158&lt;/latitude&gt;
&lt;iLvl&gt;7&lt;/iLvl&gt;
&lt;/candidate&gt;
&lt;/results&gt;
</v>
      </c>
      <c r="F885" cm="1">
        <f t="array" ref="F885">INDEX(_xlfn.FILTERXML(E885,"//latitude"),1)</f>
        <v>34.990158000000001</v>
      </c>
      <c r="G885" cm="1">
        <f t="array" ref="G885">INDEX(_xlfn.FILTERXML(E885,"//longitude"),1)</f>
        <v>136.90870699999999</v>
      </c>
      <c r="H885">
        <v>34.990158000000001</v>
      </c>
      <c r="I885">
        <v>136.90870699999999</v>
      </c>
    </row>
    <row r="886" spans="1:9" x14ac:dyDescent="0.4">
      <c r="A886" t="s">
        <v>9</v>
      </c>
      <c r="B886" t="s">
        <v>358</v>
      </c>
      <c r="C886" t="str">
        <f t="shared" si="57"/>
        <v>東京都目黒区目黒本町3-15-2</v>
      </c>
      <c r="D886" s="2" t="str">
        <f t="shared" si="58"/>
        <v>http://geocode.csis.u-tokyo.ac.jp/cgi-bin/simple_geocode.cgi?charset=UTF8&amp;addr=%E6%9D%B1%E4%BA%AC%E9%83%BD%E7%9B%AE%E9%BB%92%E5%8C%BA%E7%9B%AE%E9%BB%92%E6%9C%AC%E7%94%BA3-15-2</v>
      </c>
      <c r="E886" t="str">
        <f t="shared" si="59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886" cm="1">
        <f t="array" ref="F886">INDEX(_xlfn.FILTERXML(E886,"//latitude"),1)</f>
        <v>35.622405999999998</v>
      </c>
      <c r="G886" cm="1">
        <f t="array" ref="G886">INDEX(_xlfn.FILTERXML(E886,"//longitude"),1)</f>
        <v>139.70077499999999</v>
      </c>
      <c r="H886">
        <v>35.622405999999998</v>
      </c>
      <c r="I886">
        <v>139.70077499999999</v>
      </c>
    </row>
    <row r="887" spans="1:9" x14ac:dyDescent="0.4">
      <c r="A887" t="s">
        <v>17</v>
      </c>
      <c r="B887" t="s">
        <v>67</v>
      </c>
      <c r="C887" t="str">
        <f t="shared" si="57"/>
        <v>愛知県豊橋市北山町</v>
      </c>
      <c r="D887" s="2" t="str">
        <f t="shared" si="58"/>
        <v>http://geocode.csis.u-tokyo.ac.jp/cgi-bin/simple_geocode.cgi?charset=UTF8&amp;addr=%E6%84%9B%E7%9F%A5%E7%9C%8C%E8%B1%8A%E6%A9%8B%E5%B8%82%E5%8C%97%E5%B1%B1%E7%94%BA</v>
      </c>
      <c r="E887" t="str">
        <f t="shared" si="59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887" cm="1">
        <f t="array" ref="F887">INDEX(_xlfn.FILTERXML(E887,"//latitude"),1)</f>
        <v>34.735824999999998</v>
      </c>
      <c r="G887" cm="1">
        <f t="array" ref="G887">INDEX(_xlfn.FILTERXML(E887,"//longitude"),1)</f>
        <v>137.391006</v>
      </c>
      <c r="H887">
        <v>34.735824999999998</v>
      </c>
      <c r="I887">
        <v>137.391006</v>
      </c>
    </row>
    <row r="888" spans="1:9" x14ac:dyDescent="0.4">
      <c r="A888" t="s">
        <v>10</v>
      </c>
      <c r="B888" t="s">
        <v>359</v>
      </c>
      <c r="C888" t="str">
        <f t="shared" si="57"/>
        <v>神奈川県綾瀬市</v>
      </c>
      <c r="D888" s="2" t="str">
        <f t="shared" si="58"/>
        <v>http://geocode.csis.u-tokyo.ac.jp/cgi-bin/simple_geocode.cgi?charset=UTF8&amp;addr=%E7%A5%9E%E5%A5%88%E5%B7%9D%E7%9C%8C%E7%B6%BE%E7%80%AC%E5%B8%82</v>
      </c>
      <c r="E888" t="str">
        <f t="shared" si="59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888" cm="1">
        <f t="array" ref="F888">INDEX(_xlfn.FILTERXML(E888,"//latitude"),1)</f>
        <v>35.437159999999999</v>
      </c>
      <c r="G888" cm="1">
        <f t="array" ref="G888">INDEX(_xlfn.FILTERXML(E888,"//longitude"),1)</f>
        <v>139.426346</v>
      </c>
      <c r="H888">
        <v>35.437159999999999</v>
      </c>
      <c r="I888">
        <v>139.426346</v>
      </c>
    </row>
    <row r="889" spans="1:9" x14ac:dyDescent="0.4">
      <c r="A889" t="s">
        <v>15</v>
      </c>
      <c r="B889" t="s">
        <v>360</v>
      </c>
      <c r="C889" t="str">
        <f t="shared" si="57"/>
        <v>兵庫県西宮市　松ヶ丘町</v>
      </c>
      <c r="D889" s="2" t="str">
        <f t="shared" si="58"/>
        <v>http://geocode.csis.u-tokyo.ac.jp/cgi-bin/simple_geocode.cgi?charset=UTF8&amp;addr=%E5%85%B5%E5%BA%AB%E7%9C%8C%E8%A5%BF%E5%AE%AE%E5%B8%82%E3%80%80%E6%9D%BE%E3%83%B6%E4%B8%98%E7%94%BA</v>
      </c>
      <c r="E889" t="str">
        <f t="shared" si="59"/>
        <v xml:space="preserve">&lt;?xml version="1.0" encoding="UTF-8" ?&gt;
&lt;results&gt;
&lt;query&gt;兵庫県西宮市　松ヶ丘町&lt;/query&gt;
&lt;geodetic&gt;wgs1984&lt;/geodetic&gt;
&lt;iConf&gt;5&lt;/iConf&gt;
&lt;converted&gt;兵庫県西宮市　松ヶ丘町&lt;/converted&gt;
&lt;candidate&gt;
&lt;address&gt;兵庫県/西宮市/松ケ丘町&lt;/address&gt;
&lt;longitude&gt;135.321426&lt;/longitude&gt;
&lt;latitude&gt;34.748470&lt;/latitude&gt;
&lt;iLvl&gt;5&lt;/iLvl&gt;
&lt;/candidate&gt;
&lt;/results&gt;
</v>
      </c>
      <c r="F889" cm="1">
        <f t="array" ref="F889">INDEX(_xlfn.FILTERXML(E889,"//latitude"),1)</f>
        <v>34.748469999999998</v>
      </c>
      <c r="G889" cm="1">
        <f t="array" ref="G889">INDEX(_xlfn.FILTERXML(E889,"//longitude"),1)</f>
        <v>135.321426</v>
      </c>
      <c r="H889">
        <v>34.748469999999998</v>
      </c>
      <c r="I889">
        <v>135.321426</v>
      </c>
    </row>
    <row r="890" spans="1:9" x14ac:dyDescent="0.4">
      <c r="A890" t="s">
        <v>18</v>
      </c>
      <c r="B890" t="s">
        <v>151</v>
      </c>
      <c r="C890" t="str">
        <f t="shared" si="57"/>
        <v>千葉県市川市新田</v>
      </c>
      <c r="D890" s="2" t="str">
        <f t="shared" si="58"/>
        <v>http://geocode.csis.u-tokyo.ac.jp/cgi-bin/simple_geocode.cgi?charset=UTF8&amp;addr=%E5%8D%83%E8%91%89%E7%9C%8C%E5%B8%82%E5%B7%9D%E5%B8%82%E6%96%B0%E7%94%B0</v>
      </c>
      <c r="E890" t="str">
        <f t="shared" si="59"/>
        <v xml:space="preserve">&lt;?xml version="1.0" encoding="UTF-8" ?&gt;
&lt;results&gt;
&lt;query&gt;千葉県市川市新田&lt;/query&gt;
&lt;geodetic&gt;wgs1984&lt;/geodetic&gt;
&lt;iConf&gt;5&lt;/iConf&gt;
&lt;converted&gt;千葉県市川市新田&lt;/converted&gt;
&lt;candidate&gt;
&lt;address&gt;千葉県/市川市/新田&lt;/address&gt;
&lt;longitude&gt;139.915741&lt;/longitude&gt;
&lt;latitude&gt;35.728004&lt;/latitude&gt;
&lt;iLvl&gt;5&lt;/iLvl&gt;
&lt;/candidate&gt;
&lt;/results&gt;
</v>
      </c>
      <c r="F890" cm="1">
        <f t="array" ref="F890">INDEX(_xlfn.FILTERXML(E890,"//latitude"),1)</f>
        <v>35.728003999999999</v>
      </c>
      <c r="G890" cm="1">
        <f t="array" ref="G890">INDEX(_xlfn.FILTERXML(E890,"//longitude"),1)</f>
        <v>139.915741</v>
      </c>
      <c r="H890">
        <v>35.728003999999999</v>
      </c>
      <c r="I890">
        <v>139.915741</v>
      </c>
    </row>
    <row r="891" spans="1:9" x14ac:dyDescent="0.4">
      <c r="A891" t="s">
        <v>10</v>
      </c>
      <c r="B891" t="s">
        <v>166</v>
      </c>
      <c r="C891" t="str">
        <f t="shared" si="57"/>
        <v>神奈川県横浜市瀬谷区二ツ橋町</v>
      </c>
      <c r="D891" s="2" t="str">
        <f t="shared" si="58"/>
        <v>http://geocode.csis.u-tokyo.ac.jp/cgi-bin/simple_geocode.cgi?charset=UTF8&amp;addr=%E7%A5%9E%E5%A5%88%E5%B7%9D%E7%9C%8C%E6%A8%AA%E6%B5%9C%E5%B8%82%E7%80%AC%E8%B0%B7%E5%8C%BA%E4%BA%8C%E3%83%84%E6%A9%8B%E7%94%BA</v>
      </c>
      <c r="E891" t="str">
        <f t="shared" si="59"/>
        <v xml:space="preserve">&lt;?xml version="1.0" encoding="UTF-8" ?&gt;
&lt;results&gt;
&lt;query&gt;神奈川県横浜市瀬谷区二ツ橋町&lt;/query&gt;
&lt;geodetic&gt;wgs1984&lt;/geodetic&gt;
&lt;iConf&gt;5&lt;/iConf&gt;
&lt;converted&gt;神奈川県横浜市瀬谷区二ツ橋町&lt;/converted&gt;
&lt;candidate&gt;
&lt;address&gt;神奈川県/横浜市/瀬谷区/二ツ橋町&lt;/address&gt;
&lt;longitude&gt;139.497330&lt;/longitude&gt;
&lt;latitude&gt;35.469978&lt;/latitude&gt;
&lt;iLvl&gt;5&lt;/iLvl&gt;
&lt;/candidate&gt;
&lt;/results&gt;
</v>
      </c>
      <c r="F891" cm="1">
        <f t="array" ref="F891">INDEX(_xlfn.FILTERXML(E891,"//latitude"),1)</f>
        <v>35.469977999999998</v>
      </c>
      <c r="G891" cm="1">
        <f t="array" ref="G891">INDEX(_xlfn.FILTERXML(E891,"//longitude"),1)</f>
        <v>139.49733000000001</v>
      </c>
      <c r="H891">
        <v>35.469977999999998</v>
      </c>
      <c r="I891">
        <v>139.49733000000001</v>
      </c>
    </row>
    <row r="892" spans="1:9" x14ac:dyDescent="0.4">
      <c r="A892" t="s">
        <v>9</v>
      </c>
      <c r="B892" t="s">
        <v>361</v>
      </c>
      <c r="C892" t="str">
        <f t="shared" si="57"/>
        <v>東京都狛江市和泉本町1-9-6</v>
      </c>
      <c r="D892" s="2" t="str">
        <f t="shared" si="58"/>
        <v>http://geocode.csis.u-tokyo.ac.jp/cgi-bin/simple_geocode.cgi?charset=UTF8&amp;addr=%E6%9D%B1%E4%BA%AC%E9%83%BD%E7%8B%9B%E6%B1%9F%E5%B8%82%E5%92%8C%E6%B3%89%E6%9C%AC%E7%94%BA1-9-6</v>
      </c>
      <c r="E892" t="str">
        <f t="shared" si="59"/>
        <v xml:space="preserve">&lt;?xml version="1.0" encoding="UTF-8" ?&gt;
&lt;results&gt;
&lt;query&gt;東京都狛江市和泉本町1-9-6&lt;/query&gt;
&lt;geodetic&gt;wgs1984&lt;/geodetic&gt;
&lt;iConf&gt;5&lt;/iConf&gt;
&lt;converted&gt;東京都狛江市和泉本町1-9-6&lt;/converted&gt;
&lt;candidate&gt;
&lt;address&gt;東京都/狛江市/和泉本町/一丁目/９番/６号&lt;/address&gt;
&lt;longitude&gt;139.579346&lt;/longitude&gt;
&lt;latitude&gt;35.637272&lt;/latitude&gt;
&lt;iLvl&gt;8&lt;/iLvl&gt;
&lt;/candidate&gt;
&lt;/results&gt;
</v>
      </c>
      <c r="F892" cm="1">
        <f t="array" ref="F892">INDEX(_xlfn.FILTERXML(E892,"//latitude"),1)</f>
        <v>35.637272000000003</v>
      </c>
      <c r="G892" cm="1">
        <f t="array" ref="G892">INDEX(_xlfn.FILTERXML(E892,"//longitude"),1)</f>
        <v>139.57934599999999</v>
      </c>
      <c r="H892">
        <v>35.637272000000003</v>
      </c>
      <c r="I892">
        <v>139.57934599999999</v>
      </c>
    </row>
    <row r="893" spans="1:9" x14ac:dyDescent="0.4">
      <c r="A893" t="s">
        <v>26</v>
      </c>
      <c r="B893" t="s">
        <v>362</v>
      </c>
      <c r="C893" t="str">
        <f t="shared" si="57"/>
        <v>京都府宇治市五ケ庄三番割</v>
      </c>
      <c r="D893" s="2" t="str">
        <f t="shared" si="58"/>
        <v>http://geocode.csis.u-tokyo.ac.jp/cgi-bin/simple_geocode.cgi?charset=UTF8&amp;addr=%E4%BA%AC%E9%83%BD%E5%BA%9C%E5%AE%87%E6%B2%BB%E5%B8%82%E4%BA%94%E3%82%B1%E5%BA%84%E4%B8%89%E7%95%AA%E5%89%B2</v>
      </c>
      <c r="E893" t="str">
        <f t="shared" si="59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893" cm="1">
        <f t="array" ref="F893">INDEX(_xlfn.FILTERXML(E893,"//latitude"),1)</f>
        <v>34.913933</v>
      </c>
      <c r="G893" cm="1">
        <f t="array" ref="G893">INDEX(_xlfn.FILTERXML(E893,"//longitude"),1)</f>
        <v>135.80801400000001</v>
      </c>
      <c r="H893">
        <v>34.913933</v>
      </c>
      <c r="I893">
        <v>135.80801400000001</v>
      </c>
    </row>
    <row r="894" spans="1:9" x14ac:dyDescent="0.4">
      <c r="A894" t="s">
        <v>18</v>
      </c>
      <c r="B894" t="s">
        <v>71</v>
      </c>
      <c r="C894" t="str">
        <f t="shared" si="57"/>
        <v>千葉県君津市南子安</v>
      </c>
      <c r="D894" s="2" t="str">
        <f t="shared" si="58"/>
        <v>http://geocode.csis.u-tokyo.ac.jp/cgi-bin/simple_geocode.cgi?charset=UTF8&amp;addr=%E5%8D%83%E8%91%89%E7%9C%8C%E5%90%9B%E6%B4%A5%E5%B8%82%E5%8D%97%E5%AD%90%E5%AE%89</v>
      </c>
      <c r="E894" t="str">
        <f t="shared" si="59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894" cm="1">
        <f t="array" ref="F894">INDEX(_xlfn.FILTERXML(E894,"//latitude"),1)</f>
        <v>35.333129999999997</v>
      </c>
      <c r="G894" cm="1">
        <f t="array" ref="G894">INDEX(_xlfn.FILTERXML(E894,"//longitude"),1)</f>
        <v>139.93206799999999</v>
      </c>
      <c r="H894">
        <v>35.333129999999997</v>
      </c>
      <c r="I894">
        <v>139.93206799999999</v>
      </c>
    </row>
    <row r="895" spans="1:9" x14ac:dyDescent="0.4">
      <c r="A895" t="s">
        <v>15</v>
      </c>
      <c r="B895" t="s">
        <v>363</v>
      </c>
      <c r="C895" t="str">
        <f t="shared" si="57"/>
        <v>兵庫県伊丹市北野</v>
      </c>
      <c r="D895" s="2" t="str">
        <f t="shared" si="58"/>
        <v>http://geocode.csis.u-tokyo.ac.jp/cgi-bin/simple_geocode.cgi?charset=UTF8&amp;addr=%E5%85%B5%E5%BA%AB%E7%9C%8C%E4%BC%8A%E4%B8%B9%E5%B8%82%E5%8C%97%E9%87%8E</v>
      </c>
      <c r="E895" t="str">
        <f t="shared" si="59"/>
        <v xml:space="preserve">&lt;?xml version="1.0" encoding="UTF-8" ?&gt;
&lt;results&gt;
&lt;query&gt;兵庫県伊丹市北野&lt;/query&gt;
&lt;geodetic&gt;wgs1984&lt;/geodetic&gt;
&lt;iConf&gt;5&lt;/iConf&gt;
&lt;converted&gt;兵庫県伊丹市北野&lt;/converted&gt;
&lt;candidate&gt;
&lt;address&gt;兵庫県/伊丹市/北野&lt;/address&gt;
&lt;longitude&gt;135.386993&lt;/longitude&gt;
&lt;latitude&gt;34.802101&lt;/latitude&gt;
&lt;iLvl&gt;5&lt;/iLvl&gt;
&lt;/candidate&gt;
&lt;/results&gt;
</v>
      </c>
      <c r="F895" cm="1">
        <f t="array" ref="F895">INDEX(_xlfn.FILTERXML(E895,"//latitude"),1)</f>
        <v>34.802101</v>
      </c>
      <c r="G895" cm="1">
        <f t="array" ref="G895">INDEX(_xlfn.FILTERXML(E895,"//longitude"),1)</f>
        <v>135.38699299999999</v>
      </c>
      <c r="H895">
        <v>34.802101</v>
      </c>
      <c r="I895">
        <v>135.38699299999999</v>
      </c>
    </row>
    <row r="896" spans="1:9" x14ac:dyDescent="0.4">
      <c r="A896" t="s">
        <v>10</v>
      </c>
      <c r="B896" t="s">
        <v>249</v>
      </c>
      <c r="C896" t="str">
        <f t="shared" si="57"/>
        <v>神奈川県横浜市青葉区藤が丘</v>
      </c>
      <c r="D896" s="2" t="str">
        <f t="shared" si="58"/>
        <v>http://geocode.csis.u-tokyo.ac.jp/cgi-bin/simple_geocode.cgi?charset=UTF8&amp;addr=%E7%A5%9E%E5%A5%88%E5%B7%9D%E7%9C%8C%E6%A8%AA%E6%B5%9C%E5%B8%82%E9%9D%92%E8%91%89%E5%8C%BA%E8%97%A4%E3%81%8C%E4%B8%98</v>
      </c>
      <c r="E896" t="str">
        <f t="shared" si="59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896" cm="1">
        <f t="array" ref="F896">INDEX(_xlfn.FILTERXML(E896,"//latitude"),1)</f>
        <v>35.546458999999999</v>
      </c>
      <c r="G896" cm="1">
        <f t="array" ref="G896">INDEX(_xlfn.FILTERXML(E896,"//longitude"),1)</f>
        <v>139.530472</v>
      </c>
      <c r="H896">
        <v>35.546458999999999</v>
      </c>
      <c r="I896">
        <v>139.530472</v>
      </c>
    </row>
    <row r="897" spans="1:9" x14ac:dyDescent="0.4">
      <c r="A897" t="s">
        <v>17</v>
      </c>
      <c r="B897" t="s">
        <v>364</v>
      </c>
      <c r="C897" t="str">
        <f t="shared" si="57"/>
        <v>愛知県岩倉市神野町平久田</v>
      </c>
      <c r="D897" s="2" t="str">
        <f t="shared" si="58"/>
        <v>http://geocode.csis.u-tokyo.ac.jp/cgi-bin/simple_geocode.cgi?charset=UTF8&amp;addr=%E6%84%9B%E7%9F%A5%E7%9C%8C%E5%B2%A9%E5%80%89%E5%B8%82%E7%A5%9E%E9%87%8E%E7%94%BA%E5%B9%B3%E4%B9%85%E7%94%B0</v>
      </c>
      <c r="E897" t="str">
        <f t="shared" si="59"/>
        <v xml:space="preserve">&lt;?xml version="1.0" encoding="UTF-8" ?&gt;
&lt;results&gt;
&lt;query&gt;愛知県岩倉市神野町平久田&lt;/query&gt;
&lt;geodetic&gt;wgs1984&lt;/geodetic&gt;
&lt;iConf&gt;5&lt;/iConf&gt;
&lt;converted&gt;愛知県岩倉市神野町平久田&lt;/converted&gt;
&lt;candidate&gt;
&lt;address&gt;愛知県/岩倉市/神野町/平久田&lt;/address&gt;
&lt;longitude&gt;136.872482&lt;/longitude&gt;
&lt;latitude&gt;35.292164&lt;/latitude&gt;
&lt;iLvl&gt;6&lt;/iLvl&gt;
&lt;/candidate&gt;
&lt;/results&gt;
</v>
      </c>
      <c r="F897" cm="1">
        <f t="array" ref="F897">INDEX(_xlfn.FILTERXML(E897,"//latitude"),1)</f>
        <v>35.292164</v>
      </c>
      <c r="G897" cm="1">
        <f t="array" ref="G897">INDEX(_xlfn.FILTERXML(E897,"//longitude"),1)</f>
        <v>136.87248199999999</v>
      </c>
      <c r="H897">
        <v>35.292164</v>
      </c>
      <c r="I897">
        <v>136.87248199999999</v>
      </c>
    </row>
    <row r="898" spans="1:9" x14ac:dyDescent="0.4">
      <c r="A898" t="s">
        <v>23</v>
      </c>
      <c r="B898" t="s">
        <v>365</v>
      </c>
      <c r="C898" t="str">
        <f t="shared" si="57"/>
        <v>宮城県仙台市青葉区五橋2－10－6</v>
      </c>
      <c r="D898" s="2" t="str">
        <f t="shared" si="58"/>
        <v>http://geocode.csis.u-tokyo.ac.jp/cgi-bin/simple_geocode.cgi?charset=UTF8&amp;addr=%E5%AE%AE%E5%9F%8E%E7%9C%8C%E4%BB%99%E5%8F%B0%E5%B8%82%E9%9D%92%E8%91%89%E5%8C%BA%E4%BA%94%E6%A9%8B2%EF%BC%8D10%EF%BC%8D6</v>
      </c>
      <c r="E898" t="str">
        <f t="shared" si="59"/>
        <v xml:space="preserve">&lt;?xml version="1.0" encoding="UTF-8" ?&gt;
&lt;results&gt;
&lt;query&gt;宮城県仙台市青葉区五橋2−10−6&lt;/query&gt;
&lt;geodetic&gt;wgs1984&lt;/geodetic&gt;
&lt;iConf&gt;5&lt;/iConf&gt;
&lt;converted&gt;宮城県仙台市青葉区五橋2−10−6&lt;/converted&gt;
&lt;candidate&gt;
&lt;address&gt;宮城県/仙台市/青葉区/五橋/二丁目/１０番/６号&lt;/address&gt;
&lt;longitude&gt;140.879272&lt;/longitude&gt;
&lt;latitude&gt;38.249813&lt;/latitude&gt;
&lt;iLvl&gt;8&lt;/iLvl&gt;
&lt;/candidate&gt;
&lt;/results&gt;
</v>
      </c>
      <c r="F898" cm="1">
        <f t="array" ref="F898">INDEX(_xlfn.FILTERXML(E898,"//latitude"),1)</f>
        <v>38.249813000000003</v>
      </c>
      <c r="G898" cm="1">
        <f t="array" ref="G898">INDEX(_xlfn.FILTERXML(E898,"//longitude"),1)</f>
        <v>140.87927199999999</v>
      </c>
      <c r="H898">
        <v>38.249813000000003</v>
      </c>
      <c r="I898">
        <v>140.87927199999999</v>
      </c>
    </row>
    <row r="899" spans="1:9" x14ac:dyDescent="0.4">
      <c r="A899" t="s">
        <v>17</v>
      </c>
      <c r="B899" t="s">
        <v>366</v>
      </c>
      <c r="C899" t="str">
        <f t="shared" si="57"/>
        <v>愛知県名古屋市緑区大清水</v>
      </c>
      <c r="D899" s="2" t="str">
        <f t="shared" si="58"/>
        <v>http://geocode.csis.u-tokyo.ac.jp/cgi-bin/simple_geocode.cgi?charset=UTF8&amp;addr=%E6%84%9B%E7%9F%A5%E7%9C%8C%E5%90%8D%E5%8F%A4%E5%B1%8B%E5%B8%82%E7%B7%91%E5%8C%BA%E5%A4%A7%E6%B8%85%E6%B0%B4</v>
      </c>
      <c r="E899" t="str">
        <f t="shared" si="59"/>
        <v xml:space="preserve">&lt;?xml version="1.0" encoding="UTF-8" ?&gt;
&lt;results&gt;
&lt;query&gt;愛知県名古屋市緑区大清水&lt;/query&gt;
&lt;geodetic&gt;wgs1984&lt;/geodetic&gt;
&lt;iConf&gt;5&lt;/iConf&gt;
&lt;converted&gt;愛知県名古屋市緑区大清水&lt;/converted&gt;
&lt;candidate&gt;
&lt;address&gt;愛知県/名古屋市/緑区/大清水&lt;/address&gt;
&lt;longitude&gt;136.987823&lt;/longitude&gt;
&lt;latitude&gt;35.080688&lt;/latitude&gt;
&lt;iLvl&gt;5&lt;/iLvl&gt;
&lt;/candidate&gt;
&lt;/results&gt;
</v>
      </c>
      <c r="F899" cm="1">
        <f t="array" ref="F899">INDEX(_xlfn.FILTERXML(E899,"//latitude"),1)</f>
        <v>35.080688000000002</v>
      </c>
      <c r="G899" cm="1">
        <f t="array" ref="G899">INDEX(_xlfn.FILTERXML(E899,"//longitude"),1)</f>
        <v>136.98782299999999</v>
      </c>
      <c r="H899">
        <v>35.080688000000002</v>
      </c>
      <c r="I899">
        <v>136.98782299999999</v>
      </c>
    </row>
    <row r="900" spans="1:9" x14ac:dyDescent="0.4">
      <c r="A900" t="s">
        <v>17</v>
      </c>
      <c r="B900" t="s">
        <v>366</v>
      </c>
      <c r="C900" t="str">
        <f t="shared" si="57"/>
        <v>愛知県名古屋市緑区大清水</v>
      </c>
      <c r="D900" s="2" t="str">
        <f t="shared" si="58"/>
        <v>http://geocode.csis.u-tokyo.ac.jp/cgi-bin/simple_geocode.cgi?charset=UTF8&amp;addr=%E6%84%9B%E7%9F%A5%E7%9C%8C%E5%90%8D%E5%8F%A4%E5%B1%8B%E5%B8%82%E7%B7%91%E5%8C%BA%E5%A4%A7%E6%B8%85%E6%B0%B4</v>
      </c>
      <c r="E900" t="str">
        <f t="shared" si="59"/>
        <v xml:space="preserve">&lt;?xml version="1.0" encoding="UTF-8" ?&gt;
&lt;results&gt;
&lt;query&gt;愛知県名古屋市緑区大清水&lt;/query&gt;
&lt;geodetic&gt;wgs1984&lt;/geodetic&gt;
&lt;iConf&gt;5&lt;/iConf&gt;
&lt;converted&gt;愛知県名古屋市緑区大清水&lt;/converted&gt;
&lt;candidate&gt;
&lt;address&gt;愛知県/名古屋市/緑区/大清水&lt;/address&gt;
&lt;longitude&gt;136.987823&lt;/longitude&gt;
&lt;latitude&gt;35.080688&lt;/latitude&gt;
&lt;iLvl&gt;5&lt;/iLvl&gt;
&lt;/candidate&gt;
&lt;/results&gt;
</v>
      </c>
      <c r="F900" cm="1">
        <f t="array" ref="F900">INDEX(_xlfn.FILTERXML(E900,"//latitude"),1)</f>
        <v>35.080688000000002</v>
      </c>
      <c r="G900" cm="1">
        <f t="array" ref="G900">INDEX(_xlfn.FILTERXML(E900,"//longitude"),1)</f>
        <v>136.98782299999999</v>
      </c>
      <c r="H900">
        <v>35.080688000000002</v>
      </c>
      <c r="I900">
        <v>136.98782299999999</v>
      </c>
    </row>
    <row r="901" spans="1:9" x14ac:dyDescent="0.4">
      <c r="A901" t="s">
        <v>37</v>
      </c>
      <c r="B901" t="s">
        <v>367</v>
      </c>
      <c r="C901" t="str">
        <f t="shared" si="57"/>
        <v>三重県津市</v>
      </c>
      <c r="D901" s="2" t="str">
        <f t="shared" si="58"/>
        <v>http://geocode.csis.u-tokyo.ac.jp/cgi-bin/simple_geocode.cgi?charset=UTF8&amp;addr=%E4%B8%89%E9%87%8D%E7%9C%8C%E6%B4%A5%E5%B8%82</v>
      </c>
      <c r="E901" t="str">
        <f t="shared" si="59"/>
        <v xml:space="preserve">&lt;?xml version="1.0" encoding="UTF-8" ?&gt;
&lt;results&gt;
&lt;query&gt;三重県津市&lt;/query&gt;
&lt;geodetic&gt;wgs1984&lt;/geodetic&gt;
&lt;iConf&gt;5&lt;/iConf&gt;
&lt;converted&gt;三重県津市&lt;/converted&gt;
&lt;candidate&gt;
&lt;address&gt;三重県/津市&lt;/address&gt;
&lt;longitude&gt;136.505447&lt;/longitude&gt;
&lt;latitude&gt;34.718563&lt;/latitude&gt;
&lt;iLvl&gt;3&lt;/iLvl&gt;
&lt;/candidate&gt;
&lt;/results&gt;
</v>
      </c>
      <c r="F901" cm="1">
        <f t="array" ref="F901">INDEX(_xlfn.FILTERXML(E901,"//latitude"),1)</f>
        <v>34.718563000000003</v>
      </c>
      <c r="G901" cm="1">
        <f t="array" ref="G901">INDEX(_xlfn.FILTERXML(E901,"//longitude"),1)</f>
        <v>136.505447</v>
      </c>
      <c r="H901">
        <v>34.718563000000003</v>
      </c>
      <c r="I901">
        <v>136.505447</v>
      </c>
    </row>
    <row r="902" spans="1:9" x14ac:dyDescent="0.4">
      <c r="A902" t="s">
        <v>9</v>
      </c>
      <c r="B902" t="s">
        <v>223</v>
      </c>
      <c r="C902" t="str">
        <f t="shared" si="57"/>
        <v>東京都世田谷区</v>
      </c>
      <c r="D902" s="2" t="str">
        <f t="shared" si="58"/>
        <v>http://geocode.csis.u-tokyo.ac.jp/cgi-bin/simple_geocode.cgi?charset=UTF8&amp;addr=%E6%9D%B1%E4%BA%AC%E9%83%BD%E4%B8%96%E7%94%B0%E8%B0%B7%E5%8C%BA</v>
      </c>
      <c r="E902" t="str">
        <f t="shared" si="5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902" cm="1">
        <f t="array" ref="F902">INDEX(_xlfn.FILTERXML(E902,"//latitude"),1)</f>
        <v>35.646481000000001</v>
      </c>
      <c r="G902" cm="1">
        <f t="array" ref="G902">INDEX(_xlfn.FILTERXML(E902,"//longitude"),1)</f>
        <v>139.65321399999999</v>
      </c>
      <c r="H902">
        <v>35.646481000000001</v>
      </c>
      <c r="I902">
        <v>139.65321399999999</v>
      </c>
    </row>
    <row r="903" spans="1:9" x14ac:dyDescent="0.4">
      <c r="A903" t="s">
        <v>15</v>
      </c>
      <c r="B903" t="s">
        <v>368</v>
      </c>
      <c r="C903" t="str">
        <f t="shared" si="57"/>
        <v>兵庫県姫路市飾磨区上野田</v>
      </c>
      <c r="D903" s="2" t="str">
        <f t="shared" si="58"/>
        <v>http://geocode.csis.u-tokyo.ac.jp/cgi-bin/simple_geocode.cgi?charset=UTF8&amp;addr=%E5%85%B5%E5%BA%AB%E7%9C%8C%E5%A7%AB%E8%B7%AF%E5%B8%82%E9%A3%BE%E7%A3%A8%E5%8C%BA%E4%B8%8A%E9%87%8E%E7%94%B0</v>
      </c>
      <c r="E903" t="str">
        <f t="shared" si="59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903" cm="1">
        <f t="array" ref="F903">INDEX(_xlfn.FILTERXML(E903,"//latitude"),1)</f>
        <v>34.808334000000002</v>
      </c>
      <c r="G903" cm="1">
        <f t="array" ref="G903">INDEX(_xlfn.FILTERXML(E903,"//longitude"),1)</f>
        <v>134.68087800000001</v>
      </c>
      <c r="H903">
        <v>34.808334000000002</v>
      </c>
      <c r="I903">
        <v>134.68087800000001</v>
      </c>
    </row>
    <row r="904" spans="1:9" x14ac:dyDescent="0.4">
      <c r="A904" t="s">
        <v>14</v>
      </c>
      <c r="B904" t="s">
        <v>369</v>
      </c>
      <c r="C904" t="str">
        <f t="shared" si="57"/>
        <v>広島県広島市中区舟入南三丁目</v>
      </c>
      <c r="D904" s="2" t="str">
        <f t="shared" si="58"/>
        <v>http://geocode.csis.u-tokyo.ac.jp/cgi-bin/simple_geocode.cgi?charset=UTF8&amp;addr=%E5%BA%83%E5%B3%B6%E7%9C%8C%E5%BA%83%E5%B3%B6%E5%B8%82%E4%B8%AD%E5%8C%BA%E8%88%9F%E5%85%A5%E5%8D%97%E4%B8%89%E4%B8%81%E7%9B%AE</v>
      </c>
      <c r="E904" t="str">
        <f t="shared" si="59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904" cm="1">
        <f t="array" ref="F904">INDEX(_xlfn.FILTERXML(E904,"//latitude"),1)</f>
        <v>34.377560000000003</v>
      </c>
      <c r="G904" cm="1">
        <f t="array" ref="G904">INDEX(_xlfn.FILTERXML(E904,"//longitude"),1)</f>
        <v>132.43547100000001</v>
      </c>
      <c r="H904">
        <v>34.377560000000003</v>
      </c>
      <c r="I904">
        <v>132.43547100000001</v>
      </c>
    </row>
    <row r="905" spans="1:9" x14ac:dyDescent="0.4">
      <c r="A905" t="s">
        <v>123</v>
      </c>
      <c r="B905" t="s">
        <v>124</v>
      </c>
      <c r="C905" t="str">
        <f t="shared" si="57"/>
        <v>和歌山県紀の川市田中馬場</v>
      </c>
      <c r="D905" s="2" t="str">
        <f t="shared" si="58"/>
        <v>http://geocode.csis.u-tokyo.ac.jp/cgi-bin/simple_geocode.cgi?charset=UTF8&amp;addr=%E5%92%8C%E6%AD%8C%E5%B1%B1%E7%9C%8C%E7%B4%80%E3%81%AE%E5%B7%9D%E5%B8%82%E7%94%B0%E4%B8%AD%E9%A6%AC%E5%A0%B4</v>
      </c>
      <c r="E905" t="str">
        <f t="shared" si="59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905" cm="1">
        <f t="array" ref="F905">INDEX(_xlfn.FILTERXML(E905,"//latitude"),1)</f>
        <v>34.267471</v>
      </c>
      <c r="G905" cm="1">
        <f t="array" ref="G905">INDEX(_xlfn.FILTERXML(E905,"//longitude"),1)</f>
        <v>135.35458399999999</v>
      </c>
      <c r="H905">
        <v>34.267471</v>
      </c>
      <c r="I905">
        <v>135.35458399999999</v>
      </c>
    </row>
    <row r="906" spans="1:9" x14ac:dyDescent="0.4">
      <c r="A906" t="s">
        <v>17</v>
      </c>
      <c r="B906" t="s">
        <v>105</v>
      </c>
      <c r="C906" t="str">
        <f t="shared" si="57"/>
        <v>愛知県豊橋市向山東町</v>
      </c>
      <c r="D906" s="2" t="str">
        <f t="shared" si="58"/>
        <v>http://geocode.csis.u-tokyo.ac.jp/cgi-bin/simple_geocode.cgi?charset=UTF8&amp;addr=%E6%84%9B%E7%9F%A5%E7%9C%8C%E8%B1%8A%E6%A9%8B%E5%B8%82%E5%90%91%E5%B1%B1%E6%9D%B1%E7%94%BA</v>
      </c>
      <c r="E906" t="str">
        <f t="shared" si="59"/>
        <v xml:space="preserve">&lt;?xml version="1.0" encoding="UTF-8" ?&gt;
&lt;results&gt;
&lt;query&gt;愛知県豊橋市向山東町&lt;/query&gt;
&lt;geodetic&gt;wgs1984&lt;/geodetic&gt;
&lt;iConf&gt;5&lt;/iConf&gt;
&lt;converted&gt;愛知県豊橋市向山東町&lt;/converted&gt;
&lt;candidate&gt;
&lt;address&gt;愛知県/豊橋市/向山東町&lt;/address&gt;
&lt;longitude&gt;137.406952&lt;/longitude&gt;
&lt;latitude&gt;34.754700&lt;/latitude&gt;
&lt;iLvl&gt;5&lt;/iLvl&gt;
&lt;/candidate&gt;
&lt;/results&gt;
</v>
      </c>
      <c r="F906" cm="1">
        <f t="array" ref="F906">INDEX(_xlfn.FILTERXML(E906,"//latitude"),1)</f>
        <v>34.7547</v>
      </c>
      <c r="G906" cm="1">
        <f t="array" ref="G906">INDEX(_xlfn.FILTERXML(E906,"//longitude"),1)</f>
        <v>137.40695199999999</v>
      </c>
      <c r="H906">
        <v>34.7547</v>
      </c>
      <c r="I906">
        <v>137.40695199999999</v>
      </c>
    </row>
    <row r="907" spans="1:9" x14ac:dyDescent="0.4">
      <c r="A907" t="s">
        <v>9</v>
      </c>
      <c r="B907" t="s">
        <v>54</v>
      </c>
      <c r="C907" t="str">
        <f t="shared" si="57"/>
        <v>東京都町田市三輪町</v>
      </c>
      <c r="D907" s="2" t="str">
        <f t="shared" si="58"/>
        <v>http://geocode.csis.u-tokyo.ac.jp/cgi-bin/simple_geocode.cgi?charset=UTF8&amp;addr=%E6%9D%B1%E4%BA%AC%E9%83%BD%E7%94%BA%E7%94%B0%E5%B8%82%E4%B8%89%E8%BC%AA%E7%94%BA</v>
      </c>
      <c r="E907" t="str">
        <f t="shared" si="59"/>
        <v xml:space="preserve">&lt;?xml version="1.0" encoding="UTF-8" ?&gt;
&lt;results&gt;
&lt;query&gt;東京都町田市三輪町&lt;/query&gt;
&lt;geodetic&gt;wgs1984&lt;/geodetic&gt;
&lt;iConf&gt;5&lt;/iConf&gt;
&lt;converted&gt;東京都町田市三輪町&lt;/converted&gt;
&lt;candidate&gt;
&lt;address&gt;東京都/町田市/三輪町&lt;/address&gt;
&lt;longitude&gt;139.496353&lt;/longitude&gt;
&lt;latitude&gt;35.575245&lt;/latitude&gt;
&lt;iLvl&gt;5&lt;/iLvl&gt;
&lt;/candidate&gt;
&lt;/results&gt;
</v>
      </c>
      <c r="F907" cm="1">
        <f t="array" ref="F907">INDEX(_xlfn.FILTERXML(E907,"//latitude"),1)</f>
        <v>35.575245000000002</v>
      </c>
      <c r="G907" cm="1">
        <f t="array" ref="G907">INDEX(_xlfn.FILTERXML(E907,"//longitude"),1)</f>
        <v>139.496353</v>
      </c>
      <c r="H907">
        <v>35.575245000000002</v>
      </c>
      <c r="I907">
        <v>139.496353</v>
      </c>
    </row>
    <row r="908" spans="1:9" x14ac:dyDescent="0.4">
      <c r="A908" t="s">
        <v>37</v>
      </c>
      <c r="B908" t="s">
        <v>370</v>
      </c>
      <c r="C908" t="str">
        <f t="shared" si="57"/>
        <v>三重県津市一身田上津部田</v>
      </c>
      <c r="D908" s="2" t="str">
        <f t="shared" si="58"/>
        <v>http://geocode.csis.u-tokyo.ac.jp/cgi-bin/simple_geocode.cgi?charset=UTF8&amp;addr=%E4%B8%89%E9%87%8D%E7%9C%8C%E6%B4%A5%E5%B8%82%E4%B8%80%E8%BA%AB%E7%94%B0%E4%B8%8A%E6%B4%A5%E9%83%A8%E7%94%B0</v>
      </c>
      <c r="E908" t="str">
        <f t="shared" si="59"/>
        <v xml:space="preserve">&lt;?xml version="1.0" encoding="UTF-8" ?&gt;
&lt;results&gt;
&lt;query&gt;三重県津市一身田上津部田&lt;/query&gt;
&lt;geodetic&gt;wgs1984&lt;/geodetic&gt;
&lt;iConf&gt;5&lt;/iConf&gt;
&lt;converted&gt;三重県津市一身田上津部田&lt;/converted&gt;
&lt;candidate&gt;
&lt;address&gt;三重県/津市/一身田上津部田&lt;/address&gt;
&lt;longitude&gt;136.498993&lt;/longitude&gt;
&lt;latitude&gt;34.746578&lt;/latitude&gt;
&lt;iLvl&gt;5&lt;/iLvl&gt;
&lt;/candidate&gt;
&lt;/results&gt;
</v>
      </c>
      <c r="F908" cm="1">
        <f t="array" ref="F908">INDEX(_xlfn.FILTERXML(E908,"//latitude"),1)</f>
        <v>34.746578</v>
      </c>
      <c r="G908" cm="1">
        <f t="array" ref="G908">INDEX(_xlfn.FILTERXML(E908,"//longitude"),1)</f>
        <v>136.49899300000001</v>
      </c>
      <c r="H908">
        <v>34.746578</v>
      </c>
      <c r="I908">
        <v>136.49899300000001</v>
      </c>
    </row>
    <row r="909" spans="1:9" x14ac:dyDescent="0.4">
      <c r="A909" t="s">
        <v>11</v>
      </c>
      <c r="B909" t="s">
        <v>371</v>
      </c>
      <c r="C909" t="str">
        <f t="shared" si="57"/>
        <v>大阪府吹田市古江台３丁目</v>
      </c>
      <c r="D909" s="2" t="str">
        <f t="shared" si="58"/>
        <v>http://geocode.csis.u-tokyo.ac.jp/cgi-bin/simple_geocode.cgi?charset=UTF8&amp;addr=%E5%A4%A7%E9%98%AA%E5%BA%9C%E5%90%B9%E7%94%B0%E5%B8%82%E5%8F%A4%E6%B1%9F%E5%8F%B0%EF%BC%93%E4%B8%81%E7%9B%AE</v>
      </c>
      <c r="E909" t="str">
        <f t="shared" si="59"/>
        <v xml:space="preserve">&lt;?xml version="1.0" encoding="UTF-8" ?&gt;
&lt;results&gt;
&lt;query&gt;大阪府吹田市古江台３丁目&lt;/query&gt;
&lt;geodetic&gt;wgs1984&lt;/geodetic&gt;
&lt;iConf&gt;5&lt;/iConf&gt;
&lt;converted&gt;大阪府吹田市古江台３丁目&lt;/converted&gt;
&lt;candidate&gt;
&lt;address&gt;大阪府/吹田市/古江台/三丁目&lt;/address&gt;
&lt;longitude&gt;135.507172&lt;/longitude&gt;
&lt;latitude&gt;34.817989&lt;/latitude&gt;
&lt;iLvl&gt;6&lt;/iLvl&gt;
&lt;/candidate&gt;
&lt;/results&gt;
</v>
      </c>
      <c r="F909" cm="1">
        <f t="array" ref="F909">INDEX(_xlfn.FILTERXML(E909,"//latitude"),1)</f>
        <v>34.817988999999997</v>
      </c>
      <c r="G909" cm="1">
        <f t="array" ref="G909">INDEX(_xlfn.FILTERXML(E909,"//longitude"),1)</f>
        <v>135.507172</v>
      </c>
      <c r="H909">
        <v>34.817988999999997</v>
      </c>
      <c r="I909">
        <v>135.507172</v>
      </c>
    </row>
    <row r="910" spans="1:9" x14ac:dyDescent="0.4">
      <c r="A910" t="s">
        <v>128</v>
      </c>
      <c r="B910" t="s">
        <v>372</v>
      </c>
      <c r="C910" t="str">
        <f t="shared" si="57"/>
        <v>山形県東根市泉郷乙</v>
      </c>
      <c r="D910" s="2" t="str">
        <f t="shared" si="58"/>
        <v>http://geocode.csis.u-tokyo.ac.jp/cgi-bin/simple_geocode.cgi?charset=UTF8&amp;addr=%E5%B1%B1%E5%BD%A2%E7%9C%8C%E6%9D%B1%E6%A0%B9%E5%B8%82%E6%B3%89%E9%83%B7%E4%B9%99</v>
      </c>
      <c r="E910" t="str">
        <f t="shared" si="59"/>
        <v xml:space="preserve">&lt;?xml version="1.0" encoding="UTF-8" ?&gt;
&lt;results&gt;
&lt;query&gt;山形県東根市泉郷乙&lt;/query&gt;
&lt;geodetic&gt;wgs1984&lt;/geodetic&gt;
&lt;iConf&gt;5&lt;/iConf&gt;
&lt;converted&gt;山形県東根市泉郷乙&lt;/converted&gt;
&lt;candidate&gt;
&lt;address&gt;山形県/東根市/泉郷乙&lt;/address&gt;
&lt;longitude&gt;140.436920&lt;/longitude&gt;
&lt;latitude&gt;38.430485&lt;/latitude&gt;
&lt;iLvl&gt;5&lt;/iLvl&gt;
&lt;/candidate&gt;
&lt;/results&gt;
</v>
      </c>
      <c r="F910" cm="1">
        <f t="array" ref="F910">INDEX(_xlfn.FILTERXML(E910,"//latitude"),1)</f>
        <v>38.430484999999997</v>
      </c>
      <c r="G910" cm="1">
        <f t="array" ref="G910">INDEX(_xlfn.FILTERXML(E910,"//longitude"),1)</f>
        <v>140.43691999999999</v>
      </c>
      <c r="H910">
        <v>38.430484999999997</v>
      </c>
      <c r="I910">
        <v>140.43691999999999</v>
      </c>
    </row>
    <row r="911" spans="1:9" x14ac:dyDescent="0.4">
      <c r="A911" t="s">
        <v>17</v>
      </c>
      <c r="B911" t="s">
        <v>373</v>
      </c>
      <c r="C911" t="str">
        <f t="shared" ref="C911:C974" si="60">+A911&amp;B911</f>
        <v>愛知県一宮市</v>
      </c>
      <c r="D911" s="2" t="str">
        <f t="shared" ref="D911:D974" si="61" xml:space="preserve"> "http://geocode.csis.u-tokyo.ac.jp/cgi-bin/simple_geocode.cgi?charset=UTF8&amp;addr=" &amp; _xlfn.ENCODEURL(C911)</f>
        <v>http://geocode.csis.u-tokyo.ac.jp/cgi-bin/simple_geocode.cgi?charset=UTF8&amp;addr=%E6%84%9B%E7%9F%A5%E7%9C%8C%E4%B8%80%E5%AE%AE%E5%B8%82</v>
      </c>
      <c r="E911" t="str">
        <f t="shared" ref="E911:E974" si="62" xml:space="preserve"> _xlfn.WEBSERVICE(D911)</f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911" cm="1">
        <f t="array" ref="F911">INDEX(_xlfn.FILTERXML(E911,"//latitude"),1)</f>
        <v>35.304012</v>
      </c>
      <c r="G911" cm="1">
        <f t="array" ref="G911">INDEX(_xlfn.FILTERXML(E911,"//longitude"),1)</f>
        <v>136.80233799999999</v>
      </c>
      <c r="H911">
        <v>35.304012</v>
      </c>
      <c r="I911">
        <v>136.80233799999999</v>
      </c>
    </row>
    <row r="912" spans="1:9" x14ac:dyDescent="0.4">
      <c r="A912" t="s">
        <v>17</v>
      </c>
      <c r="B912" t="s">
        <v>374</v>
      </c>
      <c r="C912" t="str">
        <f t="shared" si="60"/>
        <v>愛知県名古屋市千種区茶屋坂通</v>
      </c>
      <c r="D912" s="2" t="str">
        <f t="shared" si="61"/>
        <v>http://geocode.csis.u-tokyo.ac.jp/cgi-bin/simple_geocode.cgi?charset=UTF8&amp;addr=%E6%84%9B%E7%9F%A5%E7%9C%8C%E5%90%8D%E5%8F%A4%E5%B1%8B%E5%B8%82%E5%8D%83%E7%A8%AE%E5%8C%BA%E8%8C%B6%E5%B1%8B%E5%9D%82%E9%80%9A</v>
      </c>
      <c r="E912" t="str">
        <f t="shared" si="62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912" cm="1">
        <f t="array" ref="F912">INDEX(_xlfn.FILTERXML(E912,"//latitude"),1)</f>
        <v>35.182724</v>
      </c>
      <c r="G912" cm="1">
        <f t="array" ref="G912">INDEX(_xlfn.FILTERXML(E912,"//longitude"),1)</f>
        <v>136.954285</v>
      </c>
      <c r="H912">
        <v>35.182724</v>
      </c>
      <c r="I912">
        <v>136.954285</v>
      </c>
    </row>
    <row r="913" spans="1:9" x14ac:dyDescent="0.4">
      <c r="A913" t="s">
        <v>9</v>
      </c>
      <c r="B913" t="s">
        <v>179</v>
      </c>
      <c r="C913" t="str">
        <f t="shared" si="60"/>
        <v>東京都国立市</v>
      </c>
      <c r="D913" s="2" t="str">
        <f t="shared" si="61"/>
        <v>http://geocode.csis.u-tokyo.ac.jp/cgi-bin/simple_geocode.cgi?charset=UTF8&amp;addr=%E6%9D%B1%E4%BA%AC%E9%83%BD%E5%9B%BD%E7%AB%8B%E5%B8%82</v>
      </c>
      <c r="E913" t="str">
        <f t="shared" si="62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913" cm="1">
        <f t="array" ref="F913">INDEX(_xlfn.FILTERXML(E913,"//latitude"),1)</f>
        <v>35.683909999999997</v>
      </c>
      <c r="G913" cm="1">
        <f t="array" ref="G913">INDEX(_xlfn.FILTERXML(E913,"//longitude"),1)</f>
        <v>139.44136</v>
      </c>
      <c r="H913">
        <v>35.683909999999997</v>
      </c>
      <c r="I913">
        <v>139.44136</v>
      </c>
    </row>
    <row r="914" spans="1:9" x14ac:dyDescent="0.4">
      <c r="A914" t="s">
        <v>29</v>
      </c>
      <c r="B914" t="s">
        <v>164</v>
      </c>
      <c r="C914" t="str">
        <f t="shared" si="60"/>
        <v>静岡県三島市富士見台</v>
      </c>
      <c r="D914" s="2" t="str">
        <f t="shared" si="61"/>
        <v>http://geocode.csis.u-tokyo.ac.jp/cgi-bin/simple_geocode.cgi?charset=UTF8&amp;addr=%E9%9D%99%E5%B2%A1%E7%9C%8C%E4%B8%89%E5%B3%B6%E5%B8%82%E5%AF%8C%E5%A3%AB%E8%A6%8B%E5%8F%B0</v>
      </c>
      <c r="E914" t="str">
        <f t="shared" si="62"/>
        <v xml:space="preserve">&lt;?xml version="1.0" encoding="UTF-8" ?&gt;
&lt;results&gt;
&lt;query&gt;静岡県三島市富士見台&lt;/query&gt;
&lt;geodetic&gt;wgs1984&lt;/geodetic&gt;
&lt;iConf&gt;5&lt;/iConf&gt;
&lt;converted&gt;静岡県三島市富士見台&lt;/converted&gt;
&lt;candidate&gt;
&lt;address&gt;静岡県/三島市/富士見台&lt;/address&gt;
&lt;longitude&gt;138.932434&lt;/longitude&gt;
&lt;latitude&gt;35.142349&lt;/latitude&gt;
&lt;iLvl&gt;5&lt;/iLvl&gt;
&lt;/candidate&gt;
&lt;/results&gt;
</v>
      </c>
      <c r="F914" cm="1">
        <f t="array" ref="F914">INDEX(_xlfn.FILTERXML(E914,"//latitude"),1)</f>
        <v>35.142349000000003</v>
      </c>
      <c r="G914" cm="1">
        <f t="array" ref="G914">INDEX(_xlfn.FILTERXML(E914,"//longitude"),1)</f>
        <v>138.932434</v>
      </c>
      <c r="H914">
        <v>35.142349000000003</v>
      </c>
      <c r="I914">
        <v>138.932434</v>
      </c>
    </row>
    <row r="915" spans="1:9" x14ac:dyDescent="0.4">
      <c r="A915" t="s">
        <v>15</v>
      </c>
      <c r="B915" t="s">
        <v>375</v>
      </c>
      <c r="C915" t="str">
        <f t="shared" si="60"/>
        <v>兵庫県三木市志染町西自由が丘</v>
      </c>
      <c r="D915" s="2" t="str">
        <f t="shared" si="61"/>
        <v>http://geocode.csis.u-tokyo.ac.jp/cgi-bin/simple_geocode.cgi?charset=UTF8&amp;addr=%E5%85%B5%E5%BA%AB%E7%9C%8C%E4%B8%89%E6%9C%A8%E5%B8%82%E5%BF%97%E6%9F%93%E7%94%BA%E8%A5%BF%E8%87%AA%E7%94%B1%E3%81%8C%E4%B8%98</v>
      </c>
      <c r="E915" t="str">
        <f t="shared" si="62"/>
        <v xml:space="preserve">&lt;?xml version="1.0" encoding="UTF-8" ?&gt;
&lt;results&gt;
&lt;query&gt;兵庫県三木市志染町西自由が丘&lt;/query&gt;
&lt;geodetic&gt;wgs1984&lt;/geodetic&gt;
&lt;iConf&gt;5&lt;/iConf&gt;
&lt;converted&gt;兵庫県三木市志染町西自由が丘&lt;/converted&gt;
&lt;candidate&gt;
&lt;address&gt;兵庫県/三木市/志染町西自由が丘&lt;/address&gt;
&lt;longitude&gt;135.010147&lt;/longitude&gt;
&lt;latitude&gt;34.783649&lt;/latitude&gt;
&lt;iLvl&gt;5&lt;/iLvl&gt;
&lt;/candidate&gt;
&lt;/results&gt;
</v>
      </c>
      <c r="F915" cm="1">
        <f t="array" ref="F915">INDEX(_xlfn.FILTERXML(E915,"//latitude"),1)</f>
        <v>34.783648999999997</v>
      </c>
      <c r="G915" cm="1">
        <f t="array" ref="G915">INDEX(_xlfn.FILTERXML(E915,"//longitude"),1)</f>
        <v>135.01014699999999</v>
      </c>
      <c r="H915">
        <v>34.783648999999997</v>
      </c>
      <c r="I915">
        <v>135.01014699999999</v>
      </c>
    </row>
    <row r="916" spans="1:9" x14ac:dyDescent="0.4">
      <c r="A916" t="s">
        <v>13</v>
      </c>
      <c r="B916" t="s">
        <v>376</v>
      </c>
      <c r="C916" t="str">
        <f t="shared" si="60"/>
        <v>埼玉県春日部市粕壁東</v>
      </c>
      <c r="D916" s="2" t="str">
        <f t="shared" si="61"/>
        <v>http://geocode.csis.u-tokyo.ac.jp/cgi-bin/simple_geocode.cgi?charset=UTF8&amp;addr=%E5%9F%BC%E7%8E%89%E7%9C%8C%E6%98%A5%E6%97%A5%E9%83%A8%E5%B8%82%E7%B2%95%E5%A3%81%E6%9D%B1</v>
      </c>
      <c r="E916" t="str">
        <f t="shared" si="62"/>
        <v xml:space="preserve">&lt;?xml version="1.0" encoding="UTF-8" ?&gt;
&lt;results&gt;
&lt;query&gt;埼玉県春日部市粕壁東&lt;/query&gt;
&lt;geodetic&gt;wgs1984&lt;/geodetic&gt;
&lt;iConf&gt;5&lt;/iConf&gt;
&lt;converted&gt;埼玉県春日部市粕壁東&lt;/converted&gt;
&lt;candidate&gt;
&lt;address&gt;埼玉県/春日部市/粕壁東&lt;/address&gt;
&lt;longitude&gt;139.756195&lt;/longitude&gt;
&lt;latitude&gt;35.980106&lt;/latitude&gt;
&lt;iLvl&gt;5&lt;/iLvl&gt;
&lt;/candidate&gt;
&lt;/results&gt;
</v>
      </c>
      <c r="F916" cm="1">
        <f t="array" ref="F916">INDEX(_xlfn.FILTERXML(E916,"//latitude"),1)</f>
        <v>35.980105999999999</v>
      </c>
      <c r="G916" cm="1">
        <f t="array" ref="G916">INDEX(_xlfn.FILTERXML(E916,"//longitude"),1)</f>
        <v>139.75619499999999</v>
      </c>
      <c r="H916">
        <v>35.980105999999999</v>
      </c>
      <c r="I916">
        <v>139.75619499999999</v>
      </c>
    </row>
    <row r="917" spans="1:9" x14ac:dyDescent="0.4">
      <c r="A917" t="s">
        <v>10</v>
      </c>
      <c r="B917" t="s">
        <v>82</v>
      </c>
      <c r="C917" t="str">
        <f t="shared" si="60"/>
        <v>神奈川県厚木市</v>
      </c>
      <c r="D917" s="2" t="str">
        <f t="shared" si="61"/>
        <v>http://geocode.csis.u-tokyo.ac.jp/cgi-bin/simple_geocode.cgi?charset=UTF8&amp;addr=%E7%A5%9E%E5%A5%88%E5%B7%9D%E7%9C%8C%E5%8E%9A%E6%9C%A8%E5%B8%82</v>
      </c>
      <c r="E917" t="str">
        <f t="shared" si="62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917" cm="1">
        <f t="array" ref="F917">INDEX(_xlfn.FILTERXML(E917,"//latitude"),1)</f>
        <v>35.443049999999999</v>
      </c>
      <c r="G917" cm="1">
        <f t="array" ref="G917">INDEX(_xlfn.FILTERXML(E917,"//longitude"),1)</f>
        <v>139.36244199999999</v>
      </c>
      <c r="H917">
        <v>35.443049999999999</v>
      </c>
      <c r="I917">
        <v>139.36244199999999</v>
      </c>
    </row>
    <row r="918" spans="1:9" x14ac:dyDescent="0.4">
      <c r="A918" t="s">
        <v>34</v>
      </c>
      <c r="B918" t="s">
        <v>81</v>
      </c>
      <c r="C918" t="str">
        <f t="shared" si="60"/>
        <v>岐阜県岐阜市</v>
      </c>
      <c r="D918" s="2" t="str">
        <f t="shared" si="61"/>
        <v>http://geocode.csis.u-tokyo.ac.jp/cgi-bin/simple_geocode.cgi?charset=UTF8&amp;addr=%E5%B2%90%E9%98%9C%E7%9C%8C%E5%B2%90%E9%98%9C%E5%B8%82</v>
      </c>
      <c r="E918" t="str">
        <f t="shared" si="62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918" cm="1">
        <f t="array" ref="F918">INDEX(_xlfn.FILTERXML(E918,"//latitude"),1)</f>
        <v>35.423302</v>
      </c>
      <c r="G918" cm="1">
        <f t="array" ref="G918">INDEX(_xlfn.FILTERXML(E918,"//longitude"),1)</f>
        <v>136.760651</v>
      </c>
      <c r="H918">
        <v>35.423302</v>
      </c>
      <c r="I918">
        <v>136.760651</v>
      </c>
    </row>
    <row r="919" spans="1:9" x14ac:dyDescent="0.4">
      <c r="A919" t="s">
        <v>18</v>
      </c>
      <c r="B919" t="s">
        <v>95</v>
      </c>
      <c r="C919" t="str">
        <f t="shared" si="60"/>
        <v>千葉県旭市</v>
      </c>
      <c r="D919" s="2" t="str">
        <f t="shared" si="61"/>
        <v>http://geocode.csis.u-tokyo.ac.jp/cgi-bin/simple_geocode.cgi?charset=UTF8&amp;addr=%E5%8D%83%E8%91%89%E7%9C%8C%E6%97%AD%E5%B8%82</v>
      </c>
      <c r="E919" t="str">
        <f t="shared" si="62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919" cm="1">
        <f t="array" ref="F919">INDEX(_xlfn.FILTERXML(E919,"//latitude"),1)</f>
        <v>35.720455000000001</v>
      </c>
      <c r="G919" cm="1">
        <f t="array" ref="G919">INDEX(_xlfn.FILTERXML(E919,"//longitude"),1)</f>
        <v>140.646591</v>
      </c>
      <c r="H919">
        <v>35.720455000000001</v>
      </c>
      <c r="I919">
        <v>140.646591</v>
      </c>
    </row>
    <row r="920" spans="1:9" x14ac:dyDescent="0.4">
      <c r="A920" t="s">
        <v>13</v>
      </c>
      <c r="B920" t="s">
        <v>47</v>
      </c>
      <c r="C920" t="str">
        <f t="shared" si="60"/>
        <v>埼玉県上尾市</v>
      </c>
      <c r="D920" s="2" t="str">
        <f t="shared" si="61"/>
        <v>http://geocode.csis.u-tokyo.ac.jp/cgi-bin/simple_geocode.cgi?charset=UTF8&amp;addr=%E5%9F%BC%E7%8E%89%E7%9C%8C%E4%B8%8A%E5%B0%BE%E5%B8%82</v>
      </c>
      <c r="E920" t="str">
        <f t="shared" si="62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920" cm="1">
        <f t="array" ref="F920">INDEX(_xlfn.FILTERXML(E920,"//latitude"),1)</f>
        <v>35.977409000000002</v>
      </c>
      <c r="G920" cm="1">
        <f t="array" ref="G920">INDEX(_xlfn.FILTERXML(E920,"//longitude"),1)</f>
        <v>139.59320099999999</v>
      </c>
      <c r="H920">
        <v>35.977409000000002</v>
      </c>
      <c r="I920">
        <v>139.59320099999999</v>
      </c>
    </row>
    <row r="921" spans="1:9" x14ac:dyDescent="0.4">
      <c r="A921" t="s">
        <v>12</v>
      </c>
      <c r="B921" t="s">
        <v>377</v>
      </c>
      <c r="C921" t="str">
        <f t="shared" si="60"/>
        <v>奈良県大和高田市</v>
      </c>
      <c r="D921" s="2" t="str">
        <f t="shared" si="61"/>
        <v>http://geocode.csis.u-tokyo.ac.jp/cgi-bin/simple_geocode.cgi?charset=UTF8&amp;addr=%E5%A5%88%E8%89%AF%E7%9C%8C%E5%A4%A7%E5%92%8C%E9%AB%98%E7%94%B0%E5%B8%82</v>
      </c>
      <c r="E921" t="str">
        <f t="shared" si="62"/>
        <v xml:space="preserve">&lt;?xml version="1.0" encoding="UTF-8" ?&gt;
&lt;results&gt;
&lt;query&gt;奈良県大和高田市&lt;/query&gt;
&lt;geodetic&gt;wgs1984&lt;/geodetic&gt;
&lt;iConf&gt;5&lt;/iConf&gt;
&lt;converted&gt;奈良県大和高田市&lt;/converted&gt;
&lt;candidate&gt;
&lt;address&gt;奈良県/大和高田市&lt;/address&gt;
&lt;longitude&gt;135.736450&lt;/longitude&gt;
&lt;latitude&gt;34.514977&lt;/latitude&gt;
&lt;iLvl&gt;3&lt;/iLvl&gt;
&lt;/candidate&gt;
&lt;/results&gt;
</v>
      </c>
      <c r="F921" cm="1">
        <f t="array" ref="F921">INDEX(_xlfn.FILTERXML(E921,"//latitude"),1)</f>
        <v>34.514977000000002</v>
      </c>
      <c r="G921" cm="1">
        <f t="array" ref="G921">INDEX(_xlfn.FILTERXML(E921,"//longitude"),1)</f>
        <v>135.73644999999999</v>
      </c>
      <c r="H921">
        <v>34.514977000000002</v>
      </c>
      <c r="I921">
        <v>135.73644999999999</v>
      </c>
    </row>
    <row r="922" spans="1:9" x14ac:dyDescent="0.4">
      <c r="A922" t="s">
        <v>17</v>
      </c>
      <c r="B922" t="s">
        <v>76</v>
      </c>
      <c r="C922" t="str">
        <f t="shared" si="60"/>
        <v>愛知県東海市富貴ノ台</v>
      </c>
      <c r="D922" s="2" t="str">
        <f t="shared" si="61"/>
        <v>http://geocode.csis.u-tokyo.ac.jp/cgi-bin/simple_geocode.cgi?charset=UTF8&amp;addr=%E6%84%9B%E7%9F%A5%E7%9C%8C%E6%9D%B1%E6%B5%B7%E5%B8%82%E5%AF%8C%E8%B2%B4%E3%83%8E%E5%8F%B0</v>
      </c>
      <c r="E922" t="str">
        <f t="shared" si="62"/>
        <v xml:space="preserve">&lt;?xml version="1.0" encoding="UTF-8" ?&gt;
&lt;results&gt;
&lt;query&gt;愛知県東海市富貴ノ台&lt;/query&gt;
&lt;geodetic&gt;wgs1984&lt;/geodetic&gt;
&lt;iConf&gt;5&lt;/iConf&gt;
&lt;converted&gt;愛知県東海市富貴ノ台&lt;/converted&gt;
&lt;candidate&gt;
&lt;address&gt;愛知県/東海市/富貴ノ台&lt;/address&gt;
&lt;longitude&gt;136.901062&lt;/longitude&gt;
&lt;latitude&gt;35.030575&lt;/latitude&gt;
&lt;iLvl&gt;5&lt;/iLvl&gt;
&lt;/candidate&gt;
&lt;/results&gt;
</v>
      </c>
      <c r="F922" cm="1">
        <f t="array" ref="F922">INDEX(_xlfn.FILTERXML(E922,"//latitude"),1)</f>
        <v>35.030574999999999</v>
      </c>
      <c r="G922" cm="1">
        <f t="array" ref="G922">INDEX(_xlfn.FILTERXML(E922,"//longitude"),1)</f>
        <v>136.901062</v>
      </c>
      <c r="H922">
        <v>35.030574999999999</v>
      </c>
      <c r="I922">
        <v>136.901062</v>
      </c>
    </row>
    <row r="923" spans="1:9" x14ac:dyDescent="0.4">
      <c r="A923" t="s">
        <v>16</v>
      </c>
      <c r="B923" t="s">
        <v>235</v>
      </c>
      <c r="C923" t="str">
        <f t="shared" si="60"/>
        <v>長野県上水内郡信濃町大字柏原</v>
      </c>
      <c r="D923" s="2" t="str">
        <f t="shared" si="61"/>
        <v>http://geocode.csis.u-tokyo.ac.jp/cgi-bin/simple_geocode.cgi?charset=UTF8&amp;addr=%E9%95%B7%E9%87%8E%E7%9C%8C%E4%B8%8A%E6%B0%B4%E5%86%85%E9%83%A1%E4%BF%A1%E6%BF%83%E7%94%BA%E5%A4%A7%E5%AD%97%E6%9F%8F%E5%8E%9F</v>
      </c>
      <c r="E923" t="str">
        <f t="shared" si="62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923" cm="1">
        <f t="array" ref="F923">INDEX(_xlfn.FILTERXML(E923,"//latitude"),1)</f>
        <v>36.801845999999998</v>
      </c>
      <c r="G923" cm="1">
        <f t="array" ref="G923">INDEX(_xlfn.FILTERXML(E923,"//longitude"),1)</f>
        <v>138.15112300000001</v>
      </c>
      <c r="H923">
        <v>36.801845999999998</v>
      </c>
      <c r="I923">
        <v>138.15112300000001</v>
      </c>
    </row>
    <row r="924" spans="1:9" x14ac:dyDescent="0.4">
      <c r="A924" t="s">
        <v>9</v>
      </c>
      <c r="B924" t="s">
        <v>378</v>
      </c>
      <c r="C924" t="str">
        <f t="shared" si="60"/>
        <v>東京都豊島区</v>
      </c>
      <c r="D924" s="2" t="str">
        <f t="shared" si="61"/>
        <v>http://geocode.csis.u-tokyo.ac.jp/cgi-bin/simple_geocode.cgi?charset=UTF8&amp;addr=%E6%9D%B1%E4%BA%AC%E9%83%BD%E8%B1%8A%E5%B3%B6%E5%8C%BA</v>
      </c>
      <c r="E924" t="str">
        <f t="shared" si="62"/>
        <v xml:space="preserve">&lt;?xml version="1.0" encoding="UTF-8" ?&gt;
&lt;results&gt;
&lt;query&gt;東京都豊島区&lt;/query&gt;
&lt;geodetic&gt;wgs1984&lt;/geodetic&gt;
&lt;iConf&gt;5&lt;/iConf&gt;
&lt;converted&gt;東京都豊島区&lt;/converted&gt;
&lt;candidate&gt;
&lt;address&gt;東京都/豊島区&lt;/address&gt;
&lt;longitude&gt;139.715469&lt;/longitude&gt;
&lt;latitude&gt;35.732437&lt;/latitude&gt;
&lt;iLvl&gt;3&lt;/iLvl&gt;
&lt;/candidate&gt;
&lt;/results&gt;
</v>
      </c>
      <c r="F924" cm="1">
        <f t="array" ref="F924">INDEX(_xlfn.FILTERXML(E924,"//latitude"),1)</f>
        <v>35.732436999999997</v>
      </c>
      <c r="G924" cm="1">
        <f t="array" ref="G924">INDEX(_xlfn.FILTERXML(E924,"//longitude"),1)</f>
        <v>139.71546900000001</v>
      </c>
      <c r="H924">
        <v>35.732436999999997</v>
      </c>
      <c r="I924">
        <v>139.71546900000001</v>
      </c>
    </row>
    <row r="925" spans="1:9" x14ac:dyDescent="0.4">
      <c r="A925" t="s">
        <v>37</v>
      </c>
      <c r="B925" t="s">
        <v>379</v>
      </c>
      <c r="C925" t="str">
        <f t="shared" si="60"/>
        <v>三重県鈴鹿市</v>
      </c>
      <c r="D925" s="2" t="str">
        <f t="shared" si="61"/>
        <v>http://geocode.csis.u-tokyo.ac.jp/cgi-bin/simple_geocode.cgi?charset=UTF8&amp;addr=%E4%B8%89%E9%87%8D%E7%9C%8C%E9%88%B4%E9%B9%BF%E5%B8%82</v>
      </c>
      <c r="E925" t="str">
        <f t="shared" si="62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925" cm="1">
        <f t="array" ref="F925">INDEX(_xlfn.FILTERXML(E925,"//latitude"),1)</f>
        <v>34.881866000000002</v>
      </c>
      <c r="G925" cm="1">
        <f t="array" ref="G925">INDEX(_xlfn.FILTERXML(E925,"//longitude"),1)</f>
        <v>136.584183</v>
      </c>
      <c r="H925">
        <v>34.881866000000002</v>
      </c>
      <c r="I925">
        <v>136.584183</v>
      </c>
    </row>
    <row r="926" spans="1:9" x14ac:dyDescent="0.4">
      <c r="A926" t="s">
        <v>42</v>
      </c>
      <c r="B926" t="s">
        <v>380</v>
      </c>
      <c r="C926" t="str">
        <f t="shared" si="60"/>
        <v>富山県富山市高屋敷</v>
      </c>
      <c r="D926" s="2" t="str">
        <f t="shared" si="61"/>
        <v>http://geocode.csis.u-tokyo.ac.jp/cgi-bin/simple_geocode.cgi?charset=UTF8&amp;addr=%E5%AF%8C%E5%B1%B1%E7%9C%8C%E5%AF%8C%E5%B1%B1%E5%B8%82%E9%AB%98%E5%B1%8B%E6%95%B7</v>
      </c>
      <c r="E926" t="str">
        <f t="shared" si="62"/>
        <v xml:space="preserve">&lt;?xml version="1.0" encoding="UTF-8" ?&gt;
&lt;results&gt;
&lt;query&gt;富山県富山市高屋敷&lt;/query&gt;
&lt;geodetic&gt;wgs1984&lt;/geodetic&gt;
&lt;iConf&gt;5&lt;/iConf&gt;
&lt;converted&gt;富山県富山市高屋敷&lt;/converted&gt;
&lt;candidate&gt;
&lt;address&gt;富山県/富山市/高屋敷&lt;/address&gt;
&lt;longitude&gt;137.246231&lt;/longitude&gt;
&lt;latitude&gt;36.669353&lt;/latitude&gt;
&lt;iLvl&gt;5&lt;/iLvl&gt;
&lt;/candidate&gt;
&lt;/results&gt;
</v>
      </c>
      <c r="F926" cm="1">
        <f t="array" ref="F926">INDEX(_xlfn.FILTERXML(E926,"//latitude"),1)</f>
        <v>36.669353000000001</v>
      </c>
      <c r="G926" cm="1">
        <f t="array" ref="G926">INDEX(_xlfn.FILTERXML(E926,"//longitude"),1)</f>
        <v>137.24623099999999</v>
      </c>
      <c r="H926">
        <v>36.669353000000001</v>
      </c>
      <c r="I926">
        <v>137.24623099999999</v>
      </c>
    </row>
    <row r="927" spans="1:9" x14ac:dyDescent="0.4">
      <c r="A927" t="s">
        <v>11</v>
      </c>
      <c r="B927" t="s">
        <v>381</v>
      </c>
      <c r="C927" t="str">
        <f t="shared" si="60"/>
        <v>大阪府大阪市東淀川区北江口</v>
      </c>
      <c r="D927" s="2" t="str">
        <f t="shared" si="61"/>
        <v>http://geocode.csis.u-tokyo.ac.jp/cgi-bin/simple_geocode.cgi?charset=UTF8&amp;addr=%E5%A4%A7%E9%98%AA%E5%BA%9C%E5%A4%A7%E9%98%AA%E5%B8%82%E6%9D%B1%E6%B7%80%E5%B7%9D%E5%8C%BA%E5%8C%97%E6%B1%9F%E5%8F%A3</v>
      </c>
      <c r="E927" t="str">
        <f t="shared" si="62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927" cm="1">
        <f t="array" ref="F927">INDEX(_xlfn.FILTERXML(E927,"//latitude"),1)</f>
        <v>34.758991000000002</v>
      </c>
      <c r="G927" cm="1">
        <f t="array" ref="G927">INDEX(_xlfn.FILTERXML(E927,"//longitude"),1)</f>
        <v>135.54148900000001</v>
      </c>
      <c r="H927">
        <v>34.758991000000002</v>
      </c>
      <c r="I927">
        <v>135.54148900000001</v>
      </c>
    </row>
    <row r="928" spans="1:9" x14ac:dyDescent="0.4">
      <c r="A928" t="s">
        <v>9</v>
      </c>
      <c r="B928" t="s">
        <v>1062</v>
      </c>
      <c r="C928" t="str">
        <f t="shared" si="60"/>
        <v>東京都新宿区西新宿</v>
      </c>
      <c r="D928" s="2" t="str">
        <f t="shared" si="61"/>
        <v>http://geocode.csis.u-tokyo.ac.jp/cgi-bin/simple_geocode.cgi?charset=UTF8&amp;addr=%E6%9D%B1%E4%BA%AC%E9%83%BD%E6%96%B0%E5%AE%BF%E5%8C%BA%E8%A5%BF%E6%96%B0%E5%AE%BF</v>
      </c>
      <c r="E928" t="str">
        <f t="shared" si="62"/>
        <v xml:space="preserve">&lt;?xml version="1.0" encoding="UTF-8" ?&gt;
&lt;results&gt;
&lt;query&gt;東京都新宿区西新宿&lt;/query&gt;
&lt;geodetic&gt;wgs1984&lt;/geodetic&gt;
&lt;iConf&gt;5&lt;/iConf&gt;
&lt;converted&gt;東京都新宿区西新宿&lt;/converted&gt;
&lt;candidate&gt;
&lt;address&gt;東京都/新宿区/西新宿&lt;/address&gt;
&lt;longitude&gt;139.697495&lt;/longitude&gt;
&lt;latitude&gt;35.690384&lt;/latitude&gt;
&lt;iLvl&gt;5&lt;/iLvl&gt;
&lt;/candidate&gt;
&lt;/results&gt;
</v>
      </c>
      <c r="F928" cm="1">
        <f t="array" ref="F928">INDEX(_xlfn.FILTERXML(E928,"//latitude"),1)</f>
        <v>35.690384000000002</v>
      </c>
      <c r="G928" cm="1">
        <f t="array" ref="G928">INDEX(_xlfn.FILTERXML(E928,"//longitude"),1)</f>
        <v>139.697495</v>
      </c>
      <c r="H928">
        <v>35.690384000000002</v>
      </c>
      <c r="I928">
        <v>139.697495</v>
      </c>
    </row>
    <row r="929" spans="1:9" x14ac:dyDescent="0.4">
      <c r="A929" t="s">
        <v>14</v>
      </c>
      <c r="B929" t="s">
        <v>199</v>
      </c>
      <c r="C929" t="str">
        <f t="shared" si="60"/>
        <v>広島県福山市久松台一丁目</v>
      </c>
      <c r="D929" s="2" t="str">
        <f t="shared" si="61"/>
        <v>http://geocode.csis.u-tokyo.ac.jp/cgi-bin/simple_geocode.cgi?charset=UTF8&amp;addr=%E5%BA%83%E5%B3%B6%E7%9C%8C%E7%A6%8F%E5%B1%B1%E5%B8%82%E4%B9%85%E6%9D%BE%E5%8F%B0%E4%B8%80%E4%B8%81%E7%9B%AE</v>
      </c>
      <c r="E929" t="str">
        <f t="shared" si="62"/>
        <v xml:space="preserve">&lt;?xml version="1.0" encoding="UTF-8" ?&gt;
&lt;results&gt;
&lt;query&gt;広島県福山市久松台一丁目&lt;/query&gt;
&lt;geodetic&gt;wgs1984&lt;/geodetic&gt;
&lt;iConf&gt;5&lt;/iConf&gt;
&lt;converted&gt;広島県福山市久松台一丁目&lt;/converted&gt;
&lt;candidate&gt;
&lt;address&gt;広島県/福山市/久松台/一丁目&lt;/address&gt;
&lt;longitude&gt;133.358032&lt;/longitude&gt;
&lt;latitude&gt;34.502766&lt;/latitude&gt;
&lt;iLvl&gt;6&lt;/iLvl&gt;
&lt;/candidate&gt;
&lt;/results&gt;
</v>
      </c>
      <c r="F929" cm="1">
        <f t="array" ref="F929">INDEX(_xlfn.FILTERXML(E929,"//latitude"),1)</f>
        <v>34.502766000000001</v>
      </c>
      <c r="G929" cm="1">
        <f t="array" ref="G929">INDEX(_xlfn.FILTERXML(E929,"//longitude"),1)</f>
        <v>133.35803200000001</v>
      </c>
      <c r="H929">
        <v>34.502766000000001</v>
      </c>
      <c r="I929">
        <v>133.35803200000001</v>
      </c>
    </row>
    <row r="930" spans="1:9" x14ac:dyDescent="0.4">
      <c r="A930" t="s">
        <v>9</v>
      </c>
      <c r="B930" t="s">
        <v>382</v>
      </c>
      <c r="C930" t="str">
        <f t="shared" si="60"/>
        <v>東京都大田区大森東</v>
      </c>
      <c r="D930" s="2" t="str">
        <f t="shared" si="61"/>
        <v>http://geocode.csis.u-tokyo.ac.jp/cgi-bin/simple_geocode.cgi?charset=UTF8&amp;addr=%E6%9D%B1%E4%BA%AC%E9%83%BD%E5%A4%A7%E7%94%B0%E5%8C%BA%E5%A4%A7%E6%A3%AE%E6%9D%B1</v>
      </c>
      <c r="E930" t="str">
        <f t="shared" si="62"/>
        <v xml:space="preserve">&lt;?xml version="1.0" encoding="UTF-8" ?&gt;
&lt;results&gt;
&lt;query&gt;東京都大田区大森東&lt;/query&gt;
&lt;geodetic&gt;wgs1984&lt;/geodetic&gt;
&lt;iConf&gt;5&lt;/iConf&gt;
&lt;converted&gt;東京都大田区大森東&lt;/converted&gt;
&lt;candidate&gt;
&lt;address&gt;東京都/大田区/大森東&lt;/address&gt;
&lt;longitude&gt;139.738647&lt;/longitude&gt;
&lt;latitude&gt;35.576500&lt;/latitude&gt;
&lt;iLvl&gt;5&lt;/iLvl&gt;
&lt;/candidate&gt;
&lt;/results&gt;
</v>
      </c>
      <c r="F930" cm="1">
        <f t="array" ref="F930">INDEX(_xlfn.FILTERXML(E930,"//latitude"),1)</f>
        <v>35.576500000000003</v>
      </c>
      <c r="G930" cm="1">
        <f t="array" ref="G930">INDEX(_xlfn.FILTERXML(E930,"//longitude"),1)</f>
        <v>139.73864699999999</v>
      </c>
      <c r="H930">
        <v>35.576500000000003</v>
      </c>
      <c r="I930">
        <v>139.73864699999999</v>
      </c>
    </row>
    <row r="931" spans="1:9" x14ac:dyDescent="0.4">
      <c r="A931" t="s">
        <v>13</v>
      </c>
      <c r="B931" t="s">
        <v>383</v>
      </c>
      <c r="C931" t="str">
        <f t="shared" si="60"/>
        <v>埼玉県加須市土手１丁目</v>
      </c>
      <c r="D931" s="2" t="str">
        <f t="shared" si="61"/>
        <v>http://geocode.csis.u-tokyo.ac.jp/cgi-bin/simple_geocode.cgi?charset=UTF8&amp;addr=%E5%9F%BC%E7%8E%89%E7%9C%8C%E5%8A%A0%E9%A0%88%E5%B8%82%E5%9C%9F%E6%89%8B%EF%BC%91%E4%B8%81%E7%9B%AE</v>
      </c>
      <c r="E931" t="str">
        <f t="shared" si="62"/>
        <v xml:space="preserve">&lt;?xml version="1.0" encoding="UTF-8" ?&gt;
&lt;results&gt;
&lt;query&gt;埼玉県加須市土手１丁目&lt;/query&gt;
&lt;geodetic&gt;wgs1984&lt;/geodetic&gt;
&lt;iConf&gt;5&lt;/iConf&gt;
&lt;converted&gt;埼玉県加須市土手１丁目&lt;/converted&gt;
&lt;candidate&gt;
&lt;address&gt;埼玉県/加須市/土手/一丁目&lt;/address&gt;
&lt;longitude&gt;139.594116&lt;/longitude&gt;
&lt;latitude&gt;36.126339&lt;/latitude&gt;
&lt;iLvl&gt;6&lt;/iLvl&gt;
&lt;/candidate&gt;
&lt;/results&gt;
</v>
      </c>
      <c r="F931" cm="1">
        <f t="array" ref="F931">INDEX(_xlfn.FILTERXML(E931,"//latitude"),1)</f>
        <v>36.126339000000002</v>
      </c>
      <c r="G931" cm="1">
        <f t="array" ref="G931">INDEX(_xlfn.FILTERXML(E931,"//longitude"),1)</f>
        <v>139.59411600000001</v>
      </c>
      <c r="H931">
        <v>36.126339000000002</v>
      </c>
      <c r="I931">
        <v>139.59411600000001</v>
      </c>
    </row>
    <row r="932" spans="1:9" x14ac:dyDescent="0.4">
      <c r="A932" t="s">
        <v>13</v>
      </c>
      <c r="B932" t="s">
        <v>383</v>
      </c>
      <c r="C932" t="str">
        <f t="shared" si="60"/>
        <v>埼玉県加須市土手１丁目</v>
      </c>
      <c r="D932" s="2" t="str">
        <f t="shared" si="61"/>
        <v>http://geocode.csis.u-tokyo.ac.jp/cgi-bin/simple_geocode.cgi?charset=UTF8&amp;addr=%E5%9F%BC%E7%8E%89%E7%9C%8C%E5%8A%A0%E9%A0%88%E5%B8%82%E5%9C%9F%E6%89%8B%EF%BC%91%E4%B8%81%E7%9B%AE</v>
      </c>
      <c r="E932" t="str">
        <f t="shared" si="62"/>
        <v xml:space="preserve">&lt;?xml version="1.0" encoding="UTF-8" ?&gt;
&lt;results&gt;
&lt;query&gt;埼玉県加須市土手１丁目&lt;/query&gt;
&lt;geodetic&gt;wgs1984&lt;/geodetic&gt;
&lt;iConf&gt;5&lt;/iConf&gt;
&lt;converted&gt;埼玉県加須市土手１丁目&lt;/converted&gt;
&lt;candidate&gt;
&lt;address&gt;埼玉県/加須市/土手/一丁目&lt;/address&gt;
&lt;longitude&gt;139.594116&lt;/longitude&gt;
&lt;latitude&gt;36.126339&lt;/latitude&gt;
&lt;iLvl&gt;6&lt;/iLvl&gt;
&lt;/candidate&gt;
&lt;/results&gt;
</v>
      </c>
      <c r="F932" cm="1">
        <f t="array" ref="F932">INDEX(_xlfn.FILTERXML(E932,"//latitude"),1)</f>
        <v>36.126339000000002</v>
      </c>
      <c r="G932" cm="1">
        <f t="array" ref="G932">INDEX(_xlfn.FILTERXML(E932,"//longitude"),1)</f>
        <v>139.59411600000001</v>
      </c>
      <c r="H932">
        <v>36.126339000000002</v>
      </c>
      <c r="I932">
        <v>139.59411600000001</v>
      </c>
    </row>
    <row r="933" spans="1:9" x14ac:dyDescent="0.4">
      <c r="A933" t="s">
        <v>9</v>
      </c>
      <c r="B933" t="s">
        <v>223</v>
      </c>
      <c r="C933" t="str">
        <f t="shared" si="60"/>
        <v>東京都世田谷区</v>
      </c>
      <c r="D933" s="2" t="str">
        <f t="shared" si="61"/>
        <v>http://geocode.csis.u-tokyo.ac.jp/cgi-bin/simple_geocode.cgi?charset=UTF8&amp;addr=%E6%9D%B1%E4%BA%AC%E9%83%BD%E4%B8%96%E7%94%B0%E8%B0%B7%E5%8C%BA</v>
      </c>
      <c r="E933" t="str">
        <f t="shared" si="6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933" cm="1">
        <f t="array" ref="F933">INDEX(_xlfn.FILTERXML(E933,"//latitude"),1)</f>
        <v>35.646481000000001</v>
      </c>
      <c r="G933" cm="1">
        <f t="array" ref="G933">INDEX(_xlfn.FILTERXML(E933,"//longitude"),1)</f>
        <v>139.65321399999999</v>
      </c>
      <c r="H933">
        <v>35.646481000000001</v>
      </c>
      <c r="I933">
        <v>139.65321399999999</v>
      </c>
    </row>
    <row r="934" spans="1:9" x14ac:dyDescent="0.4">
      <c r="A934" t="s">
        <v>114</v>
      </c>
      <c r="B934" t="s">
        <v>384</v>
      </c>
      <c r="C934" t="str">
        <f t="shared" si="60"/>
        <v>福島県いわき市小名浜玉川町南</v>
      </c>
      <c r="D934" s="2" t="str">
        <f t="shared" si="61"/>
        <v>http://geocode.csis.u-tokyo.ac.jp/cgi-bin/simple_geocode.cgi?charset=UTF8&amp;addr=%E7%A6%8F%E5%B3%B6%E7%9C%8C%E3%81%84%E3%82%8F%E3%81%8D%E5%B8%82%E5%B0%8F%E5%90%8D%E6%B5%9C%E7%8E%89%E5%B7%9D%E7%94%BA%E5%8D%97</v>
      </c>
      <c r="E934" t="str">
        <f t="shared" si="62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934" cm="1">
        <f t="array" ref="F934">INDEX(_xlfn.FILTERXML(E934,"//latitude"),1)</f>
        <v>36.984408999999999</v>
      </c>
      <c r="G934" cm="1">
        <f t="array" ref="G934">INDEX(_xlfn.FILTERXML(E934,"//longitude"),1)</f>
        <v>140.88294999999999</v>
      </c>
      <c r="H934">
        <v>36.984408999999999</v>
      </c>
      <c r="I934">
        <v>140.88294999999999</v>
      </c>
    </row>
    <row r="935" spans="1:9" x14ac:dyDescent="0.4">
      <c r="A935" t="s">
        <v>21</v>
      </c>
      <c r="B935" t="s">
        <v>385</v>
      </c>
      <c r="C935" t="str">
        <f t="shared" si="60"/>
        <v>福岡県福岡市中央区小笹</v>
      </c>
      <c r="D935" s="2" t="str">
        <f t="shared" si="61"/>
        <v>http://geocode.csis.u-tokyo.ac.jp/cgi-bin/simple_geocode.cgi?charset=UTF8&amp;addr=%E7%A6%8F%E5%B2%A1%E7%9C%8C%E7%A6%8F%E5%B2%A1%E5%B8%82%E4%B8%AD%E5%A4%AE%E5%8C%BA%E5%B0%8F%E7%AC%B9</v>
      </c>
      <c r="E935" t="str">
        <f t="shared" si="62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935" cm="1">
        <f t="array" ref="F935">INDEX(_xlfn.FILTERXML(E935,"//latitude"),1)</f>
        <v>33.562201999999999</v>
      </c>
      <c r="G935" cm="1">
        <f t="array" ref="G935">INDEX(_xlfn.FILTERXML(E935,"//longitude"),1)</f>
        <v>130.391098</v>
      </c>
      <c r="H935">
        <v>33.562201999999999</v>
      </c>
      <c r="I935">
        <v>130.391098</v>
      </c>
    </row>
    <row r="936" spans="1:9" x14ac:dyDescent="0.4">
      <c r="A936" t="s">
        <v>118</v>
      </c>
      <c r="B936" t="s">
        <v>386</v>
      </c>
      <c r="C936" t="str">
        <f t="shared" si="60"/>
        <v>北海道札幌市中央区</v>
      </c>
      <c r="D936" s="2" t="str">
        <f t="shared" si="61"/>
        <v>http://geocode.csis.u-tokyo.ac.jp/cgi-bin/simple_geocode.cgi?charset=UTF8&amp;addr=%E5%8C%97%E6%B5%B7%E9%81%93%E6%9C%AD%E5%B9%8C%E5%B8%82%E4%B8%AD%E5%A4%AE%E5%8C%BA</v>
      </c>
      <c r="E936" t="str">
        <f t="shared" si="62"/>
        <v xml:space="preserve">&lt;?xml version="1.0" encoding="UTF-8" ?&gt;
&lt;results&gt;
&lt;query&gt;北海道札幌市中央区&lt;/query&gt;
&lt;geodetic&gt;wgs1984&lt;/geodetic&gt;
&lt;iConf&gt;5&lt;/iConf&gt;
&lt;converted&gt;北海道札幌市中央区&lt;/converted&gt;
&lt;candidate&gt;
&lt;address&gt;北海道/札幌市/中央区&lt;/address&gt;
&lt;longitude&gt;141.341003&lt;/longitude&gt;
&lt;latitude&gt;43.055359&lt;/latitude&gt;
&lt;iLvl&gt;4&lt;/iLvl&gt;
&lt;/candidate&gt;
&lt;/results&gt;
</v>
      </c>
      <c r="F936" cm="1">
        <f t="array" ref="F936">INDEX(_xlfn.FILTERXML(E936,"//latitude"),1)</f>
        <v>43.055359000000003</v>
      </c>
      <c r="G936" cm="1">
        <f t="array" ref="G936">INDEX(_xlfn.FILTERXML(E936,"//longitude"),1)</f>
        <v>141.341003</v>
      </c>
      <c r="H936">
        <v>43.055359000000003</v>
      </c>
      <c r="I936">
        <v>141.341003</v>
      </c>
    </row>
    <row r="937" spans="1:9" x14ac:dyDescent="0.4">
      <c r="A937" t="s">
        <v>10</v>
      </c>
      <c r="B937" t="s">
        <v>387</v>
      </c>
      <c r="C937" t="str">
        <f t="shared" si="60"/>
        <v>神奈川県横浜市保土ケ谷区</v>
      </c>
      <c r="D937" s="2" t="str">
        <f t="shared" si="61"/>
        <v>http://geocode.csis.u-tokyo.ac.jp/cgi-bin/simple_geocode.cgi?charset=UTF8&amp;addr=%E7%A5%9E%E5%A5%88%E5%B7%9D%E7%9C%8C%E6%A8%AA%E6%B5%9C%E5%B8%82%E4%BF%9D%E5%9C%9F%E3%82%B1%E8%B0%B7%E5%8C%BA</v>
      </c>
      <c r="E937" t="str">
        <f t="shared" si="62"/>
        <v xml:space="preserve">&lt;?xml version="1.0" encoding="UTF-8" ?&gt;
&lt;results&gt;
&lt;query&gt;神奈川県横浜市保土ケ谷区&lt;/query&gt;
&lt;geodetic&gt;wgs1984&lt;/geodetic&gt;
&lt;iConf&gt;5&lt;/iConf&gt;
&lt;converted&gt;神奈川県横浜市保土ケ谷区&lt;/converted&gt;
&lt;candidate&gt;
&lt;address&gt;神奈川県/横浜市/保土ケ谷区&lt;/address&gt;
&lt;longitude&gt;139.596024&lt;/longitude&gt;
&lt;latitude&gt;35.459854&lt;/latitude&gt;
&lt;iLvl&gt;4&lt;/iLvl&gt;
&lt;/candidate&gt;
&lt;/results&gt;
</v>
      </c>
      <c r="F937" cm="1">
        <f t="array" ref="F937">INDEX(_xlfn.FILTERXML(E937,"//latitude"),1)</f>
        <v>35.459854</v>
      </c>
      <c r="G937" cm="1">
        <f t="array" ref="G937">INDEX(_xlfn.FILTERXML(E937,"//longitude"),1)</f>
        <v>139.596024</v>
      </c>
      <c r="H937">
        <v>35.459854</v>
      </c>
      <c r="I937">
        <v>139.596024</v>
      </c>
    </row>
    <row r="938" spans="1:9" x14ac:dyDescent="0.4">
      <c r="A938" t="s">
        <v>9</v>
      </c>
      <c r="B938" t="s">
        <v>129</v>
      </c>
      <c r="C938" t="str">
        <f t="shared" si="60"/>
        <v>東京都江東区亀戸</v>
      </c>
      <c r="D938" s="2" t="str">
        <f t="shared" si="61"/>
        <v>http://geocode.csis.u-tokyo.ac.jp/cgi-bin/simple_geocode.cgi?charset=UTF8&amp;addr=%E6%9D%B1%E4%BA%AC%E9%83%BD%E6%B1%9F%E6%9D%B1%E5%8C%BA%E4%BA%80%E6%88%B8</v>
      </c>
      <c r="E938" t="str">
        <f t="shared" si="62"/>
        <v xml:space="preserve">&lt;?xml version="1.0" encoding="UTF-8" ?&gt;
&lt;results&gt;
&lt;query&gt;東京都江東区亀戸&lt;/query&gt;
&lt;geodetic&gt;wgs1984&lt;/geodetic&gt;
&lt;iConf&gt;5&lt;/iConf&gt;
&lt;converted&gt;東京都江東区亀戸&lt;/converted&gt;
&lt;candidate&gt;
&lt;address&gt;東京都/江東区/亀戸&lt;/address&gt;
&lt;longitude&gt;139.822693&lt;/longitude&gt;
&lt;latitude&gt;35.695595&lt;/latitude&gt;
&lt;iLvl&gt;5&lt;/iLvl&gt;
&lt;/candidate&gt;
&lt;/results&gt;
</v>
      </c>
      <c r="F938" cm="1">
        <f t="array" ref="F938">INDEX(_xlfn.FILTERXML(E938,"//latitude"),1)</f>
        <v>35.695594999999997</v>
      </c>
      <c r="G938" cm="1">
        <f t="array" ref="G938">INDEX(_xlfn.FILTERXML(E938,"//longitude"),1)</f>
        <v>139.82269299999999</v>
      </c>
      <c r="H938">
        <v>35.695594999999997</v>
      </c>
      <c r="I938">
        <v>139.82269299999999</v>
      </c>
    </row>
    <row r="939" spans="1:9" x14ac:dyDescent="0.4">
      <c r="A939" t="s">
        <v>24</v>
      </c>
      <c r="B939" t="s">
        <v>207</v>
      </c>
      <c r="C939" t="str">
        <f t="shared" si="60"/>
        <v>栃木県芳賀郡益子町七井中央</v>
      </c>
      <c r="D939" s="2" t="str">
        <f t="shared" si="61"/>
        <v>http://geocode.csis.u-tokyo.ac.jp/cgi-bin/simple_geocode.cgi?charset=UTF8&amp;addr=%E6%A0%83%E6%9C%A8%E7%9C%8C%E8%8A%B3%E8%B3%80%E9%83%A1%E7%9B%8A%E5%AD%90%E7%94%BA%E4%B8%83%E4%BA%95%E4%B8%AD%E5%A4%AE</v>
      </c>
      <c r="E939" t="str">
        <f t="shared" si="62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939" cm="1">
        <f t="array" ref="F939">INDEX(_xlfn.FILTERXML(E939,"//latitude"),1)</f>
        <v>36.491073999999998</v>
      </c>
      <c r="G939" cm="1">
        <f t="array" ref="G939">INDEX(_xlfn.FILTERXML(E939,"//longitude"),1)</f>
        <v>140.09751900000001</v>
      </c>
      <c r="H939">
        <v>36.491073999999998</v>
      </c>
      <c r="I939">
        <v>140.09751900000001</v>
      </c>
    </row>
    <row r="940" spans="1:9" x14ac:dyDescent="0.4">
      <c r="A940" t="s">
        <v>114</v>
      </c>
      <c r="B940" t="s">
        <v>388</v>
      </c>
      <c r="C940" t="str">
        <f t="shared" si="60"/>
        <v>福島県福島市</v>
      </c>
      <c r="D940" s="2" t="str">
        <f t="shared" si="61"/>
        <v>http://geocode.csis.u-tokyo.ac.jp/cgi-bin/simple_geocode.cgi?charset=UTF8&amp;addr=%E7%A6%8F%E5%B3%B6%E7%9C%8C%E7%A6%8F%E5%B3%B6%E5%B8%82</v>
      </c>
      <c r="E940" t="str">
        <f t="shared" si="62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940" cm="1">
        <f t="array" ref="F940">INDEX(_xlfn.FILTERXML(E940,"//latitude"),1)</f>
        <v>37.760756999999998</v>
      </c>
      <c r="G940" cm="1">
        <f t="array" ref="G940">INDEX(_xlfn.FILTERXML(E940,"//longitude"),1)</f>
        <v>140.47326699999999</v>
      </c>
      <c r="H940">
        <v>37.760756999999998</v>
      </c>
      <c r="I940">
        <v>140.47326699999999</v>
      </c>
    </row>
    <row r="941" spans="1:9" x14ac:dyDescent="0.4">
      <c r="A941" t="s">
        <v>10</v>
      </c>
      <c r="B941" t="s">
        <v>117</v>
      </c>
      <c r="C941" t="str">
        <f t="shared" si="60"/>
        <v>神奈川県平塚市</v>
      </c>
      <c r="D941" s="2" t="str">
        <f t="shared" si="61"/>
        <v>http://geocode.csis.u-tokyo.ac.jp/cgi-bin/simple_geocode.cgi?charset=UTF8&amp;addr=%E7%A5%9E%E5%A5%88%E5%B7%9D%E7%9C%8C%E5%B9%B3%E5%A1%9A%E5%B8%82</v>
      </c>
      <c r="E941" t="str">
        <f t="shared" si="62"/>
        <v xml:space="preserve">&lt;?xml version="1.0" encoding="UTF-8" ?&gt;
&lt;results&gt;
&lt;query&gt;神奈川県平塚市&lt;/query&gt;
&lt;geodetic&gt;wgs1984&lt;/geodetic&gt;
&lt;iConf&gt;5&lt;/iConf&gt;
&lt;converted&gt;神奈川県平塚市&lt;/converted&gt;
&lt;candidate&gt;
&lt;address&gt;神奈川県/平塚市&lt;/address&gt;
&lt;longitude&gt;139.349411&lt;/longitude&gt;
&lt;latitude&gt;35.335503&lt;/latitude&gt;
&lt;iLvl&gt;3&lt;/iLvl&gt;
&lt;/candidate&gt;
&lt;/results&gt;
</v>
      </c>
      <c r="F941" cm="1">
        <f t="array" ref="F941">INDEX(_xlfn.FILTERXML(E941,"//latitude"),1)</f>
        <v>35.335503000000003</v>
      </c>
      <c r="G941" cm="1">
        <f t="array" ref="G941">INDEX(_xlfn.FILTERXML(E941,"//longitude"),1)</f>
        <v>139.349411</v>
      </c>
      <c r="H941">
        <v>35.335503000000003</v>
      </c>
      <c r="I941">
        <v>139.349411</v>
      </c>
    </row>
    <row r="942" spans="1:9" x14ac:dyDescent="0.4">
      <c r="A942" t="s">
        <v>26</v>
      </c>
      <c r="B942" t="s">
        <v>389</v>
      </c>
      <c r="C942" t="str">
        <f t="shared" si="60"/>
        <v>京都府南丹市園部町横田7号</v>
      </c>
      <c r="D942" s="2" t="str">
        <f t="shared" si="61"/>
        <v>http://geocode.csis.u-tokyo.ac.jp/cgi-bin/simple_geocode.cgi?charset=UTF8&amp;addr=%E4%BA%AC%E9%83%BD%E5%BA%9C%E5%8D%97%E4%B8%B9%E5%B8%82%E5%9C%92%E9%83%A8%E7%94%BA%E6%A8%AA%E7%94%B07%E5%8F%B7</v>
      </c>
      <c r="E942" t="str">
        <f t="shared" si="62"/>
        <v xml:space="preserve">&lt;?xml version="1.0" encoding="UTF-8" ?&gt;
&lt;results&gt;
&lt;query&gt;京都府南丹市園部町横田7号&lt;/query&gt;
&lt;geodetic&gt;wgs1984&lt;/geodetic&gt;
&lt;iConf&gt;5&lt;/iConf&gt;
&lt;converted&gt;京都府南丹市園部町横田7号&lt;/converted&gt;
&lt;candidate&gt;
&lt;address&gt;京都府/南丹市/園部町横田/七号&lt;/address&gt;
&lt;longitude&gt;135.457916&lt;/longitude&gt;
&lt;latitude&gt;35.103794&lt;/latitude&gt;
&lt;iLvl&gt;6&lt;/iLvl&gt;
&lt;/candidate&gt;
&lt;/results&gt;
</v>
      </c>
      <c r="F942" cm="1">
        <f t="array" ref="F942">INDEX(_xlfn.FILTERXML(E942,"//latitude"),1)</f>
        <v>35.103794000000001</v>
      </c>
      <c r="G942" cm="1">
        <f t="array" ref="G942">INDEX(_xlfn.FILTERXML(E942,"//longitude"),1)</f>
        <v>135.45791600000001</v>
      </c>
      <c r="H942">
        <v>35.103794000000001</v>
      </c>
      <c r="I942">
        <v>135.45791600000001</v>
      </c>
    </row>
    <row r="943" spans="1:9" x14ac:dyDescent="0.4">
      <c r="A943" t="s">
        <v>9</v>
      </c>
      <c r="B943" t="s">
        <v>254</v>
      </c>
      <c r="C943" t="str">
        <f t="shared" si="60"/>
        <v>東京都杉並区上井草</v>
      </c>
      <c r="D943" s="2" t="str">
        <f t="shared" si="61"/>
        <v>http://geocode.csis.u-tokyo.ac.jp/cgi-bin/simple_geocode.cgi?charset=UTF8&amp;addr=%E6%9D%B1%E4%BA%AC%E9%83%BD%E6%9D%89%E4%B8%A6%E5%8C%BA%E4%B8%8A%E4%BA%95%E8%8D%89</v>
      </c>
      <c r="E943" t="str">
        <f t="shared" si="62"/>
        <v xml:space="preserve">&lt;?xml version="1.0" encoding="UTF-8" ?&gt;
&lt;results&gt;
&lt;query&gt;東京都杉並区上井草&lt;/query&gt;
&lt;geodetic&gt;wgs1984&lt;/geodetic&gt;
&lt;iConf&gt;5&lt;/iConf&gt;
&lt;converted&gt;東京都杉並区上井草&lt;/converted&gt;
&lt;candidate&gt;
&lt;address&gt;東京都/杉並区/上井草&lt;/address&gt;
&lt;longitude&gt;139.612335&lt;/longitude&gt;
&lt;latitude&gt;35.722038&lt;/latitude&gt;
&lt;iLvl&gt;5&lt;/iLvl&gt;
&lt;/candidate&gt;
&lt;/results&gt;
</v>
      </c>
      <c r="F943" cm="1">
        <f t="array" ref="F943">INDEX(_xlfn.FILTERXML(E943,"//latitude"),1)</f>
        <v>35.722037999999998</v>
      </c>
      <c r="G943" cm="1">
        <f t="array" ref="G943">INDEX(_xlfn.FILTERXML(E943,"//longitude"),1)</f>
        <v>139.612335</v>
      </c>
      <c r="H943">
        <v>35.722037999999998</v>
      </c>
      <c r="I943">
        <v>139.612335</v>
      </c>
    </row>
    <row r="944" spans="1:9" x14ac:dyDescent="0.4">
      <c r="A944" t="s">
        <v>15</v>
      </c>
      <c r="B944" t="s">
        <v>390</v>
      </c>
      <c r="C944" t="str">
        <f t="shared" si="60"/>
        <v>兵庫県神戸市東灘区本山南町</v>
      </c>
      <c r="D944" s="2" t="str">
        <f t="shared" si="61"/>
        <v>http://geocode.csis.u-tokyo.ac.jp/cgi-bin/simple_geocode.cgi?charset=UTF8&amp;addr=%E5%85%B5%E5%BA%AB%E7%9C%8C%E7%A5%9E%E6%88%B8%E5%B8%82%E6%9D%B1%E7%81%98%E5%8C%BA%E6%9C%AC%E5%B1%B1%E5%8D%97%E7%94%BA</v>
      </c>
      <c r="E944" t="str">
        <f t="shared" si="62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944" cm="1">
        <f t="array" ref="F944">INDEX(_xlfn.FILTERXML(E944,"//latitude"),1)</f>
        <v>34.723492</v>
      </c>
      <c r="G944" cm="1">
        <f t="array" ref="G944">INDEX(_xlfn.FILTERXML(E944,"//longitude"),1)</f>
        <v>135.287949</v>
      </c>
      <c r="H944">
        <v>34.723492</v>
      </c>
      <c r="I944">
        <v>135.287949</v>
      </c>
    </row>
    <row r="945" spans="1:9" x14ac:dyDescent="0.4">
      <c r="A945" t="s">
        <v>11</v>
      </c>
      <c r="B945" t="s">
        <v>391</v>
      </c>
      <c r="C945" t="str">
        <f t="shared" si="60"/>
        <v>大阪府大阪市東成区大今里</v>
      </c>
      <c r="D945" s="2" t="str">
        <f t="shared" si="61"/>
        <v>http://geocode.csis.u-tokyo.ac.jp/cgi-bin/simple_geocode.cgi?charset=UTF8&amp;addr=%E5%A4%A7%E9%98%AA%E5%BA%9C%E5%A4%A7%E9%98%AA%E5%B8%82%E6%9D%B1%E6%88%90%E5%8C%BA%E5%A4%A7%E4%BB%8A%E9%87%8C</v>
      </c>
      <c r="E945" t="str">
        <f t="shared" si="62"/>
        <v xml:space="preserve">&lt;?xml version="1.0" encoding="UTF-8" ?&gt;
&lt;results&gt;
&lt;query&gt;大阪府大阪市東成区大今里&lt;/query&gt;
&lt;geodetic&gt;wgs1984&lt;/geodetic&gt;
&lt;iConf&gt;5&lt;/iConf&gt;
&lt;converted&gt;大阪府大阪市東成区大今里&lt;/converted&gt;
&lt;candidate&gt;
&lt;address&gt;大阪府/大阪市/東成区/大今里&lt;/address&gt;
&lt;longitude&gt;135.545761&lt;/longitude&gt;
&lt;latitude&gt;34.672741&lt;/latitude&gt;
&lt;iLvl&gt;5&lt;/iLvl&gt;
&lt;/candidate&gt;
&lt;/results&gt;
</v>
      </c>
      <c r="F945" cm="1">
        <f t="array" ref="F945">INDEX(_xlfn.FILTERXML(E945,"//latitude"),1)</f>
        <v>34.672741000000002</v>
      </c>
      <c r="G945" cm="1">
        <f t="array" ref="G945">INDEX(_xlfn.FILTERXML(E945,"//longitude"),1)</f>
        <v>135.545761</v>
      </c>
      <c r="H945">
        <v>34.672741000000002</v>
      </c>
      <c r="I945">
        <v>135.545761</v>
      </c>
    </row>
    <row r="946" spans="1:9" x14ac:dyDescent="0.4">
      <c r="A946" t="s">
        <v>24</v>
      </c>
      <c r="B946" t="s">
        <v>392</v>
      </c>
      <c r="C946" t="str">
        <f t="shared" si="60"/>
        <v>栃木県河内郡上三川町</v>
      </c>
      <c r="D946" s="2" t="str">
        <f t="shared" si="61"/>
        <v>http://geocode.csis.u-tokyo.ac.jp/cgi-bin/simple_geocode.cgi?charset=UTF8&amp;addr=%E6%A0%83%E6%9C%A8%E7%9C%8C%E6%B2%B3%E5%86%85%E9%83%A1%E4%B8%8A%E4%B8%89%E5%B7%9D%E7%94%BA</v>
      </c>
      <c r="E946" t="str">
        <f t="shared" si="62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946" cm="1">
        <f t="array" ref="F946">INDEX(_xlfn.FILTERXML(E946,"//latitude"),1)</f>
        <v>36.439266000000003</v>
      </c>
      <c r="G946" cm="1">
        <f t="array" ref="G946">INDEX(_xlfn.FILTERXML(E946,"//longitude"),1)</f>
        <v>139.91021699999999</v>
      </c>
      <c r="H946">
        <v>36.439266000000003</v>
      </c>
      <c r="I946">
        <v>139.91021699999999</v>
      </c>
    </row>
    <row r="947" spans="1:9" x14ac:dyDescent="0.4">
      <c r="A947" t="s">
        <v>17</v>
      </c>
      <c r="B947" t="s">
        <v>92</v>
      </c>
      <c r="C947" t="str">
        <f t="shared" si="60"/>
        <v>愛知県豊橋市曙町字若松</v>
      </c>
      <c r="D947" s="2" t="str">
        <f t="shared" si="61"/>
        <v>http://geocode.csis.u-tokyo.ac.jp/cgi-bin/simple_geocode.cgi?charset=UTF8&amp;addr=%E6%84%9B%E7%9F%A5%E7%9C%8C%E8%B1%8A%E6%A9%8B%E5%B8%82%E6%9B%99%E7%94%BA%E5%AD%97%E8%8B%A5%E6%9D%BE</v>
      </c>
      <c r="E947" t="str">
        <f t="shared" si="62"/>
        <v xml:space="preserve">&lt;?xml version="1.0" encoding="UTF-8" ?&gt;
&lt;results&gt;
&lt;query&gt;愛知県豊橋市曙町字若松&lt;/query&gt;
&lt;geodetic&gt;wgs1984&lt;/geodetic&gt;
&lt;iConf&gt;5&lt;/iConf&gt;
&lt;converted&gt;愛知県豊橋市曙町字若松&lt;/converted&gt;
&lt;candidate&gt;
&lt;address&gt;愛知県/豊橋市/曙町/若松&lt;/address&gt;
&lt;longitude&gt;137.395432&lt;/longitude&gt;
&lt;latitude&gt;34.728065&lt;/latitude&gt;
&lt;iLvl&gt;6&lt;/iLvl&gt;
&lt;/candidate&gt;
&lt;/results&gt;
</v>
      </c>
      <c r="F947" cm="1">
        <f t="array" ref="F947">INDEX(_xlfn.FILTERXML(E947,"//latitude"),1)</f>
        <v>34.728065000000001</v>
      </c>
      <c r="G947" cm="1">
        <f t="array" ref="G947">INDEX(_xlfn.FILTERXML(E947,"//longitude"),1)</f>
        <v>137.395432</v>
      </c>
      <c r="H947">
        <v>34.728065000000001</v>
      </c>
      <c r="I947">
        <v>137.395432</v>
      </c>
    </row>
    <row r="948" spans="1:9" x14ac:dyDescent="0.4">
      <c r="A948" t="s">
        <v>23</v>
      </c>
      <c r="B948" t="s">
        <v>393</v>
      </c>
      <c r="C948" t="str">
        <f t="shared" si="60"/>
        <v>宮城県富谷市明石台</v>
      </c>
      <c r="D948" s="2" t="str">
        <f t="shared" si="61"/>
        <v>http://geocode.csis.u-tokyo.ac.jp/cgi-bin/simple_geocode.cgi?charset=UTF8&amp;addr=%E5%AE%AE%E5%9F%8E%E7%9C%8C%E5%AF%8C%E8%B0%B7%E5%B8%82%E6%98%8E%E7%9F%B3%E5%8F%B0</v>
      </c>
      <c r="E948" t="str">
        <f t="shared" si="62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948" cm="1">
        <f t="array" ref="F948">INDEX(_xlfn.FILTERXML(E948,"//latitude"),1)</f>
        <v>38.344250000000002</v>
      </c>
      <c r="G948" cm="1">
        <f t="array" ref="G948">INDEX(_xlfn.FILTERXML(E948,"//longitude"),1)</f>
        <v>140.899216</v>
      </c>
      <c r="H948">
        <v>38.344250000000002</v>
      </c>
      <c r="I948">
        <v>140.899216</v>
      </c>
    </row>
    <row r="949" spans="1:9" x14ac:dyDescent="0.4">
      <c r="A949" t="s">
        <v>11</v>
      </c>
      <c r="B949" t="s">
        <v>44</v>
      </c>
      <c r="C949" t="str">
        <f t="shared" si="60"/>
        <v>大阪府池田市</v>
      </c>
      <c r="D949" s="2" t="str">
        <f t="shared" si="61"/>
        <v>http://geocode.csis.u-tokyo.ac.jp/cgi-bin/simple_geocode.cgi?charset=UTF8&amp;addr=%E5%A4%A7%E9%98%AA%E5%BA%9C%E6%B1%A0%E7%94%B0%E5%B8%82</v>
      </c>
      <c r="E949" t="str">
        <f t="shared" si="62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949" cm="1">
        <f t="array" ref="F949">INDEX(_xlfn.FILTERXML(E949,"//latitude"),1)</f>
        <v>34.821686</v>
      </c>
      <c r="G949" cm="1">
        <f t="array" ref="G949">INDEX(_xlfn.FILTERXML(E949,"//longitude"),1)</f>
        <v>135.42855800000001</v>
      </c>
      <c r="H949" s="3">
        <v>34.821686</v>
      </c>
      <c r="I949" s="3">
        <v>135.42855800000001</v>
      </c>
    </row>
    <row r="950" spans="1:9" x14ac:dyDescent="0.4">
      <c r="A950" t="s">
        <v>10</v>
      </c>
      <c r="B950" t="s">
        <v>394</v>
      </c>
      <c r="C950" t="str">
        <f t="shared" si="60"/>
        <v>神奈川県横浜市栄区桂台西</v>
      </c>
      <c r="D950" s="2" t="str">
        <f t="shared" si="61"/>
        <v>http://geocode.csis.u-tokyo.ac.jp/cgi-bin/simple_geocode.cgi?charset=UTF8&amp;addr=%E7%A5%9E%E5%A5%88%E5%B7%9D%E7%9C%8C%E6%A8%AA%E6%B5%9C%E5%B8%82%E6%A0%84%E5%8C%BA%E6%A1%82%E5%8F%B0%E8%A5%BF</v>
      </c>
      <c r="E950" t="str">
        <f t="shared" si="62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950" cm="1">
        <f t="array" ref="F950">INDEX(_xlfn.FILTERXML(E950,"//latitude"),1)</f>
        <v>35.358170000000001</v>
      </c>
      <c r="G950" cm="1">
        <f t="array" ref="G950">INDEX(_xlfn.FILTERXML(E950,"//longitude"),1)</f>
        <v>139.561646</v>
      </c>
      <c r="H950">
        <v>35.358170000000001</v>
      </c>
      <c r="I950">
        <v>139.561646</v>
      </c>
    </row>
    <row r="951" spans="1:9" x14ac:dyDescent="0.4">
      <c r="A951" t="s">
        <v>11</v>
      </c>
      <c r="B951" t="s">
        <v>395</v>
      </c>
      <c r="C951" t="str">
        <f t="shared" si="60"/>
        <v>大阪府箕面市西小路</v>
      </c>
      <c r="D951" s="2" t="str">
        <f t="shared" si="61"/>
        <v>http://geocode.csis.u-tokyo.ac.jp/cgi-bin/simple_geocode.cgi?charset=UTF8&amp;addr=%E5%A4%A7%E9%98%AA%E5%BA%9C%E7%AE%95%E9%9D%A2%E5%B8%82%E8%A5%BF%E5%B0%8F%E8%B7%AF</v>
      </c>
      <c r="E951" t="str">
        <f t="shared" si="62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951" cm="1">
        <f t="array" ref="F951">INDEX(_xlfn.FILTERXML(E951,"//latitude"),1)</f>
        <v>34.829231</v>
      </c>
      <c r="G951" cm="1">
        <f t="array" ref="G951">INDEX(_xlfn.FILTERXML(E951,"//longitude"),1)</f>
        <v>135.46665999999999</v>
      </c>
      <c r="H951">
        <v>34.829231</v>
      </c>
      <c r="I951">
        <v>135.46665999999999</v>
      </c>
    </row>
    <row r="952" spans="1:9" x14ac:dyDescent="0.4">
      <c r="A952" t="s">
        <v>18</v>
      </c>
      <c r="B952" t="s">
        <v>396</v>
      </c>
      <c r="C952" t="str">
        <f t="shared" si="60"/>
        <v>千葉県流山市南流山</v>
      </c>
      <c r="D952" s="2" t="str">
        <f t="shared" si="61"/>
        <v>http://geocode.csis.u-tokyo.ac.jp/cgi-bin/simple_geocode.cgi?charset=UTF8&amp;addr=%E5%8D%83%E8%91%89%E7%9C%8C%E6%B5%81%E5%B1%B1%E5%B8%82%E5%8D%97%E6%B5%81%E5%B1%B1</v>
      </c>
      <c r="E952" t="str">
        <f t="shared" si="62"/>
        <v xml:space="preserve">&lt;?xml version="1.0" encoding="UTF-8" ?&gt;
&lt;results&gt;
&lt;query&gt;千葉県流山市南流山&lt;/query&gt;
&lt;geodetic&gt;wgs1984&lt;/geodetic&gt;
&lt;iConf&gt;5&lt;/iConf&gt;
&lt;converted&gt;千葉県流山市南流山&lt;/converted&gt;
&lt;candidate&gt;
&lt;address&gt;千葉県/流山市/南流山&lt;/address&gt;
&lt;longitude&gt;139.906448&lt;/longitude&gt;
&lt;latitude&gt;35.837894&lt;/latitude&gt;
&lt;iLvl&gt;5&lt;/iLvl&gt;
&lt;/candidate&gt;
&lt;/results&gt;
</v>
      </c>
      <c r="F952" cm="1">
        <f t="array" ref="F952">INDEX(_xlfn.FILTERXML(E952,"//latitude"),1)</f>
        <v>35.837893999999999</v>
      </c>
      <c r="G952" cm="1">
        <f t="array" ref="G952">INDEX(_xlfn.FILTERXML(E952,"//longitude"),1)</f>
        <v>139.90644800000001</v>
      </c>
      <c r="H952">
        <v>35.837893999999999</v>
      </c>
      <c r="I952">
        <v>139.90644800000001</v>
      </c>
    </row>
    <row r="953" spans="1:9" x14ac:dyDescent="0.4">
      <c r="A953" t="s">
        <v>52</v>
      </c>
      <c r="B953" t="s">
        <v>397</v>
      </c>
      <c r="C953" t="str">
        <f t="shared" si="60"/>
        <v>徳島県阿南市津乃峰町</v>
      </c>
      <c r="D953" s="2" t="str">
        <f t="shared" si="61"/>
        <v>http://geocode.csis.u-tokyo.ac.jp/cgi-bin/simple_geocode.cgi?charset=UTF8&amp;addr=%E5%BE%B3%E5%B3%B6%E7%9C%8C%E9%98%BF%E5%8D%97%E5%B8%82%E6%B4%A5%E4%B9%83%E5%B3%B0%E7%94%BA</v>
      </c>
      <c r="E953" t="str">
        <f t="shared" si="62"/>
        <v xml:space="preserve">&lt;?xml version="1.0" encoding="UTF-8" ?&gt;
&lt;results&gt;
&lt;query&gt;徳島県阿南市津乃峰町&lt;/query&gt;
&lt;geodetic&gt;wgs1984&lt;/geodetic&gt;
&lt;iConf&gt;5&lt;/iConf&gt;
&lt;converted&gt;徳島県阿南市津乃峰町&lt;/converted&gt;
&lt;candidate&gt;
&lt;address&gt;徳島県/阿南市/津乃峰町&lt;/address&gt;
&lt;longitude&gt;134.650513&lt;/longitude&gt;
&lt;latitude&gt;33.888573&lt;/latitude&gt;
&lt;iLvl&gt;5&lt;/iLvl&gt;
&lt;/candidate&gt;
&lt;/results&gt;
</v>
      </c>
      <c r="F953" cm="1">
        <f t="array" ref="F953">INDEX(_xlfn.FILTERXML(E953,"//latitude"),1)</f>
        <v>33.888573000000001</v>
      </c>
      <c r="G953" cm="1">
        <f t="array" ref="G953">INDEX(_xlfn.FILTERXML(E953,"//longitude"),1)</f>
        <v>134.65051299999999</v>
      </c>
      <c r="H953">
        <v>33.888573000000001</v>
      </c>
      <c r="I953">
        <v>134.65051299999999</v>
      </c>
    </row>
    <row r="954" spans="1:9" x14ac:dyDescent="0.4">
      <c r="A954" t="s">
        <v>17</v>
      </c>
      <c r="B954" t="s">
        <v>398</v>
      </c>
      <c r="C954" t="str">
        <f t="shared" si="60"/>
        <v>愛知県小牧市東田中</v>
      </c>
      <c r="D954" s="2" t="str">
        <f t="shared" si="61"/>
        <v>http://geocode.csis.u-tokyo.ac.jp/cgi-bin/simple_geocode.cgi?charset=UTF8&amp;addr=%E6%84%9B%E7%9F%A5%E7%9C%8C%E5%B0%8F%E7%89%A7%E5%B8%82%E6%9D%B1%E7%94%B0%E4%B8%AD</v>
      </c>
      <c r="E954" t="str">
        <f t="shared" si="62"/>
        <v xml:space="preserve">&lt;?xml version="1.0" encoding="UTF-8" ?&gt;
&lt;results&gt;
&lt;query&gt;愛知県小牧市東田中&lt;/query&gt;
&lt;geodetic&gt;wgs1984&lt;/geodetic&gt;
&lt;iConf&gt;5&lt;/iConf&gt;
&lt;converted&gt;愛知県小牧市東田中&lt;/converted&gt;
&lt;candidate&gt;
&lt;address&gt;愛知県/小牧市/大字東田中&lt;/address&gt;
&lt;longitude&gt;136.946640&lt;/longitude&gt;
&lt;latitude&gt;35.298954&lt;/latitude&gt;
&lt;iLvl&gt;5&lt;/iLvl&gt;
&lt;/candidate&gt;
&lt;/results&gt;
</v>
      </c>
      <c r="F954" cm="1">
        <f t="array" ref="F954">INDEX(_xlfn.FILTERXML(E954,"//latitude"),1)</f>
        <v>35.298954000000002</v>
      </c>
      <c r="G954" cm="1">
        <f t="array" ref="G954">INDEX(_xlfn.FILTERXML(E954,"//longitude"),1)</f>
        <v>136.94664</v>
      </c>
      <c r="H954">
        <v>35.298954000000002</v>
      </c>
      <c r="I954">
        <v>136.94664</v>
      </c>
    </row>
    <row r="955" spans="1:9" x14ac:dyDescent="0.4">
      <c r="A955" t="s">
        <v>9</v>
      </c>
      <c r="B955" t="s">
        <v>399</v>
      </c>
      <c r="C955" t="str">
        <f t="shared" si="60"/>
        <v>東京都東村山市廻田町２－２９－４４</v>
      </c>
      <c r="D955" s="2" t="str">
        <f t="shared" si="61"/>
        <v>http://geocode.csis.u-tokyo.ac.jp/cgi-bin/simple_geocode.cgi?charset=UTF8&amp;addr=%E6%9D%B1%E4%BA%AC%E9%83%BD%E6%9D%B1%E6%9D%91%E5%B1%B1%E5%B8%82%E5%BB%BB%E7%94%B0%E7%94%BA%EF%BC%92%EF%BC%8D%EF%BC%92%EF%BC%99%EF%BC%8D%EF%BC%94%EF%BC%94</v>
      </c>
      <c r="E955" t="str">
        <f t="shared" si="62"/>
        <v xml:space="preserve">&lt;?xml version="1.0" encoding="UTF-8" ?&gt;
&lt;results&gt;
&lt;query&gt;東京都東村山市廻田町２−２９−４４&lt;/query&gt;
&lt;geodetic&gt;wgs1984&lt;/geodetic&gt;
&lt;iConf&gt;5&lt;/iConf&gt;
&lt;converted&gt;東京都東村山市廻田町２−２９−&lt;/converted&gt;
&lt;candidate&gt;
&lt;address&gt;東京都/東村山市/廻田町/二丁目/２９番&lt;/address&gt;
&lt;longitude&gt;139.447021&lt;/longitude&gt;
&lt;latitude&gt;35.754913&lt;/latitude&gt;
&lt;iLvl&gt;7&lt;/iLvl&gt;
&lt;/candidate&gt;
&lt;/results&gt;
</v>
      </c>
      <c r="F955" cm="1">
        <f t="array" ref="F955">INDEX(_xlfn.FILTERXML(E955,"//latitude"),1)</f>
        <v>35.754913000000002</v>
      </c>
      <c r="G955" cm="1">
        <f t="array" ref="G955">INDEX(_xlfn.FILTERXML(E955,"//longitude"),1)</f>
        <v>139.44702100000001</v>
      </c>
      <c r="H955">
        <v>35.754913000000002</v>
      </c>
      <c r="I955">
        <v>139.44702100000001</v>
      </c>
    </row>
    <row r="956" spans="1:9" x14ac:dyDescent="0.4">
      <c r="A956" t="s">
        <v>15</v>
      </c>
      <c r="B956" t="s">
        <v>180</v>
      </c>
      <c r="C956" t="str">
        <f t="shared" si="60"/>
        <v>兵庫県神戸市北区緑町</v>
      </c>
      <c r="D956" s="2" t="str">
        <f t="shared" si="61"/>
        <v>http://geocode.csis.u-tokyo.ac.jp/cgi-bin/simple_geocode.cgi?charset=UTF8&amp;addr=%E5%85%B5%E5%BA%AB%E7%9C%8C%E7%A5%9E%E6%88%B8%E5%B8%82%E5%8C%97%E5%8C%BA%E7%B7%91%E7%94%BA</v>
      </c>
      <c r="E956" t="str">
        <f t="shared" si="62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956" cm="1">
        <f t="array" ref="F956">INDEX(_xlfn.FILTERXML(E956,"//latitude"),1)</f>
        <v>34.746913999999997</v>
      </c>
      <c r="G956" cm="1">
        <f t="array" ref="G956">INDEX(_xlfn.FILTERXML(E956,"//longitude"),1)</f>
        <v>135.15309099999999</v>
      </c>
      <c r="H956">
        <v>34.746913999999997</v>
      </c>
      <c r="I956">
        <v>135.15309099999999</v>
      </c>
    </row>
    <row r="957" spans="1:9" x14ac:dyDescent="0.4">
      <c r="A957" t="s">
        <v>10</v>
      </c>
      <c r="B957" t="s">
        <v>75</v>
      </c>
      <c r="C957" t="str">
        <f t="shared" si="60"/>
        <v>神奈川県横浜市都筑区川和台</v>
      </c>
      <c r="D957" s="2" t="str">
        <f t="shared" si="61"/>
        <v>http://geocode.csis.u-tokyo.ac.jp/cgi-bin/simple_geocode.cgi?charset=UTF8&amp;addr=%E7%A5%9E%E5%A5%88%E5%B7%9D%E7%9C%8C%E6%A8%AA%E6%B5%9C%E5%B8%82%E9%83%BD%E7%AD%91%E5%8C%BA%E5%B7%9D%E5%92%8C%E5%8F%B0</v>
      </c>
      <c r="E957" t="str">
        <f t="shared" si="62"/>
        <v xml:space="preserve">&lt;?xml version="1.0" encoding="UTF-8" ?&gt;
&lt;results&gt;
&lt;query&gt;神奈川県横浜市都筑区川和台&lt;/query&gt;
&lt;geodetic&gt;wgs1984&lt;/geodetic&gt;
&lt;iConf&gt;5&lt;/iConf&gt;
&lt;converted&gt;神奈川県横浜市都筑区川和台&lt;/converted&gt;
&lt;candidate&gt;
&lt;address&gt;神奈川県/横浜市/都筑区/川和台&lt;/address&gt;
&lt;longitude&gt;139.554443&lt;/longitude&gt;
&lt;latitude&gt;35.528160&lt;/latitude&gt;
&lt;iLvl&gt;5&lt;/iLvl&gt;
&lt;/candidate&gt;
&lt;/results&gt;
</v>
      </c>
      <c r="F957" cm="1">
        <f t="array" ref="F957">INDEX(_xlfn.FILTERXML(E957,"//latitude"),1)</f>
        <v>35.52816</v>
      </c>
      <c r="G957" cm="1">
        <f t="array" ref="G957">INDEX(_xlfn.FILTERXML(E957,"//longitude"),1)</f>
        <v>139.55444299999999</v>
      </c>
      <c r="H957">
        <v>35.52816</v>
      </c>
      <c r="I957">
        <v>139.55444299999999</v>
      </c>
    </row>
    <row r="958" spans="1:9" x14ac:dyDescent="0.4">
      <c r="A958" t="s">
        <v>9</v>
      </c>
      <c r="B958" t="s">
        <v>98</v>
      </c>
      <c r="C958" t="str">
        <f t="shared" si="60"/>
        <v>東京都新宿区</v>
      </c>
      <c r="D958" s="2" t="str">
        <f t="shared" si="61"/>
        <v>http://geocode.csis.u-tokyo.ac.jp/cgi-bin/simple_geocode.cgi?charset=UTF8&amp;addr=%E6%9D%B1%E4%BA%AC%E9%83%BD%E6%96%B0%E5%AE%BF%E5%8C%BA</v>
      </c>
      <c r="E958" t="str">
        <f t="shared" si="62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958" cm="1">
        <f t="array" ref="F958">INDEX(_xlfn.FILTERXML(E958,"//latitude"),1)</f>
        <v>35.693890000000003</v>
      </c>
      <c r="G958" cm="1">
        <f t="array" ref="G958">INDEX(_xlfn.FILTERXML(E958,"//longitude"),1)</f>
        <v>139.703461</v>
      </c>
      <c r="H958">
        <v>35.693890000000003</v>
      </c>
      <c r="I958">
        <v>139.703461</v>
      </c>
    </row>
    <row r="959" spans="1:9" x14ac:dyDescent="0.4">
      <c r="A959" t="s">
        <v>46</v>
      </c>
      <c r="B959" t="s">
        <v>256</v>
      </c>
      <c r="C959" t="str">
        <f t="shared" si="60"/>
        <v>山口県山口市小郡高砂町</v>
      </c>
      <c r="D959" s="2" t="str">
        <f t="shared" si="61"/>
        <v>http://geocode.csis.u-tokyo.ac.jp/cgi-bin/simple_geocode.cgi?charset=UTF8&amp;addr=%E5%B1%B1%E5%8F%A3%E7%9C%8C%E5%B1%B1%E5%8F%A3%E5%B8%82%E5%B0%8F%E9%83%A1%E9%AB%98%E7%A0%82%E7%94%BA</v>
      </c>
      <c r="E959" t="str">
        <f t="shared" si="62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959" cm="1">
        <f t="array" ref="F959">INDEX(_xlfn.FILTERXML(E959,"//latitude"),1)</f>
        <v>34.092606000000004</v>
      </c>
      <c r="G959" cm="1">
        <f t="array" ref="G959">INDEX(_xlfn.FILTERXML(E959,"//longitude"),1)</f>
        <v>131.400284</v>
      </c>
      <c r="H959">
        <v>34.092606000000004</v>
      </c>
      <c r="I959">
        <v>131.400284</v>
      </c>
    </row>
    <row r="960" spans="1:9" x14ac:dyDescent="0.4">
      <c r="A960" t="s">
        <v>17</v>
      </c>
      <c r="B960" t="s">
        <v>400</v>
      </c>
      <c r="C960" t="str">
        <f t="shared" si="60"/>
        <v>愛知県安城市二本木新町</v>
      </c>
      <c r="D960" s="2" t="str">
        <f t="shared" si="61"/>
        <v>http://geocode.csis.u-tokyo.ac.jp/cgi-bin/simple_geocode.cgi?charset=UTF8&amp;addr=%E6%84%9B%E7%9F%A5%E7%9C%8C%E5%AE%89%E5%9F%8E%E5%B8%82%E4%BA%8C%E6%9C%AC%E6%9C%A8%E6%96%B0%E7%94%BA</v>
      </c>
      <c r="E960" t="str">
        <f t="shared" si="62"/>
        <v xml:space="preserve">&lt;?xml version="1.0" encoding="UTF-8" ?&gt;
&lt;results&gt;
&lt;query&gt;愛知県安城市二本木新町&lt;/query&gt;
&lt;geodetic&gt;wgs1984&lt;/geodetic&gt;
&lt;iConf&gt;5&lt;/iConf&gt;
&lt;converted&gt;愛知県安城市二本木新町&lt;/converted&gt;
&lt;candidate&gt;
&lt;address&gt;愛知県/安城市/二本木新町&lt;/address&gt;
&lt;longitude&gt;137.059097&lt;/longitude&gt;
&lt;latitude&gt;34.979401&lt;/latitude&gt;
&lt;iLvl&gt;5&lt;/iLvl&gt;
&lt;/candidate&gt;
&lt;/results&gt;
</v>
      </c>
      <c r="F960" cm="1">
        <f t="array" ref="F960">INDEX(_xlfn.FILTERXML(E960,"//latitude"),1)</f>
        <v>34.979401000000003</v>
      </c>
      <c r="G960" cm="1">
        <f t="array" ref="G960">INDEX(_xlfn.FILTERXML(E960,"//longitude"),1)</f>
        <v>137.05909700000001</v>
      </c>
      <c r="H960">
        <v>34.979401000000003</v>
      </c>
      <c r="I960">
        <v>137.05909700000001</v>
      </c>
    </row>
    <row r="961" spans="1:9" x14ac:dyDescent="0.4">
      <c r="A961" t="s">
        <v>23</v>
      </c>
      <c r="B961" t="s">
        <v>401</v>
      </c>
      <c r="C961" t="str">
        <f t="shared" si="60"/>
        <v>宮城県多賀城市東田中2-40-29</v>
      </c>
      <c r="D961" s="2" t="str">
        <f t="shared" si="61"/>
        <v>http://geocode.csis.u-tokyo.ac.jp/cgi-bin/simple_geocode.cgi?charset=UTF8&amp;addr=%E5%AE%AE%E5%9F%8E%E7%9C%8C%E5%A4%9A%E8%B3%80%E5%9F%8E%E5%B8%82%E6%9D%B1%E7%94%B0%E4%B8%AD2-40-29</v>
      </c>
      <c r="E961" t="str">
        <f t="shared" si="62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961" cm="1">
        <f t="array" ref="F961">INDEX(_xlfn.FILTERXML(E961,"//latitude"),1)</f>
        <v>38.290306000000001</v>
      </c>
      <c r="G961" cm="1">
        <f t="array" ref="G961">INDEX(_xlfn.FILTERXML(E961,"//longitude"),1)</f>
        <v>141.00164799999999</v>
      </c>
      <c r="H961">
        <v>38.290306000000001</v>
      </c>
      <c r="I961">
        <v>141.00164799999999</v>
      </c>
    </row>
    <row r="962" spans="1:9" x14ac:dyDescent="0.4">
      <c r="A962" t="s">
        <v>18</v>
      </c>
      <c r="B962" t="s">
        <v>112</v>
      </c>
      <c r="C962" t="str">
        <f t="shared" si="60"/>
        <v>千葉県市川市</v>
      </c>
      <c r="D962" s="2" t="str">
        <f t="shared" si="61"/>
        <v>http://geocode.csis.u-tokyo.ac.jp/cgi-bin/simple_geocode.cgi?charset=UTF8&amp;addr=%E5%8D%83%E8%91%89%E7%9C%8C%E5%B8%82%E5%B7%9D%E5%B8%82</v>
      </c>
      <c r="E962" t="str">
        <f t="shared" si="62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962" cm="1">
        <f t="array" ref="F962">INDEX(_xlfn.FILTERXML(E962,"//latitude"),1)</f>
        <v>35.721912000000003</v>
      </c>
      <c r="G962" cm="1">
        <f t="array" ref="G962">INDEX(_xlfn.FILTERXML(E962,"//longitude"),1)</f>
        <v>139.931015</v>
      </c>
      <c r="H962">
        <v>35.721912000000003</v>
      </c>
      <c r="I962">
        <v>139.931015</v>
      </c>
    </row>
    <row r="963" spans="1:9" x14ac:dyDescent="0.4">
      <c r="A963" t="s">
        <v>37</v>
      </c>
      <c r="B963" t="s">
        <v>102</v>
      </c>
      <c r="C963" t="str">
        <f t="shared" si="60"/>
        <v>三重県名張市東町</v>
      </c>
      <c r="D963" s="2" t="str">
        <f t="shared" si="61"/>
        <v>http://geocode.csis.u-tokyo.ac.jp/cgi-bin/simple_geocode.cgi?charset=UTF8&amp;addr=%E4%B8%89%E9%87%8D%E7%9C%8C%E5%90%8D%E5%BC%B5%E5%B8%82%E6%9D%B1%E7%94%BA</v>
      </c>
      <c r="E963" t="str">
        <f t="shared" si="62"/>
        <v xml:space="preserve">&lt;?xml version="1.0" encoding="UTF-8" ?&gt;
&lt;results&gt;
&lt;query&gt;三重県名張市東町&lt;/query&gt;
&lt;geodetic&gt;wgs1984&lt;/geodetic&gt;
&lt;iConf&gt;5&lt;/iConf&gt;
&lt;converted&gt;三重県名張市東町&lt;/converted&gt;
&lt;candidate&gt;
&lt;address&gt;三重県/名張市/東町&lt;/address&gt;
&lt;longitude&gt;136.095154&lt;/longitude&gt;
&lt;latitude&gt;34.629440&lt;/latitude&gt;
&lt;iLvl&gt;5&lt;/iLvl&gt;
&lt;/candidate&gt;
&lt;/results&gt;
</v>
      </c>
      <c r="F963" cm="1">
        <f t="array" ref="F963">INDEX(_xlfn.FILTERXML(E963,"//latitude"),1)</f>
        <v>34.629440000000002</v>
      </c>
      <c r="G963" cm="1">
        <f t="array" ref="G963">INDEX(_xlfn.FILTERXML(E963,"//longitude"),1)</f>
        <v>136.09515400000001</v>
      </c>
      <c r="H963">
        <v>34.629440000000002</v>
      </c>
      <c r="I963">
        <v>136.09515400000001</v>
      </c>
    </row>
    <row r="964" spans="1:9" x14ac:dyDescent="0.4">
      <c r="A964" t="s">
        <v>10</v>
      </c>
      <c r="B964" t="s">
        <v>402</v>
      </c>
      <c r="C964" t="str">
        <f t="shared" si="60"/>
        <v>神奈川県相模原市南区東林間</v>
      </c>
      <c r="D964" s="2" t="str">
        <f t="shared" si="61"/>
        <v>http://geocode.csis.u-tokyo.ac.jp/cgi-bin/simple_geocode.cgi?charset=UTF8&amp;addr=%E7%A5%9E%E5%A5%88%E5%B7%9D%E7%9C%8C%E7%9B%B8%E6%A8%A1%E5%8E%9F%E5%B8%82%E5%8D%97%E5%8C%BA%E6%9D%B1%E6%9E%97%E9%96%93</v>
      </c>
      <c r="E964" t="str">
        <f t="shared" si="62"/>
        <v xml:space="preserve">&lt;?xml version="1.0" encoding="UTF-8" ?&gt;
&lt;results&gt;
&lt;query&gt;神奈川県相模原市南区東林間&lt;/query&gt;
&lt;geodetic&gt;wgs1984&lt;/geodetic&gt;
&lt;iConf&gt;5&lt;/iConf&gt;
&lt;converted&gt;神奈川県相模原市南区東林間&lt;/converted&gt;
&lt;candidate&gt;
&lt;address&gt;神奈川県/相模原市/南区/東林間&lt;/address&gt;
&lt;longitude&gt;139.433807&lt;/longitude&gt;
&lt;latitude&gt;35.525017&lt;/latitude&gt;
&lt;iLvl&gt;5&lt;/iLvl&gt;
&lt;/candidate&gt;
&lt;/results&gt;
</v>
      </c>
      <c r="F964" cm="1">
        <f t="array" ref="F964">INDEX(_xlfn.FILTERXML(E964,"//latitude"),1)</f>
        <v>35.525016999999998</v>
      </c>
      <c r="G964" cm="1">
        <f t="array" ref="G964">INDEX(_xlfn.FILTERXML(E964,"//longitude"),1)</f>
        <v>139.433807</v>
      </c>
      <c r="H964">
        <v>35.525016999999998</v>
      </c>
      <c r="I964">
        <v>139.433807</v>
      </c>
    </row>
    <row r="965" spans="1:9" x14ac:dyDescent="0.4">
      <c r="A965" t="s">
        <v>15</v>
      </c>
      <c r="B965" t="s">
        <v>403</v>
      </c>
      <c r="C965" t="str">
        <f t="shared" si="60"/>
        <v>兵庫県芦屋市三条町</v>
      </c>
      <c r="D965" s="2" t="str">
        <f t="shared" si="61"/>
        <v>http://geocode.csis.u-tokyo.ac.jp/cgi-bin/simple_geocode.cgi?charset=UTF8&amp;addr=%E5%85%B5%E5%BA%AB%E7%9C%8C%E8%8A%A6%E5%B1%8B%E5%B8%82%E4%B8%89%E6%9D%A1%E7%94%BA</v>
      </c>
      <c r="E965" t="str">
        <f t="shared" si="62"/>
        <v xml:space="preserve">&lt;?xml version="1.0" encoding="UTF-8" ?&gt;
&lt;results&gt;
&lt;query&gt;兵庫県芦屋市三条町&lt;/query&gt;
&lt;geodetic&gt;wgs1984&lt;/geodetic&gt;
&lt;iConf&gt;5&lt;/iConf&gt;
&lt;converted&gt;兵庫県芦屋市三条町&lt;/converted&gt;
&lt;candidate&gt;
&lt;address&gt;兵庫県/芦屋市/三条町&lt;/address&gt;
&lt;longitude&gt;135.292755&lt;/longitude&gt;
&lt;latitude&gt;34.738857&lt;/latitude&gt;
&lt;iLvl&gt;5&lt;/iLvl&gt;
&lt;/candidate&gt;
&lt;/results&gt;
</v>
      </c>
      <c r="F965" cm="1">
        <f t="array" ref="F965">INDEX(_xlfn.FILTERXML(E965,"//latitude"),1)</f>
        <v>34.738857000000003</v>
      </c>
      <c r="G965" cm="1">
        <f t="array" ref="G965">INDEX(_xlfn.FILTERXML(E965,"//longitude"),1)</f>
        <v>135.292755</v>
      </c>
      <c r="H965">
        <v>34.738857000000003</v>
      </c>
      <c r="I965">
        <v>135.292755</v>
      </c>
    </row>
    <row r="966" spans="1:9" x14ac:dyDescent="0.4">
      <c r="A966" t="s">
        <v>19</v>
      </c>
      <c r="B966" t="s">
        <v>101</v>
      </c>
      <c r="C966" t="str">
        <f t="shared" si="60"/>
        <v>滋賀県大津市</v>
      </c>
      <c r="D966" s="2" t="str">
        <f t="shared" si="61"/>
        <v>http://geocode.csis.u-tokyo.ac.jp/cgi-bin/simple_geocode.cgi?charset=UTF8&amp;addr=%E6%BB%8B%E8%B3%80%E7%9C%8C%E5%A4%A7%E6%B4%A5%E5%B8%82</v>
      </c>
      <c r="E966" t="str">
        <f t="shared" si="62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966" cm="1">
        <f t="array" ref="F966">INDEX(_xlfn.FILTERXML(E966,"//latitude"),1)</f>
        <v>35.018355999999997</v>
      </c>
      <c r="G966" cm="1">
        <f t="array" ref="G966">INDEX(_xlfn.FILTERXML(E966,"//longitude"),1)</f>
        <v>135.85466</v>
      </c>
      <c r="H966">
        <v>35.018355999999997</v>
      </c>
      <c r="I966">
        <v>135.85466</v>
      </c>
    </row>
    <row r="967" spans="1:9" x14ac:dyDescent="0.4">
      <c r="A967" t="s">
        <v>15</v>
      </c>
      <c r="B967" t="s">
        <v>403</v>
      </c>
      <c r="C967" t="str">
        <f t="shared" si="60"/>
        <v>兵庫県芦屋市三条町</v>
      </c>
      <c r="D967" s="2" t="str">
        <f t="shared" si="61"/>
        <v>http://geocode.csis.u-tokyo.ac.jp/cgi-bin/simple_geocode.cgi?charset=UTF8&amp;addr=%E5%85%B5%E5%BA%AB%E7%9C%8C%E8%8A%A6%E5%B1%8B%E5%B8%82%E4%B8%89%E6%9D%A1%E7%94%BA</v>
      </c>
      <c r="E967" t="str">
        <f t="shared" si="62"/>
        <v xml:space="preserve">&lt;?xml version="1.0" encoding="UTF-8" ?&gt;
&lt;results&gt;
&lt;query&gt;兵庫県芦屋市三条町&lt;/query&gt;
&lt;geodetic&gt;wgs1984&lt;/geodetic&gt;
&lt;iConf&gt;5&lt;/iConf&gt;
&lt;converted&gt;兵庫県芦屋市三条町&lt;/converted&gt;
&lt;candidate&gt;
&lt;address&gt;兵庫県/芦屋市/三条町&lt;/address&gt;
&lt;longitude&gt;135.292755&lt;/longitude&gt;
&lt;latitude&gt;34.738857&lt;/latitude&gt;
&lt;iLvl&gt;5&lt;/iLvl&gt;
&lt;/candidate&gt;
&lt;/results&gt;
</v>
      </c>
      <c r="F967" cm="1">
        <f t="array" ref="F967">INDEX(_xlfn.FILTERXML(E967,"//latitude"),1)</f>
        <v>34.738857000000003</v>
      </c>
      <c r="G967" cm="1">
        <f t="array" ref="G967">INDEX(_xlfn.FILTERXML(E967,"//longitude"),1)</f>
        <v>135.292755</v>
      </c>
      <c r="H967">
        <v>34.738857000000003</v>
      </c>
      <c r="I967">
        <v>135.292755</v>
      </c>
    </row>
    <row r="968" spans="1:9" x14ac:dyDescent="0.4">
      <c r="A968" t="s">
        <v>10</v>
      </c>
      <c r="B968" t="s">
        <v>404</v>
      </c>
      <c r="C968" t="str">
        <f t="shared" si="60"/>
        <v>神奈川県横浜市神奈川区神大寺</v>
      </c>
      <c r="D968" s="2" t="str">
        <f t="shared" si="61"/>
        <v>http://geocode.csis.u-tokyo.ac.jp/cgi-bin/simple_geocode.cgi?charset=UTF8&amp;addr=%E7%A5%9E%E5%A5%88%E5%B7%9D%E7%9C%8C%E6%A8%AA%E6%B5%9C%E5%B8%82%E7%A5%9E%E5%A5%88%E5%B7%9D%E5%8C%BA%E7%A5%9E%E5%A4%A7%E5%AF%BA</v>
      </c>
      <c r="E968" t="str">
        <f t="shared" si="62"/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968" cm="1">
        <f t="array" ref="F968">INDEX(_xlfn.FILTERXML(E968,"//latitude"),1)</f>
        <v>35.484076999999999</v>
      </c>
      <c r="G968" cm="1">
        <f t="array" ref="G968">INDEX(_xlfn.FILTERXML(E968,"//longitude"),1)</f>
        <v>139.61473100000001</v>
      </c>
      <c r="H968">
        <v>35.484076999999999</v>
      </c>
      <c r="I968">
        <v>139.61473100000001</v>
      </c>
    </row>
    <row r="969" spans="1:9" x14ac:dyDescent="0.4">
      <c r="A969" t="s">
        <v>9</v>
      </c>
      <c r="B969" t="s">
        <v>223</v>
      </c>
      <c r="C969" t="str">
        <f t="shared" si="60"/>
        <v>東京都世田谷区</v>
      </c>
      <c r="D969" s="2" t="str">
        <f t="shared" si="61"/>
        <v>http://geocode.csis.u-tokyo.ac.jp/cgi-bin/simple_geocode.cgi?charset=UTF8&amp;addr=%E6%9D%B1%E4%BA%AC%E9%83%BD%E4%B8%96%E7%94%B0%E8%B0%B7%E5%8C%BA</v>
      </c>
      <c r="E969" t="str">
        <f t="shared" si="62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969" cm="1">
        <f t="array" ref="F969">INDEX(_xlfn.FILTERXML(E969,"//latitude"),1)</f>
        <v>35.646481000000001</v>
      </c>
      <c r="G969" cm="1">
        <f t="array" ref="G969">INDEX(_xlfn.FILTERXML(E969,"//longitude"),1)</f>
        <v>139.65321399999999</v>
      </c>
      <c r="H969">
        <v>35.646481000000001</v>
      </c>
      <c r="I969">
        <v>139.65321399999999</v>
      </c>
    </row>
    <row r="970" spans="1:9" x14ac:dyDescent="0.4">
      <c r="A970" t="s">
        <v>32</v>
      </c>
      <c r="B970" t="s">
        <v>104</v>
      </c>
      <c r="C970" t="str">
        <f t="shared" si="60"/>
        <v>佐賀県佐賀市新生町</v>
      </c>
      <c r="D970" s="2" t="str">
        <f t="shared" si="61"/>
        <v>http://geocode.csis.u-tokyo.ac.jp/cgi-bin/simple_geocode.cgi?charset=UTF8&amp;addr=%E4%BD%90%E8%B3%80%E7%9C%8C%E4%BD%90%E8%B3%80%E5%B8%82%E6%96%B0%E7%94%9F%E7%94%BA</v>
      </c>
      <c r="E970" t="str">
        <f t="shared" si="62"/>
        <v xml:space="preserve">&lt;?xml version="1.0" encoding="UTF-8" ?&gt;
&lt;results&gt;
&lt;query&gt;佐賀県佐賀市新生町&lt;/query&gt;
&lt;geodetic&gt;wgs1984&lt;/geodetic&gt;
&lt;iConf&gt;5&lt;/iConf&gt;
&lt;converted&gt;佐賀県佐賀市新生町&lt;/converted&gt;
&lt;candidate&gt;
&lt;address&gt;佐賀県/佐賀市/新生町&lt;/address&gt;
&lt;longitude&gt;130.278671&lt;/longitude&gt;
&lt;latitude&gt;33.253292&lt;/latitude&gt;
&lt;iLvl&gt;5&lt;/iLvl&gt;
&lt;/candidate&gt;
&lt;/results&gt;
</v>
      </c>
      <c r="F970" cm="1">
        <f t="array" ref="F970">INDEX(_xlfn.FILTERXML(E970,"//latitude"),1)</f>
        <v>33.253292000000002</v>
      </c>
      <c r="G970" cm="1">
        <f t="array" ref="G970">INDEX(_xlfn.FILTERXML(E970,"//longitude"),1)</f>
        <v>130.278671</v>
      </c>
      <c r="H970">
        <v>33.253292000000002</v>
      </c>
      <c r="I970">
        <v>130.278671</v>
      </c>
    </row>
    <row r="971" spans="1:9" x14ac:dyDescent="0.4">
      <c r="A971" t="s">
        <v>34</v>
      </c>
      <c r="B971" t="s">
        <v>405</v>
      </c>
      <c r="C971" t="str">
        <f t="shared" si="60"/>
        <v>岐阜県可児市若葉台1丁目</v>
      </c>
      <c r="D971" s="2" t="str">
        <f t="shared" si="61"/>
        <v>http://geocode.csis.u-tokyo.ac.jp/cgi-bin/simple_geocode.cgi?charset=UTF8&amp;addr=%E5%B2%90%E9%98%9C%E7%9C%8C%E5%8F%AF%E5%85%90%E5%B8%82%E8%8B%A5%E8%91%89%E5%8F%B01%E4%B8%81%E7%9B%AE</v>
      </c>
      <c r="E971" t="str">
        <f t="shared" si="62"/>
        <v xml:space="preserve">&lt;?xml version="1.0" encoding="UTF-8" ?&gt;
&lt;results&gt;
&lt;query&gt;岐阜県可児市若葉台1丁目&lt;/query&gt;
&lt;geodetic&gt;wgs1984&lt;/geodetic&gt;
&lt;iConf&gt;5&lt;/iConf&gt;
&lt;converted&gt;岐阜県可児市若葉台1丁目&lt;/converted&gt;
&lt;candidate&gt;
&lt;address&gt;岐阜県/可児市/若葉台/一丁目&lt;/address&gt;
&lt;longitude&gt;137.014526&lt;/longitude&gt;
&lt;latitude&gt;35.402138&lt;/latitude&gt;
&lt;iLvl&gt;6&lt;/iLvl&gt;
&lt;/candidate&gt;
&lt;/results&gt;
</v>
      </c>
      <c r="F971" cm="1">
        <f t="array" ref="F971">INDEX(_xlfn.FILTERXML(E971,"//latitude"),1)</f>
        <v>35.402138000000001</v>
      </c>
      <c r="G971" cm="1">
        <f t="array" ref="G971">INDEX(_xlfn.FILTERXML(E971,"//longitude"),1)</f>
        <v>137.01452599999999</v>
      </c>
      <c r="H971" s="3">
        <v>35.402138000000001</v>
      </c>
      <c r="I971" s="3">
        <v>137.01452599999999</v>
      </c>
    </row>
    <row r="972" spans="1:9" x14ac:dyDescent="0.4">
      <c r="A972" t="s">
        <v>9</v>
      </c>
      <c r="B972" t="s">
        <v>190</v>
      </c>
      <c r="C972" t="str">
        <f t="shared" si="60"/>
        <v>東京都調布市飛田給</v>
      </c>
      <c r="D972" s="2" t="str">
        <f t="shared" si="61"/>
        <v>http://geocode.csis.u-tokyo.ac.jp/cgi-bin/simple_geocode.cgi?charset=UTF8&amp;addr=%E6%9D%B1%E4%BA%AC%E9%83%BD%E8%AA%BF%E5%B8%83%E5%B8%82%E9%A3%9B%E7%94%B0%E7%B5%A6</v>
      </c>
      <c r="E972" t="str">
        <f t="shared" si="62"/>
        <v xml:space="preserve">&lt;?xml version="1.0" encoding="UTF-8" ?&gt;
&lt;results&gt;
&lt;query&gt;東京都調布市飛田給&lt;/query&gt;
&lt;geodetic&gt;wgs1984&lt;/geodetic&gt;
&lt;iConf&gt;5&lt;/iConf&gt;
&lt;converted&gt;東京都調布市飛田給&lt;/converted&gt;
&lt;candidate&gt;
&lt;address&gt;東京都/調布市/飛田給&lt;/address&gt;
&lt;longitude&gt;139.524033&lt;/longitude&gt;
&lt;latitude&gt;35.661606&lt;/latitude&gt;
&lt;iLvl&gt;5&lt;/iLvl&gt;
&lt;/candidate&gt;
&lt;/results&gt;
</v>
      </c>
      <c r="F972" cm="1">
        <f t="array" ref="F972">INDEX(_xlfn.FILTERXML(E972,"//latitude"),1)</f>
        <v>35.661605999999999</v>
      </c>
      <c r="G972" cm="1">
        <f t="array" ref="G972">INDEX(_xlfn.FILTERXML(E972,"//longitude"),1)</f>
        <v>139.524033</v>
      </c>
      <c r="H972">
        <v>35.661605999999999</v>
      </c>
      <c r="I972">
        <v>139.524033</v>
      </c>
    </row>
    <row r="973" spans="1:9" x14ac:dyDescent="0.4">
      <c r="A973" t="s">
        <v>12</v>
      </c>
      <c r="B973" t="s">
        <v>406</v>
      </c>
      <c r="C973" t="str">
        <f t="shared" si="60"/>
        <v>奈良県生駒市西白庭台</v>
      </c>
      <c r="D973" s="2" t="str">
        <f t="shared" si="61"/>
        <v>http://geocode.csis.u-tokyo.ac.jp/cgi-bin/simple_geocode.cgi?charset=UTF8&amp;addr=%E5%A5%88%E8%89%AF%E7%9C%8C%E7%94%9F%E9%A7%92%E5%B8%82%E8%A5%BF%E7%99%BD%E5%BA%AD%E5%8F%B0</v>
      </c>
      <c r="E973" t="str">
        <f t="shared" si="62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973" cm="1">
        <f t="array" ref="F973">INDEX(_xlfn.FILTERXML(E973,"//latitude"),1)</f>
        <v>34.725323000000003</v>
      </c>
      <c r="G973" cm="1">
        <f t="array" ref="G973">INDEX(_xlfn.FILTERXML(E973,"//longitude"),1)</f>
        <v>135.70727500000001</v>
      </c>
      <c r="H973">
        <v>34.725323000000003</v>
      </c>
      <c r="I973">
        <v>135.70727500000001</v>
      </c>
    </row>
    <row r="974" spans="1:9" x14ac:dyDescent="0.4">
      <c r="A974" t="s">
        <v>10</v>
      </c>
      <c r="B974" t="s">
        <v>407</v>
      </c>
      <c r="C974" t="str">
        <f t="shared" si="60"/>
        <v>神奈川県厚木市森の里</v>
      </c>
      <c r="D974" s="2" t="str">
        <f t="shared" si="61"/>
        <v>http://geocode.csis.u-tokyo.ac.jp/cgi-bin/simple_geocode.cgi?charset=UTF8&amp;addr=%E7%A5%9E%E5%A5%88%E5%B7%9D%E7%9C%8C%E5%8E%9A%E6%9C%A8%E5%B8%82%E6%A3%AE%E3%81%AE%E9%87%8C</v>
      </c>
      <c r="E974" t="str">
        <f t="shared" si="62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974" cm="1">
        <f t="array" ref="F974">INDEX(_xlfn.FILTERXML(E974,"//latitude"),1)</f>
        <v>35.441989999999997</v>
      </c>
      <c r="G974" cm="1">
        <f t="array" ref="G974">INDEX(_xlfn.FILTERXML(E974,"//longitude"),1)</f>
        <v>139.30896000000001</v>
      </c>
      <c r="H974">
        <v>35.441989999999997</v>
      </c>
      <c r="I974">
        <v>139.30896000000001</v>
      </c>
    </row>
    <row r="975" spans="1:9" x14ac:dyDescent="0.4">
      <c r="A975" t="s">
        <v>18</v>
      </c>
      <c r="B975" t="s">
        <v>408</v>
      </c>
      <c r="C975" t="str">
        <f t="shared" ref="C975:C1038" si="63">+A975&amp;B975</f>
        <v>千葉県市原市東国分寺台</v>
      </c>
      <c r="D975" s="2" t="str">
        <f t="shared" ref="D975:D1038" si="64" xml:space="preserve"> "http://geocode.csis.u-tokyo.ac.jp/cgi-bin/simple_geocode.cgi?charset=UTF8&amp;addr=" &amp; _xlfn.ENCODEURL(C975)</f>
        <v>http://geocode.csis.u-tokyo.ac.jp/cgi-bin/simple_geocode.cgi?charset=UTF8&amp;addr=%E5%8D%83%E8%91%89%E7%9C%8C%E5%B8%82%E5%8E%9F%E5%B8%82%E6%9D%B1%E5%9B%BD%E5%88%86%E5%AF%BA%E5%8F%B0</v>
      </c>
      <c r="E975" t="str">
        <f t="shared" ref="E975:E1038" si="65" xml:space="preserve"> _xlfn.WEBSERVICE(D975)</f>
        <v xml:space="preserve">&lt;?xml version="1.0" encoding="UTF-8" ?&gt;
&lt;results&gt;
&lt;query&gt;千葉県市原市東国分寺台&lt;/query&gt;
&lt;geodetic&gt;wgs1984&lt;/geodetic&gt;
&lt;iConf&gt;5&lt;/iConf&gt;
&lt;converted&gt;千葉県市原市東国分寺台&lt;/converted&gt;
&lt;candidate&gt;
&lt;address&gt;千葉県/市原市/東国分寺台&lt;/address&gt;
&lt;longitude&gt;140.118591&lt;/longitude&gt;
&lt;latitude&gt;35.494881&lt;/latitude&gt;
&lt;iLvl&gt;5&lt;/iLvl&gt;
&lt;/candidate&gt;
&lt;/results&gt;
</v>
      </c>
      <c r="F975" cm="1">
        <f t="array" ref="F975">INDEX(_xlfn.FILTERXML(E975,"//latitude"),1)</f>
        <v>35.494880999999999</v>
      </c>
      <c r="G975" cm="1">
        <f t="array" ref="G975">INDEX(_xlfn.FILTERXML(E975,"//longitude"),1)</f>
        <v>140.11859100000001</v>
      </c>
      <c r="H975">
        <v>35.494880999999999</v>
      </c>
      <c r="I975">
        <v>140.11859100000001</v>
      </c>
    </row>
    <row r="976" spans="1:9" x14ac:dyDescent="0.4">
      <c r="A976" t="s">
        <v>11</v>
      </c>
      <c r="B976" t="s">
        <v>409</v>
      </c>
      <c r="C976" t="str">
        <f t="shared" si="63"/>
        <v>大阪府吹田市江の木町</v>
      </c>
      <c r="D976" s="2" t="str">
        <f t="shared" si="64"/>
        <v>http://geocode.csis.u-tokyo.ac.jp/cgi-bin/simple_geocode.cgi?charset=UTF8&amp;addr=%E5%A4%A7%E9%98%AA%E5%BA%9C%E5%90%B9%E7%94%B0%E5%B8%82%E6%B1%9F%E3%81%AE%E6%9C%A8%E7%94%BA</v>
      </c>
      <c r="E976" t="str">
        <f t="shared" si="65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976" cm="1">
        <f t="array" ref="F976">INDEX(_xlfn.FILTERXML(E976,"//latitude"),1)</f>
        <v>34.754128000000001</v>
      </c>
      <c r="G976" cm="1">
        <f t="array" ref="G976">INDEX(_xlfn.FILTERXML(E976,"//longitude"),1)</f>
        <v>135.49443099999999</v>
      </c>
      <c r="H976">
        <v>34.754128000000001</v>
      </c>
      <c r="I976">
        <v>135.49443099999999</v>
      </c>
    </row>
    <row r="977" spans="1:9" x14ac:dyDescent="0.4">
      <c r="A977" t="s">
        <v>21</v>
      </c>
      <c r="B977" t="s">
        <v>410</v>
      </c>
      <c r="C977" t="str">
        <f t="shared" si="63"/>
        <v>福岡県福岡市東区香椎照葉6-2-52</v>
      </c>
      <c r="D977" s="2" t="str">
        <f t="shared" si="64"/>
        <v>http://geocode.csis.u-tokyo.ac.jp/cgi-bin/simple_geocode.cgi?charset=UTF8&amp;addr=%E7%A6%8F%E5%B2%A1%E7%9C%8C%E7%A6%8F%E5%B2%A1%E5%B8%82%E6%9D%B1%E5%8C%BA%E9%A6%99%E6%A4%8E%E7%85%A7%E8%91%896-2-52</v>
      </c>
      <c r="E977" t="str">
        <f t="shared" si="65"/>
        <v xml:space="preserve">&lt;?xml version="1.0" encoding="UTF-8" ?&gt;
&lt;results&gt;
&lt;query&gt;福岡県福岡市東区香椎照葉6-2-52&lt;/query&gt;
&lt;geodetic&gt;wgs1984&lt;/geodetic&gt;
&lt;iConf&gt;5&lt;/iConf&gt;
&lt;converted&gt;福岡県福岡市東区香椎照葉6-2-&lt;/converted&gt;
&lt;candidate&gt;
&lt;address&gt;福岡県/福岡市/東区/香椎照葉/六丁目/２番&lt;/address&gt;
&lt;longitude&gt;130.420120&lt;/longitude&gt;
&lt;latitude&gt;33.668465&lt;/latitude&gt;
&lt;iLvl&gt;7&lt;/iLvl&gt;
&lt;/candidate&gt;
&lt;/results&gt;
</v>
      </c>
      <c r="F977" cm="1">
        <f t="array" ref="F977">INDEX(_xlfn.FILTERXML(E977,"//latitude"),1)</f>
        <v>33.668464999999998</v>
      </c>
      <c r="G977" cm="1">
        <f t="array" ref="G977">INDEX(_xlfn.FILTERXML(E977,"//longitude"),1)</f>
        <v>130.42012</v>
      </c>
      <c r="H977">
        <v>33.668464999999998</v>
      </c>
      <c r="I977">
        <v>130.42012</v>
      </c>
    </row>
    <row r="978" spans="1:9" x14ac:dyDescent="0.4">
      <c r="A978" t="s">
        <v>18</v>
      </c>
      <c r="B978" t="s">
        <v>411</v>
      </c>
      <c r="C978" t="str">
        <f t="shared" si="63"/>
        <v>千葉県千葉市美浜区磯辺</v>
      </c>
      <c r="D978" s="2" t="str">
        <f t="shared" si="64"/>
        <v>http://geocode.csis.u-tokyo.ac.jp/cgi-bin/simple_geocode.cgi?charset=UTF8&amp;addr=%E5%8D%83%E8%91%89%E7%9C%8C%E5%8D%83%E8%91%89%E5%B8%82%E7%BE%8E%E6%B5%9C%E5%8C%BA%E7%A3%AF%E8%BE%BA</v>
      </c>
      <c r="E978" t="str">
        <f t="shared" si="65"/>
        <v xml:space="preserve">&lt;?xml version="1.0" encoding="UTF-8" ?&gt;
&lt;results&gt;
&lt;query&gt;千葉県千葉市美浜区磯辺&lt;/query&gt;
&lt;geodetic&gt;wgs1984&lt;/geodetic&gt;
&lt;iConf&gt;5&lt;/iConf&gt;
&lt;converted&gt;千葉県千葉市美浜区磯辺&lt;/converted&gt;
&lt;candidate&gt;
&lt;address&gt;千葉県/千葉市/美浜区/磯辺&lt;/address&gt;
&lt;longitude&gt;140.064056&lt;/longitude&gt;
&lt;latitude&gt;35.629711&lt;/latitude&gt;
&lt;iLvl&gt;5&lt;/iLvl&gt;
&lt;/candidate&gt;
&lt;/results&gt;
</v>
      </c>
      <c r="F978" cm="1">
        <f t="array" ref="F978">INDEX(_xlfn.FILTERXML(E978,"//latitude"),1)</f>
        <v>35.629711</v>
      </c>
      <c r="G978" cm="1">
        <f t="array" ref="G978">INDEX(_xlfn.FILTERXML(E978,"//longitude"),1)</f>
        <v>140.06405599999999</v>
      </c>
      <c r="H978">
        <v>35.629711</v>
      </c>
      <c r="I978">
        <v>140.06405599999999</v>
      </c>
    </row>
    <row r="979" spans="1:9" x14ac:dyDescent="0.4">
      <c r="A979" t="s">
        <v>9</v>
      </c>
      <c r="B979" t="s">
        <v>412</v>
      </c>
      <c r="C979" t="str">
        <f t="shared" si="63"/>
        <v>東京都日野市万願寺</v>
      </c>
      <c r="D979" s="2" t="str">
        <f t="shared" si="64"/>
        <v>http://geocode.csis.u-tokyo.ac.jp/cgi-bin/simple_geocode.cgi?charset=UTF8&amp;addr=%E6%9D%B1%E4%BA%AC%E9%83%BD%E6%97%A5%E9%87%8E%E5%B8%82%E4%B8%87%E9%A1%98%E5%AF%BA</v>
      </c>
      <c r="E979" t="str">
        <f t="shared" si="65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979" cm="1">
        <f t="array" ref="F979">INDEX(_xlfn.FILTERXML(E979,"//latitude"),1)</f>
        <v>35.675331</v>
      </c>
      <c r="G979" cm="1">
        <f t="array" ref="G979">INDEX(_xlfn.FILTERXML(E979,"//longitude"),1)</f>
        <v>139.42031900000001</v>
      </c>
      <c r="H979">
        <v>35.675331</v>
      </c>
      <c r="I979">
        <v>139.42031900000001</v>
      </c>
    </row>
    <row r="980" spans="1:9" x14ac:dyDescent="0.4">
      <c r="A980" t="s">
        <v>13</v>
      </c>
      <c r="B980" t="s">
        <v>413</v>
      </c>
      <c r="C980" t="str">
        <f t="shared" si="63"/>
        <v>埼玉県草加市氷川町</v>
      </c>
      <c r="D980" s="2" t="str">
        <f t="shared" si="64"/>
        <v>http://geocode.csis.u-tokyo.ac.jp/cgi-bin/simple_geocode.cgi?charset=UTF8&amp;addr=%E5%9F%BC%E7%8E%89%E7%9C%8C%E8%8D%89%E5%8A%A0%E5%B8%82%E6%B0%B7%E5%B7%9D%E7%94%BA</v>
      </c>
      <c r="E980" t="str">
        <f t="shared" si="65"/>
        <v xml:space="preserve">&lt;?xml version="1.0" encoding="UTF-8" ?&gt;
&lt;results&gt;
&lt;query&gt;埼玉県草加市氷川町&lt;/query&gt;
&lt;geodetic&gt;wgs1984&lt;/geodetic&gt;
&lt;iConf&gt;5&lt;/iConf&gt;
&lt;converted&gt;埼玉県草加市氷川町&lt;/converted&gt;
&lt;candidate&gt;
&lt;address&gt;埼玉県/草加市/氷川町&lt;/address&gt;
&lt;longitude&gt;139.799759&lt;/longitude&gt;
&lt;latitude&gt;35.826939&lt;/latitude&gt;
&lt;iLvl&gt;5&lt;/iLvl&gt;
&lt;/candidate&gt;
&lt;/results&gt;
</v>
      </c>
      <c r="F980" cm="1">
        <f t="array" ref="F980">INDEX(_xlfn.FILTERXML(E980,"//latitude"),1)</f>
        <v>35.826939000000003</v>
      </c>
      <c r="G980" cm="1">
        <f t="array" ref="G980">INDEX(_xlfn.FILTERXML(E980,"//longitude"),1)</f>
        <v>139.79975899999999</v>
      </c>
      <c r="H980">
        <v>35.826939000000003</v>
      </c>
      <c r="I980">
        <v>139.79975899999999</v>
      </c>
    </row>
    <row r="981" spans="1:9" x14ac:dyDescent="0.4">
      <c r="A981" t="s">
        <v>26</v>
      </c>
      <c r="B981" t="s">
        <v>109</v>
      </c>
      <c r="C981" t="str">
        <f t="shared" si="63"/>
        <v>京都府宇治市小倉町</v>
      </c>
      <c r="D981" s="2" t="str">
        <f t="shared" si="64"/>
        <v>http://geocode.csis.u-tokyo.ac.jp/cgi-bin/simple_geocode.cgi?charset=UTF8&amp;addr=%E4%BA%AC%E9%83%BD%E5%BA%9C%E5%AE%87%E6%B2%BB%E5%B8%82%E5%B0%8F%E5%80%89%E7%94%BA</v>
      </c>
      <c r="E981" t="str">
        <f t="shared" si="65"/>
        <v xml:space="preserve">&lt;?xml version="1.0" encoding="UTF-8" ?&gt;
&lt;results&gt;
&lt;query&gt;京都府宇治市小倉町&lt;/query&gt;
&lt;geodetic&gt;wgs1984&lt;/geodetic&gt;
&lt;iConf&gt;5&lt;/iConf&gt;
&lt;converted&gt;京都府宇治市小倉町&lt;/converted&gt;
&lt;candidate&gt;
&lt;address&gt;京都府/宇治市/小倉町&lt;/address&gt;
&lt;longitude&gt;135.780380&lt;/longitude&gt;
&lt;latitude&gt;34.896271&lt;/latitude&gt;
&lt;iLvl&gt;5&lt;/iLvl&gt;
&lt;/candidate&gt;
&lt;/results&gt;
</v>
      </c>
      <c r="F981" cm="1">
        <f t="array" ref="F981">INDEX(_xlfn.FILTERXML(E981,"//latitude"),1)</f>
        <v>34.896270999999999</v>
      </c>
      <c r="G981" cm="1">
        <f t="array" ref="G981">INDEX(_xlfn.FILTERXML(E981,"//longitude"),1)</f>
        <v>135.78038000000001</v>
      </c>
      <c r="H981">
        <v>34.896270999999999</v>
      </c>
      <c r="I981">
        <v>135.78038000000001</v>
      </c>
    </row>
    <row r="982" spans="1:9" x14ac:dyDescent="0.4">
      <c r="A982" t="s">
        <v>46</v>
      </c>
      <c r="B982" t="s">
        <v>1113</v>
      </c>
      <c r="C982" t="str">
        <f t="shared" si="63"/>
        <v>山口県山口市朝倉町</v>
      </c>
      <c r="D982" s="2" t="str">
        <f t="shared" si="64"/>
        <v>http://geocode.csis.u-tokyo.ac.jp/cgi-bin/simple_geocode.cgi?charset=UTF8&amp;addr=%E5%B1%B1%E5%8F%A3%E7%9C%8C%E5%B1%B1%E5%8F%A3%E5%B8%82%E6%9C%9D%E5%80%89%E7%94%BA</v>
      </c>
      <c r="E982" t="str">
        <f t="shared" si="65"/>
        <v xml:space="preserve">&lt;?xml version="1.0" encoding="UTF-8" ?&gt;
&lt;results&gt;
&lt;query&gt;山口県山口市朝倉町&lt;/query&gt;
&lt;geodetic&gt;wgs1984&lt;/geodetic&gt;
&lt;iConf&gt;5&lt;/iConf&gt;
&lt;converted&gt;山口県山口市朝倉町&lt;/converted&gt;
&lt;candidate&gt;
&lt;address&gt;山口県/山口市/朝倉町&lt;/address&gt;
&lt;longitude&gt;131.448257&lt;/longitude&gt;
&lt;latitude&gt;34.179890&lt;/latitude&gt;
&lt;iLvl&gt;5&lt;/iLvl&gt;
&lt;/candidate&gt;
&lt;/results&gt;
</v>
      </c>
      <c r="F982" cm="1">
        <f t="array" ref="F982">INDEX(_xlfn.FILTERXML(E982,"//latitude"),1)</f>
        <v>34.17989</v>
      </c>
      <c r="G982" cm="1">
        <f t="array" ref="G982">INDEX(_xlfn.FILTERXML(E982,"//longitude"),1)</f>
        <v>131.44825700000001</v>
      </c>
      <c r="H982">
        <v>34.17989</v>
      </c>
      <c r="I982">
        <v>131.44825700000001</v>
      </c>
    </row>
    <row r="983" spans="1:9" x14ac:dyDescent="0.4">
      <c r="A983" t="s">
        <v>13</v>
      </c>
      <c r="B983" t="s">
        <v>414</v>
      </c>
      <c r="C983" t="str">
        <f t="shared" si="63"/>
        <v>埼玉県戸田市喜沢</v>
      </c>
      <c r="D983" s="2" t="str">
        <f t="shared" si="64"/>
        <v>http://geocode.csis.u-tokyo.ac.jp/cgi-bin/simple_geocode.cgi?charset=UTF8&amp;addr=%E5%9F%BC%E7%8E%89%E7%9C%8C%E6%88%B8%E7%94%B0%E5%B8%82%E5%96%9C%E6%B2%A2</v>
      </c>
      <c r="E983" t="str">
        <f t="shared" si="65"/>
        <v xml:space="preserve">&lt;?xml version="1.0" encoding="UTF-8" ?&gt;
&lt;results&gt;
&lt;query&gt;埼玉県戸田市喜沢&lt;/query&gt;
&lt;geodetic&gt;wgs1984&lt;/geodetic&gt;
&lt;iConf&gt;5&lt;/iConf&gt;
&lt;converted&gt;埼玉県戸田市喜沢&lt;/converted&gt;
&lt;candidate&gt;
&lt;address&gt;埼玉県/戸田市/喜沢&lt;/address&gt;
&lt;longitude&gt;139.696365&lt;/longitude&gt;
&lt;latitude&gt;35.813251&lt;/latitude&gt;
&lt;iLvl&gt;5&lt;/iLvl&gt;
&lt;/candidate&gt;
&lt;/results&gt;
</v>
      </c>
      <c r="F983" cm="1">
        <f t="array" ref="F983">INDEX(_xlfn.FILTERXML(E983,"//latitude"),1)</f>
        <v>35.813251000000001</v>
      </c>
      <c r="G983" cm="1">
        <f t="array" ref="G983">INDEX(_xlfn.FILTERXML(E983,"//longitude"),1)</f>
        <v>139.69636499999999</v>
      </c>
      <c r="H983">
        <v>35.813251000000001</v>
      </c>
      <c r="I983">
        <v>139.69636499999999</v>
      </c>
    </row>
    <row r="984" spans="1:9" x14ac:dyDescent="0.4">
      <c r="A984" t="s">
        <v>9</v>
      </c>
      <c r="B984" t="s">
        <v>415</v>
      </c>
      <c r="C984" t="str">
        <f t="shared" si="63"/>
        <v>東京都品川区西中延</v>
      </c>
      <c r="D984" s="2" t="str">
        <f t="shared" si="64"/>
        <v>http://geocode.csis.u-tokyo.ac.jp/cgi-bin/simple_geocode.cgi?charset=UTF8&amp;addr=%E6%9D%B1%E4%BA%AC%E9%83%BD%E5%93%81%E5%B7%9D%E5%8C%BA%E8%A5%BF%E4%B8%AD%E5%BB%B6</v>
      </c>
      <c r="E984" t="str">
        <f t="shared" si="65"/>
        <v xml:space="preserve">&lt;?xml version="1.0" encoding="UTF-8" ?&gt;
&lt;results&gt;
&lt;query&gt;東京都品川区西中延&lt;/query&gt;
&lt;geodetic&gt;wgs1984&lt;/geodetic&gt;
&lt;iConf&gt;5&lt;/iConf&gt;
&lt;converted&gt;東京都品川区西中延&lt;/converted&gt;
&lt;candidate&gt;
&lt;address&gt;東京都/品川区/西中延&lt;/address&gt;
&lt;longitude&gt;139.708267&lt;/longitude&gt;
&lt;latitude&gt;35.613415&lt;/latitude&gt;
&lt;iLvl&gt;5&lt;/iLvl&gt;
&lt;/candidate&gt;
&lt;/results&gt;
</v>
      </c>
      <c r="F984" cm="1">
        <f t="array" ref="F984">INDEX(_xlfn.FILTERXML(E984,"//latitude"),1)</f>
        <v>35.613415000000003</v>
      </c>
      <c r="G984" cm="1">
        <f t="array" ref="G984">INDEX(_xlfn.FILTERXML(E984,"//longitude"),1)</f>
        <v>139.70826700000001</v>
      </c>
      <c r="H984">
        <v>35.613415000000003</v>
      </c>
      <c r="I984">
        <v>139.70826700000001</v>
      </c>
    </row>
    <row r="985" spans="1:9" x14ac:dyDescent="0.4">
      <c r="A985" t="s">
        <v>18</v>
      </c>
      <c r="B985" t="s">
        <v>416</v>
      </c>
      <c r="C985" t="str">
        <f t="shared" si="63"/>
        <v>千葉県佐倉市</v>
      </c>
      <c r="D985" s="2" t="str">
        <f t="shared" si="64"/>
        <v>http://geocode.csis.u-tokyo.ac.jp/cgi-bin/simple_geocode.cgi?charset=UTF8&amp;addr=%E5%8D%83%E8%91%89%E7%9C%8C%E4%BD%90%E5%80%89%E5%B8%82</v>
      </c>
      <c r="E985" t="str">
        <f t="shared" si="65"/>
        <v xml:space="preserve">&lt;?xml version="1.0" encoding="UTF-8" ?&gt;
&lt;results&gt;
&lt;query&gt;千葉県佐倉市&lt;/query&gt;
&lt;geodetic&gt;wgs1984&lt;/geodetic&gt;
&lt;iConf&gt;5&lt;/iConf&gt;
&lt;converted&gt;千葉県佐倉市&lt;/converted&gt;
&lt;candidate&gt;
&lt;address&gt;千葉県/佐倉市&lt;/address&gt;
&lt;longitude&gt;140.223969&lt;/longitude&gt;
&lt;latitude&gt;35.723442&lt;/latitude&gt;
&lt;iLvl&gt;3&lt;/iLvl&gt;
&lt;/candidate&gt;
&lt;/results&gt;
</v>
      </c>
      <c r="F985" cm="1">
        <f t="array" ref="F985">INDEX(_xlfn.FILTERXML(E985,"//latitude"),1)</f>
        <v>35.723441999999999</v>
      </c>
      <c r="G985" cm="1">
        <f t="array" ref="G985">INDEX(_xlfn.FILTERXML(E985,"//longitude"),1)</f>
        <v>140.22396900000001</v>
      </c>
      <c r="H985">
        <v>35.723441999999999</v>
      </c>
      <c r="I985">
        <v>140.22396900000001</v>
      </c>
    </row>
    <row r="986" spans="1:9" x14ac:dyDescent="0.4">
      <c r="A986" t="s">
        <v>15</v>
      </c>
      <c r="B986" t="s">
        <v>265</v>
      </c>
      <c r="C986" t="str">
        <f t="shared" si="63"/>
        <v>兵庫県宝塚市</v>
      </c>
      <c r="D986" s="2" t="str">
        <f t="shared" si="64"/>
        <v>http://geocode.csis.u-tokyo.ac.jp/cgi-bin/simple_geocode.cgi?charset=UTF8&amp;addr=%E5%85%B5%E5%BA%AB%E7%9C%8C%E5%AE%9D%E5%A1%9A%E5%B8%82</v>
      </c>
      <c r="E986" t="str">
        <f t="shared" si="65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986" cm="1">
        <f t="array" ref="F986">INDEX(_xlfn.FILTERXML(E986,"//latitude"),1)</f>
        <v>34.799816</v>
      </c>
      <c r="G986" cm="1">
        <f t="array" ref="G986">INDEX(_xlfn.FILTERXML(E986,"//longitude"),1)</f>
        <v>135.36009200000001</v>
      </c>
      <c r="H986">
        <v>34.799816</v>
      </c>
      <c r="I986">
        <v>135.36009200000001</v>
      </c>
    </row>
    <row r="987" spans="1:9" x14ac:dyDescent="0.4">
      <c r="A987" t="s">
        <v>16</v>
      </c>
      <c r="B987" t="s">
        <v>250</v>
      </c>
      <c r="C987" t="str">
        <f t="shared" si="63"/>
        <v>長野県長野市鶴賀上千歳町</v>
      </c>
      <c r="D987" s="2" t="str">
        <f t="shared" si="64"/>
        <v>http://geocode.csis.u-tokyo.ac.jp/cgi-bin/simple_geocode.cgi?charset=UTF8&amp;addr=%E9%95%B7%E9%87%8E%E7%9C%8C%E9%95%B7%E9%87%8E%E5%B8%82%E9%B6%B4%E8%B3%80%E4%B8%8A%E5%8D%83%E6%AD%B3%E7%94%BA</v>
      </c>
      <c r="E987" t="str">
        <f t="shared" si="65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987" cm="1">
        <f t="array" ref="F987">INDEX(_xlfn.FILTERXML(E987,"//latitude"),1)</f>
        <v>36.648570999999997</v>
      </c>
      <c r="G987" cm="1">
        <f t="array" ref="G987">INDEX(_xlfn.FILTERXML(E987,"//longitude"),1)</f>
        <v>138.18942300000001</v>
      </c>
      <c r="H987">
        <v>36.648570999999997</v>
      </c>
      <c r="I987">
        <v>138.18942300000001</v>
      </c>
    </row>
    <row r="988" spans="1:9" x14ac:dyDescent="0.4">
      <c r="A988" t="s">
        <v>18</v>
      </c>
      <c r="B988" t="s">
        <v>238</v>
      </c>
      <c r="C988" t="str">
        <f t="shared" si="63"/>
        <v>千葉県習志野市津田沼</v>
      </c>
      <c r="D988" s="2" t="str">
        <f t="shared" si="64"/>
        <v>http://geocode.csis.u-tokyo.ac.jp/cgi-bin/simple_geocode.cgi?charset=UTF8&amp;addr=%E5%8D%83%E8%91%89%E7%9C%8C%E7%BF%92%E5%BF%97%E9%87%8E%E5%B8%82%E6%B4%A5%E7%94%B0%E6%B2%BC</v>
      </c>
      <c r="E988" t="str">
        <f t="shared" si="65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988" cm="1">
        <f t="array" ref="F988">INDEX(_xlfn.FILTERXML(E988,"//latitude"),1)</f>
        <v>35.689048999999997</v>
      </c>
      <c r="G988" cm="1">
        <f t="array" ref="G988">INDEX(_xlfn.FILTERXML(E988,"//longitude"),1)</f>
        <v>140.02499399999999</v>
      </c>
      <c r="H988">
        <v>35.689048999999997</v>
      </c>
      <c r="I988">
        <v>140.02499399999999</v>
      </c>
    </row>
    <row r="989" spans="1:9" x14ac:dyDescent="0.4">
      <c r="A989" t="s">
        <v>42</v>
      </c>
      <c r="B989" t="s">
        <v>380</v>
      </c>
      <c r="C989" t="str">
        <f t="shared" si="63"/>
        <v>富山県富山市高屋敷</v>
      </c>
      <c r="D989" s="2" t="str">
        <f t="shared" si="64"/>
        <v>http://geocode.csis.u-tokyo.ac.jp/cgi-bin/simple_geocode.cgi?charset=UTF8&amp;addr=%E5%AF%8C%E5%B1%B1%E7%9C%8C%E5%AF%8C%E5%B1%B1%E5%B8%82%E9%AB%98%E5%B1%8B%E6%95%B7</v>
      </c>
      <c r="E989" t="str">
        <f t="shared" si="65"/>
        <v xml:space="preserve">&lt;?xml version="1.0" encoding="UTF-8" ?&gt;
&lt;results&gt;
&lt;query&gt;富山県富山市高屋敷&lt;/query&gt;
&lt;geodetic&gt;wgs1984&lt;/geodetic&gt;
&lt;iConf&gt;5&lt;/iConf&gt;
&lt;converted&gt;富山県富山市高屋敷&lt;/converted&gt;
&lt;candidate&gt;
&lt;address&gt;富山県/富山市/高屋敷&lt;/address&gt;
&lt;longitude&gt;137.246231&lt;/longitude&gt;
&lt;latitude&gt;36.669353&lt;/latitude&gt;
&lt;iLvl&gt;5&lt;/iLvl&gt;
&lt;/candidate&gt;
&lt;/results&gt;
</v>
      </c>
      <c r="F989" cm="1">
        <f t="array" ref="F989">INDEX(_xlfn.FILTERXML(E989,"//latitude"),1)</f>
        <v>36.669353000000001</v>
      </c>
      <c r="G989" cm="1">
        <f t="array" ref="G989">INDEX(_xlfn.FILTERXML(E989,"//longitude"),1)</f>
        <v>137.24623099999999</v>
      </c>
      <c r="H989">
        <v>36.669353000000001</v>
      </c>
      <c r="I989">
        <v>137.24623099999999</v>
      </c>
    </row>
    <row r="990" spans="1:9" x14ac:dyDescent="0.4">
      <c r="A990" t="s">
        <v>29</v>
      </c>
      <c r="B990" t="s">
        <v>261</v>
      </c>
      <c r="C990" t="str">
        <f t="shared" si="63"/>
        <v>静岡県富士宮市万野原新田</v>
      </c>
      <c r="D990" s="2" t="str">
        <f t="shared" si="64"/>
        <v>http://geocode.csis.u-tokyo.ac.jp/cgi-bin/simple_geocode.cgi?charset=UTF8&amp;addr=%E9%9D%99%E5%B2%A1%E7%9C%8C%E5%AF%8C%E5%A3%AB%E5%AE%AE%E5%B8%82%E4%B8%87%E9%87%8E%E5%8E%9F%E6%96%B0%E7%94%B0</v>
      </c>
      <c r="E990" t="str">
        <f t="shared" si="65"/>
        <v xml:space="preserve">&lt;?xml version="1.0" encoding="UTF-8" ?&gt;
&lt;results&gt;
&lt;query&gt;静岡県富士宮市万野原新田&lt;/query&gt;
&lt;geodetic&gt;wgs1984&lt;/geodetic&gt;
&lt;iConf&gt;5&lt;/iConf&gt;
&lt;converted&gt;静岡県富士宮市万野原新田&lt;/converted&gt;
&lt;candidate&gt;
&lt;address&gt;静岡県/富士宮市/万野原新田&lt;/address&gt;
&lt;longitude&gt;138.624863&lt;/longitude&gt;
&lt;latitude&gt;35.251904&lt;/latitude&gt;
&lt;iLvl&gt;5&lt;/iLvl&gt;
&lt;/candidate&gt;
&lt;/results&gt;
</v>
      </c>
      <c r="F990" cm="1">
        <f t="array" ref="F990">INDEX(_xlfn.FILTERXML(E990,"//latitude"),1)</f>
        <v>35.251904000000003</v>
      </c>
      <c r="G990" cm="1">
        <f t="array" ref="G990">INDEX(_xlfn.FILTERXML(E990,"//longitude"),1)</f>
        <v>138.624863</v>
      </c>
      <c r="H990">
        <v>35.251904000000003</v>
      </c>
      <c r="I990">
        <v>138.624863</v>
      </c>
    </row>
    <row r="991" spans="1:9" x14ac:dyDescent="0.4">
      <c r="A991" t="s">
        <v>20</v>
      </c>
      <c r="B991" t="s">
        <v>417</v>
      </c>
      <c r="C991" t="str">
        <f t="shared" si="63"/>
        <v>茨城県日立市久慈町</v>
      </c>
      <c r="D991" s="2" t="str">
        <f t="shared" si="64"/>
        <v>http://geocode.csis.u-tokyo.ac.jp/cgi-bin/simple_geocode.cgi?charset=UTF8&amp;addr=%E8%8C%A8%E5%9F%8E%E7%9C%8C%E6%97%A5%E7%AB%8B%E5%B8%82%E4%B9%85%E6%85%88%E7%94%BA</v>
      </c>
      <c r="E991" t="str">
        <f t="shared" si="65"/>
        <v xml:space="preserve">&lt;?xml version="1.0" encoding="UTF-8" ?&gt;
&lt;results&gt;
&lt;query&gt;茨城県日立市久慈町&lt;/query&gt;
&lt;geodetic&gt;wgs1984&lt;/geodetic&gt;
&lt;iConf&gt;5&lt;/iConf&gt;
&lt;converted&gt;茨城県日立市久慈町&lt;/converted&gt;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991" cm="1">
        <f t="array" ref="F991">INDEX(_xlfn.FILTERXML(E991,"//latitude"),1)</f>
        <v>36.498386000000004</v>
      </c>
      <c r="G991" cm="1">
        <f t="array" ref="G991">INDEX(_xlfn.FILTERXML(E991,"//longitude"),1)</f>
        <v>140.622589</v>
      </c>
      <c r="H991">
        <v>36.498386000000004</v>
      </c>
      <c r="I991">
        <v>140.622589</v>
      </c>
    </row>
    <row r="992" spans="1:9" x14ac:dyDescent="0.4">
      <c r="A992" t="s">
        <v>9</v>
      </c>
      <c r="B992" t="s">
        <v>165</v>
      </c>
      <c r="C992" t="str">
        <f t="shared" si="63"/>
        <v>東京都大田区仲六郷</v>
      </c>
      <c r="D992" s="2" t="str">
        <f t="shared" si="64"/>
        <v>http://geocode.csis.u-tokyo.ac.jp/cgi-bin/simple_geocode.cgi?charset=UTF8&amp;addr=%E6%9D%B1%E4%BA%AC%E9%83%BD%E5%A4%A7%E7%94%B0%E5%8C%BA%E4%BB%B2%E5%85%AD%E9%83%B7</v>
      </c>
      <c r="E992" t="str">
        <f t="shared" si="65"/>
        <v xml:space="preserve">&lt;?xml version="1.0" encoding="UTF-8" ?&gt;
&lt;results&gt;
&lt;query&gt;東京都大田区仲六郷&lt;/query&gt;
&lt;geodetic&gt;wgs1984&lt;/geodetic&gt;
&lt;iConf&gt;5&lt;/iConf&gt;
&lt;converted&gt;東京都大田区仲六郷&lt;/converted&gt;
&lt;candidate&gt;
&lt;address&gt;東京都/大田区/仲六郷&lt;/address&gt;
&lt;longitude&gt;139.715607&lt;/longitude&gt;
&lt;latitude&gt;35.553665&lt;/latitude&gt;
&lt;iLvl&gt;5&lt;/iLvl&gt;
&lt;/candidate&gt;
&lt;/results&gt;
</v>
      </c>
      <c r="F992" cm="1">
        <f t="array" ref="F992">INDEX(_xlfn.FILTERXML(E992,"//latitude"),1)</f>
        <v>35.553665000000002</v>
      </c>
      <c r="G992" cm="1">
        <f t="array" ref="G992">INDEX(_xlfn.FILTERXML(E992,"//longitude"),1)</f>
        <v>139.71560700000001</v>
      </c>
      <c r="H992">
        <v>35.553665000000002</v>
      </c>
      <c r="I992">
        <v>139.71560700000001</v>
      </c>
    </row>
    <row r="993" spans="1:9" x14ac:dyDescent="0.4">
      <c r="A993" t="s">
        <v>26</v>
      </c>
      <c r="B993" t="s">
        <v>418</v>
      </c>
      <c r="C993" t="str">
        <f t="shared" si="63"/>
        <v>京都府京都市南区西九条大国町6-1</v>
      </c>
      <c r="D993" s="2" t="str">
        <f t="shared" si="64"/>
        <v>http://geocode.csis.u-tokyo.ac.jp/cgi-bin/simple_geocode.cgi?charset=UTF8&amp;addr=%E4%BA%AC%E9%83%BD%E5%BA%9C%E4%BA%AC%E9%83%BD%E5%B8%82%E5%8D%97%E5%8C%BA%E8%A5%BF%E4%B9%9D%E6%9D%A1%E5%A4%A7%E5%9B%BD%E7%94%BA6-1</v>
      </c>
      <c r="E993" t="str">
        <f t="shared" si="65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993" cm="1">
        <f t="array" ref="F993">INDEX(_xlfn.FILTERXML(E993,"//latitude"),1)</f>
        <v>34.977969999999999</v>
      </c>
      <c r="G993" cm="1">
        <f t="array" ref="G993">INDEX(_xlfn.FILTERXML(E993,"//longitude"),1)</f>
        <v>135.74478099999999</v>
      </c>
      <c r="H993">
        <v>34.977969999999999</v>
      </c>
      <c r="I993">
        <v>135.74478099999999</v>
      </c>
    </row>
    <row r="994" spans="1:9" x14ac:dyDescent="0.4">
      <c r="A994" t="s">
        <v>118</v>
      </c>
      <c r="B994" t="s">
        <v>419</v>
      </c>
      <c r="C994" t="str">
        <f t="shared" si="63"/>
        <v>北海道札幌市西区八軒7条東3丁目</v>
      </c>
      <c r="D994" s="2" t="str">
        <f t="shared" si="64"/>
        <v>http://geocode.csis.u-tokyo.ac.jp/cgi-bin/simple_geocode.cgi?charset=UTF8&amp;addr=%E5%8C%97%E6%B5%B7%E9%81%93%E6%9C%AD%E5%B9%8C%E5%B8%82%E8%A5%BF%E5%8C%BA%E5%85%AB%E8%BB%927%E6%9D%A1%E6%9D%B13%E4%B8%81%E7%9B%AE</v>
      </c>
      <c r="E994" t="str">
        <f t="shared" si="65"/>
        <v xml:space="preserve">&lt;?xml version="1.0" encoding="UTF-8" ?&gt;
&lt;results&gt;
&lt;query&gt;北海道札幌市西区八軒7条東3丁目&lt;/query&gt;
&lt;geodetic&gt;wgs1984&lt;/geodetic&gt;
&lt;iConf&gt;5&lt;/iConf&gt;
&lt;converted&gt;北海道札幌市西区八軒7条東3丁目&lt;/converted&gt;
&lt;candidate&gt;
&lt;address&gt;北海道/札幌市/西区/八軒七条/東三丁目&lt;/address&gt;
&lt;longitude&gt;141.321411&lt;/longitude&gt;
&lt;latitude&gt;43.085854&lt;/latitude&gt;
&lt;iLvl&gt;6&lt;/iLvl&gt;
&lt;/candidate&gt;
&lt;/results&gt;
</v>
      </c>
      <c r="F994" cm="1">
        <f t="array" ref="F994">INDEX(_xlfn.FILTERXML(E994,"//latitude"),1)</f>
        <v>43.085853999999998</v>
      </c>
      <c r="G994" cm="1">
        <f t="array" ref="G994">INDEX(_xlfn.FILTERXML(E994,"//longitude"),1)</f>
        <v>141.32141100000001</v>
      </c>
      <c r="H994">
        <v>43.085853999999998</v>
      </c>
      <c r="I994">
        <v>141.32141100000001</v>
      </c>
    </row>
    <row r="995" spans="1:9" x14ac:dyDescent="0.4">
      <c r="A995" t="s">
        <v>160</v>
      </c>
      <c r="B995" t="s">
        <v>420</v>
      </c>
      <c r="C995" t="str">
        <f t="shared" si="63"/>
        <v>鳥取県鳥取市片原１丁目１１５番地</v>
      </c>
      <c r="D995" s="2" t="str">
        <f t="shared" si="64"/>
        <v>http://geocode.csis.u-tokyo.ac.jp/cgi-bin/simple_geocode.cgi?charset=UTF8&amp;addr=%E9%B3%A5%E5%8F%96%E7%9C%8C%E9%B3%A5%E5%8F%96%E5%B8%82%E7%89%87%E5%8E%9F%EF%BC%91%E4%B8%81%E7%9B%AE%EF%BC%91%EF%BC%91%EF%BC%95%E7%95%AA%E5%9C%B0</v>
      </c>
      <c r="E995" t="str">
        <f t="shared" si="65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995" cm="1">
        <f t="array" ref="F995">INDEX(_xlfn.FILTERXML(E995,"//latitude"),1)</f>
        <v>35.501629000000001</v>
      </c>
      <c r="G995" cm="1">
        <f t="array" ref="G995">INDEX(_xlfn.FILTERXML(E995,"//longitude"),1)</f>
        <v>134.23374899999999</v>
      </c>
      <c r="H995">
        <v>35.501629000000001</v>
      </c>
      <c r="I995">
        <v>134.23374899999999</v>
      </c>
    </row>
    <row r="996" spans="1:9" x14ac:dyDescent="0.4">
      <c r="A996" t="s">
        <v>25</v>
      </c>
      <c r="B996" t="s">
        <v>421</v>
      </c>
      <c r="C996" t="str">
        <f t="shared" si="63"/>
        <v>香川県高松市屋島西町</v>
      </c>
      <c r="D996" s="2" t="str">
        <f t="shared" si="64"/>
        <v>http://geocode.csis.u-tokyo.ac.jp/cgi-bin/simple_geocode.cgi?charset=UTF8&amp;addr=%E9%A6%99%E5%B7%9D%E7%9C%8C%E9%AB%98%E6%9D%BE%E5%B8%82%E5%B1%8B%E5%B3%B6%E8%A5%BF%E7%94%BA</v>
      </c>
      <c r="E996" t="str">
        <f t="shared" si="65"/>
        <v xml:space="preserve">&lt;?xml version="1.0" encoding="UTF-8" ?&gt;
&lt;results&gt;
&lt;query&gt;香川県高松市屋島西町&lt;/query&gt;
&lt;geodetic&gt;wgs1984&lt;/geodetic&gt;
&lt;iConf&gt;5&lt;/iConf&gt;
&lt;converted&gt;香川県高松市屋島西町&lt;/converted&gt;
&lt;candidate&gt;
&lt;address&gt;香川県/高松市/屋島西町&lt;/address&gt;
&lt;longitude&gt;134.097061&lt;/longitude&gt;
&lt;latitude&gt;34.361237&lt;/latitude&gt;
&lt;iLvl&gt;5&lt;/iLvl&gt;
&lt;/candidate&gt;
&lt;/results&gt;
</v>
      </c>
      <c r="F996" cm="1">
        <f t="array" ref="F996">INDEX(_xlfn.FILTERXML(E996,"//latitude"),1)</f>
        <v>34.361237000000003</v>
      </c>
      <c r="G996" cm="1">
        <f t="array" ref="G996">INDEX(_xlfn.FILTERXML(E996,"//longitude"),1)</f>
        <v>134.097061</v>
      </c>
      <c r="H996">
        <v>34.361237000000003</v>
      </c>
      <c r="I996">
        <v>134.097061</v>
      </c>
    </row>
    <row r="997" spans="1:9" x14ac:dyDescent="0.4">
      <c r="A997" t="s">
        <v>9</v>
      </c>
      <c r="B997" t="s">
        <v>422</v>
      </c>
      <c r="C997" t="str">
        <f t="shared" si="63"/>
        <v>東京都新宿区新宿</v>
      </c>
      <c r="D997" s="2" t="str">
        <f t="shared" si="64"/>
        <v>http://geocode.csis.u-tokyo.ac.jp/cgi-bin/simple_geocode.cgi?charset=UTF8&amp;addr=%E6%9D%B1%E4%BA%AC%E9%83%BD%E6%96%B0%E5%AE%BF%E5%8C%BA%E6%96%B0%E5%AE%BF</v>
      </c>
      <c r="E997" t="str">
        <f t="shared" si="65"/>
        <v xml:space="preserve">&lt;?xml version="1.0" encoding="UTF-8" ?&gt;
&lt;results&gt;
&lt;query&gt;東京都新宿区新宿&lt;/query&gt;
&lt;geodetic&gt;wgs1984&lt;/geodetic&gt;
&lt;iConf&gt;5&lt;/iConf&gt;
&lt;converted&gt;東京都新宿区新宿&lt;/converted&gt;
&lt;candidate&gt;
&lt;address&gt;東京都/新宿区/新宿&lt;/address&gt;
&lt;longitude&gt;139.712250&lt;/longitude&gt;
&lt;latitude&gt;35.689556&lt;/latitude&gt;
&lt;iLvl&gt;5&lt;/iLvl&gt;
&lt;/candidate&gt;
&lt;/results&gt;
</v>
      </c>
      <c r="F997" cm="1">
        <f t="array" ref="F997">INDEX(_xlfn.FILTERXML(E997,"//latitude"),1)</f>
        <v>35.689556000000003</v>
      </c>
      <c r="G997" cm="1">
        <f t="array" ref="G997">INDEX(_xlfn.FILTERXML(E997,"//longitude"),1)</f>
        <v>139.71225000000001</v>
      </c>
      <c r="H997">
        <v>35.689556000000003</v>
      </c>
      <c r="I997">
        <v>139.71225000000001</v>
      </c>
    </row>
    <row r="998" spans="1:9" x14ac:dyDescent="0.4">
      <c r="A998" t="s">
        <v>10</v>
      </c>
      <c r="B998" t="s">
        <v>260</v>
      </c>
      <c r="C998" t="str">
        <f t="shared" si="63"/>
        <v>神奈川県川崎市麻生区東百合丘</v>
      </c>
      <c r="D998" s="2" t="str">
        <f t="shared" si="64"/>
        <v>http://geocode.csis.u-tokyo.ac.jp/cgi-bin/simple_geocode.cgi?charset=UTF8&amp;addr=%E7%A5%9E%E5%A5%88%E5%B7%9D%E7%9C%8C%E5%B7%9D%E5%B4%8E%E5%B8%82%E9%BA%BB%E7%94%9F%E5%8C%BA%E6%9D%B1%E7%99%BE%E5%90%88%E4%B8%98</v>
      </c>
      <c r="E998" t="str">
        <f t="shared" si="65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998" cm="1">
        <f t="array" ref="F998">INDEX(_xlfn.FILTERXML(E998,"//latitude"),1)</f>
        <v>35.602142000000001</v>
      </c>
      <c r="G998" cm="1">
        <f t="array" ref="G998">INDEX(_xlfn.FILTERXML(E998,"//longitude"),1)</f>
        <v>139.527512</v>
      </c>
      <c r="H998">
        <v>35.602142000000001</v>
      </c>
      <c r="I998">
        <v>139.527512</v>
      </c>
    </row>
    <row r="999" spans="1:9" x14ac:dyDescent="0.4">
      <c r="A999" t="s">
        <v>52</v>
      </c>
      <c r="B999" t="s">
        <v>423</v>
      </c>
      <c r="C999" t="str">
        <f t="shared" si="63"/>
        <v>徳島県鳴門市撫養町</v>
      </c>
      <c r="D999" s="2" t="str">
        <f t="shared" si="64"/>
        <v>http://geocode.csis.u-tokyo.ac.jp/cgi-bin/simple_geocode.cgi?charset=UTF8&amp;addr=%E5%BE%B3%E5%B3%B6%E7%9C%8C%E9%B3%B4%E9%96%80%E5%B8%82%E6%92%AB%E9%A4%8A%E7%94%BA</v>
      </c>
      <c r="E999" t="str">
        <f t="shared" si="65"/>
        <v xml:space="preserve">&lt;?xml version="1.0" encoding="UTF-8" ?&gt;
&lt;results&gt;
&lt;query&gt;徳島県鳴門市撫養町&lt;/query&gt;
&lt;geodetic&gt;wgs1984&lt;/geodetic&gt;
&lt;iConf&gt;4&lt;/iConf&gt;
&lt;converted&gt;徳島県鳴門市撫養町&lt;/converted&gt;
&lt;candidate&gt;
&lt;address&gt;徳島県/鳴門市/撫養町岡崎&lt;/address&gt;
&lt;longitude&gt;134.620544&lt;/longitude&gt;
&lt;latitude&gt;34.182941&lt;/latitude&gt;
&lt;iLvl&gt;5&lt;/iLvl&gt;
&lt;/candidate&gt;
&lt;candidate&gt;
&lt;address&gt;徳島県/鳴門市/撫養町黒崎&lt;/address&gt;
&lt;longitude&gt;134.593796&lt;/longitude&gt;
&lt;latitude&gt;34.188046&lt;/latitude&gt;
&lt;iLvl&gt;5&lt;/iLvl&gt;
&lt;/candidate&gt;
&lt;candidate&gt;
&lt;address&gt;徳島県/鳴門市/撫養町斎田&lt;/address&gt;
&lt;longitude&gt;134.597168&lt;/longitude&gt;
&lt;latitude&gt;34.179810&lt;/latitude&gt;
&lt;iLvl&gt;5&lt;/iLvl&gt;
&lt;/candidate&gt;
&lt;candidate&gt;
&lt;address&gt;徳島県/鳴門市/撫養町小桑島&lt;/address&gt;
&lt;longitude&gt;134.607208&lt;/longitude&gt;
&lt;latitude&gt;34.181759&lt;/latitude&gt;
&lt;iLvl&gt;5&lt;/iLvl&gt;
&lt;/candidate&gt;
&lt;candidate&gt;
&lt;address&gt;徳島県/鳴門市/撫養町大桑島&lt;/address&gt;
&lt;longitude&gt;134.608994&lt;/longitude&gt;
&lt;latitude&gt;34.186676&lt;/latitude&gt;
&lt;iLvl&gt;5&lt;/iLvl&gt;
&lt;/candidate&gt;
&lt;candidate&gt;
&lt;address&gt;徳島県/鳴門市/撫養町南浜&lt;/address&gt;
&lt;longitude&gt;134.609344&lt;/longitude&gt;
&lt;latitude&gt;34.169460&lt;/latitude&gt;
&lt;iLvl&gt;5&lt;/iLvl&gt;
&lt;/candidate&gt;
&lt;candidate&gt;
&lt;address&gt;徳島県/鳴門市/撫養町弁財天&lt;/address&gt;
&lt;longitude&gt;134.618530&lt;/longitude&gt;
&lt;latitude&gt;34.181683&lt;/latitude&gt;
&lt;iLvl&gt;5&lt;/iLvl&gt;
&lt;/candidate&gt;
&lt;candidate&gt;
&lt;address&gt;徳島県/鳴門市/撫養町北浜&lt;/address&gt;
&lt;longitude&gt;134.614120&lt;/longitude&gt;
&lt;latitude&gt;34.180832&lt;/latitude&gt;
&lt;iLvl&gt;5&lt;/iLvl&gt;
&lt;/candidate&gt;
&lt;candidate&gt;
&lt;address&gt;徳島県/鳴門市/撫養町木津&lt;/address&gt;
&lt;longitude&gt;134.580643&lt;/longitude&gt;
&lt;latitude&gt;34.181732&lt;/latitude&gt;
&lt;iLvl&gt;5&lt;/iLvl&gt;
&lt;/candidate&gt;
&lt;candidate&gt;
&lt;address&gt;徳島県/鳴門市/撫養町立岩&lt;/address&gt;
&lt;longitude&gt;134.617508&lt;/longitude&gt;
&lt;latitude&gt;34.171097&lt;/latitude&gt;
&lt;iLvl&gt;5&lt;/iLvl&gt;
&lt;/candidate&gt;
&lt;candidate&gt;
&lt;address&gt;徳島県/鳴門市/撫養町林崎&lt;/address&gt;
&lt;longitude&gt;134.614944&lt;/longitude&gt;
&lt;latitude&gt;34.177776&lt;/latitude&gt;
&lt;iLvl&gt;5&lt;/iLvl&gt;
&lt;/candidate&gt;
&lt;/results&gt;
</v>
      </c>
      <c r="F999" cm="1">
        <f t="array" ref="F999">INDEX(_xlfn.FILTERXML(E999,"//latitude"),1)</f>
        <v>34.182941</v>
      </c>
      <c r="G999" cm="1">
        <f t="array" ref="G999">INDEX(_xlfn.FILTERXML(E999,"//longitude"),1)</f>
        <v>134.620544</v>
      </c>
      <c r="H999">
        <v>34.182941</v>
      </c>
      <c r="I999">
        <v>134.620544</v>
      </c>
    </row>
    <row r="1000" spans="1:9" x14ac:dyDescent="0.4">
      <c r="A1000" t="s">
        <v>11</v>
      </c>
      <c r="B1000" t="s">
        <v>424</v>
      </c>
      <c r="C1000" t="str">
        <f t="shared" si="63"/>
        <v>大阪府摂津市</v>
      </c>
      <c r="D1000" s="2" t="str">
        <f t="shared" si="64"/>
        <v>http://geocode.csis.u-tokyo.ac.jp/cgi-bin/simple_geocode.cgi?charset=UTF8&amp;addr=%E5%A4%A7%E9%98%AA%E5%BA%9C%E6%91%82%E6%B4%A5%E5%B8%82</v>
      </c>
      <c r="E1000" t="str">
        <f t="shared" si="65"/>
        <v xml:space="preserve">&lt;?xml version="1.0" encoding="UTF-8" ?&gt;
&lt;results&gt;
&lt;query&gt;大阪府摂津市&lt;/query&gt;
&lt;geodetic&gt;wgs1984&lt;/geodetic&gt;
&lt;iConf&gt;5&lt;/iConf&gt;
&lt;converted&gt;大阪府摂津市&lt;/converted&gt;
&lt;candidate&gt;
&lt;address&gt;大阪府/摂津市&lt;/address&gt;
&lt;longitude&gt;135.561890&lt;/longitude&gt;
&lt;latitude&gt;34.777386&lt;/latitude&gt;
&lt;iLvl&gt;3&lt;/iLvl&gt;
&lt;/candidate&gt;
&lt;/results&gt;
</v>
      </c>
      <c r="F1000" cm="1">
        <f t="array" ref="F1000">INDEX(_xlfn.FILTERXML(E1000,"//latitude"),1)</f>
        <v>34.777386</v>
      </c>
      <c r="G1000" cm="1">
        <f t="array" ref="G1000">INDEX(_xlfn.FILTERXML(E1000,"//longitude"),1)</f>
        <v>135.56189000000001</v>
      </c>
      <c r="H1000">
        <v>34.777386</v>
      </c>
      <c r="I1000">
        <v>135.56189000000001</v>
      </c>
    </row>
    <row r="1001" spans="1:9" x14ac:dyDescent="0.4">
      <c r="A1001" t="s">
        <v>15</v>
      </c>
      <c r="B1001" t="s">
        <v>305</v>
      </c>
      <c r="C1001" t="str">
        <f t="shared" si="63"/>
        <v>兵庫県神戸市東灘区本庄町2丁目</v>
      </c>
      <c r="D1001" s="2" t="str">
        <f t="shared" si="64"/>
        <v>http://geocode.csis.u-tokyo.ac.jp/cgi-bin/simple_geocode.cgi?charset=UTF8&amp;addr=%E5%85%B5%E5%BA%AB%E7%9C%8C%E7%A5%9E%E6%88%B8%E5%B8%82%E6%9D%B1%E7%81%98%E5%8C%BA%E6%9C%AC%E5%BA%84%E7%94%BA2%E4%B8%81%E7%9B%AE</v>
      </c>
      <c r="E1001" t="str">
        <f t="shared" si="65"/>
        <v xml:space="preserve">&lt;?xml version="1.0" encoding="UTF-8" ?&gt;
&lt;results&gt;
&lt;query&gt;兵庫県神戸市東灘区本庄町2丁目&lt;/query&gt;
&lt;geodetic&gt;wgs1984&lt;/geodetic&gt;
&lt;iConf&gt;5&lt;/iConf&gt;
&lt;converted&gt;兵庫県神戸市東灘区本庄町2丁目&lt;/converted&gt;
&lt;candidate&gt;
&lt;address&gt;兵庫県/神戸市/東灘区/本庄町/二丁目&lt;/address&gt;
&lt;longitude&gt;135.291550&lt;/longitude&gt;
&lt;latitude&gt;34.726772&lt;/latitude&gt;
&lt;iLvl&gt;6&lt;/iLvl&gt;
&lt;/candidate&gt;
&lt;/results&gt;
</v>
      </c>
      <c r="F1001" cm="1">
        <f t="array" ref="F1001">INDEX(_xlfn.FILTERXML(E1001,"//latitude"),1)</f>
        <v>34.726771999999997</v>
      </c>
      <c r="G1001" cm="1">
        <f t="array" ref="G1001">INDEX(_xlfn.FILTERXML(E1001,"//longitude"),1)</f>
        <v>135.29155</v>
      </c>
      <c r="H1001">
        <v>34.726771999999997</v>
      </c>
      <c r="I1001">
        <v>135.29155</v>
      </c>
    </row>
    <row r="1002" spans="1:9" x14ac:dyDescent="0.4">
      <c r="A1002" t="s">
        <v>10</v>
      </c>
      <c r="B1002" t="s">
        <v>84</v>
      </c>
      <c r="C1002" t="str">
        <f t="shared" si="63"/>
        <v>神奈川県横浜市港北区新横浜1-14-8</v>
      </c>
      <c r="D1002" s="2" t="str">
        <f t="shared" si="64"/>
        <v>http://geocode.csis.u-tokyo.ac.jp/cgi-bin/simple_geocode.cgi?charset=UTF8&amp;addr=%E7%A5%9E%E5%A5%88%E5%B7%9D%E7%9C%8C%E6%A8%AA%E6%B5%9C%E5%B8%82%E6%B8%AF%E5%8C%97%E5%8C%BA%E6%96%B0%E6%A8%AA%E6%B5%9C1-14-8</v>
      </c>
      <c r="E1002" t="str">
        <f t="shared" si="65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1002" cm="1">
        <f t="array" ref="F1002">INDEX(_xlfn.FILTERXML(E1002,"//latitude"),1)</f>
        <v>35.502243</v>
      </c>
      <c r="G1002" cm="1">
        <f t="array" ref="G1002">INDEX(_xlfn.FILTERXML(E1002,"//longitude"),1)</f>
        <v>139.609467</v>
      </c>
      <c r="H1002">
        <v>35.502243</v>
      </c>
      <c r="I1002">
        <v>139.609467</v>
      </c>
    </row>
    <row r="1003" spans="1:9" x14ac:dyDescent="0.4">
      <c r="A1003" t="s">
        <v>39</v>
      </c>
      <c r="B1003" t="s">
        <v>425</v>
      </c>
      <c r="C1003" t="str">
        <f t="shared" si="63"/>
        <v>愛媛県新居浜市土橋</v>
      </c>
      <c r="D1003" s="2" t="str">
        <f t="shared" si="64"/>
        <v>http://geocode.csis.u-tokyo.ac.jp/cgi-bin/simple_geocode.cgi?charset=UTF8&amp;addr=%E6%84%9B%E5%AA%9B%E7%9C%8C%E6%96%B0%E5%B1%85%E6%B5%9C%E5%B8%82%E5%9C%9F%E6%A9%8B</v>
      </c>
      <c r="E1003" t="str">
        <f t="shared" si="65"/>
        <v xml:space="preserve">&lt;?xml version="1.0" encoding="UTF-8" ?&gt;
&lt;results&gt;
&lt;query&gt;愛媛県新居浜市土橋&lt;/query&gt;
&lt;geodetic&gt;wgs1984&lt;/geodetic&gt;
&lt;iConf&gt;5&lt;/iConf&gt;
&lt;converted&gt;愛媛県新居浜市土橋&lt;/converted&gt;
&lt;candidate&gt;
&lt;address&gt;愛媛県/新居浜市/土橋&lt;/address&gt;
&lt;longitude&gt;133.290924&lt;/longitude&gt;
&lt;latitude&gt;33.935951&lt;/latitude&gt;
&lt;iLvl&gt;5&lt;/iLvl&gt;
&lt;/candidate&gt;
&lt;/results&gt;
</v>
      </c>
      <c r="F1003" cm="1">
        <f t="array" ref="F1003">INDEX(_xlfn.FILTERXML(E1003,"//latitude"),1)</f>
        <v>33.935951000000003</v>
      </c>
      <c r="G1003" cm="1">
        <f t="array" ref="G1003">INDEX(_xlfn.FILTERXML(E1003,"//longitude"),1)</f>
        <v>133.29092399999999</v>
      </c>
      <c r="H1003">
        <v>33.935951000000003</v>
      </c>
      <c r="I1003">
        <v>133.29092399999999</v>
      </c>
    </row>
    <row r="1004" spans="1:9" x14ac:dyDescent="0.4">
      <c r="A1004" t="s">
        <v>13</v>
      </c>
      <c r="B1004" t="s">
        <v>426</v>
      </c>
      <c r="C1004" t="str">
        <f t="shared" si="63"/>
        <v>埼玉県所沢市緑町</v>
      </c>
      <c r="D1004" s="2" t="str">
        <f t="shared" si="64"/>
        <v>http://geocode.csis.u-tokyo.ac.jp/cgi-bin/simple_geocode.cgi?charset=UTF8&amp;addr=%E5%9F%BC%E7%8E%89%E7%9C%8C%E6%89%80%E6%B2%A2%E5%B8%82%E7%B7%91%E7%94%BA</v>
      </c>
      <c r="E1004" t="str">
        <f t="shared" si="65"/>
        <v xml:space="preserve">&lt;?xml version="1.0" encoding="UTF-8" ?&gt;
&lt;results&gt;
&lt;query&gt;埼玉県所沢市緑町&lt;/query&gt;
&lt;geodetic&gt;wgs1984&lt;/geodetic&gt;
&lt;iConf&gt;5&lt;/iConf&gt;
&lt;converted&gt;埼玉県所沢市緑町&lt;/converted&gt;
&lt;candidate&gt;
&lt;address&gt;埼玉県/所沢市/緑町&lt;/address&gt;
&lt;longitude&gt;139.453491&lt;/longitude&gt;
&lt;latitude&gt;35.805386&lt;/latitude&gt;
&lt;iLvl&gt;5&lt;/iLvl&gt;
&lt;/candidate&gt;
&lt;/results&gt;
</v>
      </c>
      <c r="F1004" cm="1">
        <f t="array" ref="F1004">INDEX(_xlfn.FILTERXML(E1004,"//latitude"),1)</f>
        <v>35.805385999999999</v>
      </c>
      <c r="G1004" cm="1">
        <f t="array" ref="G1004">INDEX(_xlfn.FILTERXML(E1004,"//longitude"),1)</f>
        <v>139.45349100000001</v>
      </c>
      <c r="H1004">
        <v>35.805385999999999</v>
      </c>
      <c r="I1004">
        <v>139.45349100000001</v>
      </c>
    </row>
    <row r="1005" spans="1:9" x14ac:dyDescent="0.4">
      <c r="A1005" t="s">
        <v>15</v>
      </c>
      <c r="B1005" t="s">
        <v>427</v>
      </c>
      <c r="C1005" t="str">
        <f t="shared" si="63"/>
        <v>兵庫県尼崎市東園田町</v>
      </c>
      <c r="D1005" s="2" t="str">
        <f t="shared" si="64"/>
        <v>http://geocode.csis.u-tokyo.ac.jp/cgi-bin/simple_geocode.cgi?charset=UTF8&amp;addr=%E5%85%B5%E5%BA%AB%E7%9C%8C%E5%B0%BC%E5%B4%8E%E5%B8%82%E6%9D%B1%E5%9C%92%E7%94%B0%E7%94%BA</v>
      </c>
      <c r="E1005" t="str">
        <f t="shared" si="65"/>
        <v xml:space="preserve">&lt;?xml version="1.0" encoding="UTF-8" ?&gt;
&lt;results&gt;
&lt;query&gt;兵庫県尼崎市東園田町&lt;/query&gt;
&lt;geodetic&gt;wgs1984&lt;/geodetic&gt;
&lt;iConf&gt;5&lt;/iConf&gt;
&lt;converted&gt;兵庫県尼崎市東園田町&lt;/converted&gt;
&lt;candidate&gt;
&lt;address&gt;兵庫県/尼崎市/東園田町&lt;/address&gt;
&lt;longitude&gt;135.453949&lt;/longitude&gt;
&lt;latitude&gt;34.757175&lt;/latitude&gt;
&lt;iLvl&gt;5&lt;/iLvl&gt;
&lt;/candidate&gt;
&lt;/results&gt;
</v>
      </c>
      <c r="F1005" cm="1">
        <f t="array" ref="F1005">INDEX(_xlfn.FILTERXML(E1005,"//latitude"),1)</f>
        <v>34.757174999999997</v>
      </c>
      <c r="G1005" cm="1">
        <f t="array" ref="G1005">INDEX(_xlfn.FILTERXML(E1005,"//longitude"),1)</f>
        <v>135.45394899999999</v>
      </c>
      <c r="H1005">
        <v>34.757174999999997</v>
      </c>
      <c r="I1005">
        <v>135.45394899999999</v>
      </c>
    </row>
    <row r="1006" spans="1:9" x14ac:dyDescent="0.4">
      <c r="A1006" t="s">
        <v>9</v>
      </c>
      <c r="B1006" t="s">
        <v>428</v>
      </c>
      <c r="C1006" t="str">
        <f t="shared" si="63"/>
        <v>東京都杉並区堀ノ内</v>
      </c>
      <c r="D1006" s="2" t="str">
        <f t="shared" si="64"/>
        <v>http://geocode.csis.u-tokyo.ac.jp/cgi-bin/simple_geocode.cgi?charset=UTF8&amp;addr=%E6%9D%B1%E4%BA%AC%E9%83%BD%E6%9D%89%E4%B8%A6%E5%8C%BA%E5%A0%80%E3%83%8E%E5%86%85</v>
      </c>
      <c r="E1006" t="str">
        <f t="shared" si="65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1006" cm="1">
        <f t="array" ref="F1006">INDEX(_xlfn.FILTERXML(E1006,"//latitude"),1)</f>
        <v>35.685561999999997</v>
      </c>
      <c r="G1006" cm="1">
        <f t="array" ref="G1006">INDEX(_xlfn.FILTERXML(E1006,"//longitude"),1)</f>
        <v>139.64866599999999</v>
      </c>
      <c r="H1006">
        <v>35.685561999999997</v>
      </c>
      <c r="I1006">
        <v>139.64866599999999</v>
      </c>
    </row>
    <row r="1007" spans="1:9" x14ac:dyDescent="0.4">
      <c r="A1007" t="s">
        <v>21</v>
      </c>
      <c r="B1007" t="s">
        <v>78</v>
      </c>
      <c r="C1007" t="str">
        <f t="shared" si="63"/>
        <v>福岡県宮若市</v>
      </c>
      <c r="D1007" s="2" t="str">
        <f t="shared" si="64"/>
        <v>http://geocode.csis.u-tokyo.ac.jp/cgi-bin/simple_geocode.cgi?charset=UTF8&amp;addr=%E7%A6%8F%E5%B2%A1%E7%9C%8C%E5%AE%AE%E8%8B%A5%E5%B8%82</v>
      </c>
      <c r="E1007" t="str">
        <f t="shared" si="65"/>
        <v xml:space="preserve">&lt;?xml version="1.0" encoding="UTF-8" ?&gt;
&lt;results&gt;
&lt;query&gt;福岡県宮若市&lt;/query&gt;
&lt;geodetic&gt;wgs1984&lt;/geodetic&gt;
&lt;iConf&gt;5&lt;/iConf&gt;
&lt;converted&gt;福岡県宮若市&lt;/converted&gt;
&lt;candidate&gt;
&lt;address&gt;福岡県/宮若市&lt;/address&gt;
&lt;longitude&gt;130.666718&lt;/longitude&gt;
&lt;latitude&gt;33.723522&lt;/latitude&gt;
&lt;iLvl&gt;3&lt;/iLvl&gt;
&lt;/candidate&gt;
&lt;/results&gt;
</v>
      </c>
      <c r="F1007" cm="1">
        <f t="array" ref="F1007">INDEX(_xlfn.FILTERXML(E1007,"//latitude"),1)</f>
        <v>33.723522000000003</v>
      </c>
      <c r="G1007" cm="1">
        <f t="array" ref="G1007">INDEX(_xlfn.FILTERXML(E1007,"//longitude"),1)</f>
        <v>130.666718</v>
      </c>
      <c r="H1007">
        <v>33.723522000000003</v>
      </c>
      <c r="I1007">
        <v>130.666718</v>
      </c>
    </row>
    <row r="1008" spans="1:9" x14ac:dyDescent="0.4">
      <c r="A1008" t="s">
        <v>10</v>
      </c>
      <c r="B1008" t="s">
        <v>107</v>
      </c>
      <c r="C1008" t="str">
        <f t="shared" si="63"/>
        <v>神奈川県川崎市幸区小倉</v>
      </c>
      <c r="D1008" s="2" t="str">
        <f t="shared" si="64"/>
        <v>http://geocode.csis.u-tokyo.ac.jp/cgi-bin/simple_geocode.cgi?charset=UTF8&amp;addr=%E7%A5%9E%E5%A5%88%E5%B7%9D%E7%9C%8C%E5%B7%9D%E5%B4%8E%E5%B8%82%E5%B9%B8%E5%8C%BA%E5%B0%8F%E5%80%89</v>
      </c>
      <c r="E1008" t="str">
        <f t="shared" si="65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1008" cm="1">
        <f t="array" ref="F1008">INDEX(_xlfn.FILTERXML(E1008,"//latitude"),1)</f>
        <v>35.545077999999997</v>
      </c>
      <c r="G1008" cm="1">
        <f t="array" ref="G1008">INDEX(_xlfn.FILTERXML(E1008,"//longitude"),1)</f>
        <v>139.670151</v>
      </c>
      <c r="H1008">
        <v>35.545077999999997</v>
      </c>
      <c r="I1008">
        <v>139.670151</v>
      </c>
    </row>
    <row r="1009" spans="1:9" x14ac:dyDescent="0.4">
      <c r="A1009" t="s">
        <v>22</v>
      </c>
      <c r="B1009" t="s">
        <v>111</v>
      </c>
      <c r="C1009" t="str">
        <f t="shared" si="63"/>
        <v>群馬県前橋市上佐鳥町</v>
      </c>
      <c r="D1009" s="2" t="str">
        <f t="shared" si="64"/>
        <v>http://geocode.csis.u-tokyo.ac.jp/cgi-bin/simple_geocode.cgi?charset=UTF8&amp;addr=%E7%BE%A4%E9%A6%AC%E7%9C%8C%E5%89%8D%E6%A9%8B%E5%B8%82%E4%B8%8A%E4%BD%90%E9%B3%A5%E7%94%BA</v>
      </c>
      <c r="E1009" t="str">
        <f t="shared" si="65"/>
        <v xml:space="preserve">&lt;?xml version="1.0" encoding="UTF-8" ?&gt;
&lt;results&gt;
&lt;query&gt;群馬県前橋市上佐鳥町&lt;/query&gt;
&lt;geodetic&gt;wgs1984&lt;/geodetic&gt;
&lt;iConf&gt;5&lt;/iConf&gt;
&lt;converted&gt;群馬県前橋市上佐鳥町&lt;/converted&gt;
&lt;candidate&gt;
&lt;address&gt;群馬県/前橋市/上佐鳥町&lt;/address&gt;
&lt;longitude&gt;139.083939&lt;/longitude&gt;
&lt;latitude&gt;36.357906&lt;/latitude&gt;
&lt;iLvl&gt;5&lt;/iLvl&gt;
&lt;/candidate&gt;
&lt;/results&gt;
</v>
      </c>
      <c r="F1009" cm="1">
        <f t="array" ref="F1009">INDEX(_xlfn.FILTERXML(E1009,"//latitude"),1)</f>
        <v>36.357906</v>
      </c>
      <c r="G1009" cm="1">
        <f t="array" ref="G1009">INDEX(_xlfn.FILTERXML(E1009,"//longitude"),1)</f>
        <v>139.08393899999999</v>
      </c>
      <c r="H1009">
        <v>36.357906</v>
      </c>
      <c r="I1009">
        <v>139.08393899999999</v>
      </c>
    </row>
    <row r="1010" spans="1:9" x14ac:dyDescent="0.4">
      <c r="A1010" t="s">
        <v>9</v>
      </c>
      <c r="B1010" t="s">
        <v>79</v>
      </c>
      <c r="C1010" t="str">
        <f t="shared" si="63"/>
        <v>東京都練馬区石神井町</v>
      </c>
      <c r="D1010" s="2" t="str">
        <f t="shared" si="64"/>
        <v>http://geocode.csis.u-tokyo.ac.jp/cgi-bin/simple_geocode.cgi?charset=UTF8&amp;addr=%E6%9D%B1%E4%BA%AC%E9%83%BD%E7%B7%B4%E9%A6%AC%E5%8C%BA%E7%9F%B3%E7%A5%9E%E4%BA%95%E7%94%BA</v>
      </c>
      <c r="E1010" t="str">
        <f t="shared" si="65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1010" cm="1">
        <f t="array" ref="F1010">INDEX(_xlfn.FILTERXML(E1010,"//latitude"),1)</f>
        <v>35.741249000000003</v>
      </c>
      <c r="G1010" cm="1">
        <f t="array" ref="G1010">INDEX(_xlfn.FILTERXML(E1010,"//longitude"),1)</f>
        <v>139.611557</v>
      </c>
      <c r="H1010">
        <v>35.741249000000003</v>
      </c>
      <c r="I1010">
        <v>139.611557</v>
      </c>
    </row>
    <row r="1011" spans="1:9" x14ac:dyDescent="0.4">
      <c r="A1011" t="s">
        <v>9</v>
      </c>
      <c r="B1011" t="s">
        <v>1114</v>
      </c>
      <c r="C1011" t="str">
        <f t="shared" si="63"/>
        <v>東京都江東区豊洲５ー５ー１</v>
      </c>
      <c r="D1011" s="2" t="str">
        <f t="shared" si="64"/>
        <v>http://geocode.csis.u-tokyo.ac.jp/cgi-bin/simple_geocode.cgi?charset=UTF8&amp;addr=%E6%9D%B1%E4%BA%AC%E9%83%BD%E6%B1%9F%E6%9D%B1%E5%8C%BA%E8%B1%8A%E6%B4%B2%EF%BC%95%E3%83%BC%EF%BC%95%E3%83%BC%EF%BC%91</v>
      </c>
      <c r="E1011" t="str">
        <f t="shared" si="65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1011" cm="1">
        <f t="array" ref="F1011">INDEX(_xlfn.FILTERXML(E1011,"//latitude"),1)</f>
        <v>35.653678999999997</v>
      </c>
      <c r="G1011" cm="1">
        <f t="array" ref="G1011">INDEX(_xlfn.FILTERXML(E1011,"//longitude"),1)</f>
        <v>139.795715</v>
      </c>
      <c r="H1011">
        <v>35.653678999999997</v>
      </c>
      <c r="I1011">
        <v>139.795715</v>
      </c>
    </row>
    <row r="1012" spans="1:9" x14ac:dyDescent="0.4">
      <c r="A1012" t="s">
        <v>115</v>
      </c>
      <c r="B1012" t="s">
        <v>196</v>
      </c>
      <c r="C1012" t="str">
        <f t="shared" si="63"/>
        <v>長崎県島原市</v>
      </c>
      <c r="D1012" s="2" t="str">
        <f t="shared" si="64"/>
        <v>http://geocode.csis.u-tokyo.ac.jp/cgi-bin/simple_geocode.cgi?charset=UTF8&amp;addr=%E9%95%B7%E5%B4%8E%E7%9C%8C%E5%B3%B6%E5%8E%9F%E5%B8%82</v>
      </c>
      <c r="E1012" t="str">
        <f t="shared" si="65"/>
        <v xml:space="preserve">&lt;?xml version="1.0" encoding="UTF-8" ?&gt;
&lt;results&gt;
&lt;query&gt;長崎県島原市&lt;/query&gt;
&lt;geodetic&gt;wgs1984&lt;/geodetic&gt;
&lt;iConf&gt;5&lt;/iConf&gt;
&lt;converted&gt;長崎県島原市&lt;/converted&gt;
&lt;candidate&gt;
&lt;address&gt;長崎県/島原市&lt;/address&gt;
&lt;longitude&gt;130.370529&lt;/longitude&gt;
&lt;latitude&gt;32.788120&lt;/latitude&gt;
&lt;iLvl&gt;3&lt;/iLvl&gt;
&lt;/candidate&gt;
&lt;/results&gt;
</v>
      </c>
      <c r="F1012" cm="1">
        <f t="array" ref="F1012">INDEX(_xlfn.FILTERXML(E1012,"//latitude"),1)</f>
        <v>32.788119999999999</v>
      </c>
      <c r="G1012" cm="1">
        <f t="array" ref="G1012">INDEX(_xlfn.FILTERXML(E1012,"//longitude"),1)</f>
        <v>130.370529</v>
      </c>
      <c r="H1012">
        <v>32.788119999999999</v>
      </c>
      <c r="I1012">
        <v>130.370529</v>
      </c>
    </row>
    <row r="1013" spans="1:9" x14ac:dyDescent="0.4">
      <c r="A1013" t="s">
        <v>114</v>
      </c>
      <c r="B1013" t="s">
        <v>429</v>
      </c>
      <c r="C1013" t="str">
        <f t="shared" si="63"/>
        <v>福島県西白河郡西郷村小田倉前山</v>
      </c>
      <c r="D1013" s="2" t="str">
        <f t="shared" si="64"/>
        <v>http://geocode.csis.u-tokyo.ac.jp/cgi-bin/simple_geocode.cgi?charset=UTF8&amp;addr=%E7%A6%8F%E5%B3%B6%E7%9C%8C%E8%A5%BF%E7%99%BD%E6%B2%B3%E9%83%A1%E8%A5%BF%E9%83%B7%E6%9D%91%E5%B0%8F%E7%94%B0%E5%80%89%E5%89%8D%E5%B1%B1</v>
      </c>
      <c r="E1013" t="str">
        <f t="shared" si="65"/>
        <v xml:space="preserve">&lt;?xml version="1.0" encoding="UTF-8" ?&gt;
&lt;results&gt;
&lt;query&gt;福島県西白河郡西郷村小田倉前山&lt;/query&gt;
&lt;geodetic&gt;wgs1984&lt;/geodetic&gt;
&lt;iConf&gt;5&lt;/iConf&gt;
&lt;converted&gt;福島県西白河郡西郷村小田倉前山&lt;/converted&gt;
&lt;candidate&gt;
&lt;address&gt;福島県/西白河郡/西郷村/大字小田倉/前山&lt;/address&gt;
&lt;longitude&gt;140.167084&lt;/longitude&gt;
&lt;latitude&gt;37.121410&lt;/latitude&gt;
&lt;iLvl&gt;6&lt;/iLvl&gt;
&lt;/candidate&gt;
&lt;/results&gt;
</v>
      </c>
      <c r="F1013" cm="1">
        <f t="array" ref="F1013">INDEX(_xlfn.FILTERXML(E1013,"//latitude"),1)</f>
        <v>37.121409999999997</v>
      </c>
      <c r="G1013" cm="1">
        <f t="array" ref="G1013">INDEX(_xlfn.FILTERXML(E1013,"//longitude"),1)</f>
        <v>140.16708399999999</v>
      </c>
      <c r="H1013">
        <v>37.121409999999997</v>
      </c>
      <c r="I1013">
        <v>140.16708399999999</v>
      </c>
    </row>
    <row r="1014" spans="1:9" x14ac:dyDescent="0.4">
      <c r="A1014" t="s">
        <v>21</v>
      </c>
      <c r="B1014" t="s">
        <v>430</v>
      </c>
      <c r="C1014" t="str">
        <f t="shared" si="63"/>
        <v>福岡県福岡市中央区平尾浄水町</v>
      </c>
      <c r="D1014" s="2" t="str">
        <f t="shared" si="64"/>
        <v>http://geocode.csis.u-tokyo.ac.jp/cgi-bin/simple_geocode.cgi?charset=UTF8&amp;addr=%E7%A6%8F%E5%B2%A1%E7%9C%8C%E7%A6%8F%E5%B2%A1%E5%B8%82%E4%B8%AD%E5%A4%AE%E5%8C%BA%E5%B9%B3%E5%B0%BE%E6%B5%84%E6%B0%B4%E7%94%BA</v>
      </c>
      <c r="E1014" t="str">
        <f t="shared" si="65"/>
        <v xml:space="preserve">&lt;?xml version="1.0" encoding="UTF-8" ?&gt;
&lt;results&gt;
&lt;query&gt;福岡県福岡市中央区平尾浄水町&lt;/query&gt;
&lt;geodetic&gt;wgs1984&lt;/geodetic&gt;
&lt;iConf&gt;5&lt;/iConf&gt;
&lt;converted&gt;福岡県福岡市中央区平尾浄水町&lt;/converted&gt;
&lt;candidate&gt;
&lt;address&gt;福岡県/福岡市/中央区/平尾浄水町&lt;/address&gt;
&lt;longitude&gt;130.393906&lt;/longitude&gt;
&lt;latitude&gt;33.572193&lt;/latitude&gt;
&lt;iLvl&gt;5&lt;/iLvl&gt;
&lt;/candidate&gt;
&lt;/results&gt;
</v>
      </c>
      <c r="F1014" cm="1">
        <f t="array" ref="F1014">INDEX(_xlfn.FILTERXML(E1014,"//latitude"),1)</f>
        <v>33.572192999999999</v>
      </c>
      <c r="G1014" cm="1">
        <f t="array" ref="G1014">INDEX(_xlfn.FILTERXML(E1014,"//longitude"),1)</f>
        <v>130.39390599999999</v>
      </c>
      <c r="H1014">
        <v>33.572192999999999</v>
      </c>
      <c r="I1014">
        <v>130.39390599999999</v>
      </c>
    </row>
    <row r="1015" spans="1:9" x14ac:dyDescent="0.4">
      <c r="A1015" t="s">
        <v>17</v>
      </c>
      <c r="B1015" t="s">
        <v>431</v>
      </c>
      <c r="C1015" t="str">
        <f t="shared" si="63"/>
        <v>愛知県名古屋市緑区滝ノ水1-909</v>
      </c>
      <c r="D1015" s="2" t="str">
        <f t="shared" si="64"/>
        <v>http://geocode.csis.u-tokyo.ac.jp/cgi-bin/simple_geocode.cgi?charset=UTF8&amp;addr=%E6%84%9B%E7%9F%A5%E7%9C%8C%E5%90%8D%E5%8F%A4%E5%B1%8B%E5%B8%82%E7%B7%91%E5%8C%BA%E6%BB%9D%E3%83%8E%E6%B0%B41-909</v>
      </c>
      <c r="E1015" t="str">
        <f t="shared" si="65"/>
        <v xml:space="preserve">&lt;?xml version="1.0" encoding="UTF-8" ?&gt;
&lt;results&gt;
&lt;query&gt;愛知県名古屋市緑区滝ノ水1-909&lt;/query&gt;
&lt;geodetic&gt;wgs1984&lt;/geodetic&gt;
&lt;iConf&gt;5&lt;/iConf&gt;
&lt;converted&gt;愛知県名古屋市緑区滝ノ水1-909&lt;/converted&gt;
&lt;candidate&gt;
&lt;address&gt;愛知県/名古屋市/緑区/滝ノ水/一丁目/９０９番地&lt;/address&gt;
&lt;longitude&gt;136.977829&lt;/longitude&gt;
&lt;latitude&gt;35.091331&lt;/latitude&gt;
&lt;iLvl&gt;7&lt;/iLvl&gt;
&lt;/candidate&gt;
&lt;/results&gt;
</v>
      </c>
      <c r="F1015" cm="1">
        <f t="array" ref="F1015">INDEX(_xlfn.FILTERXML(E1015,"//latitude"),1)</f>
        <v>35.091330999999997</v>
      </c>
      <c r="G1015" cm="1">
        <f t="array" ref="G1015">INDEX(_xlfn.FILTERXML(E1015,"//longitude"),1)</f>
        <v>136.97782900000001</v>
      </c>
      <c r="H1015">
        <v>35.091330999999997</v>
      </c>
      <c r="I1015">
        <v>136.97782900000001</v>
      </c>
    </row>
    <row r="1016" spans="1:9" x14ac:dyDescent="0.4">
      <c r="A1016" t="s">
        <v>24</v>
      </c>
      <c r="B1016" t="s">
        <v>80</v>
      </c>
      <c r="C1016" t="str">
        <f t="shared" si="63"/>
        <v>栃木県宇都宮市下岡本町</v>
      </c>
      <c r="D1016" s="2" t="str">
        <f t="shared" si="64"/>
        <v>http://geocode.csis.u-tokyo.ac.jp/cgi-bin/simple_geocode.cgi?charset=UTF8&amp;addr=%E6%A0%83%E6%9C%A8%E7%9C%8C%E5%AE%87%E9%83%BD%E5%AE%AE%E5%B8%82%E4%B8%8B%E5%B2%A1%E6%9C%AC%E7%94%BA</v>
      </c>
      <c r="E1016" t="str">
        <f t="shared" si="65"/>
        <v xml:space="preserve">&lt;?xml version="1.0" encoding="UTF-8" ?&gt;
&lt;results&gt;
&lt;query&gt;栃木県宇都宮市下岡本町&lt;/query&gt;
&lt;geodetic&gt;wgs1984&lt;/geodetic&gt;
&lt;iConf&gt;5&lt;/iConf&gt;
&lt;converted&gt;栃木県宇都宮市下岡本町&lt;/converted&gt;
&lt;candidate&gt;
&lt;address&gt;栃木県/宇都宮市/下岡本町&lt;/address&gt;
&lt;longitude&gt;139.956757&lt;/longitude&gt;
&lt;latitude&gt;36.593567&lt;/latitude&gt;
&lt;iLvl&gt;5&lt;/iLvl&gt;
&lt;/candidate&gt;
&lt;/results&gt;
</v>
      </c>
      <c r="F1016" cm="1">
        <f t="array" ref="F1016">INDEX(_xlfn.FILTERXML(E1016,"//latitude"),1)</f>
        <v>36.593567</v>
      </c>
      <c r="G1016" cm="1">
        <f t="array" ref="G1016">INDEX(_xlfn.FILTERXML(E1016,"//longitude"),1)</f>
        <v>139.95675700000001</v>
      </c>
      <c r="H1016">
        <v>36.593567</v>
      </c>
      <c r="I1016">
        <v>139.95675700000001</v>
      </c>
    </row>
    <row r="1017" spans="1:9" x14ac:dyDescent="0.4">
      <c r="A1017" t="s">
        <v>11</v>
      </c>
      <c r="B1017" t="s">
        <v>682</v>
      </c>
      <c r="C1017" t="str">
        <f t="shared" si="63"/>
        <v>大阪府大阪市浪速区桜川</v>
      </c>
      <c r="D1017" s="2" t="str">
        <f t="shared" si="64"/>
        <v>http://geocode.csis.u-tokyo.ac.jp/cgi-bin/simple_geocode.cgi?charset=UTF8&amp;addr=%E5%A4%A7%E9%98%AA%E5%BA%9C%E5%A4%A7%E9%98%AA%E5%B8%82%E6%B5%AA%E9%80%9F%E5%8C%BA%E6%A1%9C%E5%B7%9D</v>
      </c>
      <c r="E1017" t="str">
        <f t="shared" si="65"/>
        <v xml:space="preserve">&lt;?xml version="1.0" encoding="UTF-8" ?&gt;
&lt;results&gt;
&lt;query&gt;大阪府大阪市浪速区桜川&lt;/query&gt;
&lt;geodetic&gt;wgs1984&lt;/geodetic&gt;
&lt;iConf&gt;5&lt;/iConf&gt;
&lt;converted&gt;大阪府大阪市浪速区桜川&lt;/converted&gt;
&lt;candidate&gt;
&lt;address&gt;大阪府/大阪市/浪速区/桜川&lt;/address&gt;
&lt;longitude&gt;135.492844&lt;/longitude&gt;
&lt;latitude&gt;34.666893&lt;/latitude&gt;
&lt;iLvl&gt;5&lt;/iLvl&gt;
&lt;/candidate&gt;
&lt;/results&gt;
</v>
      </c>
      <c r="F1017" cm="1">
        <f t="array" ref="F1017">INDEX(_xlfn.FILTERXML(E1017,"//latitude"),1)</f>
        <v>34.666893000000002</v>
      </c>
      <c r="G1017" cm="1">
        <f t="array" ref="G1017">INDEX(_xlfn.FILTERXML(E1017,"//longitude"),1)</f>
        <v>135.49284399999999</v>
      </c>
      <c r="H1017">
        <v>34.666893000000002</v>
      </c>
      <c r="I1017">
        <v>135.49284399999999</v>
      </c>
    </row>
    <row r="1018" spans="1:9" x14ac:dyDescent="0.4">
      <c r="A1018" t="s">
        <v>160</v>
      </c>
      <c r="B1018" t="s">
        <v>432</v>
      </c>
      <c r="C1018" t="str">
        <f t="shared" si="63"/>
        <v>鳥取県東伯郡琴浦町中尾</v>
      </c>
      <c r="D1018" s="2" t="str">
        <f t="shared" si="64"/>
        <v>http://geocode.csis.u-tokyo.ac.jp/cgi-bin/simple_geocode.cgi?charset=UTF8&amp;addr=%E9%B3%A5%E5%8F%96%E7%9C%8C%E6%9D%B1%E4%BC%AF%E9%83%A1%E7%90%B4%E6%B5%A6%E7%94%BA%E4%B8%AD%E5%B0%BE</v>
      </c>
      <c r="E1018" t="str">
        <f t="shared" si="65"/>
        <v xml:space="preserve">&lt;?xml version="1.0" encoding="UTF-8" ?&gt;
&lt;results&gt;
&lt;query&gt;鳥取県東伯郡琴浦町中尾&lt;/query&gt;
&lt;geodetic&gt;wgs1984&lt;/geodetic&gt;
&lt;iConf&gt;5&lt;/iConf&gt;
&lt;converted&gt;鳥取県東伯郡琴浦町中尾&lt;/converted&gt;
&lt;candidate&gt;
&lt;address&gt;鳥取県/東伯郡/琴浦町/中尾&lt;/address&gt;
&lt;longitude&gt;133.707108&lt;/longitude&gt;
&lt;latitude&gt;35.492416&lt;/latitude&gt;
&lt;iLvl&gt;5&lt;/iLvl&gt;
&lt;/candidate&gt;
&lt;/results&gt;
</v>
      </c>
      <c r="F1018" cm="1">
        <f t="array" ref="F1018">INDEX(_xlfn.FILTERXML(E1018,"//latitude"),1)</f>
        <v>35.492415999999999</v>
      </c>
      <c r="G1018" cm="1">
        <f t="array" ref="G1018">INDEX(_xlfn.FILTERXML(E1018,"//longitude"),1)</f>
        <v>133.70710800000001</v>
      </c>
      <c r="H1018">
        <v>35.492415999999999</v>
      </c>
      <c r="I1018">
        <v>133.70710800000001</v>
      </c>
    </row>
    <row r="1019" spans="1:9" x14ac:dyDescent="0.4">
      <c r="A1019" t="s">
        <v>51</v>
      </c>
      <c r="B1019" t="s">
        <v>433</v>
      </c>
      <c r="C1019" t="str">
        <f t="shared" si="63"/>
        <v>福井県坂井市春江町</v>
      </c>
      <c r="D1019" s="2" t="str">
        <f t="shared" si="64"/>
        <v>http://geocode.csis.u-tokyo.ac.jp/cgi-bin/simple_geocode.cgi?charset=UTF8&amp;addr=%E7%A6%8F%E4%BA%95%E7%9C%8C%E5%9D%82%E4%BA%95%E5%B8%82%E6%98%A5%E6%B1%9F%E7%94%BA</v>
      </c>
      <c r="E1019" t="str">
        <f t="shared" si="65"/>
        <v xml:space="preserve">&lt;?xml version="1.0" encoding="UTF-8" ?&gt;
&lt;results&gt;
&lt;query&gt;福井県坂井市春江町&lt;/query&gt;
&lt;geodetic&gt;wgs1984&lt;/geodetic&gt;
&lt;iConf&gt;4&lt;/iConf&gt;
&lt;converted&gt;福井県坂井市春江町&lt;/converted&gt;
&lt;candidate&gt;
&lt;address&gt;福井県/坂井市/春江町千歩寺&lt;/address&gt;
&lt;longitude&gt;136.206207&lt;/longitude&gt;
&lt;latitude&gt;36.145138&lt;/latitude&gt;
&lt;iLvl&gt;5&lt;/iLvl&gt;
&lt;/candidate&gt;
&lt;candidate&gt;
&lt;address&gt;福井県/坂井市/春江町いちい野&lt;/address&gt;
&lt;longitude&gt;136.231445&lt;/longitude&gt;
&lt;latitude&gt;36.130444&lt;/latitude&gt;
&lt;iLvl&gt;5&lt;/iLvl&gt;
&lt;/candidate&gt;
&lt;candidate&gt;
&lt;address&gt;福井県/坂井市/春江町いちい野中央&lt;/address&gt;
&lt;longitude&gt;136.229767&lt;/longitude&gt;
&lt;latitude&gt;36.131252&lt;/latitude&gt;
&lt;iLvl&gt;5&lt;/iLvl&gt;
&lt;/candidate&gt;
&lt;candidate&gt;
&lt;address&gt;福井県/坂井市/春江町いちい野北&lt;/address&gt;
&lt;longitude&gt;136.232498&lt;/longitude&gt;
&lt;latitude&gt;36.134144&lt;/latitude&gt;
&lt;iLvl&gt;5&lt;/iLvl&gt;
&lt;/candidate&gt;
&lt;candidate&gt;
&lt;address&gt;福井県/坂井市/春江町安沢&lt;/address&gt;
&lt;longitude&gt;136.176422&lt;/longitude&gt;
&lt;latitude&gt;36.140827&lt;/latitude&gt;
&lt;iLvl&gt;5&lt;/iLvl&gt;
&lt;/candidate&gt;
&lt;candidate&gt;
&lt;address&gt;福井県/坂井市/春江町為国&lt;/address&gt;
&lt;longitude&gt;136.225449&lt;/longitude&gt;
&lt;latitude&gt;36.133923&lt;/latitude&gt;
&lt;iLvl&gt;5&lt;/iLvl&gt;
&lt;/candidate&gt;
&lt;candidate&gt;
&lt;address&gt;福井県/坂井市/春江町為国亀ケ久保&lt;/address&gt;
&lt;longitude&gt;136.228119&lt;/longitude&gt;
&lt;latitude&gt;36.134418&lt;/latitude&gt;
&lt;iLvl&gt;5&lt;/iLvl&gt;
&lt;/candidate&gt;
&lt;candidate&gt;
&lt;address&gt;福井県/坂井市/春江町為国幸&lt;/address&gt;
&lt;longitude&gt;136.227814&lt;/longitude&gt;
&lt;latitude&gt;36.127537&lt;/latitude&gt;
&lt;iLvl&gt;5&lt;/iLvl&gt;
&lt;/candidate&gt;
&lt;candidate&gt;
&lt;address&gt;福井県/坂井市/春江町為国西の宮&lt;/address&gt;
&lt;longitude&gt;136.225006&lt;/longitude&gt;
&lt;latitude&gt;36.128464&lt;/latitude&gt;
&lt;iLvl&gt;5&lt;/iLvl&gt;
&lt;/candidate&gt;
&lt;candidate&gt;
&lt;address&gt;福井県/坂井市/春江町為国中区&lt;/address&gt;
&lt;longitude&gt;136.226822&lt;/longitude&gt;
&lt;latitude&gt;36.128120&lt;/latitude&gt;
&lt;iLvl&gt;5&lt;/iLvl&gt;
&lt;/candidate&gt;
&lt;candidate&gt;
&lt;address&gt;福井県/坂井市/春江町為国平成&lt;/address&gt;
&lt;longitude&gt;136.227158&lt;/longitude&gt;
&lt;latitude&gt;36.133068&lt;/latitude&gt;
&lt;iLvl&gt;5&lt;/iLvl&gt;
&lt;/candidate&gt;
&lt;candidate&gt;
&lt;address&gt;福井県/坂井市/春江町井向&lt;/address&gt;
&lt;longitude&gt;136.197800&lt;/longitude&gt;
&lt;latitude&gt;36.163853&lt;/latitude&gt;
&lt;iLvl&gt;5&lt;/iLvl&gt;
&lt;/candidate&gt;
&lt;candidate&gt;
&lt;address&gt;福井県/坂井市/春江町沖布目&lt;/address&gt;
&lt;longitude&gt;136.231400&lt;/longitude&gt;
&lt;latitude&gt;36.140198&lt;/latitude&gt;
&lt;iLvl&gt;5&lt;/iLvl&gt;
&lt;/candidate&gt;
&lt;candidate&gt;
&lt;address&gt;福井県/坂井市/春江町下小森&lt;/address&gt;
&lt;longitude&gt;136.182663&lt;/longitude&gt;
&lt;latitude&gt;36.158173&lt;/latitude&gt;
&lt;iLvl&gt;5&lt;/iLvl&gt;
&lt;/candidate&gt;
&lt;candidate&gt;
&lt;address&gt;福井県/坂井市/春江町寄安&lt;/address&gt;
&lt;longitude&gt;136.241882&lt;/longitude&gt;
&lt;latitude&gt;36.121372&lt;/latitude&gt;
&lt;iLvl&gt;5&lt;/iLvl&gt;
&lt;/candidate&gt;
&lt;candidate&gt;
&lt;address&gt;福井県/坂井市/春江町境&lt;/address&gt;
&lt;longitude&gt;136.226959&lt;/longitude&gt;
&lt;latitude&gt;36.132015&lt;/latitude&gt;
&lt;iLvl&gt;5&lt;/iLvl&gt;
&lt;/candidate&gt;
&lt;candidate&gt;
&lt;address&gt;福井県/坂井市/春江町境為&lt;/address&gt;
&lt;longitude&gt;136.234924&lt;/longitude&gt;
&lt;latitude&gt;36.132740&lt;/latitude&gt;
&lt;iLvl&gt;5&lt;/iLvl&gt;
&lt;/candidate&gt;
&lt;candidate&gt;
&lt;address&gt;福井県/坂井市/春江町境元町&lt;/address&gt;
&lt;longitude&gt;136.223969&lt;/longitude&gt;
&lt;latitude&gt;36.131332&lt;/latitude&gt;
&lt;iLvl&gt;5&lt;/iLvl&gt;
&lt;/candidate&gt;
&lt;candidate&gt;
&lt;address&gt;福井県/坂井市/春江町境上町&lt;/address&gt;
&lt;longitude&gt;136.226288&lt;/longitude&gt;
&lt;latitude&gt;36.130707&lt;/latitude&gt;
&lt;iLvl&gt;5&lt;/iLvl&gt;
&lt;/candidate&gt;
&lt;candidate&gt;
&lt;address&gt;福井県/坂井市/春江町金剛寺&lt;/address&gt;
&lt;longitude&gt;136.193451&lt;/longitude&gt;
&lt;latitude&gt;36.140236&lt;/latitude&gt;
&lt;iLvl&gt;5&lt;/iLvl&gt;
&lt;/candidate&gt;
&lt;candidate&gt;
&lt;address&gt;福井県/坂井市/春江町江留下&lt;/address&gt;
&lt;longitude&gt;136.222488&lt;/longitude&gt;
&lt;latitude&gt;36.126904&lt;/latitude&gt;
&lt;iLvl&gt;5&lt;/iLvl&gt;
&lt;/candidate&gt;
&lt;candidate&gt;
&lt;address&gt;福井県/坂井市/春江町江留下宇和江&lt;/address&gt;
&lt;longitude&gt;136.220535&lt;/longitude&gt;
&lt;latitude&gt;36.126881&lt;/latitude&gt;
&lt;iLvl&gt;5&lt;/iLvl&gt;
&lt;/candidate&gt;
&lt;candidate&gt;
&lt;address&gt;福井県/坂井市/春江町江留下屋敷&lt;/address&gt;
&lt;longitude&gt;136.221573&lt;/longitude&gt;
&lt;latitude&gt;36.129436&lt;/latitude&gt;
&lt;iLvl&gt;5&lt;/iLvl&gt;
&lt;/candidate&gt;
&lt;candidate&gt;
&lt;address&gt;福井県/坂井市/春江町江留下高道&lt;/address&gt;
&lt;longitude&gt;136.218933&lt;/longitude&gt;
&lt;latitude&gt;36.129967&lt;/latitude&gt;
&lt;iLvl&gt;5&lt;/iLvl&gt;
&lt;/candidate&gt;
&lt;candidate&gt;
&lt;address&gt;福井県/坂井市/春江町江留下相田&lt;/address&gt;
&lt;longitude&gt;136.217850&lt;/longitude&gt;
&lt;latitude&gt;36.127251&lt;/latitude&gt;
&lt;iLvl&gt;5&lt;/iLvl&gt;
&lt;/candidate&gt;
&lt;candidate&gt;
&lt;address&gt;福井県/坂井市/春江町江留上&lt;/address&gt;
&lt;longitude&gt;136.220459&lt;/longitude&gt;
&lt;latitude&gt;36.123886&lt;/latitude&gt;
&lt;iLvl&gt;5&lt;/iLvl&gt;
&lt;/candidate&gt;
&lt;candidate&gt;
&lt;address&gt;福井県/坂井市/春江町江留上旭&lt;/address&gt;
&lt;longitude&gt;136.223892&lt;/longitude&gt;
&lt;latitude&gt;36.126343&lt;/latitude&gt;
&lt;iLvl&gt;5&lt;/iLvl&gt;
&lt;/candidate&gt;
&lt;candidate&gt;
&lt;address&gt;福井県/坂井市/春江町江留上錦&lt;/address&gt;
&lt;longitude&gt;136.217117&lt;/longitude&gt;
&lt;latitude&gt;36.122471&lt;/latitude&gt;
&lt;iLvl&gt;5&lt;/iLvl&gt;
&lt;/candidate&gt;
&lt;candidate&gt;
&lt;address&gt;福井県/坂井市/春江町江留上昭和&lt;/address&gt;
&lt;longitude&gt;136.222748&lt;/longitude&gt;
&lt;latitude&gt;36.122002&lt;/latitude&gt;
&lt;iLvl&gt;5&lt;/iLvl&gt;
&lt;/candidate&gt;
&lt;candidate&gt;
&lt;address&gt;福井県/坂井市/春江町江留上新町&lt;/address&gt;
&lt;longitude&gt;136.217148&lt;/longitude&gt;
&lt;latitude&gt;36.125401&lt;/latitude&gt;
&lt;iLvl&gt;5&lt;/iLvl&gt;
&lt;/candidate&gt;
&lt;candidate&gt;
&lt;address&gt;福井県/坂井市/春江町江留上大和&lt;/address&gt;
&lt;longitude&gt;136.223312&lt;/longitude&gt;
&lt;latitude&gt;36.123516&lt;/latitude&gt;
&lt;iLvl&gt;5&lt;/iLvl&gt;
&lt;/candidate&gt;
&lt;candidate&gt;
&lt;address&gt;福井県/坂井市/春江町江留上中央&lt;/address&gt;
&lt;longitude&gt;136.226410&lt;/longitude&gt;
&lt;latitude&gt;36.123848&lt;/latitude&gt;
&lt;iLvl&gt;5&lt;/iLvl&gt;
&lt;/candidate&gt;
&lt;candidate&gt;
&lt;address&gt;福井県/坂井市/春江町江留上日の出&lt;/address&gt;
&lt;longitude&gt;136.228088&lt;/longitude&gt;
&lt;latitude&gt;36.122761&lt;/latitude&gt;
&lt;iLvl&gt;5&lt;/iLvl&gt;
&lt;/candidate&gt;
&lt;candidate&gt;
&lt;address&gt;福井県/坂井市/春江町江留上本町&lt;/address&gt;
&lt;longitude&gt;136.226486&lt;/longitude&gt;
&lt;latitude&gt;36.125626&lt;/latitude&gt;
&lt;iLvl&gt;5&lt;/iLvl&gt;
&lt;/candidate&gt;
&lt;candidate&gt;
&lt;address&gt;福井県/坂井市/春江町江留上緑&lt;/address&gt;
&lt;longitude&gt;136.222031&lt;/longitude&gt;
&lt;latitude&gt;36.124989&lt;/latitude&gt;
&lt;iLvl&gt;5&lt;/iLvl&gt;
&lt;/candidate&gt;
&lt;candidate&gt;
&lt;address&gt;福井県/坂井市/春江町江留中&lt;/address&gt;
&lt;longitude&gt;136.216782&lt;/longitude&gt;
&lt;latitude&gt;36.138966&lt;/latitude&gt;
&lt;iLvl&gt;5&lt;/iLvl&gt;
&lt;/candidate&gt;
&lt;candidate&gt;
&lt;address&gt;福井県/坂井市/春江町高江&lt;/address&gt;
&lt;longitude&gt;136.188843&lt;/longitude&gt;
&lt;latitude&gt;36.132385&lt;/latitude&gt;
&lt;iLvl&gt;5&lt;/iLvl&gt;
&lt;/candidate&gt;
&lt;candidate&gt;
&lt;address&gt;福井県/坂井市/春江町取次&lt;/address&gt;
&lt;longitude&gt;136.175476&lt;/longitude&gt;
&lt;latitude&gt;36.146652&lt;/latitude&gt;
&lt;iLvl&gt;5&lt;/iLvl&gt;
&lt;/candidate&gt;
&lt;candidate&gt;
&lt;address&gt;福井県/坂井市/春江町松木&lt;/address&gt;
&lt;longitude&gt;136.198730&lt;/longitude&gt;
&lt;latitude&gt;36.138222&lt;/latitude&gt;
&lt;iLvl&gt;5&lt;/iLvl&gt;
&lt;/candidate&gt;
&lt;candidate&gt;
&lt;address&gt;福井県/坂井市/春江町上小森&lt;/address&gt;
&lt;longitude&gt;136.185089&lt;/longitude&gt;
&lt;latitude&gt;36.154449&lt;/latitude&gt;
&lt;iLvl&gt;5&lt;/iLvl&gt;
&lt;/candidate&gt;
&lt;candidate&gt;
&lt;address&gt;福井県/坂井市/春江町針原&lt;/address&gt;
&lt;longitude&gt;136.202042&lt;/longitude&gt;
&lt;latitude&gt;36.125557&lt;/latitude&gt;
&lt;iLvl&gt;5&lt;/iLvl&gt;
&lt;/candidate&gt;
&lt;candidate&gt;
&lt;address&gt;福井県/坂井市/春江町随応寺&lt;/address&gt;
&lt;longitude&gt;136.218948&lt;/longitude&gt;
&lt;latitude&gt;36.133183&lt;/latitude&gt;
&lt;iLvl&gt;5&lt;/iLvl&gt;
&lt;/candidate&gt;
&lt;candidate&gt;
&lt;address&gt;福井県/坂井市/春江町随応寺中央&lt;/address&gt;
&lt;longitude&gt;136.216553&lt;/longitude&gt;
&lt;latitude&gt;36.135094&lt;/latitude&gt;
&lt;iLvl&gt;5&lt;/iLvl&gt;
&lt;/candidate&gt;
&lt;candidate&gt;
&lt;address&gt;福井県/坂井市/春江町正善&lt;/address&gt;
&lt;longitude&gt;136.167801&lt;/longitude&gt;
&lt;latitude&gt;36.151581&lt;/latitude&gt;
&lt;iLvl&gt;5&lt;/iLvl&gt;
&lt;/candidate&gt;
&lt;candidate&gt;
&lt;address&gt;福井県/坂井市/春江町正蓮花&lt;/address&gt;
&lt;longitude&gt;136.234268&lt;/longitude&gt;
&lt;latitude&gt;36.122154&lt;/latitude&gt;
&lt;iLvl&gt;5&lt;/iLvl&gt;
&lt;/candidate&gt;
&lt;candidate&gt;
&lt;address&gt;福井県/坂井市/春江町西太郎丸&lt;/address&gt;
&lt;longitude&gt;136.207489&lt;/longitude&gt;
&lt;latitude&gt;36.130875&lt;/latitude&gt;
&lt;iLvl&gt;5&lt;/iLvl&gt;
&lt;/candidate&gt;
&lt;candidate&gt;
&lt;address&gt;福井県/坂井市/春江町西長田&lt;/address&gt;
&lt;longitude&gt;136.203979&lt;/longitude&gt;
&lt;latitude&gt;36.155418&lt;/latitude&gt;
&lt;iLvl&gt;5&lt;/iLvl&gt;
&lt;/candidate&gt;
&lt;candidate&gt;
&lt;address&gt;福井県/坂井市/春江町石塚&lt;/address&gt;
&lt;longitude&gt;136.182922&lt;/longitude&gt;
&lt;latitude&gt;36.146343&lt;/latitude&gt;
&lt;iLvl&gt;5&lt;/iLvl&gt;
&lt;/candidate&gt;
&lt;candidate&gt;
&lt;address&gt;福井県/坂井市/春江町石仏&lt;/address&gt;
&lt;longitude&gt;136.236023&lt;/longitude&gt;
&lt;latitude&gt;36.130127&lt;/latitude&gt;
&lt;iLvl&gt;5&lt;/iLvl&gt;
&lt;/candidate&gt;
&lt;candidate&gt;
&lt;address&gt;福井県/坂井市/春江町大針&lt;/address&gt;
&lt;longitude&gt;136.225723&lt;/longitude&gt;
&lt;latitude&gt;36.146854&lt;/latitude&gt;
&lt;iLvl&gt;5&lt;/iLvl&gt;
&lt;/candidate&gt;
&lt;candidate&gt;
&lt;address&gt;福井県/坂井市/春江町大牧&lt;/address&gt;
&lt;longitude&gt;136.193756&lt;/longitude&gt;
&lt;latitude&gt;36.159645&lt;/latitude&gt;
&lt;iLvl&gt;5&lt;/iLvl&gt;
&lt;/candidate&gt;
&lt;candidate&gt;
&lt;address&gt;福井県/坂井市/春江町中筋&lt;/address&gt;
&lt;longitude&gt;136.240570&lt;/longitude&gt;
&lt;latitude&gt;36.126942&lt;/latitude&gt;
&lt;iLvl&gt;5&lt;/iLvl&gt;
&lt;/candidate&gt;
&lt;candidate&gt;
&lt;address&gt;福井県/坂井市/春江町中筋三ツ屋&lt;/address&gt;
&lt;longitude&gt;136.230637&lt;/longitude&gt;
&lt;latitude&gt;36.125828&lt;/latitude&gt;
&lt;iLvl&gt;5&lt;/iLvl&gt;
&lt;/candidate&gt;
&lt;candidate&gt;
&lt;address&gt;福井県/坂井市/春江町中筋高田&lt;/address&gt;
&lt;longitude&gt;136.233688&lt;/longitude&gt;
&lt;latitude&gt;36.126144&lt;/latitude&gt;
&lt;iLvl&gt;5&lt;/iLvl&gt;
&lt;/candidate&gt;
&lt;candidate&gt;
&lt;address&gt;福井県/坂井市/春江町中筋春日&lt;/address&gt;
&lt;longitude&gt;136.230637&lt;/longitude&gt;
&lt;latitude&gt;36.126865&lt;/latitude&gt;
&lt;iLvl&gt;5&lt;/iLvl&gt;
&lt;/candidate&gt;
&lt;candidate&gt;
&lt;address&gt;福井県/坂井市/春江町中筋大手&lt;/address&gt;
&lt;longitude&gt;136.230637&lt;/longitude&gt;
&lt;latitude&gt;36.128456&lt;/latitude&gt;
&lt;iLvl&gt;5&lt;/iLvl&gt;
&lt;/candidate&gt;
&lt;candidate&gt;
&lt;address&gt;福井県/坂井市/春江町中筋北浦&lt;/address&gt;
&lt;longitude&gt;136.235046&lt;/longitude&gt;
&lt;latitude&gt;36.128147&lt;/latitude&gt;
&lt;iLvl&gt;5&lt;/iLvl&gt;
&lt;/candidate&gt;
&lt;candidate&gt;
&lt;address&gt;福井県/坂井市/春江町中庄&lt;/address&gt;
&lt;longitude&gt;136.195953&lt;/longitude&gt;
&lt;latitude&gt;36.146259&lt;/latitude&gt;
&lt;iLvl&gt;5&lt;/iLvl&gt;
&lt;/candidate&gt;
&lt;candidate&gt;
&lt;address&gt;福井県/坂井市/春江町辻&lt;/address&gt;
&lt;longitude&gt;136.177261&lt;/longitude&gt;
&lt;latitude&gt;36.161118&lt;/latitude&gt;
&lt;iLvl&gt;5&lt;/iLvl&gt;
&lt;/candidate&gt;
&lt;candidate&gt;
&lt;address&gt;福井県/坂井市/春江町定広&lt;/address&gt;
&lt;longitude&gt;136.166138&lt;/longitude&gt;
&lt;latitude&gt;36.157154&lt;/latitude&gt;
&lt;iLvl&gt;5&lt;/iLvl&gt;
&lt;/candidate&gt;
&lt;candidate&gt;
&lt;address&gt;福井県/坂井市/春江町定重&lt;/address&gt;
&lt;longitude&gt;136.247208&lt;/longitude&gt;
&lt;latitude&gt;36.120819&lt;/latitude&gt;
&lt;iLvl&gt;5&lt;/iLvl&gt;
&lt;/candidate&gt;
&lt;candidate&gt;
&lt;address&gt;福井県/坂井市/春江町田端&lt;/address&gt;
&lt;longitude&gt;136.196259&lt;/longitude&gt;
&lt;latitude&gt;36.135284&lt;/latitude&gt;
&lt;iLvl&gt;5&lt;/iLvl&gt;
&lt;/candidate&gt;
&lt;candidate&gt;
&lt;address&gt;福井県/坂井市/春江町東太郎丸&lt;/address&gt;
&lt;longitude&gt;136.215485&lt;/longitude&gt;
&lt;latitude&gt;36.128822&lt;/latitude&gt;
&lt;iLvl&gt;5&lt;/iLvl&gt;
&lt;/candidate&gt;
&lt;candidate&gt;
&lt;address&gt;福井県/坂井市/春江町藤鷲塚&lt;/address&gt;
&lt;longitude&gt;136.216782&lt;/longitude&gt;
&lt;latitude&gt;36.145161&lt;/latitude&gt;
&lt;iLvl&gt;5&lt;/iLvl&gt;
&lt;/candidate&gt;
&lt;candidate&gt;
&lt;address&gt;福井県/坂井市/春江町姫王&lt;/address&gt;
&lt;longitude&gt;136.175064&lt;/longitude&gt;
&lt;latitude&gt;36.152142&lt;/latitude&gt;
&lt;iLvl&gt;5&lt;/iLvl&gt;
&lt;/candidate&gt;
&lt;candidate&gt;
&lt;address&gt;福井県/坂井市/春江町布施田新&lt;/address&gt;
&lt;longitude&gt;136.169785&lt;/longitude&gt;
&lt;latitude&gt;36.146019&lt;/latitude&gt;
&lt;iLvl&gt;5&lt;/iLvl&gt;
&lt;/candidate&gt;
&lt;candidate&gt;
&lt;address&gt;福井県/坂井市/春江町堀越&lt;/address&gt;
&lt;longitude&gt;136.178650&lt;/longitude&gt;
&lt;latitude&gt;36.166454&lt;/latitude&gt;
&lt;iLvl&gt;5&lt;/iLvl&gt;
&lt;/candidate&gt;
&lt;candidate&gt;
&lt;address&gt;福井県/坂井市/春江町本堂&lt;/address&gt;
&lt;longitude&gt;136.205704&lt;/longitude&gt;
&lt;latitude&gt;36.136234&lt;/latitude&gt;
&lt;iLvl&gt;5&lt;/iLvl&gt;
&lt;/candidate&gt;
&lt;candidate&gt;
&lt;address&gt;福井県/坂井市/春江町木部西方寺&lt;/address&gt;
&lt;longitude&gt;136.172562&lt;/longitude&gt;
&lt;latitude&gt;36.158325&lt;/latitude&gt;
&lt;iLvl&gt;5&lt;/iLvl&gt;
&lt;/candidate&gt;
&lt;/results&gt;
</v>
      </c>
      <c r="F1019" cm="1">
        <f t="array" ref="F1019">INDEX(_xlfn.FILTERXML(E1019,"//latitude"),1)</f>
        <v>36.145138000000003</v>
      </c>
      <c r="G1019" cm="1">
        <f t="array" ref="G1019">INDEX(_xlfn.FILTERXML(E1019,"//longitude"),1)</f>
        <v>136.20620700000001</v>
      </c>
      <c r="H1019">
        <v>36.145138000000003</v>
      </c>
      <c r="I1019">
        <v>136.20620700000001</v>
      </c>
    </row>
    <row r="1020" spans="1:9" x14ac:dyDescent="0.4">
      <c r="A1020" t="s">
        <v>121</v>
      </c>
      <c r="B1020" t="s">
        <v>434</v>
      </c>
      <c r="C1020" t="str">
        <f t="shared" si="63"/>
        <v>山梨県南都留郡富士河口湖町河口</v>
      </c>
      <c r="D1020" s="2" t="str">
        <f t="shared" si="64"/>
        <v>http://geocode.csis.u-tokyo.ac.jp/cgi-bin/simple_geocode.cgi?charset=UTF8&amp;addr=%E5%B1%B1%E6%A2%A8%E7%9C%8C%E5%8D%97%E9%83%BD%E7%95%99%E9%83%A1%E5%AF%8C%E5%A3%AB%E6%B2%B3%E5%8F%A3%E6%B9%96%E7%94%BA%E6%B2%B3%E5%8F%A3</v>
      </c>
      <c r="E1020" t="str">
        <f t="shared" si="65"/>
        <v xml:space="preserve">&lt;?xml version="1.0" encoding="UTF-8" ?&gt;
&lt;results&gt;
&lt;query&gt;山梨県南都留郡富士河口湖町河口&lt;/query&gt;
&lt;geodetic&gt;wgs1984&lt;/geodetic&gt;
&lt;iConf&gt;5&lt;/iConf&gt;
&lt;converted&gt;山梨県南都留郡富士河口湖町河口&lt;/converted&gt;
&lt;candidate&gt;
&lt;address&gt;山梨県/南都留郡/富士河口湖町/河口&lt;/address&gt;
&lt;longitude&gt;138.779053&lt;/longitude&gt;
&lt;latitude&gt;35.543289&lt;/latitude&gt;
&lt;iLvl&gt;5&lt;/iLvl&gt;
&lt;/candidate&gt;
&lt;/results&gt;
</v>
      </c>
      <c r="F1020" cm="1">
        <f t="array" ref="F1020">INDEX(_xlfn.FILTERXML(E1020,"//latitude"),1)</f>
        <v>35.543289000000001</v>
      </c>
      <c r="G1020" cm="1">
        <f t="array" ref="G1020">INDEX(_xlfn.FILTERXML(E1020,"//longitude"),1)</f>
        <v>138.779053</v>
      </c>
      <c r="H1020">
        <v>35.543289000000001</v>
      </c>
      <c r="I1020">
        <v>138.779053</v>
      </c>
    </row>
    <row r="1021" spans="1:9" x14ac:dyDescent="0.4">
      <c r="A1021" t="s">
        <v>13</v>
      </c>
      <c r="B1021" t="s">
        <v>1115</v>
      </c>
      <c r="C1021" t="str">
        <f t="shared" si="63"/>
        <v>埼玉県さいたま市浦和区仲町２－１９－１６</v>
      </c>
      <c r="D1021" s="2" t="str">
        <f t="shared" si="64"/>
        <v>http://geocode.csis.u-tokyo.ac.jp/cgi-bin/simple_geocode.cgi?charset=UTF8&amp;addr=%E5%9F%BC%E7%8E%89%E7%9C%8C%E3%81%95%E3%81%84%E3%81%9F%E3%81%BE%E5%B8%82%E6%B5%A6%E5%92%8C%E5%8C%BA%E4%BB%B2%E7%94%BA%EF%BC%92%EF%BC%8D%EF%BC%91%EF%BC%99%EF%BC%8D%EF%BC%91%EF%BC%96</v>
      </c>
      <c r="E1021" t="str">
        <f t="shared" si="65"/>
        <v xml:space="preserve">&lt;?xml version="1.0" encoding="UTF-8" ?&gt;
&lt;results&gt;
&lt;query&gt;埼玉県さいたま市浦和区仲町２−１９−１６&lt;/query&gt;
&lt;geodetic&gt;wgs1984&lt;/geodetic&gt;
&lt;iConf&gt;5&lt;/iConf&gt;
&lt;converted&gt;埼玉県さいたま市浦和区仲町２−１９−１６&lt;/converted&gt;
&lt;candidate&gt;
&lt;address&gt;埼玉県/さいたま市/浦和区/仲町/二丁目/１９番/１６号&lt;/address&gt;
&lt;longitude&gt;139.650421&lt;/longitude&gt;
&lt;latitude&gt;35.860485&lt;/latitude&gt;
&lt;iLvl&gt;8&lt;/iLvl&gt;
&lt;/candidate&gt;
&lt;/results&gt;
</v>
      </c>
      <c r="F1021" cm="1">
        <f t="array" ref="F1021">INDEX(_xlfn.FILTERXML(E1021,"//latitude"),1)</f>
        <v>35.860484999999997</v>
      </c>
      <c r="G1021" cm="1">
        <f t="array" ref="G1021">INDEX(_xlfn.FILTERXML(E1021,"//longitude"),1)</f>
        <v>139.65042099999999</v>
      </c>
      <c r="H1021">
        <v>35.860484999999997</v>
      </c>
      <c r="I1021">
        <v>139.65042099999999</v>
      </c>
    </row>
    <row r="1022" spans="1:9" x14ac:dyDescent="0.4">
      <c r="A1022" t="s">
        <v>9</v>
      </c>
      <c r="B1022" t="s">
        <v>155</v>
      </c>
      <c r="C1022" t="str">
        <f t="shared" si="63"/>
        <v>東京都港区高輪</v>
      </c>
      <c r="D1022" s="2" t="str">
        <f t="shared" si="64"/>
        <v>http://geocode.csis.u-tokyo.ac.jp/cgi-bin/simple_geocode.cgi?charset=UTF8&amp;addr=%E6%9D%B1%E4%BA%AC%E9%83%BD%E6%B8%AF%E5%8C%BA%E9%AB%98%E8%BC%AA</v>
      </c>
      <c r="E1022" t="str">
        <f t="shared" si="65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1022" cm="1">
        <f t="array" ref="F1022">INDEX(_xlfn.FILTERXML(E1022,"//latitude"),1)</f>
        <v>35.640555999999997</v>
      </c>
      <c r="G1022" cm="1">
        <f t="array" ref="G1022">INDEX(_xlfn.FILTERXML(E1022,"//longitude"),1)</f>
        <v>139.73516799999999</v>
      </c>
      <c r="H1022">
        <v>35.640555999999997</v>
      </c>
      <c r="I1022">
        <v>139.73516799999999</v>
      </c>
    </row>
    <row r="1023" spans="1:9" x14ac:dyDescent="0.4">
      <c r="A1023" t="s">
        <v>13</v>
      </c>
      <c r="B1023" t="s">
        <v>435</v>
      </c>
      <c r="C1023" t="str">
        <f t="shared" si="63"/>
        <v>埼玉県熊谷市本町</v>
      </c>
      <c r="D1023" s="2" t="str">
        <f t="shared" si="64"/>
        <v>http://geocode.csis.u-tokyo.ac.jp/cgi-bin/simple_geocode.cgi?charset=UTF8&amp;addr=%E5%9F%BC%E7%8E%89%E7%9C%8C%E7%86%8A%E8%B0%B7%E5%B8%82%E6%9C%AC%E7%94%BA</v>
      </c>
      <c r="E1023" t="str">
        <f t="shared" si="65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1023" cm="1">
        <f t="array" ref="F1023">INDEX(_xlfn.FILTERXML(E1023,"//latitude"),1)</f>
        <v>36.144767999999999</v>
      </c>
      <c r="G1023" cm="1">
        <f t="array" ref="G1023">INDEX(_xlfn.FILTERXML(E1023,"//longitude"),1)</f>
        <v>139.38445999999999</v>
      </c>
      <c r="H1023">
        <v>36.144767999999999</v>
      </c>
      <c r="I1023">
        <v>139.38445999999999</v>
      </c>
    </row>
    <row r="1024" spans="1:9" x14ac:dyDescent="0.4">
      <c r="A1024" t="s">
        <v>10</v>
      </c>
      <c r="B1024" t="s">
        <v>59</v>
      </c>
      <c r="C1024" t="str">
        <f t="shared" si="63"/>
        <v>神奈川県横浜市港北区大倉山</v>
      </c>
      <c r="D1024" s="2" t="str">
        <f t="shared" si="64"/>
        <v>http://geocode.csis.u-tokyo.ac.jp/cgi-bin/simple_geocode.cgi?charset=UTF8&amp;addr=%E7%A5%9E%E5%A5%88%E5%B7%9D%E7%9C%8C%E6%A8%AA%E6%B5%9C%E5%B8%82%E6%B8%AF%E5%8C%97%E5%8C%BA%E5%A4%A7%E5%80%89%E5%B1%B1</v>
      </c>
      <c r="E1024" t="str">
        <f t="shared" si="65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024" cm="1">
        <f t="array" ref="F1024">INDEX(_xlfn.FILTERXML(E1024,"//latitude"),1)</f>
        <v>35.520156999999998</v>
      </c>
      <c r="G1024" cm="1">
        <f t="array" ref="G1024">INDEX(_xlfn.FILTERXML(E1024,"//longitude"),1)</f>
        <v>139.63125600000001</v>
      </c>
      <c r="H1024">
        <v>35.520156999999998</v>
      </c>
      <c r="I1024">
        <v>139.63125600000001</v>
      </c>
    </row>
    <row r="1025" spans="1:9" x14ac:dyDescent="0.4">
      <c r="A1025" t="s">
        <v>17</v>
      </c>
      <c r="B1025" t="s">
        <v>436</v>
      </c>
      <c r="C1025" t="str">
        <f t="shared" si="63"/>
        <v>愛知県江南市五明町当光地</v>
      </c>
      <c r="D1025" s="2" t="str">
        <f t="shared" si="64"/>
        <v>http://geocode.csis.u-tokyo.ac.jp/cgi-bin/simple_geocode.cgi?charset=UTF8&amp;addr=%E6%84%9B%E7%9F%A5%E7%9C%8C%E6%B1%9F%E5%8D%97%E5%B8%82%E4%BA%94%E6%98%8E%E7%94%BA%E5%BD%93%E5%85%89%E5%9C%B0</v>
      </c>
      <c r="E1025" t="str">
        <f t="shared" si="65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1025" cm="1">
        <f t="array" ref="F1025">INDEX(_xlfn.FILTERXML(E1025,"//latitude"),1)</f>
        <v>35.317512999999998</v>
      </c>
      <c r="G1025" cm="1">
        <f t="array" ref="G1025">INDEX(_xlfn.FILTERXML(E1025,"//longitude"),1)</f>
        <v>136.86288500000001</v>
      </c>
      <c r="H1025">
        <v>35.317512999999998</v>
      </c>
      <c r="I1025">
        <v>136.86288500000001</v>
      </c>
    </row>
    <row r="1026" spans="1:9" x14ac:dyDescent="0.4">
      <c r="A1026" t="s">
        <v>9</v>
      </c>
      <c r="B1026" t="s">
        <v>162</v>
      </c>
      <c r="C1026" t="str">
        <f t="shared" si="63"/>
        <v>東京都文京区本駒込</v>
      </c>
      <c r="D1026" s="2" t="str">
        <f t="shared" si="64"/>
        <v>http://geocode.csis.u-tokyo.ac.jp/cgi-bin/simple_geocode.cgi?charset=UTF8&amp;addr=%E6%9D%B1%E4%BA%AC%E9%83%BD%E6%96%87%E4%BA%AC%E5%8C%BA%E6%9C%AC%E9%A7%92%E8%BE%BC</v>
      </c>
      <c r="E1026" t="str">
        <f t="shared" si="65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026" cm="1">
        <f t="array" ref="F1026">INDEX(_xlfn.FILTERXML(E1026,"//latitude"),1)</f>
        <v>35.725501999999999</v>
      </c>
      <c r="G1026" cm="1">
        <f t="array" ref="G1026">INDEX(_xlfn.FILTERXML(E1026,"//longitude"),1)</f>
        <v>139.75147999999999</v>
      </c>
      <c r="H1026">
        <v>35.725501999999999</v>
      </c>
      <c r="I1026">
        <v>139.75147999999999</v>
      </c>
    </row>
    <row r="1027" spans="1:9" x14ac:dyDescent="0.4">
      <c r="A1027" t="s">
        <v>11</v>
      </c>
      <c r="B1027" t="s">
        <v>146</v>
      </c>
      <c r="C1027" t="str">
        <f t="shared" si="63"/>
        <v>大阪府吹田市新芦屋上</v>
      </c>
      <c r="D1027" s="2" t="str">
        <f t="shared" si="64"/>
        <v>http://geocode.csis.u-tokyo.ac.jp/cgi-bin/simple_geocode.cgi?charset=UTF8&amp;addr=%E5%A4%A7%E9%98%AA%E5%BA%9C%E5%90%B9%E7%94%B0%E5%B8%82%E6%96%B0%E8%8A%A6%E5%B1%8B%E4%B8%8A</v>
      </c>
      <c r="E1027" t="str">
        <f t="shared" si="65"/>
        <v xml:space="preserve">&lt;?xml version="1.0" encoding="UTF-8" ?&gt;
&lt;results&gt;
&lt;query&gt;大阪府吹田市新芦屋上&lt;/query&gt;
&lt;geodetic&gt;wgs1984&lt;/geodetic&gt;
&lt;iConf&gt;5&lt;/iConf&gt;
&lt;converted&gt;大阪府吹田市新芦屋上&lt;/converted&gt;
&lt;candidate&gt;
&lt;address&gt;大阪府/吹田市/新芦屋上&lt;/address&gt;
&lt;longitude&gt;135.550262&lt;/longitude&gt;
&lt;latitude&gt;34.801304&lt;/latitude&gt;
&lt;iLvl&gt;5&lt;/iLvl&gt;
&lt;/candidate&gt;
&lt;/results&gt;
</v>
      </c>
      <c r="F1027" cm="1">
        <f t="array" ref="F1027">INDEX(_xlfn.FILTERXML(E1027,"//latitude"),1)</f>
        <v>34.801304000000002</v>
      </c>
      <c r="G1027" cm="1">
        <f t="array" ref="G1027">INDEX(_xlfn.FILTERXML(E1027,"//longitude"),1)</f>
        <v>135.550262</v>
      </c>
      <c r="H1027">
        <v>34.801304000000002</v>
      </c>
      <c r="I1027">
        <v>135.550262</v>
      </c>
    </row>
    <row r="1028" spans="1:9" x14ac:dyDescent="0.4">
      <c r="A1028" t="s">
        <v>34</v>
      </c>
      <c r="B1028" t="s">
        <v>81</v>
      </c>
      <c r="C1028" t="str">
        <f t="shared" si="63"/>
        <v>岐阜県岐阜市</v>
      </c>
      <c r="D1028" s="2" t="str">
        <f t="shared" si="64"/>
        <v>http://geocode.csis.u-tokyo.ac.jp/cgi-bin/simple_geocode.cgi?charset=UTF8&amp;addr=%E5%B2%90%E9%98%9C%E7%9C%8C%E5%B2%90%E9%98%9C%E5%B8%82</v>
      </c>
      <c r="E1028" t="str">
        <f t="shared" si="65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1028" cm="1">
        <f t="array" ref="F1028">INDEX(_xlfn.FILTERXML(E1028,"//latitude"),1)</f>
        <v>35.423302</v>
      </c>
      <c r="G1028" cm="1">
        <f t="array" ref="G1028">INDEX(_xlfn.FILTERXML(E1028,"//longitude"),1)</f>
        <v>136.760651</v>
      </c>
      <c r="H1028">
        <v>35.423302</v>
      </c>
      <c r="I1028">
        <v>136.760651</v>
      </c>
    </row>
    <row r="1029" spans="1:9" x14ac:dyDescent="0.4">
      <c r="A1029" t="s">
        <v>10</v>
      </c>
      <c r="B1029" t="s">
        <v>437</v>
      </c>
      <c r="C1029" t="str">
        <f t="shared" si="63"/>
        <v>神奈川県藤沢市本町</v>
      </c>
      <c r="D1029" s="2" t="str">
        <f t="shared" si="64"/>
        <v>http://geocode.csis.u-tokyo.ac.jp/cgi-bin/simple_geocode.cgi?charset=UTF8&amp;addr=%E7%A5%9E%E5%A5%88%E5%B7%9D%E7%9C%8C%E8%97%A4%E6%B2%A2%E5%B8%82%E6%9C%AC%E7%94%BA</v>
      </c>
      <c r="E1029" t="str">
        <f t="shared" si="65"/>
        <v xml:space="preserve">&lt;?xml version="1.0" encoding="UTF-8" ?&gt;
&lt;results&gt;
&lt;query&gt;神奈川県藤沢市本町&lt;/query&gt;
&lt;geodetic&gt;wgs1984&lt;/geodetic&gt;
&lt;iConf&gt;5&lt;/iConf&gt;
&lt;converted&gt;神奈川県藤沢市本町&lt;/converted&gt;
&lt;candidate&gt;
&lt;address&gt;神奈川県/藤沢市/本町&lt;/address&gt;
&lt;longitude&gt;139.483536&lt;/longitude&gt;
&lt;latitude&gt;35.345188&lt;/latitude&gt;
&lt;iLvl&gt;5&lt;/iLvl&gt;
&lt;/candidate&gt;
&lt;/results&gt;
</v>
      </c>
      <c r="F1029" cm="1">
        <f t="array" ref="F1029">INDEX(_xlfn.FILTERXML(E1029,"//latitude"),1)</f>
        <v>35.345188</v>
      </c>
      <c r="G1029" cm="1">
        <f t="array" ref="G1029">INDEX(_xlfn.FILTERXML(E1029,"//longitude"),1)</f>
        <v>139.48353599999999</v>
      </c>
      <c r="H1029">
        <v>35.345188</v>
      </c>
      <c r="I1029">
        <v>139.48353599999999</v>
      </c>
    </row>
    <row r="1030" spans="1:9" x14ac:dyDescent="0.4">
      <c r="A1030" t="s">
        <v>51</v>
      </c>
      <c r="B1030" t="s">
        <v>438</v>
      </c>
      <c r="C1030" t="str">
        <f t="shared" si="63"/>
        <v>福井県坂井市春江町随応寺</v>
      </c>
      <c r="D1030" s="2" t="str">
        <f t="shared" si="64"/>
        <v>http://geocode.csis.u-tokyo.ac.jp/cgi-bin/simple_geocode.cgi?charset=UTF8&amp;addr=%E7%A6%8F%E4%BA%95%E7%9C%8C%E5%9D%82%E4%BA%95%E5%B8%82%E6%98%A5%E6%B1%9F%E7%94%BA%E9%9A%8F%E5%BF%9C%E5%AF%BA</v>
      </c>
      <c r="E1030" t="str">
        <f t="shared" si="65"/>
        <v xml:space="preserve">&lt;?xml version="1.0" encoding="UTF-8" ?&gt;
&lt;results&gt;
&lt;query&gt;福井県坂井市春江町随応寺&lt;/query&gt;
&lt;geodetic&gt;wgs1984&lt;/geodetic&gt;
&lt;iConf&gt;5&lt;/iConf&gt;
&lt;converted&gt;福井県坂井市春江町随応寺&lt;/converted&gt;
&lt;candidate&gt;
&lt;address&gt;福井県/坂井市/春江町随応寺&lt;/address&gt;
&lt;longitude&gt;136.218948&lt;/longitude&gt;
&lt;latitude&gt;36.133183&lt;/latitude&gt;
&lt;iLvl&gt;5&lt;/iLvl&gt;
&lt;/candidate&gt;
&lt;/results&gt;
</v>
      </c>
      <c r="F1030" cm="1">
        <f t="array" ref="F1030">INDEX(_xlfn.FILTERXML(E1030,"//latitude"),1)</f>
        <v>36.133183000000002</v>
      </c>
      <c r="G1030" cm="1">
        <f t="array" ref="G1030">INDEX(_xlfn.FILTERXML(E1030,"//longitude"),1)</f>
        <v>136.21894800000001</v>
      </c>
      <c r="H1030">
        <v>36.133183000000002</v>
      </c>
      <c r="I1030">
        <v>136.21894800000001</v>
      </c>
    </row>
    <row r="1031" spans="1:9" x14ac:dyDescent="0.4">
      <c r="A1031" t="s">
        <v>37</v>
      </c>
      <c r="B1031" t="s">
        <v>439</v>
      </c>
      <c r="C1031" t="str">
        <f t="shared" si="63"/>
        <v>三重県桑名市</v>
      </c>
      <c r="D1031" s="2" t="str">
        <f t="shared" si="64"/>
        <v>http://geocode.csis.u-tokyo.ac.jp/cgi-bin/simple_geocode.cgi?charset=UTF8&amp;addr=%E4%B8%89%E9%87%8D%E7%9C%8C%E6%A1%91%E5%90%8D%E5%B8%82</v>
      </c>
      <c r="E1031" t="str">
        <f t="shared" si="65"/>
        <v xml:space="preserve">&lt;?xml version="1.0" encoding="UTF-8" ?&gt;
&lt;results&gt;
&lt;query&gt;三重県桑名市&lt;/query&gt;
&lt;geodetic&gt;wgs1984&lt;/geodetic&gt;
&lt;iConf&gt;5&lt;/iConf&gt;
&lt;converted&gt;三重県桑名市&lt;/converted&gt;
&lt;candidate&gt;
&lt;address&gt;三重県/桑名市&lt;/address&gt;
&lt;longitude&gt;136.683533&lt;/longitude&gt;
&lt;latitude&gt;35.062286&lt;/latitude&gt;
&lt;iLvl&gt;3&lt;/iLvl&gt;
&lt;/candidate&gt;
&lt;/results&gt;
</v>
      </c>
      <c r="F1031" cm="1">
        <f t="array" ref="F1031">INDEX(_xlfn.FILTERXML(E1031,"//latitude"),1)</f>
        <v>35.062286</v>
      </c>
      <c r="G1031" cm="1">
        <f t="array" ref="G1031">INDEX(_xlfn.FILTERXML(E1031,"//longitude"),1)</f>
        <v>136.68353300000001</v>
      </c>
      <c r="H1031">
        <v>35.062286</v>
      </c>
      <c r="I1031">
        <v>136.68353300000001</v>
      </c>
    </row>
    <row r="1032" spans="1:9" x14ac:dyDescent="0.4">
      <c r="A1032" t="s">
        <v>11</v>
      </c>
      <c r="B1032" t="s">
        <v>440</v>
      </c>
      <c r="C1032" t="str">
        <f t="shared" si="63"/>
        <v>大阪府大阪市鶴見区</v>
      </c>
      <c r="D1032" s="2" t="str">
        <f t="shared" si="64"/>
        <v>http://geocode.csis.u-tokyo.ac.jp/cgi-bin/simple_geocode.cgi?charset=UTF8&amp;addr=%E5%A4%A7%E9%98%AA%E5%BA%9C%E5%A4%A7%E9%98%AA%E5%B8%82%E9%B6%B4%E8%A6%8B%E5%8C%BA</v>
      </c>
      <c r="E1032" t="str">
        <f t="shared" si="65"/>
        <v xml:space="preserve">&lt;?xml version="1.0" encoding="UTF-8" ?&gt;
&lt;results&gt;
&lt;query&gt;大阪府大阪市鶴見区&lt;/query&gt;
&lt;geodetic&gt;wgs1984&lt;/geodetic&gt;
&lt;iConf&gt;5&lt;/iConf&gt;
&lt;converted&gt;大阪府大阪市鶴見区&lt;/converted&gt;
&lt;candidate&gt;
&lt;address&gt;大阪府/大阪市/鶴見区&lt;/address&gt;
&lt;longitude&gt;135.574188&lt;/longitude&gt;
&lt;latitude&gt;34.704567&lt;/latitude&gt;
&lt;iLvl&gt;4&lt;/iLvl&gt;
&lt;/candidate&gt;
&lt;/results&gt;
</v>
      </c>
      <c r="F1032" cm="1">
        <f t="array" ref="F1032">INDEX(_xlfn.FILTERXML(E1032,"//latitude"),1)</f>
        <v>34.704566999999997</v>
      </c>
      <c r="G1032" cm="1">
        <f t="array" ref="G1032">INDEX(_xlfn.FILTERXML(E1032,"//longitude"),1)</f>
        <v>135.57418799999999</v>
      </c>
      <c r="H1032">
        <v>34.704566999999997</v>
      </c>
      <c r="I1032">
        <v>135.57418799999999</v>
      </c>
    </row>
    <row r="1033" spans="1:9" x14ac:dyDescent="0.4">
      <c r="A1033" t="s">
        <v>11</v>
      </c>
      <c r="B1033" t="s">
        <v>440</v>
      </c>
      <c r="C1033" t="str">
        <f t="shared" si="63"/>
        <v>大阪府大阪市鶴見区</v>
      </c>
      <c r="D1033" s="2" t="str">
        <f t="shared" si="64"/>
        <v>http://geocode.csis.u-tokyo.ac.jp/cgi-bin/simple_geocode.cgi?charset=UTF8&amp;addr=%E5%A4%A7%E9%98%AA%E5%BA%9C%E5%A4%A7%E9%98%AA%E5%B8%82%E9%B6%B4%E8%A6%8B%E5%8C%BA</v>
      </c>
      <c r="E1033" t="str">
        <f t="shared" si="65"/>
        <v xml:space="preserve">&lt;?xml version="1.0" encoding="UTF-8" ?&gt;
&lt;results&gt;
&lt;query&gt;大阪府大阪市鶴見区&lt;/query&gt;
&lt;geodetic&gt;wgs1984&lt;/geodetic&gt;
&lt;iConf&gt;5&lt;/iConf&gt;
&lt;converted&gt;大阪府大阪市鶴見区&lt;/converted&gt;
&lt;candidate&gt;
&lt;address&gt;大阪府/大阪市/鶴見区&lt;/address&gt;
&lt;longitude&gt;135.574188&lt;/longitude&gt;
&lt;latitude&gt;34.704567&lt;/latitude&gt;
&lt;iLvl&gt;4&lt;/iLvl&gt;
&lt;/candidate&gt;
&lt;/results&gt;
</v>
      </c>
      <c r="F1033" cm="1">
        <f t="array" ref="F1033">INDEX(_xlfn.FILTERXML(E1033,"//latitude"),1)</f>
        <v>34.704566999999997</v>
      </c>
      <c r="G1033" cm="1">
        <f t="array" ref="G1033">INDEX(_xlfn.FILTERXML(E1033,"//longitude"),1)</f>
        <v>135.57418799999999</v>
      </c>
      <c r="H1033">
        <v>34.704566999999997</v>
      </c>
      <c r="I1033">
        <v>135.57418799999999</v>
      </c>
    </row>
    <row r="1034" spans="1:9" x14ac:dyDescent="0.4">
      <c r="A1034" t="s">
        <v>9</v>
      </c>
      <c r="B1034" t="s">
        <v>218</v>
      </c>
      <c r="C1034" t="str">
        <f t="shared" si="63"/>
        <v>東京都練馬区</v>
      </c>
      <c r="D1034" s="2" t="str">
        <f t="shared" si="64"/>
        <v>http://geocode.csis.u-tokyo.ac.jp/cgi-bin/simple_geocode.cgi?charset=UTF8&amp;addr=%E6%9D%B1%E4%BA%AC%E9%83%BD%E7%B7%B4%E9%A6%AC%E5%8C%BA</v>
      </c>
      <c r="E1034" t="str">
        <f t="shared" si="65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1034" cm="1">
        <f t="array" ref="F1034">INDEX(_xlfn.FILTERXML(E1034,"//latitude"),1)</f>
        <v>35.735599999999998</v>
      </c>
      <c r="G1034" cm="1">
        <f t="array" ref="G1034">INDEX(_xlfn.FILTERXML(E1034,"//longitude"),1)</f>
        <v>139.65171799999999</v>
      </c>
      <c r="H1034">
        <v>35.735599999999998</v>
      </c>
      <c r="I1034">
        <v>139.65171799999999</v>
      </c>
    </row>
    <row r="1035" spans="1:9" x14ac:dyDescent="0.4">
      <c r="A1035" t="s">
        <v>18</v>
      </c>
      <c r="B1035" t="s">
        <v>71</v>
      </c>
      <c r="C1035" t="str">
        <f t="shared" si="63"/>
        <v>千葉県君津市南子安</v>
      </c>
      <c r="D1035" s="2" t="str">
        <f t="shared" si="64"/>
        <v>http://geocode.csis.u-tokyo.ac.jp/cgi-bin/simple_geocode.cgi?charset=UTF8&amp;addr=%E5%8D%83%E8%91%89%E7%9C%8C%E5%90%9B%E6%B4%A5%E5%B8%82%E5%8D%97%E5%AD%90%E5%AE%89</v>
      </c>
      <c r="E1035" t="str">
        <f t="shared" si="65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1035" cm="1">
        <f t="array" ref="F1035">INDEX(_xlfn.FILTERXML(E1035,"//latitude"),1)</f>
        <v>35.333129999999997</v>
      </c>
      <c r="G1035" cm="1">
        <f t="array" ref="G1035">INDEX(_xlfn.FILTERXML(E1035,"//longitude"),1)</f>
        <v>139.93206799999999</v>
      </c>
      <c r="H1035">
        <v>35.333129999999997</v>
      </c>
      <c r="I1035">
        <v>139.93206799999999</v>
      </c>
    </row>
    <row r="1036" spans="1:9" x14ac:dyDescent="0.4">
      <c r="A1036" t="s">
        <v>10</v>
      </c>
      <c r="B1036" t="s">
        <v>206</v>
      </c>
      <c r="C1036" t="str">
        <f t="shared" si="63"/>
        <v>神奈川県横浜市金沢区富岡西</v>
      </c>
      <c r="D1036" s="2" t="str">
        <f t="shared" si="64"/>
        <v>http://geocode.csis.u-tokyo.ac.jp/cgi-bin/simple_geocode.cgi?charset=UTF8&amp;addr=%E7%A5%9E%E5%A5%88%E5%B7%9D%E7%9C%8C%E6%A8%AA%E6%B5%9C%E5%B8%82%E9%87%91%E6%B2%A2%E5%8C%BA%E5%AF%8C%E5%B2%A1%E8%A5%BF</v>
      </c>
      <c r="E1036" t="str">
        <f t="shared" si="65"/>
        <v xml:space="preserve">&lt;?xml version="1.0" encoding="UTF-8" ?&gt;
&lt;results&gt;
&lt;query&gt;神奈川県横浜市金沢区富岡西&lt;/query&gt;
&lt;geodetic&gt;wgs1984&lt;/geodetic&gt;
&lt;iConf&gt;5&lt;/iConf&gt;
&lt;converted&gt;神奈川県横浜市金沢区富岡西&lt;/converted&gt;
&lt;candidate&gt;
&lt;address&gt;神奈川県/横浜市/金沢区/富岡西&lt;/address&gt;
&lt;longitude&gt;139.622925&lt;/longitude&gt;
&lt;latitude&gt;35.372311&lt;/latitude&gt;
&lt;iLvl&gt;5&lt;/iLvl&gt;
&lt;/candidate&gt;
&lt;/results&gt;
</v>
      </c>
      <c r="F1036" cm="1">
        <f t="array" ref="F1036">INDEX(_xlfn.FILTERXML(E1036,"//latitude"),1)</f>
        <v>35.372311000000003</v>
      </c>
      <c r="G1036" cm="1">
        <f t="array" ref="G1036">INDEX(_xlfn.FILTERXML(E1036,"//longitude"),1)</f>
        <v>139.62292500000001</v>
      </c>
      <c r="H1036">
        <v>35.372311000000003</v>
      </c>
      <c r="I1036">
        <v>139.62292500000001</v>
      </c>
    </row>
    <row r="1037" spans="1:9" x14ac:dyDescent="0.4">
      <c r="A1037" t="s">
        <v>52</v>
      </c>
      <c r="B1037" t="s">
        <v>441</v>
      </c>
      <c r="C1037" t="str">
        <f t="shared" si="63"/>
        <v>徳島県阿南市日開野町中居内</v>
      </c>
      <c r="D1037" s="2" t="str">
        <f t="shared" si="64"/>
        <v>http://geocode.csis.u-tokyo.ac.jp/cgi-bin/simple_geocode.cgi?charset=UTF8&amp;addr=%E5%BE%B3%E5%B3%B6%E7%9C%8C%E9%98%BF%E5%8D%97%E5%B8%82%E6%97%A5%E9%96%8B%E9%87%8E%E7%94%BA%E4%B8%AD%E5%B1%85%E5%86%85</v>
      </c>
      <c r="E1037" t="str">
        <f t="shared" si="65"/>
        <v xml:space="preserve">&lt;?xml version="1.0" encoding="UTF-8" ?&gt;
&lt;results&gt;
&lt;query&gt;徳島県阿南市日開野町中居内&lt;/query&gt;
&lt;geodetic&gt;wgs1984&lt;/geodetic&gt;
&lt;iConf&gt;5&lt;/iConf&gt;
&lt;converted&gt;徳島県阿南市日開野町中居内&lt;/converted&gt;
&lt;candidate&gt;
&lt;address&gt;徳島県/阿南市/日開野町/中居内&lt;/address&gt;
&lt;longitude&gt;134.668152&lt;/longitude&gt;
&lt;latitude&gt;33.917503&lt;/latitude&gt;
&lt;iLvl&gt;6&lt;/iLvl&gt;
&lt;/candidate&gt;
&lt;/results&gt;
</v>
      </c>
      <c r="F1037" cm="1">
        <f t="array" ref="F1037">INDEX(_xlfn.FILTERXML(E1037,"//latitude"),1)</f>
        <v>33.917503000000004</v>
      </c>
      <c r="G1037" cm="1">
        <f t="array" ref="G1037">INDEX(_xlfn.FILTERXML(E1037,"//longitude"),1)</f>
        <v>134.66815199999999</v>
      </c>
      <c r="H1037">
        <v>33.917503000000004</v>
      </c>
      <c r="I1037">
        <v>134.66815199999999</v>
      </c>
    </row>
    <row r="1038" spans="1:9" x14ac:dyDescent="0.4">
      <c r="A1038" t="s">
        <v>11</v>
      </c>
      <c r="B1038" t="s">
        <v>263</v>
      </c>
      <c r="C1038" t="str">
        <f t="shared" si="63"/>
        <v>大阪府大阪市福島区福島</v>
      </c>
      <c r="D1038" s="2" t="str">
        <f t="shared" si="64"/>
        <v>http://geocode.csis.u-tokyo.ac.jp/cgi-bin/simple_geocode.cgi?charset=UTF8&amp;addr=%E5%A4%A7%E9%98%AA%E5%BA%9C%E5%A4%A7%E9%98%AA%E5%B8%82%E7%A6%8F%E5%B3%B6%E5%8C%BA%E7%A6%8F%E5%B3%B6</v>
      </c>
      <c r="E1038" t="str">
        <f t="shared" si="65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038" cm="1">
        <f t="array" ref="F1038">INDEX(_xlfn.FILTERXML(E1038,"//latitude"),1)</f>
        <v>34.694656000000002</v>
      </c>
      <c r="G1038" cm="1">
        <f t="array" ref="G1038">INDEX(_xlfn.FILTERXML(E1038,"//longitude"),1)</f>
        <v>135.48904400000001</v>
      </c>
      <c r="H1038">
        <v>34.694656000000002</v>
      </c>
      <c r="I1038">
        <v>135.48904400000001</v>
      </c>
    </row>
    <row r="1039" spans="1:9" x14ac:dyDescent="0.4">
      <c r="A1039" t="s">
        <v>113</v>
      </c>
      <c r="B1039" t="s">
        <v>1116</v>
      </c>
      <c r="C1039" t="str">
        <f t="shared" ref="C1039:C1102" si="66">+A1039&amp;B1039</f>
        <v>岡山県岡山市北区大安寺中町</v>
      </c>
      <c r="D1039" s="2" t="str">
        <f t="shared" ref="D1039:D1102" si="67" xml:space="preserve"> "http://geocode.csis.u-tokyo.ac.jp/cgi-bin/simple_geocode.cgi?charset=UTF8&amp;addr=" &amp; _xlfn.ENCODEURL(C1039)</f>
        <v>http://geocode.csis.u-tokyo.ac.jp/cgi-bin/simple_geocode.cgi?charset=UTF8&amp;addr=%E5%B2%A1%E5%B1%B1%E7%9C%8C%E5%B2%A1%E5%B1%B1%E5%B8%82%E5%8C%97%E5%8C%BA%E5%A4%A7%E5%AE%89%E5%AF%BA%E4%B8%AD%E7%94%BA</v>
      </c>
      <c r="E1039" t="str">
        <f t="shared" ref="E1039:E1102" si="68" xml:space="preserve"> _xlfn.WEBSERVICE(D1039)</f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1039" cm="1">
        <f t="array" ref="F1039">INDEX(_xlfn.FILTERXML(E1039,"//latitude"),1)</f>
        <v>34.66666</v>
      </c>
      <c r="G1039" cm="1">
        <f t="array" ref="G1039">INDEX(_xlfn.FILTERXML(E1039,"//longitude"),1)</f>
        <v>133.887405</v>
      </c>
      <c r="H1039">
        <v>34.66666</v>
      </c>
      <c r="I1039">
        <v>133.887405</v>
      </c>
    </row>
    <row r="1040" spans="1:9" x14ac:dyDescent="0.4">
      <c r="A1040" t="s">
        <v>11</v>
      </c>
      <c r="B1040" t="s">
        <v>1117</v>
      </c>
      <c r="C1040" t="str">
        <f t="shared" si="66"/>
        <v>大阪府寝屋川市仁和寺本町</v>
      </c>
      <c r="D1040" s="2" t="str">
        <f t="shared" si="67"/>
        <v>http://geocode.csis.u-tokyo.ac.jp/cgi-bin/simple_geocode.cgi?charset=UTF8&amp;addr=%E5%A4%A7%E9%98%AA%E5%BA%9C%E5%AF%9D%E5%B1%8B%E5%B7%9D%E5%B8%82%E4%BB%81%E5%92%8C%E5%AF%BA%E6%9C%AC%E7%94%BA</v>
      </c>
      <c r="E1040" t="str">
        <f t="shared" si="68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1040" cm="1">
        <f t="array" ref="F1040">INDEX(_xlfn.FILTERXML(E1040,"//latitude"),1)</f>
        <v>34.772381000000003</v>
      </c>
      <c r="G1040" cm="1">
        <f t="array" ref="G1040">INDEX(_xlfn.FILTERXML(E1040,"//longitude"),1)</f>
        <v>135.59544399999999</v>
      </c>
      <c r="H1040">
        <v>34.772381000000003</v>
      </c>
      <c r="I1040">
        <v>135.59544399999999</v>
      </c>
    </row>
    <row r="1041" spans="1:9" x14ac:dyDescent="0.4">
      <c r="A1041" t="s">
        <v>15</v>
      </c>
      <c r="B1041" t="s">
        <v>138</v>
      </c>
      <c r="C1041" t="str">
        <f t="shared" si="66"/>
        <v>兵庫県西宮市神呪町</v>
      </c>
      <c r="D1041" s="2" t="str">
        <f t="shared" si="67"/>
        <v>http://geocode.csis.u-tokyo.ac.jp/cgi-bin/simple_geocode.cgi?charset=UTF8&amp;addr=%E5%85%B5%E5%BA%AB%E7%9C%8C%E8%A5%BF%E5%AE%AE%E5%B8%82%E7%A5%9E%E5%91%AA%E7%94%BA</v>
      </c>
      <c r="E1041" t="str">
        <f t="shared" si="68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1041" cm="1">
        <f t="array" ref="F1041">INDEX(_xlfn.FILTERXML(E1041,"//latitude"),1)</f>
        <v>34.762478000000002</v>
      </c>
      <c r="G1041" cm="1">
        <f t="array" ref="G1041">INDEX(_xlfn.FILTERXML(E1041,"//longitude"),1)</f>
        <v>135.357193</v>
      </c>
      <c r="H1041">
        <v>34.762478000000002</v>
      </c>
      <c r="I1041">
        <v>135.357193</v>
      </c>
    </row>
    <row r="1042" spans="1:9" x14ac:dyDescent="0.4">
      <c r="A1042" t="s">
        <v>24</v>
      </c>
      <c r="B1042" t="s">
        <v>442</v>
      </c>
      <c r="C1042" t="str">
        <f t="shared" si="66"/>
        <v>栃木県小山市大字立木</v>
      </c>
      <c r="D1042" s="2" t="str">
        <f t="shared" si="67"/>
        <v>http://geocode.csis.u-tokyo.ac.jp/cgi-bin/simple_geocode.cgi?charset=UTF8&amp;addr=%E6%A0%83%E6%9C%A8%E7%9C%8C%E5%B0%8F%E5%B1%B1%E5%B8%82%E5%A4%A7%E5%AD%97%E7%AB%8B%E6%9C%A8</v>
      </c>
      <c r="E1042" t="str">
        <f t="shared" si="68"/>
        <v xml:space="preserve">&lt;?xml version="1.0" encoding="UTF-8" ?&gt;
&lt;results&gt;
&lt;query&gt;栃木県小山市大字立木&lt;/query&gt;
&lt;geodetic&gt;wgs1984&lt;/geodetic&gt;
&lt;iConf&gt;5&lt;/iConf&gt;
&lt;converted&gt;栃木県小山市大字立木&lt;/converted&gt;
&lt;candidate&gt;
&lt;address&gt;栃木県/小山市/立木&lt;/address&gt;
&lt;longitude&gt;139.783569&lt;/longitude&gt;
&lt;latitude&gt;36.330185&lt;/latitude&gt;
&lt;iLvl&gt;5&lt;/iLvl&gt;
&lt;/candidate&gt;
&lt;/results&gt;
</v>
      </c>
      <c r="F1042" cm="1">
        <f t="array" ref="F1042">INDEX(_xlfn.FILTERXML(E1042,"//latitude"),1)</f>
        <v>36.330185</v>
      </c>
      <c r="G1042" cm="1">
        <f t="array" ref="G1042">INDEX(_xlfn.FILTERXML(E1042,"//longitude"),1)</f>
        <v>139.783569</v>
      </c>
      <c r="H1042">
        <v>36.330185</v>
      </c>
      <c r="I1042">
        <v>139.783569</v>
      </c>
    </row>
    <row r="1043" spans="1:9" x14ac:dyDescent="0.4">
      <c r="A1043" t="s">
        <v>21</v>
      </c>
      <c r="B1043" t="s">
        <v>443</v>
      </c>
      <c r="C1043" t="str">
        <f t="shared" si="66"/>
        <v>福岡県北九州市小倉南区下城野</v>
      </c>
      <c r="D1043" s="2" t="str">
        <f t="shared" si="67"/>
        <v>http://geocode.csis.u-tokyo.ac.jp/cgi-bin/simple_geocode.cgi?charset=UTF8&amp;addr=%E7%A6%8F%E5%B2%A1%E7%9C%8C%E5%8C%97%E4%B9%9D%E5%B7%9E%E5%B8%82%E5%B0%8F%E5%80%89%E5%8D%97%E5%8C%BA%E4%B8%8B%E5%9F%8E%E9%87%8E</v>
      </c>
      <c r="E1043" t="str">
        <f t="shared" si="68"/>
        <v xml:space="preserve">&lt;?xml version="1.0" encoding="UTF-8" ?&gt;
&lt;results&gt;
&lt;query&gt;福岡県北九州市小倉南区下城野&lt;/query&gt;
&lt;geodetic&gt;wgs1984&lt;/geodetic&gt;
&lt;iConf&gt;5&lt;/iConf&gt;
&lt;converted&gt;福岡県北九州市小倉南区下城野&lt;/converted&gt;
&lt;candidate&gt;
&lt;address&gt;福岡県/北九州市/小倉南区/下城野&lt;/address&gt;
&lt;longitude&gt;130.877747&lt;/longitude&gt;
&lt;latitude&gt;33.855858&lt;/latitude&gt;
&lt;iLvl&gt;5&lt;/iLvl&gt;
&lt;/candidate&gt;
&lt;/results&gt;
</v>
      </c>
      <c r="F1043" cm="1">
        <f t="array" ref="F1043">INDEX(_xlfn.FILTERXML(E1043,"//latitude"),1)</f>
        <v>33.855857999999998</v>
      </c>
      <c r="G1043" cm="1">
        <f t="array" ref="G1043">INDEX(_xlfn.FILTERXML(E1043,"//longitude"),1)</f>
        <v>130.877747</v>
      </c>
      <c r="H1043">
        <v>33.855857999999998</v>
      </c>
      <c r="I1043">
        <v>130.877747</v>
      </c>
    </row>
    <row r="1044" spans="1:9" x14ac:dyDescent="0.4">
      <c r="A1044" t="s">
        <v>13</v>
      </c>
      <c r="B1044" t="s">
        <v>444</v>
      </c>
      <c r="C1044" t="str">
        <f t="shared" si="66"/>
        <v>埼玉県さいたま市見沼区</v>
      </c>
      <c r="D1044" s="2" t="str">
        <f t="shared" si="67"/>
        <v>http://geocode.csis.u-tokyo.ac.jp/cgi-bin/simple_geocode.cgi?charset=UTF8&amp;addr=%E5%9F%BC%E7%8E%89%E7%9C%8C%E3%81%95%E3%81%84%E3%81%9F%E3%81%BE%E5%B8%82%E8%A6%8B%E6%B2%BC%E5%8C%BA</v>
      </c>
      <c r="E1044" t="str">
        <f t="shared" si="68"/>
        <v xml:space="preserve">&lt;?xml version="1.0" encoding="UTF-8" ?&gt;
&lt;results&gt;
&lt;query&gt;埼玉県さいたま市見沼区&lt;/query&gt;
&lt;geodetic&gt;wgs1984&lt;/geodetic&gt;
&lt;iConf&gt;5&lt;/iConf&gt;
&lt;converted&gt;埼玉県さいたま市見沼区&lt;/converted&gt;
&lt;candidate&gt;
&lt;address&gt;埼玉県/さいたま市/見沼区&lt;/address&gt;
&lt;longitude&gt;139.654434&lt;/longitude&gt;
&lt;latitude&gt;35.935215&lt;/latitude&gt;
&lt;iLvl&gt;4&lt;/iLvl&gt;
&lt;/candidate&gt;
&lt;/results&gt;
</v>
      </c>
      <c r="F1044" cm="1">
        <f t="array" ref="F1044">INDEX(_xlfn.FILTERXML(E1044,"//latitude"),1)</f>
        <v>35.935214999999999</v>
      </c>
      <c r="G1044" cm="1">
        <f t="array" ref="G1044">INDEX(_xlfn.FILTERXML(E1044,"//longitude"),1)</f>
        <v>139.65443400000001</v>
      </c>
      <c r="H1044">
        <v>35.935214999999999</v>
      </c>
      <c r="I1044">
        <v>139.65443400000001</v>
      </c>
    </row>
    <row r="1045" spans="1:9" x14ac:dyDescent="0.4">
      <c r="A1045" t="s">
        <v>113</v>
      </c>
      <c r="B1045" t="s">
        <v>170</v>
      </c>
      <c r="C1045" t="str">
        <f t="shared" si="66"/>
        <v>岡山県倉敷市</v>
      </c>
      <c r="D1045" s="2" t="str">
        <f t="shared" si="67"/>
        <v>http://geocode.csis.u-tokyo.ac.jp/cgi-bin/simple_geocode.cgi?charset=UTF8&amp;addr=%E5%B2%A1%E5%B1%B1%E7%9C%8C%E5%80%89%E6%95%B7%E5%B8%82</v>
      </c>
      <c r="E1045" t="str">
        <f t="shared" si="68"/>
        <v xml:space="preserve">&lt;?xml version="1.0" encoding="UTF-8" ?&gt;
&lt;results&gt;
&lt;query&gt;岡山県倉敷市&lt;/query&gt;
&lt;geodetic&gt;wgs1984&lt;/geodetic&gt;
&lt;iConf&gt;5&lt;/iConf&gt;
&lt;converted&gt;岡山県倉敷市&lt;/converted&gt;
&lt;candidate&gt;
&lt;address&gt;岡山県/倉敷市&lt;/address&gt;
&lt;longitude&gt;133.772278&lt;/longitude&gt;
&lt;latitude&gt;34.584679&lt;/latitude&gt;
&lt;iLvl&gt;3&lt;/iLvl&gt;
&lt;/candidate&gt;
&lt;/results&gt;
</v>
      </c>
      <c r="F1045" cm="1">
        <f t="array" ref="F1045">INDEX(_xlfn.FILTERXML(E1045,"//latitude"),1)</f>
        <v>34.584679000000001</v>
      </c>
      <c r="G1045" cm="1">
        <f t="array" ref="G1045">INDEX(_xlfn.FILTERXML(E1045,"//longitude"),1)</f>
        <v>133.772278</v>
      </c>
      <c r="H1045">
        <v>34.584679000000001</v>
      </c>
      <c r="I1045">
        <v>133.772278</v>
      </c>
    </row>
    <row r="1046" spans="1:9" x14ac:dyDescent="0.4">
      <c r="A1046" t="s">
        <v>31</v>
      </c>
      <c r="B1046" t="s">
        <v>445</v>
      </c>
      <c r="C1046" t="str">
        <f t="shared" si="66"/>
        <v>熊本県熊本市東区</v>
      </c>
      <c r="D1046" s="2" t="str">
        <f t="shared" si="67"/>
        <v>http://geocode.csis.u-tokyo.ac.jp/cgi-bin/simple_geocode.cgi?charset=UTF8&amp;addr=%E7%86%8A%E6%9C%AC%E7%9C%8C%E7%86%8A%E6%9C%AC%E5%B8%82%E6%9D%B1%E5%8C%BA</v>
      </c>
      <c r="E1046" t="str">
        <f t="shared" si="68"/>
        <v xml:space="preserve">&lt;?xml version="1.0" encoding="UTF-8" ?&gt;
&lt;results&gt;
&lt;query&gt;熊本県熊本市東区&lt;/query&gt;
&lt;geodetic&gt;wgs1984&lt;/geodetic&gt;
&lt;iConf&gt;5&lt;/iConf&gt;
&lt;converted&gt;熊本県熊本市東区&lt;/converted&gt;
&lt;candidate&gt;
&lt;address&gt;熊本県/熊本市/東区&lt;/address&gt;
&lt;longitude&gt;130.768066&lt;/longitude&gt;
&lt;latitude&gt;32.780529&lt;/latitude&gt;
&lt;iLvl&gt;4&lt;/iLvl&gt;
&lt;/candidate&gt;
&lt;/results&gt;
</v>
      </c>
      <c r="F1046" cm="1">
        <f t="array" ref="F1046">INDEX(_xlfn.FILTERXML(E1046,"//latitude"),1)</f>
        <v>32.780529000000001</v>
      </c>
      <c r="G1046" cm="1">
        <f t="array" ref="G1046">INDEX(_xlfn.FILTERXML(E1046,"//longitude"),1)</f>
        <v>130.768066</v>
      </c>
      <c r="H1046">
        <v>32.780529000000001</v>
      </c>
      <c r="I1046">
        <v>130.768066</v>
      </c>
    </row>
    <row r="1047" spans="1:9" x14ac:dyDescent="0.4">
      <c r="A1047" t="s">
        <v>39</v>
      </c>
      <c r="B1047" t="s">
        <v>201</v>
      </c>
      <c r="C1047" t="str">
        <f t="shared" si="66"/>
        <v>愛媛県八幡浜市</v>
      </c>
      <c r="D1047" s="2" t="str">
        <f t="shared" si="67"/>
        <v>http://geocode.csis.u-tokyo.ac.jp/cgi-bin/simple_geocode.cgi?charset=UTF8&amp;addr=%E6%84%9B%E5%AA%9B%E7%9C%8C%E5%85%AB%E5%B9%A1%E6%B5%9C%E5%B8%82</v>
      </c>
      <c r="E1047" t="str">
        <f t="shared" si="68"/>
        <v xml:space="preserve">&lt;?xml version="1.0" encoding="UTF-8" ?&gt;
&lt;results&gt;
&lt;query&gt;愛媛県八幡浜市&lt;/query&gt;
&lt;geodetic&gt;wgs1984&lt;/geodetic&gt;
&lt;iConf&gt;5&lt;/iConf&gt;
&lt;converted&gt;愛媛県八幡浜市&lt;/converted&gt;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1047" cm="1">
        <f t="array" ref="F1047">INDEX(_xlfn.FILTERXML(E1047,"//latitude"),1)</f>
        <v>33.462898000000003</v>
      </c>
      <c r="G1047" cm="1">
        <f t="array" ref="G1047">INDEX(_xlfn.FILTERXML(E1047,"//longitude"),1)</f>
        <v>132.42334</v>
      </c>
      <c r="H1047">
        <v>33.462898000000003</v>
      </c>
      <c r="I1047">
        <v>132.42334</v>
      </c>
    </row>
    <row r="1048" spans="1:9" x14ac:dyDescent="0.4">
      <c r="A1048" t="s">
        <v>20</v>
      </c>
      <c r="B1048" t="s">
        <v>446</v>
      </c>
      <c r="C1048" t="str">
        <f t="shared" si="66"/>
        <v>茨城県鉾田市</v>
      </c>
      <c r="D1048" s="2" t="str">
        <f t="shared" si="67"/>
        <v>http://geocode.csis.u-tokyo.ac.jp/cgi-bin/simple_geocode.cgi?charset=UTF8&amp;addr=%E8%8C%A8%E5%9F%8E%E7%9C%8C%E9%89%BE%E7%94%B0%E5%B8%82</v>
      </c>
      <c r="E1048" t="str">
        <f t="shared" si="68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1048" cm="1">
        <f t="array" ref="F1048">INDEX(_xlfn.FILTERXML(E1048,"//latitude"),1)</f>
        <v>36.158687999999998</v>
      </c>
      <c r="G1048" cm="1">
        <f t="array" ref="G1048">INDEX(_xlfn.FILTERXML(E1048,"//longitude"),1)</f>
        <v>140.516434</v>
      </c>
      <c r="H1048" s="3">
        <v>36.158687999999998</v>
      </c>
      <c r="I1048" s="3">
        <v>140.516434</v>
      </c>
    </row>
    <row r="1049" spans="1:9" x14ac:dyDescent="0.4">
      <c r="A1049" t="s">
        <v>113</v>
      </c>
      <c r="B1049" t="s">
        <v>209</v>
      </c>
      <c r="C1049" t="str">
        <f t="shared" si="66"/>
        <v>岡山県岡山市北区西古松</v>
      </c>
      <c r="D1049" s="2" t="str">
        <f t="shared" si="67"/>
        <v>http://geocode.csis.u-tokyo.ac.jp/cgi-bin/simple_geocode.cgi?charset=UTF8&amp;addr=%E5%B2%A1%E5%B1%B1%E7%9C%8C%E5%B2%A1%E5%B1%B1%E5%B8%82%E5%8C%97%E5%8C%BA%E8%A5%BF%E5%8F%A4%E6%9D%BE</v>
      </c>
      <c r="E1049" t="str">
        <f t="shared" si="68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1049" cm="1">
        <f t="array" ref="F1049">INDEX(_xlfn.FILTERXML(E1049,"//latitude"),1)</f>
        <v>34.644500999999998</v>
      </c>
      <c r="G1049" cm="1">
        <f t="array" ref="G1049">INDEX(_xlfn.FILTERXML(E1049,"//longitude"),1)</f>
        <v>133.90782200000001</v>
      </c>
      <c r="H1049">
        <v>34.644500999999998</v>
      </c>
      <c r="I1049">
        <v>133.90782200000001</v>
      </c>
    </row>
    <row r="1050" spans="1:9" x14ac:dyDescent="0.4">
      <c r="A1050" t="s">
        <v>9</v>
      </c>
      <c r="B1050" t="s">
        <v>251</v>
      </c>
      <c r="C1050" t="str">
        <f t="shared" si="66"/>
        <v>東京都葛飾区宝町</v>
      </c>
      <c r="D1050" s="2" t="str">
        <f t="shared" si="67"/>
        <v>http://geocode.csis.u-tokyo.ac.jp/cgi-bin/simple_geocode.cgi?charset=UTF8&amp;addr=%E6%9D%B1%E4%BA%AC%E9%83%BD%E8%91%9B%E9%A3%BE%E5%8C%BA%E5%AE%9D%E7%94%BA</v>
      </c>
      <c r="E1050" t="str">
        <f t="shared" si="68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1050" cm="1">
        <f t="array" ref="F1050">INDEX(_xlfn.FILTERXML(E1050,"//latitude"),1)</f>
        <v>35.741855999999999</v>
      </c>
      <c r="G1050" cm="1">
        <f t="array" ref="G1050">INDEX(_xlfn.FILTERXML(E1050,"//longitude"),1)</f>
        <v>139.83651699999999</v>
      </c>
      <c r="H1050" s="3">
        <v>35.741855999999999</v>
      </c>
      <c r="I1050" s="3">
        <v>139.83651699999999</v>
      </c>
    </row>
    <row r="1051" spans="1:9" x14ac:dyDescent="0.4">
      <c r="A1051" t="s">
        <v>21</v>
      </c>
      <c r="B1051" t="s">
        <v>447</v>
      </c>
      <c r="C1051" t="str">
        <f t="shared" si="66"/>
        <v>福岡県福岡市南区向野</v>
      </c>
      <c r="D1051" s="2" t="str">
        <f t="shared" si="67"/>
        <v>http://geocode.csis.u-tokyo.ac.jp/cgi-bin/simple_geocode.cgi?charset=UTF8&amp;addr=%E7%A6%8F%E5%B2%A1%E7%9C%8C%E7%A6%8F%E5%B2%A1%E5%B8%82%E5%8D%97%E5%8C%BA%E5%90%91%E9%87%8E</v>
      </c>
      <c r="E1051" t="str">
        <f t="shared" si="68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1051" cm="1">
        <f t="array" ref="F1051">INDEX(_xlfn.FILTERXML(E1051,"//latitude"),1)</f>
        <v>33.563774000000002</v>
      </c>
      <c r="G1051" cm="1">
        <f t="array" ref="G1051">INDEX(_xlfn.FILTERXML(E1051,"//longitude"),1)</f>
        <v>130.42030299999999</v>
      </c>
      <c r="H1051">
        <v>33.563774000000002</v>
      </c>
      <c r="I1051">
        <v>130.42030299999999</v>
      </c>
    </row>
    <row r="1052" spans="1:9" x14ac:dyDescent="0.4">
      <c r="A1052" t="s">
        <v>160</v>
      </c>
      <c r="B1052" t="s">
        <v>448</v>
      </c>
      <c r="C1052" t="str">
        <f t="shared" si="66"/>
        <v>鳥取県東伯郡湯梨浜町水下</v>
      </c>
      <c r="D1052" s="2" t="str">
        <f t="shared" si="67"/>
        <v>http://geocode.csis.u-tokyo.ac.jp/cgi-bin/simple_geocode.cgi?charset=UTF8&amp;addr=%E9%B3%A5%E5%8F%96%E7%9C%8C%E6%9D%B1%E4%BC%AF%E9%83%A1%E6%B9%AF%E6%A2%A8%E6%B5%9C%E7%94%BA%E6%B0%B4%E4%B8%8B</v>
      </c>
      <c r="E1052" t="str">
        <f t="shared" si="68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1052" cm="1">
        <f t="array" ref="F1052">INDEX(_xlfn.FILTERXML(E1052,"//latitude"),1)</f>
        <v>35.487048999999999</v>
      </c>
      <c r="G1052" cm="1">
        <f t="array" ref="G1052">INDEX(_xlfn.FILTERXML(E1052,"//longitude"),1)</f>
        <v>133.87129200000001</v>
      </c>
      <c r="H1052">
        <v>35.487048999999999</v>
      </c>
      <c r="I1052">
        <v>133.87129200000001</v>
      </c>
    </row>
    <row r="1053" spans="1:9" x14ac:dyDescent="0.4">
      <c r="A1053" t="s">
        <v>14</v>
      </c>
      <c r="B1053" t="s">
        <v>449</v>
      </c>
      <c r="C1053" t="str">
        <f t="shared" si="66"/>
        <v>広島県広島市南区西蟹屋</v>
      </c>
      <c r="D1053" s="2" t="str">
        <f t="shared" si="67"/>
        <v>http://geocode.csis.u-tokyo.ac.jp/cgi-bin/simple_geocode.cgi?charset=UTF8&amp;addr=%E5%BA%83%E5%B3%B6%E7%9C%8C%E5%BA%83%E5%B3%B6%E5%B8%82%E5%8D%97%E5%8C%BA%E8%A5%BF%E8%9F%B9%E5%B1%8B</v>
      </c>
      <c r="E1053" t="str">
        <f t="shared" si="68"/>
        <v xml:space="preserve">&lt;?xml version="1.0" encoding="UTF-8" ?&gt;
&lt;results&gt;
&lt;query&gt;広島県広島市南区西蟹屋&lt;/query&gt;
&lt;geodetic&gt;wgs1984&lt;/geodetic&gt;
&lt;iConf&gt;5&lt;/iConf&gt;
&lt;converted&gt;広島県広島市南区西蟹屋&lt;/converted&gt;
&lt;candidate&gt;
&lt;address&gt;広島県/広島市/南区/西蟹屋&lt;/address&gt;
&lt;longitude&gt;132.477402&lt;/longitude&gt;
&lt;latitude&gt;34.392597&lt;/latitude&gt;
&lt;iLvl&gt;5&lt;/iLvl&gt;
&lt;/candidate&gt;
&lt;/results&gt;
</v>
      </c>
      <c r="F1053" cm="1">
        <f t="array" ref="F1053">INDEX(_xlfn.FILTERXML(E1053,"//latitude"),1)</f>
        <v>34.392597000000002</v>
      </c>
      <c r="G1053" cm="1">
        <f t="array" ref="G1053">INDEX(_xlfn.FILTERXML(E1053,"//longitude"),1)</f>
        <v>132.47740200000001</v>
      </c>
      <c r="H1053">
        <v>34.392597000000002</v>
      </c>
      <c r="I1053">
        <v>132.47740200000001</v>
      </c>
    </row>
    <row r="1054" spans="1:9" x14ac:dyDescent="0.4">
      <c r="A1054" t="s">
        <v>48</v>
      </c>
      <c r="B1054" t="s">
        <v>255</v>
      </c>
      <c r="C1054" t="str">
        <f t="shared" si="66"/>
        <v>石川県白山市田中町</v>
      </c>
      <c r="D1054" s="2" t="str">
        <f t="shared" si="67"/>
        <v>http://geocode.csis.u-tokyo.ac.jp/cgi-bin/simple_geocode.cgi?charset=UTF8&amp;addr=%E7%9F%B3%E5%B7%9D%E7%9C%8C%E7%99%BD%E5%B1%B1%E5%B8%82%E7%94%B0%E4%B8%AD%E7%94%BA</v>
      </c>
      <c r="E1054" t="str">
        <f t="shared" si="68"/>
        <v xml:space="preserve">&lt;?xml version="1.0" encoding="UTF-8" ?&gt;
&lt;results&gt;
&lt;query&gt;石川県白山市田中町&lt;/query&gt;
&lt;geodetic&gt;wgs1984&lt;/geodetic&gt;
&lt;iConf&gt;5&lt;/iConf&gt;
&lt;converted&gt;石川県白山市田中町&lt;/converted&gt;
&lt;candidate&gt;
&lt;address&gt;石川県/白山市/田中町&lt;/address&gt;
&lt;longitude&gt;136.587784&lt;/longitude&gt;
&lt;latitude&gt;36.529610&lt;/latitude&gt;
&lt;iLvl&gt;5&lt;/iLvl&gt;
&lt;/candidate&gt;
&lt;/results&gt;
</v>
      </c>
      <c r="F1054" cm="1">
        <f t="array" ref="F1054">INDEX(_xlfn.FILTERXML(E1054,"//latitude"),1)</f>
        <v>36.529609999999998</v>
      </c>
      <c r="G1054" cm="1">
        <f t="array" ref="G1054">INDEX(_xlfn.FILTERXML(E1054,"//longitude"),1)</f>
        <v>136.587784</v>
      </c>
      <c r="H1054">
        <v>36.529609999999998</v>
      </c>
      <c r="I1054">
        <v>136.587784</v>
      </c>
    </row>
    <row r="1055" spans="1:9" x14ac:dyDescent="0.4">
      <c r="A1055" t="s">
        <v>9</v>
      </c>
      <c r="B1055" t="s">
        <v>126</v>
      </c>
      <c r="C1055" t="str">
        <f t="shared" si="66"/>
        <v>東京都世田谷区船橋</v>
      </c>
      <c r="D1055" s="2" t="str">
        <f t="shared" si="67"/>
        <v>http://geocode.csis.u-tokyo.ac.jp/cgi-bin/simple_geocode.cgi?charset=UTF8&amp;addr=%E6%9D%B1%E4%BA%AC%E9%83%BD%E4%B8%96%E7%94%B0%E8%B0%B7%E5%8C%BA%E8%88%B9%E6%A9%8B</v>
      </c>
      <c r="E1055" t="str">
        <f t="shared" si="68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1055" cm="1">
        <f t="array" ref="F1055">INDEX(_xlfn.FILTERXML(E1055,"//latitude"),1)</f>
        <v>35.650036</v>
      </c>
      <c r="G1055" cm="1">
        <f t="array" ref="G1055">INDEX(_xlfn.FILTERXML(E1055,"//longitude"),1)</f>
        <v>139.62178</v>
      </c>
      <c r="H1055">
        <v>35.650036</v>
      </c>
      <c r="I1055">
        <v>139.62178</v>
      </c>
    </row>
    <row r="1056" spans="1:9" x14ac:dyDescent="0.4">
      <c r="A1056" t="s">
        <v>16</v>
      </c>
      <c r="B1056" t="s">
        <v>86</v>
      </c>
      <c r="C1056" t="str">
        <f t="shared" si="66"/>
        <v>長野県飯田市</v>
      </c>
      <c r="D1056" s="2" t="str">
        <f t="shared" si="67"/>
        <v>http://geocode.csis.u-tokyo.ac.jp/cgi-bin/simple_geocode.cgi?charset=UTF8&amp;addr=%E9%95%B7%E9%87%8E%E7%9C%8C%E9%A3%AF%E7%94%B0%E5%B8%82</v>
      </c>
      <c r="E1056" t="str">
        <f t="shared" si="68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1056" cm="1">
        <f t="array" ref="F1056">INDEX(_xlfn.FILTERXML(E1056,"//latitude"),1)</f>
        <v>35.514702</v>
      </c>
      <c r="G1056" cm="1">
        <f t="array" ref="G1056">INDEX(_xlfn.FILTERXML(E1056,"//longitude"),1)</f>
        <v>137.82182299999999</v>
      </c>
      <c r="H1056">
        <v>35.514702</v>
      </c>
      <c r="I1056">
        <v>137.82182299999999</v>
      </c>
    </row>
    <row r="1057" spans="1:9" x14ac:dyDescent="0.4">
      <c r="A1057" t="s">
        <v>39</v>
      </c>
      <c r="B1057" t="s">
        <v>40</v>
      </c>
      <c r="C1057" t="str">
        <f t="shared" si="66"/>
        <v>愛媛県松山市</v>
      </c>
      <c r="D1057" s="2" t="str">
        <f t="shared" si="67"/>
        <v>http://geocode.csis.u-tokyo.ac.jp/cgi-bin/simple_geocode.cgi?charset=UTF8&amp;addr=%E6%84%9B%E5%AA%9B%E7%9C%8C%E6%9D%BE%E5%B1%B1%E5%B8%82</v>
      </c>
      <c r="E1057" t="str">
        <f t="shared" si="68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057" cm="1">
        <f t="array" ref="F1057">INDEX(_xlfn.FILTERXML(E1057,"//latitude"),1)</f>
        <v>33.839157</v>
      </c>
      <c r="G1057" cm="1">
        <f t="array" ref="G1057">INDEX(_xlfn.FILTERXML(E1057,"//longitude"),1)</f>
        <v>132.76554899999999</v>
      </c>
      <c r="H1057">
        <v>33.839157</v>
      </c>
      <c r="I1057">
        <v>132.76554899999999</v>
      </c>
    </row>
    <row r="1058" spans="1:9" x14ac:dyDescent="0.4">
      <c r="A1058" t="s">
        <v>11</v>
      </c>
      <c r="B1058" t="s">
        <v>450</v>
      </c>
      <c r="C1058" t="str">
        <f t="shared" si="66"/>
        <v>大阪府大阪市城東区古市3-17-26</v>
      </c>
      <c r="D1058" s="2" t="str">
        <f t="shared" si="67"/>
        <v>http://geocode.csis.u-tokyo.ac.jp/cgi-bin/simple_geocode.cgi?charset=UTF8&amp;addr=%E5%A4%A7%E9%98%AA%E5%BA%9C%E5%A4%A7%E9%98%AA%E5%B8%82%E5%9F%8E%E6%9D%B1%E5%8C%BA%E5%8F%A4%E5%B8%823-17-26</v>
      </c>
      <c r="E1058" t="str">
        <f t="shared" si="68"/>
        <v xml:space="preserve">&lt;?xml version="1.0" encoding="UTF-8" ?&gt;
&lt;results&gt;
&lt;query&gt;大阪府大阪市城東区古市3-17-26&lt;/query&gt;
&lt;geodetic&gt;wgs1984&lt;/geodetic&gt;
&lt;iConf&gt;5&lt;/iConf&gt;
&lt;converted&gt;大阪府大阪市城東区古市3-17-26&lt;/converted&gt;
&lt;candidate&gt;
&lt;address&gt;大阪府/大阪市/城東区/古市/三丁目/１７番/２６号&lt;/address&gt;
&lt;longitude&gt;135.559753&lt;/longitude&gt;
&lt;latitude&gt;34.714043&lt;/latitude&gt;
&lt;iLvl&gt;8&lt;/iLvl&gt;
&lt;/candidate&gt;
&lt;/results&gt;
</v>
      </c>
      <c r="F1058" cm="1">
        <f t="array" ref="F1058">INDEX(_xlfn.FILTERXML(E1058,"//latitude"),1)</f>
        <v>34.714042999999997</v>
      </c>
      <c r="G1058" cm="1">
        <f t="array" ref="G1058">INDEX(_xlfn.FILTERXML(E1058,"//longitude"),1)</f>
        <v>135.559753</v>
      </c>
      <c r="H1058">
        <v>34.714042999999997</v>
      </c>
      <c r="I1058">
        <v>135.559753</v>
      </c>
    </row>
    <row r="1059" spans="1:9" x14ac:dyDescent="0.4">
      <c r="A1059" t="s">
        <v>9</v>
      </c>
      <c r="B1059" t="s">
        <v>45</v>
      </c>
      <c r="C1059" t="str">
        <f t="shared" si="66"/>
        <v>東京都品川区</v>
      </c>
      <c r="D1059" s="2" t="str">
        <f t="shared" si="67"/>
        <v>http://geocode.csis.u-tokyo.ac.jp/cgi-bin/simple_geocode.cgi?charset=UTF8&amp;addr=%E6%9D%B1%E4%BA%AC%E9%83%BD%E5%93%81%E5%B7%9D%E5%8C%BA</v>
      </c>
      <c r="E1059" t="str">
        <f t="shared" si="68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059" cm="1">
        <f t="array" ref="F1059">INDEX(_xlfn.FILTERXML(E1059,"//latitude"),1)</f>
        <v>35.609065999999999</v>
      </c>
      <c r="G1059" cm="1">
        <f t="array" ref="G1059">INDEX(_xlfn.FILTERXML(E1059,"//longitude"),1)</f>
        <v>139.730255</v>
      </c>
      <c r="H1059">
        <v>35.609065999999999</v>
      </c>
      <c r="I1059">
        <v>139.730255</v>
      </c>
    </row>
    <row r="1060" spans="1:9" x14ac:dyDescent="0.4">
      <c r="A1060" t="s">
        <v>20</v>
      </c>
      <c r="B1060" t="s">
        <v>451</v>
      </c>
      <c r="C1060" t="str">
        <f t="shared" si="66"/>
        <v>茨城県日立市日高町</v>
      </c>
      <c r="D1060" s="2" t="str">
        <f t="shared" si="67"/>
        <v>http://geocode.csis.u-tokyo.ac.jp/cgi-bin/simple_geocode.cgi?charset=UTF8&amp;addr=%E8%8C%A8%E5%9F%8E%E7%9C%8C%E6%97%A5%E7%AB%8B%E5%B8%82%E6%97%A5%E9%AB%98%E7%94%BA</v>
      </c>
      <c r="E1060" t="str">
        <f t="shared" si="68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1060" cm="1">
        <f t="array" ref="F1060">INDEX(_xlfn.FILTERXML(E1060,"//latitude"),1)</f>
        <v>36.635756999999998</v>
      </c>
      <c r="G1060" cm="1">
        <f t="array" ref="G1060">INDEX(_xlfn.FILTERXML(E1060,"//longitude"),1)</f>
        <v>140.676132</v>
      </c>
      <c r="H1060">
        <v>36.635756999999998</v>
      </c>
      <c r="I1060">
        <v>140.676132</v>
      </c>
    </row>
    <row r="1061" spans="1:9" x14ac:dyDescent="0.4">
      <c r="A1061" t="s">
        <v>26</v>
      </c>
      <c r="B1061" t="s">
        <v>452</v>
      </c>
      <c r="C1061" t="str">
        <f t="shared" si="66"/>
        <v>京都府京都市南区久世高田町３７３－１</v>
      </c>
      <c r="D1061" s="2" t="str">
        <f t="shared" si="67"/>
        <v>http://geocode.csis.u-tokyo.ac.jp/cgi-bin/simple_geocode.cgi?charset=UTF8&amp;addr=%E4%BA%AC%E9%83%BD%E5%BA%9C%E4%BA%AC%E9%83%BD%E5%B8%82%E5%8D%97%E5%8C%BA%E4%B9%85%E4%B8%96%E9%AB%98%E7%94%B0%E7%94%BA%EF%BC%93%EF%BC%97%EF%BC%93%EF%BC%8D%EF%BC%91</v>
      </c>
      <c r="E1061" t="str">
        <f t="shared" si="68"/>
        <v xml:space="preserve">&lt;?xml version="1.0" encoding="UTF-8" ?&gt;
&lt;results&gt;
&lt;query&gt;京都府京都市南区久世高田町３７３−１&lt;/query&gt;
&lt;geodetic&gt;wgs1984&lt;/geodetic&gt;
&lt;iConf&gt;5&lt;/iConf&gt;
&lt;converted&gt;京都府京都市南区久世高田町３７３−&lt;/converted&gt;
&lt;candidate&gt;
&lt;address&gt;京都府/京都市/南区/久世高田町/３７３番地&lt;/address&gt;
&lt;longitude&gt;135.707932&lt;/longitude&gt;
&lt;latitude&gt;34.965481&lt;/latitude&gt;
&lt;iLvl&gt;7&lt;/iLvl&gt;
&lt;/candidate&gt;
&lt;/results&gt;
</v>
      </c>
      <c r="F1061" cm="1">
        <f t="array" ref="F1061">INDEX(_xlfn.FILTERXML(E1061,"//latitude"),1)</f>
        <v>34.965480999999997</v>
      </c>
      <c r="G1061" cm="1">
        <f t="array" ref="G1061">INDEX(_xlfn.FILTERXML(E1061,"//longitude"),1)</f>
        <v>135.707932</v>
      </c>
      <c r="H1061">
        <v>34.965480999999997</v>
      </c>
      <c r="I1061">
        <v>135.707932</v>
      </c>
    </row>
    <row r="1062" spans="1:9" x14ac:dyDescent="0.4">
      <c r="A1062" t="s">
        <v>10</v>
      </c>
      <c r="B1062" t="s">
        <v>453</v>
      </c>
      <c r="C1062" t="str">
        <f t="shared" si="66"/>
        <v>神奈川県横浜市港南区最戸</v>
      </c>
      <c r="D1062" s="2" t="str">
        <f t="shared" si="67"/>
        <v>http://geocode.csis.u-tokyo.ac.jp/cgi-bin/simple_geocode.cgi?charset=UTF8&amp;addr=%E7%A5%9E%E5%A5%88%E5%B7%9D%E7%9C%8C%E6%A8%AA%E6%B5%9C%E5%B8%82%E6%B8%AF%E5%8D%97%E5%8C%BA%E6%9C%80%E6%88%B8</v>
      </c>
      <c r="E1062" t="str">
        <f t="shared" si="68"/>
        <v xml:space="preserve">&lt;?xml version="1.0" encoding="UTF-8" ?&gt;
&lt;results&gt;
&lt;query&gt;神奈川県横浜市港南区最戸&lt;/query&gt;
&lt;geodetic&gt;wgs1984&lt;/geodetic&gt;
&lt;iConf&gt;5&lt;/iConf&gt;
&lt;converted&gt;神奈川県横浜市港南区最戸&lt;/converted&gt;
&lt;candidate&gt;
&lt;address&gt;神奈川県/横浜市/港南区/最戸&lt;/address&gt;
&lt;longitude&gt;139.595825&lt;/longitude&gt;
&lt;latitude&gt;35.414230&lt;/latitude&gt;
&lt;iLvl&gt;5&lt;/iLvl&gt;
&lt;/candidate&gt;
&lt;/results&gt;
</v>
      </c>
      <c r="F1062" cm="1">
        <f t="array" ref="F1062">INDEX(_xlfn.FILTERXML(E1062,"//latitude"),1)</f>
        <v>35.414230000000003</v>
      </c>
      <c r="G1062" cm="1">
        <f t="array" ref="G1062">INDEX(_xlfn.FILTERXML(E1062,"//longitude"),1)</f>
        <v>139.59582499999999</v>
      </c>
      <c r="H1062">
        <v>35.414230000000003</v>
      </c>
      <c r="I1062">
        <v>139.59582499999999</v>
      </c>
    </row>
    <row r="1063" spans="1:9" x14ac:dyDescent="0.4">
      <c r="A1063" t="s">
        <v>18</v>
      </c>
      <c r="B1063" t="s">
        <v>176</v>
      </c>
      <c r="C1063" t="str">
        <f t="shared" si="66"/>
        <v>千葉県山武市成東</v>
      </c>
      <c r="D1063" s="2" t="str">
        <f t="shared" si="67"/>
        <v>http://geocode.csis.u-tokyo.ac.jp/cgi-bin/simple_geocode.cgi?charset=UTF8&amp;addr=%E5%8D%83%E8%91%89%E7%9C%8C%E5%B1%B1%E6%AD%A6%E5%B8%82%E6%88%90%E6%9D%B1</v>
      </c>
      <c r="E1063" t="str">
        <f t="shared" si="68"/>
        <v xml:space="preserve">&lt;?xml version="1.0" encoding="UTF-8" ?&gt;
&lt;results&gt;
&lt;query&gt;千葉県山武市成東&lt;/query&gt;
&lt;geodetic&gt;wgs1984&lt;/geodetic&gt;
&lt;iConf&gt;5&lt;/iConf&gt;
&lt;converted&gt;千葉県山武市成東&lt;/converted&gt;
&lt;candidate&gt;
&lt;address&gt;千葉県/山武市/成東&lt;/address&gt;
&lt;longitude&gt;140.399902&lt;/longitude&gt;
&lt;latitude&gt;35.598206&lt;/latitude&gt;
&lt;iLvl&gt;5&lt;/iLvl&gt;
&lt;/candidate&gt;
&lt;/results&gt;
</v>
      </c>
      <c r="F1063" cm="1">
        <f t="array" ref="F1063">INDEX(_xlfn.FILTERXML(E1063,"//latitude"),1)</f>
        <v>35.598205999999998</v>
      </c>
      <c r="G1063" cm="1">
        <f t="array" ref="G1063">INDEX(_xlfn.FILTERXML(E1063,"//longitude"),1)</f>
        <v>140.399902</v>
      </c>
      <c r="H1063">
        <v>35.598205999999998</v>
      </c>
      <c r="I1063">
        <v>140.399902</v>
      </c>
    </row>
    <row r="1064" spans="1:9" x14ac:dyDescent="0.4">
      <c r="A1064" t="s">
        <v>20</v>
      </c>
      <c r="B1064" t="s">
        <v>454</v>
      </c>
      <c r="C1064" t="str">
        <f t="shared" si="66"/>
        <v>茨城県潮来市日の出</v>
      </c>
      <c r="D1064" s="2" t="str">
        <f t="shared" si="67"/>
        <v>http://geocode.csis.u-tokyo.ac.jp/cgi-bin/simple_geocode.cgi?charset=UTF8&amp;addr=%E8%8C%A8%E5%9F%8E%E7%9C%8C%E6%BD%AE%E6%9D%A5%E5%B8%82%E6%97%A5%E3%81%AE%E5%87%BA</v>
      </c>
      <c r="E1064" t="str">
        <f t="shared" si="68"/>
        <v xml:space="preserve">&lt;?xml version="1.0" encoding="UTF-8" ?&gt;
&lt;results&gt;
&lt;query&gt;茨城県潮来市日の出&lt;/query&gt;
&lt;geodetic&gt;wgs1984&lt;/geodetic&gt;
&lt;iConf&gt;5&lt;/iConf&gt;
&lt;converted&gt;茨城県潮来市日の出&lt;/converted&gt;
&lt;candidate&gt;
&lt;address&gt;茨城県/潮来市/日の出&lt;/address&gt;
&lt;longitude&gt;140.584610&lt;/longitude&gt;
&lt;latitude&gt;35.933041&lt;/latitude&gt;
&lt;iLvl&gt;5&lt;/iLvl&gt;
&lt;/candidate&gt;
&lt;/results&gt;
</v>
      </c>
      <c r="F1064" cm="1">
        <f t="array" ref="F1064">INDEX(_xlfn.FILTERXML(E1064,"//latitude"),1)</f>
        <v>35.933041000000003</v>
      </c>
      <c r="G1064" cm="1">
        <f t="array" ref="G1064">INDEX(_xlfn.FILTERXML(E1064,"//longitude"),1)</f>
        <v>140.58461</v>
      </c>
      <c r="H1064">
        <v>35.933041000000003</v>
      </c>
      <c r="I1064">
        <v>140.58461</v>
      </c>
    </row>
    <row r="1065" spans="1:9" x14ac:dyDescent="0.4">
      <c r="A1065" t="s">
        <v>18</v>
      </c>
      <c r="B1065" t="s">
        <v>455</v>
      </c>
      <c r="C1065" t="str">
        <f t="shared" si="66"/>
        <v>千葉県市川市原木</v>
      </c>
      <c r="D1065" s="2" t="str">
        <f t="shared" si="67"/>
        <v>http://geocode.csis.u-tokyo.ac.jp/cgi-bin/simple_geocode.cgi?charset=UTF8&amp;addr=%E5%8D%83%E8%91%89%E7%9C%8C%E5%B8%82%E5%B7%9D%E5%B8%82%E5%8E%9F%E6%9C%A8</v>
      </c>
      <c r="E1065" t="str">
        <f t="shared" si="68"/>
        <v xml:space="preserve">&lt;?xml version="1.0" encoding="UTF-8" ?&gt;
&lt;results&gt;
&lt;query&gt;千葉県市川市原木&lt;/query&gt;
&lt;geodetic&gt;wgs1984&lt;/geodetic&gt;
&lt;iConf&gt;5&lt;/iConf&gt;
&lt;converted&gt;千葉県市川市原木&lt;/converted&gt;
&lt;candidate&gt;
&lt;address&gt;千葉県/市川市/原木&lt;/address&gt;
&lt;longitude&gt;139.951721&lt;/longitude&gt;
&lt;latitude&gt;35.693062&lt;/latitude&gt;
&lt;iLvl&gt;5&lt;/iLvl&gt;
&lt;/candidate&gt;
&lt;/results&gt;
</v>
      </c>
      <c r="F1065" cm="1">
        <f t="array" ref="F1065">INDEX(_xlfn.FILTERXML(E1065,"//latitude"),1)</f>
        <v>35.693061999999998</v>
      </c>
      <c r="G1065" cm="1">
        <f t="array" ref="G1065">INDEX(_xlfn.FILTERXML(E1065,"//longitude"),1)</f>
        <v>139.95172099999999</v>
      </c>
      <c r="H1065">
        <v>35.693061999999998</v>
      </c>
      <c r="I1065">
        <v>139.95172099999999</v>
      </c>
    </row>
    <row r="1066" spans="1:9" x14ac:dyDescent="0.4">
      <c r="A1066" t="s">
        <v>37</v>
      </c>
      <c r="B1066" t="s">
        <v>130</v>
      </c>
      <c r="C1066" t="str">
        <f t="shared" si="66"/>
        <v>三重県伊賀市北山</v>
      </c>
      <c r="D1066" s="2" t="str">
        <f t="shared" si="67"/>
        <v>http://geocode.csis.u-tokyo.ac.jp/cgi-bin/simple_geocode.cgi?charset=UTF8&amp;addr=%E4%B8%89%E9%87%8D%E7%9C%8C%E4%BC%8A%E8%B3%80%E5%B8%82%E5%8C%97%E5%B1%B1</v>
      </c>
      <c r="E1066" t="str">
        <f t="shared" si="68"/>
        <v xml:space="preserve">&lt;?xml version="1.0" encoding="UTF-8" ?&gt;
&lt;results&gt;
&lt;query&gt;三重県伊賀市北山&lt;/query&gt;
&lt;geodetic&gt;wgs1984&lt;/geodetic&gt;
&lt;iConf&gt;5&lt;/iConf&gt;
&lt;converted&gt;三重県伊賀市北山&lt;/converted&gt;
&lt;candidate&gt;
&lt;address&gt;三重県/伊賀市/北山&lt;/address&gt;
&lt;longitude&gt;136.222885&lt;/longitude&gt;
&lt;latitude&gt;34.685459&lt;/latitude&gt;
&lt;iLvl&gt;5&lt;/iLvl&gt;
&lt;/candidate&gt;
&lt;/results&gt;
</v>
      </c>
      <c r="F1066" cm="1">
        <f t="array" ref="F1066">INDEX(_xlfn.FILTERXML(E1066,"//latitude"),1)</f>
        <v>34.685459000000002</v>
      </c>
      <c r="G1066" cm="1">
        <f t="array" ref="G1066">INDEX(_xlfn.FILTERXML(E1066,"//longitude"),1)</f>
        <v>136.22288499999999</v>
      </c>
      <c r="H1066">
        <v>34.685459000000002</v>
      </c>
      <c r="I1066">
        <v>136.22288499999999</v>
      </c>
    </row>
    <row r="1067" spans="1:9" x14ac:dyDescent="0.4">
      <c r="A1067" t="s">
        <v>26</v>
      </c>
      <c r="B1067" t="s">
        <v>106</v>
      </c>
      <c r="C1067" t="str">
        <f t="shared" si="66"/>
        <v>京都府京都市伏見区深草大亀谷大山町</v>
      </c>
      <c r="D1067" s="2" t="str">
        <f t="shared" si="67"/>
        <v>http://geocode.csis.u-tokyo.ac.jp/cgi-bin/simple_geocode.cgi?charset=UTF8&amp;addr=%E4%BA%AC%E9%83%BD%E5%BA%9C%E4%BA%AC%E9%83%BD%E5%B8%82%E4%BC%8F%E8%A6%8B%E5%8C%BA%E6%B7%B1%E8%8D%89%E5%A4%A7%E4%BA%80%E8%B0%B7%E5%A4%A7%E5%B1%B1%E7%94%BA</v>
      </c>
      <c r="E1067" t="str">
        <f t="shared" si="68"/>
        <v xml:space="preserve">&lt;?xml version="1.0" encoding="UTF-8" ?&gt;
&lt;results&gt;
&lt;query&gt;京都府京都市伏見区深草大亀谷大山町&lt;/query&gt;
&lt;geodetic&gt;wgs1984&lt;/geodetic&gt;
&lt;iConf&gt;5&lt;/iConf&gt;
&lt;converted&gt;京都府京都市伏見区深草大亀谷大山町&lt;/converted&gt;
&lt;candidate&gt;
&lt;address&gt;京都府/京都市/伏見区/深草大亀谷大山町&lt;/address&gt;
&lt;longitude&gt;135.778351&lt;/longitude&gt;
&lt;latitude&gt;34.946857&lt;/latitude&gt;
&lt;iLvl&gt;5&lt;/iLvl&gt;
&lt;/candidate&gt;
&lt;/results&gt;
</v>
      </c>
      <c r="F1067" cm="1">
        <f t="array" ref="F1067">INDEX(_xlfn.FILTERXML(E1067,"//latitude"),1)</f>
        <v>34.946857000000001</v>
      </c>
      <c r="G1067" cm="1">
        <f t="array" ref="G1067">INDEX(_xlfn.FILTERXML(E1067,"//longitude"),1)</f>
        <v>135.77835099999999</v>
      </c>
      <c r="H1067">
        <v>34.946857000000001</v>
      </c>
      <c r="I1067">
        <v>135.77835099999999</v>
      </c>
    </row>
    <row r="1068" spans="1:9" x14ac:dyDescent="0.4">
      <c r="A1068" t="s">
        <v>26</v>
      </c>
      <c r="B1068" t="s">
        <v>259</v>
      </c>
      <c r="C1068" t="str">
        <f t="shared" si="66"/>
        <v>京都府京都市中京区壬生天池町</v>
      </c>
      <c r="D1068" s="2" t="str">
        <f t="shared" si="67"/>
        <v>http://geocode.csis.u-tokyo.ac.jp/cgi-bin/simple_geocode.cgi?charset=UTF8&amp;addr=%E4%BA%AC%E9%83%BD%E5%BA%9C%E4%BA%AC%E9%83%BD%E5%B8%82%E4%B8%AD%E4%BA%AC%E5%8C%BA%E5%A3%AC%E7%94%9F%E5%A4%A9%E6%B1%A0%E7%94%BA</v>
      </c>
      <c r="E1068" t="str">
        <f t="shared" si="68"/>
        <v xml:space="preserve">&lt;?xml version="1.0" encoding="UTF-8" ?&gt;
&lt;results&gt;
&lt;query&gt;京都府京都市中京区壬生天池町&lt;/query&gt;
&lt;geodetic&gt;wgs1984&lt;/geodetic&gt;
&lt;iConf&gt;5&lt;/iConf&gt;
&lt;converted&gt;京都府京都市中京区壬生天池町&lt;/converted&gt;
&lt;candidate&gt;
&lt;address&gt;京都府/京都市/中京区/壬生天池町&lt;/address&gt;
&lt;longitude&gt;135.740738&lt;/longitude&gt;
&lt;latitude&gt;35.007397&lt;/latitude&gt;
&lt;iLvl&gt;5&lt;/iLvl&gt;
&lt;/candidate&gt;
&lt;/results&gt;
</v>
      </c>
      <c r="F1068" cm="1">
        <f t="array" ref="F1068">INDEX(_xlfn.FILTERXML(E1068,"//latitude"),1)</f>
        <v>35.007396999999997</v>
      </c>
      <c r="G1068" cm="1">
        <f t="array" ref="G1068">INDEX(_xlfn.FILTERXML(E1068,"//longitude"),1)</f>
        <v>135.74073799999999</v>
      </c>
      <c r="H1068">
        <v>35.007396999999997</v>
      </c>
      <c r="I1068">
        <v>135.74073799999999</v>
      </c>
    </row>
    <row r="1069" spans="1:9" x14ac:dyDescent="0.4">
      <c r="A1069" t="s">
        <v>9</v>
      </c>
      <c r="B1069" t="s">
        <v>56</v>
      </c>
      <c r="C1069" t="str">
        <f t="shared" si="66"/>
        <v>東京都板橋区桜川2-17-2</v>
      </c>
      <c r="D1069" s="2" t="str">
        <f t="shared" si="67"/>
        <v>http://geocode.csis.u-tokyo.ac.jp/cgi-bin/simple_geocode.cgi?charset=UTF8&amp;addr=%E6%9D%B1%E4%BA%AC%E9%83%BD%E6%9D%BF%E6%A9%8B%E5%8C%BA%E6%A1%9C%E5%B7%9D2-17-2</v>
      </c>
      <c r="E1069" t="str">
        <f t="shared" si="68"/>
        <v xml:space="preserve">&lt;?xml version="1.0" encoding="UTF-8" ?&gt;
&lt;results&gt;
&lt;query&gt;東京都板橋区桜川2-17-2&lt;/query&gt;
&lt;geodetic&gt;wgs1984&lt;/geodetic&gt;
&lt;iConf&gt;5&lt;/iConf&gt;
&lt;converted&gt;東京都板橋区桜川2-17-2&lt;/converted&gt;
&lt;candidate&gt;
&lt;address&gt;東京都/板橋区/桜川/二丁目/１７番/２号&lt;/address&gt;
&lt;longitude&gt;139.677643&lt;/longitude&gt;
&lt;latitude&gt;35.758652&lt;/latitude&gt;
&lt;iLvl&gt;8&lt;/iLvl&gt;
&lt;/candidate&gt;
&lt;/results&gt;
</v>
      </c>
      <c r="F1069" cm="1">
        <f t="array" ref="F1069">INDEX(_xlfn.FILTERXML(E1069,"//latitude"),1)</f>
        <v>35.758651999999998</v>
      </c>
      <c r="G1069" cm="1">
        <f t="array" ref="G1069">INDEX(_xlfn.FILTERXML(E1069,"//longitude"),1)</f>
        <v>139.67764299999999</v>
      </c>
      <c r="H1069">
        <v>35.758651999999998</v>
      </c>
      <c r="I1069">
        <v>139.67764299999999</v>
      </c>
    </row>
    <row r="1070" spans="1:9" x14ac:dyDescent="0.4">
      <c r="A1070" t="s">
        <v>11</v>
      </c>
      <c r="B1070" t="s">
        <v>456</v>
      </c>
      <c r="C1070" t="str">
        <f t="shared" si="66"/>
        <v>大阪府豊中市城山町3-4-45</v>
      </c>
      <c r="D1070" s="2" t="str">
        <f t="shared" si="67"/>
        <v>http://geocode.csis.u-tokyo.ac.jp/cgi-bin/simple_geocode.cgi?charset=UTF8&amp;addr=%E5%A4%A7%E9%98%AA%E5%BA%9C%E8%B1%8A%E4%B8%AD%E5%B8%82%E5%9F%8E%E5%B1%B1%E7%94%BA3-4-45</v>
      </c>
      <c r="E1070" t="str">
        <f t="shared" si="68"/>
        <v xml:space="preserve">&lt;?xml version="1.0" encoding="UTF-8" ?&gt;
&lt;results&gt;
&lt;query&gt;大阪府豊中市城山町3-4-45&lt;/query&gt;
&lt;geodetic&gt;wgs1984&lt;/geodetic&gt;
&lt;iConf&gt;5&lt;/iConf&gt;
&lt;converted&gt;大阪府豊中市城山町3-4-&lt;/converted&gt;
&lt;candidate&gt;
&lt;address&gt;大阪府/豊中市/城山町/三丁目/４番&lt;/address&gt;
&lt;longitude&gt;135.478180&lt;/longitude&gt;
&lt;latitude&gt;34.770294&lt;/latitude&gt;
&lt;iLvl&gt;7&lt;/iLvl&gt;
&lt;/candidate&gt;
&lt;/results&gt;
</v>
      </c>
      <c r="F1070" cm="1">
        <f t="array" ref="F1070">INDEX(_xlfn.FILTERXML(E1070,"//latitude"),1)</f>
        <v>34.770294</v>
      </c>
      <c r="G1070" cm="1">
        <f t="array" ref="G1070">INDEX(_xlfn.FILTERXML(E1070,"//longitude"),1)</f>
        <v>135.47818000000001</v>
      </c>
      <c r="H1070">
        <v>34.770294</v>
      </c>
      <c r="I1070">
        <v>135.47818000000001</v>
      </c>
    </row>
    <row r="1071" spans="1:9" x14ac:dyDescent="0.4">
      <c r="A1071" t="s">
        <v>15</v>
      </c>
      <c r="B1071" t="s">
        <v>231</v>
      </c>
      <c r="C1071" t="str">
        <f t="shared" si="66"/>
        <v>兵庫県川西市大和東</v>
      </c>
      <c r="D1071" s="2" t="str">
        <f t="shared" si="67"/>
        <v>http://geocode.csis.u-tokyo.ac.jp/cgi-bin/simple_geocode.cgi?charset=UTF8&amp;addr=%E5%85%B5%E5%BA%AB%E7%9C%8C%E5%B7%9D%E8%A5%BF%E5%B8%82%E5%A4%A7%E5%92%8C%E6%9D%B1</v>
      </c>
      <c r="E1071" t="str">
        <f t="shared" si="68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1071" cm="1">
        <f t="array" ref="F1071">INDEX(_xlfn.FILTERXML(E1071,"//latitude"),1)</f>
        <v>34.884841999999999</v>
      </c>
      <c r="G1071" cm="1">
        <f t="array" ref="G1071">INDEX(_xlfn.FILTERXML(E1071,"//longitude"),1)</f>
        <v>135.42190600000001</v>
      </c>
      <c r="H1071">
        <v>34.884841999999999</v>
      </c>
      <c r="I1071">
        <v>135.42190600000001</v>
      </c>
    </row>
    <row r="1072" spans="1:9" x14ac:dyDescent="0.4">
      <c r="A1072" t="s">
        <v>10</v>
      </c>
      <c r="B1072" t="s">
        <v>215</v>
      </c>
      <c r="C1072" t="str">
        <f t="shared" si="66"/>
        <v>神奈川県川崎市幸区戸手</v>
      </c>
      <c r="D1072" s="2" t="str">
        <f t="shared" si="67"/>
        <v>http://geocode.csis.u-tokyo.ac.jp/cgi-bin/simple_geocode.cgi?charset=UTF8&amp;addr=%E7%A5%9E%E5%A5%88%E5%B7%9D%E7%9C%8C%E5%B7%9D%E5%B4%8E%E5%B8%82%E5%B9%B8%E5%8C%BA%E6%88%B8%E6%89%8B</v>
      </c>
      <c r="E1072" t="str">
        <f t="shared" si="68"/>
        <v xml:space="preserve">&lt;?xml version="1.0" encoding="UTF-8" ?&gt;
&lt;results&gt;
&lt;query&gt;神奈川県川崎市幸区戸手&lt;/query&gt;
&lt;geodetic&gt;wgs1984&lt;/geodetic&gt;
&lt;iConf&gt;5&lt;/iConf&gt;
&lt;converted&gt;神奈川県川崎市幸区戸手&lt;/converted&gt;
&lt;candidate&gt;
&lt;address&gt;神奈川県/川崎市/幸区/戸手&lt;/address&gt;
&lt;longitude&gt;139.690735&lt;/longitude&gt;
&lt;latitude&gt;35.545368&lt;/latitude&gt;
&lt;iLvl&gt;5&lt;/iLvl&gt;
&lt;/candidate&gt;
&lt;/results&gt;
</v>
      </c>
      <c r="F1072" cm="1">
        <f t="array" ref="F1072">INDEX(_xlfn.FILTERXML(E1072,"//latitude"),1)</f>
        <v>35.545368000000003</v>
      </c>
      <c r="G1072" cm="1">
        <f t="array" ref="G1072">INDEX(_xlfn.FILTERXML(E1072,"//longitude"),1)</f>
        <v>139.69073499999999</v>
      </c>
      <c r="H1072">
        <v>35.545368000000003</v>
      </c>
      <c r="I1072">
        <v>139.69073499999999</v>
      </c>
    </row>
    <row r="1073" spans="1:9" x14ac:dyDescent="0.4">
      <c r="A1073" t="s">
        <v>10</v>
      </c>
      <c r="B1073" t="s">
        <v>64</v>
      </c>
      <c r="C1073" t="str">
        <f t="shared" si="66"/>
        <v>神奈川県横浜市瀬谷区瀬谷5丁目</v>
      </c>
      <c r="D1073" s="2" t="str">
        <f t="shared" si="67"/>
        <v>http://geocode.csis.u-tokyo.ac.jp/cgi-bin/simple_geocode.cgi?charset=UTF8&amp;addr=%E7%A5%9E%E5%A5%88%E5%B7%9D%E7%9C%8C%E6%A8%AA%E6%B5%9C%E5%B8%82%E7%80%AC%E8%B0%B7%E5%8C%BA%E7%80%AC%E8%B0%B75%E4%B8%81%E7%9B%AE</v>
      </c>
      <c r="E1073" t="str">
        <f t="shared" si="68"/>
        <v xml:space="preserve">&lt;?xml version="1.0" encoding="UTF-8" ?&gt;
&lt;results&gt;
&lt;query&gt;神奈川県横浜市瀬谷区瀬谷5丁目&lt;/query&gt;
&lt;geodetic&gt;wgs1984&lt;/geodetic&gt;
&lt;iConf&gt;5&lt;/iConf&gt;
&lt;converted&gt;神奈川県横浜市瀬谷区瀬谷5丁目&lt;/converted&gt;
&lt;candidate&gt;
&lt;address&gt;神奈川県/横浜市/瀬谷区/瀬谷/五丁目&lt;/address&gt;
&lt;longitude&gt;139.478165&lt;/longitude&gt;
&lt;latitude&gt;35.467766&lt;/latitude&gt;
&lt;iLvl&gt;6&lt;/iLvl&gt;
&lt;/candidate&gt;
&lt;/results&gt;
</v>
      </c>
      <c r="F1073" cm="1">
        <f t="array" ref="F1073">INDEX(_xlfn.FILTERXML(E1073,"//latitude"),1)</f>
        <v>35.467765999999997</v>
      </c>
      <c r="G1073" cm="1">
        <f t="array" ref="G1073">INDEX(_xlfn.FILTERXML(E1073,"//longitude"),1)</f>
        <v>139.47816499999999</v>
      </c>
      <c r="H1073">
        <v>35.467765999999997</v>
      </c>
      <c r="I1073">
        <v>139.47816499999999</v>
      </c>
    </row>
    <row r="1074" spans="1:9" x14ac:dyDescent="0.4">
      <c r="A1074" t="s">
        <v>15</v>
      </c>
      <c r="B1074" t="s">
        <v>153</v>
      </c>
      <c r="C1074" t="str">
        <f t="shared" si="66"/>
        <v>兵庫県加古川市尾上町長田</v>
      </c>
      <c r="D1074" s="2" t="str">
        <f t="shared" si="67"/>
        <v>http://geocode.csis.u-tokyo.ac.jp/cgi-bin/simple_geocode.cgi?charset=UTF8&amp;addr=%E5%85%B5%E5%BA%AB%E7%9C%8C%E5%8A%A0%E5%8F%A4%E5%B7%9D%E5%B8%82%E5%B0%BE%E4%B8%8A%E7%94%BA%E9%95%B7%E7%94%B0</v>
      </c>
      <c r="E1074" t="str">
        <f t="shared" si="68"/>
        <v xml:space="preserve">&lt;?xml version="1.0" encoding="UTF-8" ?&gt;
&lt;results&gt;
&lt;query&gt;兵庫県加古川市尾上町長田&lt;/query&gt;
&lt;geodetic&gt;wgs1984&lt;/geodetic&gt;
&lt;iConf&gt;5&lt;/iConf&gt;
&lt;converted&gt;兵庫県加古川市尾上町長田&lt;/converted&gt;
&lt;candidate&gt;
&lt;address&gt;兵庫県/加古川市/尾上町長田&lt;/address&gt;
&lt;longitude&gt;134.826553&lt;/longitude&gt;
&lt;latitude&gt;34.745033&lt;/latitude&gt;
&lt;iLvl&gt;5&lt;/iLvl&gt;
&lt;/candidate&gt;
&lt;/results&gt;
</v>
      </c>
      <c r="F1074" cm="1">
        <f t="array" ref="F1074">INDEX(_xlfn.FILTERXML(E1074,"//latitude"),1)</f>
        <v>34.745032999999999</v>
      </c>
      <c r="G1074" cm="1">
        <f t="array" ref="G1074">INDEX(_xlfn.FILTERXML(E1074,"//longitude"),1)</f>
        <v>134.82655299999999</v>
      </c>
      <c r="H1074">
        <v>34.745032999999999</v>
      </c>
      <c r="I1074">
        <v>134.82655299999999</v>
      </c>
    </row>
    <row r="1075" spans="1:9" x14ac:dyDescent="0.4">
      <c r="A1075" t="s">
        <v>29</v>
      </c>
      <c r="B1075" t="s">
        <v>457</v>
      </c>
      <c r="C1075" t="str">
        <f t="shared" si="66"/>
        <v>静岡県藤枝市青葉町4丁目４－１４</v>
      </c>
      <c r="D1075" s="2" t="str">
        <f t="shared" si="67"/>
        <v>http://geocode.csis.u-tokyo.ac.jp/cgi-bin/simple_geocode.cgi?charset=UTF8&amp;addr=%E9%9D%99%E5%B2%A1%E7%9C%8C%E8%97%A4%E6%9E%9D%E5%B8%82%E9%9D%92%E8%91%89%E7%94%BA4%E4%B8%81%E7%9B%AE%EF%BC%94%EF%BC%8D%EF%BC%91%EF%BC%94</v>
      </c>
      <c r="E1075" t="str">
        <f t="shared" si="68"/>
        <v xml:space="preserve">&lt;?xml version="1.0" encoding="UTF-8" ?&gt;
&lt;results&gt;
&lt;query&gt;静岡県藤枝市青葉町4丁目４−１４&lt;/query&gt;
&lt;geodetic&gt;wgs1984&lt;/geodetic&gt;
&lt;iConf&gt;5&lt;/iConf&gt;
&lt;converted&gt;静岡県藤枝市青葉町4丁目４−１４&lt;/converted&gt;
&lt;candidate&gt;
&lt;address&gt;静岡県/藤枝市/青葉町/四丁目/４番/１４号&lt;/address&gt;
&lt;longitude&gt;138.245697&lt;/longitude&gt;
&lt;latitude&gt;34.839527&lt;/latitude&gt;
&lt;iLvl&gt;8&lt;/iLvl&gt;
&lt;/candidate&gt;
&lt;/results&gt;
</v>
      </c>
      <c r="F1075" cm="1">
        <f t="array" ref="F1075">INDEX(_xlfn.FILTERXML(E1075,"//latitude"),1)</f>
        <v>34.839526999999997</v>
      </c>
      <c r="G1075" cm="1">
        <f t="array" ref="G1075">INDEX(_xlfn.FILTERXML(E1075,"//longitude"),1)</f>
        <v>138.24569700000001</v>
      </c>
      <c r="H1075">
        <v>34.839526999999997</v>
      </c>
      <c r="I1075">
        <v>138.24569700000001</v>
      </c>
    </row>
    <row r="1076" spans="1:9" x14ac:dyDescent="0.4">
      <c r="A1076" t="s">
        <v>9</v>
      </c>
      <c r="B1076" t="s">
        <v>458</v>
      </c>
      <c r="C1076" t="str">
        <f t="shared" si="66"/>
        <v>東京都国立市西</v>
      </c>
      <c r="D1076" s="2" t="str">
        <f t="shared" si="67"/>
        <v>http://geocode.csis.u-tokyo.ac.jp/cgi-bin/simple_geocode.cgi?charset=UTF8&amp;addr=%E6%9D%B1%E4%BA%AC%E9%83%BD%E5%9B%BD%E7%AB%8B%E5%B8%82%E8%A5%BF</v>
      </c>
      <c r="E1076" t="str">
        <f t="shared" si="68"/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1076" cm="1">
        <f t="array" ref="F1076">INDEX(_xlfn.FILTERXML(E1076,"//latitude"),1)</f>
        <v>35.697249999999997</v>
      </c>
      <c r="G1076" cm="1">
        <f t="array" ref="G1076">INDEX(_xlfn.FILTERXML(E1076,"//longitude"),1)</f>
        <v>139.433334</v>
      </c>
      <c r="H1076">
        <v>35.697249999999997</v>
      </c>
      <c r="I1076">
        <v>139.433334</v>
      </c>
    </row>
    <row r="1077" spans="1:9" x14ac:dyDescent="0.4">
      <c r="A1077" t="s">
        <v>20</v>
      </c>
      <c r="B1077" t="s">
        <v>88</v>
      </c>
      <c r="C1077" t="str">
        <f t="shared" si="66"/>
        <v>茨城県土浦市神立町</v>
      </c>
      <c r="D1077" s="2" t="str">
        <f t="shared" si="67"/>
        <v>http://geocode.csis.u-tokyo.ac.jp/cgi-bin/simple_geocode.cgi?charset=UTF8&amp;addr=%E8%8C%A8%E5%9F%8E%E7%9C%8C%E5%9C%9F%E6%B5%A6%E5%B8%82%E7%A5%9E%E7%AB%8B%E7%94%BA</v>
      </c>
      <c r="E1077" t="str">
        <f t="shared" si="68"/>
        <v xml:space="preserve">&lt;?xml version="1.0" encoding="UTF-8" ?&gt;
&lt;results&gt;
&lt;query&gt;茨城県土浦市神立町&lt;/query&gt;
&lt;geodetic&gt;wgs1984&lt;/geodetic&gt;
&lt;iConf&gt;5&lt;/iConf&gt;
&lt;converted&gt;茨城県土浦市神立町&lt;/converted&gt;
&lt;candidate&gt;
&lt;address&gt;茨城県/土浦市/神立町&lt;/address&gt;
&lt;longitude&gt;140.229950&lt;/longitude&gt;
&lt;latitude&gt;36.109219&lt;/latitude&gt;
&lt;iLvl&gt;5&lt;/iLvl&gt;
&lt;/candidate&gt;
&lt;/results&gt;
</v>
      </c>
      <c r="F1077" cm="1">
        <f t="array" ref="F1077">INDEX(_xlfn.FILTERXML(E1077,"//latitude"),1)</f>
        <v>36.109219000000003</v>
      </c>
      <c r="G1077" cm="1">
        <f t="array" ref="G1077">INDEX(_xlfn.FILTERXML(E1077,"//longitude"),1)</f>
        <v>140.22995</v>
      </c>
      <c r="H1077">
        <v>36.109219000000003</v>
      </c>
      <c r="I1077">
        <v>140.22995</v>
      </c>
    </row>
    <row r="1078" spans="1:9" x14ac:dyDescent="0.4">
      <c r="A1078" t="s">
        <v>9</v>
      </c>
      <c r="B1078" t="s">
        <v>213</v>
      </c>
      <c r="C1078" t="str">
        <f t="shared" si="66"/>
        <v>東京都調布市国領町</v>
      </c>
      <c r="D1078" s="2" t="str">
        <f t="shared" si="67"/>
        <v>http://geocode.csis.u-tokyo.ac.jp/cgi-bin/simple_geocode.cgi?charset=UTF8&amp;addr=%E6%9D%B1%E4%BA%AC%E9%83%BD%E8%AA%BF%E5%B8%83%E5%B8%82%E5%9B%BD%E9%A0%98%E7%94%BA</v>
      </c>
      <c r="E1078" t="str">
        <f t="shared" si="68"/>
        <v xml:space="preserve">&lt;?xml version="1.0" encoding="UTF-8" ?&gt;
&lt;results&gt;
&lt;query&gt;東京都調布市国領町&lt;/query&gt;
&lt;geodetic&gt;wgs1984&lt;/geodetic&gt;
&lt;iConf&gt;5&lt;/iConf&gt;
&lt;converted&gt;東京都調布市国領町&lt;/converted&gt;
&lt;candidate&gt;
&lt;address&gt;東京都/調布市/国領町&lt;/address&gt;
&lt;longitude&gt;139.556519&lt;/longitude&gt;
&lt;latitude&gt;35.636326&lt;/latitude&gt;
&lt;iLvl&gt;5&lt;/iLvl&gt;
&lt;/candidate&gt;
&lt;/results&gt;
</v>
      </c>
      <c r="F1078" cm="1">
        <f t="array" ref="F1078">INDEX(_xlfn.FILTERXML(E1078,"//latitude"),1)</f>
        <v>35.636325999999997</v>
      </c>
      <c r="G1078" cm="1">
        <f t="array" ref="G1078">INDEX(_xlfn.FILTERXML(E1078,"//longitude"),1)</f>
        <v>139.55651900000001</v>
      </c>
      <c r="H1078">
        <v>35.636325999999997</v>
      </c>
      <c r="I1078">
        <v>139.55651900000001</v>
      </c>
    </row>
    <row r="1079" spans="1:9" x14ac:dyDescent="0.4">
      <c r="A1079" t="s">
        <v>21</v>
      </c>
      <c r="B1079" t="s">
        <v>178</v>
      </c>
      <c r="C1079" t="str">
        <f t="shared" si="66"/>
        <v>福岡県福岡市東区</v>
      </c>
      <c r="D1079" s="2" t="str">
        <f t="shared" si="67"/>
        <v>http://geocode.csis.u-tokyo.ac.jp/cgi-bin/simple_geocode.cgi?charset=UTF8&amp;addr=%E7%A6%8F%E5%B2%A1%E7%9C%8C%E7%A6%8F%E5%B2%A1%E5%B8%82%E6%9D%B1%E5%8C%BA</v>
      </c>
      <c r="E1079" t="str">
        <f t="shared" si="68"/>
        <v xml:space="preserve">&lt;?xml version="1.0" encoding="UTF-8" ?&gt;
&lt;results&gt;
&lt;query&gt;福岡県福岡市東区&lt;/query&gt;
&lt;geodetic&gt;wgs1984&lt;/geodetic&gt;
&lt;iConf&gt;5&lt;/iConf&gt;
&lt;converted&gt;福岡県福岡市東区&lt;/converted&gt;
&lt;candidate&gt;
&lt;address&gt;福岡県/福岡市/東区&lt;/address&gt;
&lt;longitude&gt;130.417358&lt;/longitude&gt;
&lt;latitude&gt;33.617744&lt;/latitude&gt;
&lt;iLvl&gt;4&lt;/iLvl&gt;
&lt;/candidate&gt;
&lt;/results&gt;
</v>
      </c>
      <c r="F1079" cm="1">
        <f t="array" ref="F1079">INDEX(_xlfn.FILTERXML(E1079,"//latitude"),1)</f>
        <v>33.617744000000002</v>
      </c>
      <c r="G1079" cm="1">
        <f t="array" ref="G1079">INDEX(_xlfn.FILTERXML(E1079,"//longitude"),1)</f>
        <v>130.41735800000001</v>
      </c>
      <c r="H1079">
        <v>33.617744000000002</v>
      </c>
      <c r="I1079">
        <v>130.41735800000001</v>
      </c>
    </row>
    <row r="1080" spans="1:9" x14ac:dyDescent="0.4">
      <c r="A1080" t="s">
        <v>9</v>
      </c>
      <c r="B1080" t="s">
        <v>459</v>
      </c>
      <c r="C1080" t="str">
        <f t="shared" si="66"/>
        <v>東京都世田谷区千歳台</v>
      </c>
      <c r="D1080" s="2" t="str">
        <f t="shared" si="67"/>
        <v>http://geocode.csis.u-tokyo.ac.jp/cgi-bin/simple_geocode.cgi?charset=UTF8&amp;addr=%E6%9D%B1%E4%BA%AC%E9%83%BD%E4%B8%96%E7%94%B0%E8%B0%B7%E5%8C%BA%E5%8D%83%E6%AD%B3%E5%8F%B0</v>
      </c>
      <c r="E1080" t="str">
        <f t="shared" si="68"/>
        <v xml:space="preserve">&lt;?xml version="1.0" encoding="UTF-8" ?&gt;
&lt;results&gt;
&lt;query&gt;東京都世田谷区千歳台&lt;/query&gt;
&lt;geodetic&gt;wgs1984&lt;/geodetic&gt;
&lt;iConf&gt;5&lt;/iConf&gt;
&lt;converted&gt;東京都世田谷区千歳台&lt;/converted&gt;
&lt;candidate&gt;
&lt;address&gt;東京都/世田谷区/千歳台&lt;/address&gt;
&lt;longitude&gt;139.615662&lt;/longitude&gt;
&lt;latitude&gt;35.647259&lt;/latitude&gt;
&lt;iLvl&gt;5&lt;/iLvl&gt;
&lt;/candidate&gt;
&lt;/results&gt;
</v>
      </c>
      <c r="F1080" cm="1">
        <f t="array" ref="F1080">INDEX(_xlfn.FILTERXML(E1080,"//latitude"),1)</f>
        <v>35.647258999999998</v>
      </c>
      <c r="G1080" cm="1">
        <f t="array" ref="G1080">INDEX(_xlfn.FILTERXML(E1080,"//longitude"),1)</f>
        <v>139.61566199999999</v>
      </c>
      <c r="H1080">
        <v>35.647258999999998</v>
      </c>
      <c r="I1080">
        <v>139.61566199999999</v>
      </c>
    </row>
    <row r="1081" spans="1:9" x14ac:dyDescent="0.4">
      <c r="A1081" t="s">
        <v>198</v>
      </c>
      <c r="B1081" t="s">
        <v>212</v>
      </c>
      <c r="C1081" t="str">
        <f t="shared" si="66"/>
        <v>鹿児島県鹿児島市天保山町</v>
      </c>
      <c r="D1081" s="2" t="str">
        <f t="shared" si="67"/>
        <v>http://geocode.csis.u-tokyo.ac.jp/cgi-bin/simple_geocode.cgi?charset=UTF8&amp;addr=%E9%B9%BF%E5%85%90%E5%B3%B6%E7%9C%8C%E9%B9%BF%E5%85%90%E5%B3%B6%E5%B8%82%E5%A4%A9%E4%BF%9D%E5%B1%B1%E7%94%BA</v>
      </c>
      <c r="E1081" t="str">
        <f t="shared" si="68"/>
        <v xml:space="preserve">&lt;?xml version="1.0" encoding="UTF-8" ?&gt;
&lt;results&gt;
&lt;query&gt;鹿児島県鹿児島市天保山町&lt;/query&gt;
&lt;geodetic&gt;wgs1984&lt;/geodetic&gt;
&lt;iConf&gt;5&lt;/iConf&gt;
&lt;converted&gt;鹿児島県鹿児島市天保山町&lt;/converted&gt;
&lt;candidate&gt;
&lt;address&gt;鹿児島県/鹿児島市/天保山町&lt;/address&gt;
&lt;longitude&gt;130.563660&lt;/longitude&gt;
&lt;latitude&gt;31.574051&lt;/latitude&gt;
&lt;iLvl&gt;5&lt;/iLvl&gt;
&lt;/candidate&gt;
&lt;/results&gt;
</v>
      </c>
      <c r="F1081" cm="1">
        <f t="array" ref="F1081">INDEX(_xlfn.FILTERXML(E1081,"//latitude"),1)</f>
        <v>31.574051000000001</v>
      </c>
      <c r="G1081" cm="1">
        <f t="array" ref="G1081">INDEX(_xlfn.FILTERXML(E1081,"//longitude"),1)</f>
        <v>130.56366</v>
      </c>
      <c r="H1081">
        <v>31.574051000000001</v>
      </c>
      <c r="I1081">
        <v>130.56366</v>
      </c>
    </row>
    <row r="1082" spans="1:9" x14ac:dyDescent="0.4">
      <c r="A1082" t="s">
        <v>29</v>
      </c>
      <c r="B1082" t="s">
        <v>158</v>
      </c>
      <c r="C1082" t="str">
        <f t="shared" si="66"/>
        <v>静岡県掛川市初馬</v>
      </c>
      <c r="D1082" s="2" t="str">
        <f t="shared" si="67"/>
        <v>http://geocode.csis.u-tokyo.ac.jp/cgi-bin/simple_geocode.cgi?charset=UTF8&amp;addr=%E9%9D%99%E5%B2%A1%E7%9C%8C%E6%8E%9B%E5%B7%9D%E5%B8%82%E5%88%9D%E9%A6%AC</v>
      </c>
      <c r="E1082" t="str">
        <f t="shared" si="68"/>
        <v xml:space="preserve">&lt;?xml version="1.0" encoding="UTF-8" ?&gt;
&lt;results&gt;
&lt;query&gt;静岡県掛川市初馬&lt;/query&gt;
&lt;geodetic&gt;wgs1984&lt;/geodetic&gt;
&lt;iConf&gt;5&lt;/iConf&gt;
&lt;converted&gt;静岡県掛川市初馬&lt;/converted&gt;
&lt;candidate&gt;
&lt;address&gt;静岡県/掛川市/初馬&lt;/address&gt;
&lt;longitude&gt;138.051239&lt;/longitude&gt;
&lt;latitude&gt;34.813953&lt;/latitude&gt;
&lt;iLvl&gt;5&lt;/iLvl&gt;
&lt;/candidate&gt;
&lt;/results&gt;
</v>
      </c>
      <c r="F1082" cm="1">
        <f t="array" ref="F1082">INDEX(_xlfn.FILTERXML(E1082,"//latitude"),1)</f>
        <v>34.813952999999998</v>
      </c>
      <c r="G1082" cm="1">
        <f t="array" ref="G1082">INDEX(_xlfn.FILTERXML(E1082,"//longitude"),1)</f>
        <v>138.05123900000001</v>
      </c>
      <c r="H1082">
        <v>34.813952999999998</v>
      </c>
      <c r="I1082">
        <v>138.05123900000001</v>
      </c>
    </row>
    <row r="1083" spans="1:9" x14ac:dyDescent="0.4">
      <c r="A1083" t="s">
        <v>9</v>
      </c>
      <c r="B1083" t="s">
        <v>45</v>
      </c>
      <c r="C1083" t="str">
        <f t="shared" si="66"/>
        <v>東京都品川区</v>
      </c>
      <c r="D1083" s="2" t="str">
        <f t="shared" si="67"/>
        <v>http://geocode.csis.u-tokyo.ac.jp/cgi-bin/simple_geocode.cgi?charset=UTF8&amp;addr=%E6%9D%B1%E4%BA%AC%E9%83%BD%E5%93%81%E5%B7%9D%E5%8C%BA</v>
      </c>
      <c r="E1083" t="str">
        <f t="shared" si="68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083" cm="1">
        <f t="array" ref="F1083">INDEX(_xlfn.FILTERXML(E1083,"//latitude"),1)</f>
        <v>35.609065999999999</v>
      </c>
      <c r="G1083" cm="1">
        <f t="array" ref="G1083">INDEX(_xlfn.FILTERXML(E1083,"//longitude"),1)</f>
        <v>139.730255</v>
      </c>
      <c r="H1083">
        <v>35.609065999999999</v>
      </c>
      <c r="I1083">
        <v>139.730255</v>
      </c>
    </row>
    <row r="1084" spans="1:9" x14ac:dyDescent="0.4">
      <c r="A1084" t="s">
        <v>9</v>
      </c>
      <c r="B1084" t="s">
        <v>205</v>
      </c>
      <c r="C1084" t="str">
        <f t="shared" si="66"/>
        <v>東京都杉並区</v>
      </c>
      <c r="D1084" s="2" t="str">
        <f t="shared" si="67"/>
        <v>http://geocode.csis.u-tokyo.ac.jp/cgi-bin/simple_geocode.cgi?charset=UTF8&amp;addr=%E6%9D%B1%E4%BA%AC%E9%83%BD%E6%9D%89%E4%B8%A6%E5%8C%BA</v>
      </c>
      <c r="E1084" t="str">
        <f t="shared" si="68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1084" cm="1">
        <f t="array" ref="F1084">INDEX(_xlfn.FILTERXML(E1084,"//latitude"),1)</f>
        <v>35.699547000000003</v>
      </c>
      <c r="G1084" cm="1">
        <f t="array" ref="G1084">INDEX(_xlfn.FILTERXML(E1084,"//longitude"),1)</f>
        <v>139.636414</v>
      </c>
      <c r="H1084">
        <v>35.699547000000003</v>
      </c>
      <c r="I1084">
        <v>139.636414</v>
      </c>
    </row>
    <row r="1085" spans="1:9" x14ac:dyDescent="0.4">
      <c r="A1085" t="s">
        <v>10</v>
      </c>
      <c r="B1085" t="s">
        <v>116</v>
      </c>
      <c r="C1085" t="str">
        <f t="shared" si="66"/>
        <v>神奈川県川崎市麻生区王禅寺西</v>
      </c>
      <c r="D1085" s="2" t="str">
        <f t="shared" si="67"/>
        <v>http://geocode.csis.u-tokyo.ac.jp/cgi-bin/simple_geocode.cgi?charset=UTF8&amp;addr=%E7%A5%9E%E5%A5%88%E5%B7%9D%E7%9C%8C%E5%B7%9D%E5%B4%8E%E5%B8%82%E9%BA%BB%E7%94%9F%E5%8C%BA%E7%8E%8B%E7%A6%85%E5%AF%BA%E8%A5%BF</v>
      </c>
      <c r="E1085" t="str">
        <f t="shared" si="68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1085" cm="1">
        <f t="array" ref="F1085">INDEX(_xlfn.FILTERXML(E1085,"//latitude"),1)</f>
        <v>35.599411000000003</v>
      </c>
      <c r="G1085" cm="1">
        <f t="array" ref="G1085">INDEX(_xlfn.FILTERXML(E1085,"//longitude"),1)</f>
        <v>139.51391599999999</v>
      </c>
      <c r="H1085">
        <v>35.599411000000003</v>
      </c>
      <c r="I1085">
        <v>139.51391599999999</v>
      </c>
    </row>
    <row r="1086" spans="1:9" x14ac:dyDescent="0.4">
      <c r="A1086" t="s">
        <v>29</v>
      </c>
      <c r="B1086" t="s">
        <v>460</v>
      </c>
      <c r="C1086" t="str">
        <f t="shared" si="66"/>
        <v>静岡県磐田市</v>
      </c>
      <c r="D1086" s="2" t="str">
        <f t="shared" si="67"/>
        <v>http://geocode.csis.u-tokyo.ac.jp/cgi-bin/simple_geocode.cgi?charset=UTF8&amp;addr=%E9%9D%99%E5%B2%A1%E7%9C%8C%E7%A3%90%E7%94%B0%E5%B8%82</v>
      </c>
      <c r="E1086" t="str">
        <f t="shared" si="68"/>
        <v xml:space="preserve">&lt;?xml version="1.0" encoding="UTF-8" ?&gt;
&lt;results&gt;
&lt;query&gt;静岡県磐田市&lt;/query&gt;
&lt;geodetic&gt;wgs1984&lt;/geodetic&gt;
&lt;iConf&gt;5&lt;/iConf&gt;
&lt;converted&gt;静岡県磐田市&lt;/converted&gt;
&lt;candidate&gt;
&lt;address&gt;静岡県/磐田市&lt;/address&gt;
&lt;longitude&gt;137.851517&lt;/longitude&gt;
&lt;latitude&gt;34.717880&lt;/latitude&gt;
&lt;iLvl&gt;3&lt;/iLvl&gt;
&lt;/candidate&gt;
&lt;/results&gt;
</v>
      </c>
      <c r="F1086" cm="1">
        <f t="array" ref="F1086">INDEX(_xlfn.FILTERXML(E1086,"//latitude"),1)</f>
        <v>34.717880000000001</v>
      </c>
      <c r="G1086" cm="1">
        <f t="array" ref="G1086">INDEX(_xlfn.FILTERXML(E1086,"//longitude"),1)</f>
        <v>137.851517</v>
      </c>
      <c r="H1086">
        <v>34.717880000000001</v>
      </c>
      <c r="I1086">
        <v>137.851517</v>
      </c>
    </row>
    <row r="1087" spans="1:9" x14ac:dyDescent="0.4">
      <c r="A1087" t="s">
        <v>9</v>
      </c>
      <c r="B1087" t="s">
        <v>205</v>
      </c>
      <c r="C1087" t="str">
        <f t="shared" si="66"/>
        <v>東京都杉並区</v>
      </c>
      <c r="D1087" s="2" t="str">
        <f t="shared" si="67"/>
        <v>http://geocode.csis.u-tokyo.ac.jp/cgi-bin/simple_geocode.cgi?charset=UTF8&amp;addr=%E6%9D%B1%E4%BA%AC%E9%83%BD%E6%9D%89%E4%B8%A6%E5%8C%BA</v>
      </c>
      <c r="E1087" t="str">
        <f t="shared" si="68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1087" cm="1">
        <f t="array" ref="F1087">INDEX(_xlfn.FILTERXML(E1087,"//latitude"),1)</f>
        <v>35.699547000000003</v>
      </c>
      <c r="G1087" cm="1">
        <f t="array" ref="G1087">INDEX(_xlfn.FILTERXML(E1087,"//longitude"),1)</f>
        <v>139.636414</v>
      </c>
      <c r="H1087">
        <v>35.699547000000003</v>
      </c>
      <c r="I1087">
        <v>139.636414</v>
      </c>
    </row>
    <row r="1088" spans="1:9" x14ac:dyDescent="0.4">
      <c r="A1088" t="s">
        <v>21</v>
      </c>
      <c r="B1088" t="s">
        <v>1118</v>
      </c>
      <c r="C1088" t="str">
        <f t="shared" si="66"/>
        <v>福岡県粕屋町酒殿</v>
      </c>
      <c r="D1088" s="2" t="str">
        <f t="shared" si="67"/>
        <v>http://geocode.csis.u-tokyo.ac.jp/cgi-bin/simple_geocode.cgi?charset=UTF8&amp;addr=%E7%A6%8F%E5%B2%A1%E7%9C%8C%E7%B2%95%E5%B1%8B%E7%94%BA%E9%85%92%E6%AE%BF</v>
      </c>
      <c r="E1088" t="str">
        <f t="shared" si="68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1088" cm="1">
        <f t="array" ref="F1088">INDEX(_xlfn.FILTERXML(E1088,"//latitude"),1)</f>
        <v>33.598205999999998</v>
      </c>
      <c r="G1088" cm="1">
        <f t="array" ref="G1088">INDEX(_xlfn.FILTERXML(E1088,"//longitude"),1)</f>
        <v>130.48031599999999</v>
      </c>
      <c r="H1088">
        <v>33.598205999999998</v>
      </c>
      <c r="I1088">
        <v>130.48031599999999</v>
      </c>
    </row>
    <row r="1089" spans="1:9" x14ac:dyDescent="0.4">
      <c r="A1089" t="s">
        <v>14</v>
      </c>
      <c r="B1089" t="s">
        <v>461</v>
      </c>
      <c r="C1089" t="str">
        <f t="shared" si="66"/>
        <v>広島県福山市紅葉町</v>
      </c>
      <c r="D1089" s="2" t="str">
        <f t="shared" si="67"/>
        <v>http://geocode.csis.u-tokyo.ac.jp/cgi-bin/simple_geocode.cgi?charset=UTF8&amp;addr=%E5%BA%83%E5%B3%B6%E7%9C%8C%E7%A6%8F%E5%B1%B1%E5%B8%82%E7%B4%85%E8%91%89%E7%94%BA</v>
      </c>
      <c r="E1089" t="str">
        <f t="shared" si="68"/>
        <v xml:space="preserve">&lt;?xml version="1.0" encoding="UTF-8" ?&gt;
&lt;results&gt;
&lt;query&gt;広島県福山市紅葉町&lt;/query&gt;
&lt;geodetic&gt;wgs1984&lt;/geodetic&gt;
&lt;iConf&gt;5&lt;/iConf&gt;
&lt;converted&gt;広島県福山市紅葉町&lt;/converted&gt;
&lt;candidate&gt;
&lt;address&gt;広島県/福山市/紅葉町&lt;/address&gt;
&lt;longitude&gt;133.361572&lt;/longitude&gt;
&lt;latitude&gt;34.484753&lt;/latitude&gt;
&lt;iLvl&gt;5&lt;/iLvl&gt;
&lt;/candidate&gt;
&lt;/results&gt;
</v>
      </c>
      <c r="F1089" cm="1">
        <f t="array" ref="F1089">INDEX(_xlfn.FILTERXML(E1089,"//latitude"),1)</f>
        <v>34.484752999999998</v>
      </c>
      <c r="G1089" cm="1">
        <f t="array" ref="G1089">INDEX(_xlfn.FILTERXML(E1089,"//longitude"),1)</f>
        <v>133.361572</v>
      </c>
      <c r="H1089">
        <v>34.484752999999998</v>
      </c>
      <c r="I1089">
        <v>133.361572</v>
      </c>
    </row>
    <row r="1090" spans="1:9" x14ac:dyDescent="0.4">
      <c r="A1090" t="s">
        <v>204</v>
      </c>
      <c r="B1090" t="s">
        <v>240</v>
      </c>
      <c r="C1090" t="str">
        <f t="shared" si="66"/>
        <v>青森県十和田市</v>
      </c>
      <c r="D1090" s="2" t="str">
        <f t="shared" si="67"/>
        <v>http://geocode.csis.u-tokyo.ac.jp/cgi-bin/simple_geocode.cgi?charset=UTF8&amp;addr=%E9%9D%92%E6%A3%AE%E7%9C%8C%E5%8D%81%E5%92%8C%E7%94%B0%E5%B8%82</v>
      </c>
      <c r="E1090" t="str">
        <f t="shared" si="68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1090" cm="1">
        <f t="array" ref="F1090">INDEX(_xlfn.FILTERXML(E1090,"//latitude"),1)</f>
        <v>40.612701000000001</v>
      </c>
      <c r="G1090" cm="1">
        <f t="array" ref="G1090">INDEX(_xlfn.FILTERXML(E1090,"//longitude"),1)</f>
        <v>141.205917</v>
      </c>
      <c r="H1090">
        <v>40.612701000000001</v>
      </c>
      <c r="I1090">
        <v>141.205917</v>
      </c>
    </row>
    <row r="1091" spans="1:9" x14ac:dyDescent="0.4">
      <c r="A1091" t="s">
        <v>11</v>
      </c>
      <c r="B1091" t="s">
        <v>122</v>
      </c>
      <c r="C1091" t="str">
        <f t="shared" si="66"/>
        <v>大阪府大阪市</v>
      </c>
      <c r="D1091" s="2" t="str">
        <f t="shared" si="67"/>
        <v>http://geocode.csis.u-tokyo.ac.jp/cgi-bin/simple_geocode.cgi?charset=UTF8&amp;addr=%E5%A4%A7%E9%98%AA%E5%BA%9C%E5%A4%A7%E9%98%AA%E5%B8%82</v>
      </c>
      <c r="E1091" t="str">
        <f t="shared" si="68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1091" cm="1">
        <f t="array" ref="F1091">INDEX(_xlfn.FILTERXML(E1091,"//latitude"),1)</f>
        <v>34.693890000000003</v>
      </c>
      <c r="G1091" cm="1">
        <f t="array" ref="G1091">INDEX(_xlfn.FILTERXML(E1091,"//longitude"),1)</f>
        <v>135.50204500000001</v>
      </c>
      <c r="H1091">
        <v>34.693890000000003</v>
      </c>
      <c r="I1091">
        <v>135.50204500000001</v>
      </c>
    </row>
    <row r="1092" spans="1:9" x14ac:dyDescent="0.4">
      <c r="A1092" t="s">
        <v>25</v>
      </c>
      <c r="B1092" t="s">
        <v>462</v>
      </c>
      <c r="C1092" t="str">
        <f t="shared" si="66"/>
        <v>香川県仲多度郡多度津町若葉町</v>
      </c>
      <c r="D1092" s="2" t="str">
        <f t="shared" si="67"/>
        <v>http://geocode.csis.u-tokyo.ac.jp/cgi-bin/simple_geocode.cgi?charset=UTF8&amp;addr=%E9%A6%99%E5%B7%9D%E7%9C%8C%E4%BB%B2%E5%A4%9A%E5%BA%A6%E9%83%A1%E5%A4%9A%E5%BA%A6%E6%B4%A5%E7%94%BA%E8%8B%A5%E8%91%89%E7%94%BA</v>
      </c>
      <c r="E1092" t="str">
        <f t="shared" si="68"/>
        <v xml:space="preserve">&lt;?xml version="1.0" encoding="UTF-8" ?&gt;
&lt;results&gt;
&lt;query&gt;香川県仲多度郡多度津町若葉町&lt;/query&gt;
&lt;geodetic&gt;wgs1984&lt;/geodetic&gt;
&lt;iConf&gt;5&lt;/iConf&gt;
&lt;converted&gt;香川県仲多度郡多度津町若葉町&lt;/converted&gt;
&lt;candidate&gt;
&lt;address&gt;香川県/仲多度郡/多度津町/若葉町&lt;/address&gt;
&lt;longitude&gt;133.764771&lt;/longitude&gt;
&lt;latitude&gt;34.272472&lt;/latitude&gt;
&lt;iLvl&gt;5&lt;/iLvl&gt;
&lt;/candidate&gt;
&lt;/results&gt;
</v>
      </c>
      <c r="F1092" cm="1">
        <f t="array" ref="F1092">INDEX(_xlfn.FILTERXML(E1092,"//latitude"),1)</f>
        <v>34.272472</v>
      </c>
      <c r="G1092" cm="1">
        <f t="array" ref="G1092">INDEX(_xlfn.FILTERXML(E1092,"//longitude"),1)</f>
        <v>133.764771</v>
      </c>
      <c r="H1092">
        <v>34.272472</v>
      </c>
      <c r="I1092">
        <v>133.764771</v>
      </c>
    </row>
    <row r="1093" spans="1:9" x14ac:dyDescent="0.4">
      <c r="A1093" t="s">
        <v>42</v>
      </c>
      <c r="B1093" t="s">
        <v>463</v>
      </c>
      <c r="C1093" t="str">
        <f t="shared" si="66"/>
        <v>富山県富山市開</v>
      </c>
      <c r="D1093" s="2" t="str">
        <f t="shared" si="67"/>
        <v>http://geocode.csis.u-tokyo.ac.jp/cgi-bin/simple_geocode.cgi?charset=UTF8&amp;addr=%E5%AF%8C%E5%B1%B1%E7%9C%8C%E5%AF%8C%E5%B1%B1%E5%B8%82%E9%96%8B</v>
      </c>
      <c r="E1093" t="str">
        <f t="shared" si="68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1093" cm="1">
        <f t="array" ref="F1093">INDEX(_xlfn.FILTERXML(E1093,"//latitude"),1)</f>
        <v>36.681457999999999</v>
      </c>
      <c r="G1093" cm="1">
        <f t="array" ref="G1093">INDEX(_xlfn.FILTERXML(E1093,"//longitude"),1)</f>
        <v>137.26216099999999</v>
      </c>
      <c r="H1093">
        <v>36.681457999999999</v>
      </c>
      <c r="I1093">
        <v>137.26216099999999</v>
      </c>
    </row>
    <row r="1094" spans="1:9" x14ac:dyDescent="0.4">
      <c r="A1094" t="s">
        <v>26</v>
      </c>
      <c r="B1094" t="s">
        <v>133</v>
      </c>
      <c r="C1094" t="str">
        <f t="shared" si="66"/>
        <v>京都府京都市左京区岩倉花園町</v>
      </c>
      <c r="D1094" s="2" t="str">
        <f t="shared" si="67"/>
        <v>http://geocode.csis.u-tokyo.ac.jp/cgi-bin/simple_geocode.cgi?charset=UTF8&amp;addr=%E4%BA%AC%E9%83%BD%E5%BA%9C%E4%BA%AC%E9%83%BD%E5%B8%82%E5%B7%A6%E4%BA%AC%E5%8C%BA%E5%B2%A9%E5%80%89%E8%8A%B1%E5%9C%92%E7%94%BA</v>
      </c>
      <c r="E1094" t="str">
        <f t="shared" si="68"/>
        <v xml:space="preserve">&lt;?xml version="1.0" encoding="UTF-8" ?&gt;
&lt;results&gt;
&lt;query&gt;京都府京都市左京区岩倉花園町&lt;/query&gt;
&lt;geodetic&gt;wgs1984&lt;/geodetic&gt;
&lt;iConf&gt;5&lt;/iConf&gt;
&lt;converted&gt;京都府京都市左京区岩倉花園町&lt;/converted&gt;
&lt;candidate&gt;
&lt;address&gt;京都府/京都市/左京区/岩倉花園町&lt;/address&gt;
&lt;longitude&gt;135.800217&lt;/longitude&gt;
&lt;latitude&gt;35.076031&lt;/latitude&gt;
&lt;iLvl&gt;5&lt;/iLvl&gt;
&lt;/candidate&gt;
&lt;/results&gt;
</v>
      </c>
      <c r="F1094" cm="1">
        <f t="array" ref="F1094">INDEX(_xlfn.FILTERXML(E1094,"//latitude"),1)</f>
        <v>35.076031</v>
      </c>
      <c r="G1094" cm="1">
        <f t="array" ref="G1094">INDEX(_xlfn.FILTERXML(E1094,"//longitude"),1)</f>
        <v>135.800217</v>
      </c>
      <c r="H1094">
        <v>35.076031</v>
      </c>
      <c r="I1094">
        <v>135.800217</v>
      </c>
    </row>
    <row r="1095" spans="1:9" x14ac:dyDescent="0.4">
      <c r="A1095" t="s">
        <v>10</v>
      </c>
      <c r="B1095" t="s">
        <v>84</v>
      </c>
      <c r="C1095" t="str">
        <f t="shared" si="66"/>
        <v>神奈川県横浜市港北区新横浜1-14-8</v>
      </c>
      <c r="D1095" s="2" t="str">
        <f t="shared" si="67"/>
        <v>http://geocode.csis.u-tokyo.ac.jp/cgi-bin/simple_geocode.cgi?charset=UTF8&amp;addr=%E7%A5%9E%E5%A5%88%E5%B7%9D%E7%9C%8C%E6%A8%AA%E6%B5%9C%E5%B8%82%E6%B8%AF%E5%8C%97%E5%8C%BA%E6%96%B0%E6%A8%AA%E6%B5%9C1-14-8</v>
      </c>
      <c r="E1095" t="str">
        <f t="shared" si="68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1095" cm="1">
        <f t="array" ref="F1095">INDEX(_xlfn.FILTERXML(E1095,"//latitude"),1)</f>
        <v>35.502243</v>
      </c>
      <c r="G1095" cm="1">
        <f t="array" ref="G1095">INDEX(_xlfn.FILTERXML(E1095,"//longitude"),1)</f>
        <v>139.609467</v>
      </c>
      <c r="H1095">
        <v>35.502243</v>
      </c>
      <c r="I1095">
        <v>139.609467</v>
      </c>
    </row>
    <row r="1096" spans="1:9" x14ac:dyDescent="0.4">
      <c r="A1096" t="s">
        <v>12</v>
      </c>
      <c r="B1096" t="s">
        <v>464</v>
      </c>
      <c r="C1096" t="str">
        <f t="shared" si="66"/>
        <v>奈良県御所市大橋通</v>
      </c>
      <c r="D1096" s="2" t="str">
        <f t="shared" si="67"/>
        <v>http://geocode.csis.u-tokyo.ac.jp/cgi-bin/simple_geocode.cgi?charset=UTF8&amp;addr=%E5%A5%88%E8%89%AF%E7%9C%8C%E5%BE%A1%E6%89%80%E5%B8%82%E5%A4%A7%E6%A9%8B%E9%80%9A</v>
      </c>
      <c r="E1096" t="str">
        <f t="shared" si="68"/>
        <v xml:space="preserve">&lt;?xml version="1.0" encoding="UTF-8" ?&gt;
&lt;results&gt;
&lt;query&gt;奈良県御所市大橋通&lt;/query&gt;
&lt;geodetic&gt;wgs1984&lt;/geodetic&gt;
&lt;iConf&gt;5&lt;/iConf&gt;
&lt;converted&gt;奈良県御所市&lt;/converted&gt;
&lt;candidate&gt;
&lt;address&gt;奈良県/御所市&lt;/address&gt;
&lt;longitude&gt;135.740173&lt;/longitude&gt;
&lt;latitude&gt;34.463341&lt;/latitude&gt;
&lt;iLvl&gt;3&lt;/iLvl&gt;
&lt;/candidate&gt;
&lt;/results&gt;
</v>
      </c>
      <c r="F1096" cm="1">
        <f t="array" ref="F1096">INDEX(_xlfn.FILTERXML(E1096,"//latitude"),1)</f>
        <v>34.463341</v>
      </c>
      <c r="G1096" cm="1">
        <f t="array" ref="G1096">INDEX(_xlfn.FILTERXML(E1096,"//longitude"),1)</f>
        <v>135.740173</v>
      </c>
      <c r="H1096">
        <v>34.463341</v>
      </c>
      <c r="I1096">
        <v>135.740173</v>
      </c>
    </row>
    <row r="1097" spans="1:9" x14ac:dyDescent="0.4">
      <c r="A1097" t="s">
        <v>24</v>
      </c>
      <c r="B1097" t="s">
        <v>163</v>
      </c>
      <c r="C1097" t="str">
        <f t="shared" si="66"/>
        <v>栃木県那須塩原市</v>
      </c>
      <c r="D1097" s="2" t="str">
        <f t="shared" si="67"/>
        <v>http://geocode.csis.u-tokyo.ac.jp/cgi-bin/simple_geocode.cgi?charset=UTF8&amp;addr=%E6%A0%83%E6%9C%A8%E7%9C%8C%E9%82%A3%E9%A0%88%E5%A1%A9%E5%8E%9F%E5%B8%82</v>
      </c>
      <c r="E1097" t="str">
        <f t="shared" si="68"/>
        <v xml:space="preserve">&lt;?xml version="1.0" encoding="UTF-8" ?&gt;
&lt;results&gt;
&lt;query&gt;栃木県那須塩原市&lt;/query&gt;
&lt;geodetic&gt;wgs1984&lt;/geodetic&gt;
&lt;iConf&gt;5&lt;/iConf&gt;
&lt;converted&gt;栃木県那須塩原市&lt;/converted&gt;
&lt;candidate&gt;
&lt;address&gt;栃木県/那須塩原市&lt;/address&gt;
&lt;longitude&gt;140.046051&lt;/longitude&gt;
&lt;latitude&gt;36.961689&lt;/latitude&gt;
&lt;iLvl&gt;3&lt;/iLvl&gt;
&lt;/candidate&gt;
&lt;/results&gt;
</v>
      </c>
      <c r="F1097" cm="1">
        <f t="array" ref="F1097">INDEX(_xlfn.FILTERXML(E1097,"//latitude"),1)</f>
        <v>36.961689</v>
      </c>
      <c r="G1097" cm="1">
        <f t="array" ref="G1097">INDEX(_xlfn.FILTERXML(E1097,"//longitude"),1)</f>
        <v>140.04605100000001</v>
      </c>
      <c r="H1097">
        <v>36.961689</v>
      </c>
      <c r="I1097">
        <v>140.04605100000001</v>
      </c>
    </row>
    <row r="1098" spans="1:9" x14ac:dyDescent="0.4">
      <c r="A1098" t="s">
        <v>9</v>
      </c>
      <c r="B1098" t="s">
        <v>465</v>
      </c>
      <c r="C1098" t="str">
        <f t="shared" si="66"/>
        <v>東京都府中市分梅町</v>
      </c>
      <c r="D1098" s="2" t="str">
        <f t="shared" si="67"/>
        <v>http://geocode.csis.u-tokyo.ac.jp/cgi-bin/simple_geocode.cgi?charset=UTF8&amp;addr=%E6%9D%B1%E4%BA%AC%E9%83%BD%E5%BA%9C%E4%B8%AD%E5%B8%82%E5%88%86%E6%A2%85%E7%94%BA</v>
      </c>
      <c r="E1098" t="str">
        <f t="shared" si="68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1098" cm="1">
        <f t="array" ref="F1098">INDEX(_xlfn.FILTERXML(E1098,"//latitude"),1)</f>
        <v>35.667552999999998</v>
      </c>
      <c r="G1098" cm="1">
        <f t="array" ref="G1098">INDEX(_xlfn.FILTERXML(E1098,"//longitude"),1)</f>
        <v>139.46575899999999</v>
      </c>
      <c r="H1098">
        <v>35.667552999999998</v>
      </c>
      <c r="I1098">
        <v>139.46575899999999</v>
      </c>
    </row>
    <row r="1099" spans="1:9" x14ac:dyDescent="0.4">
      <c r="A1099" t="s">
        <v>13</v>
      </c>
      <c r="B1099" t="s">
        <v>466</v>
      </c>
      <c r="C1099" t="str">
        <f t="shared" si="66"/>
        <v>埼玉県蓮田市東4丁目</v>
      </c>
      <c r="D1099" s="2" t="str">
        <f t="shared" si="67"/>
        <v>http://geocode.csis.u-tokyo.ac.jp/cgi-bin/simple_geocode.cgi?charset=UTF8&amp;addr=%E5%9F%BC%E7%8E%89%E7%9C%8C%E8%93%AE%E7%94%B0%E5%B8%82%E6%9D%B14%E4%B8%81%E7%9B%AE</v>
      </c>
      <c r="E1099" t="str">
        <f t="shared" si="68"/>
        <v xml:space="preserve">&lt;?xml version="1.0" encoding="UTF-8" ?&gt;
&lt;results&gt;
&lt;query&gt;埼玉県蓮田市東4丁目&lt;/query&gt;
&lt;geodetic&gt;wgs1984&lt;/geodetic&gt;
&lt;iConf&gt;5&lt;/iConf&gt;
&lt;converted&gt;埼玉県蓮田市東4丁目&lt;/converted&gt;
&lt;candidate&gt;
&lt;address&gt;埼玉県/蓮田市/東/四丁目&lt;/address&gt;
&lt;longitude&gt;139.658203&lt;/longitude&gt;
&lt;latitude&gt;35.979961&lt;/latitude&gt;
&lt;iLvl&gt;6&lt;/iLvl&gt;
&lt;/candidate&gt;
&lt;/results&gt;
</v>
      </c>
      <c r="F1099" cm="1">
        <f t="array" ref="F1099">INDEX(_xlfn.FILTERXML(E1099,"//latitude"),1)</f>
        <v>35.979961000000003</v>
      </c>
      <c r="G1099" cm="1">
        <f t="array" ref="G1099">INDEX(_xlfn.FILTERXML(E1099,"//longitude"),1)</f>
        <v>139.65820299999999</v>
      </c>
      <c r="H1099">
        <v>35.979961000000003</v>
      </c>
      <c r="I1099">
        <v>139.65820299999999</v>
      </c>
    </row>
    <row r="1100" spans="1:9" x14ac:dyDescent="0.4">
      <c r="A1100" t="s">
        <v>23</v>
      </c>
      <c r="B1100" t="s">
        <v>467</v>
      </c>
      <c r="C1100" t="str">
        <f t="shared" si="66"/>
        <v>宮城県黒川郡大和町鶴巣北目大崎字宮ノ沢二番</v>
      </c>
      <c r="D1100" s="2" t="str">
        <f t="shared" si="67"/>
        <v>http://geocode.csis.u-tokyo.ac.jp/cgi-bin/simple_geocode.cgi?charset=UTF8&amp;addr=%E5%AE%AE%E5%9F%8E%E7%9C%8C%E9%BB%92%E5%B7%9D%E9%83%A1%E5%A4%A7%E5%92%8C%E7%94%BA%E9%B6%B4%E5%B7%A3%E5%8C%97%E7%9B%AE%E5%A4%A7%E5%B4%8E%E5%AD%97%E5%AE%AE%E3%83%8E%E6%B2%A2%E4%BA%8C%E7%95%AA</v>
      </c>
      <c r="E1100" t="str">
        <f t="shared" si="68"/>
        <v xml:space="preserve">&lt;?xml version="1.0" encoding="UTF-8" ?&gt;
&lt;results&gt;
&lt;query&gt;宮城県黒川郡大和町鶴巣北目大崎字宮ノ沢二番&lt;/query&gt;
&lt;geodetic&gt;wgs1984&lt;/geodetic&gt;
&lt;iConf&gt;5&lt;/iConf&gt;
&lt;converted&gt;宮城県黒川郡大和町鶴巣北目大崎字宮ノ沢二番&lt;/converted&gt;
&lt;candidate&gt;
&lt;address&gt;宮城県/黒川郡/大和町/鶴巣北目大崎/宮ノ沢二番&lt;/address&gt;
&lt;longitude&gt;140.918289&lt;/longitude&gt;
&lt;latitude&gt;38.418434&lt;/latitude&gt;
&lt;iLvl&gt;6&lt;/iLvl&gt;
&lt;/candidate&gt;
&lt;/results&gt;
</v>
      </c>
      <c r="F1100" cm="1">
        <f t="array" ref="F1100">INDEX(_xlfn.FILTERXML(E1100,"//latitude"),1)</f>
        <v>38.418433999999998</v>
      </c>
      <c r="G1100" cm="1">
        <f t="array" ref="G1100">INDEX(_xlfn.FILTERXML(E1100,"//longitude"),1)</f>
        <v>140.91828899999999</v>
      </c>
      <c r="H1100">
        <v>38.418433999999998</v>
      </c>
      <c r="I1100">
        <v>140.91828899999999</v>
      </c>
    </row>
    <row r="1101" spans="1:9" x14ac:dyDescent="0.4">
      <c r="A1101" t="s">
        <v>10</v>
      </c>
      <c r="B1101" t="s">
        <v>53</v>
      </c>
      <c r="C1101" t="str">
        <f t="shared" si="66"/>
        <v>神奈川県川崎市中原区</v>
      </c>
      <c r="D1101" s="2" t="str">
        <f t="shared" si="67"/>
        <v>http://geocode.csis.u-tokyo.ac.jp/cgi-bin/simple_geocode.cgi?charset=UTF8&amp;addr=%E7%A5%9E%E5%A5%88%E5%B7%9D%E7%9C%8C%E5%B7%9D%E5%B4%8E%E5%B8%82%E4%B8%AD%E5%8E%9F%E5%8C%BA</v>
      </c>
      <c r="E1101" t="str">
        <f t="shared" si="68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101" cm="1">
        <f t="array" ref="F1101">INDEX(_xlfn.FILTERXML(E1101,"//latitude"),1)</f>
        <v>35.576259999999998</v>
      </c>
      <c r="G1101" cm="1">
        <f t="array" ref="G1101">INDEX(_xlfn.FILTERXML(E1101,"//longitude"),1)</f>
        <v>139.65576200000001</v>
      </c>
      <c r="H1101">
        <v>35.576259999999998</v>
      </c>
      <c r="I1101">
        <v>139.65576200000001</v>
      </c>
    </row>
    <row r="1102" spans="1:9" x14ac:dyDescent="0.4">
      <c r="A1102" t="s">
        <v>13</v>
      </c>
      <c r="B1102" t="s">
        <v>197</v>
      </c>
      <c r="C1102" t="str">
        <f t="shared" si="66"/>
        <v>埼玉県さいたま市南区神明</v>
      </c>
      <c r="D1102" s="2" t="str">
        <f t="shared" si="67"/>
        <v>http://geocode.csis.u-tokyo.ac.jp/cgi-bin/simple_geocode.cgi?charset=UTF8&amp;addr=%E5%9F%BC%E7%8E%89%E7%9C%8C%E3%81%95%E3%81%84%E3%81%9F%E3%81%BE%E5%B8%82%E5%8D%97%E5%8C%BA%E7%A5%9E%E6%98%8E</v>
      </c>
      <c r="E1102" t="str">
        <f t="shared" si="68"/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1102" cm="1">
        <f t="array" ref="F1102">INDEX(_xlfn.FILTERXML(E1102,"//latitude"),1)</f>
        <v>35.847515000000001</v>
      </c>
      <c r="G1102" cm="1">
        <f t="array" ref="G1102">INDEX(_xlfn.FILTERXML(E1102,"//longitude"),1)</f>
        <v>139.66372699999999</v>
      </c>
      <c r="H1102">
        <v>35.847515000000001</v>
      </c>
      <c r="I1102">
        <v>139.66372699999999</v>
      </c>
    </row>
    <row r="1103" spans="1:9" x14ac:dyDescent="0.4">
      <c r="A1103" t="s">
        <v>13</v>
      </c>
      <c r="B1103" t="s">
        <v>197</v>
      </c>
      <c r="C1103" t="str">
        <f t="shared" ref="C1103:C1166" si="69">+A1103&amp;B1103</f>
        <v>埼玉県さいたま市南区神明</v>
      </c>
      <c r="D1103" s="2" t="str">
        <f t="shared" ref="D1103:D1166" si="70" xml:space="preserve"> "http://geocode.csis.u-tokyo.ac.jp/cgi-bin/simple_geocode.cgi?charset=UTF8&amp;addr=" &amp; _xlfn.ENCODEURL(C1103)</f>
        <v>http://geocode.csis.u-tokyo.ac.jp/cgi-bin/simple_geocode.cgi?charset=UTF8&amp;addr=%E5%9F%BC%E7%8E%89%E7%9C%8C%E3%81%95%E3%81%84%E3%81%9F%E3%81%BE%E5%B8%82%E5%8D%97%E5%8C%BA%E7%A5%9E%E6%98%8E</v>
      </c>
      <c r="E1103" t="str">
        <f t="shared" ref="E1103:E1166" si="71" xml:space="preserve"> _xlfn.WEBSERVICE(D1103)</f>
        <v xml:space="preserve">&lt;?xml version="1.0" encoding="UTF-8" ?&gt;
&lt;results&gt;
&lt;query&gt;埼玉県さいたま市南区神明&lt;/query&gt;
&lt;geodetic&gt;wgs1984&lt;/geodetic&gt;
&lt;iConf&gt;5&lt;/iConf&gt;
&lt;converted&gt;埼玉県さいたま市南区神明&lt;/converted&gt;
&lt;candidate&gt;
&lt;address&gt;埼玉県/さいたま市/南区/神明&lt;/address&gt;
&lt;longitude&gt;139.663727&lt;/longitude&gt;
&lt;latitude&gt;35.847515&lt;/latitude&gt;
&lt;iLvl&gt;5&lt;/iLvl&gt;
&lt;/candidate&gt;
&lt;/results&gt;
</v>
      </c>
      <c r="F1103" cm="1">
        <f t="array" ref="F1103">INDEX(_xlfn.FILTERXML(E1103,"//latitude"),1)</f>
        <v>35.847515000000001</v>
      </c>
      <c r="G1103" cm="1">
        <f t="array" ref="G1103">INDEX(_xlfn.FILTERXML(E1103,"//longitude"),1)</f>
        <v>139.66372699999999</v>
      </c>
      <c r="H1103">
        <v>35.847515000000001</v>
      </c>
      <c r="I1103">
        <v>139.66372699999999</v>
      </c>
    </row>
    <row r="1104" spans="1:9" x14ac:dyDescent="0.4">
      <c r="A1104" t="s">
        <v>31</v>
      </c>
      <c r="B1104" t="s">
        <v>468</v>
      </c>
      <c r="C1104" t="str">
        <f t="shared" si="69"/>
        <v>熊本県熊本市中央区京町</v>
      </c>
      <c r="D1104" s="2" t="str">
        <f t="shared" si="70"/>
        <v>http://geocode.csis.u-tokyo.ac.jp/cgi-bin/simple_geocode.cgi?charset=UTF8&amp;addr=%E7%86%8A%E6%9C%AC%E7%9C%8C%E7%86%8A%E6%9C%AC%E5%B8%82%E4%B8%AD%E5%A4%AE%E5%8C%BA%E4%BA%AC%E7%94%BA</v>
      </c>
      <c r="E1104" t="str">
        <f t="shared" si="71"/>
        <v xml:space="preserve">&lt;?xml version="1.0" encoding="UTF-8" ?&gt;
&lt;results&gt;
&lt;query&gt;熊本県熊本市中央区京町&lt;/query&gt;
&lt;geodetic&gt;wgs1984&lt;/geodetic&gt;
&lt;iConf&gt;5&lt;/iConf&gt;
&lt;converted&gt;熊本県熊本市中央区京町&lt;/converted&gt;
&lt;candidate&gt;
&lt;address&gt;熊本県/熊本市/中央区/京町&lt;/address&gt;
&lt;longitude&gt;130.705276&lt;/longitude&gt;
&lt;latitude&gt;32.811344&lt;/latitude&gt;
&lt;iLvl&gt;5&lt;/iLvl&gt;
&lt;/candidate&gt;
&lt;/results&gt;
</v>
      </c>
      <c r="F1104" cm="1">
        <f t="array" ref="F1104">INDEX(_xlfn.FILTERXML(E1104,"//latitude"),1)</f>
        <v>32.811343999999998</v>
      </c>
      <c r="G1104" cm="1">
        <f t="array" ref="G1104">INDEX(_xlfn.FILTERXML(E1104,"//longitude"),1)</f>
        <v>130.705276</v>
      </c>
      <c r="H1104">
        <v>32.811343999999998</v>
      </c>
      <c r="I1104">
        <v>130.705276</v>
      </c>
    </row>
    <row r="1105" spans="1:9" x14ac:dyDescent="0.4">
      <c r="A1105" t="s">
        <v>18</v>
      </c>
      <c r="B1105" t="s">
        <v>156</v>
      </c>
      <c r="C1105" t="str">
        <f t="shared" si="69"/>
        <v>千葉県松戸市</v>
      </c>
      <c r="D1105" s="2" t="str">
        <f t="shared" si="70"/>
        <v>http://geocode.csis.u-tokyo.ac.jp/cgi-bin/simple_geocode.cgi?charset=UTF8&amp;addr=%E5%8D%83%E8%91%89%E7%9C%8C%E6%9D%BE%E6%88%B8%E5%B8%82</v>
      </c>
      <c r="E1105" t="str">
        <f t="shared" si="71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1105" cm="1">
        <f t="array" ref="F1105">INDEX(_xlfn.FILTERXML(E1105,"//latitude"),1)</f>
        <v>35.787650999999997</v>
      </c>
      <c r="G1105" cm="1">
        <f t="array" ref="G1105">INDEX(_xlfn.FILTERXML(E1105,"//longitude"),1)</f>
        <v>139.90322900000001</v>
      </c>
      <c r="H1105">
        <v>35.787650999999997</v>
      </c>
      <c r="I1105">
        <v>139.90322900000001</v>
      </c>
    </row>
    <row r="1106" spans="1:9" x14ac:dyDescent="0.4">
      <c r="A1106" t="s">
        <v>19</v>
      </c>
      <c r="B1106" t="s">
        <v>469</v>
      </c>
      <c r="C1106" t="str">
        <f t="shared" si="69"/>
        <v>滋賀県長浜市高月町片山</v>
      </c>
      <c r="D1106" s="2" t="str">
        <f t="shared" si="70"/>
        <v>http://geocode.csis.u-tokyo.ac.jp/cgi-bin/simple_geocode.cgi?charset=UTF8&amp;addr=%E6%BB%8B%E8%B3%80%E7%9C%8C%E9%95%B7%E6%B5%9C%E5%B8%82%E9%AB%98%E6%9C%88%E7%94%BA%E7%89%87%E5%B1%B1</v>
      </c>
      <c r="E1106" t="str">
        <f t="shared" si="71"/>
        <v xml:space="preserve">&lt;?xml version="1.0" encoding="UTF-8" ?&gt;
&lt;results&gt;
&lt;query&gt;滋賀県長浜市高月町片山&lt;/query&gt;
&lt;geodetic&gt;wgs1984&lt;/geodetic&gt;
&lt;iConf&gt;5&lt;/iConf&gt;
&lt;converted&gt;滋賀長浜市高月町片山&lt;/converted&gt;
&lt;candidate&gt;
&lt;address&gt;滋賀県/長浜市/高月町片山&lt;/address&gt;
&lt;longitude&gt;136.145416&lt;/longitude&gt;
&lt;latitude&gt;35.469982&lt;/latitude&gt;
&lt;iLvl&gt;5&lt;/iLvl&gt;
&lt;/candidate&gt;
&lt;/results&gt;
</v>
      </c>
      <c r="F1106" cm="1">
        <f t="array" ref="F1106">INDEX(_xlfn.FILTERXML(E1106,"//latitude"),1)</f>
        <v>35.469982000000002</v>
      </c>
      <c r="G1106" cm="1">
        <f t="array" ref="G1106">INDEX(_xlfn.FILTERXML(E1106,"//longitude"),1)</f>
        <v>136.14541600000001</v>
      </c>
      <c r="H1106">
        <v>35.469982000000002</v>
      </c>
      <c r="I1106">
        <v>136.14541600000001</v>
      </c>
    </row>
    <row r="1107" spans="1:9" x14ac:dyDescent="0.4">
      <c r="A1107" t="s">
        <v>14</v>
      </c>
      <c r="B1107" t="s">
        <v>470</v>
      </c>
      <c r="C1107" t="str">
        <f t="shared" si="69"/>
        <v>広島県広島市佐伯区</v>
      </c>
      <c r="D1107" s="2" t="str">
        <f t="shared" si="70"/>
        <v>http://geocode.csis.u-tokyo.ac.jp/cgi-bin/simple_geocode.cgi?charset=UTF8&amp;addr=%E5%BA%83%E5%B3%B6%E7%9C%8C%E5%BA%83%E5%B3%B6%E5%B8%82%E4%BD%90%E4%BC%AF%E5%8C%BA</v>
      </c>
      <c r="E1107" t="str">
        <f t="shared" si="71"/>
        <v xml:space="preserve">&lt;?xml version="1.0" encoding="UTF-8" ?&gt;
&lt;results&gt;
&lt;query&gt;広島県広島市佐伯区&lt;/query&gt;
&lt;geodetic&gt;wgs1984&lt;/geodetic&gt;
&lt;iConf&gt;5&lt;/iConf&gt;
&lt;converted&gt;広島県広島市佐伯区&lt;/converted&gt;
&lt;candidate&gt;
&lt;address&gt;広島県/広島市/佐伯区&lt;/address&gt;
&lt;longitude&gt;132.360825&lt;/longitude&gt;
&lt;latitude&gt;34.364460&lt;/latitude&gt;
&lt;iLvl&gt;4&lt;/iLvl&gt;
&lt;/candidate&gt;
&lt;/results&gt;
</v>
      </c>
      <c r="F1107" cm="1">
        <f t="array" ref="F1107">INDEX(_xlfn.FILTERXML(E1107,"//latitude"),1)</f>
        <v>34.364460000000001</v>
      </c>
      <c r="G1107" cm="1">
        <f t="array" ref="G1107">INDEX(_xlfn.FILTERXML(E1107,"//longitude"),1)</f>
        <v>132.36082500000001</v>
      </c>
      <c r="H1107">
        <v>34.364460000000001</v>
      </c>
      <c r="I1107">
        <v>132.36082500000001</v>
      </c>
    </row>
    <row r="1108" spans="1:9" x14ac:dyDescent="0.4">
      <c r="A1108" t="s">
        <v>10</v>
      </c>
      <c r="B1108" t="s">
        <v>100</v>
      </c>
      <c r="C1108" t="str">
        <f t="shared" si="69"/>
        <v>神奈川県横浜市</v>
      </c>
      <c r="D1108" s="2" t="str">
        <f t="shared" si="70"/>
        <v>http://geocode.csis.u-tokyo.ac.jp/cgi-bin/simple_geocode.cgi?charset=UTF8&amp;addr=%E7%A5%9E%E5%A5%88%E5%B7%9D%E7%9C%8C%E6%A8%AA%E6%B5%9C%E5%B8%82</v>
      </c>
      <c r="E1108" t="str">
        <f t="shared" si="71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1108" cm="1">
        <f t="array" ref="F1108">INDEX(_xlfn.FILTERXML(E1108,"//latitude"),1)</f>
        <v>35.444035</v>
      </c>
      <c r="G1108" cm="1">
        <f t="array" ref="G1108">INDEX(_xlfn.FILTERXML(E1108,"//longitude"),1)</f>
        <v>139.63795500000001</v>
      </c>
      <c r="H1108">
        <v>35.444035</v>
      </c>
      <c r="I1108">
        <v>139.63795500000001</v>
      </c>
    </row>
    <row r="1109" spans="1:9" x14ac:dyDescent="0.4">
      <c r="A1109" t="s">
        <v>18</v>
      </c>
      <c r="B1109" t="s">
        <v>471</v>
      </c>
      <c r="C1109" t="str">
        <f t="shared" si="69"/>
        <v>千葉県市川市市川</v>
      </c>
      <c r="D1109" s="2" t="str">
        <f t="shared" si="70"/>
        <v>http://geocode.csis.u-tokyo.ac.jp/cgi-bin/simple_geocode.cgi?charset=UTF8&amp;addr=%E5%8D%83%E8%91%89%E7%9C%8C%E5%B8%82%E5%B7%9D%E5%B8%82%E5%B8%82%E5%B7%9D</v>
      </c>
      <c r="E1109" t="str">
        <f t="shared" si="71"/>
        <v xml:space="preserve">&lt;?xml version="1.0" encoding="UTF-8" ?&gt;
&lt;results&gt;
&lt;query&gt;千葉県市川市市川&lt;/query&gt;
&lt;geodetic&gt;wgs1984&lt;/geodetic&gt;
&lt;iConf&gt;5&lt;/iConf&gt;
&lt;converted&gt;千葉県市川市市川&lt;/converted&gt;
&lt;candidate&gt;
&lt;address&gt;千葉県/市川市/市川&lt;/address&gt;
&lt;longitude&gt;139.909027&lt;/longitude&gt;
&lt;latitude&gt;35.731850&lt;/latitude&gt;
&lt;iLvl&gt;5&lt;/iLvl&gt;
&lt;/candidate&gt;
&lt;/results&gt;
</v>
      </c>
      <c r="F1109" cm="1">
        <f t="array" ref="F1109">INDEX(_xlfn.FILTERXML(E1109,"//latitude"),1)</f>
        <v>35.731850000000001</v>
      </c>
      <c r="G1109" cm="1">
        <f t="array" ref="G1109">INDEX(_xlfn.FILTERXML(E1109,"//longitude"),1)</f>
        <v>139.90902700000001</v>
      </c>
      <c r="H1109">
        <v>35.731850000000001</v>
      </c>
      <c r="I1109">
        <v>139.90902700000001</v>
      </c>
    </row>
    <row r="1110" spans="1:9" x14ac:dyDescent="0.4">
      <c r="A1110" t="s">
        <v>18</v>
      </c>
      <c r="B1110" t="s">
        <v>145</v>
      </c>
      <c r="C1110" t="str">
        <f t="shared" si="69"/>
        <v>千葉県船橋市</v>
      </c>
      <c r="D1110" s="2" t="str">
        <f t="shared" si="70"/>
        <v>http://geocode.csis.u-tokyo.ac.jp/cgi-bin/simple_geocode.cgi?charset=UTF8&amp;addr=%E5%8D%83%E8%91%89%E7%9C%8C%E8%88%B9%E6%A9%8B%E5%B8%82</v>
      </c>
      <c r="E1110" t="str">
        <f t="shared" si="71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110" cm="1">
        <f t="array" ref="F1110">INDEX(_xlfn.FILTERXML(E1110,"//latitude"),1)</f>
        <v>35.694710000000001</v>
      </c>
      <c r="G1110" cm="1">
        <f t="array" ref="G1110">INDEX(_xlfn.FILTERXML(E1110,"//longitude"),1)</f>
        <v>139.98262</v>
      </c>
      <c r="H1110">
        <v>35.694710000000001</v>
      </c>
      <c r="I1110">
        <v>139.98262</v>
      </c>
    </row>
    <row r="1111" spans="1:9" x14ac:dyDescent="0.4">
      <c r="A1111" t="s">
        <v>18</v>
      </c>
      <c r="B1111" t="s">
        <v>145</v>
      </c>
      <c r="C1111" t="str">
        <f t="shared" si="69"/>
        <v>千葉県船橋市</v>
      </c>
      <c r="D1111" s="2" t="str">
        <f t="shared" si="70"/>
        <v>http://geocode.csis.u-tokyo.ac.jp/cgi-bin/simple_geocode.cgi?charset=UTF8&amp;addr=%E5%8D%83%E8%91%89%E7%9C%8C%E8%88%B9%E6%A9%8B%E5%B8%82</v>
      </c>
      <c r="E1111" t="str">
        <f t="shared" si="71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111" cm="1">
        <f t="array" ref="F1111">INDEX(_xlfn.FILTERXML(E1111,"//latitude"),1)</f>
        <v>35.694710000000001</v>
      </c>
      <c r="G1111" cm="1">
        <f t="array" ref="G1111">INDEX(_xlfn.FILTERXML(E1111,"//longitude"),1)</f>
        <v>139.98262</v>
      </c>
      <c r="H1111">
        <v>35.694710000000001</v>
      </c>
      <c r="I1111">
        <v>139.98262</v>
      </c>
    </row>
    <row r="1112" spans="1:9" x14ac:dyDescent="0.4">
      <c r="A1112" t="s">
        <v>113</v>
      </c>
      <c r="B1112" t="s">
        <v>230</v>
      </c>
      <c r="C1112" t="str">
        <f t="shared" si="69"/>
        <v>岡山県岡山市北区御津野々口</v>
      </c>
      <c r="D1112" s="2" t="str">
        <f t="shared" si="70"/>
        <v>http://geocode.csis.u-tokyo.ac.jp/cgi-bin/simple_geocode.cgi?charset=UTF8&amp;addr=%E5%B2%A1%E5%B1%B1%E7%9C%8C%E5%B2%A1%E5%B1%B1%E5%B8%82%E5%8C%97%E5%8C%BA%E5%BE%A1%E6%B4%A5%E9%87%8E%E3%80%85%E5%8F%A3</v>
      </c>
      <c r="E1112" t="str">
        <f t="shared" si="71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1112" cm="1">
        <f t="array" ref="F1112">INDEX(_xlfn.FILTERXML(E1112,"//latitude"),1)</f>
        <v>34.766865000000003</v>
      </c>
      <c r="G1112" cm="1">
        <f t="array" ref="G1112">INDEX(_xlfn.FILTERXML(E1112,"//longitude"),1)</f>
        <v>133.931961</v>
      </c>
      <c r="H1112">
        <v>34.766865000000003</v>
      </c>
      <c r="I1112">
        <v>133.931961</v>
      </c>
    </row>
    <row r="1113" spans="1:9" x14ac:dyDescent="0.4">
      <c r="A1113" t="s">
        <v>37</v>
      </c>
      <c r="B1113" t="s">
        <v>472</v>
      </c>
      <c r="C1113" t="str">
        <f t="shared" si="69"/>
        <v>三重県伊賀市上野忍町</v>
      </c>
      <c r="D1113" s="2" t="str">
        <f t="shared" si="70"/>
        <v>http://geocode.csis.u-tokyo.ac.jp/cgi-bin/simple_geocode.cgi?charset=UTF8&amp;addr=%E4%B8%89%E9%87%8D%E7%9C%8C%E4%BC%8A%E8%B3%80%E5%B8%82%E4%B8%8A%E9%87%8E%E5%BF%8D%E7%94%BA</v>
      </c>
      <c r="E1113" t="str">
        <f t="shared" si="71"/>
        <v xml:space="preserve">&lt;?xml version="1.0" encoding="UTF-8" ?&gt;
&lt;results&gt;
&lt;query&gt;三重県伊賀市上野忍町&lt;/query&gt;
&lt;geodetic&gt;wgs1984&lt;/geodetic&gt;
&lt;iConf&gt;5&lt;/iConf&gt;
&lt;converted&gt;三重県伊賀市上野忍町&lt;/converted&gt;
&lt;candidate&gt;
&lt;address&gt;三重県/伊賀市/上野忍町&lt;/address&gt;
&lt;longitude&gt;136.130295&lt;/longitude&gt;
&lt;latitude&gt;34.763241&lt;/latitude&gt;
&lt;iLvl&gt;5&lt;/iLvl&gt;
&lt;/candidate&gt;
&lt;/results&gt;
</v>
      </c>
      <c r="F1113" cm="1">
        <f t="array" ref="F1113">INDEX(_xlfn.FILTERXML(E1113,"//latitude"),1)</f>
        <v>34.763241000000001</v>
      </c>
      <c r="G1113" cm="1">
        <f t="array" ref="G1113">INDEX(_xlfn.FILTERXML(E1113,"//longitude"),1)</f>
        <v>136.13029499999999</v>
      </c>
      <c r="H1113">
        <v>34.763241000000001</v>
      </c>
      <c r="I1113">
        <v>136.13029499999999</v>
      </c>
    </row>
    <row r="1114" spans="1:9" x14ac:dyDescent="0.4">
      <c r="A1114" t="s">
        <v>9</v>
      </c>
      <c r="B1114" t="s">
        <v>473</v>
      </c>
      <c r="C1114" t="str">
        <f t="shared" si="69"/>
        <v>東京都世田谷区東玉川</v>
      </c>
      <c r="D1114" s="2" t="str">
        <f t="shared" si="70"/>
        <v>http://geocode.csis.u-tokyo.ac.jp/cgi-bin/simple_geocode.cgi?charset=UTF8&amp;addr=%E6%9D%B1%E4%BA%AC%E9%83%BD%E4%B8%96%E7%94%B0%E8%B0%B7%E5%8C%BA%E6%9D%B1%E7%8E%89%E5%B7%9D</v>
      </c>
      <c r="E1114" t="str">
        <f t="shared" si="71"/>
        <v xml:space="preserve">&lt;?xml version="1.0" encoding="UTF-8" ?&gt;
&lt;results&gt;
&lt;query&gt;東京都世田谷区東玉川&lt;/query&gt;
&lt;geodetic&gt;wgs1984&lt;/geodetic&gt;
&lt;iConf&gt;5&lt;/iConf&gt;
&lt;converted&gt;東京都世田谷区東玉川&lt;/converted&gt;
&lt;candidate&gt;
&lt;address&gt;東京都/世田谷区/東玉川&lt;/address&gt;
&lt;longitude&gt;139.678253&lt;/longitude&gt;
&lt;latitude&gt;35.596493&lt;/latitude&gt;
&lt;iLvl&gt;5&lt;/iLvl&gt;
&lt;/candidate&gt;
&lt;/results&gt;
</v>
      </c>
      <c r="F1114" cm="1">
        <f t="array" ref="F1114">INDEX(_xlfn.FILTERXML(E1114,"//latitude"),1)</f>
        <v>35.596493000000002</v>
      </c>
      <c r="G1114" cm="1">
        <f t="array" ref="G1114">INDEX(_xlfn.FILTERXML(E1114,"//longitude"),1)</f>
        <v>139.67825300000001</v>
      </c>
      <c r="H1114">
        <v>35.596493000000002</v>
      </c>
      <c r="I1114">
        <v>139.67825300000001</v>
      </c>
    </row>
    <row r="1115" spans="1:9" x14ac:dyDescent="0.4">
      <c r="A1115" t="s">
        <v>23</v>
      </c>
      <c r="B1115" t="s">
        <v>474</v>
      </c>
      <c r="C1115" t="str">
        <f t="shared" si="69"/>
        <v>宮城県仙台市宮城野区新田東</v>
      </c>
      <c r="D1115" s="2" t="str">
        <f t="shared" si="70"/>
        <v>http://geocode.csis.u-tokyo.ac.jp/cgi-bin/simple_geocode.cgi?charset=UTF8&amp;addr=%E5%AE%AE%E5%9F%8E%E7%9C%8C%E4%BB%99%E5%8F%B0%E5%B8%82%E5%AE%AE%E5%9F%8E%E9%87%8E%E5%8C%BA%E6%96%B0%E7%94%B0%E6%9D%B1</v>
      </c>
      <c r="E1115" t="str">
        <f t="shared" si="71"/>
        <v xml:space="preserve">&lt;?xml version="1.0" encoding="UTF-8" ?&gt;
&lt;results&gt;
&lt;query&gt;宮城県仙台市宮城野区新田東&lt;/query&gt;
&lt;geodetic&gt;wgs1984&lt;/geodetic&gt;
&lt;iConf&gt;5&lt;/iConf&gt;
&lt;converted&gt;宮城県仙台市宮城野区新田東&lt;/converted&gt;
&lt;candidate&gt;
&lt;address&gt;宮城県/仙台市/宮城野区/新田東&lt;/address&gt;
&lt;longitude&gt;140.932953&lt;/longitude&gt;
&lt;latitude&gt;38.278694&lt;/latitude&gt;
&lt;iLvl&gt;5&lt;/iLvl&gt;
&lt;/candidate&gt;
&lt;/results&gt;
</v>
      </c>
      <c r="F1115" cm="1">
        <f t="array" ref="F1115">INDEX(_xlfn.FILTERXML(E1115,"//latitude"),1)</f>
        <v>38.278694000000002</v>
      </c>
      <c r="G1115" cm="1">
        <f t="array" ref="G1115">INDEX(_xlfn.FILTERXML(E1115,"//longitude"),1)</f>
        <v>140.932953</v>
      </c>
      <c r="H1115">
        <v>38.278694000000002</v>
      </c>
      <c r="I1115">
        <v>140.932953</v>
      </c>
    </row>
    <row r="1116" spans="1:9" x14ac:dyDescent="0.4">
      <c r="A1116" t="s">
        <v>17</v>
      </c>
      <c r="B1116" t="s">
        <v>583</v>
      </c>
      <c r="C1116" t="str">
        <f t="shared" si="69"/>
        <v>愛知県名古屋市</v>
      </c>
      <c r="D1116" s="2" t="str">
        <f t="shared" si="70"/>
        <v>http://geocode.csis.u-tokyo.ac.jp/cgi-bin/simple_geocode.cgi?charset=UTF8&amp;addr=%E6%84%9B%E7%9F%A5%E7%9C%8C%E5%90%8D%E5%8F%A4%E5%B1%8B%E5%B8%82</v>
      </c>
      <c r="E1116" t="str">
        <f t="shared" si="71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1116" cm="1">
        <f t="array" ref="F1116">INDEX(_xlfn.FILTERXML(E1116,"//latitude"),1)</f>
        <v>35.181435</v>
      </c>
      <c r="G1116" cm="1">
        <f t="array" ref="G1116">INDEX(_xlfn.FILTERXML(E1116,"//longitude"),1)</f>
        <v>136.906418</v>
      </c>
      <c r="H1116">
        <v>35.181435</v>
      </c>
      <c r="I1116">
        <v>136.906418</v>
      </c>
    </row>
    <row r="1117" spans="1:9" x14ac:dyDescent="0.4">
      <c r="A1117" t="s">
        <v>26</v>
      </c>
      <c r="B1117" t="s">
        <v>262</v>
      </c>
      <c r="C1117" t="str">
        <f t="shared" si="69"/>
        <v>京都府京都市中京区壬生松原町</v>
      </c>
      <c r="D1117" s="2" t="str">
        <f t="shared" si="70"/>
        <v>http://geocode.csis.u-tokyo.ac.jp/cgi-bin/simple_geocode.cgi?charset=UTF8&amp;addr=%E4%BA%AC%E9%83%BD%E5%BA%9C%E4%BA%AC%E9%83%BD%E5%B8%82%E4%B8%AD%E4%BA%AC%E5%8C%BA%E5%A3%AC%E7%94%9F%E6%9D%BE%E5%8E%9F%E7%94%BA</v>
      </c>
      <c r="E1117" t="str">
        <f t="shared" si="71"/>
        <v xml:space="preserve">&lt;?xml version="1.0" encoding="UTF-8" ?&gt;
&lt;results&gt;
&lt;query&gt;京都府京都市中京区壬生松原町&lt;/query&gt;
&lt;geodetic&gt;wgs1984&lt;/geodetic&gt;
&lt;iConf&gt;5&lt;/iConf&gt;
&lt;converted&gt;京都府京都市中京区壬生松原町&lt;/converted&gt;
&lt;candidate&gt;
&lt;address&gt;京都府/京都市/中京区/壬生松原町&lt;/address&gt;
&lt;longitude&gt;135.740891&lt;/longitude&gt;
&lt;latitude&gt;34.999931&lt;/latitude&gt;
&lt;iLvl&gt;5&lt;/iLvl&gt;
&lt;/candidate&gt;
&lt;/results&gt;
</v>
      </c>
      <c r="F1117" cm="1">
        <f t="array" ref="F1117">INDEX(_xlfn.FILTERXML(E1117,"//latitude"),1)</f>
        <v>34.999930999999997</v>
      </c>
      <c r="G1117" cm="1">
        <f t="array" ref="G1117">INDEX(_xlfn.FILTERXML(E1117,"//longitude"),1)</f>
        <v>135.740891</v>
      </c>
      <c r="H1117">
        <v>34.999930999999997</v>
      </c>
      <c r="I1117">
        <v>135.740891</v>
      </c>
    </row>
    <row r="1118" spans="1:9" x14ac:dyDescent="0.4">
      <c r="A1118" t="s">
        <v>14</v>
      </c>
      <c r="B1118" t="s">
        <v>475</v>
      </c>
      <c r="C1118" t="str">
        <f t="shared" si="69"/>
        <v>広島県広島市安佐南区山本新町</v>
      </c>
      <c r="D1118" s="2" t="str">
        <f t="shared" si="70"/>
        <v>http://geocode.csis.u-tokyo.ac.jp/cgi-bin/simple_geocode.cgi?charset=UTF8&amp;addr=%E5%BA%83%E5%B3%B6%E7%9C%8C%E5%BA%83%E5%B3%B6%E5%B8%82%E5%AE%89%E4%BD%90%E5%8D%97%E5%8C%BA%E5%B1%B1%E6%9C%AC%E6%96%B0%E7%94%BA</v>
      </c>
      <c r="E1118" t="str">
        <f t="shared" si="71"/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1118" cm="1">
        <f t="array" ref="F1118">INDEX(_xlfn.FILTERXML(E1118,"//latitude"),1)</f>
        <v>34.440441</v>
      </c>
      <c r="G1118" cm="1">
        <f t="array" ref="G1118">INDEX(_xlfn.FILTERXML(E1118,"//longitude"),1)</f>
        <v>132.43774400000001</v>
      </c>
      <c r="H1118">
        <v>34.440441</v>
      </c>
      <c r="I1118">
        <v>132.43774400000001</v>
      </c>
    </row>
    <row r="1119" spans="1:9" x14ac:dyDescent="0.4">
      <c r="A1119" t="s">
        <v>10</v>
      </c>
      <c r="B1119" t="s">
        <v>476</v>
      </c>
      <c r="C1119" t="str">
        <f t="shared" si="69"/>
        <v>神奈川県横浜市青葉区荏田西</v>
      </c>
      <c r="D1119" s="2" t="str">
        <f t="shared" si="70"/>
        <v>http://geocode.csis.u-tokyo.ac.jp/cgi-bin/simple_geocode.cgi?charset=UTF8&amp;addr=%E7%A5%9E%E5%A5%88%E5%B7%9D%E7%9C%8C%E6%A8%AA%E6%B5%9C%E5%B8%82%E9%9D%92%E8%91%89%E5%8C%BA%E8%8D%8F%E7%94%B0%E8%A5%BF</v>
      </c>
      <c r="E1119" t="str">
        <f t="shared" si="71"/>
        <v xml:space="preserve">&lt;?xml version="1.0" encoding="UTF-8" ?&gt;
&lt;results&gt;
&lt;query&gt;神奈川県横浜市青葉区荏田西&lt;/query&gt;
&lt;geodetic&gt;wgs1984&lt;/geodetic&gt;
&lt;iConf&gt;5&lt;/iConf&gt;
&lt;converted&gt;神奈川県横浜市青葉区荏田西&lt;/converted&gt;
&lt;candidate&gt;
&lt;address&gt;神奈川県/横浜市/青葉区/荏田西&lt;/address&gt;
&lt;longitude&gt;139.547043&lt;/longitude&gt;
&lt;latitude&gt;35.553299&lt;/latitude&gt;
&lt;iLvl&gt;5&lt;/iLvl&gt;
&lt;/candidate&gt;
&lt;/results&gt;
</v>
      </c>
      <c r="F1119" cm="1">
        <f t="array" ref="F1119">INDEX(_xlfn.FILTERXML(E1119,"//latitude"),1)</f>
        <v>35.553299000000003</v>
      </c>
      <c r="G1119" cm="1">
        <f t="array" ref="G1119">INDEX(_xlfn.FILTERXML(E1119,"//longitude"),1)</f>
        <v>139.547043</v>
      </c>
      <c r="H1119">
        <v>35.553299000000003</v>
      </c>
      <c r="I1119">
        <v>139.547043</v>
      </c>
    </row>
    <row r="1120" spans="1:9" x14ac:dyDescent="0.4">
      <c r="A1120" t="s">
        <v>11</v>
      </c>
      <c r="B1120" t="s">
        <v>69</v>
      </c>
      <c r="C1120" t="str">
        <f t="shared" si="69"/>
        <v>大阪府茨木市</v>
      </c>
      <c r="D1120" s="2" t="str">
        <f t="shared" si="70"/>
        <v>http://geocode.csis.u-tokyo.ac.jp/cgi-bin/simple_geocode.cgi?charset=UTF8&amp;addr=%E5%A4%A7%E9%98%AA%E5%BA%9C%E8%8C%A8%E6%9C%A8%E5%B8%82</v>
      </c>
      <c r="E1120" t="str">
        <f t="shared" si="71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120" cm="1">
        <f t="array" ref="F1120">INDEX(_xlfn.FILTERXML(E1120,"//latitude"),1)</f>
        <v>34.816153999999997</v>
      </c>
      <c r="G1120" cm="1">
        <f t="array" ref="G1120">INDEX(_xlfn.FILTERXML(E1120,"//longitude"),1)</f>
        <v>135.56849700000001</v>
      </c>
      <c r="H1120">
        <v>34.816153999999997</v>
      </c>
      <c r="I1120">
        <v>135.56849700000001</v>
      </c>
    </row>
    <row r="1121" spans="1:9" x14ac:dyDescent="0.4">
      <c r="A1121" t="s">
        <v>10</v>
      </c>
      <c r="B1121" t="s">
        <v>477</v>
      </c>
      <c r="C1121" t="str">
        <f t="shared" si="69"/>
        <v>神奈川県鎌倉市今泉台</v>
      </c>
      <c r="D1121" s="2" t="str">
        <f t="shared" si="70"/>
        <v>http://geocode.csis.u-tokyo.ac.jp/cgi-bin/simple_geocode.cgi?charset=UTF8&amp;addr=%E7%A5%9E%E5%A5%88%E5%B7%9D%E7%9C%8C%E9%8E%8C%E5%80%89%E5%B8%82%E4%BB%8A%E6%B3%89%E5%8F%B0</v>
      </c>
      <c r="E1121" t="str">
        <f t="shared" si="71"/>
        <v xml:space="preserve">&lt;?xml version="1.0" encoding="UTF-8" ?&gt;
&lt;results&gt;
&lt;query&gt;神奈川県鎌倉市今泉台&lt;/query&gt;
&lt;geodetic&gt;wgs1984&lt;/geodetic&gt;
&lt;iConf&gt;5&lt;/iConf&gt;
&lt;converted&gt;神奈川県鎌倉市今泉台&lt;/converted&gt;
&lt;candidate&gt;
&lt;address&gt;神奈川県/鎌倉市/今泉台&lt;/address&gt;
&lt;longitude&gt;139.553726&lt;/longitude&gt;
&lt;latitude&gt;35.342346&lt;/latitude&gt;
&lt;iLvl&gt;5&lt;/iLvl&gt;
&lt;/candidate&gt;
&lt;/results&gt;
</v>
      </c>
      <c r="F1121" cm="1">
        <f t="array" ref="F1121">INDEX(_xlfn.FILTERXML(E1121,"//latitude"),1)</f>
        <v>35.342345999999999</v>
      </c>
      <c r="G1121" cm="1">
        <f t="array" ref="G1121">INDEX(_xlfn.FILTERXML(E1121,"//longitude"),1)</f>
        <v>139.55372600000001</v>
      </c>
      <c r="H1121">
        <v>35.342345999999999</v>
      </c>
      <c r="I1121">
        <v>139.55372600000001</v>
      </c>
    </row>
    <row r="1122" spans="1:9" x14ac:dyDescent="0.4">
      <c r="A1122" t="s">
        <v>144</v>
      </c>
      <c r="B1122" t="s">
        <v>182</v>
      </c>
      <c r="C1122" t="str">
        <f t="shared" si="69"/>
        <v>秋田県男鹿市船越字本町</v>
      </c>
      <c r="D1122" s="2" t="str">
        <f t="shared" si="70"/>
        <v>http://geocode.csis.u-tokyo.ac.jp/cgi-bin/simple_geocode.cgi?charset=UTF8&amp;addr=%E7%A7%8B%E7%94%B0%E7%9C%8C%E7%94%B7%E9%B9%BF%E5%B8%82%E8%88%B9%E8%B6%8A%E5%AD%97%E6%9C%AC%E7%94%BA</v>
      </c>
      <c r="E1122" t="str">
        <f t="shared" si="71"/>
        <v xml:space="preserve">&lt;?xml version="1.0" encoding="UTF-8" ?&gt;
&lt;results&gt;
&lt;query&gt;秋田県男鹿市船越字本町&lt;/query&gt;
&lt;geodetic&gt;wgs1984&lt;/geodetic&gt;
&lt;iConf&gt;5&lt;/iConf&gt;
&lt;converted&gt;秋田県男鹿市船越字本町&lt;/converted&gt;
&lt;candidate&gt;
&lt;address&gt;秋田県/男鹿市/船越/本町&lt;/address&gt;
&lt;longitude&gt;139.944977&lt;/longitude&gt;
&lt;latitude&gt;39.903030&lt;/latitude&gt;
&lt;iLvl&gt;6&lt;/iLvl&gt;
&lt;/candidate&gt;
&lt;/results&gt;
</v>
      </c>
      <c r="F1122" cm="1">
        <f t="array" ref="F1122">INDEX(_xlfn.FILTERXML(E1122,"//latitude"),1)</f>
        <v>39.903030000000001</v>
      </c>
      <c r="G1122" cm="1">
        <f t="array" ref="G1122">INDEX(_xlfn.FILTERXML(E1122,"//longitude"),1)</f>
        <v>139.94497699999999</v>
      </c>
      <c r="H1122">
        <v>39.903030000000001</v>
      </c>
      <c r="I1122">
        <v>139.94497699999999</v>
      </c>
    </row>
    <row r="1123" spans="1:9" x14ac:dyDescent="0.4">
      <c r="A1123" t="s">
        <v>13</v>
      </c>
      <c r="B1123" t="s">
        <v>478</v>
      </c>
      <c r="C1123" t="str">
        <f t="shared" si="69"/>
        <v>埼玉県さいたま市西区指扇106-11</v>
      </c>
      <c r="D1123" s="2" t="str">
        <f t="shared" si="70"/>
        <v>http://geocode.csis.u-tokyo.ac.jp/cgi-bin/simple_geocode.cgi?charset=UTF8&amp;addr=%E5%9F%BC%E7%8E%89%E7%9C%8C%E3%81%95%E3%81%84%E3%81%9F%E3%81%BE%E5%B8%82%E8%A5%BF%E5%8C%BA%E6%8C%87%E6%89%87106-11</v>
      </c>
      <c r="E1123" t="str">
        <f t="shared" si="71"/>
        <v xml:space="preserve">&lt;?xml version="1.0" encoding="UTF-8" ?&gt;
&lt;results&gt;
&lt;query&gt;埼玉県さいたま市西区指扇106-11&lt;/query&gt;
&lt;geodetic&gt;wgs1984&lt;/geodetic&gt;
&lt;iConf&gt;5&lt;/iConf&gt;
&lt;converted&gt;埼玉県さいたま市西区指扇106-&lt;/converted&gt;
&lt;candidate&gt;
&lt;address&gt;埼玉県/さいたま市/西区/指扇/１０６番地&lt;/address&gt;
&lt;longitude&gt;139.588638&lt;/longitude&gt;
&lt;latitude&gt;35.907501&lt;/latitude&gt;
&lt;iLvl&gt;7&lt;/iLvl&gt;
&lt;/candidate&gt;
&lt;/results&gt;
</v>
      </c>
      <c r="F1123" cm="1">
        <f t="array" ref="F1123">INDEX(_xlfn.FILTERXML(E1123,"//latitude"),1)</f>
        <v>35.907501000000003</v>
      </c>
      <c r="G1123" cm="1">
        <f t="array" ref="G1123">INDEX(_xlfn.FILTERXML(E1123,"//longitude"),1)</f>
        <v>139.588638</v>
      </c>
      <c r="H1123">
        <v>35.907501000000003</v>
      </c>
      <c r="I1123">
        <v>139.588638</v>
      </c>
    </row>
    <row r="1124" spans="1:9" x14ac:dyDescent="0.4">
      <c r="A1124" t="s">
        <v>9</v>
      </c>
      <c r="B1124" t="s">
        <v>479</v>
      </c>
      <c r="C1124" t="str">
        <f t="shared" si="69"/>
        <v>東京都練馬区平和台</v>
      </c>
      <c r="D1124" s="2" t="str">
        <f t="shared" si="70"/>
        <v>http://geocode.csis.u-tokyo.ac.jp/cgi-bin/simple_geocode.cgi?charset=UTF8&amp;addr=%E6%9D%B1%E4%BA%AC%E9%83%BD%E7%B7%B4%E9%A6%AC%E5%8C%BA%E5%B9%B3%E5%92%8C%E5%8F%B0</v>
      </c>
      <c r="E1124" t="str">
        <f t="shared" si="71"/>
        <v xml:space="preserve">&lt;?xml version="1.0" encoding="UTF-8" ?&gt;
&lt;results&gt;
&lt;query&gt;東京都練馬区平和台&lt;/query&gt;
&lt;geodetic&gt;wgs1984&lt;/geodetic&gt;
&lt;iConf&gt;5&lt;/iConf&gt;
&lt;converted&gt;東京都練馬区平和台&lt;/converted&gt;
&lt;candidate&gt;
&lt;address&gt;東京都/練馬区/平和台&lt;/address&gt;
&lt;longitude&gt;139.664581&lt;/longitude&gt;
&lt;latitude&gt;35.758591&lt;/latitude&gt;
&lt;iLvl&gt;5&lt;/iLvl&gt;
&lt;/candidate&gt;
&lt;/results&gt;
</v>
      </c>
      <c r="F1124" cm="1">
        <f t="array" ref="F1124">INDEX(_xlfn.FILTERXML(E1124,"//latitude"),1)</f>
        <v>35.758591000000003</v>
      </c>
      <c r="G1124" cm="1">
        <f t="array" ref="G1124">INDEX(_xlfn.FILTERXML(E1124,"//longitude"),1)</f>
        <v>139.664581</v>
      </c>
      <c r="H1124">
        <v>35.758591000000003</v>
      </c>
      <c r="I1124">
        <v>139.664581</v>
      </c>
    </row>
    <row r="1125" spans="1:9" x14ac:dyDescent="0.4">
      <c r="A1125" t="s">
        <v>9</v>
      </c>
      <c r="B1125" t="s">
        <v>77</v>
      </c>
      <c r="C1125" t="str">
        <f t="shared" si="69"/>
        <v>東京都台東区池之端</v>
      </c>
      <c r="D1125" s="2" t="str">
        <f t="shared" si="70"/>
        <v>http://geocode.csis.u-tokyo.ac.jp/cgi-bin/simple_geocode.cgi?charset=UTF8&amp;addr=%E6%9D%B1%E4%BA%AC%E9%83%BD%E5%8F%B0%E6%9D%B1%E5%8C%BA%E6%B1%A0%E4%B9%8B%E7%AB%AF</v>
      </c>
      <c r="E1125" t="str">
        <f t="shared" si="71"/>
        <v xml:space="preserve">&lt;?xml version="1.0" encoding="UTF-8" ?&gt;
&lt;results&gt;
&lt;query&gt;東京都台東区池之端&lt;/query&gt;
&lt;geodetic&gt;wgs1984&lt;/geodetic&gt;
&lt;iConf&gt;5&lt;/iConf&gt;
&lt;converted&gt;東京都台東区池之端&lt;/converted&gt;
&lt;candidate&gt;
&lt;address&gt;東京都/台東区/池之端&lt;/address&gt;
&lt;longitude&gt;139.767853&lt;/longitude&gt;
&lt;latitude&gt;35.709766&lt;/latitude&gt;
&lt;iLvl&gt;5&lt;/iLvl&gt;
&lt;/candidate&gt;
&lt;/results&gt;
</v>
      </c>
      <c r="F1125" cm="1">
        <f t="array" ref="F1125">INDEX(_xlfn.FILTERXML(E1125,"//latitude"),1)</f>
        <v>35.709766000000002</v>
      </c>
      <c r="G1125" cm="1">
        <f t="array" ref="G1125">INDEX(_xlfn.FILTERXML(E1125,"//longitude"),1)</f>
        <v>139.767853</v>
      </c>
      <c r="H1125">
        <v>35.709766000000002</v>
      </c>
      <c r="I1125">
        <v>139.767853</v>
      </c>
    </row>
    <row r="1126" spans="1:9" x14ac:dyDescent="0.4">
      <c r="A1126" t="s">
        <v>37</v>
      </c>
      <c r="B1126" t="s">
        <v>480</v>
      </c>
      <c r="C1126" t="str">
        <f t="shared" si="69"/>
        <v>三重県伊賀市上野丸の内</v>
      </c>
      <c r="D1126" s="2" t="str">
        <f t="shared" si="70"/>
        <v>http://geocode.csis.u-tokyo.ac.jp/cgi-bin/simple_geocode.cgi?charset=UTF8&amp;addr=%E4%B8%89%E9%87%8D%E7%9C%8C%E4%BC%8A%E8%B3%80%E5%B8%82%E4%B8%8A%E9%87%8E%E4%B8%B8%E3%81%AE%E5%86%85</v>
      </c>
      <c r="E1126" t="str">
        <f t="shared" si="71"/>
        <v xml:space="preserve">&lt;?xml version="1.0" encoding="UTF-8" ?&gt;
&lt;results&gt;
&lt;query&gt;三重県伊賀市上野丸の内&lt;/query&gt;
&lt;geodetic&gt;wgs1984&lt;/geodetic&gt;
&lt;iConf&gt;5&lt;/iConf&gt;
&lt;converted&gt;三重県伊賀市上野丸の内&lt;/converted&gt;
&lt;candidate&gt;
&lt;address&gt;三重県/伊賀市/上野丸之内&lt;/address&gt;
&lt;longitude&gt;136.128784&lt;/longitude&gt;
&lt;latitude&gt;34.769566&lt;/latitude&gt;
&lt;iLvl&gt;5&lt;/iLvl&gt;
&lt;/candidate&gt;
&lt;/results&gt;
</v>
      </c>
      <c r="F1126" cm="1">
        <f t="array" ref="F1126">INDEX(_xlfn.FILTERXML(E1126,"//latitude"),1)</f>
        <v>34.769565999999998</v>
      </c>
      <c r="G1126" cm="1">
        <f t="array" ref="G1126">INDEX(_xlfn.FILTERXML(E1126,"//longitude"),1)</f>
        <v>136.128784</v>
      </c>
      <c r="H1126">
        <v>34.769565999999998</v>
      </c>
      <c r="I1126">
        <v>136.128784</v>
      </c>
    </row>
    <row r="1127" spans="1:9" x14ac:dyDescent="0.4">
      <c r="A1127" t="s">
        <v>11</v>
      </c>
      <c r="B1127" t="s">
        <v>41</v>
      </c>
      <c r="C1127" t="str">
        <f t="shared" si="69"/>
        <v>大阪府豊中市</v>
      </c>
      <c r="D1127" s="2" t="str">
        <f t="shared" si="70"/>
        <v>http://geocode.csis.u-tokyo.ac.jp/cgi-bin/simple_geocode.cgi?charset=UTF8&amp;addr=%E5%A4%A7%E9%98%AA%E5%BA%9C%E8%B1%8A%E4%B8%AD%E5%B8%82</v>
      </c>
      <c r="E1127" t="str">
        <f t="shared" si="71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127" cm="1">
        <f t="array" ref="F1127">INDEX(_xlfn.FILTERXML(E1127,"//latitude"),1)</f>
        <v>34.781238999999999</v>
      </c>
      <c r="G1127" cm="1">
        <f t="array" ref="G1127">INDEX(_xlfn.FILTERXML(E1127,"//longitude"),1)</f>
        <v>135.46989400000001</v>
      </c>
      <c r="H1127">
        <v>34.781238999999999</v>
      </c>
      <c r="I1127">
        <v>135.46989400000001</v>
      </c>
    </row>
    <row r="1128" spans="1:9" x14ac:dyDescent="0.4">
      <c r="A1128" t="s">
        <v>10</v>
      </c>
      <c r="B1128" t="s">
        <v>216</v>
      </c>
      <c r="C1128" t="str">
        <f t="shared" si="69"/>
        <v>神奈川県茅ヶ崎市</v>
      </c>
      <c r="D1128" s="2" t="str">
        <f t="shared" si="70"/>
        <v>http://geocode.csis.u-tokyo.ac.jp/cgi-bin/simple_geocode.cgi?charset=UTF8&amp;addr=%E7%A5%9E%E5%A5%88%E5%B7%9D%E7%9C%8C%E8%8C%85%E3%83%B6%E5%B4%8E%E5%B8%82</v>
      </c>
      <c r="E1128" t="str">
        <f t="shared" si="71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1128" cm="1">
        <f t="array" ref="F1128">INDEX(_xlfn.FILTERXML(E1128,"//latitude"),1)</f>
        <v>35.333877999999999</v>
      </c>
      <c r="G1128" cm="1">
        <f t="array" ref="G1128">INDEX(_xlfn.FILTERXML(E1128,"//longitude"),1)</f>
        <v>139.404709</v>
      </c>
      <c r="H1128">
        <v>35.333877999999999</v>
      </c>
      <c r="I1128">
        <v>139.404709</v>
      </c>
    </row>
    <row r="1129" spans="1:9" x14ac:dyDescent="0.4">
      <c r="A1129" t="s">
        <v>38</v>
      </c>
      <c r="B1129" t="s">
        <v>246</v>
      </c>
      <c r="C1129" t="str">
        <f t="shared" si="69"/>
        <v>新潟県佐渡市</v>
      </c>
      <c r="D1129" s="2" t="str">
        <f t="shared" si="70"/>
        <v>http://geocode.csis.u-tokyo.ac.jp/cgi-bin/simple_geocode.cgi?charset=UTF8&amp;addr=%E6%96%B0%E6%BD%9F%E7%9C%8C%E4%BD%90%E6%B8%A1%E5%B8%82</v>
      </c>
      <c r="E1129" t="str">
        <f t="shared" si="71"/>
        <v xml:space="preserve">&lt;?xml version="1.0" encoding="UTF-8" ?&gt;
&lt;results&gt;
&lt;query&gt;新潟県佐渡市&lt;/query&gt;
&lt;geodetic&gt;wgs1984&lt;/geodetic&gt;
&lt;iConf&gt;5&lt;/iConf&gt;
&lt;converted&gt;新潟県佐渡市&lt;/converted&gt;
&lt;candidate&gt;
&lt;address&gt;新潟県/佐渡市&lt;/address&gt;
&lt;longitude&gt;138.368134&lt;/longitude&gt;
&lt;latitude&gt;38.018303&lt;/latitude&gt;
&lt;iLvl&gt;3&lt;/iLvl&gt;
&lt;/candidate&gt;
&lt;/results&gt;
</v>
      </c>
      <c r="F1129" cm="1">
        <f t="array" ref="F1129">INDEX(_xlfn.FILTERXML(E1129,"//latitude"),1)</f>
        <v>38.018303000000003</v>
      </c>
      <c r="G1129" cm="1">
        <f t="array" ref="G1129">INDEX(_xlfn.FILTERXML(E1129,"//longitude"),1)</f>
        <v>138.368134</v>
      </c>
      <c r="H1129">
        <v>38.018303000000003</v>
      </c>
      <c r="I1129">
        <v>138.368134</v>
      </c>
    </row>
    <row r="1130" spans="1:9" x14ac:dyDescent="0.4">
      <c r="A1130" t="s">
        <v>10</v>
      </c>
      <c r="B1130" t="s">
        <v>481</v>
      </c>
      <c r="C1130" t="str">
        <f t="shared" si="69"/>
        <v>神奈川県海老名市</v>
      </c>
      <c r="D1130" s="2" t="str">
        <f t="shared" si="70"/>
        <v>http://geocode.csis.u-tokyo.ac.jp/cgi-bin/simple_geocode.cgi?charset=UTF8&amp;addr=%E7%A5%9E%E5%A5%88%E5%B7%9D%E7%9C%8C%E6%B5%B7%E8%80%81%E5%90%8D%E5%B8%82</v>
      </c>
      <c r="E1130" t="str">
        <f t="shared" si="71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1130" cm="1">
        <f t="array" ref="F1130">INDEX(_xlfn.FILTERXML(E1130,"//latitude"),1)</f>
        <v>35.446449000000001</v>
      </c>
      <c r="G1130" cm="1">
        <f t="array" ref="G1130">INDEX(_xlfn.FILTERXML(E1130,"//longitude"),1)</f>
        <v>139.39080799999999</v>
      </c>
      <c r="H1130">
        <v>35.446449000000001</v>
      </c>
      <c r="I1130">
        <v>139.39080799999999</v>
      </c>
    </row>
    <row r="1131" spans="1:9" x14ac:dyDescent="0.4">
      <c r="A1131" t="s">
        <v>132</v>
      </c>
      <c r="B1131" t="s">
        <v>482</v>
      </c>
      <c r="C1131" t="str">
        <f t="shared" si="69"/>
        <v>高知県高知市朝倉西町</v>
      </c>
      <c r="D1131" s="2" t="str">
        <f t="shared" si="70"/>
        <v>http://geocode.csis.u-tokyo.ac.jp/cgi-bin/simple_geocode.cgi?charset=UTF8&amp;addr=%E9%AB%98%E7%9F%A5%E7%9C%8C%E9%AB%98%E7%9F%A5%E5%B8%82%E6%9C%9D%E5%80%89%E8%A5%BF%E7%94%BA</v>
      </c>
      <c r="E1131" t="str">
        <f t="shared" si="71"/>
        <v xml:space="preserve">&lt;?xml version="1.0" encoding="UTF-8" ?&gt;
&lt;results&gt;
&lt;query&gt;高知県高知市朝倉西町&lt;/query&gt;
&lt;geodetic&gt;wgs1984&lt;/geodetic&gt;
&lt;iConf&gt;5&lt;/iConf&gt;
&lt;converted&gt;高知県高知市朝倉西町&lt;/converted&gt;
&lt;candidate&gt;
&lt;address&gt;高知県/高知市/朝倉西町&lt;/address&gt;
&lt;longitude&gt;133.483627&lt;/longitude&gt;
&lt;latitude&gt;33.542126&lt;/latitude&gt;
&lt;iLvl&gt;5&lt;/iLvl&gt;
&lt;/candidate&gt;
&lt;/results&gt;
</v>
      </c>
      <c r="F1131" cm="1">
        <f t="array" ref="F1131">INDEX(_xlfn.FILTERXML(E1131,"//latitude"),1)</f>
        <v>33.542126000000003</v>
      </c>
      <c r="G1131" cm="1">
        <f t="array" ref="G1131">INDEX(_xlfn.FILTERXML(E1131,"//longitude"),1)</f>
        <v>133.48362700000001</v>
      </c>
      <c r="H1131">
        <v>33.542126000000003</v>
      </c>
      <c r="I1131">
        <v>133.48362700000001</v>
      </c>
    </row>
    <row r="1132" spans="1:9" x14ac:dyDescent="0.4">
      <c r="A1132" t="s">
        <v>29</v>
      </c>
      <c r="B1132" t="s">
        <v>483</v>
      </c>
      <c r="C1132" t="str">
        <f t="shared" si="69"/>
        <v>静岡県焼津市</v>
      </c>
      <c r="D1132" s="2" t="str">
        <f t="shared" si="70"/>
        <v>http://geocode.csis.u-tokyo.ac.jp/cgi-bin/simple_geocode.cgi?charset=UTF8&amp;addr=%E9%9D%99%E5%B2%A1%E7%9C%8C%E7%84%BC%E6%B4%A5%E5%B8%82</v>
      </c>
      <c r="E1132" t="str">
        <f t="shared" si="71"/>
        <v xml:space="preserve">&lt;?xml version="1.0" encoding="UTF-8" ?&gt;
&lt;results&gt;
&lt;query&gt;静岡県焼津市&lt;/query&gt;
&lt;geodetic&gt;wgs1984&lt;/geodetic&gt;
&lt;iConf&gt;5&lt;/iConf&gt;
&lt;converted&gt;静岡県焼津市&lt;/converted&gt;
&lt;candidate&gt;
&lt;address&gt;静岡県/焼津市&lt;/address&gt;
&lt;longitude&gt;138.323257&lt;/longitude&gt;
&lt;latitude&gt;34.866905&lt;/latitude&gt;
&lt;iLvl&gt;3&lt;/iLvl&gt;
&lt;/candidate&gt;
&lt;/results&gt;
</v>
      </c>
      <c r="F1132" cm="1">
        <f t="array" ref="F1132">INDEX(_xlfn.FILTERXML(E1132,"//latitude"),1)</f>
        <v>34.866905000000003</v>
      </c>
      <c r="G1132" cm="1">
        <f t="array" ref="G1132">INDEX(_xlfn.FILTERXML(E1132,"//longitude"),1)</f>
        <v>138.32325700000001</v>
      </c>
      <c r="H1132">
        <v>34.866905000000003</v>
      </c>
      <c r="I1132">
        <v>138.32325700000001</v>
      </c>
    </row>
    <row r="1133" spans="1:9" x14ac:dyDescent="0.4">
      <c r="A1133" t="s">
        <v>11</v>
      </c>
      <c r="B1133" t="s">
        <v>137</v>
      </c>
      <c r="C1133" t="str">
        <f t="shared" si="69"/>
        <v>大阪府吹田市</v>
      </c>
      <c r="D1133" s="2" t="str">
        <f t="shared" si="70"/>
        <v>http://geocode.csis.u-tokyo.ac.jp/cgi-bin/simple_geocode.cgi?charset=UTF8&amp;addr=%E5%A4%A7%E9%98%AA%E5%BA%9C%E5%90%B9%E7%94%B0%E5%B8%82</v>
      </c>
      <c r="E1133" t="str">
        <f t="shared" si="71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133" cm="1">
        <f t="array" ref="F1133">INDEX(_xlfn.FILTERXML(E1133,"//latitude"),1)</f>
        <v>34.759402999999999</v>
      </c>
      <c r="G1133" cm="1">
        <f t="array" ref="G1133">INDEX(_xlfn.FILTERXML(E1133,"//longitude"),1)</f>
        <v>135.51679999999999</v>
      </c>
      <c r="H1133">
        <v>34.759402999999999</v>
      </c>
      <c r="I1133">
        <v>135.51679999999999</v>
      </c>
    </row>
    <row r="1134" spans="1:9" x14ac:dyDescent="0.4">
      <c r="A1134" t="s">
        <v>10</v>
      </c>
      <c r="B1134" t="s">
        <v>484</v>
      </c>
      <c r="C1134" t="str">
        <f t="shared" si="69"/>
        <v>神奈川県横須賀市</v>
      </c>
      <c r="D1134" s="2" t="str">
        <f t="shared" si="70"/>
        <v>http://geocode.csis.u-tokyo.ac.jp/cgi-bin/simple_geocode.cgi?charset=UTF8&amp;addr=%E7%A5%9E%E5%A5%88%E5%B7%9D%E7%9C%8C%E6%A8%AA%E9%A0%88%E8%B3%80%E5%B8%82</v>
      </c>
      <c r="E1134" t="str">
        <f t="shared" si="71"/>
        <v xml:space="preserve">&lt;?xml version="1.0" encoding="UTF-8" ?&gt;
&lt;results&gt;
&lt;query&gt;神奈川県横須賀市&lt;/query&gt;
&lt;geodetic&gt;wgs1984&lt;/geodetic&gt;
&lt;iConf&gt;5&lt;/iConf&gt;
&lt;converted&gt;神奈川県横須賀市&lt;/converted&gt;
&lt;candidate&gt;
&lt;address&gt;神奈川県/横須賀市&lt;/address&gt;
&lt;longitude&gt;139.672287&lt;/longitude&gt;
&lt;latitude&gt;35.281277&lt;/latitude&gt;
&lt;iLvl&gt;3&lt;/iLvl&gt;
&lt;/candidate&gt;
&lt;/results&gt;
</v>
      </c>
      <c r="F1134" cm="1">
        <f t="array" ref="F1134">INDEX(_xlfn.FILTERXML(E1134,"//latitude"),1)</f>
        <v>35.281277000000003</v>
      </c>
      <c r="G1134" cm="1">
        <f t="array" ref="G1134">INDEX(_xlfn.FILTERXML(E1134,"//longitude"),1)</f>
        <v>139.67228700000001</v>
      </c>
      <c r="H1134">
        <v>35.281277000000003</v>
      </c>
      <c r="I1134">
        <v>139.67228700000001</v>
      </c>
    </row>
    <row r="1135" spans="1:9" x14ac:dyDescent="0.4">
      <c r="A1135" t="s">
        <v>15</v>
      </c>
      <c r="B1135" t="s">
        <v>485</v>
      </c>
      <c r="C1135" t="str">
        <f t="shared" si="69"/>
        <v>兵庫県神戸市垂水区清水ヶ丘1</v>
      </c>
      <c r="D1135" s="2" t="str">
        <f t="shared" si="70"/>
        <v>http://geocode.csis.u-tokyo.ac.jp/cgi-bin/simple_geocode.cgi?charset=UTF8&amp;addr=%E5%85%B5%E5%BA%AB%E7%9C%8C%E7%A5%9E%E6%88%B8%E5%B8%82%E5%9E%82%E6%B0%B4%E5%8C%BA%E6%B8%85%E6%B0%B4%E3%83%B6%E4%B8%981</v>
      </c>
      <c r="E1135" t="str">
        <f t="shared" si="71"/>
        <v xml:space="preserve">&lt;?xml version="1.0" encoding="UTF-8" ?&gt;
&lt;results&gt;
&lt;query&gt;兵庫県神戸市垂水区清水ヶ丘1&lt;/query&gt;
&lt;geodetic&gt;wgs1984&lt;/geodetic&gt;
&lt;iConf&gt;5&lt;/iConf&gt;
&lt;converted&gt;兵庫県神戸市垂水区清水ヶ丘1&lt;/converted&gt;
&lt;candidate&gt;
&lt;address&gt;兵庫県/神戸市/垂水区/清水が丘/一丁目&lt;/address&gt;
&lt;longitude&gt;135.044952&lt;/longitude&gt;
&lt;latitude&gt;34.649261&lt;/latitude&gt;
&lt;iLvl&gt;6&lt;/iLvl&gt;
&lt;/candidate&gt;
&lt;/results&gt;
</v>
      </c>
      <c r="F1135" cm="1">
        <f t="array" ref="F1135">INDEX(_xlfn.FILTERXML(E1135,"//latitude"),1)</f>
        <v>34.649261000000003</v>
      </c>
      <c r="G1135" cm="1">
        <f t="array" ref="G1135">INDEX(_xlfn.FILTERXML(E1135,"//longitude"),1)</f>
        <v>135.04495199999999</v>
      </c>
      <c r="H1135">
        <v>34.649261000000003</v>
      </c>
      <c r="I1135">
        <v>135.04495199999999</v>
      </c>
    </row>
    <row r="1136" spans="1:9" x14ac:dyDescent="0.4">
      <c r="A1136" t="s">
        <v>38</v>
      </c>
      <c r="B1136" t="s">
        <v>486</v>
      </c>
      <c r="C1136" t="str">
        <f t="shared" si="69"/>
        <v>新潟県長岡市寿</v>
      </c>
      <c r="D1136" s="2" t="str">
        <f t="shared" si="70"/>
        <v>http://geocode.csis.u-tokyo.ac.jp/cgi-bin/simple_geocode.cgi?charset=UTF8&amp;addr=%E6%96%B0%E6%BD%9F%E7%9C%8C%E9%95%B7%E5%B2%A1%E5%B8%82%E5%AF%BF</v>
      </c>
      <c r="E1136" t="str">
        <f t="shared" si="71"/>
        <v xml:space="preserve">&lt;?xml version="1.0" encoding="UTF-8" ?&gt;
&lt;results&gt;
&lt;query&gt;新潟県長岡市寿&lt;/query&gt;
&lt;geodetic&gt;wgs1984&lt;/geodetic&gt;
&lt;iConf&gt;5&lt;/iConf&gt;
&lt;converted&gt;新潟県長岡市寿&lt;/converted&gt;
&lt;candidate&gt;
&lt;address&gt;新潟県/長岡市/寿&lt;/address&gt;
&lt;longitude&gt;138.853394&lt;/longitude&gt;
&lt;latitude&gt;37.474751&lt;/latitude&gt;
&lt;iLvl&gt;5&lt;/iLvl&gt;
&lt;/candidate&gt;
&lt;/results&gt;
</v>
      </c>
      <c r="F1136" cm="1">
        <f t="array" ref="F1136">INDEX(_xlfn.FILTERXML(E1136,"//latitude"),1)</f>
        <v>37.474750999999998</v>
      </c>
      <c r="G1136" cm="1">
        <f t="array" ref="G1136">INDEX(_xlfn.FILTERXML(E1136,"//longitude"),1)</f>
        <v>138.85339400000001</v>
      </c>
      <c r="H1136">
        <v>37.474750999999998</v>
      </c>
      <c r="I1136">
        <v>138.85339400000001</v>
      </c>
    </row>
    <row r="1137" spans="1:9" x14ac:dyDescent="0.4">
      <c r="A1137" t="s">
        <v>18</v>
      </c>
      <c r="B1137" t="s">
        <v>487</v>
      </c>
      <c r="C1137" t="str">
        <f t="shared" si="69"/>
        <v>千葉県船橋市前原西</v>
      </c>
      <c r="D1137" s="2" t="str">
        <f t="shared" si="70"/>
        <v>http://geocode.csis.u-tokyo.ac.jp/cgi-bin/simple_geocode.cgi?charset=UTF8&amp;addr=%E5%8D%83%E8%91%89%E7%9C%8C%E8%88%B9%E6%A9%8B%E5%B8%82%E5%89%8D%E5%8E%9F%E8%A5%BF</v>
      </c>
      <c r="E1137" t="str">
        <f t="shared" si="71"/>
        <v xml:space="preserve">&lt;?xml version="1.0" encoding="UTF-8" ?&gt;
&lt;results&gt;
&lt;query&gt;千葉県船橋市前原西&lt;/query&gt;
&lt;geodetic&gt;wgs1984&lt;/geodetic&gt;
&lt;iConf&gt;5&lt;/iConf&gt;
&lt;converted&gt;千葉県船橋市前原西&lt;/converted&gt;
&lt;candidate&gt;
&lt;address&gt;千葉県/船橋市/前原西&lt;/address&gt;
&lt;longitude&gt;140.012375&lt;/longitude&gt;
&lt;latitude&gt;35.695351&lt;/latitude&gt;
&lt;iLvl&gt;5&lt;/iLvl&gt;
&lt;/candidate&gt;
&lt;/results&gt;
</v>
      </c>
      <c r="F1137" cm="1">
        <f t="array" ref="F1137">INDEX(_xlfn.FILTERXML(E1137,"//latitude"),1)</f>
        <v>35.695351000000002</v>
      </c>
      <c r="G1137" cm="1">
        <f t="array" ref="G1137">INDEX(_xlfn.FILTERXML(E1137,"//longitude"),1)</f>
        <v>140.01237499999999</v>
      </c>
      <c r="H1137">
        <v>35.695351000000002</v>
      </c>
      <c r="I1137">
        <v>140.01237499999999</v>
      </c>
    </row>
    <row r="1138" spans="1:9" x14ac:dyDescent="0.4">
      <c r="A1138" t="s">
        <v>13</v>
      </c>
      <c r="B1138" t="s">
        <v>49</v>
      </c>
      <c r="C1138" t="str">
        <f t="shared" si="69"/>
        <v>埼玉県新座市</v>
      </c>
      <c r="D1138" s="2" t="str">
        <f t="shared" si="70"/>
        <v>http://geocode.csis.u-tokyo.ac.jp/cgi-bin/simple_geocode.cgi?charset=UTF8&amp;addr=%E5%9F%BC%E7%8E%89%E7%9C%8C%E6%96%B0%E5%BA%A7%E5%B8%82</v>
      </c>
      <c r="E1138" t="str">
        <f t="shared" si="71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1138" cm="1">
        <f t="array" ref="F1138">INDEX(_xlfn.FILTERXML(E1138,"//latitude"),1)</f>
        <v>35.793495</v>
      </c>
      <c r="G1138" cm="1">
        <f t="array" ref="G1138">INDEX(_xlfn.FILTERXML(E1138,"//longitude"),1)</f>
        <v>139.56532300000001</v>
      </c>
      <c r="H1138">
        <v>35.793495</v>
      </c>
      <c r="I1138">
        <v>139.56532300000001</v>
      </c>
    </row>
    <row r="1139" spans="1:9" x14ac:dyDescent="0.4">
      <c r="A1139" t="s">
        <v>17</v>
      </c>
      <c r="B1139" t="s">
        <v>488</v>
      </c>
      <c r="C1139" t="str">
        <f t="shared" si="69"/>
        <v>愛知県名古屋市熱田区一番2丁目</v>
      </c>
      <c r="D1139" s="2" t="str">
        <f t="shared" si="70"/>
        <v>http://geocode.csis.u-tokyo.ac.jp/cgi-bin/simple_geocode.cgi?charset=UTF8&amp;addr=%E6%84%9B%E7%9F%A5%E7%9C%8C%E5%90%8D%E5%8F%A4%E5%B1%8B%E5%B8%82%E7%86%B1%E7%94%B0%E5%8C%BA%E4%B8%80%E7%95%AA2%E4%B8%81%E7%9B%AE</v>
      </c>
      <c r="E1139" t="str">
        <f t="shared" si="71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1139" cm="1">
        <f t="array" ref="F1139">INDEX(_xlfn.FILTERXML(E1139,"//latitude"),1)</f>
        <v>35.122086000000003</v>
      </c>
      <c r="G1139" cm="1">
        <f t="array" ref="G1139">INDEX(_xlfn.FILTERXML(E1139,"//longitude"),1)</f>
        <v>136.89750699999999</v>
      </c>
      <c r="H1139">
        <v>35.122086000000003</v>
      </c>
      <c r="I1139">
        <v>136.89750699999999</v>
      </c>
    </row>
    <row r="1140" spans="1:9" x14ac:dyDescent="0.4">
      <c r="A1140" t="s">
        <v>11</v>
      </c>
      <c r="B1140" t="s">
        <v>263</v>
      </c>
      <c r="C1140" t="str">
        <f t="shared" si="69"/>
        <v>大阪府大阪市福島区福島</v>
      </c>
      <c r="D1140" s="2" t="str">
        <f t="shared" si="70"/>
        <v>http://geocode.csis.u-tokyo.ac.jp/cgi-bin/simple_geocode.cgi?charset=UTF8&amp;addr=%E5%A4%A7%E9%98%AA%E5%BA%9C%E5%A4%A7%E9%98%AA%E5%B8%82%E7%A6%8F%E5%B3%B6%E5%8C%BA%E7%A6%8F%E5%B3%B6</v>
      </c>
      <c r="E1140" t="str">
        <f t="shared" si="71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140" cm="1">
        <f t="array" ref="F1140">INDEX(_xlfn.FILTERXML(E1140,"//latitude"),1)</f>
        <v>34.694656000000002</v>
      </c>
      <c r="G1140" cm="1">
        <f t="array" ref="G1140">INDEX(_xlfn.FILTERXML(E1140,"//longitude"),1)</f>
        <v>135.48904400000001</v>
      </c>
      <c r="H1140">
        <v>34.694656000000002</v>
      </c>
      <c r="I1140">
        <v>135.48904400000001</v>
      </c>
    </row>
    <row r="1141" spans="1:9" x14ac:dyDescent="0.4">
      <c r="A1141" t="s">
        <v>118</v>
      </c>
      <c r="B1141" t="s">
        <v>489</v>
      </c>
      <c r="C1141" t="str">
        <f t="shared" si="69"/>
        <v>北海道札幌市白石区</v>
      </c>
      <c r="D1141" s="2" t="str">
        <f t="shared" si="70"/>
        <v>http://geocode.csis.u-tokyo.ac.jp/cgi-bin/simple_geocode.cgi?charset=UTF8&amp;addr=%E5%8C%97%E6%B5%B7%E9%81%93%E6%9C%AD%E5%B9%8C%E5%B8%82%E7%99%BD%E7%9F%B3%E5%8C%BA</v>
      </c>
      <c r="E1141" t="str">
        <f t="shared" si="71"/>
        <v xml:space="preserve">&lt;?xml version="1.0" encoding="UTF-8" ?&gt;
&lt;results&gt;
&lt;query&gt;北海道札幌市白石区&lt;/query&gt;
&lt;geodetic&gt;wgs1984&lt;/geodetic&gt;
&lt;iConf&gt;5&lt;/iConf&gt;
&lt;converted&gt;北海道札幌市白石区&lt;/converted&gt;
&lt;candidate&gt;
&lt;address&gt;北海道/札幌市/白石区&lt;/address&gt;
&lt;longitude&gt;141.405136&lt;/longitude&gt;
&lt;latitude&gt;43.047512&lt;/latitude&gt;
&lt;iLvl&gt;4&lt;/iLvl&gt;
&lt;/candidate&gt;
&lt;/results&gt;
</v>
      </c>
      <c r="F1141" cm="1">
        <f t="array" ref="F1141">INDEX(_xlfn.FILTERXML(E1141,"//latitude"),1)</f>
        <v>43.047511999999998</v>
      </c>
      <c r="G1141" cm="1">
        <f t="array" ref="G1141">INDEX(_xlfn.FILTERXML(E1141,"//longitude"),1)</f>
        <v>141.405136</v>
      </c>
      <c r="H1141">
        <v>43.047511999999998</v>
      </c>
      <c r="I1141">
        <v>141.405136</v>
      </c>
    </row>
    <row r="1142" spans="1:9" x14ac:dyDescent="0.4">
      <c r="A1142" t="s">
        <v>9</v>
      </c>
      <c r="B1142" t="s">
        <v>162</v>
      </c>
      <c r="C1142" t="str">
        <f t="shared" si="69"/>
        <v>東京都文京区本駒込</v>
      </c>
      <c r="D1142" s="2" t="str">
        <f t="shared" si="70"/>
        <v>http://geocode.csis.u-tokyo.ac.jp/cgi-bin/simple_geocode.cgi?charset=UTF8&amp;addr=%E6%9D%B1%E4%BA%AC%E9%83%BD%E6%96%87%E4%BA%AC%E5%8C%BA%E6%9C%AC%E9%A7%92%E8%BE%BC</v>
      </c>
      <c r="E1142" t="str">
        <f t="shared" si="71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142" cm="1">
        <f t="array" ref="F1142">INDEX(_xlfn.FILTERXML(E1142,"//latitude"),1)</f>
        <v>35.725501999999999</v>
      </c>
      <c r="G1142" cm="1">
        <f t="array" ref="G1142">INDEX(_xlfn.FILTERXML(E1142,"//longitude"),1)</f>
        <v>139.75147999999999</v>
      </c>
      <c r="H1142">
        <v>35.725501999999999</v>
      </c>
      <c r="I1142">
        <v>139.75147999999999</v>
      </c>
    </row>
    <row r="1143" spans="1:9" x14ac:dyDescent="0.4">
      <c r="A1143" t="s">
        <v>9</v>
      </c>
      <c r="B1143" t="s">
        <v>490</v>
      </c>
      <c r="C1143" t="str">
        <f t="shared" si="69"/>
        <v>東京都世田谷区深沢</v>
      </c>
      <c r="D1143" s="2" t="str">
        <f t="shared" si="70"/>
        <v>http://geocode.csis.u-tokyo.ac.jp/cgi-bin/simple_geocode.cgi?charset=UTF8&amp;addr=%E6%9D%B1%E4%BA%AC%E9%83%BD%E4%B8%96%E7%94%B0%E8%B0%B7%E5%8C%BA%E6%B7%B1%E6%B2%A2</v>
      </c>
      <c r="E1143" t="str">
        <f t="shared" si="71"/>
        <v xml:space="preserve">&lt;?xml version="1.0" encoding="UTF-8" ?&gt;
&lt;results&gt;
&lt;query&gt;東京都世田谷区深沢&lt;/query&gt;
&lt;geodetic&gt;wgs1984&lt;/geodetic&gt;
&lt;iConf&gt;5&lt;/iConf&gt;
&lt;converted&gt;東京都世田谷区深沢&lt;/converted&gt;
&lt;candidate&gt;
&lt;address&gt;東京都/世田谷区/深沢&lt;/address&gt;
&lt;longitude&gt;139.662445&lt;/longitude&gt;
&lt;latitude&gt;35.616959&lt;/latitude&gt;
&lt;iLvl&gt;5&lt;/iLvl&gt;
&lt;/candidate&gt;
&lt;/results&gt;
</v>
      </c>
      <c r="F1143" cm="1">
        <f t="array" ref="F1143">INDEX(_xlfn.FILTERXML(E1143,"//latitude"),1)</f>
        <v>35.616959000000001</v>
      </c>
      <c r="G1143" cm="1">
        <f t="array" ref="G1143">INDEX(_xlfn.FILTERXML(E1143,"//longitude"),1)</f>
        <v>139.66244499999999</v>
      </c>
      <c r="H1143">
        <v>35.616959000000001</v>
      </c>
      <c r="I1143">
        <v>139.66244499999999</v>
      </c>
    </row>
    <row r="1144" spans="1:9" x14ac:dyDescent="0.4">
      <c r="A1144" t="s">
        <v>20</v>
      </c>
      <c r="B1144" t="s">
        <v>120</v>
      </c>
      <c r="C1144" t="str">
        <f t="shared" si="69"/>
        <v>茨城県つくば市</v>
      </c>
      <c r="D1144" s="2" t="str">
        <f t="shared" si="70"/>
        <v>http://geocode.csis.u-tokyo.ac.jp/cgi-bin/simple_geocode.cgi?charset=UTF8&amp;addr=%E8%8C%A8%E5%9F%8E%E7%9C%8C%E3%81%A4%E3%81%8F%E3%81%B0%E5%B8%82</v>
      </c>
      <c r="E1144" t="str">
        <f t="shared" si="71"/>
        <v xml:space="preserve">&lt;?xml version="1.0" encoding="UTF-8" ?&gt;
&lt;results&gt;
&lt;query&gt;茨城県つくば市&lt;/query&gt;
&lt;geodetic&gt;wgs1984&lt;/geodetic&gt;
&lt;iConf&gt;5&lt;/iConf&gt;
&lt;converted&gt;茨城県つくば市&lt;/converted&gt;
&lt;candidate&gt;
&lt;address&gt;茨城県/つくば市&lt;/address&gt;
&lt;longitude&gt;140.076477&lt;/longitude&gt;
&lt;latitude&gt;36.083561&lt;/latitude&gt;
&lt;iLvl&gt;3&lt;/iLvl&gt;
&lt;/candidate&gt;
&lt;/results&gt;
</v>
      </c>
      <c r="F1144" cm="1">
        <f t="array" ref="F1144">INDEX(_xlfn.FILTERXML(E1144,"//latitude"),1)</f>
        <v>36.083561000000003</v>
      </c>
      <c r="G1144" cm="1">
        <f t="array" ref="G1144">INDEX(_xlfn.FILTERXML(E1144,"//longitude"),1)</f>
        <v>140.07647700000001</v>
      </c>
      <c r="H1144">
        <v>36.083561000000003</v>
      </c>
      <c r="I1144">
        <v>140.07647700000001</v>
      </c>
    </row>
    <row r="1145" spans="1:9" x14ac:dyDescent="0.4">
      <c r="A1145" t="s">
        <v>13</v>
      </c>
      <c r="B1145" t="s">
        <v>224</v>
      </c>
      <c r="C1145" t="str">
        <f t="shared" si="69"/>
        <v>埼玉県北葛飾郡松伏町魚沼</v>
      </c>
      <c r="D1145" s="2" t="str">
        <f t="shared" si="70"/>
        <v>http://geocode.csis.u-tokyo.ac.jp/cgi-bin/simple_geocode.cgi?charset=UTF8&amp;addr=%E5%9F%BC%E7%8E%89%E7%9C%8C%E5%8C%97%E8%91%9B%E9%A3%BE%E9%83%A1%E6%9D%BE%E4%BC%8F%E7%94%BA%E9%AD%9A%E6%B2%BC</v>
      </c>
      <c r="E1145" t="str">
        <f t="shared" si="71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1145" cm="1">
        <f t="array" ref="F1145">INDEX(_xlfn.FILTERXML(E1145,"//latitude"),1)</f>
        <v>35.958393000000001</v>
      </c>
      <c r="G1145" cm="1">
        <f t="array" ref="G1145">INDEX(_xlfn.FILTERXML(E1145,"//longitude"),1)</f>
        <v>139.82037399999999</v>
      </c>
      <c r="H1145">
        <v>35.958393000000001</v>
      </c>
      <c r="I1145">
        <v>139.82037399999999</v>
      </c>
    </row>
    <row r="1146" spans="1:9" x14ac:dyDescent="0.4">
      <c r="A1146" t="s">
        <v>17</v>
      </c>
      <c r="B1146" t="s">
        <v>491</v>
      </c>
      <c r="C1146" t="str">
        <f t="shared" si="69"/>
        <v>愛知県名古屋市南区駈上</v>
      </c>
      <c r="D1146" s="2" t="str">
        <f t="shared" si="70"/>
        <v>http://geocode.csis.u-tokyo.ac.jp/cgi-bin/simple_geocode.cgi?charset=UTF8&amp;addr=%E6%84%9B%E7%9F%A5%E7%9C%8C%E5%90%8D%E5%8F%A4%E5%B1%8B%E5%B8%82%E5%8D%97%E5%8C%BA%E9%A7%88%E4%B8%8A</v>
      </c>
      <c r="E1146" t="str">
        <f t="shared" si="71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1146" cm="1">
        <f t="array" ref="F1146">INDEX(_xlfn.FILTERXML(E1146,"//latitude"),1)</f>
        <v>35.115189000000001</v>
      </c>
      <c r="G1146" cm="1">
        <f t="array" ref="G1146">INDEX(_xlfn.FILTERXML(E1146,"//longitude"),1)</f>
        <v>136.938705</v>
      </c>
      <c r="H1146">
        <v>35.115189000000001</v>
      </c>
      <c r="I1146">
        <v>136.938705</v>
      </c>
    </row>
    <row r="1147" spans="1:9" x14ac:dyDescent="0.4">
      <c r="A1147" t="s">
        <v>10</v>
      </c>
      <c r="B1147" t="s">
        <v>55</v>
      </c>
      <c r="C1147" t="str">
        <f t="shared" si="69"/>
        <v>神奈川県横須賀市佐島の丘1丁目</v>
      </c>
      <c r="D1147" s="2" t="str">
        <f t="shared" si="70"/>
        <v>http://geocode.csis.u-tokyo.ac.jp/cgi-bin/simple_geocode.cgi?charset=UTF8&amp;addr=%E7%A5%9E%E5%A5%88%E5%B7%9D%E7%9C%8C%E6%A8%AA%E9%A0%88%E8%B3%80%E5%B8%82%E4%BD%90%E5%B3%B6%E3%81%AE%E4%B8%981%E4%B8%81%E7%9B%AE</v>
      </c>
      <c r="E1147" t="str">
        <f t="shared" si="71"/>
        <v xml:space="preserve">&lt;?xml version="1.0" encoding="UTF-8" ?&gt;
&lt;results&gt;
&lt;query&gt;神奈川県横須賀市佐島の丘1丁目&lt;/query&gt;
&lt;geodetic&gt;wgs1984&lt;/geodetic&gt;
&lt;iConf&gt;5&lt;/iConf&gt;
&lt;converted&gt;神奈川県横須賀市佐島の丘1丁目&lt;/converted&gt;
&lt;candidate&gt;
&lt;address&gt;神奈川県/横須賀市/佐島の丘/一丁目&lt;/address&gt;
&lt;longitude&gt;139.616150&lt;/longitude&gt;
&lt;latitude&gt;35.227837&lt;/latitude&gt;
&lt;iLvl&gt;6&lt;/iLvl&gt;
&lt;/candidate&gt;
&lt;/results&gt;
</v>
      </c>
      <c r="F1147" cm="1">
        <f t="array" ref="F1147">INDEX(_xlfn.FILTERXML(E1147,"//latitude"),1)</f>
        <v>35.227837000000001</v>
      </c>
      <c r="G1147" cm="1">
        <f t="array" ref="G1147">INDEX(_xlfn.FILTERXML(E1147,"//longitude"),1)</f>
        <v>139.61615</v>
      </c>
      <c r="H1147">
        <v>35.227837000000001</v>
      </c>
      <c r="I1147">
        <v>139.61615</v>
      </c>
    </row>
    <row r="1148" spans="1:9" x14ac:dyDescent="0.4">
      <c r="A1148" t="s">
        <v>11</v>
      </c>
      <c r="B1148" t="s">
        <v>492</v>
      </c>
      <c r="C1148" t="str">
        <f t="shared" si="69"/>
        <v>大阪府吹田市竹見台</v>
      </c>
      <c r="D1148" s="2" t="str">
        <f t="shared" si="70"/>
        <v>http://geocode.csis.u-tokyo.ac.jp/cgi-bin/simple_geocode.cgi?charset=UTF8&amp;addr=%E5%A4%A7%E9%98%AA%E5%BA%9C%E5%90%B9%E7%94%B0%E5%B8%82%E7%AB%B9%E8%A6%8B%E5%8F%B0</v>
      </c>
      <c r="E1148" t="str">
        <f t="shared" si="71"/>
        <v xml:space="preserve">&lt;?xml version="1.0" encoding="UTF-8" ?&gt;
&lt;results&gt;
&lt;query&gt;大阪府吹田市竹見台&lt;/query&gt;
&lt;geodetic&gt;wgs1984&lt;/geodetic&gt;
&lt;iConf&gt;5&lt;/iConf&gt;
&lt;converted&gt;大阪府吹田市竹見台&lt;/converted&gt;
&lt;candidate&gt;
&lt;address&gt;大阪府/吹田市/竹見台&lt;/address&gt;
&lt;longitude&gt;135.505310&lt;/longitude&gt;
&lt;latitude&gt;34.795223&lt;/latitude&gt;
&lt;iLvl&gt;5&lt;/iLvl&gt;
&lt;/candidate&gt;
&lt;/results&gt;
</v>
      </c>
      <c r="F1148" cm="1">
        <f t="array" ref="F1148">INDEX(_xlfn.FILTERXML(E1148,"//latitude"),1)</f>
        <v>34.795223</v>
      </c>
      <c r="G1148" cm="1">
        <f t="array" ref="G1148">INDEX(_xlfn.FILTERXML(E1148,"//longitude"),1)</f>
        <v>135.50531000000001</v>
      </c>
      <c r="H1148">
        <v>34.795223</v>
      </c>
      <c r="I1148">
        <v>135.50531000000001</v>
      </c>
    </row>
    <row r="1149" spans="1:9" x14ac:dyDescent="0.4">
      <c r="A1149" t="s">
        <v>13</v>
      </c>
      <c r="B1149" t="s">
        <v>493</v>
      </c>
      <c r="C1149" t="str">
        <f t="shared" si="69"/>
        <v>埼玉県さいたま市浦和区東仲町</v>
      </c>
      <c r="D1149" s="2" t="str">
        <f t="shared" si="70"/>
        <v>http://geocode.csis.u-tokyo.ac.jp/cgi-bin/simple_geocode.cgi?charset=UTF8&amp;addr=%E5%9F%BC%E7%8E%89%E7%9C%8C%E3%81%95%E3%81%84%E3%81%9F%E3%81%BE%E5%B8%82%E6%B5%A6%E5%92%8C%E5%8C%BA%E6%9D%B1%E4%BB%B2%E7%94%BA</v>
      </c>
      <c r="E1149" t="str">
        <f t="shared" si="71"/>
        <v xml:space="preserve">&lt;?xml version="1.0" encoding="UTF-8" ?&gt;
&lt;results&gt;
&lt;query&gt;埼玉県さいたま市浦和区東仲町&lt;/query&gt;
&lt;geodetic&gt;wgs1984&lt;/geodetic&gt;
&lt;iConf&gt;5&lt;/iConf&gt;
&lt;converted&gt;埼玉県さいたま市浦和区東仲町&lt;/converted&gt;
&lt;candidate&gt;
&lt;address&gt;埼玉県/さいたま市/浦和区/東仲町&lt;/address&gt;
&lt;longitude&gt;139.658417&lt;/longitude&gt;
&lt;latitude&gt;35.860867&lt;/latitude&gt;
&lt;iLvl&gt;5&lt;/iLvl&gt;
&lt;/candidate&gt;
&lt;/results&gt;
</v>
      </c>
      <c r="F1149" cm="1">
        <f t="array" ref="F1149">INDEX(_xlfn.FILTERXML(E1149,"//latitude"),1)</f>
        <v>35.860866999999999</v>
      </c>
      <c r="G1149" cm="1">
        <f t="array" ref="G1149">INDEX(_xlfn.FILTERXML(E1149,"//longitude"),1)</f>
        <v>139.65841699999999</v>
      </c>
      <c r="H1149">
        <v>35.860866999999999</v>
      </c>
      <c r="I1149">
        <v>139.65841699999999</v>
      </c>
    </row>
    <row r="1150" spans="1:9" x14ac:dyDescent="0.4">
      <c r="A1150" t="s">
        <v>9</v>
      </c>
      <c r="B1150" t="s">
        <v>232</v>
      </c>
      <c r="C1150" t="str">
        <f t="shared" si="69"/>
        <v>東京都町田市西成瀬</v>
      </c>
      <c r="D1150" s="2" t="str">
        <f t="shared" si="70"/>
        <v>http://geocode.csis.u-tokyo.ac.jp/cgi-bin/simple_geocode.cgi?charset=UTF8&amp;addr=%E6%9D%B1%E4%BA%AC%E9%83%BD%E7%94%BA%E7%94%B0%E5%B8%82%E8%A5%BF%E6%88%90%E7%80%AC</v>
      </c>
      <c r="E1150" t="str">
        <f t="shared" si="71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1150" cm="1">
        <f t="array" ref="F1150">INDEX(_xlfn.FILTERXML(E1150,"//latitude"),1)</f>
        <v>35.545386999999998</v>
      </c>
      <c r="G1150" cm="1">
        <f t="array" ref="G1150">INDEX(_xlfn.FILTERXML(E1150,"//longitude"),1)</f>
        <v>139.46717799999999</v>
      </c>
      <c r="H1150">
        <v>35.545386999999998</v>
      </c>
      <c r="I1150">
        <v>139.46717799999999</v>
      </c>
    </row>
    <row r="1151" spans="1:9" x14ac:dyDescent="0.4">
      <c r="A1151" t="s">
        <v>9</v>
      </c>
      <c r="B1151" t="s">
        <v>494</v>
      </c>
      <c r="C1151" t="str">
        <f t="shared" si="69"/>
        <v>東京都大田区3丁目</v>
      </c>
      <c r="D1151" s="2" t="str">
        <f t="shared" si="70"/>
        <v>http://geocode.csis.u-tokyo.ac.jp/cgi-bin/simple_geocode.cgi?charset=UTF8&amp;addr=%E6%9D%B1%E4%BA%AC%E9%83%BD%E5%A4%A7%E7%94%B0%E5%8C%BA3%E4%B8%81%E7%9B%AE</v>
      </c>
      <c r="E1151" t="str">
        <f t="shared" si="71"/>
        <v xml:space="preserve">&lt;?xml version="1.0" encoding="UTF-8" ?&gt;
&lt;results&gt;
&lt;query&gt;東京都大田区3丁目&lt;/query&gt;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1151" cm="1">
        <f t="array" ref="F1151">INDEX(_xlfn.FILTERXML(E1151,"//latitude"),1)</f>
        <v>35.561259999999997</v>
      </c>
      <c r="G1151" cm="1">
        <f t="array" ref="G1151">INDEX(_xlfn.FILTERXML(E1151,"//longitude"),1)</f>
        <v>139.71598800000001</v>
      </c>
      <c r="H1151">
        <v>35.561259999999997</v>
      </c>
      <c r="I1151">
        <v>139.71598800000001</v>
      </c>
    </row>
    <row r="1152" spans="1:9" x14ac:dyDescent="0.4">
      <c r="A1152" t="s">
        <v>18</v>
      </c>
      <c r="B1152" t="s">
        <v>73</v>
      </c>
      <c r="C1152" t="str">
        <f t="shared" si="69"/>
        <v>千葉県柏市</v>
      </c>
      <c r="D1152" s="2" t="str">
        <f t="shared" si="70"/>
        <v>http://geocode.csis.u-tokyo.ac.jp/cgi-bin/simple_geocode.cgi?charset=UTF8&amp;addr=%E5%8D%83%E8%91%89%E7%9C%8C%E6%9F%8F%E5%B8%82</v>
      </c>
      <c r="E1152" t="str">
        <f t="shared" si="71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152" cm="1">
        <f t="array" ref="F1152">INDEX(_xlfn.FILTERXML(E1152,"//latitude"),1)</f>
        <v>35.868293999999999</v>
      </c>
      <c r="G1152" cm="1">
        <f t="array" ref="G1152">INDEX(_xlfn.FILTERXML(E1152,"//longitude"),1)</f>
        <v>139.97619599999999</v>
      </c>
      <c r="H1152">
        <v>35.868293999999999</v>
      </c>
      <c r="I1152">
        <v>139.97619599999999</v>
      </c>
    </row>
    <row r="1153" spans="1:9" x14ac:dyDescent="0.4">
      <c r="A1153" t="s">
        <v>18</v>
      </c>
      <c r="B1153" t="s">
        <v>73</v>
      </c>
      <c r="C1153" t="str">
        <f t="shared" si="69"/>
        <v>千葉県柏市</v>
      </c>
      <c r="D1153" s="2" t="str">
        <f t="shared" si="70"/>
        <v>http://geocode.csis.u-tokyo.ac.jp/cgi-bin/simple_geocode.cgi?charset=UTF8&amp;addr=%E5%8D%83%E8%91%89%E7%9C%8C%E6%9F%8F%E5%B8%82</v>
      </c>
      <c r="E1153" t="str">
        <f t="shared" si="71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153" cm="1">
        <f t="array" ref="F1153">INDEX(_xlfn.FILTERXML(E1153,"//latitude"),1)</f>
        <v>35.868293999999999</v>
      </c>
      <c r="G1153" cm="1">
        <f t="array" ref="G1153">INDEX(_xlfn.FILTERXML(E1153,"//longitude"),1)</f>
        <v>139.97619599999999</v>
      </c>
      <c r="H1153">
        <v>35.868293999999999</v>
      </c>
      <c r="I1153">
        <v>139.97619599999999</v>
      </c>
    </row>
    <row r="1154" spans="1:9" x14ac:dyDescent="0.4">
      <c r="A1154" t="s">
        <v>9</v>
      </c>
      <c r="B1154" t="s">
        <v>495</v>
      </c>
      <c r="C1154" t="str">
        <f t="shared" si="69"/>
        <v>東京都Shibuyaku</v>
      </c>
      <c r="D1154" s="2" t="str">
        <f t="shared" si="70"/>
        <v>http://geocode.csis.u-tokyo.ac.jp/cgi-bin/simple_geocode.cgi?charset=UTF8&amp;addr=%E6%9D%B1%E4%BA%AC%E9%83%BDShibuyaku</v>
      </c>
      <c r="E1154" t="str">
        <f t="shared" si="71"/>
        <v xml:space="preserve">&lt;?xml version="1.0" encoding="UTF-8" ?&gt;
&lt;results&gt;
&lt;query&gt;東京都Shibuyaku&lt;/query&gt;
&lt;geodetic&gt;wgs1984&lt;/geodetic&gt;
&lt;iConf&gt;3&lt;/iConf&gt;
&lt;converted&gt;東京都&lt;/converted&gt;
&lt;candidate&gt;
&lt;address&gt;東京都&lt;/address&gt;
&lt;longitude&gt;139.753632&lt;/longitude&gt;
&lt;latitude&gt;35.694004&lt;/latitude&gt;
&lt;iLvl&gt;1&lt;/iLvl&gt;
&lt;/candidate&gt;
&lt;/results&gt;
</v>
      </c>
      <c r="F1154" cm="1">
        <f t="array" ref="F1154">INDEX(_xlfn.FILTERXML(E1154,"//latitude"),1)</f>
        <v>35.694004</v>
      </c>
      <c r="G1154" cm="1">
        <f t="array" ref="G1154">INDEX(_xlfn.FILTERXML(E1154,"//longitude"),1)</f>
        <v>139.75363200000001</v>
      </c>
      <c r="H1154">
        <v>35.694004</v>
      </c>
      <c r="I1154">
        <v>139.75363200000001</v>
      </c>
    </row>
    <row r="1155" spans="1:9" x14ac:dyDescent="0.4">
      <c r="A1155" t="s">
        <v>20</v>
      </c>
      <c r="B1155" t="s">
        <v>496</v>
      </c>
      <c r="C1155" t="str">
        <f t="shared" si="69"/>
        <v>茨城県桜川市</v>
      </c>
      <c r="D1155" s="2" t="str">
        <f t="shared" si="70"/>
        <v>http://geocode.csis.u-tokyo.ac.jp/cgi-bin/simple_geocode.cgi?charset=UTF8&amp;addr=%E8%8C%A8%E5%9F%8E%E7%9C%8C%E6%A1%9C%E5%B7%9D%E5%B8%82</v>
      </c>
      <c r="E1155" t="str">
        <f t="shared" si="71"/>
        <v xml:space="preserve">&lt;?xml version="1.0" encoding="UTF-8" ?&gt;
&lt;results&gt;
&lt;query&gt;茨城県桜川市&lt;/query&gt;
&lt;geodetic&gt;wgs1984&lt;/geodetic&gt;
&lt;iConf&gt;5&lt;/iConf&gt;
&lt;converted&gt;茨城県桜川市&lt;/converted&gt;
&lt;candidate&gt;
&lt;address&gt;茨城県/桜川市&lt;/address&gt;
&lt;longitude&gt;140.090485&lt;/longitude&gt;
&lt;latitude&gt;36.327274&lt;/latitude&gt;
&lt;iLvl&gt;3&lt;/iLvl&gt;
&lt;/candidate&gt;
&lt;/results&gt;
</v>
      </c>
      <c r="F1155" cm="1">
        <f t="array" ref="F1155">INDEX(_xlfn.FILTERXML(E1155,"//latitude"),1)</f>
        <v>36.327274000000003</v>
      </c>
      <c r="G1155" cm="1">
        <f t="array" ref="G1155">INDEX(_xlfn.FILTERXML(E1155,"//longitude"),1)</f>
        <v>140.090485</v>
      </c>
      <c r="H1155">
        <v>36.327274000000003</v>
      </c>
      <c r="I1155">
        <v>140.090485</v>
      </c>
    </row>
    <row r="1156" spans="1:9" x14ac:dyDescent="0.4">
      <c r="A1156" t="s">
        <v>11</v>
      </c>
      <c r="B1156" t="s">
        <v>61</v>
      </c>
      <c r="C1156" t="str">
        <f t="shared" si="69"/>
        <v>大阪府泉大津市豊中町</v>
      </c>
      <c r="D1156" s="2" t="str">
        <f t="shared" si="70"/>
        <v>http://geocode.csis.u-tokyo.ac.jp/cgi-bin/simple_geocode.cgi?charset=UTF8&amp;addr=%E5%A4%A7%E9%98%AA%E5%BA%9C%E6%B3%89%E5%A4%A7%E6%B4%A5%E5%B8%82%E8%B1%8A%E4%B8%AD%E7%94%BA</v>
      </c>
      <c r="E1156" t="str">
        <f t="shared" si="71"/>
        <v xml:space="preserve">&lt;?xml version="1.0" encoding="UTF-8" ?&gt;
&lt;results&gt;
&lt;query&gt;大阪府泉大津市豊中町&lt;/query&gt;
&lt;geodetic&gt;wgs1984&lt;/geodetic&gt;
&lt;iConf&gt;5&lt;/iConf&gt;
&lt;converted&gt;大阪府泉大津市豊中町&lt;/converted&gt;
&lt;candidate&gt;
&lt;address&gt;大阪府/泉大津市/豊中町&lt;/address&gt;
&lt;longitude&gt;135.420166&lt;/longitude&gt;
&lt;latitude&gt;34.495850&lt;/latitude&gt;
&lt;iLvl&gt;5&lt;/iLvl&gt;
&lt;/candidate&gt;
&lt;/results&gt;
</v>
      </c>
      <c r="F1156" cm="1">
        <f t="array" ref="F1156">INDEX(_xlfn.FILTERXML(E1156,"//latitude"),1)</f>
        <v>34.495849999999997</v>
      </c>
      <c r="G1156" cm="1">
        <f t="array" ref="G1156">INDEX(_xlfn.FILTERXML(E1156,"//longitude"),1)</f>
        <v>135.42016599999999</v>
      </c>
      <c r="H1156">
        <v>34.495849999999997</v>
      </c>
      <c r="I1156">
        <v>135.42016599999999</v>
      </c>
    </row>
    <row r="1157" spans="1:9" x14ac:dyDescent="0.4">
      <c r="A1157" t="s">
        <v>9</v>
      </c>
      <c r="B1157" t="s">
        <v>253</v>
      </c>
      <c r="C1157" t="str">
        <f t="shared" si="69"/>
        <v>東京都清瀬市</v>
      </c>
      <c r="D1157" s="2" t="str">
        <f t="shared" si="70"/>
        <v>http://geocode.csis.u-tokyo.ac.jp/cgi-bin/simple_geocode.cgi?charset=UTF8&amp;addr=%E6%9D%B1%E4%BA%AC%E9%83%BD%E6%B8%85%E7%80%AC%E5%B8%82</v>
      </c>
      <c r="E1157" t="str">
        <f t="shared" si="71"/>
        <v xml:space="preserve">&lt;?xml version="1.0" encoding="UTF-8" ?&gt;
&lt;results&gt;
&lt;query&gt;東京都清瀬市&lt;/query&gt;
&lt;geodetic&gt;wgs1984&lt;/geodetic&gt;
&lt;iConf&gt;5&lt;/iConf&gt;
&lt;converted&gt;東京都清瀬市&lt;/converted&gt;
&lt;candidate&gt;
&lt;address&gt;東京都/清瀬市&lt;/address&gt;
&lt;longitude&gt;139.526428&lt;/longitude&gt;
&lt;latitude&gt;35.785763&lt;/latitude&gt;
&lt;iLvl&gt;3&lt;/iLvl&gt;
&lt;/candidate&gt;
&lt;/results&gt;
</v>
      </c>
      <c r="F1157" cm="1">
        <f t="array" ref="F1157">INDEX(_xlfn.FILTERXML(E1157,"//latitude"),1)</f>
        <v>35.785763000000003</v>
      </c>
      <c r="G1157" cm="1">
        <f t="array" ref="G1157">INDEX(_xlfn.FILTERXML(E1157,"//longitude"),1)</f>
        <v>139.52642800000001</v>
      </c>
      <c r="H1157">
        <v>35.785763000000003</v>
      </c>
      <c r="I1157">
        <v>139.52642800000001</v>
      </c>
    </row>
    <row r="1158" spans="1:9" x14ac:dyDescent="0.4">
      <c r="A1158" t="s">
        <v>11</v>
      </c>
      <c r="B1158" t="s">
        <v>321</v>
      </c>
      <c r="C1158" t="str">
        <f t="shared" si="69"/>
        <v>大阪府大阪市北区鶴野町</v>
      </c>
      <c r="D1158" s="2" t="str">
        <f t="shared" si="70"/>
        <v>http://geocode.csis.u-tokyo.ac.jp/cgi-bin/simple_geocode.cgi?charset=UTF8&amp;addr=%E5%A4%A7%E9%98%AA%E5%BA%9C%E5%A4%A7%E9%98%AA%E5%B8%82%E5%8C%97%E5%8C%BA%E9%B6%B4%E9%87%8E%E7%94%BA</v>
      </c>
      <c r="E1158" t="str">
        <f t="shared" si="71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1158" cm="1">
        <f t="array" ref="F1158">INDEX(_xlfn.FILTERXML(E1158,"//latitude"),1)</f>
        <v>34.707633999999999</v>
      </c>
      <c r="G1158" cm="1">
        <f t="array" ref="G1158">INDEX(_xlfn.FILTERXML(E1158,"//longitude"),1)</f>
        <v>135.501114</v>
      </c>
      <c r="H1158">
        <v>34.707633999999999</v>
      </c>
      <c r="I1158">
        <v>135.501114</v>
      </c>
    </row>
    <row r="1159" spans="1:9" x14ac:dyDescent="0.4">
      <c r="A1159" t="s">
        <v>9</v>
      </c>
      <c r="B1159" t="s">
        <v>497</v>
      </c>
      <c r="C1159" t="str">
        <f t="shared" si="69"/>
        <v>東京都渋谷区渋谷</v>
      </c>
      <c r="D1159" s="2" t="str">
        <f t="shared" si="70"/>
        <v>http://geocode.csis.u-tokyo.ac.jp/cgi-bin/simple_geocode.cgi?charset=UTF8&amp;addr=%E6%9D%B1%E4%BA%AC%E9%83%BD%E6%B8%8B%E8%B0%B7%E5%8C%BA%E6%B8%8B%E8%B0%B7</v>
      </c>
      <c r="E1159" t="str">
        <f t="shared" si="71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1159" cm="1">
        <f t="array" ref="F1159">INDEX(_xlfn.FILTERXML(E1159,"//latitude"),1)</f>
        <v>35.661811999999998</v>
      </c>
      <c r="G1159" cm="1">
        <f t="array" ref="G1159">INDEX(_xlfn.FILTERXML(E1159,"//longitude"),1)</f>
        <v>139.704285</v>
      </c>
      <c r="H1159">
        <v>35.661811999999998</v>
      </c>
      <c r="I1159">
        <v>139.704285</v>
      </c>
    </row>
    <row r="1160" spans="1:9" x14ac:dyDescent="0.4">
      <c r="A1160" t="s">
        <v>10</v>
      </c>
      <c r="B1160" t="s">
        <v>498</v>
      </c>
      <c r="C1160" t="str">
        <f t="shared" si="69"/>
        <v>神奈川県横浜市鶴見区</v>
      </c>
      <c r="D1160" s="2" t="str">
        <f t="shared" si="70"/>
        <v>http://geocode.csis.u-tokyo.ac.jp/cgi-bin/simple_geocode.cgi?charset=UTF8&amp;addr=%E7%A5%9E%E5%A5%88%E5%B7%9D%E7%9C%8C%E6%A8%AA%E6%B5%9C%E5%B8%82%E9%B6%B4%E8%A6%8B%E5%8C%BA</v>
      </c>
      <c r="E1160" t="str">
        <f t="shared" si="71"/>
        <v xml:space="preserve">&lt;?xml version="1.0" encoding="UTF-8" ?&gt;
&lt;results&gt;
&lt;query&gt;神奈川県横浜市鶴見区&lt;/query&gt;
&lt;geodetic&gt;wgs1984&lt;/geodetic&gt;
&lt;iConf&gt;5&lt;/iConf&gt;
&lt;converted&gt;神奈川県横浜市鶴見区&lt;/converted&gt;
&lt;candidate&gt;
&lt;address&gt;神奈川県/横浜市/鶴見区&lt;/address&gt;
&lt;longitude&gt;139.682388&lt;/longitude&gt;
&lt;latitude&gt;35.508396&lt;/latitude&gt;
&lt;iLvl&gt;4&lt;/iLvl&gt;
&lt;/candidate&gt;
&lt;/results&gt;
</v>
      </c>
      <c r="F1160" cm="1">
        <f t="array" ref="F1160">INDEX(_xlfn.FILTERXML(E1160,"//latitude"),1)</f>
        <v>35.508395999999998</v>
      </c>
      <c r="G1160" cm="1">
        <f t="array" ref="G1160">INDEX(_xlfn.FILTERXML(E1160,"//longitude"),1)</f>
        <v>139.682388</v>
      </c>
      <c r="H1160">
        <v>35.508395999999998</v>
      </c>
      <c r="I1160">
        <v>139.682388</v>
      </c>
    </row>
    <row r="1161" spans="1:9" x14ac:dyDescent="0.4">
      <c r="A1161" t="s">
        <v>22</v>
      </c>
      <c r="B1161" t="s">
        <v>161</v>
      </c>
      <c r="C1161" t="str">
        <f t="shared" si="69"/>
        <v>群馬県太田市西矢島町</v>
      </c>
      <c r="D1161" s="2" t="str">
        <f t="shared" si="70"/>
        <v>http://geocode.csis.u-tokyo.ac.jp/cgi-bin/simple_geocode.cgi?charset=UTF8&amp;addr=%E7%BE%A4%E9%A6%AC%E7%9C%8C%E5%A4%AA%E7%94%B0%E5%B8%82%E8%A5%BF%E7%9F%A2%E5%B3%B6%E7%94%BA</v>
      </c>
      <c r="E1161" t="str">
        <f t="shared" si="71"/>
        <v xml:space="preserve">&lt;?xml version="1.0" encoding="UTF-8" ?&gt;
&lt;results&gt;
&lt;query&gt;群馬県太田市西矢島町&lt;/query&gt;
&lt;geodetic&gt;wgs1984&lt;/geodetic&gt;
&lt;iConf&gt;5&lt;/iConf&gt;
&lt;converted&gt;群馬県太田市西矢島町&lt;/converted&gt;
&lt;candidate&gt;
&lt;address&gt;群馬県/太田市/西矢島町&lt;/address&gt;
&lt;longitude&gt;139.374283&lt;/longitude&gt;
&lt;latitude&gt;36.271290&lt;/latitude&gt;
&lt;iLvl&gt;5&lt;/iLvl&gt;
&lt;/candidate&gt;
&lt;/results&gt;
</v>
      </c>
      <c r="F1161" cm="1">
        <f t="array" ref="F1161">INDEX(_xlfn.FILTERXML(E1161,"//latitude"),1)</f>
        <v>36.27129</v>
      </c>
      <c r="G1161" cm="1">
        <f t="array" ref="G1161">INDEX(_xlfn.FILTERXML(E1161,"//longitude"),1)</f>
        <v>139.37428299999999</v>
      </c>
      <c r="H1161">
        <v>36.27129</v>
      </c>
      <c r="I1161">
        <v>139.37428299999999</v>
      </c>
    </row>
    <row r="1162" spans="1:9" x14ac:dyDescent="0.4">
      <c r="A1162" t="s">
        <v>34</v>
      </c>
      <c r="B1162" t="s">
        <v>188</v>
      </c>
      <c r="C1162" t="str">
        <f t="shared" si="69"/>
        <v>岐阜県大垣市木戸町</v>
      </c>
      <c r="D1162" s="2" t="str">
        <f t="shared" si="70"/>
        <v>http://geocode.csis.u-tokyo.ac.jp/cgi-bin/simple_geocode.cgi?charset=UTF8&amp;addr=%E5%B2%90%E9%98%9C%E7%9C%8C%E5%A4%A7%E5%9E%A3%E5%B8%82%E6%9C%A8%E6%88%B8%E7%94%BA</v>
      </c>
      <c r="E1162" t="str">
        <f t="shared" si="71"/>
        <v xml:space="preserve">&lt;?xml version="1.0" encoding="UTF-8" ?&gt;
&lt;results&gt;
&lt;query&gt;岐阜県大垣市木戸町&lt;/query&gt;
&lt;geodetic&gt;wgs1984&lt;/geodetic&gt;
&lt;iConf&gt;5&lt;/iConf&gt;
&lt;converted&gt;岐阜県大垣市木戸町&lt;/converted&gt;
&lt;candidate&gt;
&lt;address&gt;岐阜県/大垣市/木戸町&lt;/address&gt;
&lt;longitude&gt;136.599274&lt;/longitude&gt;
&lt;latitude&gt;35.363724&lt;/latitude&gt;
&lt;iLvl&gt;5&lt;/iLvl&gt;
&lt;/candidate&gt;
&lt;/results&gt;
</v>
      </c>
      <c r="F1162" cm="1">
        <f t="array" ref="F1162">INDEX(_xlfn.FILTERXML(E1162,"//latitude"),1)</f>
        <v>35.363723999999998</v>
      </c>
      <c r="G1162" cm="1">
        <f t="array" ref="G1162">INDEX(_xlfn.FILTERXML(E1162,"//longitude"),1)</f>
        <v>136.59927400000001</v>
      </c>
      <c r="H1162">
        <v>35.363723999999998</v>
      </c>
      <c r="I1162">
        <v>136.59927400000001</v>
      </c>
    </row>
    <row r="1163" spans="1:9" x14ac:dyDescent="0.4">
      <c r="A1163" t="s">
        <v>34</v>
      </c>
      <c r="B1163" t="s">
        <v>188</v>
      </c>
      <c r="C1163" t="str">
        <f t="shared" si="69"/>
        <v>岐阜県大垣市木戸町</v>
      </c>
      <c r="D1163" s="2" t="str">
        <f t="shared" si="70"/>
        <v>http://geocode.csis.u-tokyo.ac.jp/cgi-bin/simple_geocode.cgi?charset=UTF8&amp;addr=%E5%B2%90%E9%98%9C%E7%9C%8C%E5%A4%A7%E5%9E%A3%E5%B8%82%E6%9C%A8%E6%88%B8%E7%94%BA</v>
      </c>
      <c r="E1163" t="str">
        <f t="shared" si="71"/>
        <v xml:space="preserve">&lt;?xml version="1.0" encoding="UTF-8" ?&gt;
&lt;results&gt;
&lt;query&gt;岐阜県大垣市木戸町&lt;/query&gt;
&lt;geodetic&gt;wgs1984&lt;/geodetic&gt;
&lt;iConf&gt;5&lt;/iConf&gt;
&lt;converted&gt;岐阜県大垣市木戸町&lt;/converted&gt;
&lt;candidate&gt;
&lt;address&gt;岐阜県/大垣市/木戸町&lt;/address&gt;
&lt;longitude&gt;136.599274&lt;/longitude&gt;
&lt;latitude&gt;35.363724&lt;/latitude&gt;
&lt;iLvl&gt;5&lt;/iLvl&gt;
&lt;/candidate&gt;
&lt;/results&gt;
</v>
      </c>
      <c r="F1163" cm="1">
        <f t="array" ref="F1163">INDEX(_xlfn.FILTERXML(E1163,"//latitude"),1)</f>
        <v>35.363723999999998</v>
      </c>
      <c r="G1163" cm="1">
        <f t="array" ref="G1163">INDEX(_xlfn.FILTERXML(E1163,"//longitude"),1)</f>
        <v>136.59927400000001</v>
      </c>
      <c r="H1163">
        <v>35.363723999999998</v>
      </c>
      <c r="I1163">
        <v>136.59927400000001</v>
      </c>
    </row>
    <row r="1164" spans="1:9" x14ac:dyDescent="0.4">
      <c r="A1164" t="s">
        <v>21</v>
      </c>
      <c r="B1164" t="s">
        <v>499</v>
      </c>
      <c r="C1164" t="str">
        <f t="shared" si="69"/>
        <v>福岡県福岡市早良区</v>
      </c>
      <c r="D1164" s="2" t="str">
        <f t="shared" si="70"/>
        <v>http://geocode.csis.u-tokyo.ac.jp/cgi-bin/simple_geocode.cgi?charset=UTF8&amp;addr=%E7%A6%8F%E5%B2%A1%E7%9C%8C%E7%A6%8F%E5%B2%A1%E5%B8%82%E6%97%A9%E8%89%AF%E5%8C%BA</v>
      </c>
      <c r="E1164" t="str">
        <f t="shared" si="71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1164" cm="1">
        <f t="array" ref="F1164">INDEX(_xlfn.FILTERXML(E1164,"//latitude"),1)</f>
        <v>33.581944</v>
      </c>
      <c r="G1164" cm="1">
        <f t="array" ref="G1164">INDEX(_xlfn.FILTERXML(E1164,"//longitude"),1)</f>
        <v>130.34840399999999</v>
      </c>
      <c r="H1164">
        <v>33.581944</v>
      </c>
      <c r="I1164">
        <v>130.34840399999999</v>
      </c>
    </row>
    <row r="1165" spans="1:9" x14ac:dyDescent="0.4">
      <c r="A1165" t="s">
        <v>18</v>
      </c>
      <c r="B1165" t="s">
        <v>500</v>
      </c>
      <c r="C1165" t="str">
        <f t="shared" si="69"/>
        <v>千葉県松戸市大谷口</v>
      </c>
      <c r="D1165" s="2" t="str">
        <f t="shared" si="70"/>
        <v>http://geocode.csis.u-tokyo.ac.jp/cgi-bin/simple_geocode.cgi?charset=UTF8&amp;addr=%E5%8D%83%E8%91%89%E7%9C%8C%E6%9D%BE%E6%88%B8%E5%B8%82%E5%A4%A7%E8%B0%B7%E5%8F%A3</v>
      </c>
      <c r="E1165" t="str">
        <f t="shared" si="71"/>
        <v xml:space="preserve">&lt;?xml version="1.0" encoding="UTF-8" ?&gt;
&lt;results&gt;
&lt;query&gt;千葉県松戸市大谷口&lt;/query&gt;
&lt;geodetic&gt;wgs1984&lt;/geodetic&gt;
&lt;iConf&gt;5&lt;/iConf&gt;
&lt;converted&gt;千葉県松戸市大谷口&lt;/converted&gt;
&lt;candidate&gt;
&lt;address&gt;千葉県/松戸市/大谷口&lt;/address&gt;
&lt;longitude&gt;139.922699&lt;/longitude&gt;
&lt;latitude&gt;35.833549&lt;/latitude&gt;
&lt;iLvl&gt;5&lt;/iLvl&gt;
&lt;/candidate&gt;
&lt;/results&gt;
</v>
      </c>
      <c r="F1165" cm="1">
        <f t="array" ref="F1165">INDEX(_xlfn.FILTERXML(E1165,"//latitude"),1)</f>
        <v>35.833548999999998</v>
      </c>
      <c r="G1165" cm="1">
        <f t="array" ref="G1165">INDEX(_xlfn.FILTERXML(E1165,"//longitude"),1)</f>
        <v>139.92269899999999</v>
      </c>
      <c r="H1165">
        <v>35.833548999999998</v>
      </c>
      <c r="I1165">
        <v>139.92269899999999</v>
      </c>
    </row>
    <row r="1166" spans="1:9" x14ac:dyDescent="0.4">
      <c r="A1166" t="s">
        <v>13</v>
      </c>
      <c r="B1166" t="s">
        <v>501</v>
      </c>
      <c r="C1166" t="str">
        <f t="shared" si="69"/>
        <v>埼玉県幸手市香日向</v>
      </c>
      <c r="D1166" s="2" t="str">
        <f t="shared" si="70"/>
        <v>http://geocode.csis.u-tokyo.ac.jp/cgi-bin/simple_geocode.cgi?charset=UTF8&amp;addr=%E5%9F%BC%E7%8E%89%E7%9C%8C%E5%B9%B8%E6%89%8B%E5%B8%82%E9%A6%99%E6%97%A5%E5%90%91</v>
      </c>
      <c r="E1166" t="str">
        <f t="shared" si="71"/>
        <v xml:space="preserve">&lt;?xml version="1.0" encoding="UTF-8" ?&gt;
&lt;results&gt;
&lt;query&gt;埼玉県幸手市香日向&lt;/query&gt;
&lt;geodetic&gt;wgs1984&lt;/geodetic&gt;
&lt;iConf&gt;5&lt;/iConf&gt;
&lt;converted&gt;埼玉県幸手市香日向&lt;/converted&gt;
&lt;candidate&gt;
&lt;address&gt;埼玉県/幸手市/香日向&lt;/address&gt;
&lt;longitude&gt;139.699646&lt;/longitude&gt;
&lt;latitude&gt;36.085506&lt;/latitude&gt;
&lt;iLvl&gt;5&lt;/iLvl&gt;
&lt;/candidate&gt;
&lt;/results&gt;
</v>
      </c>
      <c r="F1166" cm="1">
        <f t="array" ref="F1166">INDEX(_xlfn.FILTERXML(E1166,"//latitude"),1)</f>
        <v>36.085506000000002</v>
      </c>
      <c r="G1166" cm="1">
        <f t="array" ref="G1166">INDEX(_xlfn.FILTERXML(E1166,"//longitude"),1)</f>
        <v>139.699646</v>
      </c>
      <c r="H1166">
        <v>36.085506000000002</v>
      </c>
      <c r="I1166">
        <v>139.699646</v>
      </c>
    </row>
    <row r="1167" spans="1:9" x14ac:dyDescent="0.4">
      <c r="A1167" t="s">
        <v>19</v>
      </c>
      <c r="B1167" t="s">
        <v>72</v>
      </c>
      <c r="C1167" t="str">
        <f t="shared" ref="C1167:C1230" si="72">+A1167&amp;B1167</f>
        <v>滋賀県彦根市西沼波町</v>
      </c>
      <c r="D1167" s="2" t="str">
        <f t="shared" ref="D1167:D1230" si="73" xml:space="preserve"> "http://geocode.csis.u-tokyo.ac.jp/cgi-bin/simple_geocode.cgi?charset=UTF8&amp;addr=" &amp; _xlfn.ENCODEURL(C1167)</f>
        <v>http://geocode.csis.u-tokyo.ac.jp/cgi-bin/simple_geocode.cgi?charset=UTF8&amp;addr=%E6%BB%8B%E8%B3%80%E7%9C%8C%E5%BD%A6%E6%A0%B9%E5%B8%82%E8%A5%BF%E6%B2%BC%E6%B3%A2%E7%94%BA</v>
      </c>
      <c r="E1167" t="str">
        <f t="shared" ref="E1167:E1230" si="74" xml:space="preserve"> _xlfn.WEBSERVICE(D1167)</f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1167" cm="1">
        <f t="array" ref="F1167">INDEX(_xlfn.FILTERXML(E1167,"//latitude"),1)</f>
        <v>35.256908000000003</v>
      </c>
      <c r="G1167" cm="1">
        <f t="array" ref="G1167">INDEX(_xlfn.FILTERXML(E1167,"//longitude"),1)</f>
        <v>136.263443</v>
      </c>
      <c r="H1167">
        <v>35.256908000000003</v>
      </c>
      <c r="I1167">
        <v>136.263443</v>
      </c>
    </row>
    <row r="1168" spans="1:9" x14ac:dyDescent="0.4">
      <c r="A1168" t="s">
        <v>39</v>
      </c>
      <c r="B1168" t="s">
        <v>502</v>
      </c>
      <c r="C1168" t="str">
        <f t="shared" si="72"/>
        <v>愛媛県西条市野々市</v>
      </c>
      <c r="D1168" s="2" t="str">
        <f t="shared" si="73"/>
        <v>http://geocode.csis.u-tokyo.ac.jp/cgi-bin/simple_geocode.cgi?charset=UTF8&amp;addr=%E6%84%9B%E5%AA%9B%E7%9C%8C%E8%A5%BF%E6%9D%A1%E5%B8%82%E9%87%8E%E3%80%85%E5%B8%82</v>
      </c>
      <c r="E1168" t="str">
        <f t="shared" si="74"/>
        <v xml:space="preserve">&lt;?xml version="1.0" encoding="UTF-8" ?&gt;
&lt;results&gt;
&lt;query&gt;愛媛県西条市野々市&lt;/query&gt;
&lt;geodetic&gt;wgs1984&lt;/geodetic&gt;
&lt;iConf&gt;5&lt;/iConf&gt;
&lt;converted&gt;愛媛県西条市野々市&lt;/converted&gt;
&lt;candidate&gt;
&lt;address&gt;愛媛県/西条市/野々市&lt;/address&gt;
&lt;longitude&gt;133.139236&lt;/longitude&gt;
&lt;latitude&gt;33.893154&lt;/latitude&gt;
&lt;iLvl&gt;5&lt;/iLvl&gt;
&lt;/candidate&gt;
&lt;/results&gt;
</v>
      </c>
      <c r="F1168" cm="1">
        <f t="array" ref="F1168">INDEX(_xlfn.FILTERXML(E1168,"//latitude"),1)</f>
        <v>33.893154000000003</v>
      </c>
      <c r="G1168" cm="1">
        <f t="array" ref="G1168">INDEX(_xlfn.FILTERXML(E1168,"//longitude"),1)</f>
        <v>133.13923600000001</v>
      </c>
      <c r="H1168">
        <v>33.893154000000003</v>
      </c>
      <c r="I1168">
        <v>133.13923600000001</v>
      </c>
    </row>
    <row r="1169" spans="1:9" x14ac:dyDescent="0.4">
      <c r="A1169" t="s">
        <v>15</v>
      </c>
      <c r="B1169" t="s">
        <v>191</v>
      </c>
      <c r="C1169" t="str">
        <f t="shared" si="72"/>
        <v>兵庫県姫路市</v>
      </c>
      <c r="D1169" s="2" t="str">
        <f t="shared" si="73"/>
        <v>http://geocode.csis.u-tokyo.ac.jp/cgi-bin/simple_geocode.cgi?charset=UTF8&amp;addr=%E5%85%B5%E5%BA%AB%E7%9C%8C%E5%A7%AB%E8%B7%AF%E5%B8%82</v>
      </c>
      <c r="E1169" t="str">
        <f t="shared" si="74"/>
        <v xml:space="preserve">&lt;?xml version="1.0" encoding="UTF-8" ?&gt;
&lt;results&gt;
&lt;query&gt;兵庫県姫路市&lt;/query&gt;
&lt;geodetic&gt;wgs1984&lt;/geodetic&gt;
&lt;iConf&gt;5&lt;/iConf&gt;
&lt;converted&gt;兵庫県姫路市&lt;/converted&gt;
&lt;candidate&gt;
&lt;address&gt;兵庫県/姫路市&lt;/address&gt;
&lt;longitude&gt;134.685455&lt;/longitude&gt;
&lt;latitude&gt;34.815495&lt;/latitude&gt;
&lt;iLvl&gt;3&lt;/iLvl&gt;
&lt;/candidate&gt;
&lt;/results&gt;
</v>
      </c>
      <c r="F1169" cm="1">
        <f t="array" ref="F1169">INDEX(_xlfn.FILTERXML(E1169,"//latitude"),1)</f>
        <v>34.815494999999999</v>
      </c>
      <c r="G1169" cm="1">
        <f t="array" ref="G1169">INDEX(_xlfn.FILTERXML(E1169,"//longitude"),1)</f>
        <v>134.68545499999999</v>
      </c>
      <c r="H1169">
        <v>34.815494999999999</v>
      </c>
      <c r="I1169">
        <v>134.68545499999999</v>
      </c>
    </row>
    <row r="1170" spans="1:9" x14ac:dyDescent="0.4">
      <c r="A1170" t="s">
        <v>11</v>
      </c>
      <c r="B1170" t="s">
        <v>65</v>
      </c>
      <c r="C1170" t="str">
        <f t="shared" si="72"/>
        <v>大阪府豊能郡豊能町ときわ台４丁目</v>
      </c>
      <c r="D1170" s="2" t="str">
        <f t="shared" si="73"/>
        <v>http://geocode.csis.u-tokyo.ac.jp/cgi-bin/simple_geocode.cgi?charset=UTF8&amp;addr=%E5%A4%A7%E9%98%AA%E5%BA%9C%E8%B1%8A%E8%83%BD%E9%83%A1%E8%B1%8A%E8%83%BD%E7%94%BA%E3%81%A8%E3%81%8D%E3%82%8F%E5%8F%B0%EF%BC%94%E4%B8%81%E7%9B%AE</v>
      </c>
      <c r="E1170" t="str">
        <f t="shared" si="74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1170" cm="1">
        <f t="array" ref="F1170">INDEX(_xlfn.FILTERXML(E1170,"//latitude"),1)</f>
        <v>34.904015000000001</v>
      </c>
      <c r="G1170" cm="1">
        <f t="array" ref="G1170">INDEX(_xlfn.FILTERXML(E1170,"//longitude"),1)</f>
        <v>135.44091800000001</v>
      </c>
      <c r="H1170">
        <v>34.904015000000001</v>
      </c>
      <c r="I1170">
        <v>135.44091800000001</v>
      </c>
    </row>
    <row r="1171" spans="1:9" x14ac:dyDescent="0.4">
      <c r="A1171" t="s">
        <v>132</v>
      </c>
      <c r="B1171" t="s">
        <v>503</v>
      </c>
      <c r="C1171" t="str">
        <f t="shared" si="72"/>
        <v>高知県小石木町</v>
      </c>
      <c r="D1171" s="2" t="str">
        <f t="shared" si="73"/>
        <v>http://geocode.csis.u-tokyo.ac.jp/cgi-bin/simple_geocode.cgi?charset=UTF8&amp;addr=%E9%AB%98%E7%9F%A5%E7%9C%8C%E5%B0%8F%E7%9F%B3%E6%9C%A8%E7%94%BA</v>
      </c>
      <c r="E1171" t="str">
        <f t="shared" si="74"/>
        <v xml:space="preserve">&lt;?xml version="1.0" encoding="UTF-8" ?&gt;
&lt;results&gt;
&lt;query&gt;高知県小石木町&lt;/query&gt;
&lt;geodetic&gt;wgs1984&lt;/geodetic&gt;
&lt;iConf&gt;3&lt;/iConf&gt;
&lt;converted&gt;高知県&lt;/converted&gt;
&lt;candidate&gt;
&lt;address&gt;高知県&lt;/address&gt;
&lt;longitude&gt;133.531158&lt;/longitude&gt;
&lt;latitude&gt;33.558788&lt;/latitude&gt;
&lt;iLvl&gt;1&lt;/iLvl&gt;
&lt;/candidate&gt;
&lt;/results&gt;
</v>
      </c>
      <c r="F1171" cm="1">
        <f t="array" ref="F1171">INDEX(_xlfn.FILTERXML(E1171,"//latitude"),1)</f>
        <v>33.558788</v>
      </c>
      <c r="G1171" cm="1">
        <f t="array" ref="G1171">INDEX(_xlfn.FILTERXML(E1171,"//longitude"),1)</f>
        <v>133.531158</v>
      </c>
      <c r="H1171">
        <v>33.558788</v>
      </c>
      <c r="I1171">
        <v>133.531158</v>
      </c>
    </row>
    <row r="1172" spans="1:9" x14ac:dyDescent="0.4">
      <c r="A1172" t="s">
        <v>10</v>
      </c>
      <c r="B1172" t="s">
        <v>504</v>
      </c>
      <c r="C1172" t="str">
        <f t="shared" si="72"/>
        <v>神奈川県横浜市南区庚台13-7</v>
      </c>
      <c r="D1172" s="2" t="str">
        <f t="shared" si="73"/>
        <v>http://geocode.csis.u-tokyo.ac.jp/cgi-bin/simple_geocode.cgi?charset=UTF8&amp;addr=%E7%A5%9E%E5%A5%88%E5%B7%9D%E7%9C%8C%E6%A8%AA%E6%B5%9C%E5%B8%82%E5%8D%97%E5%8C%BA%E5%BA%9A%E5%8F%B013-7</v>
      </c>
      <c r="E1172" t="str">
        <f t="shared" si="74"/>
        <v xml:space="preserve">&lt;?xml version="1.0" encoding="UTF-8" ?&gt;
&lt;results&gt;
&lt;query&gt;神奈川県横浜市南区庚台13-7&lt;/query&gt;
&lt;geodetic&gt;wgs1984&lt;/geodetic&gt;
&lt;iConf&gt;5&lt;/iConf&gt;
&lt;converted&gt;神奈川県横浜市南区庚台13-&lt;/converted&gt;
&lt;candidate&gt;
&lt;address&gt;神奈川県/横浜市/南区/庚台/１３番地&lt;/address&gt;
&lt;longitude&gt;139.613815&lt;/longitude&gt;
&lt;latitude&gt;35.440376&lt;/latitude&gt;
&lt;iLvl&gt;7&lt;/iLvl&gt;
&lt;/candidate&gt;
&lt;/results&gt;
</v>
      </c>
      <c r="F1172" cm="1">
        <f t="array" ref="F1172">INDEX(_xlfn.FILTERXML(E1172,"//latitude"),1)</f>
        <v>35.440376000000001</v>
      </c>
      <c r="G1172" cm="1">
        <f t="array" ref="G1172">INDEX(_xlfn.FILTERXML(E1172,"//longitude"),1)</f>
        <v>139.61381499999999</v>
      </c>
      <c r="H1172">
        <v>35.440376000000001</v>
      </c>
      <c r="I1172">
        <v>139.61381499999999</v>
      </c>
    </row>
    <row r="1173" spans="1:9" x14ac:dyDescent="0.4">
      <c r="A1173" t="s">
        <v>17</v>
      </c>
      <c r="B1173" t="s">
        <v>298</v>
      </c>
      <c r="C1173" t="str">
        <f t="shared" si="72"/>
        <v>愛知県津島市唐臼町囲外</v>
      </c>
      <c r="D1173" s="2" t="str">
        <f t="shared" si="73"/>
        <v>http://geocode.csis.u-tokyo.ac.jp/cgi-bin/simple_geocode.cgi?charset=UTF8&amp;addr=%E6%84%9B%E7%9F%A5%E7%9C%8C%E6%B4%A5%E5%B3%B6%E5%B8%82%E5%94%90%E8%87%BC%E7%94%BA%E5%9B%B2%E5%A4%96</v>
      </c>
      <c r="E1173" t="str">
        <f t="shared" si="74"/>
        <v xml:space="preserve">&lt;?xml version="1.0" encoding="UTF-8" ?&gt;
&lt;results&gt;
&lt;query&gt;愛知県津島市唐臼町囲外&lt;/query&gt;
&lt;geodetic&gt;wgs1984&lt;/geodetic&gt;
&lt;iConf&gt;5&lt;/iConf&gt;
&lt;converted&gt;愛知県津島市唐臼町囲外&lt;/converted&gt;
&lt;candidate&gt;
&lt;address&gt;愛知県/津島市/唐臼町/囲外&lt;/address&gt;
&lt;longitude&gt;136.747574&lt;/longitude&gt;
&lt;latitude&gt;35.163383&lt;/latitude&gt;
&lt;iLvl&gt;6&lt;/iLvl&gt;
&lt;/candidate&gt;
&lt;/results&gt;
</v>
      </c>
      <c r="F1173" cm="1">
        <f t="array" ref="F1173">INDEX(_xlfn.FILTERXML(E1173,"//latitude"),1)</f>
        <v>35.163383000000003</v>
      </c>
      <c r="G1173" cm="1">
        <f t="array" ref="G1173">INDEX(_xlfn.FILTERXML(E1173,"//longitude"),1)</f>
        <v>136.74757399999999</v>
      </c>
      <c r="H1173">
        <v>35.163383000000003</v>
      </c>
      <c r="I1173">
        <v>136.74757399999999</v>
      </c>
    </row>
    <row r="1174" spans="1:9" x14ac:dyDescent="0.4">
      <c r="A1174" t="s">
        <v>11</v>
      </c>
      <c r="B1174" t="s">
        <v>505</v>
      </c>
      <c r="C1174" t="str">
        <f t="shared" si="72"/>
        <v>大阪府大阪市中央区森ノ宮中央1-7-6</v>
      </c>
      <c r="D1174" s="2" t="str">
        <f t="shared" si="73"/>
        <v>http://geocode.csis.u-tokyo.ac.jp/cgi-bin/simple_geocode.cgi?charset=UTF8&amp;addr=%E5%A4%A7%E9%98%AA%E5%BA%9C%E5%A4%A7%E9%98%AA%E5%B8%82%E4%B8%AD%E5%A4%AE%E5%8C%BA%E6%A3%AE%E3%83%8E%E5%AE%AE%E4%B8%AD%E5%A4%AE1-7-6</v>
      </c>
      <c r="E1174" t="str">
        <f t="shared" si="74"/>
        <v xml:space="preserve">&lt;?xml version="1.0" encoding="UTF-8" ?&gt;
&lt;results&gt;
&lt;query&gt;大阪府大阪市中央区森ノ宮中央1-7-6&lt;/query&gt;
&lt;geodetic&gt;wgs1984&lt;/geodetic&gt;
&lt;iConf&gt;5&lt;/iConf&gt;
&lt;converted&gt;大阪府大阪市中央区森ノ宮中央1-7-6&lt;/converted&gt;
&lt;candidate&gt;
&lt;address&gt;大阪府/大阪市/中央区/森ノ宮中央/一丁目/７番/６号&lt;/address&gt;
&lt;longitude&gt;135.533905&lt;/longitude&gt;
&lt;latitude&gt;34.678009&lt;/latitude&gt;
&lt;iLvl&gt;8&lt;/iLvl&gt;
&lt;/candidate&gt;
&lt;/results&gt;
</v>
      </c>
      <c r="F1174" cm="1">
        <f t="array" ref="F1174">INDEX(_xlfn.FILTERXML(E1174,"//latitude"),1)</f>
        <v>34.678009000000003</v>
      </c>
      <c r="G1174" cm="1">
        <f t="array" ref="G1174">INDEX(_xlfn.FILTERXML(E1174,"//longitude"),1)</f>
        <v>135.533905</v>
      </c>
      <c r="H1174">
        <v>34.678009000000003</v>
      </c>
      <c r="I1174">
        <v>135.533905</v>
      </c>
    </row>
    <row r="1175" spans="1:9" x14ac:dyDescent="0.4">
      <c r="A1175" t="s">
        <v>9</v>
      </c>
      <c r="B1175" t="s">
        <v>99</v>
      </c>
      <c r="C1175" t="str">
        <f t="shared" si="72"/>
        <v>東京都品川区東五反田</v>
      </c>
      <c r="D1175" s="2" t="str">
        <f t="shared" si="73"/>
        <v>http://geocode.csis.u-tokyo.ac.jp/cgi-bin/simple_geocode.cgi?charset=UTF8&amp;addr=%E6%9D%B1%E4%BA%AC%E9%83%BD%E5%93%81%E5%B7%9D%E5%8C%BA%E6%9D%B1%E4%BA%94%E5%8F%8D%E7%94%B0</v>
      </c>
      <c r="E1175" t="str">
        <f t="shared" si="74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1175" cm="1">
        <f t="array" ref="F1175">INDEX(_xlfn.FILTERXML(E1175,"//latitude"),1)</f>
        <v>35.627761999999997</v>
      </c>
      <c r="G1175" cm="1">
        <f t="array" ref="G1175">INDEX(_xlfn.FILTERXML(E1175,"//longitude"),1)</f>
        <v>139.72642500000001</v>
      </c>
      <c r="H1175">
        <v>35.627761999999997</v>
      </c>
      <c r="I1175">
        <v>139.72642500000001</v>
      </c>
    </row>
    <row r="1176" spans="1:9" x14ac:dyDescent="0.4">
      <c r="A1176" t="s">
        <v>9</v>
      </c>
      <c r="B1176" t="s">
        <v>399</v>
      </c>
      <c r="C1176" t="str">
        <f t="shared" si="72"/>
        <v>東京都東村山市廻田町２－２９－４４</v>
      </c>
      <c r="D1176" s="2" t="str">
        <f t="shared" si="73"/>
        <v>http://geocode.csis.u-tokyo.ac.jp/cgi-bin/simple_geocode.cgi?charset=UTF8&amp;addr=%E6%9D%B1%E4%BA%AC%E9%83%BD%E6%9D%B1%E6%9D%91%E5%B1%B1%E5%B8%82%E5%BB%BB%E7%94%B0%E7%94%BA%EF%BC%92%EF%BC%8D%EF%BC%92%EF%BC%99%EF%BC%8D%EF%BC%94%EF%BC%94</v>
      </c>
      <c r="E1176" t="str">
        <f t="shared" si="74"/>
        <v xml:space="preserve">&lt;?xml version="1.0" encoding="UTF-8" ?&gt;
&lt;results&gt;
&lt;query&gt;東京都東村山市廻田町２−２９−４４&lt;/query&gt;
&lt;geodetic&gt;wgs1984&lt;/geodetic&gt;
&lt;iConf&gt;5&lt;/iConf&gt;
&lt;converted&gt;東京都東村山市廻田町２−２９−&lt;/converted&gt;
&lt;candidate&gt;
&lt;address&gt;東京都/東村山市/廻田町/二丁目/２９番&lt;/address&gt;
&lt;longitude&gt;139.447021&lt;/longitude&gt;
&lt;latitude&gt;35.754913&lt;/latitude&gt;
&lt;iLvl&gt;7&lt;/iLvl&gt;
&lt;/candidate&gt;
&lt;/results&gt;
</v>
      </c>
      <c r="F1176" cm="1">
        <f t="array" ref="F1176">INDEX(_xlfn.FILTERXML(E1176,"//latitude"),1)</f>
        <v>35.754913000000002</v>
      </c>
      <c r="G1176" cm="1">
        <f t="array" ref="G1176">INDEX(_xlfn.FILTERXML(E1176,"//longitude"),1)</f>
        <v>139.44702100000001</v>
      </c>
      <c r="H1176">
        <v>35.754913000000002</v>
      </c>
      <c r="I1176">
        <v>139.44702100000001</v>
      </c>
    </row>
    <row r="1177" spans="1:9" x14ac:dyDescent="0.4">
      <c r="A1177" t="s">
        <v>144</v>
      </c>
      <c r="B1177" t="s">
        <v>506</v>
      </c>
      <c r="C1177" t="str">
        <f t="shared" si="72"/>
        <v>秋田県仙北市</v>
      </c>
      <c r="D1177" s="2" t="str">
        <f t="shared" si="73"/>
        <v>http://geocode.csis.u-tokyo.ac.jp/cgi-bin/simple_geocode.cgi?charset=UTF8&amp;addr=%E7%A7%8B%E7%94%B0%E7%9C%8C%E4%BB%99%E5%8C%97%E5%B8%82</v>
      </c>
      <c r="E1177" t="str">
        <f t="shared" si="74"/>
        <v xml:space="preserve">&lt;?xml version="1.0" encoding="UTF-8" ?&gt;
&lt;results&gt;
&lt;query&gt;秋田県仙北市&lt;/query&gt;
&lt;geodetic&gt;wgs1984&lt;/geodetic&gt;
&lt;iConf&gt;5&lt;/iConf&gt;
&lt;converted&gt;秋田県仙北市&lt;/converted&gt;
&lt;candidate&gt;
&lt;address&gt;秋田県/仙北市&lt;/address&gt;
&lt;longitude&gt;140.730728&lt;/longitude&gt;
&lt;latitude&gt;39.700043&lt;/latitude&gt;
&lt;iLvl&gt;3&lt;/iLvl&gt;
&lt;/candidate&gt;
&lt;/results&gt;
</v>
      </c>
      <c r="F1177" cm="1">
        <f t="array" ref="F1177">INDEX(_xlfn.FILTERXML(E1177,"//latitude"),1)</f>
        <v>39.700043000000001</v>
      </c>
      <c r="G1177" cm="1">
        <f t="array" ref="G1177">INDEX(_xlfn.FILTERXML(E1177,"//longitude"),1)</f>
        <v>140.730728</v>
      </c>
      <c r="H1177">
        <v>39.700043000000001</v>
      </c>
      <c r="I1177">
        <v>140.730728</v>
      </c>
    </row>
    <row r="1178" spans="1:9" x14ac:dyDescent="0.4">
      <c r="A1178" t="s">
        <v>26</v>
      </c>
      <c r="B1178" t="s">
        <v>507</v>
      </c>
      <c r="C1178" t="str">
        <f t="shared" si="72"/>
        <v>京都府久御山町市田</v>
      </c>
      <c r="D1178" s="2" t="str">
        <f t="shared" si="73"/>
        <v>http://geocode.csis.u-tokyo.ac.jp/cgi-bin/simple_geocode.cgi?charset=UTF8&amp;addr=%E4%BA%AC%E9%83%BD%E5%BA%9C%E4%B9%85%E5%BE%A1%E5%B1%B1%E7%94%BA%E5%B8%82%E7%94%B0</v>
      </c>
      <c r="E1178" t="str">
        <f t="shared" si="74"/>
        <v xml:space="preserve">&lt;?xml version="1.0" encoding="UTF-8" ?&gt;
&lt;results&gt;
&lt;query&gt;京都府久御山町市田&lt;/query&gt;
&lt;geodetic&gt;wgs1984&lt;/geodetic&gt;
&lt;iConf&gt;4&lt;/iConf&gt;
&lt;converted&gt;京都府久&lt;/converted&gt;
&lt;candidate&gt;
&lt;address&gt;京都府/久世郡&lt;/address&gt;
&lt;longitude&gt;135.780075&lt;/longitude&gt;
&lt;latitude&gt;34.852959&lt;/latitude&gt;
&lt;iLvl&gt;2&lt;/iLvl&gt;
&lt;/candidate&gt;
&lt;candidate&gt;
&lt;address&gt;京都府/久世郡&lt;/address&gt;
&lt;longitude&gt;135.780075&lt;/longitude&gt;
&lt;latitude&gt;34.852959&lt;/latitude&gt;
&lt;iLvl&gt;2&lt;/iLvl&gt;
&lt;/candidate&gt;
&lt;candidate&gt;
&lt;address&gt;京都府/久美浜町&lt;/address&gt;
&lt;longitude&gt;134.939743&lt;/longitude&gt;
&lt;latitude&gt;35.580105&lt;/latitude&gt;
&lt;iLvl&gt;0&lt;/iLvl&gt;
&lt;/candidate&gt;
&lt;/results&gt;
</v>
      </c>
      <c r="F1178" cm="1">
        <f t="array" ref="F1178">INDEX(_xlfn.FILTERXML(E1178,"//latitude"),1)</f>
        <v>34.852958999999998</v>
      </c>
      <c r="G1178" cm="1">
        <f t="array" ref="G1178">INDEX(_xlfn.FILTERXML(E1178,"//longitude"),1)</f>
        <v>135.78007500000001</v>
      </c>
      <c r="H1178">
        <v>34.852958999999998</v>
      </c>
      <c r="I1178">
        <v>135.78007500000001</v>
      </c>
    </row>
    <row r="1179" spans="1:9" x14ac:dyDescent="0.4">
      <c r="A1179" t="s">
        <v>21</v>
      </c>
      <c r="B1179" t="s">
        <v>508</v>
      </c>
      <c r="C1179" t="str">
        <f t="shared" si="72"/>
        <v>福岡県春日市須玖北</v>
      </c>
      <c r="D1179" s="2" t="str">
        <f t="shared" si="73"/>
        <v>http://geocode.csis.u-tokyo.ac.jp/cgi-bin/simple_geocode.cgi?charset=UTF8&amp;addr=%E7%A6%8F%E5%B2%A1%E7%9C%8C%E6%98%A5%E6%97%A5%E5%B8%82%E9%A0%88%E7%8E%96%E5%8C%97</v>
      </c>
      <c r="E1179" t="str">
        <f t="shared" si="74"/>
        <v xml:space="preserve">&lt;?xml version="1.0" encoding="UTF-8" ?&gt;
&lt;results&gt;
&lt;query&gt;福岡県春日市須玖北&lt;/query&gt;
&lt;geodetic&gt;wgs1984&lt;/geodetic&gt;
&lt;iConf&gt;5&lt;/iConf&gt;
&lt;converted&gt;福岡県春日市須玖北&lt;/converted&gt;
&lt;candidate&gt;
&lt;address&gt;福岡県/春日市/須玖北&lt;/address&gt;
&lt;longitude&gt;130.443726&lt;/longitude&gt;
&lt;latitude&gt;33.546028&lt;/latitude&gt;
&lt;iLvl&gt;5&lt;/iLvl&gt;
&lt;/candidate&gt;
&lt;/results&gt;
</v>
      </c>
      <c r="F1179" cm="1">
        <f t="array" ref="F1179">INDEX(_xlfn.FILTERXML(E1179,"//latitude"),1)</f>
        <v>33.546028</v>
      </c>
      <c r="G1179" cm="1">
        <f t="array" ref="G1179">INDEX(_xlfn.FILTERXML(E1179,"//longitude"),1)</f>
        <v>130.443726</v>
      </c>
      <c r="H1179">
        <v>33.546028</v>
      </c>
      <c r="I1179">
        <v>130.443726</v>
      </c>
    </row>
    <row r="1180" spans="1:9" x14ac:dyDescent="0.4">
      <c r="A1180" t="s">
        <v>10</v>
      </c>
      <c r="B1180" t="s">
        <v>509</v>
      </c>
      <c r="C1180" t="str">
        <f t="shared" si="72"/>
        <v>神奈川県横浜市港北区</v>
      </c>
      <c r="D1180" s="2" t="str">
        <f t="shared" si="73"/>
        <v>http://geocode.csis.u-tokyo.ac.jp/cgi-bin/simple_geocode.cgi?charset=UTF8&amp;addr=%E7%A5%9E%E5%A5%88%E5%B7%9D%E7%9C%8C%E6%A8%AA%E6%B5%9C%E5%B8%82%E6%B8%AF%E5%8C%97%E5%8C%BA</v>
      </c>
      <c r="E1180" t="str">
        <f t="shared" si="74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1180" cm="1">
        <f t="array" ref="F1180">INDEX(_xlfn.FILTERXML(E1180,"//latitude"),1)</f>
        <v>35.519016000000001</v>
      </c>
      <c r="G1180" cm="1">
        <f t="array" ref="G1180">INDEX(_xlfn.FILTERXML(E1180,"//longitude"),1)</f>
        <v>139.633194</v>
      </c>
      <c r="H1180">
        <v>35.519016000000001</v>
      </c>
      <c r="I1180">
        <v>139.633194</v>
      </c>
    </row>
    <row r="1181" spans="1:9" x14ac:dyDescent="0.4">
      <c r="A1181" t="s">
        <v>10</v>
      </c>
      <c r="B1181" t="s">
        <v>510</v>
      </c>
      <c r="C1181" t="str">
        <f t="shared" si="72"/>
        <v>神奈川県横浜市南区日枝町</v>
      </c>
      <c r="D1181" s="2" t="str">
        <f t="shared" si="73"/>
        <v>http://geocode.csis.u-tokyo.ac.jp/cgi-bin/simple_geocode.cgi?charset=UTF8&amp;addr=%E7%A5%9E%E5%A5%88%E5%B7%9D%E7%9C%8C%E6%A8%AA%E6%B5%9C%E5%B8%82%E5%8D%97%E5%8C%BA%E6%97%A5%E6%9E%9D%E7%94%BA</v>
      </c>
      <c r="E1181" t="str">
        <f t="shared" si="74"/>
        <v xml:space="preserve">&lt;?xml version="1.0" encoding="UTF-8" ?&gt;
&lt;results&gt;
&lt;query&gt;神奈川県横浜市南区日枝町&lt;/query&gt;
&lt;geodetic&gt;wgs1984&lt;/geodetic&gt;
&lt;iConf&gt;5&lt;/iConf&gt;
&lt;converted&gt;神奈川県横浜市南区日枝町&lt;/converted&gt;
&lt;candidate&gt;
&lt;address&gt;神奈川県/横浜市/南区/日枝町&lt;/address&gt;
&lt;longitude&gt;139.621002&lt;/longitude&gt;
&lt;latitude&gt;35.438080&lt;/latitude&gt;
&lt;iLvl&gt;5&lt;/iLvl&gt;
&lt;/candidate&gt;
&lt;/results&gt;
</v>
      </c>
      <c r="F1181" cm="1">
        <f t="array" ref="F1181">INDEX(_xlfn.FILTERXML(E1181,"//latitude"),1)</f>
        <v>35.438079999999999</v>
      </c>
      <c r="G1181" cm="1">
        <f t="array" ref="G1181">INDEX(_xlfn.FILTERXML(E1181,"//longitude"),1)</f>
        <v>139.621002</v>
      </c>
      <c r="H1181">
        <v>35.438079999999999</v>
      </c>
      <c r="I1181">
        <v>139.621002</v>
      </c>
    </row>
    <row r="1182" spans="1:9" x14ac:dyDescent="0.4">
      <c r="A1182" t="s">
        <v>9</v>
      </c>
      <c r="B1182" t="s">
        <v>154</v>
      </c>
      <c r="C1182" t="str">
        <f t="shared" si="72"/>
        <v>東京都三鷹市下連雀３丁目38-1</v>
      </c>
      <c r="D1182" s="2" t="str">
        <f t="shared" si="73"/>
        <v>http://geocode.csis.u-tokyo.ac.jp/cgi-bin/simple_geocode.cgi?charset=UTF8&amp;addr=%E6%9D%B1%E4%BA%AC%E9%83%BD%E4%B8%89%E9%B7%B9%E5%B8%82%E4%B8%8B%E9%80%A3%E9%9B%80%EF%BC%93%E4%B8%81%E7%9B%AE38-1</v>
      </c>
      <c r="E1182" t="str">
        <f t="shared" si="74"/>
        <v xml:space="preserve">&lt;?xml version="1.0" encoding="UTF-8" ?&gt;
&lt;results&gt;
&lt;query&gt;東京都三鷹市下連雀３丁目38-1&lt;/query&gt;
&lt;geodetic&gt;wgs1984&lt;/geodetic&gt;
&lt;iConf&gt;5&lt;/iConf&gt;
&lt;converted&gt;東京都三鷹市下連雀３丁目38-1&lt;/converted&gt;
&lt;candidate&gt;
&lt;address&gt;東京都/三鷹市/下連雀/三丁目/３８番/１号&lt;/address&gt;
&lt;longitude&gt;139.560394&lt;/longitude&gt;
&lt;latitude&gt;35.699020&lt;/latitude&gt;
&lt;iLvl&gt;8&lt;/iLvl&gt;
&lt;/candidate&gt;
&lt;/results&gt;
</v>
      </c>
      <c r="F1182" cm="1">
        <f t="array" ref="F1182">INDEX(_xlfn.FILTERXML(E1182,"//latitude"),1)</f>
        <v>35.699019999999997</v>
      </c>
      <c r="G1182" cm="1">
        <f t="array" ref="G1182">INDEX(_xlfn.FILTERXML(E1182,"//longitude"),1)</f>
        <v>139.560394</v>
      </c>
      <c r="H1182">
        <v>35.699019999999997</v>
      </c>
      <c r="I1182">
        <v>139.560394</v>
      </c>
    </row>
    <row r="1183" spans="1:9" x14ac:dyDescent="0.4">
      <c r="A1183" t="s">
        <v>10</v>
      </c>
      <c r="B1183" t="s">
        <v>511</v>
      </c>
      <c r="C1183" t="str">
        <f t="shared" si="72"/>
        <v>神奈川県川崎市川崎区港町5-1</v>
      </c>
      <c r="D1183" s="2" t="str">
        <f t="shared" si="73"/>
        <v>http://geocode.csis.u-tokyo.ac.jp/cgi-bin/simple_geocode.cgi?charset=UTF8&amp;addr=%E7%A5%9E%E5%A5%88%E5%B7%9D%E7%9C%8C%E5%B7%9D%E5%B4%8E%E5%B8%82%E5%B7%9D%E5%B4%8E%E5%8C%BA%E6%B8%AF%E7%94%BA5-1</v>
      </c>
      <c r="E1183" t="str">
        <f t="shared" si="74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1183" cm="1">
        <f t="array" ref="F1183">INDEX(_xlfn.FILTERXML(E1183,"//latitude"),1)</f>
        <v>35.535666999999997</v>
      </c>
      <c r="G1183" cm="1">
        <f t="array" ref="G1183">INDEX(_xlfn.FILTERXML(E1183,"//longitude"),1)</f>
        <v>139.71348599999999</v>
      </c>
      <c r="H1183">
        <v>35.535666999999997</v>
      </c>
      <c r="I1183">
        <v>139.71348599999999</v>
      </c>
    </row>
    <row r="1184" spans="1:9" x14ac:dyDescent="0.4">
      <c r="A1184" t="s">
        <v>9</v>
      </c>
      <c r="B1184" t="s">
        <v>30</v>
      </c>
      <c r="C1184" t="str">
        <f t="shared" si="72"/>
        <v>東京都中野区</v>
      </c>
      <c r="D1184" s="2" t="str">
        <f t="shared" si="73"/>
        <v>http://geocode.csis.u-tokyo.ac.jp/cgi-bin/simple_geocode.cgi?charset=UTF8&amp;addr=%E6%9D%B1%E4%BA%AC%E9%83%BD%E4%B8%AD%E9%87%8E%E5%8C%BA</v>
      </c>
      <c r="E1184" t="str">
        <f t="shared" si="74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184" cm="1">
        <f t="array" ref="F1184">INDEX(_xlfn.FILTERXML(E1184,"//latitude"),1)</f>
        <v>35.707267999999999</v>
      </c>
      <c r="G1184" cm="1">
        <f t="array" ref="G1184">INDEX(_xlfn.FILTERXML(E1184,"//longitude"),1)</f>
        <v>139.66374200000001</v>
      </c>
      <c r="H1184">
        <v>35.707267999999999</v>
      </c>
      <c r="I1184">
        <v>139.66374200000001</v>
      </c>
    </row>
    <row r="1185" spans="1:9" x14ac:dyDescent="0.4">
      <c r="A1185" t="s">
        <v>9</v>
      </c>
      <c r="B1185" t="s">
        <v>512</v>
      </c>
      <c r="C1185" t="str">
        <f t="shared" si="72"/>
        <v>東京都新宿区西早稲田</v>
      </c>
      <c r="D1185" s="2" t="str">
        <f t="shared" si="73"/>
        <v>http://geocode.csis.u-tokyo.ac.jp/cgi-bin/simple_geocode.cgi?charset=UTF8&amp;addr=%E6%9D%B1%E4%BA%AC%E9%83%BD%E6%96%B0%E5%AE%BF%E5%8C%BA%E8%A5%BF%E6%97%A9%E7%A8%B2%E7%94%B0</v>
      </c>
      <c r="E1185" t="str">
        <f t="shared" si="74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1185" cm="1">
        <f t="array" ref="F1185">INDEX(_xlfn.FILTERXML(E1185,"//latitude"),1)</f>
        <v>35.709820000000001</v>
      </c>
      <c r="G1185" cm="1">
        <f t="array" ref="G1185">INDEX(_xlfn.FILTERXML(E1185,"//longitude"),1)</f>
        <v>139.71902499999999</v>
      </c>
      <c r="H1185">
        <v>35.709820000000001</v>
      </c>
      <c r="I1185">
        <v>139.71902499999999</v>
      </c>
    </row>
    <row r="1186" spans="1:9" x14ac:dyDescent="0.4">
      <c r="A1186" t="s">
        <v>9</v>
      </c>
      <c r="B1186" t="s">
        <v>497</v>
      </c>
      <c r="C1186" t="str">
        <f t="shared" si="72"/>
        <v>東京都渋谷区渋谷</v>
      </c>
      <c r="D1186" s="2" t="str">
        <f t="shared" si="73"/>
        <v>http://geocode.csis.u-tokyo.ac.jp/cgi-bin/simple_geocode.cgi?charset=UTF8&amp;addr=%E6%9D%B1%E4%BA%AC%E9%83%BD%E6%B8%8B%E8%B0%B7%E5%8C%BA%E6%B8%8B%E8%B0%B7</v>
      </c>
      <c r="E1186" t="str">
        <f t="shared" si="74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1186" cm="1">
        <f t="array" ref="F1186">INDEX(_xlfn.FILTERXML(E1186,"//latitude"),1)</f>
        <v>35.661811999999998</v>
      </c>
      <c r="G1186" cm="1">
        <f t="array" ref="G1186">INDEX(_xlfn.FILTERXML(E1186,"//longitude"),1)</f>
        <v>139.704285</v>
      </c>
      <c r="H1186">
        <v>35.661811999999998</v>
      </c>
      <c r="I1186">
        <v>139.704285</v>
      </c>
    </row>
    <row r="1187" spans="1:9" x14ac:dyDescent="0.4">
      <c r="A1187" t="s">
        <v>29</v>
      </c>
      <c r="B1187" t="s">
        <v>142</v>
      </c>
      <c r="C1187" t="str">
        <f t="shared" si="72"/>
        <v>静岡県袋井市豊沢</v>
      </c>
      <c r="D1187" s="2" t="str">
        <f t="shared" si="73"/>
        <v>http://geocode.csis.u-tokyo.ac.jp/cgi-bin/simple_geocode.cgi?charset=UTF8&amp;addr=%E9%9D%99%E5%B2%A1%E7%9C%8C%E8%A2%8B%E4%BA%95%E5%B8%82%E8%B1%8A%E6%B2%A2</v>
      </c>
      <c r="E1187" t="str">
        <f t="shared" si="74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1187" cm="1">
        <f t="array" ref="F1187">INDEX(_xlfn.FILTERXML(E1187,"//latitude"),1)</f>
        <v>34.736378000000002</v>
      </c>
      <c r="G1187" cm="1">
        <f t="array" ref="G1187">INDEX(_xlfn.FILTERXML(E1187,"//longitude"),1)</f>
        <v>137.96971099999999</v>
      </c>
      <c r="H1187">
        <v>34.736378000000002</v>
      </c>
      <c r="I1187">
        <v>137.96971099999999</v>
      </c>
    </row>
    <row r="1188" spans="1:9" x14ac:dyDescent="0.4">
      <c r="A1188" t="s">
        <v>10</v>
      </c>
      <c r="B1188" t="s">
        <v>333</v>
      </c>
      <c r="C1188" t="str">
        <f t="shared" si="72"/>
        <v>神奈川県横浜市西区平沼</v>
      </c>
      <c r="D1188" s="2" t="str">
        <f t="shared" si="73"/>
        <v>http://geocode.csis.u-tokyo.ac.jp/cgi-bin/simple_geocode.cgi?charset=UTF8&amp;addr=%E7%A5%9E%E5%A5%88%E5%B7%9D%E7%9C%8C%E6%A8%AA%E6%B5%9C%E5%B8%82%E8%A5%BF%E5%8C%BA%E5%B9%B3%E6%B2%BC</v>
      </c>
      <c r="E1188" t="str">
        <f t="shared" si="74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1188" cm="1">
        <f t="array" ref="F1188">INDEX(_xlfn.FILTERXML(E1188,"//latitude"),1)</f>
        <v>35.460503000000003</v>
      </c>
      <c r="G1188" cm="1">
        <f t="array" ref="G1188">INDEX(_xlfn.FILTERXML(E1188,"//longitude"),1)</f>
        <v>139.61964399999999</v>
      </c>
      <c r="H1188">
        <v>35.460503000000003</v>
      </c>
      <c r="I1188">
        <v>139.61964399999999</v>
      </c>
    </row>
    <row r="1189" spans="1:9" x14ac:dyDescent="0.4">
      <c r="A1189" t="s">
        <v>12</v>
      </c>
      <c r="B1189" t="s">
        <v>36</v>
      </c>
      <c r="C1189" t="str">
        <f t="shared" si="72"/>
        <v>奈良県吉野郡大淀町福神</v>
      </c>
      <c r="D1189" s="2" t="str">
        <f t="shared" si="73"/>
        <v>http://geocode.csis.u-tokyo.ac.jp/cgi-bin/simple_geocode.cgi?charset=UTF8&amp;addr=%E5%A5%88%E8%89%AF%E7%9C%8C%E5%90%89%E9%87%8E%E9%83%A1%E5%A4%A7%E6%B7%80%E7%94%BA%E7%A6%8F%E7%A5%9E</v>
      </c>
      <c r="E1189" t="str">
        <f t="shared" si="74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189" cm="1">
        <f t="array" ref="F1189">INDEX(_xlfn.FILTERXML(E1189,"//latitude"),1)</f>
        <v>34.394787000000001</v>
      </c>
      <c r="G1189" cm="1">
        <f t="array" ref="G1189">INDEX(_xlfn.FILTERXML(E1189,"//longitude"),1)</f>
        <v>135.747253</v>
      </c>
      <c r="H1189">
        <v>34.394787000000001</v>
      </c>
      <c r="I1189">
        <v>135.747253</v>
      </c>
    </row>
    <row r="1190" spans="1:9" x14ac:dyDescent="0.4">
      <c r="A1190" t="s">
        <v>9</v>
      </c>
      <c r="B1190" t="s">
        <v>512</v>
      </c>
      <c r="C1190" t="str">
        <f t="shared" si="72"/>
        <v>東京都新宿区西早稲田</v>
      </c>
      <c r="D1190" s="2" t="str">
        <f t="shared" si="73"/>
        <v>http://geocode.csis.u-tokyo.ac.jp/cgi-bin/simple_geocode.cgi?charset=UTF8&amp;addr=%E6%9D%B1%E4%BA%AC%E9%83%BD%E6%96%B0%E5%AE%BF%E5%8C%BA%E8%A5%BF%E6%97%A9%E7%A8%B2%E7%94%B0</v>
      </c>
      <c r="E1190" t="str">
        <f t="shared" si="74"/>
        <v xml:space="preserve">&lt;?xml version="1.0" encoding="UTF-8" ?&gt;
&lt;results&gt;
&lt;query&gt;東京都新宿区西早稲田&lt;/query&gt;
&lt;geodetic&gt;wgs1984&lt;/geodetic&gt;
&lt;iConf&gt;5&lt;/iConf&gt;
&lt;converted&gt;東京都新宿区西早稲田&lt;/converted&gt;
&lt;candidate&gt;
&lt;address&gt;東京都/新宿区/西早稲田&lt;/address&gt;
&lt;longitude&gt;139.719025&lt;/longitude&gt;
&lt;latitude&gt;35.709820&lt;/latitude&gt;
&lt;iLvl&gt;5&lt;/iLvl&gt;
&lt;/candidate&gt;
&lt;/results&gt;
</v>
      </c>
      <c r="F1190" cm="1">
        <f t="array" ref="F1190">INDEX(_xlfn.FILTERXML(E1190,"//latitude"),1)</f>
        <v>35.709820000000001</v>
      </c>
      <c r="G1190" cm="1">
        <f t="array" ref="G1190">INDEX(_xlfn.FILTERXML(E1190,"//longitude"),1)</f>
        <v>139.71902499999999</v>
      </c>
      <c r="H1190">
        <v>35.709820000000001</v>
      </c>
      <c r="I1190">
        <v>139.71902499999999</v>
      </c>
    </row>
    <row r="1191" spans="1:9" x14ac:dyDescent="0.4">
      <c r="A1191" t="s">
        <v>15</v>
      </c>
      <c r="B1191" t="s">
        <v>208</v>
      </c>
      <c r="C1191" t="str">
        <f t="shared" si="72"/>
        <v>兵庫県川西市</v>
      </c>
      <c r="D1191" s="2" t="str">
        <f t="shared" si="73"/>
        <v>http://geocode.csis.u-tokyo.ac.jp/cgi-bin/simple_geocode.cgi?charset=UTF8&amp;addr=%E5%85%B5%E5%BA%AB%E7%9C%8C%E5%B7%9D%E8%A5%BF%E5%B8%82</v>
      </c>
      <c r="E1191" t="str">
        <f t="shared" si="74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191" cm="1">
        <f t="array" ref="F1191">INDEX(_xlfn.FILTERXML(E1191,"//latitude"),1)</f>
        <v>34.830131999999999</v>
      </c>
      <c r="G1191" cm="1">
        <f t="array" ref="G1191">INDEX(_xlfn.FILTERXML(E1191,"//longitude"),1)</f>
        <v>135.41722100000001</v>
      </c>
      <c r="H1191">
        <v>34.830131999999999</v>
      </c>
      <c r="I1191">
        <v>135.41722100000001</v>
      </c>
    </row>
    <row r="1192" spans="1:9" x14ac:dyDescent="0.4">
      <c r="A1192" t="s">
        <v>13</v>
      </c>
      <c r="B1192" t="s">
        <v>1119</v>
      </c>
      <c r="C1192" t="str">
        <f t="shared" si="72"/>
        <v>埼玉県戸田市</v>
      </c>
      <c r="D1192" s="2" t="str">
        <f t="shared" si="73"/>
        <v>http://geocode.csis.u-tokyo.ac.jp/cgi-bin/simple_geocode.cgi?charset=UTF8&amp;addr=%E5%9F%BC%E7%8E%89%E7%9C%8C%E6%88%B8%E7%94%B0%E5%B8%82</v>
      </c>
      <c r="E1192" t="str">
        <f t="shared" si="74"/>
        <v xml:space="preserve">&lt;?xml version="1.0" encoding="UTF-8" ?&gt;
&lt;results&gt;
&lt;query&gt;埼玉県戸田市&lt;/query&gt;
&lt;geodetic&gt;wgs1984&lt;/geodetic&gt;
&lt;iConf&gt;5&lt;/iConf&gt;
&lt;converted&gt;埼玉県戸田市&lt;/converted&gt;
&lt;candidate&gt;
&lt;address&gt;埼玉県/戸田市&lt;/address&gt;
&lt;longitude&gt;139.677933&lt;/longitude&gt;
&lt;latitude&gt;35.817635&lt;/latitude&gt;
&lt;iLvl&gt;3&lt;/iLvl&gt;
&lt;/candidate&gt;
&lt;/results&gt;
</v>
      </c>
      <c r="F1192" cm="1">
        <f t="array" ref="F1192">INDEX(_xlfn.FILTERXML(E1192,"//latitude"),1)</f>
        <v>35.817635000000003</v>
      </c>
      <c r="G1192" cm="1">
        <f t="array" ref="G1192">INDEX(_xlfn.FILTERXML(E1192,"//longitude"),1)</f>
        <v>139.677933</v>
      </c>
      <c r="H1192">
        <v>35.817635000000003</v>
      </c>
      <c r="I1192">
        <v>139.677933</v>
      </c>
    </row>
    <row r="1193" spans="1:9" x14ac:dyDescent="0.4">
      <c r="A1193" t="s">
        <v>25</v>
      </c>
      <c r="B1193" t="s">
        <v>1120</v>
      </c>
      <c r="C1193" t="str">
        <f t="shared" si="72"/>
        <v>香川県高松市</v>
      </c>
      <c r="D1193" s="2" t="str">
        <f t="shared" si="73"/>
        <v>http://geocode.csis.u-tokyo.ac.jp/cgi-bin/simple_geocode.cgi?charset=UTF8&amp;addr=%E9%A6%99%E5%B7%9D%E7%9C%8C%E9%AB%98%E6%9D%BE%E5%B8%82</v>
      </c>
      <c r="E1193" t="str">
        <f t="shared" si="74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1193" cm="1">
        <f t="array" ref="F1193">INDEX(_xlfn.FILTERXML(E1193,"//latitude"),1)</f>
        <v>34.342793</v>
      </c>
      <c r="G1193" cm="1">
        <f t="array" ref="G1193">INDEX(_xlfn.FILTERXML(E1193,"//longitude"),1)</f>
        <v>134.04657</v>
      </c>
      <c r="H1193">
        <v>34.342793</v>
      </c>
      <c r="I1193">
        <v>134.04657</v>
      </c>
    </row>
    <row r="1194" spans="1:9" x14ac:dyDescent="0.4">
      <c r="A1194" t="s">
        <v>9</v>
      </c>
      <c r="B1194" t="s">
        <v>861</v>
      </c>
      <c r="C1194" t="str">
        <f t="shared" si="72"/>
        <v>東京都板橋区徳丸</v>
      </c>
      <c r="D1194" s="2" t="str">
        <f t="shared" si="73"/>
        <v>http://geocode.csis.u-tokyo.ac.jp/cgi-bin/simple_geocode.cgi?charset=UTF8&amp;addr=%E6%9D%B1%E4%BA%AC%E9%83%BD%E6%9D%BF%E6%A9%8B%E5%8C%BA%E5%BE%B3%E4%B8%B8</v>
      </c>
      <c r="E1194" t="str">
        <f t="shared" si="74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1194" cm="1">
        <f t="array" ref="F1194">INDEX(_xlfn.FILTERXML(E1194,"//latitude"),1)</f>
        <v>35.771675000000002</v>
      </c>
      <c r="G1194" cm="1">
        <f t="array" ref="G1194">INDEX(_xlfn.FILTERXML(E1194,"//longitude"),1)</f>
        <v>139.66551200000001</v>
      </c>
      <c r="H1194">
        <v>35.771675000000002</v>
      </c>
      <c r="I1194">
        <v>139.66551200000001</v>
      </c>
    </row>
    <row r="1195" spans="1:9" x14ac:dyDescent="0.4">
      <c r="A1195" t="s">
        <v>15</v>
      </c>
      <c r="B1195" t="s">
        <v>208</v>
      </c>
      <c r="C1195" t="str">
        <f t="shared" si="72"/>
        <v>兵庫県川西市</v>
      </c>
      <c r="D1195" s="2" t="str">
        <f t="shared" si="73"/>
        <v>http://geocode.csis.u-tokyo.ac.jp/cgi-bin/simple_geocode.cgi?charset=UTF8&amp;addr=%E5%85%B5%E5%BA%AB%E7%9C%8C%E5%B7%9D%E8%A5%BF%E5%B8%82</v>
      </c>
      <c r="E1195" t="str">
        <f t="shared" si="74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195" cm="1">
        <f t="array" ref="F1195">INDEX(_xlfn.FILTERXML(E1195,"//latitude"),1)</f>
        <v>34.830131999999999</v>
      </c>
      <c r="G1195" cm="1">
        <f t="array" ref="G1195">INDEX(_xlfn.FILTERXML(E1195,"//longitude"),1)</f>
        <v>135.41722100000001</v>
      </c>
      <c r="H1195">
        <v>34.830131999999999</v>
      </c>
      <c r="I1195">
        <v>135.41722100000001</v>
      </c>
    </row>
    <row r="1196" spans="1:9" x14ac:dyDescent="0.4">
      <c r="A1196" t="s">
        <v>9</v>
      </c>
      <c r="B1196" t="s">
        <v>513</v>
      </c>
      <c r="C1196" t="str">
        <f t="shared" si="72"/>
        <v>東京都足立東綾瀬</v>
      </c>
      <c r="D1196" s="2" t="str">
        <f t="shared" si="73"/>
        <v>http://geocode.csis.u-tokyo.ac.jp/cgi-bin/simple_geocode.cgi?charset=UTF8&amp;addr=%E6%9D%B1%E4%BA%AC%E9%83%BD%E8%B6%B3%E7%AB%8B%E6%9D%B1%E7%B6%BE%E7%80%AC</v>
      </c>
      <c r="E1196" t="str">
        <f t="shared" si="74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1196" cm="1">
        <f t="array" ref="F1196">INDEX(_xlfn.FILTERXML(E1196,"//latitude"),1)</f>
        <v>35.774943999999998</v>
      </c>
      <c r="G1196" cm="1">
        <f t="array" ref="G1196">INDEX(_xlfn.FILTERXML(E1196,"//longitude"),1)</f>
        <v>139.80458100000001</v>
      </c>
      <c r="H1196">
        <v>35.774943999999998</v>
      </c>
      <c r="I1196">
        <v>139.80458100000001</v>
      </c>
    </row>
    <row r="1197" spans="1:9" x14ac:dyDescent="0.4">
      <c r="A1197" t="s">
        <v>118</v>
      </c>
      <c r="B1197" t="s">
        <v>183</v>
      </c>
      <c r="C1197" t="str">
        <f t="shared" si="72"/>
        <v>北海道札幌市豊平区月寒東5条16丁目</v>
      </c>
      <c r="D1197" s="2" t="str">
        <f t="shared" si="73"/>
        <v>http://geocode.csis.u-tokyo.ac.jp/cgi-bin/simple_geocode.cgi?charset=UTF8&amp;addr=%E5%8C%97%E6%B5%B7%E9%81%93%E6%9C%AD%E5%B9%8C%E5%B8%82%E8%B1%8A%E5%B9%B3%E5%8C%BA%E6%9C%88%E5%AF%92%E6%9D%B15%E6%9D%A116%E4%B8%81%E7%9B%AE</v>
      </c>
      <c r="E1197" t="str">
        <f t="shared" si="74"/>
        <v xml:space="preserve">&lt;?xml version="1.0" encoding="UTF-8" ?&gt;
&lt;results&gt;
&lt;query&gt;北海道札幌市豊平区月寒東5条16丁目&lt;/query&gt;
&lt;geodetic&gt;wgs1984&lt;/geodetic&gt;
&lt;iConf&gt;5&lt;/iConf&gt;
&lt;converted&gt;北海道札幌市豊平区月寒東5条16丁目&lt;/converted&gt;
&lt;candidate&gt;
&lt;address&gt;北海道/札幌市/豊平区/月寒東五条/十六丁目&lt;/address&gt;
&lt;longitude&gt;141.425369&lt;/longitude&gt;
&lt;latitude&gt;43.027878&lt;/latitude&gt;
&lt;iLvl&gt;6&lt;/iLvl&gt;
&lt;/candidate&gt;
&lt;/results&gt;
</v>
      </c>
      <c r="F1197" cm="1">
        <f t="array" ref="F1197">INDEX(_xlfn.FILTERXML(E1197,"//latitude"),1)</f>
        <v>43.027878000000001</v>
      </c>
      <c r="G1197" cm="1">
        <f t="array" ref="G1197">INDEX(_xlfn.FILTERXML(E1197,"//longitude"),1)</f>
        <v>141.42536899999999</v>
      </c>
      <c r="H1197">
        <v>43.027878000000001</v>
      </c>
      <c r="I1197">
        <v>141.42536899999999</v>
      </c>
    </row>
    <row r="1198" spans="1:9" x14ac:dyDescent="0.4">
      <c r="A1198" t="s">
        <v>15</v>
      </c>
      <c r="B1198" t="s">
        <v>208</v>
      </c>
      <c r="C1198" t="str">
        <f t="shared" si="72"/>
        <v>兵庫県川西市</v>
      </c>
      <c r="D1198" s="2" t="str">
        <f t="shared" si="73"/>
        <v>http://geocode.csis.u-tokyo.ac.jp/cgi-bin/simple_geocode.cgi?charset=UTF8&amp;addr=%E5%85%B5%E5%BA%AB%E7%9C%8C%E5%B7%9D%E8%A5%BF%E5%B8%82</v>
      </c>
      <c r="E1198" t="str">
        <f t="shared" si="74"/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1198" cm="1">
        <f t="array" ref="F1198">INDEX(_xlfn.FILTERXML(E1198,"//latitude"),1)</f>
        <v>34.830131999999999</v>
      </c>
      <c r="G1198" cm="1">
        <f t="array" ref="G1198">INDEX(_xlfn.FILTERXML(E1198,"//longitude"),1)</f>
        <v>135.41722100000001</v>
      </c>
      <c r="H1198">
        <v>34.830131999999999</v>
      </c>
      <c r="I1198">
        <v>135.41722100000001</v>
      </c>
    </row>
    <row r="1199" spans="1:9" x14ac:dyDescent="0.4">
      <c r="A1199" t="s">
        <v>9</v>
      </c>
      <c r="B1199" t="s">
        <v>147</v>
      </c>
      <c r="C1199" t="str">
        <f t="shared" si="72"/>
        <v>東京都葛飾区白鳥</v>
      </c>
      <c r="D1199" s="2" t="str">
        <f t="shared" si="73"/>
        <v>http://geocode.csis.u-tokyo.ac.jp/cgi-bin/simple_geocode.cgi?charset=UTF8&amp;addr=%E6%9D%B1%E4%BA%AC%E9%83%BD%E8%91%9B%E9%A3%BE%E5%8C%BA%E7%99%BD%E9%B3%A5</v>
      </c>
      <c r="E1199" t="str">
        <f t="shared" si="74"/>
        <v xml:space="preserve">&lt;?xml version="1.0" encoding="UTF-8" ?&gt;
&lt;results&gt;
&lt;query&gt;東京都葛飾区白鳥&lt;/query&gt;
&lt;geodetic&gt;wgs1984&lt;/geodetic&gt;
&lt;iConf&gt;5&lt;/iConf&gt;
&lt;converted&gt;東京都葛飾区白鳥&lt;/converted&gt;
&lt;candidate&gt;
&lt;address&gt;東京都/葛飾区/白鳥&lt;/address&gt;
&lt;longitude&gt;139.842667&lt;/longitude&gt;
&lt;latitude&gt;35.745796&lt;/latitude&gt;
&lt;iLvl&gt;5&lt;/iLvl&gt;
&lt;/candidate&gt;
&lt;/results&gt;
</v>
      </c>
      <c r="F1199" cm="1">
        <f t="array" ref="F1199">INDEX(_xlfn.FILTERXML(E1199,"//latitude"),1)</f>
        <v>35.745795999999999</v>
      </c>
      <c r="G1199" cm="1">
        <f t="array" ref="G1199">INDEX(_xlfn.FILTERXML(E1199,"//longitude"),1)</f>
        <v>139.84266700000001</v>
      </c>
      <c r="H1199">
        <v>35.745795999999999</v>
      </c>
      <c r="I1199">
        <v>139.84266700000001</v>
      </c>
    </row>
    <row r="1200" spans="1:9" x14ac:dyDescent="0.4">
      <c r="A1200" t="s">
        <v>14</v>
      </c>
      <c r="B1200" t="s">
        <v>125</v>
      </c>
      <c r="C1200" t="str">
        <f t="shared" si="72"/>
        <v>広島県広島市南区翠</v>
      </c>
      <c r="D1200" s="2" t="str">
        <f t="shared" si="73"/>
        <v>http://geocode.csis.u-tokyo.ac.jp/cgi-bin/simple_geocode.cgi?charset=UTF8&amp;addr=%E5%BA%83%E5%B3%B6%E7%9C%8C%E5%BA%83%E5%B3%B6%E5%B8%82%E5%8D%97%E5%8C%BA%E7%BF%A0</v>
      </c>
      <c r="E1200" t="str">
        <f t="shared" si="74"/>
        <v xml:space="preserve">&lt;?xml version="1.0" encoding="UTF-8" ?&gt;
&lt;results&gt;
&lt;query&gt;広島県広島市南区翠&lt;/query&gt;
&lt;geodetic&gt;wgs1984&lt;/geodetic&gt;
&lt;iConf&gt;5&lt;/iConf&gt;
&lt;converted&gt;広島県広島市南区翠&lt;/converted&gt;
&lt;candidate&gt;
&lt;address&gt;広島県/広島市/南区/翠&lt;/address&gt;
&lt;longitude&gt;132.466278&lt;/longitude&gt;
&lt;latitude&gt;34.371147&lt;/latitude&gt;
&lt;iLvl&gt;5&lt;/iLvl&gt;
&lt;/candidate&gt;
&lt;/results&gt;
</v>
      </c>
      <c r="F1200" cm="1">
        <f t="array" ref="F1200">INDEX(_xlfn.FILTERXML(E1200,"//latitude"),1)</f>
        <v>34.371147000000001</v>
      </c>
      <c r="G1200" cm="1">
        <f t="array" ref="G1200">INDEX(_xlfn.FILTERXML(E1200,"//longitude"),1)</f>
        <v>132.46627799999999</v>
      </c>
      <c r="H1200">
        <v>34.371147000000001</v>
      </c>
      <c r="I1200">
        <v>132.46627799999999</v>
      </c>
    </row>
    <row r="1201" spans="1:9" x14ac:dyDescent="0.4">
      <c r="A1201" t="s">
        <v>29</v>
      </c>
      <c r="B1201" t="s">
        <v>222</v>
      </c>
      <c r="C1201" t="str">
        <f t="shared" si="72"/>
        <v>静岡県浜松市浜名区新原</v>
      </c>
      <c r="D1201" s="2" t="str">
        <f t="shared" si="73"/>
        <v>http://geocode.csis.u-tokyo.ac.jp/cgi-bin/simple_geocode.cgi?charset=UTF8&amp;addr=%E9%9D%99%E5%B2%A1%E7%9C%8C%E6%B5%9C%E6%9D%BE%E5%B8%82%E6%B5%9C%E5%90%8D%E5%8C%BA%E6%96%B0%E5%8E%9F</v>
      </c>
      <c r="E1201" t="str">
        <f t="shared" si="74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1201" cm="1">
        <f t="array" ref="F1201">INDEX(_xlfn.FILTERXML(E1201,"//latitude"),1)</f>
        <v>34.81485</v>
      </c>
      <c r="G1201" cm="1">
        <f t="array" ref="G1201">INDEX(_xlfn.FILTERXML(E1201,"//longitude"),1)</f>
        <v>137.78272999999999</v>
      </c>
      <c r="H1201">
        <v>34.81485</v>
      </c>
      <c r="I1201">
        <v>137.78272999999999</v>
      </c>
    </row>
    <row r="1202" spans="1:9" x14ac:dyDescent="0.4">
      <c r="A1202" t="s">
        <v>19</v>
      </c>
      <c r="B1202" t="s">
        <v>72</v>
      </c>
      <c r="C1202" t="str">
        <f t="shared" si="72"/>
        <v>滋賀県彦根市西沼波町</v>
      </c>
      <c r="D1202" s="2" t="str">
        <f t="shared" si="73"/>
        <v>http://geocode.csis.u-tokyo.ac.jp/cgi-bin/simple_geocode.cgi?charset=UTF8&amp;addr=%E6%BB%8B%E8%B3%80%E7%9C%8C%E5%BD%A6%E6%A0%B9%E5%B8%82%E8%A5%BF%E6%B2%BC%E6%B3%A2%E7%94%BA</v>
      </c>
      <c r="E1202" t="str">
        <f t="shared" si="74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1202" cm="1">
        <f t="array" ref="F1202">INDEX(_xlfn.FILTERXML(E1202,"//latitude"),1)</f>
        <v>35.256908000000003</v>
      </c>
      <c r="G1202" cm="1">
        <f t="array" ref="G1202">INDEX(_xlfn.FILTERXML(E1202,"//longitude"),1)</f>
        <v>136.263443</v>
      </c>
      <c r="H1202">
        <v>35.256908000000003</v>
      </c>
      <c r="I1202">
        <v>136.263443</v>
      </c>
    </row>
    <row r="1203" spans="1:9" x14ac:dyDescent="0.4">
      <c r="A1203" t="s">
        <v>29</v>
      </c>
      <c r="B1203" t="s">
        <v>222</v>
      </c>
      <c r="C1203" t="str">
        <f t="shared" si="72"/>
        <v>静岡県浜松市浜名区新原</v>
      </c>
      <c r="D1203" s="2" t="str">
        <f t="shared" si="73"/>
        <v>http://geocode.csis.u-tokyo.ac.jp/cgi-bin/simple_geocode.cgi?charset=UTF8&amp;addr=%E9%9D%99%E5%B2%A1%E7%9C%8C%E6%B5%9C%E6%9D%BE%E5%B8%82%E6%B5%9C%E5%90%8D%E5%8C%BA%E6%96%B0%E5%8E%9F</v>
      </c>
      <c r="E1203" t="str">
        <f t="shared" si="74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1203" cm="1">
        <f t="array" ref="F1203">INDEX(_xlfn.FILTERXML(E1203,"//latitude"),1)</f>
        <v>34.81485</v>
      </c>
      <c r="G1203" cm="1">
        <f t="array" ref="G1203">INDEX(_xlfn.FILTERXML(E1203,"//longitude"),1)</f>
        <v>137.78272999999999</v>
      </c>
      <c r="H1203">
        <v>34.81485</v>
      </c>
      <c r="I1203">
        <v>137.78272999999999</v>
      </c>
    </row>
    <row r="1204" spans="1:9" x14ac:dyDescent="0.4">
      <c r="A1204" t="s">
        <v>15</v>
      </c>
      <c r="B1204" t="s">
        <v>194</v>
      </c>
      <c r="C1204" t="str">
        <f t="shared" si="72"/>
        <v>兵庫県神戸市垂水区川原</v>
      </c>
      <c r="D1204" s="2" t="str">
        <f t="shared" si="73"/>
        <v>http://geocode.csis.u-tokyo.ac.jp/cgi-bin/simple_geocode.cgi?charset=UTF8&amp;addr=%E5%85%B5%E5%BA%AB%E7%9C%8C%E7%A5%9E%E6%88%B8%E5%B8%82%E5%9E%82%E6%B0%B4%E5%8C%BA%E5%B7%9D%E5%8E%9F</v>
      </c>
      <c r="E1204" t="str">
        <f t="shared" si="74"/>
        <v xml:space="preserve">&lt;?xml version="1.0" encoding="UTF-8" ?&gt;
&lt;results&gt;
&lt;query&gt;兵庫県神戸市垂水区川原&lt;/query&gt;
&lt;geodetic&gt;wgs1984&lt;/geodetic&gt;
&lt;iConf&gt;5&lt;/iConf&gt;
&lt;converted&gt;兵庫県神戸市垂水区川原&lt;/converted&gt;
&lt;candidate&gt;
&lt;address&gt;兵庫県/神戸市/垂水区/川原&lt;/address&gt;
&lt;longitude&gt;135.058716&lt;/longitude&gt;
&lt;latitude&gt;34.629913&lt;/latitude&gt;
&lt;iLvl&gt;5&lt;/iLvl&gt;
&lt;/candidate&gt;
&lt;/results&gt;
</v>
      </c>
      <c r="F1204" cm="1">
        <f t="array" ref="F1204">INDEX(_xlfn.FILTERXML(E1204,"//latitude"),1)</f>
        <v>34.629913000000002</v>
      </c>
      <c r="G1204" cm="1">
        <f t="array" ref="G1204">INDEX(_xlfn.FILTERXML(E1204,"//longitude"),1)</f>
        <v>135.058716</v>
      </c>
      <c r="H1204">
        <v>34.629913000000002</v>
      </c>
      <c r="I1204">
        <v>135.058716</v>
      </c>
    </row>
    <row r="1205" spans="1:9" x14ac:dyDescent="0.4">
      <c r="A1205" t="s">
        <v>16</v>
      </c>
      <c r="B1205" t="s">
        <v>514</v>
      </c>
      <c r="C1205" t="str">
        <f t="shared" si="72"/>
        <v>長野県下伊那郡松川町元大島</v>
      </c>
      <c r="D1205" s="2" t="str">
        <f t="shared" si="73"/>
        <v>http://geocode.csis.u-tokyo.ac.jp/cgi-bin/simple_geocode.cgi?charset=UTF8&amp;addr=%E9%95%B7%E9%87%8E%E7%9C%8C%E4%B8%8B%E4%BC%8A%E9%82%A3%E9%83%A1%E6%9D%BE%E5%B7%9D%E7%94%BA%E5%85%83%E5%A4%A7%E5%B3%B6</v>
      </c>
      <c r="E1205" t="str">
        <f t="shared" si="74"/>
        <v xml:space="preserve">&lt;?xml version="1.0" encoding="UTF-8" ?&gt;
&lt;results&gt;
&lt;query&gt;長野県下伊那郡松川町元大島&lt;/query&gt;
&lt;geodetic&gt;wgs1984&lt;/geodetic&gt;
&lt;iConf&gt;5&lt;/iConf&gt;
&lt;converted&gt;長野県下伊那郡松川町元大島&lt;/converted&gt;
&lt;candidate&gt;
&lt;address&gt;長野県/下伊那郡/松川町/元大島&lt;/address&gt;
&lt;longitude&gt;137.909164&lt;/longitude&gt;
&lt;latitude&gt;35.593460&lt;/latitude&gt;
&lt;iLvl&gt;5&lt;/iLvl&gt;
&lt;/candidate&gt;
&lt;/results&gt;
</v>
      </c>
      <c r="F1205" cm="1">
        <f t="array" ref="F1205">INDEX(_xlfn.FILTERXML(E1205,"//latitude"),1)</f>
        <v>35.59346</v>
      </c>
      <c r="G1205" cm="1">
        <f t="array" ref="G1205">INDEX(_xlfn.FILTERXML(E1205,"//longitude"),1)</f>
        <v>137.909164</v>
      </c>
      <c r="H1205" s="3">
        <v>35.59346</v>
      </c>
      <c r="I1205" s="3">
        <v>137.909164</v>
      </c>
    </row>
    <row r="1206" spans="1:9" x14ac:dyDescent="0.4">
      <c r="A1206" t="s">
        <v>20</v>
      </c>
      <c r="B1206" t="s">
        <v>257</v>
      </c>
      <c r="C1206" t="str">
        <f t="shared" si="72"/>
        <v>茨城県土浦市右籾</v>
      </c>
      <c r="D1206" s="2" t="str">
        <f t="shared" si="73"/>
        <v>http://geocode.csis.u-tokyo.ac.jp/cgi-bin/simple_geocode.cgi?charset=UTF8&amp;addr=%E8%8C%A8%E5%9F%8E%E7%9C%8C%E5%9C%9F%E6%B5%A6%E5%B8%82%E5%8F%B3%E7%B1%BE</v>
      </c>
      <c r="E1206" t="str">
        <f t="shared" si="74"/>
        <v xml:space="preserve">&lt;?xml version="1.0" encoding="UTF-8" ?&gt;
&lt;results&gt;
&lt;query&gt;茨城県土浦市右籾&lt;/query&gt;
&lt;geodetic&gt;wgs1984&lt;/geodetic&gt;
&lt;iConf&gt;5&lt;/iConf&gt;
&lt;converted&gt;茨城県土浦市右籾&lt;/converted&gt;
&lt;candidate&gt;
&lt;address&gt;茨城県/土浦市/右籾&lt;/address&gt;
&lt;longitude&gt;140.185806&lt;/longitude&gt;
&lt;latitude&gt;36.043018&lt;/latitude&gt;
&lt;iLvl&gt;5&lt;/iLvl&gt;
&lt;/candidate&gt;
&lt;/results&gt;
</v>
      </c>
      <c r="F1206" cm="1">
        <f t="array" ref="F1206">INDEX(_xlfn.FILTERXML(E1206,"//latitude"),1)</f>
        <v>36.043018000000004</v>
      </c>
      <c r="G1206" cm="1">
        <f t="array" ref="G1206">INDEX(_xlfn.FILTERXML(E1206,"//longitude"),1)</f>
        <v>140.18580600000001</v>
      </c>
      <c r="H1206">
        <v>36.043018000000004</v>
      </c>
      <c r="I1206">
        <v>140.18580600000001</v>
      </c>
    </row>
    <row r="1207" spans="1:9" x14ac:dyDescent="0.4">
      <c r="A1207" t="s">
        <v>35</v>
      </c>
      <c r="B1207" t="s">
        <v>515</v>
      </c>
      <c r="C1207" t="str">
        <f t="shared" si="72"/>
        <v>宮崎県宮崎市出来島町</v>
      </c>
      <c r="D1207" s="2" t="str">
        <f t="shared" si="73"/>
        <v>http://geocode.csis.u-tokyo.ac.jp/cgi-bin/simple_geocode.cgi?charset=UTF8&amp;addr=%E5%AE%AE%E5%B4%8E%E7%9C%8C%E5%AE%AE%E5%B4%8E%E5%B8%82%E5%87%BA%E6%9D%A5%E5%B3%B6%E7%94%BA</v>
      </c>
      <c r="E1207" t="str">
        <f t="shared" si="74"/>
        <v xml:space="preserve">&lt;?xml version="1.0" encoding="UTF-8" ?&gt;
&lt;results&gt;
&lt;query&gt;宮崎県宮崎市出来島町&lt;/query&gt;
&lt;geodetic&gt;wgs1984&lt;/geodetic&gt;
&lt;iConf&gt;5&lt;/iConf&gt;
&lt;converted&gt;宮崎県宮崎市出来島町&lt;/converted&gt;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1207" cm="1">
        <f t="array" ref="F1207">INDEX(_xlfn.FILTERXML(E1207,"//latitude"),1)</f>
        <v>31.901689999999999</v>
      </c>
      <c r="G1207" cm="1">
        <f t="array" ref="G1207">INDEX(_xlfn.FILTERXML(E1207,"//longitude"),1)</f>
        <v>131.43656899999999</v>
      </c>
      <c r="H1207">
        <v>31.901689999999999</v>
      </c>
      <c r="I1207">
        <v>131.43656899999999</v>
      </c>
    </row>
    <row r="1208" spans="1:9" x14ac:dyDescent="0.4">
      <c r="A1208" t="s">
        <v>10</v>
      </c>
      <c r="B1208" t="s">
        <v>239</v>
      </c>
      <c r="C1208" t="str">
        <f t="shared" si="72"/>
        <v>神奈川県大和市中央林間</v>
      </c>
      <c r="D1208" s="2" t="str">
        <f t="shared" si="73"/>
        <v>http://geocode.csis.u-tokyo.ac.jp/cgi-bin/simple_geocode.cgi?charset=UTF8&amp;addr=%E7%A5%9E%E5%A5%88%E5%B7%9D%E7%9C%8C%E5%A4%A7%E5%92%8C%E5%B8%82%E4%B8%AD%E5%A4%AE%E6%9E%97%E9%96%93</v>
      </c>
      <c r="E1208" t="str">
        <f t="shared" si="74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1208" cm="1">
        <f t="array" ref="F1208">INDEX(_xlfn.FILTERXML(E1208,"//latitude"),1)</f>
        <v>35.503287999999998</v>
      </c>
      <c r="G1208" cm="1">
        <f t="array" ref="G1208">INDEX(_xlfn.FILTERXML(E1208,"//longitude"),1)</f>
        <v>139.44250500000001</v>
      </c>
      <c r="H1208">
        <v>35.503287999999998</v>
      </c>
      <c r="I1208">
        <v>139.44250500000001</v>
      </c>
    </row>
    <row r="1209" spans="1:9" x14ac:dyDescent="0.4">
      <c r="A1209" t="s">
        <v>10</v>
      </c>
      <c r="B1209" t="s">
        <v>103</v>
      </c>
      <c r="C1209" t="str">
        <f t="shared" si="72"/>
        <v>神奈川県川崎市宮前区</v>
      </c>
      <c r="D1209" s="2" t="str">
        <f t="shared" si="73"/>
        <v>http://geocode.csis.u-tokyo.ac.jp/cgi-bin/simple_geocode.cgi?charset=UTF8&amp;addr=%E7%A5%9E%E5%A5%88%E5%B7%9D%E7%9C%8C%E5%B7%9D%E5%B4%8E%E5%B8%82%E5%AE%AE%E5%89%8D%E5%8C%BA</v>
      </c>
      <c r="E1209" t="str">
        <f t="shared" si="74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1209" cm="1">
        <f t="array" ref="F1209">INDEX(_xlfn.FILTERXML(E1209,"//latitude"),1)</f>
        <v>35.589213999999998</v>
      </c>
      <c r="G1209" cm="1">
        <f t="array" ref="G1209">INDEX(_xlfn.FILTERXML(E1209,"//longitude"),1)</f>
        <v>139.57858300000001</v>
      </c>
      <c r="H1209">
        <v>35.589213999999998</v>
      </c>
      <c r="I1209">
        <v>139.57858300000001</v>
      </c>
    </row>
    <row r="1210" spans="1:9" x14ac:dyDescent="0.4">
      <c r="A1210" t="s">
        <v>35</v>
      </c>
      <c r="B1210" t="s">
        <v>57</v>
      </c>
      <c r="C1210" t="str">
        <f t="shared" si="72"/>
        <v>宮崎県宮崎市吉村町中原甲</v>
      </c>
      <c r="D1210" s="2" t="str">
        <f t="shared" si="73"/>
        <v>http://geocode.csis.u-tokyo.ac.jp/cgi-bin/simple_geocode.cgi?charset=UTF8&amp;addr=%E5%AE%AE%E5%B4%8E%E7%9C%8C%E5%AE%AE%E5%B4%8E%E5%B8%82%E5%90%89%E6%9D%91%E7%94%BA%E4%B8%AD%E5%8E%9F%E7%94%B2</v>
      </c>
      <c r="E1210" t="str">
        <f t="shared" si="74"/>
        <v xml:space="preserve">&lt;?xml version="1.0" encoding="UTF-8" ?&gt;
&lt;results&gt;
&lt;query&gt;宮崎県宮崎市吉村町中原甲&lt;/query&gt;
&lt;geodetic&gt;wgs1984&lt;/geodetic&gt;
&lt;iConf&gt;5&lt;/iConf&gt;
&lt;converted&gt;宮崎県宮崎市吉村町&lt;/converted&gt;
&lt;candidate&gt;
&lt;address&gt;宮崎県/宮崎市/吉村町&lt;/address&gt;
&lt;longitude&gt;131.443954&lt;/longitude&gt;
&lt;latitude&gt;31.919971&lt;/latitude&gt;
&lt;iLvl&gt;5&lt;/iLvl&gt;
&lt;/candidate&gt;
&lt;/results&gt;
</v>
      </c>
      <c r="F1210" cm="1">
        <f t="array" ref="F1210">INDEX(_xlfn.FILTERXML(E1210,"//latitude"),1)</f>
        <v>31.919971</v>
      </c>
      <c r="G1210" cm="1">
        <f t="array" ref="G1210">INDEX(_xlfn.FILTERXML(E1210,"//longitude"),1)</f>
        <v>131.44395399999999</v>
      </c>
      <c r="H1210">
        <v>31.919971</v>
      </c>
      <c r="I1210">
        <v>131.44395399999999</v>
      </c>
    </row>
    <row r="1211" spans="1:9" x14ac:dyDescent="0.4">
      <c r="A1211" t="s">
        <v>9</v>
      </c>
      <c r="B1211" t="s">
        <v>79</v>
      </c>
      <c r="C1211" t="str">
        <f t="shared" si="72"/>
        <v>東京都練馬区石神井町</v>
      </c>
      <c r="D1211" s="2" t="str">
        <f t="shared" si="73"/>
        <v>http://geocode.csis.u-tokyo.ac.jp/cgi-bin/simple_geocode.cgi?charset=UTF8&amp;addr=%E6%9D%B1%E4%BA%AC%E9%83%BD%E7%B7%B4%E9%A6%AC%E5%8C%BA%E7%9F%B3%E7%A5%9E%E4%BA%95%E7%94%BA</v>
      </c>
      <c r="E1211" t="str">
        <f t="shared" si="74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1211" cm="1">
        <f t="array" ref="F1211">INDEX(_xlfn.FILTERXML(E1211,"//latitude"),1)</f>
        <v>35.741249000000003</v>
      </c>
      <c r="G1211" cm="1">
        <f t="array" ref="G1211">INDEX(_xlfn.FILTERXML(E1211,"//longitude"),1)</f>
        <v>139.611557</v>
      </c>
      <c r="H1211">
        <v>35.741249000000003</v>
      </c>
      <c r="I1211">
        <v>139.611557</v>
      </c>
    </row>
    <row r="1212" spans="1:9" x14ac:dyDescent="0.4">
      <c r="A1212" t="s">
        <v>29</v>
      </c>
      <c r="B1212" t="s">
        <v>516</v>
      </c>
      <c r="C1212" t="str">
        <f t="shared" si="72"/>
        <v>静岡県沼津市東椎路</v>
      </c>
      <c r="D1212" s="2" t="str">
        <f t="shared" si="73"/>
        <v>http://geocode.csis.u-tokyo.ac.jp/cgi-bin/simple_geocode.cgi?charset=UTF8&amp;addr=%E9%9D%99%E5%B2%A1%E7%9C%8C%E6%B2%BC%E6%B4%A5%E5%B8%82%E6%9D%B1%E6%A4%8E%E8%B7%AF</v>
      </c>
      <c r="E1212" t="str">
        <f t="shared" si="74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1212" cm="1">
        <f t="array" ref="F1212">INDEX(_xlfn.FILTERXML(E1212,"//latitude"),1)</f>
        <v>35.128608999999997</v>
      </c>
      <c r="G1212" cm="1">
        <f t="array" ref="G1212">INDEX(_xlfn.FILTERXML(E1212,"//longitude"),1)</f>
        <v>138.837143</v>
      </c>
      <c r="H1212">
        <v>35.128608999999997</v>
      </c>
      <c r="I1212">
        <v>138.837143</v>
      </c>
    </row>
    <row r="1213" spans="1:9" x14ac:dyDescent="0.4">
      <c r="A1213" t="s">
        <v>115</v>
      </c>
      <c r="B1213" t="s">
        <v>174</v>
      </c>
      <c r="C1213" t="str">
        <f t="shared" si="72"/>
        <v>長崎県長崎市深堀町</v>
      </c>
      <c r="D1213" s="2" t="str">
        <f t="shared" si="73"/>
        <v>http://geocode.csis.u-tokyo.ac.jp/cgi-bin/simple_geocode.cgi?charset=UTF8&amp;addr=%E9%95%B7%E5%B4%8E%E7%9C%8C%E9%95%B7%E5%B4%8E%E5%B8%82%E6%B7%B1%E5%A0%80%E7%94%BA</v>
      </c>
      <c r="E1213" t="str">
        <f t="shared" si="74"/>
        <v xml:space="preserve">&lt;?xml version="1.0" encoding="UTF-8" ?&gt;
&lt;results&gt;
&lt;query&gt;長崎県長崎市深堀町&lt;/query&gt;
&lt;geodetic&gt;wgs1984&lt;/geodetic&gt;
&lt;iConf&gt;5&lt;/iConf&gt;
&lt;converted&gt;長崎県長崎市深堀町&lt;/converted&gt;
&lt;candidate&gt;
&lt;address&gt;長崎県/長崎市/深堀町&lt;/address&gt;
&lt;longitude&gt;129.831833&lt;/longitude&gt;
&lt;latitude&gt;32.684582&lt;/latitude&gt;
&lt;iLvl&gt;5&lt;/iLvl&gt;
&lt;/candidate&gt;
&lt;/results&gt;
</v>
      </c>
      <c r="F1213" cm="1">
        <f t="array" ref="F1213">INDEX(_xlfn.FILTERXML(E1213,"//latitude"),1)</f>
        <v>32.684581999999999</v>
      </c>
      <c r="G1213" cm="1">
        <f t="array" ref="G1213">INDEX(_xlfn.FILTERXML(E1213,"//longitude"),1)</f>
        <v>129.83183299999999</v>
      </c>
      <c r="H1213">
        <v>32.684581999999999</v>
      </c>
      <c r="I1213">
        <v>129.83183299999999</v>
      </c>
    </row>
    <row r="1214" spans="1:9" x14ac:dyDescent="0.4">
      <c r="A1214" t="s">
        <v>29</v>
      </c>
      <c r="B1214" t="s">
        <v>517</v>
      </c>
      <c r="C1214" t="str">
        <f t="shared" si="72"/>
        <v>静岡県静岡市駿河区西島</v>
      </c>
      <c r="D1214" s="2" t="str">
        <f t="shared" si="73"/>
        <v>http://geocode.csis.u-tokyo.ac.jp/cgi-bin/simple_geocode.cgi?charset=UTF8&amp;addr=%E9%9D%99%E5%B2%A1%E7%9C%8C%E9%9D%99%E5%B2%A1%E5%B8%82%E9%A7%BF%E6%B2%B3%E5%8C%BA%E8%A5%BF%E5%B3%B6</v>
      </c>
      <c r="E1214" t="str">
        <f t="shared" si="74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1214" cm="1">
        <f t="array" ref="F1214">INDEX(_xlfn.FILTERXML(E1214,"//latitude"),1)</f>
        <v>34.943291000000002</v>
      </c>
      <c r="G1214" cm="1">
        <f t="array" ref="G1214">INDEX(_xlfn.FILTERXML(E1214,"//longitude"),1)</f>
        <v>138.40498400000001</v>
      </c>
      <c r="H1214">
        <v>34.943291000000002</v>
      </c>
      <c r="I1214">
        <v>138.40498400000001</v>
      </c>
    </row>
    <row r="1215" spans="1:9" x14ac:dyDescent="0.4">
      <c r="A1215" t="s">
        <v>34</v>
      </c>
      <c r="B1215" t="s">
        <v>518</v>
      </c>
      <c r="C1215" t="str">
        <f t="shared" si="72"/>
        <v>岐阜県中津川市</v>
      </c>
      <c r="D1215" s="2" t="str">
        <f t="shared" si="73"/>
        <v>http://geocode.csis.u-tokyo.ac.jp/cgi-bin/simple_geocode.cgi?charset=UTF8&amp;addr=%E5%B2%90%E9%98%9C%E7%9C%8C%E4%B8%AD%E6%B4%A5%E5%B7%9D%E5%B8%82</v>
      </c>
      <c r="E1215" t="str">
        <f t="shared" si="74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1215" cm="1">
        <f t="array" ref="F1215">INDEX(_xlfn.FILTERXML(E1215,"//latitude"),1)</f>
        <v>35.487492000000003</v>
      </c>
      <c r="G1215" cm="1">
        <f t="array" ref="G1215">INDEX(_xlfn.FILTERXML(E1215,"//longitude"),1)</f>
        <v>137.50060999999999</v>
      </c>
      <c r="H1215">
        <v>35.487492000000003</v>
      </c>
      <c r="I1215">
        <v>137.50060999999999</v>
      </c>
    </row>
    <row r="1216" spans="1:9" x14ac:dyDescent="0.4">
      <c r="A1216" t="s">
        <v>15</v>
      </c>
      <c r="B1216" t="s">
        <v>138</v>
      </c>
      <c r="C1216" t="str">
        <f t="shared" si="72"/>
        <v>兵庫県西宮市神呪町</v>
      </c>
      <c r="D1216" s="2" t="str">
        <f t="shared" si="73"/>
        <v>http://geocode.csis.u-tokyo.ac.jp/cgi-bin/simple_geocode.cgi?charset=UTF8&amp;addr=%E5%85%B5%E5%BA%AB%E7%9C%8C%E8%A5%BF%E5%AE%AE%E5%B8%82%E7%A5%9E%E5%91%AA%E7%94%BA</v>
      </c>
      <c r="E1216" t="str">
        <f t="shared" si="74"/>
        <v xml:space="preserve">&lt;?xml version="1.0" encoding="UTF-8" ?&gt;
&lt;results&gt;
&lt;query&gt;兵庫県西宮市神呪町&lt;/query&gt;
&lt;geodetic&gt;wgs1984&lt;/geodetic&gt;
&lt;iConf&gt;5&lt;/iConf&gt;
&lt;converted&gt;兵庫県西宮市神呪町&lt;/converted&gt;
&lt;candidate&gt;
&lt;address&gt;兵庫県/西宮市/神呪町&lt;/address&gt;
&lt;longitude&gt;135.357193&lt;/longitude&gt;
&lt;latitude&gt;34.762478&lt;/latitude&gt;
&lt;iLvl&gt;5&lt;/iLvl&gt;
&lt;/candidate&gt;
&lt;/results&gt;
</v>
      </c>
      <c r="F1216" cm="1">
        <f t="array" ref="F1216">INDEX(_xlfn.FILTERXML(E1216,"//latitude"),1)</f>
        <v>34.762478000000002</v>
      </c>
      <c r="G1216" cm="1">
        <f t="array" ref="G1216">INDEX(_xlfn.FILTERXML(E1216,"//longitude"),1)</f>
        <v>135.357193</v>
      </c>
      <c r="H1216">
        <v>34.762478000000002</v>
      </c>
      <c r="I1216">
        <v>135.357193</v>
      </c>
    </row>
    <row r="1217" spans="1:9" x14ac:dyDescent="0.4">
      <c r="A1217" t="s">
        <v>29</v>
      </c>
      <c r="B1217" t="s">
        <v>519</v>
      </c>
      <c r="C1217" t="str">
        <f t="shared" si="72"/>
        <v>静岡県可児市</v>
      </c>
      <c r="D1217" s="2" t="str">
        <f t="shared" si="73"/>
        <v>http://geocode.csis.u-tokyo.ac.jp/cgi-bin/simple_geocode.cgi?charset=UTF8&amp;addr=%E9%9D%99%E5%B2%A1%E7%9C%8C%E5%8F%AF%E5%85%90%E5%B8%82</v>
      </c>
      <c r="E1217" t="str">
        <f t="shared" si="74"/>
        <v xml:space="preserve">&lt;?xml version="1.0" encoding="UTF-8" ?&gt;
&lt;results&gt;
&lt;query&gt;静岡県可児市&lt;/query&gt;
&lt;geodetic&gt;wgs1984&lt;/geodetic&gt;
&lt;iConf&gt;3&lt;/iConf&gt;
&lt;converted&gt;静岡県&lt;/converted&gt;
&lt;candidate&gt;
&lt;address&gt;静岡県&lt;/address&gt;
&lt;longitude&gt;138.382385&lt;/longitude&gt;
&lt;latitude&gt;34.975471&lt;/latitude&gt;
&lt;iLvl&gt;1&lt;/iLvl&gt;
&lt;/candidate&gt;
&lt;/results&gt;
</v>
      </c>
      <c r="F1217" cm="1">
        <f t="array" ref="F1217">INDEX(_xlfn.FILTERXML(E1217,"//latitude"),1)</f>
        <v>34.975470999999999</v>
      </c>
      <c r="G1217" cm="1">
        <f t="array" ref="G1217">INDEX(_xlfn.FILTERXML(E1217,"//longitude"),1)</f>
        <v>138.382385</v>
      </c>
      <c r="H1217">
        <v>34.975470999999999</v>
      </c>
      <c r="I1217">
        <v>138.382385</v>
      </c>
    </row>
    <row r="1218" spans="1:9" x14ac:dyDescent="0.4">
      <c r="A1218" t="s">
        <v>34</v>
      </c>
      <c r="B1218" t="s">
        <v>518</v>
      </c>
      <c r="C1218" t="str">
        <f t="shared" si="72"/>
        <v>岐阜県中津川市</v>
      </c>
      <c r="D1218" s="2" t="str">
        <f t="shared" si="73"/>
        <v>http://geocode.csis.u-tokyo.ac.jp/cgi-bin/simple_geocode.cgi?charset=UTF8&amp;addr=%E5%B2%90%E9%98%9C%E7%9C%8C%E4%B8%AD%E6%B4%A5%E5%B7%9D%E5%B8%82</v>
      </c>
      <c r="E1218" t="str">
        <f t="shared" si="74"/>
        <v xml:space="preserve">&lt;?xml version="1.0" encoding="UTF-8" ?&gt;
&lt;results&gt;
&lt;query&gt;岐阜県中津川市&lt;/query&gt;
&lt;geodetic&gt;wgs1984&lt;/geodetic&gt;
&lt;iConf&gt;5&lt;/iConf&gt;
&lt;converted&gt;岐阜県中津川市&lt;/converted&gt;
&lt;candidate&gt;
&lt;address&gt;岐阜県/中津川市&lt;/address&gt;
&lt;longitude&gt;137.500610&lt;/longitude&gt;
&lt;latitude&gt;35.487492&lt;/latitude&gt;
&lt;iLvl&gt;3&lt;/iLvl&gt;
&lt;/candidate&gt;
&lt;/results&gt;
</v>
      </c>
      <c r="F1218" cm="1">
        <f t="array" ref="F1218">INDEX(_xlfn.FILTERXML(E1218,"//latitude"),1)</f>
        <v>35.487492000000003</v>
      </c>
      <c r="G1218" cm="1">
        <f t="array" ref="G1218">INDEX(_xlfn.FILTERXML(E1218,"//longitude"),1)</f>
        <v>137.50060999999999</v>
      </c>
      <c r="H1218">
        <v>35.487492000000003</v>
      </c>
      <c r="I1218">
        <v>137.50060999999999</v>
      </c>
    </row>
    <row r="1219" spans="1:9" x14ac:dyDescent="0.4">
      <c r="A1219" t="s">
        <v>10</v>
      </c>
      <c r="B1219" t="s">
        <v>520</v>
      </c>
      <c r="C1219" t="str">
        <f t="shared" si="72"/>
        <v>神奈川県相模原市緑区</v>
      </c>
      <c r="D1219" s="2" t="str">
        <f t="shared" si="73"/>
        <v>http://geocode.csis.u-tokyo.ac.jp/cgi-bin/simple_geocode.cgi?charset=UTF8&amp;addr=%E7%A5%9E%E5%A5%88%E5%B7%9D%E7%9C%8C%E7%9B%B8%E6%A8%A1%E5%8E%9F%E5%B8%82%E7%B7%91%E5%8C%BA</v>
      </c>
      <c r="E1219" t="str">
        <f t="shared" si="74"/>
        <v xml:space="preserve">&lt;?xml version="1.0" encoding="UTF-8" ?&gt;
&lt;results&gt;
&lt;query&gt;神奈川県相模原市緑区&lt;/query&gt;
&lt;geodetic&gt;wgs1984&lt;/geodetic&gt;
&lt;iConf&gt;5&lt;/iConf&gt;
&lt;converted&gt;神奈川県相模原市緑区&lt;/converted&gt;
&lt;candidate&gt;
&lt;address&gt;神奈川県/相模原市/緑区&lt;/address&gt;
&lt;longitude&gt;139.337585&lt;/longitude&gt;
&lt;latitude&gt;35.595638&lt;/latitude&gt;
&lt;iLvl&gt;4&lt;/iLvl&gt;
&lt;/candidate&gt;
&lt;/results&gt;
</v>
      </c>
      <c r="F1219" cm="1">
        <f t="array" ref="F1219">INDEX(_xlfn.FILTERXML(E1219,"//latitude"),1)</f>
        <v>35.595638000000001</v>
      </c>
      <c r="G1219" cm="1">
        <f t="array" ref="G1219">INDEX(_xlfn.FILTERXML(E1219,"//longitude"),1)</f>
        <v>139.33758499999999</v>
      </c>
      <c r="H1219">
        <v>35.595638000000001</v>
      </c>
      <c r="I1219">
        <v>139.33758499999999</v>
      </c>
    </row>
    <row r="1220" spans="1:9" x14ac:dyDescent="0.4">
      <c r="A1220" t="s">
        <v>46</v>
      </c>
      <c r="B1220" t="s">
        <v>96</v>
      </c>
      <c r="C1220" t="str">
        <f t="shared" si="72"/>
        <v>山口県宇部市</v>
      </c>
      <c r="D1220" s="2" t="str">
        <f t="shared" si="73"/>
        <v>http://geocode.csis.u-tokyo.ac.jp/cgi-bin/simple_geocode.cgi?charset=UTF8&amp;addr=%E5%B1%B1%E5%8F%A3%E7%9C%8C%E5%AE%87%E9%83%A8%E5%B8%82</v>
      </c>
      <c r="E1220" t="str">
        <f t="shared" si="74"/>
        <v xml:space="preserve">&lt;?xml version="1.0" encoding="UTF-8" ?&gt;
&lt;results&gt;
&lt;query&gt;山口県宇部市&lt;/query&gt;
&lt;geodetic&gt;wgs1984&lt;/geodetic&gt;
&lt;iConf&gt;5&lt;/iConf&gt;
&lt;converted&gt;山口県宇部市&lt;/converted&gt;
&lt;candidate&gt;
&lt;address&gt;山口県/宇部市&lt;/address&gt;
&lt;longitude&gt;131.246765&lt;/longitude&gt;
&lt;latitude&gt;33.951622&lt;/latitude&gt;
&lt;iLvl&gt;3&lt;/iLvl&gt;
&lt;/candidate&gt;
&lt;/results&gt;
</v>
      </c>
      <c r="F1220" cm="1">
        <f t="array" ref="F1220">INDEX(_xlfn.FILTERXML(E1220,"//latitude"),1)</f>
        <v>33.951622</v>
      </c>
      <c r="G1220" cm="1">
        <f t="array" ref="G1220">INDEX(_xlfn.FILTERXML(E1220,"//longitude"),1)</f>
        <v>131.24676500000001</v>
      </c>
      <c r="H1220">
        <v>33.951622</v>
      </c>
      <c r="I1220">
        <v>131.24676500000001</v>
      </c>
    </row>
    <row r="1221" spans="1:9" x14ac:dyDescent="0.4">
      <c r="A1221" t="s">
        <v>17</v>
      </c>
      <c r="B1221" t="s">
        <v>521</v>
      </c>
      <c r="C1221" t="str">
        <f t="shared" si="72"/>
        <v>愛知県名古屋市昭和区松風町</v>
      </c>
      <c r="D1221" s="2" t="str">
        <f t="shared" si="73"/>
        <v>http://geocode.csis.u-tokyo.ac.jp/cgi-bin/simple_geocode.cgi?charset=UTF8&amp;addr=%E6%84%9B%E7%9F%A5%E7%9C%8C%E5%90%8D%E5%8F%A4%E5%B1%8B%E5%B8%82%E6%98%AD%E5%92%8C%E5%8C%BA%E6%9D%BE%E9%A2%A8%E7%94%BA</v>
      </c>
      <c r="E1221" t="str">
        <f t="shared" si="74"/>
        <v xml:space="preserve">&lt;?xml version="1.0" encoding="UTF-8" ?&gt;
&lt;results&gt;
&lt;query&gt;愛知県名古屋市昭和区松風町&lt;/query&gt;
&lt;geodetic&gt;wgs1984&lt;/geodetic&gt;
&lt;iConf&gt;5&lt;/iConf&gt;
&lt;converted&gt;愛知県名古屋市昭和区松風町&lt;/converted&gt;
&lt;candidate&gt;
&lt;address&gt;愛知県/名古屋市/昭和区/松風町&lt;/address&gt;
&lt;longitude&gt;136.928009&lt;/longitude&gt;
&lt;latitude&gt;35.146622&lt;/latitude&gt;
&lt;iLvl&gt;5&lt;/iLvl&gt;
&lt;/candidate&gt;
&lt;/results&gt;
</v>
      </c>
      <c r="F1221" cm="1">
        <f t="array" ref="F1221">INDEX(_xlfn.FILTERXML(E1221,"//latitude"),1)</f>
        <v>35.146622000000001</v>
      </c>
      <c r="G1221" cm="1">
        <f t="array" ref="G1221">INDEX(_xlfn.FILTERXML(E1221,"//longitude"),1)</f>
        <v>136.928009</v>
      </c>
      <c r="H1221">
        <v>35.146622000000001</v>
      </c>
      <c r="I1221">
        <v>136.928009</v>
      </c>
    </row>
    <row r="1222" spans="1:9" x14ac:dyDescent="0.4">
      <c r="A1222" t="s">
        <v>16</v>
      </c>
      <c r="B1222" t="s">
        <v>97</v>
      </c>
      <c r="C1222" t="str">
        <f t="shared" si="72"/>
        <v>長野県駒ヶ根市</v>
      </c>
      <c r="D1222" s="2" t="str">
        <f t="shared" si="73"/>
        <v>http://geocode.csis.u-tokyo.ac.jp/cgi-bin/simple_geocode.cgi?charset=UTF8&amp;addr=%E9%95%B7%E9%87%8E%E7%9C%8C%E9%A7%92%E3%83%B6%E6%A0%B9%E5%B8%82</v>
      </c>
      <c r="E1222" t="str">
        <f t="shared" si="74"/>
        <v xml:space="preserve">&lt;?xml version="1.0" encoding="UTF-8" ?&gt;
&lt;results&gt;
&lt;query&gt;長野県駒ヶ根市&lt;/query&gt;
&lt;geodetic&gt;wgs1984&lt;/geodetic&gt;
&lt;iConf&gt;5&lt;/iConf&gt;
&lt;converted&gt;長野県駒ヶ根市&lt;/converted&gt;
&lt;candidate&gt;
&lt;address&gt;長野県/駒ヶ根市&lt;/address&gt;
&lt;longitude&gt;137.933990&lt;/longitude&gt;
&lt;latitude&gt;35.728863&lt;/latitude&gt;
&lt;iLvl&gt;3&lt;/iLvl&gt;
&lt;/candidate&gt;
&lt;/results&gt;
</v>
      </c>
      <c r="F1222" cm="1">
        <f t="array" ref="F1222">INDEX(_xlfn.FILTERXML(E1222,"//latitude"),1)</f>
        <v>35.728862999999997</v>
      </c>
      <c r="G1222" cm="1">
        <f t="array" ref="G1222">INDEX(_xlfn.FILTERXML(E1222,"//longitude"),1)</f>
        <v>137.93398999999999</v>
      </c>
      <c r="H1222">
        <v>35.728862999999997</v>
      </c>
      <c r="I1222">
        <v>137.93398999999999</v>
      </c>
    </row>
    <row r="1223" spans="1:9" x14ac:dyDescent="0.4">
      <c r="A1223" t="s">
        <v>144</v>
      </c>
      <c r="B1223" t="s">
        <v>522</v>
      </c>
      <c r="C1223" t="str">
        <f t="shared" si="72"/>
        <v>秋田県能代市</v>
      </c>
      <c r="D1223" s="2" t="str">
        <f t="shared" si="73"/>
        <v>http://geocode.csis.u-tokyo.ac.jp/cgi-bin/simple_geocode.cgi?charset=UTF8&amp;addr=%E7%A7%8B%E7%94%B0%E7%9C%8C%E8%83%BD%E4%BB%A3%E5%B8%82</v>
      </c>
      <c r="E1223" t="str">
        <f t="shared" si="74"/>
        <v xml:space="preserve">&lt;?xml version="1.0" encoding="UTF-8" ?&gt;
&lt;results&gt;
&lt;query&gt;秋田県能代市&lt;/query&gt;
&lt;geodetic&gt;wgs1984&lt;/geodetic&gt;
&lt;iConf&gt;5&lt;/iConf&gt;
&lt;converted&gt;秋田県能代市&lt;/converted&gt;
&lt;candidate&gt;
&lt;address&gt;秋田県/能代市&lt;/address&gt;
&lt;longitude&gt;140.026642&lt;/longitude&gt;
&lt;latitude&gt;40.212132&lt;/latitude&gt;
&lt;iLvl&gt;3&lt;/iLvl&gt;
&lt;/candidate&gt;
&lt;/results&gt;
</v>
      </c>
      <c r="F1223" cm="1">
        <f t="array" ref="F1223">INDEX(_xlfn.FILTERXML(E1223,"//latitude"),1)</f>
        <v>40.212131999999997</v>
      </c>
      <c r="G1223" cm="1">
        <f t="array" ref="G1223">INDEX(_xlfn.FILTERXML(E1223,"//longitude"),1)</f>
        <v>140.02664200000001</v>
      </c>
      <c r="H1223">
        <v>40.212131999999997</v>
      </c>
      <c r="I1223">
        <v>140.02664200000001</v>
      </c>
    </row>
    <row r="1224" spans="1:9" x14ac:dyDescent="0.4">
      <c r="A1224" t="s">
        <v>13</v>
      </c>
      <c r="B1224" t="s">
        <v>523</v>
      </c>
      <c r="C1224" t="str">
        <f t="shared" si="72"/>
        <v>埼玉県ふじみ野市桜ケ丘</v>
      </c>
      <c r="D1224" s="2" t="str">
        <f t="shared" si="73"/>
        <v>http://geocode.csis.u-tokyo.ac.jp/cgi-bin/simple_geocode.cgi?charset=UTF8&amp;addr=%E5%9F%BC%E7%8E%89%E7%9C%8C%E3%81%B5%E3%81%98%E3%81%BF%E9%87%8E%E5%B8%82%E6%A1%9C%E3%82%B1%E4%B8%98</v>
      </c>
      <c r="E1224" t="str">
        <f t="shared" si="74"/>
        <v xml:space="preserve">&lt;?xml version="1.0" encoding="UTF-8" ?&gt;
&lt;results&gt;
&lt;query&gt;埼玉県ふじみ野市桜ケ丘&lt;/query&gt;
&lt;geodetic&gt;wgs1984&lt;/geodetic&gt;
&lt;iConf&gt;5&lt;/iConf&gt;
&lt;converted&gt;埼玉県ふじみ野市桜ケ丘&lt;/converted&gt;
&lt;candidate&gt;
&lt;address&gt;埼玉県/ふじみ野市/桜ケ丘&lt;/address&gt;
&lt;longitude&gt;139.506882&lt;/longitude&gt;
&lt;latitude&gt;35.854069&lt;/latitude&gt;
&lt;iLvl&gt;5&lt;/iLvl&gt;
&lt;/candidate&gt;
&lt;/results&gt;
</v>
      </c>
      <c r="F1224" cm="1">
        <f t="array" ref="F1224">INDEX(_xlfn.FILTERXML(E1224,"//latitude"),1)</f>
        <v>35.854069000000003</v>
      </c>
      <c r="G1224" cm="1">
        <f t="array" ref="G1224">INDEX(_xlfn.FILTERXML(E1224,"//longitude"),1)</f>
        <v>139.50688199999999</v>
      </c>
      <c r="H1224">
        <v>35.854069000000003</v>
      </c>
      <c r="I1224">
        <v>139.50688199999999</v>
      </c>
    </row>
    <row r="1225" spans="1:9" x14ac:dyDescent="0.4">
      <c r="A1225" t="s">
        <v>28</v>
      </c>
      <c r="B1225" t="s">
        <v>172</v>
      </c>
      <c r="C1225" t="str">
        <f t="shared" si="72"/>
        <v>沖縄県那覇市</v>
      </c>
      <c r="D1225" s="2" t="str">
        <f t="shared" si="73"/>
        <v>http://geocode.csis.u-tokyo.ac.jp/cgi-bin/simple_geocode.cgi?charset=UTF8&amp;addr=%E6%B2%96%E7%B8%84%E7%9C%8C%E9%82%A3%E8%A6%87%E5%B8%82</v>
      </c>
      <c r="E1225" t="str">
        <f t="shared" si="74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1225" cm="1">
        <f t="array" ref="F1225">INDEX(_xlfn.FILTERXML(E1225,"//latitude"),1)</f>
        <v>26.212295999999998</v>
      </c>
      <c r="G1225" cm="1">
        <f t="array" ref="G1225">INDEX(_xlfn.FILTERXML(E1225,"//longitude"),1)</f>
        <v>127.679214</v>
      </c>
      <c r="H1225">
        <v>26.212295999999998</v>
      </c>
      <c r="I1225">
        <v>127.679214</v>
      </c>
    </row>
    <row r="1226" spans="1:9" x14ac:dyDescent="0.4">
      <c r="A1226" t="s">
        <v>29</v>
      </c>
      <c r="B1226" t="s">
        <v>202</v>
      </c>
      <c r="C1226" t="str">
        <f t="shared" si="72"/>
        <v>静岡県富士市</v>
      </c>
      <c r="D1226" s="2" t="str">
        <f t="shared" si="73"/>
        <v>http://geocode.csis.u-tokyo.ac.jp/cgi-bin/simple_geocode.cgi?charset=UTF8&amp;addr=%E9%9D%99%E5%B2%A1%E7%9C%8C%E5%AF%8C%E5%A3%AB%E5%B8%82</v>
      </c>
      <c r="E1226" t="str">
        <f t="shared" si="74"/>
        <v xml:space="preserve">&lt;?xml version="1.0" encoding="UTF-8" ?&gt;
&lt;results&gt;
&lt;query&gt;静岡県富士市&lt;/query&gt;
&lt;geodetic&gt;wgs1984&lt;/geodetic&gt;
&lt;iConf&gt;5&lt;/iConf&gt;
&lt;converted&gt;静岡県富士市&lt;/converted&gt;
&lt;candidate&gt;
&lt;address&gt;静岡県/富士市&lt;/address&gt;
&lt;longitude&gt;138.676315&lt;/longitude&gt;
&lt;latitude&gt;35.161385&lt;/latitude&gt;
&lt;iLvl&gt;3&lt;/iLvl&gt;
&lt;/candidate&gt;
&lt;/results&gt;
</v>
      </c>
      <c r="F1226" cm="1">
        <f t="array" ref="F1226">INDEX(_xlfn.FILTERXML(E1226,"//latitude"),1)</f>
        <v>35.161385000000003</v>
      </c>
      <c r="G1226" cm="1">
        <f t="array" ref="G1226">INDEX(_xlfn.FILTERXML(E1226,"//longitude"),1)</f>
        <v>138.67631499999999</v>
      </c>
      <c r="H1226">
        <v>35.161385000000003</v>
      </c>
      <c r="I1226">
        <v>138.67631499999999</v>
      </c>
    </row>
    <row r="1227" spans="1:9" x14ac:dyDescent="0.4">
      <c r="A1227" t="s">
        <v>13</v>
      </c>
      <c r="B1227" t="s">
        <v>524</v>
      </c>
      <c r="C1227" t="str">
        <f t="shared" si="72"/>
        <v>埼玉県さいたま市見沼区御蔵</v>
      </c>
      <c r="D1227" s="2" t="str">
        <f t="shared" si="73"/>
        <v>http://geocode.csis.u-tokyo.ac.jp/cgi-bin/simple_geocode.cgi?charset=UTF8&amp;addr=%E5%9F%BC%E7%8E%89%E7%9C%8C%E3%81%95%E3%81%84%E3%81%9F%E3%81%BE%E5%B8%82%E8%A6%8B%E6%B2%BC%E5%8C%BA%E5%BE%A1%E8%94%B5</v>
      </c>
      <c r="E1227" t="str">
        <f t="shared" si="74"/>
        <v xml:space="preserve">&lt;?xml version="1.0" encoding="UTF-8" ?&gt;
&lt;results&gt;
&lt;query&gt;埼玉県さいたま市見沼区御蔵&lt;/query&gt;
&lt;geodetic&gt;wgs1984&lt;/geodetic&gt;
&lt;iConf&gt;5&lt;/iConf&gt;
&lt;converted&gt;埼玉県さいたま市見沼区御蔵&lt;/converted&gt;
&lt;candidate&gt;
&lt;address&gt;埼玉県/さいたま市/見沼区/御蔵&lt;/address&gt;
&lt;longitude&gt;139.669464&lt;/longitude&gt;
&lt;latitude&gt;35.905003&lt;/latitude&gt;
&lt;iLvl&gt;5&lt;/iLvl&gt;
&lt;/candidate&gt;
&lt;/results&gt;
</v>
      </c>
      <c r="F1227" cm="1">
        <f t="array" ref="F1227">INDEX(_xlfn.FILTERXML(E1227,"//latitude"),1)</f>
        <v>35.905003000000001</v>
      </c>
      <c r="G1227" cm="1">
        <f t="array" ref="G1227">INDEX(_xlfn.FILTERXML(E1227,"//longitude"),1)</f>
        <v>139.669464</v>
      </c>
      <c r="H1227">
        <v>35.905003000000001</v>
      </c>
      <c r="I1227">
        <v>139.669464</v>
      </c>
    </row>
    <row r="1228" spans="1:9" x14ac:dyDescent="0.4">
      <c r="A1228" t="s">
        <v>9</v>
      </c>
      <c r="B1228" t="s">
        <v>705</v>
      </c>
      <c r="C1228" t="str">
        <f t="shared" si="72"/>
        <v>東京都墨田区両国2－2－6</v>
      </c>
      <c r="D1228" s="2" t="str">
        <f t="shared" si="73"/>
        <v>http://geocode.csis.u-tokyo.ac.jp/cgi-bin/simple_geocode.cgi?charset=UTF8&amp;addr=%E6%9D%B1%E4%BA%AC%E9%83%BD%E5%A2%A8%E7%94%B0%E5%8C%BA%E4%B8%A1%E5%9B%BD2%EF%BC%8D2%EF%BC%8D6</v>
      </c>
      <c r="E1228" t="str">
        <f t="shared" si="74"/>
        <v xml:space="preserve">&lt;?xml version="1.0" encoding="UTF-8" ?&gt;
&lt;results&gt;
&lt;query&gt;東京都墨田区両国2−2−6&lt;/query&gt;
&lt;geodetic&gt;wgs1984&lt;/geodetic&gt;
&lt;iConf&gt;5&lt;/iConf&gt;
&lt;converted&gt;東京都墨田区両国2−2−6&lt;/converted&gt;
&lt;candidate&gt;
&lt;address&gt;東京都/墨田区/両国/二丁目/２番/６号&lt;/address&gt;
&lt;longitude&gt;139.791809&lt;/longitude&gt;
&lt;latitude&gt;35.692574&lt;/latitude&gt;
&lt;iLvl&gt;8&lt;/iLvl&gt;
&lt;/candidate&gt;
&lt;/results&gt;
</v>
      </c>
      <c r="F1228" cm="1">
        <f t="array" ref="F1228">INDEX(_xlfn.FILTERXML(E1228,"//latitude"),1)</f>
        <v>35.692574</v>
      </c>
      <c r="G1228" cm="1">
        <f t="array" ref="G1228">INDEX(_xlfn.FILTERXML(E1228,"//longitude"),1)</f>
        <v>139.791809</v>
      </c>
      <c r="H1228">
        <v>35.692574</v>
      </c>
      <c r="I1228">
        <v>139.791809</v>
      </c>
    </row>
    <row r="1229" spans="1:9" x14ac:dyDescent="0.4">
      <c r="A1229" t="s">
        <v>11</v>
      </c>
      <c r="B1229" t="s">
        <v>525</v>
      </c>
      <c r="C1229" t="str">
        <f t="shared" si="72"/>
        <v>大阪府和泉市緑ヶ丘</v>
      </c>
      <c r="D1229" s="2" t="str">
        <f t="shared" si="73"/>
        <v>http://geocode.csis.u-tokyo.ac.jp/cgi-bin/simple_geocode.cgi?charset=UTF8&amp;addr=%E5%A4%A7%E9%98%AA%E5%BA%9C%E5%92%8C%E6%B3%89%E5%B8%82%E7%B7%91%E3%83%B6%E4%B8%98</v>
      </c>
      <c r="E1229" t="str">
        <f t="shared" si="74"/>
        <v xml:space="preserve">&lt;?xml version="1.0" encoding="UTF-8" ?&gt;
&lt;results&gt;
&lt;query&gt;大阪府和泉市緑ヶ丘&lt;/query&gt;
&lt;geodetic&gt;wgs1984&lt;/geodetic&gt;
&lt;iConf&gt;5&lt;/iConf&gt;
&lt;converted&gt;大阪府和泉市緑ヶ丘&lt;/converted&gt;
&lt;candidate&gt;
&lt;address&gt;大阪府/和泉市/緑ケ丘&lt;/address&gt;
&lt;longitude&gt;135.457031&lt;/longitude&gt;
&lt;latitude&gt;34.448708&lt;/latitude&gt;
&lt;iLvl&gt;5&lt;/iLvl&gt;
&lt;/candidate&gt;
&lt;/results&gt;
</v>
      </c>
      <c r="F1229" cm="1">
        <f t="array" ref="F1229">INDEX(_xlfn.FILTERXML(E1229,"//latitude"),1)</f>
        <v>34.448708000000003</v>
      </c>
      <c r="G1229" cm="1">
        <f t="array" ref="G1229">INDEX(_xlfn.FILTERXML(E1229,"//longitude"),1)</f>
        <v>135.457031</v>
      </c>
      <c r="H1229">
        <v>34.448708000000003</v>
      </c>
      <c r="I1229">
        <v>135.457031</v>
      </c>
    </row>
    <row r="1230" spans="1:9" x14ac:dyDescent="0.4">
      <c r="A1230" t="s">
        <v>17</v>
      </c>
      <c r="B1230" t="s">
        <v>526</v>
      </c>
      <c r="C1230" t="str">
        <f t="shared" si="72"/>
        <v>愛知県名古屋市中区</v>
      </c>
      <c r="D1230" s="2" t="str">
        <f t="shared" si="73"/>
        <v>http://geocode.csis.u-tokyo.ac.jp/cgi-bin/simple_geocode.cgi?charset=UTF8&amp;addr=%E6%84%9B%E7%9F%A5%E7%9C%8C%E5%90%8D%E5%8F%A4%E5%B1%8B%E5%B8%82%E4%B8%AD%E5%8C%BA</v>
      </c>
      <c r="E1230" t="str">
        <f t="shared" si="74"/>
        <v xml:space="preserve">&lt;?xml version="1.0" encoding="UTF-8" ?&gt;
&lt;results&gt;
&lt;query&gt;愛知県名古屋市中区&lt;/query&gt;
&lt;geodetic&gt;wgs1984&lt;/geodetic&gt;
&lt;iConf&gt;5&lt;/iConf&gt;
&lt;converted&gt;愛知県名古屋市中区&lt;/converted&gt;
&lt;candidate&gt;
&lt;address&gt;愛知県/名古屋市/中区&lt;/address&gt;
&lt;longitude&gt;136.910156&lt;/longitude&gt;
&lt;latitude&gt;35.168606&lt;/latitude&gt;
&lt;iLvl&gt;4&lt;/iLvl&gt;
&lt;/candidate&gt;
&lt;/results&gt;
</v>
      </c>
      <c r="F1230" cm="1">
        <f t="array" ref="F1230">INDEX(_xlfn.FILTERXML(E1230,"//latitude"),1)</f>
        <v>35.168605999999997</v>
      </c>
      <c r="G1230" cm="1">
        <f t="array" ref="G1230">INDEX(_xlfn.FILTERXML(E1230,"//longitude"),1)</f>
        <v>136.910156</v>
      </c>
      <c r="H1230">
        <v>35.168605999999997</v>
      </c>
      <c r="I1230">
        <v>136.910156</v>
      </c>
    </row>
    <row r="1231" spans="1:9" x14ac:dyDescent="0.4">
      <c r="A1231" t="s">
        <v>17</v>
      </c>
      <c r="B1231" t="s">
        <v>527</v>
      </c>
      <c r="C1231" t="str">
        <f t="shared" ref="C1231:C1294" si="75">+A1231&amp;B1231</f>
        <v>愛知県高浜市論地町</v>
      </c>
      <c r="D1231" s="2" t="str">
        <f t="shared" ref="D1231:D1294" si="76" xml:space="preserve"> "http://geocode.csis.u-tokyo.ac.jp/cgi-bin/simple_geocode.cgi?charset=UTF8&amp;addr=" &amp; _xlfn.ENCODEURL(C1231)</f>
        <v>http://geocode.csis.u-tokyo.ac.jp/cgi-bin/simple_geocode.cgi?charset=UTF8&amp;addr=%E6%84%9B%E7%9F%A5%E7%9C%8C%E9%AB%98%E6%B5%9C%E5%B8%82%E8%AB%96%E5%9C%B0%E7%94%BA</v>
      </c>
      <c r="E1231" t="str">
        <f t="shared" ref="E1231:E1294" si="77" xml:space="preserve"> _xlfn.WEBSERVICE(D1231)</f>
        <v xml:space="preserve">&lt;?xml version="1.0" encoding="UTF-8" ?&gt;
&lt;results&gt;
&lt;query&gt;愛知県高浜市論地&lt;/query&gt;
&lt;geodetic&gt;wgs1984&lt;/geodetic&gt;
&lt;iConf&gt;5&lt;/iConf&gt;
&lt;converted&gt;愛知県高浜市論地町&lt;/converted&gt;
&lt;candidate&gt;
&lt;address&gt;愛知県/高浜市/論地町&lt;/address&gt;
&lt;longitude&gt;136.996490&lt;/longitude&gt;
&lt;latitude&gt;34.922543&lt;/latitude&gt;
&lt;iLvl&gt;5&lt;/iLvl&gt;
&lt;/candidate&gt;
&lt;/results&gt;
</v>
      </c>
      <c r="F1231" cm="1">
        <f t="array" ref="F1231">INDEX(_xlfn.FILTERXML(E1231,"//latitude"),1)</f>
        <v>34.922542999999997</v>
      </c>
      <c r="G1231" cm="1">
        <f t="array" ref="G1231">INDEX(_xlfn.FILTERXML(E1231,"//longitude"),1)</f>
        <v>136.99648999999999</v>
      </c>
      <c r="H1231" s="3">
        <v>34.922542999999997</v>
      </c>
      <c r="I1231" s="3">
        <v>136.99648999999999</v>
      </c>
    </row>
    <row r="1232" spans="1:9" x14ac:dyDescent="0.4">
      <c r="A1232" t="s">
        <v>11</v>
      </c>
      <c r="B1232" t="s">
        <v>315</v>
      </c>
      <c r="C1232" t="str">
        <f t="shared" si="75"/>
        <v>大阪府都島区都島北通２丁目</v>
      </c>
      <c r="D1232" s="2" t="str">
        <f t="shared" si="76"/>
        <v>http://geocode.csis.u-tokyo.ac.jp/cgi-bin/simple_geocode.cgi?charset=UTF8&amp;addr=%E5%A4%A7%E9%98%AA%E5%BA%9C%E9%83%BD%E5%B3%B6%E5%8C%BA%E9%83%BD%E5%B3%B6%E5%8C%97%E9%80%9A%EF%BC%92%E4%B8%81%E7%9B%AE</v>
      </c>
      <c r="E1232" t="str">
        <f t="shared" si="77"/>
        <v xml:space="preserve">&lt;?xml version="1.0" encoding="UTF-8" ?&gt;
&lt;results&gt;
&lt;query&gt;大阪府都島区都島北通２丁目&lt;/query&gt;
&lt;geodetic&gt;wgs1984&lt;/geodetic&gt;
&lt;iConf&gt;5&lt;/iConf&gt;
&lt;converted&gt;大阪府都島区都島北通２丁目&lt;/converted&gt;
&lt;candidate&gt;
&lt;address&gt;大阪府/大阪市/都島区/都島北通/二丁目&lt;/address&gt;
&lt;longitude&gt;135.532242&lt;/longitude&gt;
&lt;latitude&gt;34.710690&lt;/latitude&gt;
&lt;iLvl&gt;6&lt;/iLvl&gt;
&lt;/candidate&gt;
&lt;/results&gt;
</v>
      </c>
      <c r="F1232" cm="1">
        <f t="array" ref="F1232">INDEX(_xlfn.FILTERXML(E1232,"//latitude"),1)</f>
        <v>34.71069</v>
      </c>
      <c r="G1232" cm="1">
        <f t="array" ref="G1232">INDEX(_xlfn.FILTERXML(E1232,"//longitude"),1)</f>
        <v>135.532242</v>
      </c>
      <c r="H1232">
        <v>34.71069</v>
      </c>
      <c r="I1232">
        <v>135.532242</v>
      </c>
    </row>
    <row r="1233" spans="1:9" x14ac:dyDescent="0.4">
      <c r="A1233" t="s">
        <v>11</v>
      </c>
      <c r="B1233" t="s">
        <v>528</v>
      </c>
      <c r="C1233" t="str">
        <f t="shared" si="75"/>
        <v>大阪府大阪市城東区</v>
      </c>
      <c r="D1233" s="2" t="str">
        <f t="shared" si="76"/>
        <v>http://geocode.csis.u-tokyo.ac.jp/cgi-bin/simple_geocode.cgi?charset=UTF8&amp;addr=%E5%A4%A7%E9%98%AA%E5%BA%9C%E5%A4%A7%E9%98%AA%E5%B8%82%E5%9F%8E%E6%9D%B1%E5%8C%BA</v>
      </c>
      <c r="E1233" t="str">
        <f t="shared" si="77"/>
        <v xml:space="preserve">&lt;?xml version="1.0" encoding="UTF-8" ?&gt;
&lt;results&gt;
&lt;query&gt;大阪府大阪市城東区&lt;/query&gt;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1233" cm="1">
        <f t="array" ref="F1233">INDEX(_xlfn.FILTERXML(E1233,"//latitude"),1)</f>
        <v>34.702010999999999</v>
      </c>
      <c r="G1233" cm="1">
        <f t="array" ref="G1233">INDEX(_xlfn.FILTERXML(E1233,"//longitude"),1)</f>
        <v>135.54598999999999</v>
      </c>
      <c r="H1233">
        <v>34.702010999999999</v>
      </c>
      <c r="I1233">
        <v>135.54598999999999</v>
      </c>
    </row>
    <row r="1234" spans="1:9" x14ac:dyDescent="0.4">
      <c r="A1234" t="s">
        <v>9</v>
      </c>
      <c r="B1234" t="s">
        <v>140</v>
      </c>
      <c r="C1234" t="str">
        <f t="shared" si="75"/>
        <v>東京都清瀬市松山</v>
      </c>
      <c r="D1234" s="2" t="str">
        <f t="shared" si="76"/>
        <v>http://geocode.csis.u-tokyo.ac.jp/cgi-bin/simple_geocode.cgi?charset=UTF8&amp;addr=%E6%9D%B1%E4%BA%AC%E9%83%BD%E6%B8%85%E7%80%AC%E5%B8%82%E6%9D%BE%E5%B1%B1</v>
      </c>
      <c r="E1234" t="str">
        <f t="shared" si="77"/>
        <v xml:space="preserve">&lt;?xml version="1.0" encoding="UTF-8" ?&gt;
&lt;results&gt;
&lt;query&gt;東京都清瀬市松山&lt;/query&gt;
&lt;geodetic&gt;wgs1984&lt;/geodetic&gt;
&lt;iConf&gt;5&lt;/iConf&gt;
&lt;converted&gt;東京都清瀬市松山&lt;/converted&gt;
&lt;candidate&gt;
&lt;address&gt;東京都/清瀬市/松山&lt;/address&gt;
&lt;longitude&gt;139.517975&lt;/longitude&gt;
&lt;latitude&gt;35.768974&lt;/latitude&gt;
&lt;iLvl&gt;5&lt;/iLvl&gt;
&lt;/candidate&gt;
&lt;/results&gt;
</v>
      </c>
      <c r="F1234" cm="1">
        <f t="array" ref="F1234">INDEX(_xlfn.FILTERXML(E1234,"//latitude"),1)</f>
        <v>35.768974</v>
      </c>
      <c r="G1234" cm="1">
        <f t="array" ref="G1234">INDEX(_xlfn.FILTERXML(E1234,"//longitude"),1)</f>
        <v>139.51797500000001</v>
      </c>
      <c r="H1234">
        <v>35.768974</v>
      </c>
      <c r="I1234">
        <v>139.51797500000001</v>
      </c>
    </row>
    <row r="1235" spans="1:9" x14ac:dyDescent="0.4">
      <c r="A1235" t="s">
        <v>17</v>
      </c>
      <c r="B1235" t="s">
        <v>50</v>
      </c>
      <c r="C1235" t="str">
        <f t="shared" si="75"/>
        <v>愛知県名古屋市西区鳥見町</v>
      </c>
      <c r="D1235" s="2" t="str">
        <f t="shared" si="76"/>
        <v>http://geocode.csis.u-tokyo.ac.jp/cgi-bin/simple_geocode.cgi?charset=UTF8&amp;addr=%E6%84%9B%E7%9F%A5%E7%9C%8C%E5%90%8D%E5%8F%A4%E5%B1%8B%E5%B8%82%E8%A5%BF%E5%8C%BA%E9%B3%A5%E8%A6%8B%E7%94%BA</v>
      </c>
      <c r="E1235" t="str">
        <f t="shared" si="77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1235" cm="1">
        <f t="array" ref="F1235">INDEX(_xlfn.FILTERXML(E1235,"//latitude"),1)</f>
        <v>35.201611</v>
      </c>
      <c r="G1235" cm="1">
        <f t="array" ref="G1235">INDEX(_xlfn.FILTERXML(E1235,"//longitude"),1)</f>
        <v>136.88632200000001</v>
      </c>
      <c r="H1235">
        <v>35.201611</v>
      </c>
      <c r="I1235">
        <v>136.88632200000001</v>
      </c>
    </row>
    <row r="1236" spans="1:9" x14ac:dyDescent="0.4">
      <c r="A1236" t="s">
        <v>10</v>
      </c>
      <c r="B1236" t="s">
        <v>94</v>
      </c>
      <c r="C1236" t="str">
        <f t="shared" si="75"/>
        <v>神奈川県相模原市南区若松</v>
      </c>
      <c r="D1236" s="2" t="str">
        <f t="shared" si="76"/>
        <v>http://geocode.csis.u-tokyo.ac.jp/cgi-bin/simple_geocode.cgi?charset=UTF8&amp;addr=%E7%A5%9E%E5%A5%88%E5%B7%9D%E7%9C%8C%E7%9B%B8%E6%A8%A1%E5%8E%9F%E5%B8%82%E5%8D%97%E5%8C%BA%E8%8B%A5%E6%9D%BE</v>
      </c>
      <c r="E1236" t="str">
        <f t="shared" si="77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1236" cm="1">
        <f t="array" ref="F1236">INDEX(_xlfn.FILTERXML(E1236,"//latitude"),1)</f>
        <v>35.543491000000003</v>
      </c>
      <c r="G1236" cm="1">
        <f t="array" ref="G1236">INDEX(_xlfn.FILTERXML(E1236,"//longitude"),1)</f>
        <v>139.42514</v>
      </c>
      <c r="H1236">
        <v>35.543491000000003</v>
      </c>
      <c r="I1236">
        <v>139.42514</v>
      </c>
    </row>
    <row r="1237" spans="1:9" x14ac:dyDescent="0.4">
      <c r="A1237" t="s">
        <v>34</v>
      </c>
      <c r="B1237" t="s">
        <v>241</v>
      </c>
      <c r="C1237" t="str">
        <f t="shared" si="75"/>
        <v>岐阜県岐阜市日野南</v>
      </c>
      <c r="D1237" s="2" t="str">
        <f t="shared" si="76"/>
        <v>http://geocode.csis.u-tokyo.ac.jp/cgi-bin/simple_geocode.cgi?charset=UTF8&amp;addr=%E5%B2%90%E9%98%9C%E7%9C%8C%E5%B2%90%E9%98%9C%E5%B8%82%E6%97%A5%E9%87%8E%E5%8D%97</v>
      </c>
      <c r="E1237" t="str">
        <f t="shared" si="77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1237" cm="1">
        <f t="array" ref="F1237">INDEX(_xlfn.FILTERXML(E1237,"//latitude"),1)</f>
        <v>35.429161000000001</v>
      </c>
      <c r="G1237" cm="1">
        <f t="array" ref="G1237">INDEX(_xlfn.FILTERXML(E1237,"//longitude"),1)</f>
        <v>136.80055200000001</v>
      </c>
      <c r="H1237">
        <v>35.429161000000001</v>
      </c>
      <c r="I1237">
        <v>136.80055200000001</v>
      </c>
    </row>
    <row r="1238" spans="1:9" x14ac:dyDescent="0.4">
      <c r="A1238" t="s">
        <v>10</v>
      </c>
      <c r="B1238" t="s">
        <v>94</v>
      </c>
      <c r="C1238" t="str">
        <f t="shared" si="75"/>
        <v>神奈川県相模原市南区若松</v>
      </c>
      <c r="D1238" s="2" t="str">
        <f t="shared" si="76"/>
        <v>http://geocode.csis.u-tokyo.ac.jp/cgi-bin/simple_geocode.cgi?charset=UTF8&amp;addr=%E7%A5%9E%E5%A5%88%E5%B7%9D%E7%9C%8C%E7%9B%B8%E6%A8%A1%E5%8E%9F%E5%B8%82%E5%8D%97%E5%8C%BA%E8%8B%A5%E6%9D%BE</v>
      </c>
      <c r="E1238" t="str">
        <f t="shared" si="77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1238" cm="1">
        <f t="array" ref="F1238">INDEX(_xlfn.FILTERXML(E1238,"//latitude"),1)</f>
        <v>35.543491000000003</v>
      </c>
      <c r="G1238" cm="1">
        <f t="array" ref="G1238">INDEX(_xlfn.FILTERXML(E1238,"//longitude"),1)</f>
        <v>139.42514</v>
      </c>
      <c r="H1238">
        <v>35.543491000000003</v>
      </c>
      <c r="I1238">
        <v>139.42514</v>
      </c>
    </row>
    <row r="1239" spans="1:9" x14ac:dyDescent="0.4">
      <c r="A1239" t="s">
        <v>17</v>
      </c>
      <c r="B1239" t="s">
        <v>578</v>
      </c>
      <c r="C1239" t="str">
        <f t="shared" si="75"/>
        <v>愛知県名古屋中村区名駅</v>
      </c>
      <c r="D1239" s="2" t="str">
        <f t="shared" si="76"/>
        <v>http://geocode.csis.u-tokyo.ac.jp/cgi-bin/simple_geocode.cgi?charset=UTF8&amp;addr=%E6%84%9B%E7%9F%A5%E7%9C%8C%E5%90%8D%E5%8F%A4%E5%B1%8B%E4%B8%AD%E6%9D%91%E5%8C%BA%E5%90%8D%E9%A7%85</v>
      </c>
      <c r="E1239" t="str">
        <f t="shared" si="77"/>
        <v xml:space="preserve">&lt;?xml version="1.0" encoding="UTF-8" ?&gt;
&lt;results&gt;
&lt;query&gt;愛知県名古屋中村区名駅&lt;/query&gt;
&lt;geodetic&gt;wgs1984&lt;/geodetic&gt;
&lt;iConf&gt;5&lt;/iConf&gt;
&lt;converted&gt;愛知県名古屋&lt;/converted&gt;
&lt;candidate&gt;
&lt;address&gt;愛知県/名古屋市&lt;/address&gt;
&lt;longitude&gt;136.906418&lt;/longitude&gt;
&lt;latitude&gt;35.181435&lt;/latitude&gt;
&lt;iLvl&gt;3&lt;/iLvl&gt;
&lt;/candidate&gt;
&lt;/results&gt;
</v>
      </c>
      <c r="F1239" cm="1">
        <f t="array" ref="F1239">INDEX(_xlfn.FILTERXML(E1239,"//latitude"),1)</f>
        <v>35.181435</v>
      </c>
      <c r="G1239" cm="1">
        <f t="array" ref="G1239">INDEX(_xlfn.FILTERXML(E1239,"//longitude"),1)</f>
        <v>136.906418</v>
      </c>
      <c r="H1239">
        <v>35.181435</v>
      </c>
      <c r="I1239">
        <v>136.906418</v>
      </c>
    </row>
    <row r="1240" spans="1:9" x14ac:dyDescent="0.4">
      <c r="A1240" t="s">
        <v>9</v>
      </c>
      <c r="B1240" t="s">
        <v>529</v>
      </c>
      <c r="C1240" t="str">
        <f t="shared" si="75"/>
        <v>東京都練馬区上石神井</v>
      </c>
      <c r="D1240" s="2" t="str">
        <f t="shared" si="76"/>
        <v>http://geocode.csis.u-tokyo.ac.jp/cgi-bin/simple_geocode.cgi?charset=UTF8&amp;addr=%E6%9D%B1%E4%BA%AC%E9%83%BD%E7%B7%B4%E9%A6%AC%E5%8C%BA%E4%B8%8A%E7%9F%B3%E7%A5%9E%E4%BA%95</v>
      </c>
      <c r="E1240" t="str">
        <f t="shared" si="77"/>
        <v xml:space="preserve">&lt;?xml version="1.0" encoding="UTF-8" ?&gt;
&lt;results&gt;
&lt;query&gt;東京都練馬区上石神井&lt;/query&gt;
&lt;geodetic&gt;wgs1984&lt;/geodetic&gt;
&lt;iConf&gt;5&lt;/iConf&gt;
&lt;converted&gt;東京都練馬区上石神井&lt;/converted&gt;
&lt;candidate&gt;
&lt;address&gt;東京都/練馬区/上石神井&lt;/address&gt;
&lt;longitude&gt;139.590530&lt;/longitude&gt;
&lt;latitude&gt;35.724377&lt;/latitude&gt;
&lt;iLvl&gt;5&lt;/iLvl&gt;
&lt;/candidate&gt;
&lt;/results&gt;
</v>
      </c>
      <c r="F1240" cm="1">
        <f t="array" ref="F1240">INDEX(_xlfn.FILTERXML(E1240,"//latitude"),1)</f>
        <v>35.724376999999997</v>
      </c>
      <c r="G1240" cm="1">
        <f t="array" ref="G1240">INDEX(_xlfn.FILTERXML(E1240,"//longitude"),1)</f>
        <v>139.59053</v>
      </c>
      <c r="H1240">
        <v>35.724376999999997</v>
      </c>
      <c r="I1240">
        <v>139.59053</v>
      </c>
    </row>
    <row r="1241" spans="1:9" x14ac:dyDescent="0.4">
      <c r="A1241" t="s">
        <v>10</v>
      </c>
      <c r="B1241" t="s">
        <v>87</v>
      </c>
      <c r="C1241" t="str">
        <f t="shared" si="75"/>
        <v>神奈川県川崎市幸区堀川町</v>
      </c>
      <c r="D1241" s="2" t="str">
        <f t="shared" si="76"/>
        <v>http://geocode.csis.u-tokyo.ac.jp/cgi-bin/simple_geocode.cgi?charset=UTF8&amp;addr=%E7%A5%9E%E5%A5%88%E5%B7%9D%E7%9C%8C%E5%B7%9D%E5%B4%8E%E5%B8%82%E5%B9%B8%E5%8C%BA%E5%A0%80%E5%B7%9D%E7%94%BA</v>
      </c>
      <c r="E1241" t="str">
        <f t="shared" si="77"/>
        <v xml:space="preserve">&lt;?xml version="1.0" encoding="UTF-8" ?&gt;
&lt;results&gt;
&lt;query&gt;神奈川県川崎市幸区堀川町&lt;/query&gt;
&lt;geodetic&gt;wgs1984&lt;/geodetic&gt;
&lt;iConf&gt;5&lt;/iConf&gt;
&lt;converted&gt;神奈川県川崎市幸区堀川町&lt;/converted&gt;
&lt;candidate&gt;
&lt;address&gt;神奈川県/川崎市/幸区/堀川町&lt;/address&gt;
&lt;longitude&gt;139.695312&lt;/longitude&gt;
&lt;latitude&gt;35.534286&lt;/latitude&gt;
&lt;iLvl&gt;5&lt;/iLvl&gt;
&lt;/candidate&gt;
&lt;/results&gt;
</v>
      </c>
      <c r="F1241" cm="1">
        <f t="array" ref="F1241">INDEX(_xlfn.FILTERXML(E1241,"//latitude"),1)</f>
        <v>35.534286000000002</v>
      </c>
      <c r="G1241" cm="1">
        <f t="array" ref="G1241">INDEX(_xlfn.FILTERXML(E1241,"//longitude"),1)</f>
        <v>139.695312</v>
      </c>
      <c r="H1241">
        <v>35.534286000000002</v>
      </c>
      <c r="I1241">
        <v>139.695312</v>
      </c>
    </row>
    <row r="1242" spans="1:9" x14ac:dyDescent="0.4">
      <c r="A1242" t="s">
        <v>18</v>
      </c>
      <c r="B1242" t="s">
        <v>530</v>
      </c>
      <c r="C1242" t="str">
        <f t="shared" si="75"/>
        <v>千葉県流山市</v>
      </c>
      <c r="D1242" s="2" t="str">
        <f t="shared" si="76"/>
        <v>http://geocode.csis.u-tokyo.ac.jp/cgi-bin/simple_geocode.cgi?charset=UTF8&amp;addr=%E5%8D%83%E8%91%89%E7%9C%8C%E6%B5%81%E5%B1%B1%E5%B8%82</v>
      </c>
      <c r="E1242" t="str">
        <f t="shared" si="77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1242" cm="1">
        <f t="array" ref="F1242">INDEX(_xlfn.FILTERXML(E1242,"//latitude"),1)</f>
        <v>35.856285</v>
      </c>
      <c r="G1242" cm="1">
        <f t="array" ref="G1242">INDEX(_xlfn.FILTERXML(E1242,"//longitude"),1)</f>
        <v>139.90258800000001</v>
      </c>
      <c r="H1242">
        <v>35.856285</v>
      </c>
      <c r="I1242">
        <v>139.90258800000001</v>
      </c>
    </row>
    <row r="1243" spans="1:9" x14ac:dyDescent="0.4">
      <c r="A1243" t="s">
        <v>13</v>
      </c>
      <c r="B1243" t="s">
        <v>531</v>
      </c>
      <c r="C1243" t="str">
        <f t="shared" si="75"/>
        <v>埼玉県川口市弥平</v>
      </c>
      <c r="D1243" s="2" t="str">
        <f t="shared" si="76"/>
        <v>http://geocode.csis.u-tokyo.ac.jp/cgi-bin/simple_geocode.cgi?charset=UTF8&amp;addr=%E5%9F%BC%E7%8E%89%E7%9C%8C%E5%B7%9D%E5%8F%A3%E5%B8%82%E5%BC%A5%E5%B9%B3</v>
      </c>
      <c r="E1243" t="str">
        <f t="shared" si="77"/>
        <v xml:space="preserve">&lt;?xml version="1.0" encoding="UTF-8" ?&gt;
&lt;results&gt;
&lt;query&gt;埼玉県川口市弥平&lt;/query&gt;
&lt;geodetic&gt;wgs1984&lt;/geodetic&gt;
&lt;iConf&gt;5&lt;/iConf&gt;
&lt;converted&gt;埼玉県川口市弥平&lt;/converted&gt;
&lt;candidate&gt;
&lt;address&gt;埼玉県/川口市/弥平&lt;/address&gt;
&lt;longitude&gt;139.746780&lt;/longitude&gt;
&lt;latitude&gt;35.801727&lt;/latitude&gt;
&lt;iLvl&gt;5&lt;/iLvl&gt;
&lt;/candidate&gt;
&lt;/results&gt;
</v>
      </c>
      <c r="F1243" cm="1">
        <f t="array" ref="F1243">INDEX(_xlfn.FILTERXML(E1243,"//latitude"),1)</f>
        <v>35.801727</v>
      </c>
      <c r="G1243" cm="1">
        <f t="array" ref="G1243">INDEX(_xlfn.FILTERXML(E1243,"//longitude"),1)</f>
        <v>139.74678</v>
      </c>
      <c r="H1243">
        <v>35.801727</v>
      </c>
      <c r="I1243">
        <v>139.74678</v>
      </c>
    </row>
    <row r="1244" spans="1:9" x14ac:dyDescent="0.4">
      <c r="A1244" t="s">
        <v>34</v>
      </c>
      <c r="B1244" t="s">
        <v>532</v>
      </c>
      <c r="C1244" t="str">
        <f t="shared" si="75"/>
        <v>岐阜県恵那市武並町藤</v>
      </c>
      <c r="D1244" s="2" t="str">
        <f t="shared" si="76"/>
        <v>http://geocode.csis.u-tokyo.ac.jp/cgi-bin/simple_geocode.cgi?charset=UTF8&amp;addr=%E5%B2%90%E9%98%9C%E7%9C%8C%E6%81%B5%E9%82%A3%E5%B8%82%E6%AD%A6%E4%B8%A6%E7%94%BA%E8%97%A4</v>
      </c>
      <c r="E1244" t="str">
        <f t="shared" si="77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1244" cm="1">
        <f t="array" ref="F1244">INDEX(_xlfn.FILTERXML(E1244,"//latitude"),1)</f>
        <v>35.457886000000002</v>
      </c>
      <c r="G1244" cm="1">
        <f t="array" ref="G1244">INDEX(_xlfn.FILTERXML(E1244,"//longitude"),1)</f>
        <v>137.31976299999999</v>
      </c>
      <c r="H1244">
        <v>35.457886000000002</v>
      </c>
      <c r="I1244">
        <v>137.31976299999999</v>
      </c>
    </row>
    <row r="1245" spans="1:9" x14ac:dyDescent="0.4">
      <c r="A1245" t="s">
        <v>19</v>
      </c>
      <c r="B1245" t="s">
        <v>101</v>
      </c>
      <c r="C1245" t="str">
        <f t="shared" si="75"/>
        <v>滋賀県大津市</v>
      </c>
      <c r="D1245" s="2" t="str">
        <f t="shared" si="76"/>
        <v>http://geocode.csis.u-tokyo.ac.jp/cgi-bin/simple_geocode.cgi?charset=UTF8&amp;addr=%E6%BB%8B%E8%B3%80%E7%9C%8C%E5%A4%A7%E6%B4%A5%E5%B8%82</v>
      </c>
      <c r="E1245" t="str">
        <f t="shared" si="77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1245" cm="1">
        <f t="array" ref="F1245">INDEX(_xlfn.FILTERXML(E1245,"//latitude"),1)</f>
        <v>35.018355999999997</v>
      </c>
      <c r="G1245" cm="1">
        <f t="array" ref="G1245">INDEX(_xlfn.FILTERXML(E1245,"//longitude"),1)</f>
        <v>135.85466</v>
      </c>
      <c r="H1245">
        <v>35.018355999999997</v>
      </c>
      <c r="I1245">
        <v>135.85466</v>
      </c>
    </row>
    <row r="1246" spans="1:9" x14ac:dyDescent="0.4">
      <c r="A1246" t="s">
        <v>11</v>
      </c>
      <c r="B1246" t="s">
        <v>122</v>
      </c>
      <c r="C1246" t="str">
        <f t="shared" si="75"/>
        <v>大阪府大阪市</v>
      </c>
      <c r="D1246" s="2" t="str">
        <f t="shared" si="76"/>
        <v>http://geocode.csis.u-tokyo.ac.jp/cgi-bin/simple_geocode.cgi?charset=UTF8&amp;addr=%E5%A4%A7%E9%98%AA%E5%BA%9C%E5%A4%A7%E9%98%AA%E5%B8%82</v>
      </c>
      <c r="E1246" t="str">
        <f t="shared" si="77"/>
        <v xml:space="preserve">&lt;?xml version="1.0" encoding="UTF-8" ?&gt;
&lt;results&gt;
&lt;query&gt;大阪府大阪市&lt;/query&gt;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1246" cm="1">
        <f t="array" ref="F1246">INDEX(_xlfn.FILTERXML(E1246,"//latitude"),1)</f>
        <v>34.693890000000003</v>
      </c>
      <c r="G1246" cm="1">
        <f t="array" ref="G1246">INDEX(_xlfn.FILTERXML(E1246,"//longitude"),1)</f>
        <v>135.50204500000001</v>
      </c>
      <c r="H1246">
        <v>34.693890000000003</v>
      </c>
      <c r="I1246">
        <v>135.50204500000001</v>
      </c>
    </row>
    <row r="1247" spans="1:9" x14ac:dyDescent="0.4">
      <c r="A1247" t="s">
        <v>11</v>
      </c>
      <c r="B1247" t="s">
        <v>533</v>
      </c>
      <c r="C1247" t="str">
        <f t="shared" si="75"/>
        <v>大阪府堺市西区浜寺南町</v>
      </c>
      <c r="D1247" s="2" t="str">
        <f t="shared" si="76"/>
        <v>http://geocode.csis.u-tokyo.ac.jp/cgi-bin/simple_geocode.cgi?charset=UTF8&amp;addr=%E5%A4%A7%E9%98%AA%E5%BA%9C%E5%A0%BA%E5%B8%82%E8%A5%BF%E5%8C%BA%E6%B5%9C%E5%AF%BA%E5%8D%97%E7%94%BA</v>
      </c>
      <c r="E1247" t="str">
        <f t="shared" si="77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1247" cm="1">
        <f t="array" ref="F1247">INDEX(_xlfn.FILTERXML(E1247,"//latitude"),1)</f>
        <v>34.536358</v>
      </c>
      <c r="G1247" cm="1">
        <f t="array" ref="G1247">INDEX(_xlfn.FILTERXML(E1247,"//longitude"),1)</f>
        <v>135.44735700000001</v>
      </c>
      <c r="H1247">
        <v>34.536358</v>
      </c>
      <c r="I1247">
        <v>135.44735700000001</v>
      </c>
    </row>
    <row r="1248" spans="1:9" x14ac:dyDescent="0.4">
      <c r="A1248" t="s">
        <v>14</v>
      </c>
      <c r="B1248" t="s">
        <v>534</v>
      </c>
      <c r="C1248" t="str">
        <f t="shared" si="75"/>
        <v>広島県広島市中区東千田町</v>
      </c>
      <c r="D1248" s="2" t="str">
        <f t="shared" si="76"/>
        <v>http://geocode.csis.u-tokyo.ac.jp/cgi-bin/simple_geocode.cgi?charset=UTF8&amp;addr=%E5%BA%83%E5%B3%B6%E7%9C%8C%E5%BA%83%E5%B3%B6%E5%B8%82%E4%B8%AD%E5%8C%BA%E6%9D%B1%E5%8D%83%E7%94%B0%E7%94%BA</v>
      </c>
      <c r="E1248" t="str">
        <f t="shared" si="77"/>
        <v xml:space="preserve">&lt;?xml version="1.0" encoding="UTF-8" ?&gt;
&lt;results&gt;
&lt;query&gt;広島県広島市中区東千田町&lt;/query&gt;
&lt;geodetic&gt;wgs1984&lt;/geodetic&gt;
&lt;iConf&gt;5&lt;/iConf&gt;
&lt;converted&gt;広島県広島市中区東千田町&lt;/converted&gt;
&lt;candidate&gt;
&lt;address&gt;広島県/広島市/中区/東千田町&lt;/address&gt;
&lt;longitude&gt;132.458191&lt;/longitude&gt;
&lt;latitude&gt;34.381237&lt;/latitude&gt;
&lt;iLvl&gt;5&lt;/iLvl&gt;
&lt;/candidate&gt;
&lt;/results&gt;
</v>
      </c>
      <c r="F1248" cm="1">
        <f t="array" ref="F1248">INDEX(_xlfn.FILTERXML(E1248,"//latitude"),1)</f>
        <v>34.381236999999999</v>
      </c>
      <c r="G1248" cm="1">
        <f t="array" ref="G1248">INDEX(_xlfn.FILTERXML(E1248,"//longitude"),1)</f>
        <v>132.458191</v>
      </c>
      <c r="H1248">
        <v>34.381236999999999</v>
      </c>
      <c r="I1248">
        <v>132.458191</v>
      </c>
    </row>
    <row r="1249" spans="1:9" x14ac:dyDescent="0.4">
      <c r="A1249" t="s">
        <v>15</v>
      </c>
      <c r="B1249" t="s">
        <v>535</v>
      </c>
      <c r="C1249" t="str">
        <f t="shared" si="75"/>
        <v>兵庫県荷山町</v>
      </c>
      <c r="D1249" s="2" t="str">
        <f t="shared" si="76"/>
        <v>http://geocode.csis.u-tokyo.ac.jp/cgi-bin/simple_geocode.cgi?charset=UTF8&amp;addr=%E5%85%B5%E5%BA%AB%E7%9C%8C%E8%8D%B7%E5%B1%B1%E7%94%BA</v>
      </c>
      <c r="E1249" t="str">
        <f t="shared" si="77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1249" cm="1">
        <f t="array" ref="F1249">INDEX(_xlfn.FILTERXML(E1249,"//latitude"),1)</f>
        <v>34.689495000000001</v>
      </c>
      <c r="G1249" cm="1">
        <f t="array" ref="G1249">INDEX(_xlfn.FILTERXML(E1249,"//longitude"),1)</f>
        <v>135.19572400000001</v>
      </c>
      <c r="H1249">
        <v>34.689495000000001</v>
      </c>
      <c r="I1249">
        <v>135.19572400000001</v>
      </c>
    </row>
    <row r="1250" spans="1:9" x14ac:dyDescent="0.4">
      <c r="A1250" t="s">
        <v>22</v>
      </c>
      <c r="B1250" t="s">
        <v>536</v>
      </c>
      <c r="C1250" t="str">
        <f t="shared" si="75"/>
        <v>群馬県前橋市樋越町</v>
      </c>
      <c r="D1250" s="2" t="str">
        <f t="shared" si="76"/>
        <v>http://geocode.csis.u-tokyo.ac.jp/cgi-bin/simple_geocode.cgi?charset=UTF8&amp;addr=%E7%BE%A4%E9%A6%AC%E7%9C%8C%E5%89%8D%E6%A9%8B%E5%B8%82%E6%A8%8B%E8%B6%8A%E7%94%BA</v>
      </c>
      <c r="E1250" t="str">
        <f t="shared" si="77"/>
        <v xml:space="preserve">&lt;?xml version="1.0" encoding="UTF-8" ?&gt;
&lt;results&gt;
&lt;query&gt;群馬県前橋市樋越町&lt;/query&gt;
&lt;geodetic&gt;wgs1984&lt;/geodetic&gt;
&lt;iConf&gt;5&lt;/iConf&gt;
&lt;converted&gt;群馬県前橋市樋越町&lt;/converted&gt;
&lt;candidate&gt;
&lt;address&gt;群馬県/前橋市/樋越町&lt;/address&gt;
&lt;longitude&gt;139.176208&lt;/longitude&gt;
&lt;latitude&gt;36.415077&lt;/latitude&gt;
&lt;iLvl&gt;5&lt;/iLvl&gt;
&lt;/candidate&gt;
&lt;/results&gt;
</v>
      </c>
      <c r="F1250" cm="1">
        <f t="array" ref="F1250">INDEX(_xlfn.FILTERXML(E1250,"//latitude"),1)</f>
        <v>36.415076999999997</v>
      </c>
      <c r="G1250" cm="1">
        <f t="array" ref="G1250">INDEX(_xlfn.FILTERXML(E1250,"//longitude"),1)</f>
        <v>139.176208</v>
      </c>
      <c r="H1250">
        <v>36.415076999999997</v>
      </c>
      <c r="I1250">
        <v>139.176208</v>
      </c>
    </row>
    <row r="1251" spans="1:9" x14ac:dyDescent="0.4">
      <c r="A1251" t="s">
        <v>10</v>
      </c>
      <c r="B1251" t="s">
        <v>187</v>
      </c>
      <c r="C1251" t="str">
        <f t="shared" si="75"/>
        <v>神奈川県川崎市多摩区三田</v>
      </c>
      <c r="D1251" s="2" t="str">
        <f t="shared" si="76"/>
        <v>http://geocode.csis.u-tokyo.ac.jp/cgi-bin/simple_geocode.cgi?charset=UTF8&amp;addr=%E7%A5%9E%E5%A5%88%E5%B7%9D%E7%9C%8C%E5%B7%9D%E5%B4%8E%E5%B8%82%E5%A4%9A%E6%91%A9%E5%8C%BA%E4%B8%89%E7%94%B0</v>
      </c>
      <c r="E1251" t="str">
        <f t="shared" si="77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1251" cm="1">
        <f t="array" ref="F1251">INDEX(_xlfn.FILTERXML(E1251,"//latitude"),1)</f>
        <v>35.612675000000003</v>
      </c>
      <c r="G1251" cm="1">
        <f t="array" ref="G1251">INDEX(_xlfn.FILTERXML(E1251,"//longitude"),1)</f>
        <v>139.542404</v>
      </c>
      <c r="H1251">
        <v>35.612675000000003</v>
      </c>
      <c r="I1251">
        <v>139.542404</v>
      </c>
    </row>
    <row r="1252" spans="1:9" x14ac:dyDescent="0.4">
      <c r="A1252" t="s">
        <v>17</v>
      </c>
      <c r="B1252" t="s">
        <v>537</v>
      </c>
      <c r="C1252" t="str">
        <f t="shared" si="75"/>
        <v>愛知県春日井市八幡町5-1</v>
      </c>
      <c r="D1252" s="2" t="str">
        <f t="shared" si="76"/>
        <v>http://geocode.csis.u-tokyo.ac.jp/cgi-bin/simple_geocode.cgi?charset=UTF8&amp;addr=%E6%84%9B%E7%9F%A5%E7%9C%8C%E6%98%A5%E6%97%A5%E4%BA%95%E5%B8%82%E5%85%AB%E5%B9%A1%E7%94%BA5-1</v>
      </c>
      <c r="E1252" t="str">
        <f t="shared" si="77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1252" cm="1">
        <f t="array" ref="F1252">INDEX(_xlfn.FILTERXML(E1252,"//latitude"),1)</f>
        <v>35.236572000000002</v>
      </c>
      <c r="G1252" cm="1">
        <f t="array" ref="G1252">INDEX(_xlfn.FILTERXML(E1252,"//longitude"),1)</f>
        <v>136.95735199999999</v>
      </c>
      <c r="H1252">
        <v>35.236572000000002</v>
      </c>
      <c r="I1252">
        <v>136.95735199999999</v>
      </c>
    </row>
    <row r="1253" spans="1:9" x14ac:dyDescent="0.4">
      <c r="A1253" t="s">
        <v>9</v>
      </c>
      <c r="B1253" t="s">
        <v>538</v>
      </c>
      <c r="C1253" t="str">
        <f t="shared" si="75"/>
        <v>東京都世田谷区成城</v>
      </c>
      <c r="D1253" s="2" t="str">
        <f t="shared" si="76"/>
        <v>http://geocode.csis.u-tokyo.ac.jp/cgi-bin/simple_geocode.cgi?charset=UTF8&amp;addr=%E6%9D%B1%E4%BA%AC%E9%83%BD%E4%B8%96%E7%94%B0%E8%B0%B7%E5%8C%BA%E6%88%90%E5%9F%8E</v>
      </c>
      <c r="E1253" t="str">
        <f t="shared" si="77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1253" cm="1">
        <f t="array" ref="F1253">INDEX(_xlfn.FILTERXML(E1253,"//latitude"),1)</f>
        <v>35.635052000000002</v>
      </c>
      <c r="G1253" cm="1">
        <f t="array" ref="G1253">INDEX(_xlfn.FILTERXML(E1253,"//longitude"),1)</f>
        <v>139.60249300000001</v>
      </c>
      <c r="H1253">
        <v>35.635052000000002</v>
      </c>
      <c r="I1253">
        <v>139.60249300000001</v>
      </c>
    </row>
    <row r="1254" spans="1:9" x14ac:dyDescent="0.4">
      <c r="A1254" t="s">
        <v>13</v>
      </c>
      <c r="B1254" t="s">
        <v>148</v>
      </c>
      <c r="C1254" t="str">
        <f t="shared" si="75"/>
        <v>埼玉県吉川市きよみ野</v>
      </c>
      <c r="D1254" s="2" t="str">
        <f t="shared" si="76"/>
        <v>http://geocode.csis.u-tokyo.ac.jp/cgi-bin/simple_geocode.cgi?charset=UTF8&amp;addr=%E5%9F%BC%E7%8E%89%E7%9C%8C%E5%90%89%E5%B7%9D%E5%B8%82%E3%81%8D%E3%82%88%E3%81%BF%E9%87%8E</v>
      </c>
      <c r="E1254" t="str">
        <f t="shared" si="77"/>
        <v xml:space="preserve">&lt;?xml version="1.0" encoding="UTF-8" ?&gt;
&lt;results&gt;
&lt;query&gt;埼玉県吉川市きよみ野&lt;/query&gt;
&lt;geodetic&gt;wgs1984&lt;/geodetic&gt;
&lt;iConf&gt;5&lt;/iConf&gt;
&lt;converted&gt;埼玉県吉川市きよみ野&lt;/converted&gt;
&lt;candidate&gt;
&lt;address&gt;埼玉県/吉川市/きよみ野&lt;/address&gt;
&lt;longitude&gt;139.856216&lt;/longitude&gt;
&lt;latitude&gt;35.896107&lt;/latitude&gt;
&lt;iLvl&gt;5&lt;/iLvl&gt;
&lt;/candidate&gt;
&lt;/results&gt;
</v>
      </c>
      <c r="F1254" cm="1">
        <f t="array" ref="F1254">INDEX(_xlfn.FILTERXML(E1254,"//latitude"),1)</f>
        <v>35.896107000000001</v>
      </c>
      <c r="G1254" cm="1">
        <f t="array" ref="G1254">INDEX(_xlfn.FILTERXML(E1254,"//longitude"),1)</f>
        <v>139.85621599999999</v>
      </c>
      <c r="H1254">
        <v>35.896107000000001</v>
      </c>
      <c r="I1254">
        <v>139.85621599999999</v>
      </c>
    </row>
    <row r="1255" spans="1:9" x14ac:dyDescent="0.4">
      <c r="A1255" t="s">
        <v>13</v>
      </c>
      <c r="B1255" t="s">
        <v>149</v>
      </c>
      <c r="C1255" t="str">
        <f t="shared" si="75"/>
        <v>埼玉県さいたま市西区内野本郷</v>
      </c>
      <c r="D1255" s="2" t="str">
        <f t="shared" si="76"/>
        <v>http://geocode.csis.u-tokyo.ac.jp/cgi-bin/simple_geocode.cgi?charset=UTF8&amp;addr=%E5%9F%BC%E7%8E%89%E7%9C%8C%E3%81%95%E3%81%84%E3%81%9F%E3%81%BE%E5%B8%82%E8%A5%BF%E5%8C%BA%E5%86%85%E9%87%8E%E6%9C%AC%E9%83%B7</v>
      </c>
      <c r="E1255" t="str">
        <f t="shared" si="77"/>
        <v xml:space="preserve">&lt;?xml version="1.0" encoding="UTF-8" ?&gt;
&lt;results&gt;
&lt;query&gt;埼玉県さいたま市西区内野本郷&lt;/query&gt;
&lt;geodetic&gt;wgs1984&lt;/geodetic&gt;
&lt;iConf&gt;5&lt;/iConf&gt;
&lt;converted&gt;埼玉県さいたま市西区内野本郷&lt;/converted&gt;
&lt;candidate&gt;
&lt;address&gt;埼玉県/さいたま市/西区/内野本郷&lt;/address&gt;
&lt;longitude&gt;139.592300&lt;/longitude&gt;
&lt;latitude&gt;35.935143&lt;/latitude&gt;
&lt;iLvl&gt;5&lt;/iLvl&gt;
&lt;/candidate&gt;
&lt;/results&gt;
</v>
      </c>
      <c r="F1255" cm="1">
        <f t="array" ref="F1255">INDEX(_xlfn.FILTERXML(E1255,"//latitude"),1)</f>
        <v>35.935142999999997</v>
      </c>
      <c r="G1255" cm="1">
        <f t="array" ref="G1255">INDEX(_xlfn.FILTERXML(E1255,"//longitude"),1)</f>
        <v>139.59229999999999</v>
      </c>
      <c r="H1255">
        <v>35.935142999999997</v>
      </c>
      <c r="I1255">
        <v>139.59229999999999</v>
      </c>
    </row>
    <row r="1256" spans="1:9" x14ac:dyDescent="0.4">
      <c r="A1256" t="s">
        <v>17</v>
      </c>
      <c r="B1256" t="s">
        <v>63</v>
      </c>
      <c r="C1256" t="str">
        <f t="shared" si="75"/>
        <v>愛知県瀬戸市</v>
      </c>
      <c r="D1256" s="2" t="str">
        <f t="shared" si="76"/>
        <v>http://geocode.csis.u-tokyo.ac.jp/cgi-bin/simple_geocode.cgi?charset=UTF8&amp;addr=%E6%84%9B%E7%9F%A5%E7%9C%8C%E7%80%AC%E6%88%B8%E5%B8%82</v>
      </c>
      <c r="E1256" t="str">
        <f t="shared" si="77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1256" cm="1">
        <f t="array" ref="F1256">INDEX(_xlfn.FILTERXML(E1256,"//latitude"),1)</f>
        <v>35.223621000000001</v>
      </c>
      <c r="G1256" cm="1">
        <f t="array" ref="G1256">INDEX(_xlfn.FILTERXML(E1256,"//longitude"),1)</f>
        <v>137.08412200000001</v>
      </c>
      <c r="H1256">
        <v>35.223621000000001</v>
      </c>
      <c r="I1256">
        <v>137.08412200000001</v>
      </c>
    </row>
    <row r="1257" spans="1:9" x14ac:dyDescent="0.4">
      <c r="A1257" t="s">
        <v>18</v>
      </c>
      <c r="B1257" t="s">
        <v>200</v>
      </c>
      <c r="C1257" t="str">
        <f t="shared" si="75"/>
        <v>千葉県柏市松葉町</v>
      </c>
      <c r="D1257" s="2" t="str">
        <f t="shared" si="76"/>
        <v>http://geocode.csis.u-tokyo.ac.jp/cgi-bin/simple_geocode.cgi?charset=UTF8&amp;addr=%E5%8D%83%E8%91%89%E7%9C%8C%E6%9F%8F%E5%B8%82%E6%9D%BE%E8%91%89%E7%94%BA</v>
      </c>
      <c r="E1257" t="str">
        <f t="shared" si="77"/>
        <v xml:space="preserve">&lt;?xml version="1.0" encoding="UTF-8" ?&gt;
&lt;results&gt;
&lt;query&gt;千葉県柏市松葉町&lt;/query&gt;
&lt;geodetic&gt;wgs1984&lt;/geodetic&gt;
&lt;iConf&gt;5&lt;/iConf&gt;
&lt;converted&gt;千葉県柏市松葉町&lt;/converted&gt;
&lt;candidate&gt;
&lt;address&gt;千葉県/柏市/松葉町&lt;/address&gt;
&lt;longitude&gt;139.980759&lt;/longitude&gt;
&lt;latitude&gt;35.886456&lt;/latitude&gt;
&lt;iLvl&gt;5&lt;/iLvl&gt;
&lt;/candidate&gt;
&lt;/results&gt;
</v>
      </c>
      <c r="F1257" cm="1">
        <f t="array" ref="F1257">INDEX(_xlfn.FILTERXML(E1257,"//latitude"),1)</f>
        <v>35.886456000000003</v>
      </c>
      <c r="G1257" cm="1">
        <f t="array" ref="G1257">INDEX(_xlfn.FILTERXML(E1257,"//longitude"),1)</f>
        <v>139.98075900000001</v>
      </c>
      <c r="H1257">
        <v>35.886456000000003</v>
      </c>
      <c r="I1257">
        <v>139.98075900000001</v>
      </c>
    </row>
    <row r="1258" spans="1:9" x14ac:dyDescent="0.4">
      <c r="A1258" t="s">
        <v>43</v>
      </c>
      <c r="B1258" t="s">
        <v>539</v>
      </c>
      <c r="C1258" t="str">
        <f t="shared" si="75"/>
        <v>大分県大分市上野丘東</v>
      </c>
      <c r="D1258" s="2" t="str">
        <f t="shared" si="76"/>
        <v>http://geocode.csis.u-tokyo.ac.jp/cgi-bin/simple_geocode.cgi?charset=UTF8&amp;addr=%E5%A4%A7%E5%88%86%E7%9C%8C%E5%A4%A7%E5%88%86%E5%B8%82%E4%B8%8A%E9%87%8E%E4%B8%98%E6%9D%B1</v>
      </c>
      <c r="E1258" t="str">
        <f t="shared" si="77"/>
        <v xml:space="preserve">&lt;?xml version="1.0" encoding="UTF-8" ?&gt;
&lt;results&gt;
&lt;query&gt;大分県大分市上野丘東&lt;/query&gt;
&lt;geodetic&gt;wgs1984&lt;/geodetic&gt;
&lt;iConf&gt;5&lt;/iConf&gt;
&lt;converted&gt;大分県大分市上野丘東&lt;/converted&gt;
&lt;candidate&gt;
&lt;address&gt;大分県/大分市/上野丘東&lt;/address&gt;
&lt;longitude&gt;131.615540&lt;/longitude&gt;
&lt;latitude&gt;33.222107&lt;/latitude&gt;
&lt;iLvl&gt;5&lt;/iLvl&gt;
&lt;/candidate&gt;
&lt;/results&gt;
</v>
      </c>
      <c r="F1258" cm="1">
        <f t="array" ref="F1258">INDEX(_xlfn.FILTERXML(E1258,"//latitude"),1)</f>
        <v>33.222107000000001</v>
      </c>
      <c r="G1258" cm="1">
        <f t="array" ref="G1258">INDEX(_xlfn.FILTERXML(E1258,"//longitude"),1)</f>
        <v>131.61554000000001</v>
      </c>
      <c r="H1258" s="3">
        <v>33.222107000000001</v>
      </c>
      <c r="I1258" s="3">
        <v>131.61554000000001</v>
      </c>
    </row>
    <row r="1259" spans="1:9" x14ac:dyDescent="0.4">
      <c r="A1259" t="s">
        <v>24</v>
      </c>
      <c r="B1259" t="s">
        <v>27</v>
      </c>
      <c r="C1259" t="str">
        <f t="shared" si="75"/>
        <v>栃木県宇都宮市</v>
      </c>
      <c r="D1259" s="2" t="str">
        <f t="shared" si="76"/>
        <v>http://geocode.csis.u-tokyo.ac.jp/cgi-bin/simple_geocode.cgi?charset=UTF8&amp;addr=%E6%A0%83%E6%9C%A8%E7%9C%8C%E5%AE%87%E9%83%BD%E5%AE%AE%E5%B8%82</v>
      </c>
      <c r="E1259" t="str">
        <f t="shared" si="77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259" cm="1">
        <f t="array" ref="F1259">INDEX(_xlfn.FILTERXML(E1259,"//latitude"),1)</f>
        <v>36.555115000000001</v>
      </c>
      <c r="G1259" cm="1">
        <f t="array" ref="G1259">INDEX(_xlfn.FILTERXML(E1259,"//longitude"),1)</f>
        <v>139.882812</v>
      </c>
      <c r="H1259">
        <v>36.555115000000001</v>
      </c>
      <c r="I1259">
        <v>139.882812</v>
      </c>
    </row>
    <row r="1260" spans="1:9" x14ac:dyDescent="0.4">
      <c r="A1260" t="s">
        <v>20</v>
      </c>
      <c r="B1260" t="s">
        <v>127</v>
      </c>
      <c r="C1260" t="str">
        <f t="shared" si="75"/>
        <v>茨城県水戸市吉沢町</v>
      </c>
      <c r="D1260" s="2" t="str">
        <f t="shared" si="76"/>
        <v>http://geocode.csis.u-tokyo.ac.jp/cgi-bin/simple_geocode.cgi?charset=UTF8&amp;addr=%E8%8C%A8%E5%9F%8E%E7%9C%8C%E6%B0%B4%E6%88%B8%E5%B8%82%E5%90%89%E6%B2%A2%E7%94%BA</v>
      </c>
      <c r="E1260" t="str">
        <f t="shared" si="77"/>
        <v xml:space="preserve">&lt;?xml version="1.0" encoding="UTF-8" ?&gt;
&lt;results&gt;
&lt;query&gt;茨城県水戸市吉沢町&lt;/query&gt;
&lt;geodetic&gt;wgs1984&lt;/geodetic&gt;
&lt;iConf&gt;5&lt;/iConf&gt;
&lt;converted&gt;茨城県水戸市吉沢町&lt;/converted&gt;
&lt;candidate&gt;
&lt;address&gt;茨城県/水戸市/吉沢町&lt;/address&gt;
&lt;longitude&gt;140.459686&lt;/longitude&gt;
&lt;latitude&gt;36.327759&lt;/latitude&gt;
&lt;iLvl&gt;5&lt;/iLvl&gt;
&lt;/candidate&gt;
&lt;/results&gt;
</v>
      </c>
      <c r="F1260" cm="1">
        <f t="array" ref="F1260">INDEX(_xlfn.FILTERXML(E1260,"//latitude"),1)</f>
        <v>36.327759</v>
      </c>
      <c r="G1260" cm="1">
        <f t="array" ref="G1260">INDEX(_xlfn.FILTERXML(E1260,"//longitude"),1)</f>
        <v>140.459686</v>
      </c>
      <c r="H1260">
        <v>36.327759</v>
      </c>
      <c r="I1260">
        <v>140.459686</v>
      </c>
    </row>
    <row r="1261" spans="1:9" x14ac:dyDescent="0.4">
      <c r="A1261" t="s">
        <v>11</v>
      </c>
      <c r="B1261" t="s">
        <v>540</v>
      </c>
      <c r="C1261" t="str">
        <f t="shared" si="75"/>
        <v>大阪府大阪市中央区内久宝寺</v>
      </c>
      <c r="D1261" s="2" t="str">
        <f t="shared" si="76"/>
        <v>http://geocode.csis.u-tokyo.ac.jp/cgi-bin/simple_geocode.cgi?charset=UTF8&amp;addr=%E5%A4%A7%E9%98%AA%E5%BA%9C%E5%A4%A7%E9%98%AA%E5%B8%82%E4%B8%AD%E5%A4%AE%E5%8C%BA%E5%86%85%E4%B9%85%E5%AE%9D%E5%AF%BA</v>
      </c>
      <c r="E1261" t="str">
        <f t="shared" si="77"/>
        <v xml:space="preserve">&lt;?xml version="1.0" encoding="UTF-8" ?&gt;
&lt;results&gt;
&lt;query&gt;大阪府大阪市中央区内久宝寺&lt;/query&gt;
&lt;geodetic&gt;wgs1984&lt;/geodetic&gt;
&lt;iConf&gt;5&lt;/iConf&gt;
&lt;converted&gt;大阪府大阪市中央区内久宝寺&lt;/converted&gt;
&lt;candidate&gt;
&lt;address&gt;大阪府/大阪市/中央区/内久宝寺町&lt;/address&gt;
&lt;longitude&gt;135.519196&lt;/longitude&gt;
&lt;latitude&gt;34.677696&lt;/latitude&gt;
&lt;iLvl&gt;5&lt;/iLvl&gt;
&lt;/candidate&gt;
&lt;/results&gt;
</v>
      </c>
      <c r="F1261" cm="1">
        <f t="array" ref="F1261">INDEX(_xlfn.FILTERXML(E1261,"//latitude"),1)</f>
        <v>34.677695999999997</v>
      </c>
      <c r="G1261" cm="1">
        <f t="array" ref="G1261">INDEX(_xlfn.FILTERXML(E1261,"//longitude"),1)</f>
        <v>135.51919599999999</v>
      </c>
      <c r="H1261">
        <v>34.677695999999997</v>
      </c>
      <c r="I1261">
        <v>135.51919599999999</v>
      </c>
    </row>
    <row r="1262" spans="1:9" x14ac:dyDescent="0.4">
      <c r="A1262" t="s">
        <v>10</v>
      </c>
      <c r="B1262" t="s">
        <v>107</v>
      </c>
      <c r="C1262" t="str">
        <f t="shared" si="75"/>
        <v>神奈川県川崎市幸区小倉</v>
      </c>
      <c r="D1262" s="2" t="str">
        <f t="shared" si="76"/>
        <v>http://geocode.csis.u-tokyo.ac.jp/cgi-bin/simple_geocode.cgi?charset=UTF8&amp;addr=%E7%A5%9E%E5%A5%88%E5%B7%9D%E7%9C%8C%E5%B7%9D%E5%B4%8E%E5%B8%82%E5%B9%B8%E5%8C%BA%E5%B0%8F%E5%80%89</v>
      </c>
      <c r="E1262" t="str">
        <f t="shared" si="77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1262" cm="1">
        <f t="array" ref="F1262">INDEX(_xlfn.FILTERXML(E1262,"//latitude"),1)</f>
        <v>35.545077999999997</v>
      </c>
      <c r="G1262" cm="1">
        <f t="array" ref="G1262">INDEX(_xlfn.FILTERXML(E1262,"//longitude"),1)</f>
        <v>139.670151</v>
      </c>
      <c r="H1262">
        <v>35.545077999999997</v>
      </c>
      <c r="I1262">
        <v>139.670151</v>
      </c>
    </row>
    <row r="1263" spans="1:9" x14ac:dyDescent="0.4">
      <c r="A1263" t="s">
        <v>17</v>
      </c>
      <c r="B1263" t="s">
        <v>541</v>
      </c>
      <c r="C1263" t="str">
        <f t="shared" si="75"/>
        <v>愛知県名古屋市千種区希望ヶ丘3丁目</v>
      </c>
      <c r="D1263" s="2" t="str">
        <f t="shared" si="76"/>
        <v>http://geocode.csis.u-tokyo.ac.jp/cgi-bin/simple_geocode.cgi?charset=UTF8&amp;addr=%E6%84%9B%E7%9F%A5%E7%9C%8C%E5%90%8D%E5%8F%A4%E5%B1%8B%E5%B8%82%E5%8D%83%E7%A8%AE%E5%8C%BA%E5%B8%8C%E6%9C%9B%E3%83%B6%E4%B8%983%E4%B8%81%E7%9B%AE</v>
      </c>
      <c r="E1263" t="str">
        <f t="shared" si="77"/>
        <v xml:space="preserve">&lt;?xml version="1.0" encoding="UTF-8" ?&gt;
&lt;results&gt;
&lt;query&gt;愛知県名古屋市千種区希望ヶ丘3丁目&lt;/query&gt;
&lt;geodetic&gt;wgs1984&lt;/geodetic&gt;
&lt;iConf&gt;5&lt;/iConf&gt;
&lt;converted&gt;愛知県名古屋市千種区希望ヶ丘3丁目&lt;/converted&gt;
&lt;candidate&gt;
&lt;address&gt;愛知県/名古屋市/千種区/希望ケ丘/三丁目&lt;/address&gt;
&lt;longitude&gt;136.972015&lt;/longitude&gt;
&lt;latitude&gt;35.179344&lt;/latitude&gt;
&lt;iLvl&gt;6&lt;/iLvl&gt;
&lt;/candidate&gt;
&lt;/results&gt;
</v>
      </c>
      <c r="F1263" cm="1">
        <f t="array" ref="F1263">INDEX(_xlfn.FILTERXML(E1263,"//latitude"),1)</f>
        <v>35.179344</v>
      </c>
      <c r="G1263" cm="1">
        <f t="array" ref="G1263">INDEX(_xlfn.FILTERXML(E1263,"//longitude"),1)</f>
        <v>136.972015</v>
      </c>
      <c r="H1263">
        <v>35.179344</v>
      </c>
      <c r="I1263">
        <v>136.972015</v>
      </c>
    </row>
    <row r="1264" spans="1:9" x14ac:dyDescent="0.4">
      <c r="A1264" t="s">
        <v>20</v>
      </c>
      <c r="B1264" t="s">
        <v>175</v>
      </c>
      <c r="C1264" t="str">
        <f t="shared" si="75"/>
        <v>茨城県水戸市米沢町</v>
      </c>
      <c r="D1264" s="2" t="str">
        <f t="shared" si="76"/>
        <v>http://geocode.csis.u-tokyo.ac.jp/cgi-bin/simple_geocode.cgi?charset=UTF8&amp;addr=%E8%8C%A8%E5%9F%8E%E7%9C%8C%E6%B0%B4%E6%88%B8%E5%B8%82%E7%B1%B3%E6%B2%A2%E7%94%BA</v>
      </c>
      <c r="E1264" t="str">
        <f t="shared" si="77"/>
        <v xml:space="preserve">&lt;?xml version="1.0" encoding="UTF-8" ?&gt;
&lt;results&gt;
&lt;query&gt;茨城県水戸市米沢町&lt;/query&gt;
&lt;geodetic&gt;wgs1984&lt;/geodetic&gt;
&lt;iConf&gt;5&lt;/iConf&gt;
&lt;converted&gt;茨城県水戸市米沢町&lt;/converted&gt;
&lt;candidate&gt;
&lt;address&gt;茨城県/水戸市/米沢町&lt;/address&gt;
&lt;longitude&gt;140.461197&lt;/longitude&gt;
&lt;latitude&gt;36.341946&lt;/latitude&gt;
&lt;iLvl&gt;5&lt;/iLvl&gt;
&lt;/candidate&gt;
&lt;/results&gt;
</v>
      </c>
      <c r="F1264" cm="1">
        <f t="array" ref="F1264">INDEX(_xlfn.FILTERXML(E1264,"//latitude"),1)</f>
        <v>36.341946</v>
      </c>
      <c r="G1264" cm="1">
        <f t="array" ref="G1264">INDEX(_xlfn.FILTERXML(E1264,"//longitude"),1)</f>
        <v>140.461197</v>
      </c>
      <c r="H1264">
        <v>36.341946</v>
      </c>
      <c r="I1264">
        <v>140.461197</v>
      </c>
    </row>
    <row r="1265" spans="1:9" x14ac:dyDescent="0.4">
      <c r="A1265" t="s">
        <v>118</v>
      </c>
      <c r="B1265" t="s">
        <v>542</v>
      </c>
      <c r="C1265" t="str">
        <f t="shared" si="75"/>
        <v>北海道札幌市西区発寒十条</v>
      </c>
      <c r="D1265" s="2" t="str">
        <f t="shared" si="76"/>
        <v>http://geocode.csis.u-tokyo.ac.jp/cgi-bin/simple_geocode.cgi?charset=UTF8&amp;addr=%E5%8C%97%E6%B5%B7%E9%81%93%E6%9C%AD%E5%B9%8C%E5%B8%82%E8%A5%BF%E5%8C%BA%E7%99%BA%E5%AF%92%E5%8D%81%E6%9D%A1</v>
      </c>
      <c r="E1265" t="str">
        <f t="shared" si="77"/>
        <v xml:space="preserve">&lt;?xml version="1.0" encoding="UTF-8" ?&gt;
&lt;results&gt;
&lt;query&gt;北海道札幌市西区発寒十条&lt;/query&gt;
&lt;geodetic&gt;wgs1984&lt;/geodetic&gt;
&lt;iConf&gt;5&lt;/iConf&gt;
&lt;converted&gt;北海道札幌市西区発寒十条&lt;/converted&gt;
&lt;candidate&gt;
&lt;address&gt;北海道/札幌市/西区/発寒十条&lt;/address&gt;
&lt;longitude&gt;141.300613&lt;/longitude&gt;
&lt;latitude&gt;43.087029&lt;/latitude&gt;
&lt;iLvl&gt;5&lt;/iLvl&gt;
&lt;/candidate&gt;
&lt;/results&gt;
</v>
      </c>
      <c r="F1265" cm="1">
        <f t="array" ref="F1265">INDEX(_xlfn.FILTERXML(E1265,"//latitude"),1)</f>
        <v>43.087029000000001</v>
      </c>
      <c r="G1265" cm="1">
        <f t="array" ref="G1265">INDEX(_xlfn.FILTERXML(E1265,"//longitude"),1)</f>
        <v>141.300613</v>
      </c>
      <c r="H1265">
        <v>43.087029000000001</v>
      </c>
      <c r="I1265">
        <v>141.300613</v>
      </c>
    </row>
    <row r="1266" spans="1:9" x14ac:dyDescent="0.4">
      <c r="A1266" t="s">
        <v>17</v>
      </c>
      <c r="B1266" t="s">
        <v>195</v>
      </c>
      <c r="C1266" t="str">
        <f t="shared" si="75"/>
        <v>愛知県名古屋市港区入場1丁目</v>
      </c>
      <c r="D1266" s="2" t="str">
        <f t="shared" si="76"/>
        <v>http://geocode.csis.u-tokyo.ac.jp/cgi-bin/simple_geocode.cgi?charset=UTF8&amp;addr=%E6%84%9B%E7%9F%A5%E7%9C%8C%E5%90%8D%E5%8F%A4%E5%B1%8B%E5%B8%82%E6%B8%AF%E5%8C%BA%E5%85%A5%E5%A0%B41%E4%B8%81%E7%9B%AE</v>
      </c>
      <c r="E1266" t="str">
        <f t="shared" si="77"/>
        <v xml:space="preserve">&lt;?xml version="1.0" encoding="UTF-8" ?&gt;
&lt;results&gt;
&lt;query&gt;愛知県名古屋市港区入場1丁目&lt;/query&gt;
&lt;geodetic&gt;wgs1984&lt;/geodetic&gt;
&lt;iConf&gt;5&lt;/iConf&gt;
&lt;converted&gt;愛知県名古屋市港区入場1丁目&lt;/converted&gt;
&lt;candidate&gt;
&lt;address&gt;愛知県/名古屋市/港区/入場/一丁目&lt;/address&gt;
&lt;longitude&gt;136.854202&lt;/longitude&gt;
&lt;latitude&gt;35.111874&lt;/latitude&gt;
&lt;iLvl&gt;6&lt;/iLvl&gt;
&lt;/candidate&gt;
&lt;/results&gt;
</v>
      </c>
      <c r="F1266" cm="1">
        <f t="array" ref="F1266">INDEX(_xlfn.FILTERXML(E1266,"//latitude"),1)</f>
        <v>35.111874</v>
      </c>
      <c r="G1266" cm="1">
        <f t="array" ref="G1266">INDEX(_xlfn.FILTERXML(E1266,"//longitude"),1)</f>
        <v>136.85420199999999</v>
      </c>
      <c r="H1266">
        <v>35.111874</v>
      </c>
      <c r="I1266">
        <v>136.85420199999999</v>
      </c>
    </row>
    <row r="1267" spans="1:9" x14ac:dyDescent="0.4">
      <c r="A1267" t="s">
        <v>10</v>
      </c>
      <c r="B1267" t="s">
        <v>187</v>
      </c>
      <c r="C1267" t="str">
        <f t="shared" si="75"/>
        <v>神奈川県川崎市多摩区三田</v>
      </c>
      <c r="D1267" s="2" t="str">
        <f t="shared" si="76"/>
        <v>http://geocode.csis.u-tokyo.ac.jp/cgi-bin/simple_geocode.cgi?charset=UTF8&amp;addr=%E7%A5%9E%E5%A5%88%E5%B7%9D%E7%9C%8C%E5%B7%9D%E5%B4%8E%E5%B8%82%E5%A4%9A%E6%91%A9%E5%8C%BA%E4%B8%89%E7%94%B0</v>
      </c>
      <c r="E1267" t="str">
        <f t="shared" si="77"/>
        <v xml:space="preserve">&lt;?xml version="1.0" encoding="UTF-8" ?&gt;
&lt;results&gt;
&lt;query&gt;神奈川県川崎市多摩区三田&lt;/query&gt;
&lt;geodetic&gt;wgs1984&lt;/geodetic&gt;
&lt;iConf&gt;5&lt;/iConf&gt;
&lt;converted&gt;神奈川県川崎市多摩区三田&lt;/converted&gt;
&lt;candidate&gt;
&lt;address&gt;神奈川県/川崎市/多摩区/三田&lt;/address&gt;
&lt;longitude&gt;139.542404&lt;/longitude&gt;
&lt;latitude&gt;35.612675&lt;/latitude&gt;
&lt;iLvl&gt;5&lt;/iLvl&gt;
&lt;/candidate&gt;
&lt;/results&gt;
</v>
      </c>
      <c r="F1267" cm="1">
        <f t="array" ref="F1267">INDEX(_xlfn.FILTERXML(E1267,"//latitude"),1)</f>
        <v>35.612675000000003</v>
      </c>
      <c r="G1267" cm="1">
        <f t="array" ref="G1267">INDEX(_xlfn.FILTERXML(E1267,"//longitude"),1)</f>
        <v>139.542404</v>
      </c>
      <c r="H1267">
        <v>35.612675000000003</v>
      </c>
      <c r="I1267">
        <v>139.542404</v>
      </c>
    </row>
    <row r="1268" spans="1:9" x14ac:dyDescent="0.4">
      <c r="A1268" t="s">
        <v>9</v>
      </c>
      <c r="B1268" t="s">
        <v>543</v>
      </c>
      <c r="C1268" t="str">
        <f t="shared" si="75"/>
        <v>東京都目黒区上目黒</v>
      </c>
      <c r="D1268" s="2" t="str">
        <f t="shared" si="76"/>
        <v>http://geocode.csis.u-tokyo.ac.jp/cgi-bin/simple_geocode.cgi?charset=UTF8&amp;addr=%E6%9D%B1%E4%BA%AC%E9%83%BD%E7%9B%AE%E9%BB%92%E5%8C%BA%E4%B8%8A%E7%9B%AE%E9%BB%92</v>
      </c>
      <c r="E1268" t="str">
        <f t="shared" si="77"/>
        <v xml:space="preserve">&lt;?xml version="1.0" encoding="UTF-8" ?&gt;
&lt;results&gt;
&lt;query&gt;東京都目黒区上目黒&lt;/query&gt;
&lt;geodetic&gt;wgs1984&lt;/geodetic&gt;
&lt;iConf&gt;5&lt;/iConf&gt;
&lt;converted&gt;東京都目黒区上目黒&lt;/converted&gt;
&lt;candidate&gt;
&lt;address&gt;東京都/目黒区/上目黒&lt;/address&gt;
&lt;longitude&gt;139.699829&lt;/longitude&gt;
&lt;latitude&gt;35.645035&lt;/latitude&gt;
&lt;iLvl&gt;5&lt;/iLvl&gt;
&lt;/candidate&gt;
&lt;/results&gt;
</v>
      </c>
      <c r="F1268" cm="1">
        <f t="array" ref="F1268">INDEX(_xlfn.FILTERXML(E1268,"//latitude"),1)</f>
        <v>35.645035</v>
      </c>
      <c r="G1268" cm="1">
        <f t="array" ref="G1268">INDEX(_xlfn.FILTERXML(E1268,"//longitude"),1)</f>
        <v>139.69982899999999</v>
      </c>
      <c r="H1268">
        <v>35.645035</v>
      </c>
      <c r="I1268">
        <v>139.69982899999999</v>
      </c>
    </row>
    <row r="1269" spans="1:9" x14ac:dyDescent="0.4">
      <c r="A1269" t="s">
        <v>18</v>
      </c>
      <c r="B1269" t="s">
        <v>108</v>
      </c>
      <c r="C1269" t="str">
        <f t="shared" si="75"/>
        <v>千葉県船橋市海神</v>
      </c>
      <c r="D1269" s="2" t="str">
        <f t="shared" si="76"/>
        <v>http://geocode.csis.u-tokyo.ac.jp/cgi-bin/simple_geocode.cgi?charset=UTF8&amp;addr=%E5%8D%83%E8%91%89%E7%9C%8C%E8%88%B9%E6%A9%8B%E5%B8%82%E6%B5%B7%E7%A5%9E</v>
      </c>
      <c r="E1269" t="str">
        <f t="shared" si="77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1269" cm="1">
        <f t="array" ref="F1269">INDEX(_xlfn.FILTERXML(E1269,"//latitude"),1)</f>
        <v>35.700184</v>
      </c>
      <c r="G1269" cm="1">
        <f t="array" ref="G1269">INDEX(_xlfn.FILTERXML(E1269,"//longitude"),1)</f>
        <v>139.978531</v>
      </c>
      <c r="H1269">
        <v>35.700184</v>
      </c>
      <c r="I1269">
        <v>139.978531</v>
      </c>
    </row>
    <row r="1270" spans="1:9" x14ac:dyDescent="0.4">
      <c r="A1270" t="s">
        <v>42</v>
      </c>
      <c r="B1270" t="s">
        <v>544</v>
      </c>
      <c r="C1270" t="str">
        <f t="shared" si="75"/>
        <v>富山県富山市下新本町</v>
      </c>
      <c r="D1270" s="2" t="str">
        <f t="shared" si="76"/>
        <v>http://geocode.csis.u-tokyo.ac.jp/cgi-bin/simple_geocode.cgi?charset=UTF8&amp;addr=%E5%AF%8C%E5%B1%B1%E7%9C%8C%E5%AF%8C%E5%B1%B1%E5%B8%82%E4%B8%8B%E6%96%B0%E6%9C%AC%E7%94%BA</v>
      </c>
      <c r="E1270" t="str">
        <f t="shared" si="77"/>
        <v xml:space="preserve">&lt;?xml version="1.0" encoding="UTF-8" ?&gt;
&lt;results&gt;
&lt;query&gt;富山県富山市下新本町&lt;/query&gt;
&lt;geodetic&gt;wgs1984&lt;/geodetic&gt;
&lt;iConf&gt;5&lt;/iConf&gt;
&lt;converted&gt;富山県富山市下新本町&lt;/converted&gt;
&lt;candidate&gt;
&lt;address&gt;富山県/富山市/下新本町&lt;/address&gt;
&lt;longitude&gt;137.217102&lt;/longitude&gt;
&lt;latitude&gt;36.714607&lt;/latitude&gt;
&lt;iLvl&gt;5&lt;/iLvl&gt;
&lt;/candidate&gt;
&lt;/results&gt;
</v>
      </c>
      <c r="F1270" cm="1">
        <f t="array" ref="F1270">INDEX(_xlfn.FILTERXML(E1270,"//latitude"),1)</f>
        <v>36.714607000000001</v>
      </c>
      <c r="G1270" cm="1">
        <f t="array" ref="G1270">INDEX(_xlfn.FILTERXML(E1270,"//longitude"),1)</f>
        <v>137.21710200000001</v>
      </c>
      <c r="H1270">
        <v>36.714607000000001</v>
      </c>
      <c r="I1270">
        <v>137.21710200000001</v>
      </c>
    </row>
    <row r="1271" spans="1:9" x14ac:dyDescent="0.4">
      <c r="A1271" t="s">
        <v>17</v>
      </c>
      <c r="B1271" t="s">
        <v>195</v>
      </c>
      <c r="C1271" t="str">
        <f t="shared" si="75"/>
        <v>愛知県名古屋市港区入場1丁目</v>
      </c>
      <c r="D1271" s="2" t="str">
        <f t="shared" si="76"/>
        <v>http://geocode.csis.u-tokyo.ac.jp/cgi-bin/simple_geocode.cgi?charset=UTF8&amp;addr=%E6%84%9B%E7%9F%A5%E7%9C%8C%E5%90%8D%E5%8F%A4%E5%B1%8B%E5%B8%82%E6%B8%AF%E5%8C%BA%E5%85%A5%E5%A0%B41%E4%B8%81%E7%9B%AE</v>
      </c>
      <c r="E1271" t="str">
        <f t="shared" si="77"/>
        <v xml:space="preserve">&lt;?xml version="1.0" encoding="UTF-8" ?&gt;
&lt;results&gt;
&lt;query&gt;愛知県名古屋市港区入場1丁目&lt;/query&gt;
&lt;geodetic&gt;wgs1984&lt;/geodetic&gt;
&lt;iConf&gt;5&lt;/iConf&gt;
&lt;converted&gt;愛知県名古屋市港区入場1丁目&lt;/converted&gt;
&lt;candidate&gt;
&lt;address&gt;愛知県/名古屋市/港区/入場/一丁目&lt;/address&gt;
&lt;longitude&gt;136.854202&lt;/longitude&gt;
&lt;latitude&gt;35.111874&lt;/latitude&gt;
&lt;iLvl&gt;6&lt;/iLvl&gt;
&lt;/candidate&gt;
&lt;/results&gt;
</v>
      </c>
      <c r="F1271" cm="1">
        <f t="array" ref="F1271">INDEX(_xlfn.FILTERXML(E1271,"//latitude"),1)</f>
        <v>35.111874</v>
      </c>
      <c r="G1271" cm="1">
        <f t="array" ref="G1271">INDEX(_xlfn.FILTERXML(E1271,"//longitude"),1)</f>
        <v>136.85420199999999</v>
      </c>
      <c r="H1271">
        <v>35.111874</v>
      </c>
      <c r="I1271">
        <v>136.85420199999999</v>
      </c>
    </row>
    <row r="1272" spans="1:9" x14ac:dyDescent="0.4">
      <c r="A1272" t="s">
        <v>34</v>
      </c>
      <c r="B1272" t="s">
        <v>1043</v>
      </c>
      <c r="C1272" t="str">
        <f t="shared" si="75"/>
        <v>岐阜県岐阜市蔵前</v>
      </c>
      <c r="D1272" s="2" t="str">
        <f t="shared" si="76"/>
        <v>http://geocode.csis.u-tokyo.ac.jp/cgi-bin/simple_geocode.cgi?charset=UTF8&amp;addr=%E5%B2%90%E9%98%9C%E7%9C%8C%E5%B2%90%E9%98%9C%E5%B8%82%E8%94%B5%E5%89%8D</v>
      </c>
      <c r="E1272" t="str">
        <f t="shared" si="77"/>
        <v xml:space="preserve">&lt;?xml version="1.0" encoding="UTF-8" ?&gt;
&lt;results&gt;
&lt;query&gt;岐阜県岐阜市蔵前&lt;/query&gt;
&lt;geodetic&gt;wgs1984&lt;/geodetic&gt;
&lt;iConf&gt;5&lt;/iConf&gt;
&lt;converted&gt;岐阜県岐阜市蔵前&lt;/converted&gt;
&lt;candidate&gt;
&lt;address&gt;岐阜県/岐阜市/蔵前&lt;/address&gt;
&lt;longitude&gt;136.804611&lt;/longitude&gt;
&lt;latitude&gt;35.402534&lt;/latitude&gt;
&lt;iLvl&gt;5&lt;/iLvl&gt;
&lt;/candidate&gt;
&lt;/results&gt;
</v>
      </c>
      <c r="F1272" cm="1">
        <f t="array" ref="F1272">INDEX(_xlfn.FILTERXML(E1272,"//latitude"),1)</f>
        <v>35.402534000000003</v>
      </c>
      <c r="G1272" cm="1">
        <f t="array" ref="G1272">INDEX(_xlfn.FILTERXML(E1272,"//longitude"),1)</f>
        <v>136.80461099999999</v>
      </c>
      <c r="H1272">
        <v>35.402534000000003</v>
      </c>
      <c r="I1272">
        <v>136.80461099999999</v>
      </c>
    </row>
    <row r="1273" spans="1:9" x14ac:dyDescent="0.4">
      <c r="A1273" t="s">
        <v>17</v>
      </c>
      <c r="B1273" t="s">
        <v>541</v>
      </c>
      <c r="C1273" t="str">
        <f t="shared" si="75"/>
        <v>愛知県名古屋市千種区希望ヶ丘3丁目</v>
      </c>
      <c r="D1273" s="2" t="str">
        <f t="shared" si="76"/>
        <v>http://geocode.csis.u-tokyo.ac.jp/cgi-bin/simple_geocode.cgi?charset=UTF8&amp;addr=%E6%84%9B%E7%9F%A5%E7%9C%8C%E5%90%8D%E5%8F%A4%E5%B1%8B%E5%B8%82%E5%8D%83%E7%A8%AE%E5%8C%BA%E5%B8%8C%E6%9C%9B%E3%83%B6%E4%B8%983%E4%B8%81%E7%9B%AE</v>
      </c>
      <c r="E1273" t="str">
        <f t="shared" si="77"/>
        <v xml:space="preserve">&lt;?xml version="1.0" encoding="UTF-8" ?&gt;
&lt;results&gt;
&lt;query&gt;愛知県名古屋市千種区希望ヶ丘3丁目&lt;/query&gt;
&lt;geodetic&gt;wgs1984&lt;/geodetic&gt;
&lt;iConf&gt;5&lt;/iConf&gt;
&lt;converted&gt;愛知県名古屋市千種区希望ヶ丘3丁目&lt;/converted&gt;
&lt;candidate&gt;
&lt;address&gt;愛知県/名古屋市/千種区/希望ケ丘/三丁目&lt;/address&gt;
&lt;longitude&gt;136.972015&lt;/longitude&gt;
&lt;latitude&gt;35.179344&lt;/latitude&gt;
&lt;iLvl&gt;6&lt;/iLvl&gt;
&lt;/candidate&gt;
&lt;/results&gt;
</v>
      </c>
      <c r="F1273" cm="1">
        <f t="array" ref="F1273">INDEX(_xlfn.FILTERXML(E1273,"//latitude"),1)</f>
        <v>35.179344</v>
      </c>
      <c r="G1273" cm="1">
        <f t="array" ref="G1273">INDEX(_xlfn.FILTERXML(E1273,"//longitude"),1)</f>
        <v>136.972015</v>
      </c>
      <c r="H1273">
        <v>35.179344</v>
      </c>
      <c r="I1273">
        <v>136.972015</v>
      </c>
    </row>
    <row r="1274" spans="1:9" x14ac:dyDescent="0.4">
      <c r="A1274" t="s">
        <v>18</v>
      </c>
      <c r="B1274" t="s">
        <v>108</v>
      </c>
      <c r="C1274" t="str">
        <f t="shared" si="75"/>
        <v>千葉県船橋市海神</v>
      </c>
      <c r="D1274" s="2" t="str">
        <f t="shared" si="76"/>
        <v>http://geocode.csis.u-tokyo.ac.jp/cgi-bin/simple_geocode.cgi?charset=UTF8&amp;addr=%E5%8D%83%E8%91%89%E7%9C%8C%E8%88%B9%E6%A9%8B%E5%B8%82%E6%B5%B7%E7%A5%9E</v>
      </c>
      <c r="E1274" t="str">
        <f t="shared" si="77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1274" cm="1">
        <f t="array" ref="F1274">INDEX(_xlfn.FILTERXML(E1274,"//latitude"),1)</f>
        <v>35.700184</v>
      </c>
      <c r="G1274" cm="1">
        <f t="array" ref="G1274">INDEX(_xlfn.FILTERXML(E1274,"//longitude"),1)</f>
        <v>139.978531</v>
      </c>
      <c r="H1274">
        <v>35.700184</v>
      </c>
      <c r="I1274">
        <v>139.978531</v>
      </c>
    </row>
    <row r="1275" spans="1:9" x14ac:dyDescent="0.4">
      <c r="A1275" t="s">
        <v>15</v>
      </c>
      <c r="B1275" t="s">
        <v>242</v>
      </c>
      <c r="C1275" t="str">
        <f t="shared" si="75"/>
        <v>兵庫県神戸市須磨区白川字不計</v>
      </c>
      <c r="D1275" s="2" t="str">
        <f t="shared" si="76"/>
        <v>http://geocode.csis.u-tokyo.ac.jp/cgi-bin/simple_geocode.cgi?charset=UTF8&amp;addr=%E5%85%B5%E5%BA%AB%E7%9C%8C%E7%A5%9E%E6%88%B8%E5%B8%82%E9%A0%88%E7%A3%A8%E5%8C%BA%E7%99%BD%E5%B7%9D%E5%AD%97%E4%B8%8D%E8%A8%88</v>
      </c>
      <c r="E1275" t="str">
        <f t="shared" si="77"/>
        <v xml:space="preserve">&lt;?xml version="1.0" encoding="UTF-8" ?&gt;
&lt;results&gt;
&lt;query&gt;兵庫県神戸市須磨区白川字不計&lt;/query&gt;
&lt;geodetic&gt;wgs1984&lt;/geodetic&gt;
&lt;iConf&gt;5&lt;/iConf&gt;
&lt;converted&gt;兵庫県神戸市須磨区白川字不計&lt;/converted&gt;
&lt;candidate&gt;
&lt;address&gt;兵庫県/神戸市/須磨区/白川/不計&lt;/address&gt;
&lt;longitude&gt;135.096146&lt;/longitude&gt;
&lt;latitude&gt;34.697018&lt;/latitude&gt;
&lt;iLvl&gt;6&lt;/iLvl&gt;
&lt;/candidate&gt;
&lt;/results&gt;
</v>
      </c>
      <c r="F1275" cm="1">
        <f t="array" ref="F1275">INDEX(_xlfn.FILTERXML(E1275,"//latitude"),1)</f>
        <v>34.697018</v>
      </c>
      <c r="G1275" cm="1">
        <f t="array" ref="G1275">INDEX(_xlfn.FILTERXML(E1275,"//longitude"),1)</f>
        <v>135.096146</v>
      </c>
      <c r="H1275">
        <v>34.697018</v>
      </c>
      <c r="I1275">
        <v>135.096146</v>
      </c>
    </row>
    <row r="1276" spans="1:9" x14ac:dyDescent="0.4">
      <c r="A1276" t="s">
        <v>9</v>
      </c>
      <c r="B1276" t="s">
        <v>141</v>
      </c>
      <c r="C1276" t="str">
        <f t="shared" si="75"/>
        <v>東京都文京区向丘2-34-1</v>
      </c>
      <c r="D1276" s="2" t="str">
        <f t="shared" si="76"/>
        <v>http://geocode.csis.u-tokyo.ac.jp/cgi-bin/simple_geocode.cgi?charset=UTF8&amp;addr=%E6%9D%B1%E4%BA%AC%E9%83%BD%E6%96%87%E4%BA%AC%E5%8C%BA%E5%90%91%E4%B8%982-34-1</v>
      </c>
      <c r="E1276" t="str">
        <f t="shared" si="77"/>
        <v xml:space="preserve">&lt;?xml version="1.0" encoding="UTF-8" ?&gt;
&lt;results&gt;
&lt;query&gt;東京都文京区向丘2-34-1&lt;/query&gt;
&lt;geodetic&gt;wgs1984&lt;/geodetic&gt;
&lt;iConf&gt;5&lt;/iConf&gt;
&lt;converted&gt;東京都文京区向丘2-34-1&lt;/converted&gt;
&lt;candidate&gt;
&lt;address&gt;東京都/文京区/向丘/二丁目/３４番/１号&lt;/address&gt;
&lt;longitude&gt;139.755692&lt;/longitude&gt;
&lt;latitude&gt;35.723564&lt;/latitude&gt;
&lt;iLvl&gt;8&lt;/iLvl&gt;
&lt;/candidate&gt;
&lt;/results&gt;
</v>
      </c>
      <c r="F1276" cm="1">
        <f t="array" ref="F1276">INDEX(_xlfn.FILTERXML(E1276,"//latitude"),1)</f>
        <v>35.723564000000003</v>
      </c>
      <c r="G1276" cm="1">
        <f t="array" ref="G1276">INDEX(_xlfn.FILTERXML(E1276,"//longitude"),1)</f>
        <v>139.75569200000001</v>
      </c>
      <c r="H1276">
        <v>35.723564000000003</v>
      </c>
      <c r="I1276">
        <v>139.75569200000001</v>
      </c>
    </row>
    <row r="1277" spans="1:9" x14ac:dyDescent="0.4">
      <c r="A1277" t="s">
        <v>11</v>
      </c>
      <c r="B1277" t="s">
        <v>545</v>
      </c>
      <c r="C1277" t="str">
        <f t="shared" si="75"/>
        <v>大阪府岸和田市南町</v>
      </c>
      <c r="D1277" s="2" t="str">
        <f t="shared" si="76"/>
        <v>http://geocode.csis.u-tokyo.ac.jp/cgi-bin/simple_geocode.cgi?charset=UTF8&amp;addr=%E5%A4%A7%E9%98%AA%E5%BA%9C%E5%B2%B8%E5%92%8C%E7%94%B0%E5%B8%82%E5%8D%97%E7%94%BA</v>
      </c>
      <c r="E1277" t="str">
        <f t="shared" si="77"/>
        <v xml:space="preserve">&lt;?xml version="1.0" encoding="UTF-8" ?&gt;
&lt;results&gt;
&lt;query&gt;大阪府岸和田市南町&lt;/query&gt;
&lt;geodetic&gt;wgs1984&lt;/geodetic&gt;
&lt;iConf&gt;5&lt;/iConf&gt;
&lt;converted&gt;大阪府岸和田市南町&lt;/converted&gt;
&lt;candidate&gt;
&lt;address&gt;大阪府/岸和田市/南町&lt;/address&gt;
&lt;longitude&gt;135.365356&lt;/longitude&gt;
&lt;latitude&gt;34.457176&lt;/latitude&gt;
&lt;iLvl&gt;5&lt;/iLvl&gt;
&lt;/candidate&gt;
&lt;/results&gt;
</v>
      </c>
      <c r="F1277" cm="1">
        <f t="array" ref="F1277">INDEX(_xlfn.FILTERXML(E1277,"//latitude"),1)</f>
        <v>34.457175999999997</v>
      </c>
      <c r="G1277" cm="1">
        <f t="array" ref="G1277">INDEX(_xlfn.FILTERXML(E1277,"//longitude"),1)</f>
        <v>135.36535599999999</v>
      </c>
      <c r="H1277">
        <v>34.457175999999997</v>
      </c>
      <c r="I1277">
        <v>135.36535599999999</v>
      </c>
    </row>
    <row r="1278" spans="1:9" x14ac:dyDescent="0.4">
      <c r="A1278" t="s">
        <v>10</v>
      </c>
      <c r="B1278" t="s">
        <v>217</v>
      </c>
      <c r="C1278" t="str">
        <f t="shared" si="75"/>
        <v>神奈川県川崎市多摩区東三田</v>
      </c>
      <c r="D1278" s="2" t="str">
        <f t="shared" si="76"/>
        <v>http://geocode.csis.u-tokyo.ac.jp/cgi-bin/simple_geocode.cgi?charset=UTF8&amp;addr=%E7%A5%9E%E5%A5%88%E5%B7%9D%E7%9C%8C%E5%B7%9D%E5%B4%8E%E5%B8%82%E5%A4%9A%E6%91%A9%E5%8C%BA%E6%9D%B1%E4%B8%89%E7%94%B0</v>
      </c>
      <c r="E1278" t="str">
        <f t="shared" si="77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1278" cm="1">
        <f t="array" ref="F1278">INDEX(_xlfn.FILTERXML(E1278,"//latitude"),1)</f>
        <v>35.612651999999997</v>
      </c>
      <c r="G1278" cm="1">
        <f t="array" ref="G1278">INDEX(_xlfn.FILTERXML(E1278,"//longitude"),1)</f>
        <v>139.54901100000001</v>
      </c>
      <c r="H1278">
        <v>35.612651999999997</v>
      </c>
      <c r="I1278">
        <v>139.54901100000001</v>
      </c>
    </row>
    <row r="1279" spans="1:9" x14ac:dyDescent="0.4">
      <c r="A1279" t="s">
        <v>17</v>
      </c>
      <c r="B1279" t="s">
        <v>546</v>
      </c>
      <c r="C1279" t="str">
        <f t="shared" si="75"/>
        <v>愛知県名古屋市東区矢田南二丁目</v>
      </c>
      <c r="D1279" s="2" t="str">
        <f t="shared" si="76"/>
        <v>http://geocode.csis.u-tokyo.ac.jp/cgi-bin/simple_geocode.cgi?charset=UTF8&amp;addr=%E6%84%9B%E7%9F%A5%E7%9C%8C%E5%90%8D%E5%8F%A4%E5%B1%8B%E5%B8%82%E6%9D%B1%E5%8C%BA%E7%9F%A2%E7%94%B0%E5%8D%97%E4%BA%8C%E4%B8%81%E7%9B%AE</v>
      </c>
      <c r="E1279" t="str">
        <f t="shared" si="77"/>
        <v xml:space="preserve">&lt;?xml version="1.0" encoding="UTF-8" ?&gt;
&lt;results&gt;
&lt;query&gt;愛知県名古屋市東区矢田南二丁目&lt;/query&gt;
&lt;geodetic&gt;wgs1984&lt;/geodetic&gt;
&lt;iConf&gt;5&lt;/iConf&gt;
&lt;converted&gt;愛知県名古屋市東区矢田南二丁目&lt;/converted&gt;
&lt;candidate&gt;
&lt;address&gt;愛知県/名古屋市/東区/矢田南/二丁目&lt;/address&gt;
&lt;longitude&gt;136.943268&lt;/longitude&gt;
&lt;latitude&gt;35.183826&lt;/latitude&gt;
&lt;iLvl&gt;6&lt;/iLvl&gt;
&lt;/candidate&gt;
&lt;/results&gt;
</v>
      </c>
      <c r="F1279" cm="1">
        <f t="array" ref="F1279">INDEX(_xlfn.FILTERXML(E1279,"//latitude"),1)</f>
        <v>35.183826000000003</v>
      </c>
      <c r="G1279" cm="1">
        <f t="array" ref="G1279">INDEX(_xlfn.FILTERXML(E1279,"//longitude"),1)</f>
        <v>136.94326799999999</v>
      </c>
      <c r="H1279">
        <v>35.183826000000003</v>
      </c>
      <c r="I1279">
        <v>136.94326799999999</v>
      </c>
    </row>
    <row r="1280" spans="1:9" x14ac:dyDescent="0.4">
      <c r="A1280" t="s">
        <v>29</v>
      </c>
      <c r="B1280" t="s">
        <v>110</v>
      </c>
      <c r="C1280" t="str">
        <f t="shared" si="75"/>
        <v>静岡県静岡市駿河区八幡４丁目</v>
      </c>
      <c r="D1280" s="2" t="str">
        <f t="shared" si="76"/>
        <v>http://geocode.csis.u-tokyo.ac.jp/cgi-bin/simple_geocode.cgi?charset=UTF8&amp;addr=%E9%9D%99%E5%B2%A1%E7%9C%8C%E9%9D%99%E5%B2%A1%E5%B8%82%E9%A7%BF%E6%B2%B3%E5%8C%BA%E5%85%AB%E5%B9%A1%EF%BC%94%E4%B8%81%E7%9B%AE</v>
      </c>
      <c r="E1280" t="str">
        <f t="shared" si="77"/>
        <v xml:space="preserve">&lt;?xml version="1.0" encoding="UTF-8" ?&gt;
&lt;results&gt;
&lt;query&gt;静岡県静岡市駿河区八幡４丁目&lt;/query&gt;
&lt;geodetic&gt;wgs1984&lt;/geodetic&gt;
&lt;iConf&gt;5&lt;/iConf&gt;
&lt;converted&gt;静岡県静岡市駿河区八幡４丁目&lt;/converted&gt;
&lt;candidate&gt;
&lt;address&gt;静岡県/静岡市/駿河区/八幡/四丁目&lt;/address&gt;
&lt;longitude&gt;138.398468&lt;/longitude&gt;
&lt;latitude&gt;34.967751&lt;/latitude&gt;
&lt;iLvl&gt;6&lt;/iLvl&gt;
&lt;/candidate&gt;
&lt;/results&gt;
</v>
      </c>
      <c r="F1280" cm="1">
        <f t="array" ref="F1280">INDEX(_xlfn.FILTERXML(E1280,"//latitude"),1)</f>
        <v>34.967751</v>
      </c>
      <c r="G1280" cm="1">
        <f t="array" ref="G1280">INDEX(_xlfn.FILTERXML(E1280,"//longitude"),1)</f>
        <v>138.39846800000001</v>
      </c>
      <c r="H1280">
        <v>34.967751</v>
      </c>
      <c r="I1280">
        <v>138.39846800000001</v>
      </c>
    </row>
    <row r="1281" spans="1:9" x14ac:dyDescent="0.4">
      <c r="A1281" t="s">
        <v>9</v>
      </c>
      <c r="B1281" t="s">
        <v>547</v>
      </c>
      <c r="C1281" t="str">
        <f t="shared" si="75"/>
        <v>東京都港区虎ノ門</v>
      </c>
      <c r="D1281" s="2" t="str">
        <f t="shared" si="76"/>
        <v>http://geocode.csis.u-tokyo.ac.jp/cgi-bin/simple_geocode.cgi?charset=UTF8&amp;addr=%E6%9D%B1%E4%BA%AC%E9%83%BD%E6%B8%AF%E5%8C%BA%E8%99%8E%E3%83%8E%E9%96%80</v>
      </c>
      <c r="E1281" t="str">
        <f t="shared" si="77"/>
        <v xml:space="preserve">&lt;?xml version="1.0" encoding="UTF-8" ?&gt;
&lt;results&gt;
&lt;query&gt;東京都港区虎ノ門&lt;/query&gt;
&lt;geodetic&gt;wgs1984&lt;/geodetic&gt;
&lt;iConf&gt;5&lt;/iConf&gt;
&lt;converted&gt;東京都港区虎ノ門&lt;/converted&gt;
&lt;candidate&gt;
&lt;address&gt;東京都/港区/虎ノ門&lt;/address&gt;
&lt;longitude&gt;139.749512&lt;/longitude&gt;
&lt;latitude&gt;35.668579&lt;/latitude&gt;
&lt;iLvl&gt;5&lt;/iLvl&gt;
&lt;/candidate&gt;
&lt;/results&gt;
</v>
      </c>
      <c r="F1281" cm="1">
        <f t="array" ref="F1281">INDEX(_xlfn.FILTERXML(E1281,"//latitude"),1)</f>
        <v>35.668579000000001</v>
      </c>
      <c r="G1281" cm="1">
        <f t="array" ref="G1281">INDEX(_xlfn.FILTERXML(E1281,"//longitude"),1)</f>
        <v>139.74951200000001</v>
      </c>
      <c r="H1281">
        <v>35.668579000000001</v>
      </c>
      <c r="I1281">
        <v>139.74951200000001</v>
      </c>
    </row>
    <row r="1282" spans="1:9" x14ac:dyDescent="0.4">
      <c r="A1282" t="s">
        <v>9</v>
      </c>
      <c r="B1282" t="s">
        <v>85</v>
      </c>
      <c r="C1282" t="str">
        <f t="shared" si="75"/>
        <v>東京都港区南青山</v>
      </c>
      <c r="D1282" s="2" t="str">
        <f t="shared" si="76"/>
        <v>http://geocode.csis.u-tokyo.ac.jp/cgi-bin/simple_geocode.cgi?charset=UTF8&amp;addr=%E6%9D%B1%E4%BA%AC%E9%83%BD%E6%B8%AF%E5%8C%BA%E5%8D%97%E9%9D%92%E5%B1%B1</v>
      </c>
      <c r="E1282" t="str">
        <f t="shared" si="77"/>
        <v xml:space="preserve">&lt;?xml version="1.0" encoding="UTF-8" ?&gt;
&lt;results&gt;
&lt;query&gt;東京都港区南青山&lt;/query&gt;
&lt;geodetic&gt;wgs1984&lt;/geodetic&gt;
&lt;iConf&gt;5&lt;/iConf&gt;
&lt;converted&gt;東京都港区南青山&lt;/converted&gt;
&lt;candidate&gt;
&lt;address&gt;東京都/港区/南青山&lt;/address&gt;
&lt;longitude&gt;139.725235&lt;/longitude&gt;
&lt;latitude&gt;35.669693&lt;/latitude&gt;
&lt;iLvl&gt;5&lt;/iLvl&gt;
&lt;/candidate&gt;
&lt;/results&gt;
</v>
      </c>
      <c r="F1282" cm="1">
        <f t="array" ref="F1282">INDEX(_xlfn.FILTERXML(E1282,"//latitude"),1)</f>
        <v>35.669693000000002</v>
      </c>
      <c r="G1282" cm="1">
        <f t="array" ref="G1282">INDEX(_xlfn.FILTERXML(E1282,"//longitude"),1)</f>
        <v>139.725235</v>
      </c>
      <c r="H1282">
        <v>35.669693000000002</v>
      </c>
      <c r="I1282">
        <v>139.725235</v>
      </c>
    </row>
    <row r="1283" spans="1:9" x14ac:dyDescent="0.4">
      <c r="A1283" t="s">
        <v>29</v>
      </c>
      <c r="B1283" t="s">
        <v>74</v>
      </c>
      <c r="C1283" t="str">
        <f t="shared" si="75"/>
        <v>静岡県藤枝市大東町</v>
      </c>
      <c r="D1283" s="2" t="str">
        <f t="shared" si="76"/>
        <v>http://geocode.csis.u-tokyo.ac.jp/cgi-bin/simple_geocode.cgi?charset=UTF8&amp;addr=%E9%9D%99%E5%B2%A1%E7%9C%8C%E8%97%A4%E6%9E%9D%E5%B8%82%E5%A4%A7%E6%9D%B1%E7%94%BA</v>
      </c>
      <c r="E1283" t="str">
        <f t="shared" si="77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1283" cm="1">
        <f t="array" ref="F1283">INDEX(_xlfn.FILTERXML(E1283,"//latitude"),1)</f>
        <v>34.825702999999997</v>
      </c>
      <c r="G1283" cm="1">
        <f t="array" ref="G1283">INDEX(_xlfn.FILTERXML(E1283,"//longitude"),1)</f>
        <v>138.269363</v>
      </c>
      <c r="H1283">
        <v>34.825702999999997</v>
      </c>
      <c r="I1283">
        <v>138.269363</v>
      </c>
    </row>
    <row r="1284" spans="1:9" x14ac:dyDescent="0.4">
      <c r="A1284" t="s">
        <v>10</v>
      </c>
      <c r="B1284" t="s">
        <v>103</v>
      </c>
      <c r="C1284" t="str">
        <f t="shared" si="75"/>
        <v>神奈川県川崎市宮前区</v>
      </c>
      <c r="D1284" s="2" t="str">
        <f t="shared" si="76"/>
        <v>http://geocode.csis.u-tokyo.ac.jp/cgi-bin/simple_geocode.cgi?charset=UTF8&amp;addr=%E7%A5%9E%E5%A5%88%E5%B7%9D%E7%9C%8C%E5%B7%9D%E5%B4%8E%E5%B8%82%E5%AE%AE%E5%89%8D%E5%8C%BA</v>
      </c>
      <c r="E1284" t="str">
        <f t="shared" si="77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1284" cm="1">
        <f t="array" ref="F1284">INDEX(_xlfn.FILTERXML(E1284,"//latitude"),1)</f>
        <v>35.589213999999998</v>
      </c>
      <c r="G1284" cm="1">
        <f t="array" ref="G1284">INDEX(_xlfn.FILTERXML(E1284,"//longitude"),1)</f>
        <v>139.57858300000001</v>
      </c>
      <c r="H1284">
        <v>35.589213999999998</v>
      </c>
      <c r="I1284">
        <v>139.57858300000001</v>
      </c>
    </row>
    <row r="1285" spans="1:9" x14ac:dyDescent="0.4">
      <c r="A1285" t="s">
        <v>15</v>
      </c>
      <c r="B1285" t="s">
        <v>171</v>
      </c>
      <c r="C1285" t="str">
        <f t="shared" si="75"/>
        <v>兵庫県加古川市市平岡町</v>
      </c>
      <c r="D1285" s="2" t="str">
        <f t="shared" si="76"/>
        <v>http://geocode.csis.u-tokyo.ac.jp/cgi-bin/simple_geocode.cgi?charset=UTF8&amp;addr=%E5%85%B5%E5%BA%AB%E7%9C%8C%E5%8A%A0%E5%8F%A4%E5%B7%9D%E5%B8%82%E5%B8%82%E5%B9%B3%E5%B2%A1%E7%94%BA</v>
      </c>
      <c r="E1285" t="str">
        <f t="shared" si="77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1285" cm="1">
        <f t="array" ref="F1285">INDEX(_xlfn.FILTERXML(E1285,"//latitude"),1)</f>
        <v>34.756618000000003</v>
      </c>
      <c r="G1285" cm="1">
        <f t="array" ref="G1285">INDEX(_xlfn.FILTERXML(E1285,"//longitude"),1)</f>
        <v>134.84089700000001</v>
      </c>
      <c r="H1285">
        <v>34.756618000000003</v>
      </c>
      <c r="I1285">
        <v>134.84089700000001</v>
      </c>
    </row>
    <row r="1286" spans="1:9" x14ac:dyDescent="0.4">
      <c r="A1286" t="s">
        <v>29</v>
      </c>
      <c r="B1286" t="s">
        <v>83</v>
      </c>
      <c r="C1286" t="str">
        <f t="shared" si="75"/>
        <v>静岡県沼津市原町中</v>
      </c>
      <c r="D1286" s="2" t="str">
        <f t="shared" si="76"/>
        <v>http://geocode.csis.u-tokyo.ac.jp/cgi-bin/simple_geocode.cgi?charset=UTF8&amp;addr=%E9%9D%99%E5%B2%A1%E7%9C%8C%E6%B2%BC%E6%B4%A5%E5%B8%82%E5%8E%9F%E7%94%BA%E4%B8%AD</v>
      </c>
      <c r="E1286" t="str">
        <f t="shared" si="77"/>
        <v xml:space="preserve">&lt;?xml version="1.0" encoding="UTF-8" ?&gt;
&lt;results&gt;
&lt;query&gt;静岡県沼津市原町中&lt;/query&gt;
&lt;geodetic&gt;wgs1984&lt;/geodetic&gt;
&lt;iConf&gt;5&lt;/iConf&gt;
&lt;converted&gt;静岡県沼津市原町中&lt;/converted&gt;
&lt;candidate&gt;
&lt;address&gt;静岡県/沼津市/原町中&lt;/address&gt;
&lt;longitude&gt;138.796204&lt;/longitude&gt;
&lt;latitude&gt;35.130215&lt;/latitude&gt;
&lt;iLvl&gt;5&lt;/iLvl&gt;
&lt;/candidate&gt;
&lt;/results&gt;
</v>
      </c>
      <c r="F1286" cm="1">
        <f t="array" ref="F1286">INDEX(_xlfn.FILTERXML(E1286,"//latitude"),1)</f>
        <v>35.130215</v>
      </c>
      <c r="G1286" cm="1">
        <f t="array" ref="G1286">INDEX(_xlfn.FILTERXML(E1286,"//longitude"),1)</f>
        <v>138.79620399999999</v>
      </c>
      <c r="H1286">
        <v>35.130215</v>
      </c>
      <c r="I1286">
        <v>138.79620399999999</v>
      </c>
    </row>
    <row r="1287" spans="1:9" x14ac:dyDescent="0.4">
      <c r="A1287" t="s">
        <v>18</v>
      </c>
      <c r="B1287" t="s">
        <v>548</v>
      </c>
      <c r="C1287" t="str">
        <f t="shared" si="75"/>
        <v>千葉県野田市　野田</v>
      </c>
      <c r="D1287" s="2" t="str">
        <f t="shared" si="76"/>
        <v>http://geocode.csis.u-tokyo.ac.jp/cgi-bin/simple_geocode.cgi?charset=UTF8&amp;addr=%E5%8D%83%E8%91%89%E7%9C%8C%E9%87%8E%E7%94%B0%E5%B8%82%E3%80%80%E9%87%8E%E7%94%B0</v>
      </c>
      <c r="E1287" t="str">
        <f t="shared" si="77"/>
        <v xml:space="preserve">&lt;?xml version="1.0" encoding="UTF-8" ?&gt;
&lt;results&gt;
&lt;query&gt;千葉県野田市　野田&lt;/query&gt;
&lt;geodetic&gt;wgs1984&lt;/geodetic&gt;
&lt;iConf&gt;5&lt;/iConf&gt;
&lt;converted&gt;千葉県野田市　野田&lt;/converted&gt;
&lt;candidate&gt;
&lt;address&gt;千葉県/野田市/野田&lt;/address&gt;
&lt;longitude&gt;139.867035&lt;/longitude&gt;
&lt;latitude&gt;35.945801&lt;/latitude&gt;
&lt;iLvl&gt;5&lt;/iLvl&gt;
&lt;/candidate&gt;
&lt;/results&gt;
</v>
      </c>
      <c r="F1287" cm="1">
        <f t="array" ref="F1287">INDEX(_xlfn.FILTERXML(E1287,"//latitude"),1)</f>
        <v>35.945801000000003</v>
      </c>
      <c r="G1287" cm="1">
        <f t="array" ref="G1287">INDEX(_xlfn.FILTERXML(E1287,"//longitude"),1)</f>
        <v>139.86703499999999</v>
      </c>
      <c r="H1287">
        <v>35.945801000000003</v>
      </c>
      <c r="I1287">
        <v>139.86703499999999</v>
      </c>
    </row>
    <row r="1288" spans="1:9" x14ac:dyDescent="0.4">
      <c r="A1288" t="s">
        <v>9</v>
      </c>
      <c r="B1288" t="s">
        <v>189</v>
      </c>
      <c r="C1288" t="str">
        <f t="shared" si="75"/>
        <v>東京都板橋区加賀</v>
      </c>
      <c r="D1288" s="2" t="str">
        <f t="shared" si="76"/>
        <v>http://geocode.csis.u-tokyo.ac.jp/cgi-bin/simple_geocode.cgi?charset=UTF8&amp;addr=%E6%9D%B1%E4%BA%AC%E9%83%BD%E6%9D%BF%E6%A9%8B%E5%8C%BA%E5%8A%A0%E8%B3%80</v>
      </c>
      <c r="E1288" t="str">
        <f t="shared" si="77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1288" cm="1">
        <f t="array" ref="F1288">INDEX(_xlfn.FILTERXML(E1288,"//latitude"),1)</f>
        <v>35.755237999999999</v>
      </c>
      <c r="G1288" cm="1">
        <f t="array" ref="G1288">INDEX(_xlfn.FILTERXML(E1288,"//longitude"),1)</f>
        <v>139.71809400000001</v>
      </c>
      <c r="H1288">
        <v>35.755237999999999</v>
      </c>
      <c r="I1288">
        <v>139.71809400000001</v>
      </c>
    </row>
    <row r="1289" spans="1:9" x14ac:dyDescent="0.4">
      <c r="A1289" t="s">
        <v>10</v>
      </c>
      <c r="B1289" t="s">
        <v>549</v>
      </c>
      <c r="C1289" t="str">
        <f t="shared" si="75"/>
        <v>神奈川県藤沢市片瀬海岸</v>
      </c>
      <c r="D1289" s="2" t="str">
        <f t="shared" si="76"/>
        <v>http://geocode.csis.u-tokyo.ac.jp/cgi-bin/simple_geocode.cgi?charset=UTF8&amp;addr=%E7%A5%9E%E5%A5%88%E5%B7%9D%E7%9C%8C%E8%97%A4%E6%B2%A2%E5%B8%82%E7%89%87%E7%80%AC%E6%B5%B7%E5%B2%B8</v>
      </c>
      <c r="E1289" t="str">
        <f t="shared" si="77"/>
        <v xml:space="preserve">&lt;?xml version="1.0" encoding="UTF-8" ?&gt;
&lt;results&gt;
&lt;query&gt;神奈川県藤沢市片瀬海岸&lt;/query&gt;
&lt;geodetic&gt;wgs1984&lt;/geodetic&gt;
&lt;iConf&gt;5&lt;/iConf&gt;
&lt;converted&gt;神奈川県藤沢市片瀬海岸&lt;/converted&gt;
&lt;candidate&gt;
&lt;address&gt;神奈川県/藤沢市/片瀬海岸&lt;/address&gt;
&lt;longitude&gt;139.486557&lt;/longitude&gt;
&lt;latitude&gt;35.308735&lt;/latitude&gt;
&lt;iLvl&gt;5&lt;/iLvl&gt;
&lt;/candidate&gt;
&lt;/results&gt;
</v>
      </c>
      <c r="F1289" cm="1">
        <f t="array" ref="F1289">INDEX(_xlfn.FILTERXML(E1289,"//latitude"),1)</f>
        <v>35.308734999999999</v>
      </c>
      <c r="G1289" cm="1">
        <f t="array" ref="G1289">INDEX(_xlfn.FILTERXML(E1289,"//longitude"),1)</f>
        <v>139.486557</v>
      </c>
      <c r="H1289">
        <v>35.308734999999999</v>
      </c>
      <c r="I1289">
        <v>139.486557</v>
      </c>
    </row>
    <row r="1290" spans="1:9" x14ac:dyDescent="0.4">
      <c r="A1290" t="s">
        <v>10</v>
      </c>
      <c r="B1290" t="s">
        <v>103</v>
      </c>
      <c r="C1290" t="str">
        <f t="shared" si="75"/>
        <v>神奈川県川崎市宮前区</v>
      </c>
      <c r="D1290" s="2" t="str">
        <f t="shared" si="76"/>
        <v>http://geocode.csis.u-tokyo.ac.jp/cgi-bin/simple_geocode.cgi?charset=UTF8&amp;addr=%E7%A5%9E%E5%A5%88%E5%B7%9D%E7%9C%8C%E5%B7%9D%E5%B4%8E%E5%B8%82%E5%AE%AE%E5%89%8D%E5%8C%BA</v>
      </c>
      <c r="E1290" t="str">
        <f t="shared" si="77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1290" cm="1">
        <f t="array" ref="F1290">INDEX(_xlfn.FILTERXML(E1290,"//latitude"),1)</f>
        <v>35.589213999999998</v>
      </c>
      <c r="G1290" cm="1">
        <f t="array" ref="G1290">INDEX(_xlfn.FILTERXML(E1290,"//longitude"),1)</f>
        <v>139.57858300000001</v>
      </c>
      <c r="H1290">
        <v>35.589213999999998</v>
      </c>
      <c r="I1290">
        <v>139.57858300000001</v>
      </c>
    </row>
    <row r="1291" spans="1:9" x14ac:dyDescent="0.4">
      <c r="A1291" t="s">
        <v>15</v>
      </c>
      <c r="B1291" t="s">
        <v>192</v>
      </c>
      <c r="C1291" t="str">
        <f t="shared" si="75"/>
        <v>兵庫県姫路市広畑区才</v>
      </c>
      <c r="D1291" s="2" t="str">
        <f t="shared" si="76"/>
        <v>http://geocode.csis.u-tokyo.ac.jp/cgi-bin/simple_geocode.cgi?charset=UTF8&amp;addr=%E5%85%B5%E5%BA%AB%E7%9C%8C%E5%A7%AB%E8%B7%AF%E5%B8%82%E5%BA%83%E7%95%91%E5%8C%BA%E6%89%8D</v>
      </c>
      <c r="E1291" t="str">
        <f t="shared" si="77"/>
        <v xml:space="preserve">&lt;?xml version="1.0" encoding="UTF-8" ?&gt;
&lt;results&gt;
&lt;query&gt;兵庫県姫路市広畑区才&lt;/query&gt;
&lt;geodetic&gt;wgs1984&lt;/geodetic&gt;
&lt;iConf&gt;5&lt;/iConf&gt;
&lt;converted&gt;兵庫県姫路市広畑区才&lt;/converted&gt;
&lt;candidate&gt;
&lt;address&gt;兵庫県/姫路市/広畑区才&lt;/address&gt;
&lt;longitude&gt;134.628082&lt;/longitude&gt;
&lt;latitude&gt;34.814423&lt;/latitude&gt;
&lt;iLvl&gt;5&lt;/iLvl&gt;
&lt;/candidate&gt;
&lt;/results&gt;
</v>
      </c>
      <c r="F1291" cm="1">
        <f t="array" ref="F1291">INDEX(_xlfn.FILTERXML(E1291,"//latitude"),1)</f>
        <v>34.814422999999998</v>
      </c>
      <c r="G1291" cm="1">
        <f t="array" ref="G1291">INDEX(_xlfn.FILTERXML(E1291,"//longitude"),1)</f>
        <v>134.62808200000001</v>
      </c>
      <c r="H1291">
        <v>34.814422999999998</v>
      </c>
      <c r="I1291">
        <v>134.62808200000001</v>
      </c>
    </row>
    <row r="1292" spans="1:9" x14ac:dyDescent="0.4">
      <c r="A1292" t="s">
        <v>123</v>
      </c>
      <c r="B1292" t="s">
        <v>550</v>
      </c>
      <c r="C1292" t="str">
        <f t="shared" si="75"/>
        <v>和歌山県田辺市</v>
      </c>
      <c r="D1292" s="2" t="str">
        <f t="shared" si="76"/>
        <v>http://geocode.csis.u-tokyo.ac.jp/cgi-bin/simple_geocode.cgi?charset=UTF8&amp;addr=%E5%92%8C%E6%AD%8C%E5%B1%B1%E7%9C%8C%E7%94%B0%E8%BE%BA%E5%B8%82</v>
      </c>
      <c r="E1292" t="str">
        <f t="shared" si="77"/>
        <v xml:space="preserve">&lt;?xml version="1.0" encoding="UTF-8" ?&gt;
&lt;results&gt;
&lt;query&gt;和歌山県田辺市&lt;/query&gt;
&lt;geodetic&gt;wgs1984&lt;/geodetic&gt;
&lt;iConf&gt;5&lt;/iConf&gt;
&lt;converted&gt;和歌山県田辺市&lt;/converted&gt;
&lt;candidate&gt;
&lt;address&gt;和歌山県/田辺市&lt;/address&gt;
&lt;longitude&gt;135.377655&lt;/longitude&gt;
&lt;latitude&gt;33.728008&lt;/latitude&gt;
&lt;iLvl&gt;3&lt;/iLvl&gt;
&lt;/candidate&gt;
&lt;/results&gt;
</v>
      </c>
      <c r="F1292" cm="1">
        <f t="array" ref="F1292">INDEX(_xlfn.FILTERXML(E1292,"//latitude"),1)</f>
        <v>33.728008000000003</v>
      </c>
      <c r="G1292" cm="1">
        <f t="array" ref="G1292">INDEX(_xlfn.FILTERXML(E1292,"//longitude"),1)</f>
        <v>135.377655</v>
      </c>
      <c r="H1292">
        <v>33.728008000000003</v>
      </c>
      <c r="I1292">
        <v>135.377655</v>
      </c>
    </row>
    <row r="1293" spans="1:9" x14ac:dyDescent="0.4">
      <c r="A1293" t="s">
        <v>9</v>
      </c>
      <c r="B1293" t="s">
        <v>189</v>
      </c>
      <c r="C1293" t="str">
        <f t="shared" si="75"/>
        <v>東京都板橋区加賀</v>
      </c>
      <c r="D1293" s="2" t="str">
        <f t="shared" si="76"/>
        <v>http://geocode.csis.u-tokyo.ac.jp/cgi-bin/simple_geocode.cgi?charset=UTF8&amp;addr=%E6%9D%B1%E4%BA%AC%E9%83%BD%E6%9D%BF%E6%A9%8B%E5%8C%BA%E5%8A%A0%E8%B3%80</v>
      </c>
      <c r="E1293" t="str">
        <f t="shared" si="77"/>
        <v xml:space="preserve">&lt;?xml version="1.0" encoding="UTF-8" ?&gt;
&lt;results&gt;
&lt;query&gt;東京都板橋区加賀&lt;/query&gt;
&lt;geodetic&gt;wgs1984&lt;/geodetic&gt;
&lt;iConf&gt;5&lt;/iConf&gt;
&lt;converted&gt;東京都板橋区加賀&lt;/converted&gt;
&lt;candidate&gt;
&lt;address&gt;東京都/板橋区/加賀&lt;/address&gt;
&lt;longitude&gt;139.718094&lt;/longitude&gt;
&lt;latitude&gt;35.755238&lt;/latitude&gt;
&lt;iLvl&gt;5&lt;/iLvl&gt;
&lt;/candidate&gt;
&lt;/results&gt;
</v>
      </c>
      <c r="F1293" cm="1">
        <f t="array" ref="F1293">INDEX(_xlfn.FILTERXML(E1293,"//latitude"),1)</f>
        <v>35.755237999999999</v>
      </c>
      <c r="G1293" cm="1">
        <f t="array" ref="G1293">INDEX(_xlfn.FILTERXML(E1293,"//longitude"),1)</f>
        <v>139.71809400000001</v>
      </c>
      <c r="H1293">
        <v>35.755237999999999</v>
      </c>
      <c r="I1293">
        <v>139.71809400000001</v>
      </c>
    </row>
    <row r="1294" spans="1:9" x14ac:dyDescent="0.4">
      <c r="A1294" t="s">
        <v>13</v>
      </c>
      <c r="B1294" t="s">
        <v>551</v>
      </c>
      <c r="C1294" t="str">
        <f t="shared" si="75"/>
        <v>埼玉県さいたま市見沼区春野</v>
      </c>
      <c r="D1294" s="2" t="str">
        <f t="shared" si="76"/>
        <v>http://geocode.csis.u-tokyo.ac.jp/cgi-bin/simple_geocode.cgi?charset=UTF8&amp;addr=%E5%9F%BC%E7%8E%89%E7%9C%8C%E3%81%95%E3%81%84%E3%81%9F%E3%81%BE%E5%B8%82%E8%A6%8B%E6%B2%BC%E5%8C%BA%E6%98%A5%E9%87%8E</v>
      </c>
      <c r="E1294" t="str">
        <f t="shared" si="77"/>
        <v xml:space="preserve">&lt;?xml version="1.0" encoding="UTF-8" ?&gt;
&lt;results&gt;
&lt;query&gt;埼玉県さいたま市見沼区春野&lt;/query&gt;
&lt;geodetic&gt;wgs1984&lt;/geodetic&gt;
&lt;iConf&gt;5&lt;/iConf&gt;
&lt;converted&gt;埼玉県さいたま市見沼区春野&lt;/converted&gt;
&lt;candidate&gt;
&lt;address&gt;埼玉県/さいたま市/見沼区/春野&lt;/address&gt;
&lt;longitude&gt;139.668671&lt;/longitude&gt;
&lt;latitude&gt;35.956970&lt;/latitude&gt;
&lt;iLvl&gt;5&lt;/iLvl&gt;
&lt;/candidate&gt;
&lt;/results&gt;
</v>
      </c>
      <c r="F1294" cm="1">
        <f t="array" ref="F1294">INDEX(_xlfn.FILTERXML(E1294,"//latitude"),1)</f>
        <v>35.956969999999998</v>
      </c>
      <c r="G1294" cm="1">
        <f t="array" ref="G1294">INDEX(_xlfn.FILTERXML(E1294,"//longitude"),1)</f>
        <v>139.66867099999999</v>
      </c>
      <c r="H1294">
        <v>35.956969999999998</v>
      </c>
      <c r="I1294">
        <v>139.66867099999999</v>
      </c>
    </row>
    <row r="1295" spans="1:9" x14ac:dyDescent="0.4">
      <c r="A1295" t="s">
        <v>19</v>
      </c>
      <c r="B1295" t="s">
        <v>221</v>
      </c>
      <c r="C1295" t="str">
        <f t="shared" ref="C1295:C1358" si="78">+A1295&amp;B1295</f>
        <v>滋賀県甲賀市信楽町田代</v>
      </c>
      <c r="D1295" s="2" t="str">
        <f t="shared" ref="D1295:D1358" si="79" xml:space="preserve"> "http://geocode.csis.u-tokyo.ac.jp/cgi-bin/simple_geocode.cgi?charset=UTF8&amp;addr=" &amp; _xlfn.ENCODEURL(C1295)</f>
        <v>http://geocode.csis.u-tokyo.ac.jp/cgi-bin/simple_geocode.cgi?charset=UTF8&amp;addr=%E6%BB%8B%E8%B3%80%E7%9C%8C%E7%94%B2%E8%B3%80%E5%B8%82%E4%BF%A1%E6%A5%BD%E7%94%BA%E7%94%B0%E4%BB%A3</v>
      </c>
      <c r="E1295" t="str">
        <f t="shared" ref="E1295:E1358" si="80" xml:space="preserve"> _xlfn.WEBSERVICE(D1295)</f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1295" cm="1">
        <f t="array" ref="F1295">INDEX(_xlfn.FILTERXML(E1295,"//latitude"),1)</f>
        <v>34.906810999999998</v>
      </c>
      <c r="G1295" cm="1">
        <f t="array" ref="G1295">INDEX(_xlfn.FILTERXML(E1295,"//longitude"),1)</f>
        <v>136.01362599999999</v>
      </c>
      <c r="H1295">
        <v>34.906810999999998</v>
      </c>
      <c r="I1295">
        <v>136.01362599999999</v>
      </c>
    </row>
    <row r="1296" spans="1:9" x14ac:dyDescent="0.4">
      <c r="A1296" t="s">
        <v>18</v>
      </c>
      <c r="B1296" t="s">
        <v>60</v>
      </c>
      <c r="C1296" t="str">
        <f t="shared" si="78"/>
        <v>千葉県浦安市</v>
      </c>
      <c r="D1296" s="2" t="str">
        <f t="shared" si="79"/>
        <v>http://geocode.csis.u-tokyo.ac.jp/cgi-bin/simple_geocode.cgi?charset=UTF8&amp;addr=%E5%8D%83%E8%91%89%E7%9C%8C%E6%B5%A6%E5%AE%89%E5%B8%82</v>
      </c>
      <c r="E1296" t="str">
        <f t="shared" si="80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1296" cm="1">
        <f t="array" ref="F1296">INDEX(_xlfn.FILTERXML(E1296,"//latitude"),1)</f>
        <v>35.653987999999998</v>
      </c>
      <c r="G1296" cm="1">
        <f t="array" ref="G1296">INDEX(_xlfn.FILTERXML(E1296,"//longitude"),1)</f>
        <v>139.90219099999999</v>
      </c>
      <c r="H1296">
        <v>35.653987999999998</v>
      </c>
      <c r="I1296">
        <v>139.90219099999999</v>
      </c>
    </row>
    <row r="1297" spans="1:9" x14ac:dyDescent="0.4">
      <c r="A1297" t="s">
        <v>21</v>
      </c>
      <c r="B1297" t="s">
        <v>552</v>
      </c>
      <c r="C1297" t="str">
        <f t="shared" si="78"/>
        <v>福岡県久留米市国分町</v>
      </c>
      <c r="D1297" s="2" t="str">
        <f t="shared" si="79"/>
        <v>http://geocode.csis.u-tokyo.ac.jp/cgi-bin/simple_geocode.cgi?charset=UTF8&amp;addr=%E7%A6%8F%E5%B2%A1%E7%9C%8C%E4%B9%85%E7%95%99%E7%B1%B3%E5%B8%82%E5%9B%BD%E5%88%86%E7%94%BA</v>
      </c>
      <c r="E1297" t="str">
        <f t="shared" si="80"/>
        <v xml:space="preserve">&lt;?xml version="1.0" encoding="UTF-8" ?&gt;
&lt;results&gt;
&lt;query&gt;福岡県久留米市国分町&lt;/query&gt;
&lt;geodetic&gt;wgs1984&lt;/geodetic&gt;
&lt;iConf&gt;5&lt;/iConf&gt;
&lt;converted&gt;福岡県久留米市国分町&lt;/converted&gt;
&lt;candidate&gt;
&lt;address&gt;福岡県/久留米市/国分町&lt;/address&gt;
&lt;longitude&gt;130.536652&lt;/longitude&gt;
&lt;latitude&gt;33.294704&lt;/latitude&gt;
&lt;iLvl&gt;5&lt;/iLvl&gt;
&lt;/candidate&gt;
&lt;/results&gt;
</v>
      </c>
      <c r="F1297" cm="1">
        <f t="array" ref="F1297">INDEX(_xlfn.FILTERXML(E1297,"//latitude"),1)</f>
        <v>33.294704000000003</v>
      </c>
      <c r="G1297" cm="1">
        <f t="array" ref="G1297">INDEX(_xlfn.FILTERXML(E1297,"//longitude"),1)</f>
        <v>130.536652</v>
      </c>
      <c r="H1297">
        <v>33.294704000000003</v>
      </c>
      <c r="I1297">
        <v>130.536652</v>
      </c>
    </row>
    <row r="1298" spans="1:9" x14ac:dyDescent="0.4">
      <c r="A1298" t="s">
        <v>118</v>
      </c>
      <c r="B1298" t="s">
        <v>553</v>
      </c>
      <c r="C1298" t="str">
        <f t="shared" si="78"/>
        <v>北海道札幌市西区山の手</v>
      </c>
      <c r="D1298" s="2" t="str">
        <f t="shared" si="79"/>
        <v>http://geocode.csis.u-tokyo.ac.jp/cgi-bin/simple_geocode.cgi?charset=UTF8&amp;addr=%E5%8C%97%E6%B5%B7%E9%81%93%E6%9C%AD%E5%B9%8C%E5%B8%82%E8%A5%BF%E5%8C%BA%E5%B1%B1%E3%81%AE%E6%89%8B</v>
      </c>
      <c r="E1298" t="str">
        <f t="shared" si="80"/>
        <v xml:space="preserve">&lt;?xml version="1.0" encoding="UTF-8" ?&gt;
&lt;results&gt;
&lt;query&gt;北海道札幌市西区山の手&lt;/query&gt;
&lt;geodetic&gt;wgs1984&lt;/geodetic&gt;
&lt;iConf&gt;5&lt;/iConf&gt;
&lt;converted&gt;北海道札幌市西区山の手&lt;/converted&gt;
&lt;candidate&gt;
&lt;address&gt;北海道/札幌市/西区/山の手&lt;/address&gt;
&lt;longitude&gt;141.286118&lt;/longitude&gt;
&lt;latitude&gt;43.062469&lt;/latitude&gt;
&lt;iLvl&gt;5&lt;/iLvl&gt;
&lt;/candidate&gt;
&lt;/results&gt;
</v>
      </c>
      <c r="F1298" cm="1">
        <f t="array" ref="F1298">INDEX(_xlfn.FILTERXML(E1298,"//latitude"),1)</f>
        <v>43.062469</v>
      </c>
      <c r="G1298" cm="1">
        <f t="array" ref="G1298">INDEX(_xlfn.FILTERXML(E1298,"//longitude"),1)</f>
        <v>141.28611799999999</v>
      </c>
      <c r="H1298">
        <v>43.062469</v>
      </c>
      <c r="I1298">
        <v>141.28611799999999</v>
      </c>
    </row>
    <row r="1299" spans="1:9" x14ac:dyDescent="0.4">
      <c r="A1299" t="s">
        <v>18</v>
      </c>
      <c r="B1299" t="s">
        <v>554</v>
      </c>
      <c r="C1299" t="str">
        <f t="shared" si="78"/>
        <v>千葉県習志野市東習志野</v>
      </c>
      <c r="D1299" s="2" t="str">
        <f t="shared" si="79"/>
        <v>http://geocode.csis.u-tokyo.ac.jp/cgi-bin/simple_geocode.cgi?charset=UTF8&amp;addr=%E5%8D%83%E8%91%89%E7%9C%8C%E7%BF%92%E5%BF%97%E9%87%8E%E5%B8%82%E6%9D%B1%E7%BF%92%E5%BF%97%E9%87%8E</v>
      </c>
      <c r="E1299" t="str">
        <f t="shared" si="80"/>
        <v xml:space="preserve">&lt;?xml version="1.0" encoding="UTF-8" ?&gt;
&lt;results&gt;
&lt;query&gt;千葉県習志野市東習志野&lt;/query&gt;
&lt;geodetic&gt;wgs1984&lt;/geodetic&gt;
&lt;iConf&gt;5&lt;/iConf&gt;
&lt;converted&gt;千葉県習志野市東習志野&lt;/converted&gt;
&lt;candidate&gt;
&lt;address&gt;千葉県/習志野市/東習志野&lt;/address&gt;
&lt;longitude&gt;140.065720&lt;/longitude&gt;
&lt;latitude&gt;35.695488&lt;/latitude&gt;
&lt;iLvl&gt;5&lt;/iLvl&gt;
&lt;/candidate&gt;
&lt;/results&gt;
</v>
      </c>
      <c r="F1299" cm="1">
        <f t="array" ref="F1299">INDEX(_xlfn.FILTERXML(E1299,"//latitude"),1)</f>
        <v>35.695487999999997</v>
      </c>
      <c r="G1299" cm="1">
        <f t="array" ref="G1299">INDEX(_xlfn.FILTERXML(E1299,"//longitude"),1)</f>
        <v>140.06572</v>
      </c>
      <c r="H1299">
        <v>35.695487999999997</v>
      </c>
      <c r="I1299">
        <v>140.06572</v>
      </c>
    </row>
    <row r="1300" spans="1:9" x14ac:dyDescent="0.4">
      <c r="A1300" t="s">
        <v>18</v>
      </c>
      <c r="B1300" t="s">
        <v>555</v>
      </c>
      <c r="C1300" t="str">
        <f t="shared" si="78"/>
        <v>千葉県習志野市</v>
      </c>
      <c r="D1300" s="2" t="str">
        <f t="shared" si="79"/>
        <v>http://geocode.csis.u-tokyo.ac.jp/cgi-bin/simple_geocode.cgi?charset=UTF8&amp;addr=%E5%8D%83%E8%91%89%E7%9C%8C%E7%BF%92%E5%BF%97%E9%87%8E%E5%B8%82</v>
      </c>
      <c r="E1300" t="str">
        <f t="shared" si="80"/>
        <v xml:space="preserve">&lt;?xml version="1.0" encoding="UTF-8" ?&gt;
&lt;results&gt;
&lt;query&gt;千葉県習志野市&lt;/query&gt;
&lt;geodetic&gt;wgs1984&lt;/geodetic&gt;
&lt;iConf&gt;5&lt;/iConf&gt;
&lt;converted&gt;千葉県習志野市&lt;/converted&gt;
&lt;candidate&gt;
&lt;address&gt;千葉県/習志野市&lt;/address&gt;
&lt;longitude&gt;140.024384&lt;/longitude&gt;
&lt;latitude&gt;35.682934&lt;/latitude&gt;
&lt;iLvl&gt;3&lt;/iLvl&gt;
&lt;/candidate&gt;
&lt;/results&gt;
</v>
      </c>
      <c r="F1300" cm="1">
        <f t="array" ref="F1300">INDEX(_xlfn.FILTERXML(E1300,"//latitude"),1)</f>
        <v>35.682934000000003</v>
      </c>
      <c r="G1300" cm="1">
        <f t="array" ref="G1300">INDEX(_xlfn.FILTERXML(E1300,"//longitude"),1)</f>
        <v>140.024384</v>
      </c>
      <c r="H1300">
        <v>35.682934000000003</v>
      </c>
      <c r="I1300">
        <v>140.024384</v>
      </c>
    </row>
    <row r="1301" spans="1:9" x14ac:dyDescent="0.4">
      <c r="A1301" t="s">
        <v>12</v>
      </c>
      <c r="B1301" t="s">
        <v>186</v>
      </c>
      <c r="C1301" t="str">
        <f t="shared" si="78"/>
        <v>奈良県大和高田市旭北町</v>
      </c>
      <c r="D1301" s="2" t="str">
        <f t="shared" si="79"/>
        <v>http://geocode.csis.u-tokyo.ac.jp/cgi-bin/simple_geocode.cgi?charset=UTF8&amp;addr=%E5%A5%88%E8%89%AF%E7%9C%8C%E5%A4%A7%E5%92%8C%E9%AB%98%E7%94%B0%E5%B8%82%E6%97%AD%E5%8C%97%E7%94%BA</v>
      </c>
      <c r="E1301" t="str">
        <f t="shared" si="80"/>
        <v xml:space="preserve">&lt;?xml version="1.0" encoding="UTF-8" ?&gt;
&lt;results&gt;
&lt;query&gt;奈良県大和高田市旭北町&lt;/query&gt;
&lt;geodetic&gt;wgs1984&lt;/geodetic&gt;
&lt;iConf&gt;5&lt;/iConf&gt;
&lt;converted&gt;奈良県大和高田市旭北町&lt;/converted&gt;
&lt;candidate&gt;
&lt;address&gt;奈良県/大和高田市/旭北町&lt;/address&gt;
&lt;longitude&gt;135.748672&lt;/longitude&gt;
&lt;latitude&gt;34.512470&lt;/latitude&gt;
&lt;iLvl&gt;5&lt;/iLvl&gt;
&lt;/candidate&gt;
&lt;/results&gt;
</v>
      </c>
      <c r="F1301" cm="1">
        <f t="array" ref="F1301">INDEX(_xlfn.FILTERXML(E1301,"//latitude"),1)</f>
        <v>34.51247</v>
      </c>
      <c r="G1301" cm="1">
        <f t="array" ref="G1301">INDEX(_xlfn.FILTERXML(E1301,"//longitude"),1)</f>
        <v>135.748672</v>
      </c>
      <c r="H1301">
        <v>34.51247</v>
      </c>
      <c r="I1301">
        <v>135.748672</v>
      </c>
    </row>
    <row r="1302" spans="1:9" x14ac:dyDescent="0.4">
      <c r="A1302" t="s">
        <v>11</v>
      </c>
      <c r="B1302" t="s">
        <v>456</v>
      </c>
      <c r="C1302" t="str">
        <f t="shared" si="78"/>
        <v>大阪府豊中市城山町3-4-45</v>
      </c>
      <c r="D1302" s="2" t="str">
        <f t="shared" si="79"/>
        <v>http://geocode.csis.u-tokyo.ac.jp/cgi-bin/simple_geocode.cgi?charset=UTF8&amp;addr=%E5%A4%A7%E9%98%AA%E5%BA%9C%E8%B1%8A%E4%B8%AD%E5%B8%82%E5%9F%8E%E5%B1%B1%E7%94%BA3-4-45</v>
      </c>
      <c r="E1302" t="str">
        <f t="shared" si="80"/>
        <v xml:space="preserve">&lt;?xml version="1.0" encoding="UTF-8" ?&gt;
&lt;results&gt;
&lt;query&gt;大阪府豊中市城山町3-4-45&lt;/query&gt;
&lt;geodetic&gt;wgs1984&lt;/geodetic&gt;
&lt;iConf&gt;5&lt;/iConf&gt;
&lt;converted&gt;大阪府豊中市城山町3-4-&lt;/converted&gt;
&lt;candidate&gt;
&lt;address&gt;大阪府/豊中市/城山町/三丁目/４番&lt;/address&gt;
&lt;longitude&gt;135.478180&lt;/longitude&gt;
&lt;latitude&gt;34.770294&lt;/latitude&gt;
&lt;iLvl&gt;7&lt;/iLvl&gt;
&lt;/candidate&gt;
&lt;/results&gt;
</v>
      </c>
      <c r="F1302" cm="1">
        <f t="array" ref="F1302">INDEX(_xlfn.FILTERXML(E1302,"//latitude"),1)</f>
        <v>34.770294</v>
      </c>
      <c r="G1302" cm="1">
        <f t="array" ref="G1302">INDEX(_xlfn.FILTERXML(E1302,"//longitude"),1)</f>
        <v>135.47818000000001</v>
      </c>
      <c r="H1302">
        <v>34.770294</v>
      </c>
      <c r="I1302">
        <v>135.47818000000001</v>
      </c>
    </row>
    <row r="1303" spans="1:9" x14ac:dyDescent="0.4">
      <c r="A1303" t="s">
        <v>43</v>
      </c>
      <c r="B1303" t="s">
        <v>91</v>
      </c>
      <c r="C1303" t="str">
        <f t="shared" si="78"/>
        <v>大分県大分市下郡東</v>
      </c>
      <c r="D1303" s="2" t="str">
        <f t="shared" si="79"/>
        <v>http://geocode.csis.u-tokyo.ac.jp/cgi-bin/simple_geocode.cgi?charset=UTF8&amp;addr=%E5%A4%A7%E5%88%86%E7%9C%8C%E5%A4%A7%E5%88%86%E5%B8%82%E4%B8%8B%E9%83%A1%E6%9D%B1</v>
      </c>
      <c r="E1303" t="str">
        <f t="shared" si="80"/>
        <v xml:space="preserve">&lt;?xml version="1.0" encoding="UTF-8" ?&gt;
&lt;results&gt;
&lt;query&gt;大分県大分市下郡東&lt;/query&gt;
&lt;geodetic&gt;wgs1984&lt;/geodetic&gt;
&lt;iConf&gt;5&lt;/iConf&gt;
&lt;converted&gt;大分県大分市下郡東&lt;/converted&gt;
&lt;candidate&gt;
&lt;address&gt;大分県/大分市/下郡東&lt;/address&gt;
&lt;longitude&gt;131.636215&lt;/longitude&gt;
&lt;latitude&gt;33.229465&lt;/latitude&gt;
&lt;iLvl&gt;5&lt;/iLvl&gt;
&lt;/candidate&gt;
&lt;/results&gt;
</v>
      </c>
      <c r="F1303" cm="1">
        <f t="array" ref="F1303">INDEX(_xlfn.FILTERXML(E1303,"//latitude"),1)</f>
        <v>33.229464999999998</v>
      </c>
      <c r="G1303" cm="1">
        <f t="array" ref="G1303">INDEX(_xlfn.FILTERXML(E1303,"//longitude"),1)</f>
        <v>131.63621499999999</v>
      </c>
      <c r="H1303">
        <v>33.229464999999998</v>
      </c>
      <c r="I1303">
        <v>131.63621499999999</v>
      </c>
    </row>
    <row r="1304" spans="1:9" x14ac:dyDescent="0.4">
      <c r="A1304" t="s">
        <v>22</v>
      </c>
      <c r="B1304" t="s">
        <v>214</v>
      </c>
      <c r="C1304" t="str">
        <f t="shared" si="78"/>
        <v>群馬県太田市藤久良町</v>
      </c>
      <c r="D1304" s="2" t="str">
        <f t="shared" si="79"/>
        <v>http://geocode.csis.u-tokyo.ac.jp/cgi-bin/simple_geocode.cgi?charset=UTF8&amp;addr=%E7%BE%A4%E9%A6%AC%E7%9C%8C%E5%A4%AA%E7%94%B0%E5%B8%82%E8%97%A4%E4%B9%85%E8%89%AF%E7%94%BA</v>
      </c>
      <c r="E1304" t="str">
        <f t="shared" si="80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1304" cm="1">
        <f t="array" ref="F1304">INDEX(_xlfn.FILTERXML(E1304,"//latitude"),1)</f>
        <v>36.291457999999999</v>
      </c>
      <c r="G1304" cm="1">
        <f t="array" ref="G1304">INDEX(_xlfn.FILTERXML(E1304,"//longitude"),1)</f>
        <v>139.35166899999999</v>
      </c>
      <c r="H1304">
        <v>36.291457999999999</v>
      </c>
      <c r="I1304">
        <v>139.35166899999999</v>
      </c>
    </row>
    <row r="1305" spans="1:9" x14ac:dyDescent="0.4">
      <c r="A1305" t="s">
        <v>21</v>
      </c>
      <c r="B1305" t="s">
        <v>185</v>
      </c>
      <c r="C1305" t="str">
        <f t="shared" si="78"/>
        <v>福岡県古賀市花見東</v>
      </c>
      <c r="D1305" s="2" t="str">
        <f t="shared" si="79"/>
        <v>http://geocode.csis.u-tokyo.ac.jp/cgi-bin/simple_geocode.cgi?charset=UTF8&amp;addr=%E7%A6%8F%E5%B2%A1%E7%9C%8C%E5%8F%A4%E8%B3%80%E5%B8%82%E8%8A%B1%E8%A6%8B%E6%9D%B1</v>
      </c>
      <c r="E1305" t="str">
        <f t="shared" si="80"/>
        <v xml:space="preserve">&lt;?xml version="1.0" encoding="UTF-8" ?&gt;
&lt;results&gt;
&lt;query&gt;福岡県古賀市花見東&lt;/query&gt;
&lt;geodetic&gt;wgs1984&lt;/geodetic&gt;
&lt;iConf&gt;5&lt;/iConf&gt;
&lt;converted&gt;福岡県古賀市花見東&lt;/converted&gt;
&lt;candidate&gt;
&lt;address&gt;福岡県/古賀市/花見東&lt;/address&gt;
&lt;longitude&gt;130.471771&lt;/longitude&gt;
&lt;latitude&gt;33.745041&lt;/latitude&gt;
&lt;iLvl&gt;5&lt;/iLvl&gt;
&lt;/candidate&gt;
&lt;/results&gt;
</v>
      </c>
      <c r="F1305" cm="1">
        <f t="array" ref="F1305">INDEX(_xlfn.FILTERXML(E1305,"//latitude"),1)</f>
        <v>33.745041000000001</v>
      </c>
      <c r="G1305" cm="1">
        <f t="array" ref="G1305">INDEX(_xlfn.FILTERXML(E1305,"//longitude"),1)</f>
        <v>130.47177099999999</v>
      </c>
      <c r="H1305">
        <v>33.745041000000001</v>
      </c>
      <c r="I1305">
        <v>130.47177099999999</v>
      </c>
    </row>
    <row r="1306" spans="1:9" x14ac:dyDescent="0.4">
      <c r="A1306" t="s">
        <v>13</v>
      </c>
      <c r="B1306" t="s">
        <v>89</v>
      </c>
      <c r="C1306" t="str">
        <f t="shared" si="78"/>
        <v>埼玉県川越市</v>
      </c>
      <c r="D1306" s="2" t="str">
        <f t="shared" si="79"/>
        <v>http://geocode.csis.u-tokyo.ac.jp/cgi-bin/simple_geocode.cgi?charset=UTF8&amp;addr=%E5%9F%BC%E7%8E%89%E7%9C%8C%E5%B7%9D%E8%B6%8A%E5%B8%82</v>
      </c>
      <c r="E1306" t="str">
        <f t="shared" si="80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306" cm="1">
        <f t="array" ref="F1306">INDEX(_xlfn.FILTERXML(E1306,"//latitude"),1)</f>
        <v>35.925114000000001</v>
      </c>
      <c r="G1306" cm="1">
        <f t="array" ref="G1306">INDEX(_xlfn.FILTERXML(E1306,"//longitude"),1)</f>
        <v>139.48584</v>
      </c>
      <c r="H1306">
        <v>35.925114000000001</v>
      </c>
      <c r="I1306">
        <v>139.48584</v>
      </c>
    </row>
    <row r="1307" spans="1:9" x14ac:dyDescent="0.4">
      <c r="A1307" t="s">
        <v>23</v>
      </c>
      <c r="B1307" t="s">
        <v>556</v>
      </c>
      <c r="C1307" t="str">
        <f t="shared" si="78"/>
        <v>宮城県岩沼市</v>
      </c>
      <c r="D1307" s="2" t="str">
        <f t="shared" si="79"/>
        <v>http://geocode.csis.u-tokyo.ac.jp/cgi-bin/simple_geocode.cgi?charset=UTF8&amp;addr=%E5%AE%AE%E5%9F%8E%E7%9C%8C%E5%B2%A9%E6%B2%BC%E5%B8%82</v>
      </c>
      <c r="E1307" t="str">
        <f t="shared" si="80"/>
        <v xml:space="preserve">&lt;?xml version="1.0" encoding="UTF-8" ?&gt;
&lt;results&gt;
&lt;query&gt;宮城県岩沼市&lt;/query&gt;
&lt;geodetic&gt;wgs1984&lt;/geodetic&gt;
&lt;iConf&gt;5&lt;/iConf&gt;
&lt;converted&gt;宮城県岩沼市&lt;/converted&gt;
&lt;candidate&gt;
&lt;address&gt;宮城県/岩沼市&lt;/address&gt;
&lt;longitude&gt;140.869949&lt;/longitude&gt;
&lt;latitude&gt;38.104301&lt;/latitude&gt;
&lt;iLvl&gt;3&lt;/iLvl&gt;
&lt;/candidate&gt;
&lt;/results&gt;
</v>
      </c>
      <c r="F1307" cm="1">
        <f t="array" ref="F1307">INDEX(_xlfn.FILTERXML(E1307,"//latitude"),1)</f>
        <v>38.104301</v>
      </c>
      <c r="G1307" cm="1">
        <f t="array" ref="G1307">INDEX(_xlfn.FILTERXML(E1307,"//longitude"),1)</f>
        <v>140.86994899999999</v>
      </c>
      <c r="H1307">
        <v>38.104301</v>
      </c>
      <c r="I1307">
        <v>140.86994899999999</v>
      </c>
    </row>
    <row r="1308" spans="1:9" x14ac:dyDescent="0.4">
      <c r="A1308" t="s">
        <v>17</v>
      </c>
      <c r="B1308" t="s">
        <v>135</v>
      </c>
      <c r="C1308" t="str">
        <f t="shared" si="78"/>
        <v>愛知県長久手市</v>
      </c>
      <c r="D1308" s="2" t="str">
        <f t="shared" si="79"/>
        <v>http://geocode.csis.u-tokyo.ac.jp/cgi-bin/simple_geocode.cgi?charset=UTF8&amp;addr=%E6%84%9B%E7%9F%A5%E7%9C%8C%E9%95%B7%E4%B9%85%E6%89%8B%E5%B8%82</v>
      </c>
      <c r="E1308" t="str">
        <f t="shared" si="80"/>
        <v xml:space="preserve">&lt;?xml version="1.0" encoding="UTF-8" ?&gt;
&lt;results&gt;
&lt;query&gt;愛知県長久手市&lt;/query&gt;
&lt;geodetic&gt;wgs1984&lt;/geodetic&gt;
&lt;iConf&gt;5&lt;/iConf&gt;
&lt;converted&gt;愛知県長久手市&lt;/converted&gt;
&lt;candidate&gt;
&lt;address&gt;愛知県/長久手市&lt;/address&gt;
&lt;longitude&gt;137.048630&lt;/longitude&gt;
&lt;latitude&gt;35.184120&lt;/latitude&gt;
&lt;iLvl&gt;3&lt;/iLvl&gt;
&lt;/candidate&gt;
&lt;/results&gt;
</v>
      </c>
      <c r="F1308" cm="1">
        <f t="array" ref="F1308">INDEX(_xlfn.FILTERXML(E1308,"//latitude"),1)</f>
        <v>35.18412</v>
      </c>
      <c r="G1308" cm="1">
        <f t="array" ref="G1308">INDEX(_xlfn.FILTERXML(E1308,"//longitude"),1)</f>
        <v>137.04863</v>
      </c>
      <c r="H1308">
        <v>35.18412</v>
      </c>
      <c r="I1308">
        <v>137.04863</v>
      </c>
    </row>
    <row r="1309" spans="1:9" x14ac:dyDescent="0.4">
      <c r="A1309" t="s">
        <v>10</v>
      </c>
      <c r="B1309" t="s">
        <v>59</v>
      </c>
      <c r="C1309" t="str">
        <f t="shared" si="78"/>
        <v>神奈川県横浜市港北区大倉山</v>
      </c>
      <c r="D1309" s="2" t="str">
        <f t="shared" si="79"/>
        <v>http://geocode.csis.u-tokyo.ac.jp/cgi-bin/simple_geocode.cgi?charset=UTF8&amp;addr=%E7%A5%9E%E5%A5%88%E5%B7%9D%E7%9C%8C%E6%A8%AA%E6%B5%9C%E5%B8%82%E6%B8%AF%E5%8C%97%E5%8C%BA%E5%A4%A7%E5%80%89%E5%B1%B1</v>
      </c>
      <c r="E1309" t="str">
        <f t="shared" si="80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309" cm="1">
        <f t="array" ref="F1309">INDEX(_xlfn.FILTERXML(E1309,"//latitude"),1)</f>
        <v>35.520156999999998</v>
      </c>
      <c r="G1309" cm="1">
        <f t="array" ref="G1309">INDEX(_xlfn.FILTERXML(E1309,"//longitude"),1)</f>
        <v>139.63125600000001</v>
      </c>
      <c r="H1309">
        <v>35.520156999999998</v>
      </c>
      <c r="I1309">
        <v>139.63125600000001</v>
      </c>
    </row>
    <row r="1310" spans="1:9" x14ac:dyDescent="0.4">
      <c r="A1310" t="s">
        <v>11</v>
      </c>
      <c r="B1310" t="s">
        <v>69</v>
      </c>
      <c r="C1310" t="str">
        <f t="shared" si="78"/>
        <v>大阪府茨木市</v>
      </c>
      <c r="D1310" s="2" t="str">
        <f t="shared" si="79"/>
        <v>http://geocode.csis.u-tokyo.ac.jp/cgi-bin/simple_geocode.cgi?charset=UTF8&amp;addr=%E5%A4%A7%E9%98%AA%E5%BA%9C%E8%8C%A8%E6%9C%A8%E5%B8%82</v>
      </c>
      <c r="E1310" t="str">
        <f t="shared" si="80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1310" cm="1">
        <f t="array" ref="F1310">INDEX(_xlfn.FILTERXML(E1310,"//latitude"),1)</f>
        <v>34.816153999999997</v>
      </c>
      <c r="G1310" cm="1">
        <f t="array" ref="G1310">INDEX(_xlfn.FILTERXML(E1310,"//longitude"),1)</f>
        <v>135.56849700000001</v>
      </c>
      <c r="H1310">
        <v>34.816153999999997</v>
      </c>
      <c r="I1310">
        <v>135.56849700000001</v>
      </c>
    </row>
    <row r="1311" spans="1:9" x14ac:dyDescent="0.4">
      <c r="A1311" t="s">
        <v>9</v>
      </c>
      <c r="B1311" t="s">
        <v>173</v>
      </c>
      <c r="C1311" t="str">
        <f t="shared" si="78"/>
        <v>東京都日野市日野</v>
      </c>
      <c r="D1311" s="2" t="str">
        <f t="shared" si="79"/>
        <v>http://geocode.csis.u-tokyo.ac.jp/cgi-bin/simple_geocode.cgi?charset=UTF8&amp;addr=%E6%9D%B1%E4%BA%AC%E9%83%BD%E6%97%A5%E9%87%8E%E5%B8%82%E6%97%A5%E9%87%8E</v>
      </c>
      <c r="E1311" t="str">
        <f t="shared" si="80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1311" cm="1">
        <f t="array" ref="F1311">INDEX(_xlfn.FILTERXML(E1311,"//latitude"),1)</f>
        <v>35.677208</v>
      </c>
      <c r="G1311" cm="1">
        <f t="array" ref="G1311">INDEX(_xlfn.FILTERXML(E1311,"//longitude"),1)</f>
        <v>139.40969799999999</v>
      </c>
      <c r="H1311">
        <v>35.677208</v>
      </c>
      <c r="I1311">
        <v>139.40969799999999</v>
      </c>
    </row>
    <row r="1312" spans="1:9" x14ac:dyDescent="0.4">
      <c r="A1312" t="s">
        <v>35</v>
      </c>
      <c r="B1312" t="s">
        <v>557</v>
      </c>
      <c r="C1312" t="str">
        <f t="shared" si="78"/>
        <v>宮崎県宮崎市</v>
      </c>
      <c r="D1312" s="2" t="str">
        <f t="shared" si="79"/>
        <v>http://geocode.csis.u-tokyo.ac.jp/cgi-bin/simple_geocode.cgi?charset=UTF8&amp;addr=%E5%AE%AE%E5%B4%8E%E7%9C%8C%E5%AE%AE%E5%B4%8E%E5%B8%82</v>
      </c>
      <c r="E1312" t="str">
        <f t="shared" si="80"/>
        <v xml:space="preserve">&lt;?xml version="1.0" encoding="UTF-8" ?&gt;
&lt;results&gt;
&lt;query&gt;宮崎県宮崎市&lt;/query&gt;
&lt;geodetic&gt;wgs1984&lt;/geodetic&gt;
&lt;iConf&gt;5&lt;/iConf&gt;
&lt;converted&gt;宮崎県宮崎市&lt;/converted&gt;
&lt;candidate&gt;
&lt;address&gt;宮崎県/宮崎市&lt;/address&gt;
&lt;longitude&gt;131.420242&lt;/longitude&gt;
&lt;latitude&gt;31.907677&lt;/latitude&gt;
&lt;iLvl&gt;3&lt;/iLvl&gt;
&lt;/candidate&gt;
&lt;/results&gt;
</v>
      </c>
      <c r="F1312" cm="1">
        <f t="array" ref="F1312">INDEX(_xlfn.FILTERXML(E1312,"//latitude"),1)</f>
        <v>31.907677</v>
      </c>
      <c r="G1312" cm="1">
        <f t="array" ref="G1312">INDEX(_xlfn.FILTERXML(E1312,"//longitude"),1)</f>
        <v>131.420242</v>
      </c>
      <c r="H1312">
        <v>31.907677</v>
      </c>
      <c r="I1312">
        <v>131.420242</v>
      </c>
    </row>
    <row r="1313" spans="1:9" x14ac:dyDescent="0.4">
      <c r="A1313" t="s">
        <v>39</v>
      </c>
      <c r="B1313" t="s">
        <v>40</v>
      </c>
      <c r="C1313" t="str">
        <f t="shared" si="78"/>
        <v>愛媛県松山市</v>
      </c>
      <c r="D1313" s="2" t="str">
        <f t="shared" si="79"/>
        <v>http://geocode.csis.u-tokyo.ac.jp/cgi-bin/simple_geocode.cgi?charset=UTF8&amp;addr=%E6%84%9B%E5%AA%9B%E7%9C%8C%E6%9D%BE%E5%B1%B1%E5%B8%82</v>
      </c>
      <c r="E1313" t="str">
        <f t="shared" si="80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313" cm="1">
        <f t="array" ref="F1313">INDEX(_xlfn.FILTERXML(E1313,"//latitude"),1)</f>
        <v>33.839157</v>
      </c>
      <c r="G1313" cm="1">
        <f t="array" ref="G1313">INDEX(_xlfn.FILTERXML(E1313,"//longitude"),1)</f>
        <v>132.76554899999999</v>
      </c>
      <c r="H1313">
        <v>33.839157</v>
      </c>
      <c r="I1313">
        <v>132.76554899999999</v>
      </c>
    </row>
    <row r="1314" spans="1:9" x14ac:dyDescent="0.4">
      <c r="A1314" t="s">
        <v>9</v>
      </c>
      <c r="B1314" t="s">
        <v>173</v>
      </c>
      <c r="C1314" t="str">
        <f t="shared" si="78"/>
        <v>東京都日野市日野</v>
      </c>
      <c r="D1314" s="2" t="str">
        <f t="shared" si="79"/>
        <v>http://geocode.csis.u-tokyo.ac.jp/cgi-bin/simple_geocode.cgi?charset=UTF8&amp;addr=%E6%9D%B1%E4%BA%AC%E9%83%BD%E6%97%A5%E9%87%8E%E5%B8%82%E6%97%A5%E9%87%8E</v>
      </c>
      <c r="E1314" t="str">
        <f t="shared" si="80"/>
        <v xml:space="preserve">&lt;?xml version="1.0" encoding="UTF-8" ?&gt;
&lt;results&gt;
&lt;query&gt;東京都日野市日野&lt;/query&gt;
&lt;geodetic&gt;wgs1984&lt;/geodetic&gt;
&lt;iConf&gt;5&lt;/iConf&gt;
&lt;converted&gt;東京都日野市日野&lt;/converted&gt;
&lt;candidate&gt;
&lt;address&gt;東京都/日野市/日野&lt;/address&gt;
&lt;longitude&gt;139.409698&lt;/longitude&gt;
&lt;latitude&gt;35.677208&lt;/latitude&gt;
&lt;iLvl&gt;5&lt;/iLvl&gt;
&lt;/candidate&gt;
&lt;/results&gt;
</v>
      </c>
      <c r="F1314" cm="1">
        <f t="array" ref="F1314">INDEX(_xlfn.FILTERXML(E1314,"//latitude"),1)</f>
        <v>35.677208</v>
      </c>
      <c r="G1314" cm="1">
        <f t="array" ref="G1314">INDEX(_xlfn.FILTERXML(E1314,"//longitude"),1)</f>
        <v>139.40969799999999</v>
      </c>
      <c r="H1314">
        <v>35.677208</v>
      </c>
      <c r="I1314">
        <v>139.40969799999999</v>
      </c>
    </row>
    <row r="1315" spans="1:9" x14ac:dyDescent="0.4">
      <c r="A1315" t="s">
        <v>10</v>
      </c>
      <c r="B1315" t="s">
        <v>90</v>
      </c>
      <c r="C1315" t="str">
        <f t="shared" si="78"/>
        <v>神奈川県逗子市久木</v>
      </c>
      <c r="D1315" s="2" t="str">
        <f t="shared" si="79"/>
        <v>http://geocode.csis.u-tokyo.ac.jp/cgi-bin/simple_geocode.cgi?charset=UTF8&amp;addr=%E7%A5%9E%E5%A5%88%E5%B7%9D%E7%9C%8C%E9%80%97%E5%AD%90%E5%B8%82%E4%B9%85%E6%9C%A8</v>
      </c>
      <c r="E1315" t="str">
        <f t="shared" si="80"/>
        <v xml:space="preserve">&lt;?xml version="1.0" encoding="UTF-8" ?&gt;
&lt;results&gt;
&lt;query&gt;神奈川県逗子市久木&lt;/query&gt;
&lt;geodetic&gt;wgs1984&lt;/geodetic&gt;
&lt;iConf&gt;5&lt;/iConf&gt;
&lt;converted&gt;神奈川県逗子市久木&lt;/converted&gt;
&lt;candidate&gt;
&lt;address&gt;神奈川県/逗子市/久木&lt;/address&gt;
&lt;longitude&gt;139.576447&lt;/longitude&gt;
&lt;latitude&gt;35.300365&lt;/latitude&gt;
&lt;iLvl&gt;5&lt;/iLvl&gt;
&lt;/candidate&gt;
&lt;/results&gt;
</v>
      </c>
      <c r="F1315" cm="1">
        <f t="array" ref="F1315">INDEX(_xlfn.FILTERXML(E1315,"//latitude"),1)</f>
        <v>35.300364999999999</v>
      </c>
      <c r="G1315" cm="1">
        <f t="array" ref="G1315">INDEX(_xlfn.FILTERXML(E1315,"//longitude"),1)</f>
        <v>139.576447</v>
      </c>
      <c r="H1315">
        <v>35.300364999999999</v>
      </c>
      <c r="I1315">
        <v>139.576447</v>
      </c>
    </row>
    <row r="1316" spans="1:9" x14ac:dyDescent="0.4">
      <c r="A1316" t="s">
        <v>18</v>
      </c>
      <c r="B1316" t="s">
        <v>156</v>
      </c>
      <c r="C1316" t="str">
        <f t="shared" si="78"/>
        <v>千葉県松戸市</v>
      </c>
      <c r="D1316" s="2" t="str">
        <f t="shared" si="79"/>
        <v>http://geocode.csis.u-tokyo.ac.jp/cgi-bin/simple_geocode.cgi?charset=UTF8&amp;addr=%E5%8D%83%E8%91%89%E7%9C%8C%E6%9D%BE%E6%88%B8%E5%B8%82</v>
      </c>
      <c r="E1316" t="str">
        <f t="shared" si="80"/>
        <v xml:space="preserve">&lt;?xml version="1.0" encoding="UTF-8" ?&gt;
&lt;results&gt;
&lt;query&gt;千葉県松戸市&lt;/query&gt;
&lt;geodetic&gt;wgs1984&lt;/geodetic&gt;
&lt;iConf&gt;5&lt;/iConf&gt;
&lt;converted&gt;千葉県松戸市&lt;/converted&gt;
&lt;candidate&gt;
&lt;address&gt;千葉県/松戸市&lt;/address&gt;
&lt;longitude&gt;139.903229&lt;/longitude&gt;
&lt;latitude&gt;35.787651&lt;/latitude&gt;
&lt;iLvl&gt;3&lt;/iLvl&gt;
&lt;/candidate&gt;
&lt;/results&gt;
</v>
      </c>
      <c r="F1316" cm="1">
        <f t="array" ref="F1316">INDEX(_xlfn.FILTERXML(E1316,"//latitude"),1)</f>
        <v>35.787650999999997</v>
      </c>
      <c r="G1316" cm="1">
        <f t="array" ref="G1316">INDEX(_xlfn.FILTERXML(E1316,"//longitude"),1)</f>
        <v>139.90322900000001</v>
      </c>
      <c r="H1316">
        <v>35.787650999999997</v>
      </c>
      <c r="I1316">
        <v>139.90322900000001</v>
      </c>
    </row>
    <row r="1317" spans="1:9" x14ac:dyDescent="0.4">
      <c r="A1317" t="s">
        <v>20</v>
      </c>
      <c r="B1317" t="s">
        <v>159</v>
      </c>
      <c r="C1317" t="str">
        <f t="shared" si="78"/>
        <v>茨城県つくば市吾妻1丁目</v>
      </c>
      <c r="D1317" s="2" t="str">
        <f t="shared" si="79"/>
        <v>http://geocode.csis.u-tokyo.ac.jp/cgi-bin/simple_geocode.cgi?charset=UTF8&amp;addr=%E8%8C%A8%E5%9F%8E%E7%9C%8C%E3%81%A4%E3%81%8F%E3%81%B0%E5%B8%82%E5%90%BE%E5%A6%BB1%E4%B8%81%E7%9B%AE</v>
      </c>
      <c r="E1317" t="str">
        <f t="shared" si="80"/>
        <v xml:space="preserve">&lt;?xml version="1.0" encoding="UTF-8" ?&gt;
&lt;results&gt;
&lt;query&gt;茨城県つくば市吾妻1丁目&lt;/query&gt;
&lt;geodetic&gt;wgs1984&lt;/geodetic&gt;
&lt;iConf&gt;5&lt;/iConf&gt;
&lt;converted&gt;茨城県つくば市吾妻1丁目&lt;/converted&gt;
&lt;candidate&gt;
&lt;address&gt;茨城県/つくば市/吾妻/一丁目&lt;/address&gt;
&lt;longitude&gt;140.112946&lt;/longitude&gt;
&lt;latitude&gt;36.081535&lt;/latitude&gt;
&lt;iLvl&gt;6&lt;/iLvl&gt;
&lt;/candidate&gt;
&lt;/results&gt;
</v>
      </c>
      <c r="F1317" cm="1">
        <f t="array" ref="F1317">INDEX(_xlfn.FILTERXML(E1317,"//latitude"),1)</f>
        <v>36.081535000000002</v>
      </c>
      <c r="G1317" cm="1">
        <f t="array" ref="G1317">INDEX(_xlfn.FILTERXML(E1317,"//longitude"),1)</f>
        <v>140.11294599999999</v>
      </c>
      <c r="H1317">
        <v>36.081535000000002</v>
      </c>
      <c r="I1317">
        <v>140.11294599999999</v>
      </c>
    </row>
    <row r="1318" spans="1:9" x14ac:dyDescent="0.4">
      <c r="A1318" t="s">
        <v>10</v>
      </c>
      <c r="B1318" t="s">
        <v>1121</v>
      </c>
      <c r="C1318" t="str">
        <f t="shared" si="78"/>
        <v>神奈川県横浜市戸塚区下倉田町</v>
      </c>
      <c r="D1318" s="2" t="str">
        <f t="shared" si="79"/>
        <v>http://geocode.csis.u-tokyo.ac.jp/cgi-bin/simple_geocode.cgi?charset=UTF8&amp;addr=%E7%A5%9E%E5%A5%88%E5%B7%9D%E7%9C%8C%E6%A8%AA%E6%B5%9C%E5%B8%82%E6%88%B8%E5%A1%9A%E5%8C%BA%E4%B8%8B%E5%80%89%E7%94%B0%E7%94%BA</v>
      </c>
      <c r="E1318" t="str">
        <f t="shared" si="80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1318" cm="1">
        <f t="array" ref="F1318">INDEX(_xlfn.FILTERXML(E1318,"//latitude"),1)</f>
        <v>35.383468999999998</v>
      </c>
      <c r="G1318" cm="1">
        <f t="array" ref="G1318">INDEX(_xlfn.FILTERXML(E1318,"//longitude"),1)</f>
        <v>139.54186999999999</v>
      </c>
      <c r="H1318">
        <v>35.383468999999998</v>
      </c>
      <c r="I1318">
        <v>139.54186999999999</v>
      </c>
    </row>
    <row r="1319" spans="1:9" x14ac:dyDescent="0.4">
      <c r="A1319" t="s">
        <v>10</v>
      </c>
      <c r="B1319" t="s">
        <v>1122</v>
      </c>
      <c r="C1319" t="str">
        <f t="shared" si="78"/>
        <v>神奈川県小田原市浜町</v>
      </c>
      <c r="D1319" s="2" t="str">
        <f t="shared" si="79"/>
        <v>http://geocode.csis.u-tokyo.ac.jp/cgi-bin/simple_geocode.cgi?charset=UTF8&amp;addr=%E7%A5%9E%E5%A5%88%E5%B7%9D%E7%9C%8C%E5%B0%8F%E7%94%B0%E5%8E%9F%E5%B8%82%E6%B5%9C%E7%94%BA</v>
      </c>
      <c r="E1319" t="str">
        <f t="shared" si="80"/>
        <v xml:space="preserve">&lt;?xml version="1.0" encoding="UTF-8" ?&gt;
&lt;results&gt;
&lt;query&gt;神奈川県小田原市浜町&lt;/query&gt;
&lt;geodetic&gt;wgs1984&lt;/geodetic&gt;
&lt;iConf&gt;5&lt;/iConf&gt;
&lt;converted&gt;神奈川県小田原市浜町&lt;/converted&gt;
&lt;candidate&gt;
&lt;address&gt;神奈川県/小田原市/浜町&lt;/address&gt;
&lt;longitude&gt;139.163162&lt;/longitude&gt;
&lt;latitude&gt;35.252380&lt;/latitude&gt;
&lt;iLvl&gt;5&lt;/iLvl&gt;
&lt;/candidate&gt;
&lt;/results&gt;
</v>
      </c>
      <c r="F1319" cm="1">
        <f t="array" ref="F1319">INDEX(_xlfn.FILTERXML(E1319,"//latitude"),1)</f>
        <v>35.252380000000002</v>
      </c>
      <c r="G1319" cm="1">
        <f t="array" ref="G1319">INDEX(_xlfn.FILTERXML(E1319,"//longitude"),1)</f>
        <v>139.163162</v>
      </c>
      <c r="H1319">
        <v>35.252380000000002</v>
      </c>
      <c r="I1319">
        <v>139.163162</v>
      </c>
    </row>
    <row r="1320" spans="1:9" x14ac:dyDescent="0.4">
      <c r="A1320" t="s">
        <v>21</v>
      </c>
      <c r="B1320" t="s">
        <v>1123</v>
      </c>
      <c r="C1320" t="str">
        <f t="shared" si="78"/>
        <v>福岡県福岡市中央区長浜</v>
      </c>
      <c r="D1320" s="2" t="str">
        <f t="shared" si="79"/>
        <v>http://geocode.csis.u-tokyo.ac.jp/cgi-bin/simple_geocode.cgi?charset=UTF8&amp;addr=%E7%A6%8F%E5%B2%A1%E7%9C%8C%E7%A6%8F%E5%B2%A1%E5%B8%82%E4%B8%AD%E5%A4%AE%E5%8C%BA%E9%95%B7%E6%B5%9C</v>
      </c>
      <c r="E1320" t="str">
        <f t="shared" si="80"/>
        <v xml:space="preserve">&lt;?xml version="1.0" encoding="UTF-8" ?&gt;
&lt;results&gt;
&lt;query&gt;福岡県福岡市中央区長浜&lt;/query&gt;
&lt;geodetic&gt;wgs1984&lt;/geodetic&gt;
&lt;iConf&gt;5&lt;/iConf&gt;
&lt;converted&gt;福岡県福岡市中央区長浜&lt;/converted&gt;
&lt;candidate&gt;
&lt;address&gt;福岡県/福岡市/中央区/長浜&lt;/address&gt;
&lt;longitude&gt;130.393753&lt;/longitude&gt;
&lt;latitude&gt;33.595066&lt;/latitude&gt;
&lt;iLvl&gt;5&lt;/iLvl&gt;
&lt;/candidate&gt;
&lt;/results&gt;
</v>
      </c>
      <c r="F1320" cm="1">
        <f t="array" ref="F1320">INDEX(_xlfn.FILTERXML(E1320,"//latitude"),1)</f>
        <v>33.595066000000003</v>
      </c>
      <c r="G1320" cm="1">
        <f t="array" ref="G1320">INDEX(_xlfn.FILTERXML(E1320,"//longitude"),1)</f>
        <v>130.393753</v>
      </c>
      <c r="H1320">
        <v>33.595066000000003</v>
      </c>
      <c r="I1320">
        <v>130.393753</v>
      </c>
    </row>
    <row r="1321" spans="1:9" x14ac:dyDescent="0.4">
      <c r="A1321" t="s">
        <v>29</v>
      </c>
      <c r="B1321" t="s">
        <v>1124</v>
      </c>
      <c r="C1321" t="str">
        <f t="shared" si="78"/>
        <v>静岡県富士市日乃出町</v>
      </c>
      <c r="D1321" s="2" t="str">
        <f t="shared" si="79"/>
        <v>http://geocode.csis.u-tokyo.ac.jp/cgi-bin/simple_geocode.cgi?charset=UTF8&amp;addr=%E9%9D%99%E5%B2%A1%E7%9C%8C%E5%AF%8C%E5%A3%AB%E5%B8%82%E6%97%A5%E4%B9%83%E5%87%BA%E7%94%BA</v>
      </c>
      <c r="E1321" t="str">
        <f t="shared" si="80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1321" cm="1">
        <f t="array" ref="F1321">INDEX(_xlfn.FILTERXML(E1321,"//latitude"),1)</f>
        <v>35.164901999999998</v>
      </c>
      <c r="G1321" cm="1">
        <f t="array" ref="G1321">INDEX(_xlfn.FILTERXML(E1321,"//longitude"),1)</f>
        <v>138.66790800000001</v>
      </c>
      <c r="H1321">
        <v>35.164901999999998</v>
      </c>
      <c r="I1321">
        <v>138.66790800000001</v>
      </c>
    </row>
    <row r="1322" spans="1:9" x14ac:dyDescent="0.4">
      <c r="A1322" t="s">
        <v>204</v>
      </c>
      <c r="B1322" t="s">
        <v>878</v>
      </c>
      <c r="C1322" t="str">
        <f t="shared" si="78"/>
        <v>青森県八戸市</v>
      </c>
      <c r="D1322" s="2" t="str">
        <f t="shared" si="79"/>
        <v>http://geocode.csis.u-tokyo.ac.jp/cgi-bin/simple_geocode.cgi?charset=UTF8&amp;addr=%E9%9D%92%E6%A3%AE%E7%9C%8C%E5%85%AB%E6%88%B8%E5%B8%82</v>
      </c>
      <c r="E1322" t="str">
        <f t="shared" si="80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1322" cm="1">
        <f t="array" ref="F1322">INDEX(_xlfn.FILTERXML(E1322,"//latitude"),1)</f>
        <v>40.512279999999997</v>
      </c>
      <c r="G1322" cm="1">
        <f t="array" ref="G1322">INDEX(_xlfn.FILTERXML(E1322,"//longitude"),1)</f>
        <v>141.48840300000001</v>
      </c>
      <c r="H1322">
        <v>40.512279999999997</v>
      </c>
      <c r="I1322">
        <v>141.48840300000001</v>
      </c>
    </row>
    <row r="1323" spans="1:9" x14ac:dyDescent="0.4">
      <c r="A1323" t="s">
        <v>11</v>
      </c>
      <c r="B1323" t="s">
        <v>1125</v>
      </c>
      <c r="C1323" t="str">
        <f t="shared" si="78"/>
        <v>大阪府大阪市西区</v>
      </c>
      <c r="D1323" s="2" t="str">
        <f t="shared" si="79"/>
        <v>http://geocode.csis.u-tokyo.ac.jp/cgi-bin/simple_geocode.cgi?charset=UTF8&amp;addr=%E5%A4%A7%E9%98%AA%E5%BA%9C%E5%A4%A7%E9%98%AA%E5%B8%82%E8%A5%BF%E5%8C%BA</v>
      </c>
      <c r="E1323" t="str">
        <f t="shared" si="80"/>
        <v xml:space="preserve">&lt;?xml version="1.0" encoding="UTF-8" ?&gt;
&lt;results&gt;
&lt;query&gt;大阪府大阪市西区&lt;/query&gt;
&lt;geodetic&gt;wgs1984&lt;/geodetic&gt;
&lt;iConf&gt;5&lt;/iConf&gt;
&lt;converted&gt;大阪府大阪市西区&lt;/converted&gt;
&lt;candidate&gt;
&lt;address&gt;大阪府/大阪市/西区&lt;/address&gt;
&lt;longitude&gt;135.486115&lt;/longitude&gt;
&lt;latitude&gt;34.676384&lt;/latitude&gt;
&lt;iLvl&gt;4&lt;/iLvl&gt;
&lt;/candidate&gt;
&lt;/results&gt;
</v>
      </c>
      <c r="F1323" cm="1">
        <f t="array" ref="F1323">INDEX(_xlfn.FILTERXML(E1323,"//latitude"),1)</f>
        <v>34.676383999999999</v>
      </c>
      <c r="G1323" cm="1">
        <f t="array" ref="G1323">INDEX(_xlfn.FILTERXML(E1323,"//longitude"),1)</f>
        <v>135.48611500000001</v>
      </c>
      <c r="H1323">
        <v>34.676383999999999</v>
      </c>
      <c r="I1323">
        <v>135.48611500000001</v>
      </c>
    </row>
    <row r="1324" spans="1:9" x14ac:dyDescent="0.4">
      <c r="A1324" t="s">
        <v>13</v>
      </c>
      <c r="B1324" t="s">
        <v>1126</v>
      </c>
      <c r="C1324" t="str">
        <f t="shared" si="78"/>
        <v>埼玉県春日部市内牧</v>
      </c>
      <c r="D1324" s="2" t="str">
        <f t="shared" si="79"/>
        <v>http://geocode.csis.u-tokyo.ac.jp/cgi-bin/simple_geocode.cgi?charset=UTF8&amp;addr=%E5%9F%BC%E7%8E%89%E7%9C%8C%E6%98%A5%E6%97%A5%E9%83%A8%E5%B8%82%E5%86%85%E7%89%A7</v>
      </c>
      <c r="E1324" t="str">
        <f t="shared" si="80"/>
        <v xml:space="preserve">&lt;?xml version="1.0" encoding="UTF-8" ?&gt;
&lt;results&gt;
&lt;query&gt;埼玉県春日部市内牧&lt;/query&gt;
&lt;geodetic&gt;wgs1984&lt;/geodetic&gt;
&lt;iConf&gt;5&lt;/iConf&gt;
&lt;converted&gt;埼玉県春日部市内牧&lt;/converted&gt;
&lt;candidate&gt;
&lt;address&gt;埼玉県/春日部市/内牧&lt;/address&gt;
&lt;longitude&gt;139.724136&lt;/longitude&gt;
&lt;latitude&gt;35.993088&lt;/latitude&gt;
&lt;iLvl&gt;5&lt;/iLvl&gt;
&lt;/candidate&gt;
&lt;/results&gt;
</v>
      </c>
      <c r="F1324" cm="1">
        <f t="array" ref="F1324">INDEX(_xlfn.FILTERXML(E1324,"//latitude"),1)</f>
        <v>35.993088</v>
      </c>
      <c r="G1324" cm="1">
        <f t="array" ref="G1324">INDEX(_xlfn.FILTERXML(E1324,"//longitude"),1)</f>
        <v>139.72413599999999</v>
      </c>
      <c r="H1324" s="3">
        <v>35.993088</v>
      </c>
      <c r="I1324" s="3">
        <v>139.72413599999999</v>
      </c>
    </row>
    <row r="1325" spans="1:9" x14ac:dyDescent="0.4">
      <c r="A1325" t="s">
        <v>28</v>
      </c>
      <c r="B1325" t="s">
        <v>1127</v>
      </c>
      <c r="C1325" t="str">
        <f t="shared" si="78"/>
        <v>沖縄県中頭郡中城村南上原</v>
      </c>
      <c r="D1325" s="2" t="str">
        <f t="shared" si="79"/>
        <v>http://geocode.csis.u-tokyo.ac.jp/cgi-bin/simple_geocode.cgi?charset=UTF8&amp;addr=%E6%B2%96%E7%B8%84%E7%9C%8C%E4%B8%AD%E9%A0%AD%E9%83%A1%E4%B8%AD%E5%9F%8E%E6%9D%91%E5%8D%97%E4%B8%8A%E5%8E%9F</v>
      </c>
      <c r="E1325" t="str">
        <f t="shared" si="80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1325" cm="1">
        <f t="array" ref="F1325">INDEX(_xlfn.FILTERXML(E1325,"//latitude"),1)</f>
        <v>26.250996000000001</v>
      </c>
      <c r="G1325" cm="1">
        <f t="array" ref="G1325">INDEX(_xlfn.FILTERXML(E1325,"//longitude"),1)</f>
        <v>127.771294</v>
      </c>
      <c r="H1325">
        <v>26.250996000000001</v>
      </c>
      <c r="I1325">
        <v>127.771294</v>
      </c>
    </row>
    <row r="1326" spans="1:9" x14ac:dyDescent="0.4">
      <c r="A1326" t="s">
        <v>11</v>
      </c>
      <c r="B1326" t="s">
        <v>263</v>
      </c>
      <c r="C1326" t="str">
        <f t="shared" si="78"/>
        <v>大阪府大阪市福島区福島</v>
      </c>
      <c r="D1326" s="2" t="str">
        <f t="shared" si="79"/>
        <v>http://geocode.csis.u-tokyo.ac.jp/cgi-bin/simple_geocode.cgi?charset=UTF8&amp;addr=%E5%A4%A7%E9%98%AA%E5%BA%9C%E5%A4%A7%E9%98%AA%E5%B8%82%E7%A6%8F%E5%B3%B6%E5%8C%BA%E7%A6%8F%E5%B3%B6</v>
      </c>
      <c r="E1326" t="str">
        <f t="shared" si="80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326" cm="1">
        <f t="array" ref="F1326">INDEX(_xlfn.FILTERXML(E1326,"//latitude"),1)</f>
        <v>34.694656000000002</v>
      </c>
      <c r="G1326" cm="1">
        <f t="array" ref="G1326">INDEX(_xlfn.FILTERXML(E1326,"//longitude"),1)</f>
        <v>135.48904400000001</v>
      </c>
      <c r="H1326">
        <v>34.694656000000002</v>
      </c>
      <c r="I1326">
        <v>135.48904400000001</v>
      </c>
    </row>
    <row r="1327" spans="1:9" x14ac:dyDescent="0.4">
      <c r="A1327" t="s">
        <v>26</v>
      </c>
      <c r="B1327" t="s">
        <v>1128</v>
      </c>
      <c r="C1327" t="str">
        <f t="shared" si="78"/>
        <v>京都府京都市左京区岩倉南大鷺町</v>
      </c>
      <c r="D1327" s="2" t="str">
        <f t="shared" si="79"/>
        <v>http://geocode.csis.u-tokyo.ac.jp/cgi-bin/simple_geocode.cgi?charset=UTF8&amp;addr=%E4%BA%AC%E9%83%BD%E5%BA%9C%E4%BA%AC%E9%83%BD%E5%B8%82%E5%B7%A6%E4%BA%AC%E5%8C%BA%E5%B2%A9%E5%80%89%E5%8D%97%E5%A4%A7%E9%B7%BA%E7%94%BA</v>
      </c>
      <c r="E1327" t="str">
        <f t="shared" si="80"/>
        <v xml:space="preserve">&lt;?xml version="1.0" encoding="UTF-8" ?&gt;
&lt;results&gt;
&lt;query&gt;京都府京都市左京区岩倉南大鷺町&lt;/query&gt;
&lt;geodetic&gt;wgs1984&lt;/geodetic&gt;
&lt;iConf&gt;5&lt;/iConf&gt;
&lt;converted&gt;京都府京都市左京区岩倉南大鷺町&lt;/converted&gt;
&lt;candidate&gt;
&lt;address&gt;京都府/京都市/左京区/岩倉南大鷺町&lt;/address&gt;
&lt;longitude&gt;135.786163&lt;/longitude&gt;
&lt;latitude&gt;35.062424&lt;/latitude&gt;
&lt;iLvl&gt;5&lt;/iLvl&gt;
&lt;/candidate&gt;
&lt;/results&gt;
</v>
      </c>
      <c r="F1327" cm="1">
        <f t="array" ref="F1327">INDEX(_xlfn.FILTERXML(E1327,"//latitude"),1)</f>
        <v>35.062424</v>
      </c>
      <c r="G1327" cm="1">
        <f t="array" ref="G1327">INDEX(_xlfn.FILTERXML(E1327,"//longitude"),1)</f>
        <v>135.78616299999999</v>
      </c>
      <c r="H1327">
        <v>35.062424</v>
      </c>
      <c r="I1327">
        <v>135.78616299999999</v>
      </c>
    </row>
    <row r="1328" spans="1:9" x14ac:dyDescent="0.4">
      <c r="A1328" t="s">
        <v>11</v>
      </c>
      <c r="B1328" t="s">
        <v>1129</v>
      </c>
      <c r="C1328" t="str">
        <f t="shared" si="78"/>
        <v>大阪府大阪市中央区松屋町</v>
      </c>
      <c r="D1328" s="2" t="str">
        <f t="shared" si="79"/>
        <v>http://geocode.csis.u-tokyo.ac.jp/cgi-bin/simple_geocode.cgi?charset=UTF8&amp;addr=%E5%A4%A7%E9%98%AA%E5%BA%9C%E5%A4%A7%E9%98%AA%E5%B8%82%E4%B8%AD%E5%A4%AE%E5%8C%BA%E6%9D%BE%E5%B1%8B%E7%94%BA</v>
      </c>
      <c r="E1328" t="str">
        <f t="shared" si="80"/>
        <v xml:space="preserve">&lt;?xml version="1.0" encoding="UTF-8" ?&gt;
&lt;results&gt;
&lt;query&gt;大阪府大阪市中央区松屋町&lt;/query&gt;
&lt;geodetic&gt;wgs1984&lt;/geodetic&gt;
&lt;iConf&gt;5&lt;/iConf&gt;
&lt;converted&gt;大阪府大阪市中央区松屋町&lt;/converted&gt;
&lt;candidate&gt;
&lt;address&gt;大阪府/大阪市/中央区/松屋町&lt;/address&gt;
&lt;longitude&gt;135.511703&lt;/longitude&gt;
&lt;latitude&gt;34.675129&lt;/latitude&gt;
&lt;iLvl&gt;5&lt;/iLvl&gt;
&lt;/candidate&gt;
&lt;/results&gt;
</v>
      </c>
      <c r="F1328" cm="1">
        <f t="array" ref="F1328">INDEX(_xlfn.FILTERXML(E1328,"//latitude"),1)</f>
        <v>34.675128999999998</v>
      </c>
      <c r="G1328" cm="1">
        <f t="array" ref="G1328">INDEX(_xlfn.FILTERXML(E1328,"//longitude"),1)</f>
        <v>135.51170300000001</v>
      </c>
      <c r="H1328">
        <v>34.675128999999998</v>
      </c>
      <c r="I1328">
        <v>135.51170300000001</v>
      </c>
    </row>
    <row r="1329" spans="1:9" x14ac:dyDescent="0.4">
      <c r="A1329" t="s">
        <v>17</v>
      </c>
      <c r="B1329" t="s">
        <v>1130</v>
      </c>
      <c r="C1329" t="str">
        <f t="shared" si="78"/>
        <v>愛知県豊川市国府町</v>
      </c>
      <c r="D1329" s="2" t="str">
        <f t="shared" si="79"/>
        <v>http://geocode.csis.u-tokyo.ac.jp/cgi-bin/simple_geocode.cgi?charset=UTF8&amp;addr=%E6%84%9B%E7%9F%A5%E7%9C%8C%E8%B1%8A%E5%B7%9D%E5%B8%82%E5%9B%BD%E5%BA%9C%E7%94%BA</v>
      </c>
      <c r="E1329" t="str">
        <f t="shared" si="80"/>
        <v xml:space="preserve">&lt;?xml version="1.0" encoding="UTF-8" ?&gt;
&lt;results&gt;
&lt;query&gt;愛知県豊川市国府町&lt;/query&gt;
&lt;geodetic&gt;wgs1984&lt;/geodetic&gt;
&lt;iConf&gt;5&lt;/iConf&gt;
&lt;converted&gt;愛知県豊川市国府町&lt;/converted&gt;
&lt;candidate&gt;
&lt;address&gt;愛知県/豊川市/国府町&lt;/address&gt;
&lt;longitude&gt;137.327499&lt;/longitude&gt;
&lt;latitude&gt;34.831173&lt;/latitude&gt;
&lt;iLvl&gt;5&lt;/iLvl&gt;
&lt;/candidate&gt;
&lt;/results&gt;
</v>
      </c>
      <c r="F1329" cm="1">
        <f t="array" ref="F1329">INDEX(_xlfn.FILTERXML(E1329,"//latitude"),1)</f>
        <v>34.831173</v>
      </c>
      <c r="G1329" cm="1">
        <f t="array" ref="G1329">INDEX(_xlfn.FILTERXML(E1329,"//longitude"),1)</f>
        <v>137.32749899999999</v>
      </c>
      <c r="H1329">
        <v>34.831173</v>
      </c>
      <c r="I1329">
        <v>137.32749899999999</v>
      </c>
    </row>
    <row r="1330" spans="1:9" x14ac:dyDescent="0.4">
      <c r="A1330" t="s">
        <v>121</v>
      </c>
      <c r="B1330" t="s">
        <v>1131</v>
      </c>
      <c r="C1330" t="str">
        <f t="shared" si="78"/>
        <v>山梨県山梨市落合</v>
      </c>
      <c r="D1330" s="2" t="str">
        <f t="shared" si="79"/>
        <v>http://geocode.csis.u-tokyo.ac.jp/cgi-bin/simple_geocode.cgi?charset=UTF8&amp;addr=%E5%B1%B1%E6%A2%A8%E7%9C%8C%E5%B1%B1%E6%A2%A8%E5%B8%82%E8%90%BD%E5%90%88</v>
      </c>
      <c r="E1330" t="str">
        <f t="shared" si="80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1330" cm="1">
        <f t="array" ref="F1330">INDEX(_xlfn.FILTERXML(E1330,"//latitude"),1)</f>
        <v>35.682167</v>
      </c>
      <c r="G1330" cm="1">
        <f t="array" ref="G1330">INDEX(_xlfn.FILTERXML(E1330,"//longitude"),1)</f>
        <v>138.662262</v>
      </c>
      <c r="H1330">
        <v>35.682167</v>
      </c>
      <c r="I1330">
        <v>138.662262</v>
      </c>
    </row>
    <row r="1331" spans="1:9" x14ac:dyDescent="0.4">
      <c r="A1331" t="s">
        <v>9</v>
      </c>
      <c r="B1331" t="s">
        <v>815</v>
      </c>
      <c r="C1331" t="str">
        <f t="shared" si="78"/>
        <v>東京都品川区東品川４－１３－２４</v>
      </c>
      <c r="D1331" s="2" t="str">
        <f t="shared" si="79"/>
        <v>http://geocode.csis.u-tokyo.ac.jp/cgi-bin/simple_geocode.cgi?charset=UTF8&amp;addr=%E6%9D%B1%E4%BA%AC%E9%83%BD%E5%93%81%E5%B7%9D%E5%8C%BA%E6%9D%B1%E5%93%81%E5%B7%9D%EF%BC%94%EF%BC%8D%EF%BC%91%EF%BC%93%EF%BC%8D%EF%BC%92%EF%BC%94</v>
      </c>
      <c r="E1331" t="str">
        <f t="shared" si="80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331" cm="1">
        <f t="array" ref="F1331">INDEX(_xlfn.FILTERXML(E1331,"//latitude"),1)</f>
        <v>35.609946999999998</v>
      </c>
      <c r="G1331" cm="1">
        <f t="array" ref="G1331">INDEX(_xlfn.FILTERXML(E1331,"//longitude"),1)</f>
        <v>139.74998500000001</v>
      </c>
      <c r="H1331">
        <v>35.609946999999998</v>
      </c>
      <c r="I1331">
        <v>139.74998500000001</v>
      </c>
    </row>
    <row r="1332" spans="1:9" x14ac:dyDescent="0.4">
      <c r="A1332" t="s">
        <v>9</v>
      </c>
      <c r="B1332" t="s">
        <v>1132</v>
      </c>
      <c r="C1332" t="str">
        <f t="shared" si="78"/>
        <v>東京都府中市宮町</v>
      </c>
      <c r="D1332" s="2" t="str">
        <f t="shared" si="79"/>
        <v>http://geocode.csis.u-tokyo.ac.jp/cgi-bin/simple_geocode.cgi?charset=UTF8&amp;addr=%E6%9D%B1%E4%BA%AC%E9%83%BD%E5%BA%9C%E4%B8%AD%E5%B8%82%E5%AE%AE%E7%94%BA</v>
      </c>
      <c r="E1332" t="str">
        <f t="shared" si="80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1332" cm="1">
        <f t="array" ref="F1332">INDEX(_xlfn.FILTERXML(E1332,"//latitude"),1)</f>
        <v>35.671230000000001</v>
      </c>
      <c r="G1332" cm="1">
        <f t="array" ref="G1332">INDEX(_xlfn.FILTERXML(E1332,"//longitude"),1)</f>
        <v>139.481461</v>
      </c>
      <c r="H1332">
        <v>35.671230000000001</v>
      </c>
      <c r="I1332">
        <v>139.481461</v>
      </c>
    </row>
    <row r="1333" spans="1:9" x14ac:dyDescent="0.4">
      <c r="A1333" t="s">
        <v>15</v>
      </c>
      <c r="B1333" t="s">
        <v>764</v>
      </c>
      <c r="C1333" t="str">
        <f t="shared" si="78"/>
        <v>兵庫県芦屋市岩園町</v>
      </c>
      <c r="D1333" s="2" t="str">
        <f t="shared" si="79"/>
        <v>http://geocode.csis.u-tokyo.ac.jp/cgi-bin/simple_geocode.cgi?charset=UTF8&amp;addr=%E5%85%B5%E5%BA%AB%E7%9C%8C%E8%8A%A6%E5%B1%8B%E5%B8%82%E5%B2%A9%E5%9C%92%E7%94%BA</v>
      </c>
      <c r="E1333" t="str">
        <f t="shared" si="80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1333" cm="1">
        <f t="array" ref="F1333">INDEX(_xlfn.FILTERXML(E1333,"//latitude"),1)</f>
        <v>34.74588</v>
      </c>
      <c r="G1333" cm="1">
        <f t="array" ref="G1333">INDEX(_xlfn.FILTERXML(E1333,"//longitude"),1)</f>
        <v>135.31373600000001</v>
      </c>
      <c r="H1333">
        <v>34.74588</v>
      </c>
      <c r="I1333">
        <v>135.31373600000001</v>
      </c>
    </row>
    <row r="1334" spans="1:9" x14ac:dyDescent="0.4">
      <c r="A1334" t="s">
        <v>15</v>
      </c>
      <c r="B1334" t="s">
        <v>265</v>
      </c>
      <c r="C1334" t="str">
        <f t="shared" si="78"/>
        <v>兵庫県宝塚市</v>
      </c>
      <c r="D1334" s="2" t="str">
        <f t="shared" si="79"/>
        <v>http://geocode.csis.u-tokyo.ac.jp/cgi-bin/simple_geocode.cgi?charset=UTF8&amp;addr=%E5%85%B5%E5%BA%AB%E7%9C%8C%E5%AE%9D%E5%A1%9A%E5%B8%82</v>
      </c>
      <c r="E1334" t="str">
        <f t="shared" si="80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1334" cm="1">
        <f t="array" ref="F1334">INDEX(_xlfn.FILTERXML(E1334,"//latitude"),1)</f>
        <v>34.799816</v>
      </c>
      <c r="G1334" cm="1">
        <f t="array" ref="G1334">INDEX(_xlfn.FILTERXML(E1334,"//longitude"),1)</f>
        <v>135.36009200000001</v>
      </c>
      <c r="H1334">
        <v>34.799816</v>
      </c>
      <c r="I1334">
        <v>135.36009200000001</v>
      </c>
    </row>
    <row r="1335" spans="1:9" x14ac:dyDescent="0.4">
      <c r="A1335" t="s">
        <v>17</v>
      </c>
      <c r="B1335" t="s">
        <v>1133</v>
      </c>
      <c r="C1335" t="str">
        <f t="shared" si="78"/>
        <v>愛知県春日井市如意申町６丁目</v>
      </c>
      <c r="D1335" s="2" t="str">
        <f t="shared" si="79"/>
        <v>http://geocode.csis.u-tokyo.ac.jp/cgi-bin/simple_geocode.cgi?charset=UTF8&amp;addr=%E6%84%9B%E7%9F%A5%E7%9C%8C%E6%98%A5%E6%97%A5%E4%BA%95%E5%B8%82%E5%A6%82%E6%84%8F%E7%94%B3%E7%94%BA%EF%BC%96%E4%B8%81%E7%9B%AE</v>
      </c>
      <c r="E1335" t="str">
        <f t="shared" si="80"/>
        <v xml:space="preserve">&lt;?xml version="1.0" encoding="UTF-8" ?&gt;
&lt;results&gt;
&lt;query&gt;愛知県春日井市如意申町６丁目&lt;/query&gt;
&lt;geodetic&gt;wgs1984&lt;/geodetic&gt;
&lt;iConf&gt;5&lt;/iConf&gt;
&lt;converted&gt;愛知県春日井市如意申町６丁目&lt;/converted&gt;
&lt;candidate&gt;
&lt;address&gt;愛知県/春日井市/如意申町/六丁目&lt;/address&gt;
&lt;longitude&gt;136.951187&lt;/longitude&gt;
&lt;latitude&gt;35.247112&lt;/latitude&gt;
&lt;iLvl&gt;6&lt;/iLvl&gt;
&lt;/candidate&gt;
&lt;/results&gt;
</v>
      </c>
      <c r="F1335" cm="1">
        <f t="array" ref="F1335">INDEX(_xlfn.FILTERXML(E1335,"//latitude"),1)</f>
        <v>35.247112000000001</v>
      </c>
      <c r="G1335" cm="1">
        <f t="array" ref="G1335">INDEX(_xlfn.FILTERXML(E1335,"//longitude"),1)</f>
        <v>136.951187</v>
      </c>
      <c r="H1335">
        <v>35.247112000000001</v>
      </c>
      <c r="I1335">
        <v>136.951187</v>
      </c>
    </row>
    <row r="1336" spans="1:9" x14ac:dyDescent="0.4">
      <c r="A1336" t="s">
        <v>123</v>
      </c>
      <c r="B1336" t="s">
        <v>1134</v>
      </c>
      <c r="C1336" t="str">
        <f t="shared" si="78"/>
        <v>和歌山県和歌山市</v>
      </c>
      <c r="D1336" s="2" t="str">
        <f t="shared" si="79"/>
        <v>http://geocode.csis.u-tokyo.ac.jp/cgi-bin/simple_geocode.cgi?charset=UTF8&amp;addr=%E5%92%8C%E6%AD%8C%E5%B1%B1%E7%9C%8C%E5%92%8C%E6%AD%8C%E5%B1%B1%E5%B8%82</v>
      </c>
      <c r="E1336" t="str">
        <f t="shared" si="80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1336" cm="1">
        <f t="array" ref="F1336">INDEX(_xlfn.FILTERXML(E1336,"//latitude"),1)</f>
        <v>34.230514999999997</v>
      </c>
      <c r="G1336" cm="1">
        <f t="array" ref="G1336">INDEX(_xlfn.FILTERXML(E1336,"//longitude"),1)</f>
        <v>135.170807</v>
      </c>
      <c r="H1336">
        <v>34.230514999999997</v>
      </c>
      <c r="I1336">
        <v>135.170807</v>
      </c>
    </row>
    <row r="1337" spans="1:9" x14ac:dyDescent="0.4">
      <c r="A1337" t="s">
        <v>9</v>
      </c>
      <c r="B1337" t="s">
        <v>1135</v>
      </c>
      <c r="C1337" t="str">
        <f t="shared" si="78"/>
        <v>東京都足立区東保木間</v>
      </c>
      <c r="D1337" s="2" t="str">
        <f t="shared" si="79"/>
        <v>http://geocode.csis.u-tokyo.ac.jp/cgi-bin/simple_geocode.cgi?charset=UTF8&amp;addr=%E6%9D%B1%E4%BA%AC%E9%83%BD%E8%B6%B3%E7%AB%8B%E5%8C%BA%E6%9D%B1%E4%BF%9D%E6%9C%A8%E9%96%93</v>
      </c>
      <c r="E1337" t="str">
        <f t="shared" si="80"/>
        <v xml:space="preserve">&lt;?xml version="1.0" encoding="UTF-8" ?&gt;
&lt;results&gt;
&lt;query&gt;東京都足立区東保木間&lt;/query&gt;
&lt;geodetic&gt;wgs1984&lt;/geodetic&gt;
&lt;iConf&gt;5&lt;/iConf&gt;
&lt;converted&gt;東京都足立区東保木間&lt;/converted&gt;
&lt;candidate&gt;
&lt;address&gt;東京都/足立区/東保木間&lt;/address&gt;
&lt;longitude&gt;139.813644&lt;/longitude&gt;
&lt;latitude&gt;35.789410&lt;/latitude&gt;
&lt;iLvl&gt;5&lt;/iLvl&gt;
&lt;/candidate&gt;
&lt;/results&gt;
</v>
      </c>
      <c r="F1337" cm="1">
        <f t="array" ref="F1337">INDEX(_xlfn.FILTERXML(E1337,"//latitude"),1)</f>
        <v>35.789409999999997</v>
      </c>
      <c r="G1337" cm="1">
        <f t="array" ref="G1337">INDEX(_xlfn.FILTERXML(E1337,"//longitude"),1)</f>
        <v>139.81364400000001</v>
      </c>
      <c r="H1337">
        <v>35.789409999999997</v>
      </c>
      <c r="I1337">
        <v>139.81364400000001</v>
      </c>
    </row>
    <row r="1338" spans="1:9" x14ac:dyDescent="0.4">
      <c r="A1338" t="s">
        <v>39</v>
      </c>
      <c r="B1338" t="s">
        <v>1136</v>
      </c>
      <c r="C1338" t="str">
        <f t="shared" si="78"/>
        <v>愛媛県今治市郷桜井</v>
      </c>
      <c r="D1338" s="2" t="str">
        <f t="shared" si="79"/>
        <v>http://geocode.csis.u-tokyo.ac.jp/cgi-bin/simple_geocode.cgi?charset=UTF8&amp;addr=%E6%84%9B%E5%AA%9B%E7%9C%8C%E4%BB%8A%E6%B2%BB%E5%B8%82%E9%83%B7%E6%A1%9C%E4%BA%95</v>
      </c>
      <c r="E1338" t="str">
        <f t="shared" si="80"/>
        <v xml:space="preserve">&lt;?xml version="1.0" encoding="UTF-8" ?&gt;
&lt;results&gt;
&lt;query&gt;愛媛県今治市郷桜井&lt;/query&gt;
&lt;geodetic&gt;wgs1984&lt;/geodetic&gt;
&lt;iConf&gt;5&lt;/iConf&gt;
&lt;converted&gt;愛媛県今治市郷桜井&lt;/converted&gt;
&lt;candidate&gt;
&lt;address&gt;愛媛県/今治市/郷桜井&lt;/address&gt;
&lt;longitude&gt;133.031494&lt;/longitude&gt;
&lt;latitude&gt;34.018867&lt;/latitude&gt;
&lt;iLvl&gt;5&lt;/iLvl&gt;
&lt;/candidate&gt;
&lt;/results&gt;
</v>
      </c>
      <c r="F1338" cm="1">
        <f t="array" ref="F1338">INDEX(_xlfn.FILTERXML(E1338,"//latitude"),1)</f>
        <v>34.018867</v>
      </c>
      <c r="G1338" cm="1">
        <f t="array" ref="G1338">INDEX(_xlfn.FILTERXML(E1338,"//longitude"),1)</f>
        <v>133.03149400000001</v>
      </c>
      <c r="H1338">
        <v>34.018867</v>
      </c>
      <c r="I1338">
        <v>133.03149400000001</v>
      </c>
    </row>
    <row r="1339" spans="1:9" x14ac:dyDescent="0.4">
      <c r="A1339" t="s">
        <v>18</v>
      </c>
      <c r="B1339" t="s">
        <v>1137</v>
      </c>
      <c r="C1339" t="str">
        <f t="shared" si="78"/>
        <v>千葉県千葉市中央区松波</v>
      </c>
      <c r="D1339" s="2" t="str">
        <f t="shared" si="79"/>
        <v>http://geocode.csis.u-tokyo.ac.jp/cgi-bin/simple_geocode.cgi?charset=UTF8&amp;addr=%E5%8D%83%E8%91%89%E7%9C%8C%E5%8D%83%E8%91%89%E5%B8%82%E4%B8%AD%E5%A4%AE%E5%8C%BA%E6%9D%BE%E6%B3%A2</v>
      </c>
      <c r="E1339" t="str">
        <f t="shared" si="80"/>
        <v xml:space="preserve">&lt;?xml version="1.0" encoding="UTF-8" ?&gt;
&lt;results&gt;
&lt;query&gt;千葉県千葉市中央区松波&lt;/query&gt;
&lt;geodetic&gt;wgs1984&lt;/geodetic&gt;
&lt;iConf&gt;5&lt;/iConf&gt;
&lt;converted&gt;千葉県千葉市中央区松波&lt;/converted&gt;
&lt;candidate&gt;
&lt;address&gt;千葉県/千葉市/中央区/松波&lt;/address&gt;
&lt;longitude&gt;140.109573&lt;/longitude&gt;
&lt;latitude&gt;35.617580&lt;/latitude&gt;
&lt;iLvl&gt;5&lt;/iLvl&gt;
&lt;/candidate&gt;
&lt;/results&gt;
</v>
      </c>
      <c r="F1339" cm="1">
        <f t="array" ref="F1339">INDEX(_xlfn.FILTERXML(E1339,"//latitude"),1)</f>
        <v>35.617579999999997</v>
      </c>
      <c r="G1339" cm="1">
        <f t="array" ref="G1339">INDEX(_xlfn.FILTERXML(E1339,"//longitude"),1)</f>
        <v>140.10957300000001</v>
      </c>
      <c r="H1339">
        <v>35.617579999999997</v>
      </c>
      <c r="I1339">
        <v>140.10957300000001</v>
      </c>
    </row>
    <row r="1340" spans="1:9" x14ac:dyDescent="0.4">
      <c r="A1340" t="s">
        <v>11</v>
      </c>
      <c r="B1340" t="s">
        <v>1138</v>
      </c>
      <c r="C1340" t="str">
        <f t="shared" si="78"/>
        <v>大阪府大阪市平野区西脇</v>
      </c>
      <c r="D1340" s="2" t="str">
        <f t="shared" si="79"/>
        <v>http://geocode.csis.u-tokyo.ac.jp/cgi-bin/simple_geocode.cgi?charset=UTF8&amp;addr=%E5%A4%A7%E9%98%AA%E5%BA%9C%E5%A4%A7%E9%98%AA%E5%B8%82%E5%B9%B3%E9%87%8E%E5%8C%BA%E8%A5%BF%E8%84%87</v>
      </c>
      <c r="E1340" t="str">
        <f t="shared" si="80"/>
        <v xml:space="preserve">&lt;?xml version="1.0" encoding="UTF-8" ?&gt;
&lt;results&gt;
&lt;query&gt;大阪府大阪市平野区西脇&lt;/query&gt;
&lt;geodetic&gt;wgs1984&lt;/geodetic&gt;
&lt;iConf&gt;5&lt;/iConf&gt;
&lt;converted&gt;大阪府大阪市平野区西脇&lt;/converted&gt;
&lt;candidate&gt;
&lt;address&gt;大阪府/大阪市/平野区/西脇&lt;/address&gt;
&lt;longitude&gt;135.545181&lt;/longitude&gt;
&lt;latitude&gt;34.630615&lt;/latitude&gt;
&lt;iLvl&gt;5&lt;/iLvl&gt;
&lt;/candidate&gt;
&lt;/results&gt;
</v>
      </c>
      <c r="F1340" cm="1">
        <f t="array" ref="F1340">INDEX(_xlfn.FILTERXML(E1340,"//latitude"),1)</f>
        <v>34.630614999999999</v>
      </c>
      <c r="G1340" cm="1">
        <f t="array" ref="G1340">INDEX(_xlfn.FILTERXML(E1340,"//longitude"),1)</f>
        <v>135.54518100000001</v>
      </c>
      <c r="H1340">
        <v>34.630614999999999</v>
      </c>
      <c r="I1340">
        <v>135.54518100000001</v>
      </c>
    </row>
    <row r="1341" spans="1:9" x14ac:dyDescent="0.4">
      <c r="A1341" t="s">
        <v>10</v>
      </c>
      <c r="B1341" t="s">
        <v>1139</v>
      </c>
      <c r="C1341" t="str">
        <f t="shared" si="78"/>
        <v>神奈川県伊勢原市板戸</v>
      </c>
      <c r="D1341" s="2" t="str">
        <f t="shared" si="79"/>
        <v>http://geocode.csis.u-tokyo.ac.jp/cgi-bin/simple_geocode.cgi?charset=UTF8&amp;addr=%E7%A5%9E%E5%A5%88%E5%B7%9D%E7%9C%8C%E4%BC%8A%E5%8B%A2%E5%8E%9F%E5%B8%82%E6%9D%BF%E6%88%B8</v>
      </c>
      <c r="E1341" t="str">
        <f t="shared" si="80"/>
        <v xml:space="preserve">&lt;?xml version="1.0" encoding="UTF-8" ?&gt;
&lt;results&gt;
&lt;query&gt;奈川県伊勢原市板戸&lt;/query&gt;
&lt;geodetic&gt;wgs1984&lt;/geodetic&gt;
&lt;iConf&gt;5&lt;/iConf&gt;
&lt;converted&gt;神奈川県伊勢原市板戸&lt;/converted&gt;
&lt;candidate&gt;
&lt;address&gt;神奈川県/伊勢原市/板戸&lt;/address&gt;
&lt;longitude&gt;139.301559&lt;/longitude&gt;
&lt;latitude&gt;35.397472&lt;/latitude&gt;
&lt;iLvl&gt;5&lt;/iLvl&gt;
&lt;/candidate&gt;
&lt;/results&gt;
</v>
      </c>
      <c r="F1341" cm="1">
        <f t="array" ref="F1341">INDEX(_xlfn.FILTERXML(E1341,"//latitude"),1)</f>
        <v>35.397472</v>
      </c>
      <c r="G1341" cm="1">
        <f t="array" ref="G1341">INDEX(_xlfn.FILTERXML(E1341,"//longitude"),1)</f>
        <v>139.301559</v>
      </c>
      <c r="H1341">
        <v>35.397472</v>
      </c>
      <c r="I1341">
        <v>139.301559</v>
      </c>
    </row>
    <row r="1342" spans="1:9" x14ac:dyDescent="0.4">
      <c r="A1342" t="s">
        <v>9</v>
      </c>
      <c r="B1342" t="s">
        <v>1140</v>
      </c>
      <c r="C1342" t="str">
        <f t="shared" si="78"/>
        <v>東京都葛飾区小菅２丁目</v>
      </c>
      <c r="D1342" s="2" t="str">
        <f t="shared" si="79"/>
        <v>http://geocode.csis.u-tokyo.ac.jp/cgi-bin/simple_geocode.cgi?charset=UTF8&amp;addr=%E6%9D%B1%E4%BA%AC%E9%83%BD%E8%91%9B%E9%A3%BE%E5%8C%BA%E5%B0%8F%E8%8F%85%EF%BC%92%E4%B8%81%E7%9B%AE</v>
      </c>
      <c r="E1342" t="str">
        <f t="shared" si="80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1342" cm="1">
        <f t="array" ref="F1342">INDEX(_xlfn.FILTERXML(E1342,"//latitude"),1)</f>
        <v>35.751778000000002</v>
      </c>
      <c r="G1342" cm="1">
        <f t="array" ref="G1342">INDEX(_xlfn.FILTERXML(E1342,"//longitude"),1)</f>
        <v>139.82429500000001</v>
      </c>
      <c r="H1342" s="3">
        <v>35.751778000000002</v>
      </c>
      <c r="I1342" s="3">
        <v>139.82429500000001</v>
      </c>
    </row>
    <row r="1343" spans="1:9" x14ac:dyDescent="0.4">
      <c r="A1343" t="s">
        <v>9</v>
      </c>
      <c r="B1343" t="s">
        <v>1141</v>
      </c>
      <c r="C1343" t="str">
        <f t="shared" si="78"/>
        <v>東京都練馬区小竹町</v>
      </c>
      <c r="D1343" s="2" t="str">
        <f t="shared" si="79"/>
        <v>http://geocode.csis.u-tokyo.ac.jp/cgi-bin/simple_geocode.cgi?charset=UTF8&amp;addr=%E6%9D%B1%E4%BA%AC%E9%83%BD%E7%B7%B4%E9%A6%AC%E5%8C%BA%E5%B0%8F%E7%AB%B9%E7%94%BA</v>
      </c>
      <c r="E1343" t="str">
        <f t="shared" si="80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1343" cm="1">
        <f t="array" ref="F1343">INDEX(_xlfn.FILTERXML(E1343,"//latitude"),1)</f>
        <v>35.739773</v>
      </c>
      <c r="G1343" cm="1">
        <f t="array" ref="G1343">INDEX(_xlfn.FILTERXML(E1343,"//longitude"),1)</f>
        <v>139.676086</v>
      </c>
      <c r="H1343">
        <v>35.739773</v>
      </c>
      <c r="I1343">
        <v>139.676086</v>
      </c>
    </row>
    <row r="1344" spans="1:9" x14ac:dyDescent="0.4">
      <c r="A1344" t="s">
        <v>10</v>
      </c>
      <c r="B1344" t="s">
        <v>1142</v>
      </c>
      <c r="C1344" t="str">
        <f t="shared" si="78"/>
        <v>神奈川県横浜市旭区二俣川</v>
      </c>
      <c r="D1344" s="2" t="str">
        <f t="shared" si="79"/>
        <v>http://geocode.csis.u-tokyo.ac.jp/cgi-bin/simple_geocode.cgi?charset=UTF8&amp;addr=%E7%A5%9E%E5%A5%88%E5%B7%9D%E7%9C%8C%E6%A8%AA%E6%B5%9C%E5%B8%82%E6%97%AD%E5%8C%BA%E4%BA%8C%E4%BF%A3%E5%B7%9D</v>
      </c>
      <c r="E1344" t="str">
        <f t="shared" si="80"/>
        <v xml:space="preserve">&lt;?xml version="1.0" encoding="UTF-8" ?&gt;
&lt;results&gt;
&lt;query&gt;神奈川県横浜市旭区二俣川&lt;/query&gt;
&lt;geodetic&gt;wgs1984&lt;/geodetic&gt;
&lt;iConf&gt;5&lt;/iConf&gt;
&lt;converted&gt;神奈川県横浜市旭区二俣川&lt;/converted&gt;
&lt;candidate&gt;
&lt;address&gt;神奈川県/横浜市/旭区/二俣川&lt;/address&gt;
&lt;longitude&gt;139.528091&lt;/longitude&gt;
&lt;latitude&gt;35.464924&lt;/latitude&gt;
&lt;iLvl&gt;5&lt;/iLvl&gt;
&lt;/candidate&gt;
&lt;/results&gt;
</v>
      </c>
      <c r="F1344" cm="1">
        <f t="array" ref="F1344">INDEX(_xlfn.FILTERXML(E1344,"//latitude"),1)</f>
        <v>35.464924000000003</v>
      </c>
      <c r="G1344" cm="1">
        <f t="array" ref="G1344">INDEX(_xlfn.FILTERXML(E1344,"//longitude"),1)</f>
        <v>139.52809099999999</v>
      </c>
      <c r="H1344">
        <v>35.464924000000003</v>
      </c>
      <c r="I1344">
        <v>139.52809099999999</v>
      </c>
    </row>
    <row r="1345" spans="1:9" x14ac:dyDescent="0.4">
      <c r="A1345" t="s">
        <v>11</v>
      </c>
      <c r="B1345" t="s">
        <v>1143</v>
      </c>
      <c r="C1345" t="str">
        <f t="shared" si="78"/>
        <v>大阪府東大阪市東鴻池町1丁目</v>
      </c>
      <c r="D1345" s="2" t="str">
        <f t="shared" si="79"/>
        <v>http://geocode.csis.u-tokyo.ac.jp/cgi-bin/simple_geocode.cgi?charset=UTF8&amp;addr=%E5%A4%A7%E9%98%AA%E5%BA%9C%E6%9D%B1%E5%A4%A7%E9%98%AA%E5%B8%82%E6%9D%B1%E9%B4%BB%E6%B1%A0%E7%94%BA1%E4%B8%81%E7%9B%AE</v>
      </c>
      <c r="E1345" t="str">
        <f t="shared" si="80"/>
        <v xml:space="preserve">&lt;?xml version="1.0" encoding="UTF-8" ?&gt;
&lt;results&gt;
&lt;query&gt;大阪府東大阪市東鴻池町1丁目&lt;/query&gt;
&lt;geodetic&gt;wgs1984&lt;/geodetic&gt;
&lt;iConf&gt;5&lt;/iConf&gt;
&lt;converted&gt;大阪府東大阪市東鴻池町1丁目&lt;/converted&gt;
&lt;candidate&gt;
&lt;address&gt;大阪府/東大阪市/東鴻池町/一丁目&lt;/address&gt;
&lt;longitude&gt;135.615585&lt;/longitude&gt;
&lt;latitude&gt;34.695919&lt;/latitude&gt;
&lt;iLvl&gt;6&lt;/iLvl&gt;
&lt;/candidate&gt;
&lt;/results&gt;
</v>
      </c>
      <c r="F1345" cm="1">
        <f t="array" ref="F1345">INDEX(_xlfn.FILTERXML(E1345,"//latitude"),1)</f>
        <v>34.695919000000004</v>
      </c>
      <c r="G1345" cm="1">
        <f t="array" ref="G1345">INDEX(_xlfn.FILTERXML(E1345,"//longitude"),1)</f>
        <v>135.61558500000001</v>
      </c>
      <c r="H1345">
        <v>34.695919000000004</v>
      </c>
      <c r="I1345">
        <v>135.61558500000001</v>
      </c>
    </row>
    <row r="1346" spans="1:9" x14ac:dyDescent="0.4">
      <c r="A1346" t="s">
        <v>9</v>
      </c>
      <c r="B1346" t="s">
        <v>547</v>
      </c>
      <c r="C1346" t="str">
        <f t="shared" si="78"/>
        <v>東京都港区虎ノ門</v>
      </c>
      <c r="D1346" s="2" t="str">
        <f t="shared" si="79"/>
        <v>http://geocode.csis.u-tokyo.ac.jp/cgi-bin/simple_geocode.cgi?charset=UTF8&amp;addr=%E6%9D%B1%E4%BA%AC%E9%83%BD%E6%B8%AF%E5%8C%BA%E8%99%8E%E3%83%8E%E9%96%80</v>
      </c>
      <c r="E1346" t="str">
        <f t="shared" si="80"/>
        <v xml:space="preserve">&lt;?xml version="1.0" encoding="UTF-8" ?&gt;
&lt;results&gt;
&lt;query&gt;東京都港区虎ノ門&lt;/query&gt;
&lt;geodetic&gt;wgs1984&lt;/geodetic&gt;
&lt;iConf&gt;5&lt;/iConf&gt;
&lt;converted&gt;東京都港区虎ノ門&lt;/converted&gt;
&lt;candidate&gt;
&lt;address&gt;東京都/港区/虎ノ門&lt;/address&gt;
&lt;longitude&gt;139.749512&lt;/longitude&gt;
&lt;latitude&gt;35.668579&lt;/latitude&gt;
&lt;iLvl&gt;5&lt;/iLvl&gt;
&lt;/candidate&gt;
&lt;/results&gt;
</v>
      </c>
      <c r="F1346" cm="1">
        <f t="array" ref="F1346">INDEX(_xlfn.FILTERXML(E1346,"//latitude"),1)</f>
        <v>35.668579000000001</v>
      </c>
      <c r="G1346" cm="1">
        <f t="array" ref="G1346">INDEX(_xlfn.FILTERXML(E1346,"//longitude"),1)</f>
        <v>139.74951200000001</v>
      </c>
      <c r="H1346">
        <v>35.668579000000001</v>
      </c>
      <c r="I1346">
        <v>139.74951200000001</v>
      </c>
    </row>
    <row r="1347" spans="1:9" x14ac:dyDescent="0.4">
      <c r="A1347" t="s">
        <v>10</v>
      </c>
      <c r="B1347" t="s">
        <v>116</v>
      </c>
      <c r="C1347" t="str">
        <f t="shared" si="78"/>
        <v>神奈川県川崎市麻生区王禅寺西</v>
      </c>
      <c r="D1347" s="2" t="str">
        <f t="shared" si="79"/>
        <v>http://geocode.csis.u-tokyo.ac.jp/cgi-bin/simple_geocode.cgi?charset=UTF8&amp;addr=%E7%A5%9E%E5%A5%88%E5%B7%9D%E7%9C%8C%E5%B7%9D%E5%B4%8E%E5%B8%82%E9%BA%BB%E7%94%9F%E5%8C%BA%E7%8E%8B%E7%A6%85%E5%AF%BA%E8%A5%BF</v>
      </c>
      <c r="E1347" t="str">
        <f t="shared" si="80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1347" cm="1">
        <f t="array" ref="F1347">INDEX(_xlfn.FILTERXML(E1347,"//latitude"),1)</f>
        <v>35.599411000000003</v>
      </c>
      <c r="G1347" cm="1">
        <f t="array" ref="G1347">INDEX(_xlfn.FILTERXML(E1347,"//longitude"),1)</f>
        <v>139.51391599999999</v>
      </c>
      <c r="H1347">
        <v>35.599411000000003</v>
      </c>
      <c r="I1347">
        <v>139.51391599999999</v>
      </c>
    </row>
    <row r="1348" spans="1:9" x14ac:dyDescent="0.4">
      <c r="A1348" t="s">
        <v>19</v>
      </c>
      <c r="B1348" t="s">
        <v>245</v>
      </c>
      <c r="C1348" t="str">
        <f t="shared" si="78"/>
        <v>滋賀県長浜市三ツ矢元町</v>
      </c>
      <c r="D1348" s="2" t="str">
        <f t="shared" si="79"/>
        <v>http://geocode.csis.u-tokyo.ac.jp/cgi-bin/simple_geocode.cgi?charset=UTF8&amp;addr=%E6%BB%8B%E8%B3%80%E7%9C%8C%E9%95%B7%E6%B5%9C%E5%B8%82%E4%B8%89%E3%83%84%E7%9F%A2%E5%85%83%E7%94%BA</v>
      </c>
      <c r="E1348" t="str">
        <f t="shared" si="80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1348" cm="1">
        <f t="array" ref="F1348">INDEX(_xlfn.FILTERXML(E1348,"//latitude"),1)</f>
        <v>35.386459000000002</v>
      </c>
      <c r="G1348" cm="1">
        <f t="array" ref="G1348">INDEX(_xlfn.FILTERXML(E1348,"//longitude"),1)</f>
        <v>136.265488</v>
      </c>
      <c r="H1348">
        <v>35.386459000000002</v>
      </c>
      <c r="I1348">
        <v>136.265488</v>
      </c>
    </row>
    <row r="1349" spans="1:9" x14ac:dyDescent="0.4">
      <c r="A1349" t="s">
        <v>10</v>
      </c>
      <c r="B1349" t="s">
        <v>136</v>
      </c>
      <c r="C1349" t="str">
        <f t="shared" si="78"/>
        <v>神奈川県横浜市港北区綱島東</v>
      </c>
      <c r="D1349" s="2" t="str">
        <f t="shared" si="79"/>
        <v>http://geocode.csis.u-tokyo.ac.jp/cgi-bin/simple_geocode.cgi?charset=UTF8&amp;addr=%E7%A5%9E%E5%A5%88%E5%B7%9D%E7%9C%8C%E6%A8%AA%E6%B5%9C%E5%B8%82%E6%B8%AF%E5%8C%97%E5%8C%BA%E7%B6%B1%E5%B3%B6%E6%9D%B1</v>
      </c>
      <c r="E1349" t="str">
        <f t="shared" si="80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1349" cm="1">
        <f t="array" ref="F1349">INDEX(_xlfn.FILTERXML(E1349,"//latitude"),1)</f>
        <v>35.535587</v>
      </c>
      <c r="G1349" cm="1">
        <f t="array" ref="G1349">INDEX(_xlfn.FILTERXML(E1349,"//longitude"),1)</f>
        <v>139.63743600000001</v>
      </c>
      <c r="H1349">
        <v>35.535587</v>
      </c>
      <c r="I1349">
        <v>139.63743600000001</v>
      </c>
    </row>
    <row r="1350" spans="1:9" x14ac:dyDescent="0.4">
      <c r="A1350" t="s">
        <v>13</v>
      </c>
      <c r="B1350" t="s">
        <v>1144</v>
      </c>
      <c r="C1350" t="str">
        <f t="shared" si="78"/>
        <v>埼玉県川越市大塚新町</v>
      </c>
      <c r="D1350" s="2" t="str">
        <f t="shared" si="79"/>
        <v>http://geocode.csis.u-tokyo.ac.jp/cgi-bin/simple_geocode.cgi?charset=UTF8&amp;addr=%E5%9F%BC%E7%8E%89%E7%9C%8C%E5%B7%9D%E8%B6%8A%E5%B8%82%E5%A4%A7%E5%A1%9A%E6%96%B0%E7%94%BA</v>
      </c>
      <c r="E1350" t="str">
        <f t="shared" si="80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1350" cm="1">
        <f t="array" ref="F1350">INDEX(_xlfn.FILTERXML(E1350,"//latitude"),1)</f>
        <v>35.895339999999997</v>
      </c>
      <c r="G1350" cm="1">
        <f t="array" ref="G1350">INDEX(_xlfn.FILTERXML(E1350,"//longitude"),1)</f>
        <v>139.463348</v>
      </c>
      <c r="H1350">
        <v>35.895339999999997</v>
      </c>
      <c r="I1350">
        <v>139.463348</v>
      </c>
    </row>
    <row r="1351" spans="1:9" x14ac:dyDescent="0.4">
      <c r="A1351" t="s">
        <v>10</v>
      </c>
      <c r="B1351" t="s">
        <v>1145</v>
      </c>
      <c r="C1351" t="str">
        <f t="shared" si="78"/>
        <v>神奈川県川崎市宮前区馬絹</v>
      </c>
      <c r="D1351" s="2" t="str">
        <f t="shared" si="79"/>
        <v>http://geocode.csis.u-tokyo.ac.jp/cgi-bin/simple_geocode.cgi?charset=UTF8&amp;addr=%E7%A5%9E%E5%A5%88%E5%B7%9D%E7%9C%8C%E5%B7%9D%E5%B4%8E%E5%B8%82%E5%AE%AE%E5%89%8D%E5%8C%BA%E9%A6%AC%E7%B5%B9</v>
      </c>
      <c r="E1351" t="str">
        <f t="shared" si="80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1351" cm="1">
        <f t="array" ref="F1351">INDEX(_xlfn.FILTERXML(E1351,"//latitude"),1)</f>
        <v>35.581547</v>
      </c>
      <c r="G1351" cm="1">
        <f t="array" ref="G1351">INDEX(_xlfn.FILTERXML(E1351,"//longitude"),1)</f>
        <v>139.58741800000001</v>
      </c>
      <c r="H1351">
        <v>35.581547</v>
      </c>
      <c r="I1351">
        <v>139.58741800000001</v>
      </c>
    </row>
    <row r="1352" spans="1:9" x14ac:dyDescent="0.4">
      <c r="A1352" t="s">
        <v>22</v>
      </c>
      <c r="B1352" t="s">
        <v>1146</v>
      </c>
      <c r="C1352" t="str">
        <f t="shared" si="78"/>
        <v>群馬県前橋市</v>
      </c>
      <c r="D1352" s="2" t="str">
        <f t="shared" si="79"/>
        <v>http://geocode.csis.u-tokyo.ac.jp/cgi-bin/simple_geocode.cgi?charset=UTF8&amp;addr=%E7%BE%A4%E9%A6%AC%E7%9C%8C%E5%89%8D%E6%A9%8B%E5%B8%82</v>
      </c>
      <c r="E1352" t="str">
        <f t="shared" si="80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1352" cm="1">
        <f t="array" ref="F1352">INDEX(_xlfn.FILTERXML(E1352,"//latitude"),1)</f>
        <v>36.389412</v>
      </c>
      <c r="G1352" cm="1">
        <f t="array" ref="G1352">INDEX(_xlfn.FILTERXML(E1352,"//longitude"),1)</f>
        <v>139.063492</v>
      </c>
      <c r="H1352">
        <v>36.389412</v>
      </c>
      <c r="I1352">
        <v>139.063492</v>
      </c>
    </row>
    <row r="1353" spans="1:9" x14ac:dyDescent="0.4">
      <c r="A1353" t="s">
        <v>204</v>
      </c>
      <c r="B1353" t="s">
        <v>240</v>
      </c>
      <c r="C1353" t="str">
        <f t="shared" si="78"/>
        <v>青森県十和田市</v>
      </c>
      <c r="D1353" s="2" t="str">
        <f t="shared" si="79"/>
        <v>http://geocode.csis.u-tokyo.ac.jp/cgi-bin/simple_geocode.cgi?charset=UTF8&amp;addr=%E9%9D%92%E6%A3%AE%E7%9C%8C%E5%8D%81%E5%92%8C%E7%94%B0%E5%B8%82</v>
      </c>
      <c r="E1353" t="str">
        <f t="shared" si="80"/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1353" cm="1">
        <f t="array" ref="F1353">INDEX(_xlfn.FILTERXML(E1353,"//latitude"),1)</f>
        <v>40.612701000000001</v>
      </c>
      <c r="G1353" cm="1">
        <f t="array" ref="G1353">INDEX(_xlfn.FILTERXML(E1353,"//longitude"),1)</f>
        <v>141.205917</v>
      </c>
      <c r="H1353">
        <v>40.612701000000001</v>
      </c>
      <c r="I1353">
        <v>141.205917</v>
      </c>
    </row>
    <row r="1354" spans="1:9" x14ac:dyDescent="0.4">
      <c r="A1354" t="s">
        <v>18</v>
      </c>
      <c r="B1354" t="s">
        <v>145</v>
      </c>
      <c r="C1354" t="str">
        <f t="shared" si="78"/>
        <v>千葉県船橋市</v>
      </c>
      <c r="D1354" s="2" t="str">
        <f t="shared" si="79"/>
        <v>http://geocode.csis.u-tokyo.ac.jp/cgi-bin/simple_geocode.cgi?charset=UTF8&amp;addr=%E5%8D%83%E8%91%89%E7%9C%8C%E8%88%B9%E6%A9%8B%E5%B8%82</v>
      </c>
      <c r="E1354" t="str">
        <f t="shared" si="80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1354" cm="1">
        <f t="array" ref="F1354">INDEX(_xlfn.FILTERXML(E1354,"//latitude"),1)</f>
        <v>35.694710000000001</v>
      </c>
      <c r="G1354" cm="1">
        <f t="array" ref="G1354">INDEX(_xlfn.FILTERXML(E1354,"//longitude"),1)</f>
        <v>139.98262</v>
      </c>
      <c r="H1354" s="3">
        <v>35.694710000000001</v>
      </c>
      <c r="I1354" s="3">
        <v>139.98262</v>
      </c>
    </row>
    <row r="1355" spans="1:9" x14ac:dyDescent="0.4">
      <c r="A1355" t="s">
        <v>9</v>
      </c>
      <c r="B1355" t="s">
        <v>805</v>
      </c>
      <c r="C1355" t="str">
        <f t="shared" si="78"/>
        <v>東京都足立区加平</v>
      </c>
      <c r="D1355" s="2" t="str">
        <f t="shared" si="79"/>
        <v>http://geocode.csis.u-tokyo.ac.jp/cgi-bin/simple_geocode.cgi?charset=UTF8&amp;addr=%E6%9D%B1%E4%BA%AC%E9%83%BD%E8%B6%B3%E7%AB%8B%E5%8C%BA%E5%8A%A0%E5%B9%B3</v>
      </c>
      <c r="E1355" t="str">
        <f t="shared" si="80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1355" cm="1">
        <f t="array" ref="F1355">INDEX(_xlfn.FILTERXML(E1355,"//latitude"),1)</f>
        <v>35.775902000000002</v>
      </c>
      <c r="G1355" cm="1">
        <f t="array" ref="G1355">INDEX(_xlfn.FILTERXML(E1355,"//longitude"),1)</f>
        <v>139.82685900000001</v>
      </c>
      <c r="H1355">
        <v>35.775902000000002</v>
      </c>
      <c r="I1355">
        <v>139.82685900000001</v>
      </c>
    </row>
    <row r="1356" spans="1:9" x14ac:dyDescent="0.4">
      <c r="A1356" t="s">
        <v>28</v>
      </c>
      <c r="B1356" t="s">
        <v>172</v>
      </c>
      <c r="C1356" t="str">
        <f t="shared" si="78"/>
        <v>沖縄県那覇市</v>
      </c>
      <c r="D1356" s="2" t="str">
        <f t="shared" si="79"/>
        <v>http://geocode.csis.u-tokyo.ac.jp/cgi-bin/simple_geocode.cgi?charset=UTF8&amp;addr=%E6%B2%96%E7%B8%84%E7%9C%8C%E9%82%A3%E8%A6%87%E5%B8%82</v>
      </c>
      <c r="E1356" t="str">
        <f t="shared" si="80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1356" cm="1">
        <f t="array" ref="F1356">INDEX(_xlfn.FILTERXML(E1356,"//latitude"),1)</f>
        <v>26.212295999999998</v>
      </c>
      <c r="G1356" cm="1">
        <f t="array" ref="G1356">INDEX(_xlfn.FILTERXML(E1356,"//longitude"),1)</f>
        <v>127.679214</v>
      </c>
      <c r="H1356">
        <v>26.212295999999998</v>
      </c>
      <c r="I1356">
        <v>127.679214</v>
      </c>
    </row>
    <row r="1357" spans="1:9" x14ac:dyDescent="0.4">
      <c r="A1357" t="s">
        <v>15</v>
      </c>
      <c r="B1357" t="s">
        <v>683</v>
      </c>
      <c r="C1357" t="str">
        <f t="shared" si="78"/>
        <v>兵庫県尼崎市南武庫之荘5丁目</v>
      </c>
      <c r="D1357" s="2" t="str">
        <f t="shared" si="79"/>
        <v>http://geocode.csis.u-tokyo.ac.jp/cgi-bin/simple_geocode.cgi?charset=UTF8&amp;addr=%E5%85%B5%E5%BA%AB%E7%9C%8C%E5%B0%BC%E5%B4%8E%E5%B8%82%E5%8D%97%E6%AD%A6%E5%BA%AB%E4%B9%8B%E8%8D%985%E4%B8%81%E7%9B%AE</v>
      </c>
      <c r="E1357" t="str">
        <f t="shared" si="80"/>
        <v xml:space="preserve">&lt;?xml version="1.0" encoding="UTF-8" ?&gt;
&lt;results&gt;
&lt;query&gt;兵庫県尼崎市南武庫之荘5丁目&lt;/query&gt;
&lt;geodetic&gt;wgs1984&lt;/geodetic&gt;
&lt;iConf&gt;5&lt;/iConf&gt;
&lt;converted&gt;兵庫県尼崎市南武庫之荘5丁目&lt;/converted&gt;
&lt;candidate&gt;
&lt;address&gt;兵庫県/尼崎市/南武庫之荘/五丁目&lt;/address&gt;
&lt;longitude&gt;135.388184&lt;/longitude&gt;
&lt;latitude&gt;34.749092&lt;/latitude&gt;
&lt;iLvl&gt;6&lt;/iLvl&gt;
&lt;/candidate&gt;
&lt;/results&gt;
</v>
      </c>
      <c r="F1357" cm="1">
        <f t="array" ref="F1357">INDEX(_xlfn.FILTERXML(E1357,"//latitude"),1)</f>
        <v>34.749091999999997</v>
      </c>
      <c r="G1357" cm="1">
        <f t="array" ref="G1357">INDEX(_xlfn.FILTERXML(E1357,"//longitude"),1)</f>
        <v>135.388184</v>
      </c>
      <c r="H1357">
        <v>34.749091999999997</v>
      </c>
      <c r="I1357">
        <v>135.388184</v>
      </c>
    </row>
    <row r="1358" spans="1:9" x14ac:dyDescent="0.4">
      <c r="A1358" t="s">
        <v>13</v>
      </c>
      <c r="B1358" t="s">
        <v>559</v>
      </c>
      <c r="C1358" t="str">
        <f t="shared" si="78"/>
        <v>埼玉県桶川市川田谷</v>
      </c>
      <c r="D1358" s="2" t="str">
        <f t="shared" si="79"/>
        <v>http://geocode.csis.u-tokyo.ac.jp/cgi-bin/simple_geocode.cgi?charset=UTF8&amp;addr=%E5%9F%BC%E7%8E%89%E7%9C%8C%E6%A1%B6%E5%B7%9D%E5%B8%82%E5%B7%9D%E7%94%B0%E8%B0%B7</v>
      </c>
      <c r="E1358" t="str">
        <f t="shared" si="80"/>
        <v xml:space="preserve">&lt;?xml version="1.0" encoding="UTF-8" ?&gt;
&lt;results&gt;
&lt;query&gt;埼玉県桶川市川田谷&lt;/query&gt;
&lt;geodetic&gt;wgs1984&lt;/geodetic&gt;
&lt;iConf&gt;5&lt;/iConf&gt;
&lt;converted&gt;埼玉県桶川市川田谷&lt;/converted&gt;
&lt;candidate&gt;
&lt;address&gt;埼玉県/桶川市/川田谷&lt;/address&gt;
&lt;longitude&gt;139.525803&lt;/longitude&gt;
&lt;latitude&gt;35.986980&lt;/latitude&gt;
&lt;iLvl&gt;5&lt;/iLvl&gt;
&lt;/candidate&gt;
&lt;/results&gt;
</v>
      </c>
      <c r="F1358" cm="1">
        <f t="array" ref="F1358">INDEX(_xlfn.FILTERXML(E1358,"//latitude"),1)</f>
        <v>35.986980000000003</v>
      </c>
      <c r="G1358" cm="1">
        <f t="array" ref="G1358">INDEX(_xlfn.FILTERXML(E1358,"//longitude"),1)</f>
        <v>139.525803</v>
      </c>
      <c r="H1358">
        <v>35.986980000000003</v>
      </c>
      <c r="I1358">
        <v>139.525803</v>
      </c>
    </row>
    <row r="1359" spans="1:9" x14ac:dyDescent="0.4">
      <c r="A1359" t="s">
        <v>11</v>
      </c>
      <c r="B1359" t="s">
        <v>1147</v>
      </c>
      <c r="C1359" t="str">
        <f t="shared" ref="C1359:C1422" si="81">+A1359&amp;B1359</f>
        <v>大阪府東大阪市豊浦町</v>
      </c>
      <c r="D1359" s="2" t="str">
        <f t="shared" ref="D1359:D1422" si="82" xml:space="preserve"> "http://geocode.csis.u-tokyo.ac.jp/cgi-bin/simple_geocode.cgi?charset=UTF8&amp;addr=" &amp; _xlfn.ENCODEURL(C1359)</f>
        <v>http://geocode.csis.u-tokyo.ac.jp/cgi-bin/simple_geocode.cgi?charset=UTF8&amp;addr=%E5%A4%A7%E9%98%AA%E5%BA%9C%E6%9D%B1%E5%A4%A7%E9%98%AA%E5%B8%82%E8%B1%8A%E6%B5%A6%E7%94%BA</v>
      </c>
      <c r="E1359" t="str">
        <f t="shared" ref="E1359:E1422" si="83" xml:space="preserve"> _xlfn.WEBSERVICE(D1359)</f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1359" cm="1">
        <f t="array" ref="F1359">INDEX(_xlfn.FILTERXML(E1359,"//latitude"),1)</f>
        <v>34.672043000000002</v>
      </c>
      <c r="G1359" cm="1">
        <f t="array" ref="G1359">INDEX(_xlfn.FILTERXML(E1359,"//longitude"),1)</f>
        <v>135.64729299999999</v>
      </c>
      <c r="H1359">
        <v>34.672043000000002</v>
      </c>
      <c r="I1359">
        <v>135.64729299999999</v>
      </c>
    </row>
    <row r="1360" spans="1:9" x14ac:dyDescent="0.4">
      <c r="A1360" t="s">
        <v>19</v>
      </c>
      <c r="B1360" t="s">
        <v>1148</v>
      </c>
      <c r="C1360" t="str">
        <f t="shared" si="81"/>
        <v>滋賀県栗東市</v>
      </c>
      <c r="D1360" s="2" t="str">
        <f t="shared" si="82"/>
        <v>http://geocode.csis.u-tokyo.ac.jp/cgi-bin/simple_geocode.cgi?charset=UTF8&amp;addr=%E6%BB%8B%E8%B3%80%E7%9C%8C%E6%A0%97%E6%9D%B1%E5%B8%82</v>
      </c>
      <c r="E1360" t="str">
        <f t="shared" si="83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1360" cm="1">
        <f t="array" ref="F1360">INDEX(_xlfn.FILTERXML(E1360,"//latitude"),1)</f>
        <v>35.021614</v>
      </c>
      <c r="G1360" cm="1">
        <f t="array" ref="G1360">INDEX(_xlfn.FILTERXML(E1360,"//longitude"),1)</f>
        <v>135.997986</v>
      </c>
      <c r="H1360">
        <v>35.021614</v>
      </c>
      <c r="I1360">
        <v>135.997986</v>
      </c>
    </row>
    <row r="1361" spans="1:9" x14ac:dyDescent="0.4">
      <c r="A1361" t="s">
        <v>9</v>
      </c>
      <c r="B1361" t="s">
        <v>1149</v>
      </c>
      <c r="C1361" t="str">
        <f t="shared" si="81"/>
        <v>東京都練馬区大泉町</v>
      </c>
      <c r="D1361" s="2" t="str">
        <f t="shared" si="82"/>
        <v>http://geocode.csis.u-tokyo.ac.jp/cgi-bin/simple_geocode.cgi?charset=UTF8&amp;addr=%E6%9D%B1%E4%BA%AC%E9%83%BD%E7%B7%B4%E9%A6%AC%E5%8C%BA%E5%A4%A7%E6%B3%89%E7%94%BA</v>
      </c>
      <c r="E1361" t="str">
        <f t="shared" si="83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1361" cm="1">
        <f t="array" ref="F1361">INDEX(_xlfn.FILTERXML(E1361,"//latitude"),1)</f>
        <v>35.767344999999999</v>
      </c>
      <c r="G1361" cm="1">
        <f t="array" ref="G1361">INDEX(_xlfn.FILTERXML(E1361,"//longitude"),1)</f>
        <v>139.60675000000001</v>
      </c>
      <c r="H1361">
        <v>35.767344999999999</v>
      </c>
      <c r="I1361">
        <v>139.60675000000001</v>
      </c>
    </row>
    <row r="1362" spans="1:9" x14ac:dyDescent="0.4">
      <c r="A1362" t="s">
        <v>12</v>
      </c>
      <c r="B1362" t="s">
        <v>1150</v>
      </c>
      <c r="C1362" t="str">
        <f t="shared" si="81"/>
        <v>奈良県広陵町馬見北</v>
      </c>
      <c r="D1362" s="2" t="str">
        <f t="shared" si="82"/>
        <v>http://geocode.csis.u-tokyo.ac.jp/cgi-bin/simple_geocode.cgi?charset=UTF8&amp;addr=%E5%A5%88%E8%89%AF%E7%9C%8C%E5%BA%83%E9%99%B5%E7%94%BA%E9%A6%AC%E8%A6%8B%E5%8C%97</v>
      </c>
      <c r="E1362" t="str">
        <f t="shared" si="83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1362" cm="1">
        <f t="array" ref="F1362">INDEX(_xlfn.FILTERXML(E1362,"//latitude"),1)</f>
        <v>34.553246000000001</v>
      </c>
      <c r="G1362" cm="1">
        <f t="array" ref="G1362">INDEX(_xlfn.FILTERXML(E1362,"//longitude"),1)</f>
        <v>135.73344399999999</v>
      </c>
      <c r="H1362">
        <v>34.553246000000001</v>
      </c>
      <c r="I1362">
        <v>135.73344399999999</v>
      </c>
    </row>
    <row r="1363" spans="1:9" x14ac:dyDescent="0.4">
      <c r="A1363" t="s">
        <v>9</v>
      </c>
      <c r="B1363" t="s">
        <v>1151</v>
      </c>
      <c r="C1363" t="str">
        <f t="shared" si="81"/>
        <v>東京都墨田区京島</v>
      </c>
      <c r="D1363" s="2" t="str">
        <f t="shared" si="82"/>
        <v>http://geocode.csis.u-tokyo.ac.jp/cgi-bin/simple_geocode.cgi?charset=UTF8&amp;addr=%E6%9D%B1%E4%BA%AC%E9%83%BD%E5%A2%A8%E7%94%B0%E5%8C%BA%E4%BA%AC%E5%B3%B6</v>
      </c>
      <c r="E1363" t="str">
        <f t="shared" si="83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1363" cm="1">
        <f t="array" ref="F1363">INDEX(_xlfn.FILTERXML(E1363,"//latitude"),1)</f>
        <v>35.717055999999999</v>
      </c>
      <c r="G1363" cm="1">
        <f t="array" ref="G1363">INDEX(_xlfn.FILTERXML(E1363,"//longitude"),1)</f>
        <v>139.81958</v>
      </c>
      <c r="H1363">
        <v>35.717055999999999</v>
      </c>
      <c r="I1363">
        <v>139.81958</v>
      </c>
    </row>
    <row r="1364" spans="1:9" x14ac:dyDescent="0.4">
      <c r="A1364" t="s">
        <v>9</v>
      </c>
      <c r="B1364" t="s">
        <v>30</v>
      </c>
      <c r="C1364" t="str">
        <f t="shared" si="81"/>
        <v>東京都中野区</v>
      </c>
      <c r="D1364" s="2" t="str">
        <f t="shared" si="82"/>
        <v>http://geocode.csis.u-tokyo.ac.jp/cgi-bin/simple_geocode.cgi?charset=UTF8&amp;addr=%E6%9D%B1%E4%BA%AC%E9%83%BD%E4%B8%AD%E9%87%8E%E5%8C%BA</v>
      </c>
      <c r="E1364" t="str">
        <f t="shared" si="83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364" cm="1">
        <f t="array" ref="F1364">INDEX(_xlfn.FILTERXML(E1364,"//latitude"),1)</f>
        <v>35.707267999999999</v>
      </c>
      <c r="G1364" cm="1">
        <f t="array" ref="G1364">INDEX(_xlfn.FILTERXML(E1364,"//longitude"),1)</f>
        <v>139.66374200000001</v>
      </c>
      <c r="H1364">
        <v>35.707267999999999</v>
      </c>
      <c r="I1364">
        <v>139.66374200000001</v>
      </c>
    </row>
    <row r="1365" spans="1:9" x14ac:dyDescent="0.4">
      <c r="A1365" t="s">
        <v>13</v>
      </c>
      <c r="B1365" t="s">
        <v>1152</v>
      </c>
      <c r="C1365" t="str">
        <f t="shared" si="81"/>
        <v>埼玉県川口市栄町</v>
      </c>
      <c r="D1365" s="2" t="str">
        <f t="shared" si="82"/>
        <v>http://geocode.csis.u-tokyo.ac.jp/cgi-bin/simple_geocode.cgi?charset=UTF8&amp;addr=%E5%9F%BC%E7%8E%89%E7%9C%8C%E5%B7%9D%E5%8F%A3%E5%B8%82%E6%A0%84%E7%94%BA</v>
      </c>
      <c r="E1365" t="str">
        <f t="shared" si="83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1365" cm="1">
        <f t="array" ref="F1365">INDEX(_xlfn.FILTERXML(E1365,"//latitude"),1)</f>
        <v>35.803485999999999</v>
      </c>
      <c r="G1365" cm="1">
        <f t="array" ref="G1365">INDEX(_xlfn.FILTERXML(E1365,"//longitude"),1)</f>
        <v>139.72770700000001</v>
      </c>
      <c r="H1365">
        <v>35.803485999999999</v>
      </c>
      <c r="I1365">
        <v>139.72770700000001</v>
      </c>
    </row>
    <row r="1366" spans="1:9" x14ac:dyDescent="0.4">
      <c r="A1366" t="s">
        <v>16</v>
      </c>
      <c r="B1366" t="s">
        <v>266</v>
      </c>
      <c r="C1366" t="str">
        <f t="shared" si="81"/>
        <v>長野県松本市渚</v>
      </c>
      <c r="D1366" s="2" t="str">
        <f t="shared" si="82"/>
        <v>http://geocode.csis.u-tokyo.ac.jp/cgi-bin/simple_geocode.cgi?charset=UTF8&amp;addr=%E9%95%B7%E9%87%8E%E7%9C%8C%E6%9D%BE%E6%9C%AC%E5%B8%82%E6%B8%9A</v>
      </c>
      <c r="E1366" t="str">
        <f t="shared" si="83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1366" cm="1">
        <f t="array" ref="F1366">INDEX(_xlfn.FILTERXML(E1366,"//latitude"),1)</f>
        <v>36.234549999999999</v>
      </c>
      <c r="G1366" cm="1">
        <f t="array" ref="G1366">INDEX(_xlfn.FILTERXML(E1366,"//longitude"),1)</f>
        <v>137.95657299999999</v>
      </c>
      <c r="H1366">
        <v>36.234549999999999</v>
      </c>
      <c r="I1366">
        <v>137.95657299999999</v>
      </c>
    </row>
    <row r="1367" spans="1:9" x14ac:dyDescent="0.4">
      <c r="A1367" t="s">
        <v>18</v>
      </c>
      <c r="B1367" t="s">
        <v>73</v>
      </c>
      <c r="C1367" t="str">
        <f t="shared" si="81"/>
        <v>千葉県柏市</v>
      </c>
      <c r="D1367" s="2" t="str">
        <f t="shared" si="82"/>
        <v>http://geocode.csis.u-tokyo.ac.jp/cgi-bin/simple_geocode.cgi?charset=UTF8&amp;addr=%E5%8D%83%E8%91%89%E7%9C%8C%E6%9F%8F%E5%B8%82</v>
      </c>
      <c r="E1367" t="str">
        <f t="shared" si="83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367" cm="1">
        <f t="array" ref="F1367">INDEX(_xlfn.FILTERXML(E1367,"//latitude"),1)</f>
        <v>35.868293999999999</v>
      </c>
      <c r="G1367" cm="1">
        <f t="array" ref="G1367">INDEX(_xlfn.FILTERXML(E1367,"//longitude"),1)</f>
        <v>139.97619599999999</v>
      </c>
      <c r="H1367">
        <v>35.868293999999999</v>
      </c>
      <c r="I1367">
        <v>139.97619599999999</v>
      </c>
    </row>
    <row r="1368" spans="1:9" x14ac:dyDescent="0.4">
      <c r="A1368" t="s">
        <v>51</v>
      </c>
      <c r="B1368" t="s">
        <v>1153</v>
      </c>
      <c r="C1368" t="str">
        <f t="shared" si="81"/>
        <v>福井県吉田郡永平寺町中島</v>
      </c>
      <c r="D1368" s="2" t="str">
        <f t="shared" si="82"/>
        <v>http://geocode.csis.u-tokyo.ac.jp/cgi-bin/simple_geocode.cgi?charset=UTF8&amp;addr=%E7%A6%8F%E4%BA%95%E7%9C%8C%E5%90%89%E7%94%B0%E9%83%A1%E6%B0%B8%E5%B9%B3%E5%AF%BA%E7%94%BA%E4%B8%AD%E5%B3%B6</v>
      </c>
      <c r="E1368" t="str">
        <f t="shared" si="83"/>
        <v xml:space="preserve">&lt;?xml version="1.0" encoding="UTF-8" ?&gt;
&lt;results&gt;
&lt;query&gt;福井県吉田郡永平寺町中島&lt;/query&gt;
&lt;geodetic&gt;wgs1984&lt;/geodetic&gt;
&lt;iConf&gt;5&lt;/iConf&gt;
&lt;converted&gt;福井県吉田郡永平寺町中島&lt;/converted&gt;
&lt;candidate&gt;
&lt;address&gt;福井県/吉田郡/永平寺町/中島&lt;/address&gt;
&lt;longitude&gt;136.410995&lt;/longitude&gt;
&lt;latitude&gt;36.075699&lt;/latitude&gt;
&lt;iLvl&gt;5&lt;/iLvl&gt;
&lt;/candidate&gt;
&lt;/results&gt;
</v>
      </c>
      <c r="F1368" cm="1">
        <f t="array" ref="F1368">INDEX(_xlfn.FILTERXML(E1368,"//latitude"),1)</f>
        <v>36.075699</v>
      </c>
      <c r="G1368" cm="1">
        <f t="array" ref="G1368">INDEX(_xlfn.FILTERXML(E1368,"//longitude"),1)</f>
        <v>136.41099500000001</v>
      </c>
      <c r="H1368">
        <v>36.075699</v>
      </c>
      <c r="I1368">
        <v>136.41099500000001</v>
      </c>
    </row>
    <row r="1369" spans="1:9" x14ac:dyDescent="0.4">
      <c r="A1369" t="s">
        <v>9</v>
      </c>
      <c r="B1369" t="s">
        <v>561</v>
      </c>
      <c r="C1369" t="str">
        <f t="shared" si="81"/>
        <v>東京都大田区南馬込</v>
      </c>
      <c r="D1369" s="2" t="str">
        <f t="shared" si="82"/>
        <v>http://geocode.csis.u-tokyo.ac.jp/cgi-bin/simple_geocode.cgi?charset=UTF8&amp;addr=%E6%9D%B1%E4%BA%AC%E9%83%BD%E5%A4%A7%E7%94%B0%E5%8C%BA%E5%8D%97%E9%A6%AC%E8%BE%BC</v>
      </c>
      <c r="E1369" t="str">
        <f t="shared" si="83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1369" cm="1">
        <f t="array" ref="F1369">INDEX(_xlfn.FILTERXML(E1369,"//latitude"),1)</f>
        <v>35.591808</v>
      </c>
      <c r="G1369" cm="1">
        <f t="array" ref="G1369">INDEX(_xlfn.FILTERXML(E1369,"//longitude"),1)</f>
        <v>139.71386699999999</v>
      </c>
      <c r="H1369">
        <v>35.591808</v>
      </c>
      <c r="I1369">
        <v>139.71386699999999</v>
      </c>
    </row>
    <row r="1370" spans="1:9" x14ac:dyDescent="0.4">
      <c r="A1370" t="s">
        <v>9</v>
      </c>
      <c r="B1370" t="s">
        <v>223</v>
      </c>
      <c r="C1370" t="str">
        <f t="shared" si="81"/>
        <v>東京都世田谷区</v>
      </c>
      <c r="D1370" s="2" t="str">
        <f t="shared" si="82"/>
        <v>http://geocode.csis.u-tokyo.ac.jp/cgi-bin/simple_geocode.cgi?charset=UTF8&amp;addr=%E6%9D%B1%E4%BA%AC%E9%83%BD%E4%B8%96%E7%94%B0%E8%B0%B7%E5%8C%BA</v>
      </c>
      <c r="E1370" t="str">
        <f t="shared" si="8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370" cm="1">
        <f t="array" ref="F1370">INDEX(_xlfn.FILTERXML(E1370,"//latitude"),1)</f>
        <v>35.646481000000001</v>
      </c>
      <c r="G1370" cm="1">
        <f t="array" ref="G1370">INDEX(_xlfn.FILTERXML(E1370,"//longitude"),1)</f>
        <v>139.65321399999999</v>
      </c>
      <c r="H1370">
        <v>35.646481000000001</v>
      </c>
      <c r="I1370">
        <v>139.65321399999999</v>
      </c>
    </row>
    <row r="1371" spans="1:9" x14ac:dyDescent="0.4">
      <c r="A1371" t="s">
        <v>9</v>
      </c>
      <c r="B1371" t="s">
        <v>565</v>
      </c>
      <c r="C1371" t="str">
        <f t="shared" si="81"/>
        <v>東京都文京区白山</v>
      </c>
      <c r="D1371" s="2" t="str">
        <f t="shared" si="82"/>
        <v>http://geocode.csis.u-tokyo.ac.jp/cgi-bin/simple_geocode.cgi?charset=UTF8&amp;addr=%E6%9D%B1%E4%BA%AC%E9%83%BD%E6%96%87%E4%BA%AC%E5%8C%BA%E7%99%BD%E5%B1%B1</v>
      </c>
      <c r="E1371" t="str">
        <f t="shared" si="83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1371" cm="1">
        <f t="array" ref="F1371">INDEX(_xlfn.FILTERXML(E1371,"//latitude"),1)</f>
        <v>35.718795999999998</v>
      </c>
      <c r="G1371" cm="1">
        <f t="array" ref="G1371">INDEX(_xlfn.FILTERXML(E1371,"//longitude"),1)</f>
        <v>139.75276199999999</v>
      </c>
      <c r="H1371">
        <v>35.718795999999998</v>
      </c>
      <c r="I1371">
        <v>139.75276199999999</v>
      </c>
    </row>
    <row r="1372" spans="1:9" x14ac:dyDescent="0.4">
      <c r="A1372" t="s">
        <v>17</v>
      </c>
      <c r="B1372" t="s">
        <v>649</v>
      </c>
      <c r="C1372" t="str">
        <f t="shared" si="81"/>
        <v>愛知県瀬戸市窯町</v>
      </c>
      <c r="D1372" s="2" t="str">
        <f t="shared" si="82"/>
        <v>http://geocode.csis.u-tokyo.ac.jp/cgi-bin/simple_geocode.cgi?charset=UTF8&amp;addr=%E6%84%9B%E7%9F%A5%E7%9C%8C%E7%80%AC%E6%88%B8%E5%B8%82%E7%AA%AF%E7%94%BA</v>
      </c>
      <c r="E1372" t="str">
        <f t="shared" si="83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1372" cm="1">
        <f t="array" ref="F1372">INDEX(_xlfn.FILTERXML(E1372,"//latitude"),1)</f>
        <v>35.240887000000001</v>
      </c>
      <c r="G1372" cm="1">
        <f t="array" ref="G1372">INDEX(_xlfn.FILTERXML(E1372,"//longitude"),1)</f>
        <v>137.12818899999999</v>
      </c>
      <c r="H1372">
        <v>35.240887000000001</v>
      </c>
      <c r="I1372">
        <v>137.12818899999999</v>
      </c>
    </row>
    <row r="1373" spans="1:9" x14ac:dyDescent="0.4">
      <c r="A1373" t="s">
        <v>198</v>
      </c>
      <c r="B1373" t="s">
        <v>1154</v>
      </c>
      <c r="C1373" t="str">
        <f t="shared" si="81"/>
        <v>鹿児島県易居町</v>
      </c>
      <c r="D1373" s="2" t="str">
        <f t="shared" si="82"/>
        <v>http://geocode.csis.u-tokyo.ac.jp/cgi-bin/simple_geocode.cgi?charset=UTF8&amp;addr=%E9%B9%BF%E5%85%90%E5%B3%B6%E7%9C%8C%E6%98%93%E5%B1%85%E7%94%BA</v>
      </c>
      <c r="E1373" t="str">
        <f t="shared" si="83"/>
        <v xml:space="preserve">&lt;?xml version="1.0" encoding="UTF-8" ?&gt;
&lt;results&gt;
&lt;query&gt;鹿児島県易居町&lt;/query&gt;
&lt;geodetic&gt;wgs1984&lt;/geodetic&gt;
&lt;iConf&gt;3&lt;/iConf&gt;
&lt;converted&gt;鹿児島県&lt;/converted&gt;
&lt;candidate&gt;
&lt;address&gt;鹿児島県&lt;/address&gt;
&lt;longitude&gt;130.557343&lt;/longitude&gt;
&lt;latitude&gt;31.596788&lt;/latitude&gt;
&lt;iLvl&gt;1&lt;/iLvl&gt;
&lt;/candidate&gt;
&lt;/results&gt;
</v>
      </c>
      <c r="F1373" cm="1">
        <f t="array" ref="F1373">INDEX(_xlfn.FILTERXML(E1373,"//latitude"),1)</f>
        <v>31.596788</v>
      </c>
      <c r="G1373" cm="1">
        <f t="array" ref="G1373">INDEX(_xlfn.FILTERXML(E1373,"//longitude"),1)</f>
        <v>130.557343</v>
      </c>
      <c r="H1373">
        <v>31.596788</v>
      </c>
      <c r="I1373">
        <v>130.557343</v>
      </c>
    </row>
    <row r="1374" spans="1:9" x14ac:dyDescent="0.4">
      <c r="A1374" t="s">
        <v>10</v>
      </c>
      <c r="B1374" t="s">
        <v>669</v>
      </c>
      <c r="C1374" t="str">
        <f t="shared" si="81"/>
        <v>神奈川県横浜市青葉区青葉台1-2-1</v>
      </c>
      <c r="D1374" s="2" t="str">
        <f t="shared" si="82"/>
        <v>http://geocode.csis.u-tokyo.ac.jp/cgi-bin/simple_geocode.cgi?charset=UTF8&amp;addr=%E7%A5%9E%E5%A5%88%E5%B7%9D%E7%9C%8C%E6%A8%AA%E6%B5%9C%E5%B8%82%E9%9D%92%E8%91%89%E5%8C%BA%E9%9D%92%E8%91%89%E5%8F%B01-2-1</v>
      </c>
      <c r="E1374" t="str">
        <f t="shared" si="83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1374" cm="1">
        <f t="array" ref="F1374">INDEX(_xlfn.FILTERXML(E1374,"//latitude"),1)</f>
        <v>35.542918999999998</v>
      </c>
      <c r="G1374" cm="1">
        <f t="array" ref="G1374">INDEX(_xlfn.FILTERXML(E1374,"//longitude"),1)</f>
        <v>139.51918000000001</v>
      </c>
      <c r="H1374">
        <v>35.542918999999998</v>
      </c>
      <c r="I1374">
        <v>139.51918000000001</v>
      </c>
    </row>
    <row r="1375" spans="1:9" x14ac:dyDescent="0.4">
      <c r="A1375" t="s">
        <v>13</v>
      </c>
      <c r="B1375" t="s">
        <v>1155</v>
      </c>
      <c r="C1375" t="str">
        <f t="shared" si="81"/>
        <v>埼玉県草加市西町</v>
      </c>
      <c r="D1375" s="2" t="str">
        <f t="shared" si="82"/>
        <v>http://geocode.csis.u-tokyo.ac.jp/cgi-bin/simple_geocode.cgi?charset=UTF8&amp;addr=%E5%9F%BC%E7%8E%89%E7%9C%8C%E8%8D%89%E5%8A%A0%E5%B8%82%E8%A5%BF%E7%94%BA</v>
      </c>
      <c r="E1375" t="str">
        <f t="shared" si="83"/>
        <v xml:space="preserve">&lt;?xml version="1.0" encoding="UTF-8" ?&gt;
&lt;results&gt;
&lt;query&gt;埼玉県草加市西町&lt;/query&gt;
&lt;geodetic&gt;wgs1984&lt;/geodetic&gt;
&lt;iConf&gt;5&lt;/iConf&gt;
&lt;converted&gt;埼玉県草加市西町&lt;/converted&gt;
&lt;candidate&gt;
&lt;address&gt;埼玉県/草加市/西町&lt;/address&gt;
&lt;longitude&gt;139.790833&lt;/longitude&gt;
&lt;latitude&gt;35.828255&lt;/latitude&gt;
&lt;iLvl&gt;5&lt;/iLvl&gt;
&lt;/candidate&gt;
&lt;/results&gt;
</v>
      </c>
      <c r="F1375" cm="1">
        <f t="array" ref="F1375">INDEX(_xlfn.FILTERXML(E1375,"//latitude"),1)</f>
        <v>35.828254999999999</v>
      </c>
      <c r="G1375" cm="1">
        <f t="array" ref="G1375">INDEX(_xlfn.FILTERXML(E1375,"//longitude"),1)</f>
        <v>139.79083299999999</v>
      </c>
      <c r="H1375">
        <v>35.828254999999999</v>
      </c>
      <c r="I1375">
        <v>139.79083299999999</v>
      </c>
    </row>
    <row r="1376" spans="1:9" x14ac:dyDescent="0.4">
      <c r="A1376" t="s">
        <v>28</v>
      </c>
      <c r="B1376" t="s">
        <v>1156</v>
      </c>
      <c r="C1376" t="str">
        <f t="shared" si="81"/>
        <v>沖縄県那覇市山下町18-26</v>
      </c>
      <c r="D1376" s="2" t="str">
        <f t="shared" si="82"/>
        <v>http://geocode.csis.u-tokyo.ac.jp/cgi-bin/simple_geocode.cgi?charset=UTF8&amp;addr=%E6%B2%96%E7%B8%84%E7%9C%8C%E9%82%A3%E8%A6%87%E5%B8%82%E5%B1%B1%E4%B8%8B%E7%94%BA18-26</v>
      </c>
      <c r="E1376" t="str">
        <f t="shared" si="83"/>
        <v xml:space="preserve">&lt;?xml version="1.0" encoding="UTF-8" ?&gt;
&lt;results&gt;
&lt;query&gt;沖縄県那覇市山下町18-26&lt;/query&gt;
&lt;geodetic&gt;wgs1984&lt;/geodetic&gt;
&lt;iConf&gt;5&lt;/iConf&gt;
&lt;converted&gt;沖縄県那覇市山下町18-26&lt;/converted&gt;
&lt;candidate&gt;
&lt;address&gt;沖縄県/那覇市/山下町/１８番/２６号&lt;/address&gt;
&lt;longitude&gt;127.672989&lt;/longitude&gt;
&lt;latitude&gt;26.202221&lt;/latitude&gt;
&lt;iLvl&gt;8&lt;/iLvl&gt;
&lt;/candidate&gt;
&lt;/results&gt;
</v>
      </c>
      <c r="F1376" cm="1">
        <f t="array" ref="F1376">INDEX(_xlfn.FILTERXML(E1376,"//latitude"),1)</f>
        <v>26.202221000000002</v>
      </c>
      <c r="G1376" cm="1">
        <f t="array" ref="G1376">INDEX(_xlfn.FILTERXML(E1376,"//longitude"),1)</f>
        <v>127.672989</v>
      </c>
      <c r="H1376">
        <v>26.202221000000002</v>
      </c>
      <c r="I1376">
        <v>127.672989</v>
      </c>
    </row>
    <row r="1377" spans="1:9" x14ac:dyDescent="0.4">
      <c r="A1377" t="s">
        <v>29</v>
      </c>
      <c r="B1377" t="s">
        <v>1157</v>
      </c>
      <c r="C1377" t="str">
        <f t="shared" si="81"/>
        <v>静岡県磐田市元天神町</v>
      </c>
      <c r="D1377" s="2" t="str">
        <f t="shared" si="82"/>
        <v>http://geocode.csis.u-tokyo.ac.jp/cgi-bin/simple_geocode.cgi?charset=UTF8&amp;addr=%E9%9D%99%E5%B2%A1%E7%9C%8C%E7%A3%90%E7%94%B0%E5%B8%82%E5%85%83%E5%A4%A9%E7%A5%9E%E7%94%BA</v>
      </c>
      <c r="E1377" t="str">
        <f t="shared" si="83"/>
        <v xml:space="preserve">&lt;?xml version="1.0" encoding="UTF-8" ?&gt;
&lt;results&gt;
&lt;query&gt;静岡県磐田市元天神町&lt;/query&gt;
&lt;geodetic&gt;wgs1984&lt;/geodetic&gt;
&lt;iConf&gt;5&lt;/iConf&gt;
&lt;converted&gt;静岡県磐田市元天神町&lt;/converted&gt;
&lt;candidate&gt;
&lt;address&gt;静岡県/磐田市/元天神町&lt;/address&gt;
&lt;longitude&gt;137.867157&lt;/longitude&gt;
&lt;latitude&gt;34.739372&lt;/latitude&gt;
&lt;iLvl&gt;5&lt;/iLvl&gt;
&lt;/candidate&gt;
&lt;/results&gt;
</v>
      </c>
      <c r="F1377" cm="1">
        <f t="array" ref="F1377">INDEX(_xlfn.FILTERXML(E1377,"//latitude"),1)</f>
        <v>34.739372000000003</v>
      </c>
      <c r="G1377" cm="1">
        <f t="array" ref="G1377">INDEX(_xlfn.FILTERXML(E1377,"//longitude"),1)</f>
        <v>137.86715699999999</v>
      </c>
      <c r="H1377">
        <v>34.739372000000003</v>
      </c>
      <c r="I1377">
        <v>137.86715699999999</v>
      </c>
    </row>
    <row r="1378" spans="1:9" x14ac:dyDescent="0.4">
      <c r="A1378" t="s">
        <v>9</v>
      </c>
      <c r="B1378" t="s">
        <v>568</v>
      </c>
      <c r="C1378" t="str">
        <f t="shared" si="81"/>
        <v>東京都世田谷区野沢</v>
      </c>
      <c r="D1378" s="2" t="str">
        <f t="shared" si="82"/>
        <v>http://geocode.csis.u-tokyo.ac.jp/cgi-bin/simple_geocode.cgi?charset=UTF8&amp;addr=%E6%9D%B1%E4%BA%AC%E9%83%BD%E4%B8%96%E7%94%B0%E8%B0%B7%E5%8C%BA%E9%87%8E%E6%B2%A2</v>
      </c>
      <c r="E1378" t="str">
        <f t="shared" si="83"/>
        <v xml:space="preserve">&lt;?xml version="1.0" encoding="UTF-8" ?&gt;
&lt;results&gt;
&lt;query&gt;東京都世田谷区野沢&lt;/query&gt;
&lt;geodetic&gt;wgs1984&lt;/geodetic&gt;
&lt;iConf&gt;5&lt;/iConf&gt;
&lt;converted&gt;東京都世田谷区野沢&lt;/converted&gt;
&lt;candidate&gt;
&lt;address&gt;東京都/世田谷区/野沢&lt;/address&gt;
&lt;longitude&gt;139.670822&lt;/longitude&gt;
&lt;latitude&gt;35.636181&lt;/latitude&gt;
&lt;iLvl&gt;5&lt;/iLvl&gt;
&lt;/candidate&gt;
&lt;/results&gt;
</v>
      </c>
      <c r="F1378" cm="1">
        <f t="array" ref="F1378">INDEX(_xlfn.FILTERXML(E1378,"//latitude"),1)</f>
        <v>35.636181000000001</v>
      </c>
      <c r="G1378" cm="1">
        <f t="array" ref="G1378">INDEX(_xlfn.FILTERXML(E1378,"//longitude"),1)</f>
        <v>139.67082199999999</v>
      </c>
      <c r="H1378" s="3">
        <v>35.636181000000001</v>
      </c>
      <c r="I1378" s="3">
        <v>139.67082199999999</v>
      </c>
    </row>
    <row r="1379" spans="1:9" x14ac:dyDescent="0.4">
      <c r="A1379" t="s">
        <v>11</v>
      </c>
      <c r="B1379" t="s">
        <v>571</v>
      </c>
      <c r="C1379" t="str">
        <f t="shared" si="81"/>
        <v>大阪府吹田市古江台</v>
      </c>
      <c r="D1379" s="2" t="str">
        <f t="shared" si="82"/>
        <v>http://geocode.csis.u-tokyo.ac.jp/cgi-bin/simple_geocode.cgi?charset=UTF8&amp;addr=%E5%A4%A7%E9%98%AA%E5%BA%9C%E5%90%B9%E7%94%B0%E5%B8%82%E5%8F%A4%E6%B1%9F%E5%8F%B0</v>
      </c>
      <c r="E1379" t="str">
        <f t="shared" si="83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1379" cm="1">
        <f t="array" ref="F1379">INDEX(_xlfn.FILTERXML(E1379,"//latitude"),1)</f>
        <v>34.810214999999999</v>
      </c>
      <c r="G1379" cm="1">
        <f t="array" ref="G1379">INDEX(_xlfn.FILTERXML(E1379,"//longitude"),1)</f>
        <v>135.50968900000001</v>
      </c>
      <c r="H1379">
        <v>34.810214999999999</v>
      </c>
      <c r="I1379">
        <v>135.50968900000001</v>
      </c>
    </row>
    <row r="1380" spans="1:9" x14ac:dyDescent="0.4">
      <c r="A1380" t="s">
        <v>48</v>
      </c>
      <c r="B1380" t="s">
        <v>572</v>
      </c>
      <c r="C1380" t="str">
        <f t="shared" si="81"/>
        <v>石川県白山市中成1-34</v>
      </c>
      <c r="D1380" s="2" t="str">
        <f t="shared" si="82"/>
        <v>http://geocode.csis.u-tokyo.ac.jp/cgi-bin/simple_geocode.cgi?charset=UTF8&amp;addr=%E7%9F%B3%E5%B7%9D%E7%9C%8C%E7%99%BD%E5%B1%B1%E5%B8%82%E4%B8%AD%E6%88%901-34</v>
      </c>
      <c r="E1380" t="str">
        <f t="shared" si="83"/>
        <v xml:space="preserve">&lt;?xml version="1.0" encoding="UTF-8" ?&gt;
&lt;results&gt;
&lt;query&gt;石川県白山市中成1-34&lt;/query&gt;
&lt;geodetic&gt;wgs1984&lt;/geodetic&gt;
&lt;iConf&gt;5&lt;/iConf&gt;
&lt;converted&gt;石川県白山市中成1-34&lt;/converted&gt;
&lt;candidate&gt;
&lt;address&gt;石川県/白山市/中成/一丁目/３４番地&lt;/address&gt;
&lt;longitude&gt;136.559006&lt;/longitude&gt;
&lt;latitude&gt;36.525993&lt;/latitude&gt;
&lt;iLvl&gt;7&lt;/iLvl&gt;
&lt;/candidate&gt;
&lt;/results&gt;
</v>
      </c>
      <c r="F1380" cm="1">
        <f t="array" ref="F1380">INDEX(_xlfn.FILTERXML(E1380,"//latitude"),1)</f>
        <v>36.525993</v>
      </c>
      <c r="G1380" cm="1">
        <f t="array" ref="G1380">INDEX(_xlfn.FILTERXML(E1380,"//longitude"),1)</f>
        <v>136.55900600000001</v>
      </c>
      <c r="H1380">
        <v>36.525993</v>
      </c>
      <c r="I1380">
        <v>136.55900600000001</v>
      </c>
    </row>
    <row r="1381" spans="1:9" x14ac:dyDescent="0.4">
      <c r="A1381" t="s">
        <v>9</v>
      </c>
      <c r="B1381" t="s">
        <v>573</v>
      </c>
      <c r="C1381" t="str">
        <f t="shared" si="81"/>
        <v>東京都千代田区</v>
      </c>
      <c r="D1381" s="2" t="str">
        <f t="shared" si="82"/>
        <v>http://geocode.csis.u-tokyo.ac.jp/cgi-bin/simple_geocode.cgi?charset=UTF8&amp;addr=%E6%9D%B1%E4%BA%AC%E9%83%BD%E5%8D%83%E4%BB%A3%E7%94%B0%E5%8C%BA</v>
      </c>
      <c r="E1381" t="str">
        <f t="shared" si="83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1381" cm="1">
        <f t="array" ref="F1381">INDEX(_xlfn.FILTERXML(E1381,"//latitude"),1)</f>
        <v>35.694004</v>
      </c>
      <c r="G1381" cm="1">
        <f t="array" ref="G1381">INDEX(_xlfn.FILTERXML(E1381,"//longitude"),1)</f>
        <v>139.75363200000001</v>
      </c>
      <c r="H1381">
        <v>35.694004</v>
      </c>
      <c r="I1381">
        <v>139.75363200000001</v>
      </c>
    </row>
    <row r="1382" spans="1:9" x14ac:dyDescent="0.4">
      <c r="A1382" t="s">
        <v>15</v>
      </c>
      <c r="B1382" t="s">
        <v>581</v>
      </c>
      <c r="C1382" t="str">
        <f t="shared" si="81"/>
        <v>兵庫県神戸市中央区元町通り</v>
      </c>
      <c r="D1382" s="2" t="str">
        <f t="shared" si="82"/>
        <v>http://geocode.csis.u-tokyo.ac.jp/cgi-bin/simple_geocode.cgi?charset=UTF8&amp;addr=%E5%85%B5%E5%BA%AB%E7%9C%8C%E7%A5%9E%E6%88%B8%E5%B8%82%E4%B8%AD%E5%A4%AE%E5%8C%BA%E5%85%83%E7%94%BA%E9%80%9A%E3%82%8A</v>
      </c>
      <c r="E1382" t="str">
        <f t="shared" si="83"/>
        <v xml:space="preserve">&lt;?xml version="1.0" encoding="UTF-8" ?&gt;
&lt;results&gt;
&lt;query&gt;兵庫県神戸市中央区元町通り&lt;/query&gt;
&lt;geodetic&gt;wgs1984&lt;/geodetic&gt;
&lt;iConf&gt;5&lt;/iConf&gt;
&lt;converted&gt;兵庫県神戸市中央区元町通&lt;/converted&gt;
&lt;candidate&gt;
&lt;address&gt;兵庫県/神戸市/中央区/元町通&lt;/address&gt;
&lt;longitude&gt;135.188690&lt;/longitude&gt;
&lt;latitude&gt;34.689056&lt;/latitude&gt;
&lt;iLvl&gt;5&lt;/iLvl&gt;
&lt;/candidate&gt;
&lt;/results&gt;
</v>
      </c>
      <c r="F1382" cm="1">
        <f t="array" ref="F1382">INDEX(_xlfn.FILTERXML(E1382,"//latitude"),1)</f>
        <v>34.689056000000001</v>
      </c>
      <c r="G1382" cm="1">
        <f t="array" ref="G1382">INDEX(_xlfn.FILTERXML(E1382,"//longitude"),1)</f>
        <v>135.18869000000001</v>
      </c>
      <c r="H1382">
        <v>34.689056000000001</v>
      </c>
      <c r="I1382">
        <v>135.18869000000001</v>
      </c>
    </row>
    <row r="1383" spans="1:9" x14ac:dyDescent="0.4">
      <c r="A1383" t="s">
        <v>14</v>
      </c>
      <c r="B1383" t="s">
        <v>582</v>
      </c>
      <c r="C1383" t="str">
        <f t="shared" si="81"/>
        <v>広島県呉市阿賀北</v>
      </c>
      <c r="D1383" s="2" t="str">
        <f t="shared" si="82"/>
        <v>http://geocode.csis.u-tokyo.ac.jp/cgi-bin/simple_geocode.cgi?charset=UTF8&amp;addr=%E5%BA%83%E5%B3%B6%E7%9C%8C%E5%91%89%E5%B8%82%E9%98%BF%E8%B3%80%E5%8C%97</v>
      </c>
      <c r="E1383" t="str">
        <f t="shared" si="83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1383" cm="1">
        <f t="array" ref="F1383">INDEX(_xlfn.FILTERXML(E1383,"//latitude"),1)</f>
        <v>34.254131000000001</v>
      </c>
      <c r="G1383" cm="1">
        <f t="array" ref="G1383">INDEX(_xlfn.FILTERXML(E1383,"//longitude"),1)</f>
        <v>132.59178199999999</v>
      </c>
      <c r="H1383">
        <v>34.254131000000001</v>
      </c>
      <c r="I1383">
        <v>132.59178199999999</v>
      </c>
    </row>
    <row r="1384" spans="1:9" x14ac:dyDescent="0.4">
      <c r="A1384" t="s">
        <v>17</v>
      </c>
      <c r="B1384" t="s">
        <v>583</v>
      </c>
      <c r="C1384" t="str">
        <f t="shared" si="81"/>
        <v>愛知県名古屋市</v>
      </c>
      <c r="D1384" s="2" t="str">
        <f t="shared" si="82"/>
        <v>http://geocode.csis.u-tokyo.ac.jp/cgi-bin/simple_geocode.cgi?charset=UTF8&amp;addr=%E6%84%9B%E7%9F%A5%E7%9C%8C%E5%90%8D%E5%8F%A4%E5%B1%8B%E5%B8%82</v>
      </c>
      <c r="E1384" t="str">
        <f t="shared" si="83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1384" cm="1">
        <f t="array" ref="F1384">INDEX(_xlfn.FILTERXML(E1384,"//latitude"),1)</f>
        <v>35.181435</v>
      </c>
      <c r="G1384" cm="1">
        <f t="array" ref="G1384">INDEX(_xlfn.FILTERXML(E1384,"//longitude"),1)</f>
        <v>136.906418</v>
      </c>
      <c r="H1384">
        <v>35.181435</v>
      </c>
      <c r="I1384">
        <v>136.906418</v>
      </c>
    </row>
    <row r="1385" spans="1:9" x14ac:dyDescent="0.4">
      <c r="A1385" t="s">
        <v>9</v>
      </c>
      <c r="B1385" t="s">
        <v>585</v>
      </c>
      <c r="C1385" t="str">
        <f t="shared" si="81"/>
        <v>東京都三鷹市深大寺</v>
      </c>
      <c r="D1385" s="2" t="str">
        <f t="shared" si="82"/>
        <v>http://geocode.csis.u-tokyo.ac.jp/cgi-bin/simple_geocode.cgi?charset=UTF8&amp;addr=%E6%9D%B1%E4%BA%AC%E9%83%BD%E4%B8%89%E9%B7%B9%E5%B8%82%E6%B7%B1%E5%A4%A7%E5%AF%BA</v>
      </c>
      <c r="E1385" t="str">
        <f t="shared" si="83"/>
        <v xml:space="preserve">&lt;?xml version="1.0" encoding="UTF-8" ?&gt;
&lt;results&gt;
&lt;query&gt;東京都三鷹市深大寺&lt;/query&gt;
&lt;geodetic&gt;wgs1984&lt;/geodetic&gt;
&lt;iConf&gt;5&lt;/iConf&gt;
&lt;converted&gt;東京都三鷹市深大寺&lt;/converted&gt;
&lt;candidate&gt;
&lt;address&gt;東京都/三鷹市/深大寺&lt;/address&gt;
&lt;longitude&gt;139.540253&lt;/longitude&gt;
&lt;latitude&gt;35.691887&lt;/latitude&gt;
&lt;iLvl&gt;5&lt;/iLvl&gt;
&lt;/candidate&gt;
&lt;/results&gt;
</v>
      </c>
      <c r="F1385" cm="1">
        <f t="array" ref="F1385">INDEX(_xlfn.FILTERXML(E1385,"//latitude"),1)</f>
        <v>35.691887000000001</v>
      </c>
      <c r="G1385" cm="1">
        <f t="array" ref="G1385">INDEX(_xlfn.FILTERXML(E1385,"//longitude"),1)</f>
        <v>139.54025300000001</v>
      </c>
      <c r="H1385">
        <v>35.691887000000001</v>
      </c>
      <c r="I1385">
        <v>139.54025300000001</v>
      </c>
    </row>
    <row r="1386" spans="1:9" x14ac:dyDescent="0.4">
      <c r="A1386" t="s">
        <v>29</v>
      </c>
      <c r="B1386" t="s">
        <v>587</v>
      </c>
      <c r="C1386" t="str">
        <f t="shared" si="81"/>
        <v>静岡県静岡市駿河区国吉田</v>
      </c>
      <c r="D1386" s="2" t="str">
        <f t="shared" si="82"/>
        <v>http://geocode.csis.u-tokyo.ac.jp/cgi-bin/simple_geocode.cgi?charset=UTF8&amp;addr=%E9%9D%99%E5%B2%A1%E7%9C%8C%E9%9D%99%E5%B2%A1%E5%B8%82%E9%A7%BF%E6%B2%B3%E5%8C%BA%E5%9B%BD%E5%90%89%E7%94%B0</v>
      </c>
      <c r="E1386" t="str">
        <f t="shared" si="83"/>
        <v xml:space="preserve">&lt;?xml version="1.0" encoding="UTF-8" ?&gt;
&lt;results&gt;
&lt;query&gt;静岡県静岡市駿河区国吉田&lt;/query&gt;
&lt;geodetic&gt;wgs1984&lt;/geodetic&gt;
&lt;iConf&gt;5&lt;/iConf&gt;
&lt;converted&gt;静岡県静岡市駿河区国吉田&lt;/converted&gt;
&lt;candidate&gt;
&lt;address&gt;静岡県/静岡市/駿河区/国吉田&lt;/address&gt;
&lt;longitude&gt;138.441437&lt;/longitude&gt;
&lt;latitude&gt;34.985950&lt;/latitude&gt;
&lt;iLvl&gt;5&lt;/iLvl&gt;
&lt;/candidate&gt;
&lt;/results&gt;
</v>
      </c>
      <c r="F1386" cm="1">
        <f t="array" ref="F1386">INDEX(_xlfn.FILTERXML(E1386,"//latitude"),1)</f>
        <v>34.985950000000003</v>
      </c>
      <c r="G1386" cm="1">
        <f t="array" ref="G1386">INDEX(_xlfn.FILTERXML(E1386,"//longitude"),1)</f>
        <v>138.44143700000001</v>
      </c>
      <c r="H1386">
        <v>34.985950000000003</v>
      </c>
      <c r="I1386">
        <v>138.44143700000001</v>
      </c>
    </row>
    <row r="1387" spans="1:9" x14ac:dyDescent="0.4">
      <c r="A1387" t="s">
        <v>13</v>
      </c>
      <c r="B1387" t="s">
        <v>590</v>
      </c>
      <c r="C1387" t="str">
        <f t="shared" si="81"/>
        <v>埼玉県所沢市東町12-8-912</v>
      </c>
      <c r="D1387" s="2" t="str">
        <f t="shared" si="82"/>
        <v>http://geocode.csis.u-tokyo.ac.jp/cgi-bin/simple_geocode.cgi?charset=UTF8&amp;addr=%E5%9F%BC%E7%8E%89%E7%9C%8C%E6%89%80%E6%B2%A2%E5%B8%82%E6%9D%B1%E7%94%BA12-8-912</v>
      </c>
      <c r="E1387" t="str">
        <f t="shared" si="83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1387" cm="1">
        <f t="array" ref="F1387">INDEX(_xlfn.FILTERXML(E1387,"//latitude"),1)</f>
        <v>35.789966999999997</v>
      </c>
      <c r="G1387" cm="1">
        <f t="array" ref="G1387">INDEX(_xlfn.FILTERXML(E1387,"//longitude"),1)</f>
        <v>139.470505</v>
      </c>
      <c r="H1387">
        <v>35.789966999999997</v>
      </c>
      <c r="I1387">
        <v>139.470505</v>
      </c>
    </row>
    <row r="1388" spans="1:9" x14ac:dyDescent="0.4">
      <c r="A1388" t="s">
        <v>11</v>
      </c>
      <c r="B1388" t="s">
        <v>592</v>
      </c>
      <c r="C1388" t="str">
        <f t="shared" si="81"/>
        <v>大阪府守口市</v>
      </c>
      <c r="D1388" s="2" t="str">
        <f t="shared" si="82"/>
        <v>http://geocode.csis.u-tokyo.ac.jp/cgi-bin/simple_geocode.cgi?charset=UTF8&amp;addr=%E5%A4%A7%E9%98%AA%E5%BA%9C%E5%AE%88%E5%8F%A3%E5%B8%82</v>
      </c>
      <c r="E1388" t="str">
        <f t="shared" si="83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1388" cm="1">
        <f t="array" ref="F1388">INDEX(_xlfn.FILTERXML(E1388,"//latitude"),1)</f>
        <v>34.737679</v>
      </c>
      <c r="G1388" cm="1">
        <f t="array" ref="G1388">INDEX(_xlfn.FILTERXML(E1388,"//longitude"),1)</f>
        <v>135.563965</v>
      </c>
      <c r="H1388">
        <v>34.737679</v>
      </c>
      <c r="I1388">
        <v>135.563965</v>
      </c>
    </row>
    <row r="1389" spans="1:9" x14ac:dyDescent="0.4">
      <c r="A1389" t="s">
        <v>10</v>
      </c>
      <c r="B1389" t="s">
        <v>594</v>
      </c>
      <c r="C1389" t="str">
        <f t="shared" si="81"/>
        <v>神奈川県川崎市宮前区土橋</v>
      </c>
      <c r="D1389" s="2" t="str">
        <f t="shared" si="82"/>
        <v>http://geocode.csis.u-tokyo.ac.jp/cgi-bin/simple_geocode.cgi?charset=UTF8&amp;addr=%E7%A5%9E%E5%A5%88%E5%B7%9D%E7%9C%8C%E5%B7%9D%E5%B4%8E%E5%B8%82%E5%AE%AE%E5%89%8D%E5%8C%BA%E5%9C%9F%E6%A9%8B</v>
      </c>
      <c r="E1389" t="str">
        <f t="shared" si="83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1389" cm="1">
        <f t="array" ref="F1389">INDEX(_xlfn.FILTERXML(E1389,"//latitude"),1)</f>
        <v>35.587051000000002</v>
      </c>
      <c r="G1389" cm="1">
        <f t="array" ref="G1389">INDEX(_xlfn.FILTERXML(E1389,"//longitude"),1)</f>
        <v>139.57667499999999</v>
      </c>
      <c r="H1389">
        <v>35.587051000000002</v>
      </c>
      <c r="I1389">
        <v>139.57667499999999</v>
      </c>
    </row>
    <row r="1390" spans="1:9" x14ac:dyDescent="0.4">
      <c r="A1390" t="s">
        <v>34</v>
      </c>
      <c r="B1390" t="s">
        <v>597</v>
      </c>
      <c r="C1390" t="str">
        <f t="shared" si="81"/>
        <v>岐阜県各務原市</v>
      </c>
      <c r="D1390" s="2" t="str">
        <f t="shared" si="82"/>
        <v>http://geocode.csis.u-tokyo.ac.jp/cgi-bin/simple_geocode.cgi?charset=UTF8&amp;addr=%E5%B2%90%E9%98%9C%E7%9C%8C%E5%90%84%E5%8B%99%E5%8E%9F%E5%B8%82</v>
      </c>
      <c r="E1390" t="str">
        <f t="shared" si="83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1390" cm="1">
        <f t="array" ref="F1390">INDEX(_xlfn.FILTERXML(E1390,"//latitude"),1)</f>
        <v>35.398910999999998</v>
      </c>
      <c r="G1390" cm="1">
        <f t="array" ref="G1390">INDEX(_xlfn.FILTERXML(E1390,"//longitude"),1)</f>
        <v>136.848389</v>
      </c>
      <c r="H1390">
        <v>35.398910999999998</v>
      </c>
      <c r="I1390">
        <v>136.848389</v>
      </c>
    </row>
    <row r="1391" spans="1:9" x14ac:dyDescent="0.4">
      <c r="A1391" t="s">
        <v>18</v>
      </c>
      <c r="B1391" t="s">
        <v>599</v>
      </c>
      <c r="C1391" t="str">
        <f t="shared" si="81"/>
        <v>千葉県松戸市河原塚</v>
      </c>
      <c r="D1391" s="2" t="str">
        <f t="shared" si="82"/>
        <v>http://geocode.csis.u-tokyo.ac.jp/cgi-bin/simple_geocode.cgi?charset=UTF8&amp;addr=%E5%8D%83%E8%91%89%E7%9C%8C%E6%9D%BE%E6%88%B8%E5%B8%82%E6%B2%B3%E5%8E%9F%E5%A1%9A</v>
      </c>
      <c r="E1391" t="str">
        <f t="shared" si="83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1391" cm="1">
        <f t="array" ref="F1391">INDEX(_xlfn.FILTERXML(E1391,"//latitude"),1)</f>
        <v>35.781402999999997</v>
      </c>
      <c r="G1391" cm="1">
        <f t="array" ref="G1391">INDEX(_xlfn.FILTERXML(E1391,"//longitude"),1)</f>
        <v>139.93985000000001</v>
      </c>
      <c r="H1391">
        <v>35.781402999999997</v>
      </c>
      <c r="I1391">
        <v>139.93985000000001</v>
      </c>
    </row>
    <row r="1392" spans="1:9" x14ac:dyDescent="0.4">
      <c r="A1392" t="s">
        <v>9</v>
      </c>
      <c r="B1392" t="s">
        <v>601</v>
      </c>
      <c r="C1392" t="str">
        <f t="shared" si="81"/>
        <v>東京都町田市つくし野</v>
      </c>
      <c r="D1392" s="2" t="str">
        <f t="shared" si="82"/>
        <v>http://geocode.csis.u-tokyo.ac.jp/cgi-bin/simple_geocode.cgi?charset=UTF8&amp;addr=%E6%9D%B1%E4%BA%AC%E9%83%BD%E7%94%BA%E7%94%B0%E5%B8%82%E3%81%A4%E3%81%8F%E3%81%97%E9%87%8E</v>
      </c>
      <c r="E1392" t="str">
        <f t="shared" si="83"/>
        <v xml:space="preserve">&lt;?xml version="1.0" encoding="UTF-8" ?&gt;
&lt;results&gt;
&lt;query&gt;東京都町田市つくし野&lt;/query&gt;
&lt;geodetic&gt;wgs1984&lt;/geodetic&gt;
&lt;iConf&gt;5&lt;/iConf&gt;
&lt;converted&gt;東京都町田市つくし野&lt;/converted&gt;
&lt;candidate&gt;
&lt;address&gt;東京都/町田市/つくし野&lt;/address&gt;
&lt;longitude&gt;139.482147&lt;/longitude&gt;
&lt;latitude&gt;35.529350&lt;/latitude&gt;
&lt;iLvl&gt;5&lt;/iLvl&gt;
&lt;/candidate&gt;
&lt;/results&gt;
</v>
      </c>
      <c r="F1392" cm="1">
        <f t="array" ref="F1392">INDEX(_xlfn.FILTERXML(E1392,"//latitude"),1)</f>
        <v>35.529350000000001</v>
      </c>
      <c r="G1392" cm="1">
        <f t="array" ref="G1392">INDEX(_xlfn.FILTERXML(E1392,"//longitude"),1)</f>
        <v>139.482147</v>
      </c>
      <c r="H1392">
        <v>35.529350000000001</v>
      </c>
      <c r="I1392">
        <v>139.482147</v>
      </c>
    </row>
    <row r="1393" spans="1:9" x14ac:dyDescent="0.4">
      <c r="A1393" t="s">
        <v>10</v>
      </c>
      <c r="B1393" t="s">
        <v>157</v>
      </c>
      <c r="C1393" t="str">
        <f t="shared" si="81"/>
        <v>神奈川県横浜市青葉区美しが丘</v>
      </c>
      <c r="D1393" s="2" t="str">
        <f t="shared" si="82"/>
        <v>http://geocode.csis.u-tokyo.ac.jp/cgi-bin/simple_geocode.cgi?charset=UTF8&amp;addr=%E7%A5%9E%E5%A5%88%E5%B7%9D%E7%9C%8C%E6%A8%AA%E6%B5%9C%E5%B8%82%E9%9D%92%E8%91%89%E5%8C%BA%E7%BE%8E%E3%81%97%E3%81%8C%E4%B8%98</v>
      </c>
      <c r="E1393" t="str">
        <f t="shared" si="83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1393" cm="1">
        <f t="array" ref="F1393">INDEX(_xlfn.FILTERXML(E1393,"//latitude"),1)</f>
        <v>35.579971</v>
      </c>
      <c r="G1393" cm="1">
        <f t="array" ref="G1393">INDEX(_xlfn.FILTERXML(E1393,"//longitude"),1)</f>
        <v>139.555374</v>
      </c>
      <c r="H1393">
        <v>35.579971</v>
      </c>
      <c r="I1393">
        <v>139.555374</v>
      </c>
    </row>
    <row r="1394" spans="1:9" x14ac:dyDescent="0.4">
      <c r="A1394" t="s">
        <v>13</v>
      </c>
      <c r="B1394" t="s">
        <v>603</v>
      </c>
      <c r="C1394" t="str">
        <f t="shared" si="81"/>
        <v>埼玉県さいたま市南区四谷</v>
      </c>
      <c r="D1394" s="2" t="str">
        <f t="shared" si="82"/>
        <v>http://geocode.csis.u-tokyo.ac.jp/cgi-bin/simple_geocode.cgi?charset=UTF8&amp;addr=%E5%9F%BC%E7%8E%89%E7%9C%8C%E3%81%95%E3%81%84%E3%81%9F%E3%81%BE%E5%B8%82%E5%8D%97%E5%8C%BA%E5%9B%9B%E8%B0%B7</v>
      </c>
      <c r="E1394" t="str">
        <f t="shared" si="83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1394" cm="1">
        <f t="array" ref="F1394">INDEX(_xlfn.FILTERXML(E1394,"//latitude"),1)</f>
        <v>35.839626000000003</v>
      </c>
      <c r="G1394" cm="1">
        <f t="array" ref="G1394">INDEX(_xlfn.FILTERXML(E1394,"//longitude"),1)</f>
        <v>139.63407900000001</v>
      </c>
      <c r="H1394">
        <v>35.839626000000003</v>
      </c>
      <c r="I1394">
        <v>139.63407900000001</v>
      </c>
    </row>
    <row r="1395" spans="1:9" x14ac:dyDescent="0.4">
      <c r="A1395" t="s">
        <v>9</v>
      </c>
      <c r="B1395" t="s">
        <v>604</v>
      </c>
      <c r="C1395" t="str">
        <f t="shared" si="81"/>
        <v>東京都台東区</v>
      </c>
      <c r="D1395" s="2" t="str">
        <f t="shared" si="82"/>
        <v>http://geocode.csis.u-tokyo.ac.jp/cgi-bin/simple_geocode.cgi?charset=UTF8&amp;addr=%E6%9D%B1%E4%BA%AC%E9%83%BD%E5%8F%B0%E6%9D%B1%E5%8C%BA</v>
      </c>
      <c r="E1395" t="str">
        <f t="shared" si="83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1395" cm="1">
        <f t="array" ref="F1395">INDEX(_xlfn.FILTERXML(E1395,"//latitude"),1)</f>
        <v>35.712608000000003</v>
      </c>
      <c r="G1395" cm="1">
        <f t="array" ref="G1395">INDEX(_xlfn.FILTERXML(E1395,"//longitude"),1)</f>
        <v>139.77998400000001</v>
      </c>
      <c r="H1395">
        <v>35.712608000000003</v>
      </c>
      <c r="I1395">
        <v>139.77998400000001</v>
      </c>
    </row>
    <row r="1396" spans="1:9" x14ac:dyDescent="0.4">
      <c r="A1396" t="s">
        <v>10</v>
      </c>
      <c r="B1396" t="s">
        <v>228</v>
      </c>
      <c r="C1396" t="str">
        <f t="shared" si="81"/>
        <v>神奈川県逗子市</v>
      </c>
      <c r="D1396" s="2" t="str">
        <f t="shared" si="82"/>
        <v>http://geocode.csis.u-tokyo.ac.jp/cgi-bin/simple_geocode.cgi?charset=UTF8&amp;addr=%E7%A5%9E%E5%A5%88%E5%B7%9D%E7%9C%8C%E9%80%97%E5%AD%90%E5%B8%82</v>
      </c>
      <c r="E1396" t="str">
        <f t="shared" si="83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1396" cm="1">
        <f t="array" ref="F1396">INDEX(_xlfn.FILTERXML(E1396,"//latitude"),1)</f>
        <v>35.295592999999997</v>
      </c>
      <c r="G1396" cm="1">
        <f t="array" ref="G1396">INDEX(_xlfn.FILTERXML(E1396,"//longitude"),1)</f>
        <v>139.58041399999999</v>
      </c>
      <c r="H1396">
        <v>35.295592999999997</v>
      </c>
      <c r="I1396">
        <v>139.58041399999999</v>
      </c>
    </row>
    <row r="1397" spans="1:9" x14ac:dyDescent="0.4">
      <c r="A1397" t="s">
        <v>16</v>
      </c>
      <c r="B1397" t="s">
        <v>86</v>
      </c>
      <c r="C1397" t="str">
        <f t="shared" si="81"/>
        <v>長野県飯田市</v>
      </c>
      <c r="D1397" s="2" t="str">
        <f t="shared" si="82"/>
        <v>http://geocode.csis.u-tokyo.ac.jp/cgi-bin/simple_geocode.cgi?charset=UTF8&amp;addr=%E9%95%B7%E9%87%8E%E7%9C%8C%E9%A3%AF%E7%94%B0%E5%B8%82</v>
      </c>
      <c r="E1397" t="str">
        <f t="shared" si="83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1397" cm="1">
        <f t="array" ref="F1397">INDEX(_xlfn.FILTERXML(E1397,"//latitude"),1)</f>
        <v>35.514702</v>
      </c>
      <c r="G1397" cm="1">
        <f t="array" ref="G1397">INDEX(_xlfn.FILTERXML(E1397,"//longitude"),1)</f>
        <v>137.82182299999999</v>
      </c>
      <c r="H1397">
        <v>35.514702</v>
      </c>
      <c r="I1397">
        <v>137.82182299999999</v>
      </c>
    </row>
    <row r="1398" spans="1:9" x14ac:dyDescent="0.4">
      <c r="A1398" t="s">
        <v>20</v>
      </c>
      <c r="B1398" t="s">
        <v>605</v>
      </c>
      <c r="C1398" t="str">
        <f t="shared" si="81"/>
        <v>茨城県牛久市ひたち野西2丁目</v>
      </c>
      <c r="D1398" s="2" t="str">
        <f t="shared" si="82"/>
        <v>http://geocode.csis.u-tokyo.ac.jp/cgi-bin/simple_geocode.cgi?charset=UTF8&amp;addr=%E8%8C%A8%E5%9F%8E%E7%9C%8C%E7%89%9B%E4%B9%85%E5%B8%82%E3%81%B2%E3%81%9F%E3%81%A1%E9%87%8E%E8%A5%BF2%E4%B8%81%E7%9B%AE</v>
      </c>
      <c r="E1398" t="str">
        <f t="shared" si="83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1398" cm="1">
        <f t="array" ref="F1398">INDEX(_xlfn.FILTERXML(E1398,"//latitude"),1)</f>
        <v>36.011432999999997</v>
      </c>
      <c r="G1398" cm="1">
        <f t="array" ref="G1398">INDEX(_xlfn.FILTERXML(E1398,"//longitude"),1)</f>
        <v>140.154663</v>
      </c>
      <c r="H1398">
        <v>36.011432999999997</v>
      </c>
      <c r="I1398">
        <v>140.154663</v>
      </c>
    </row>
    <row r="1399" spans="1:9" x14ac:dyDescent="0.4">
      <c r="A1399" t="s">
        <v>11</v>
      </c>
      <c r="B1399" t="s">
        <v>606</v>
      </c>
      <c r="C1399" t="str">
        <f t="shared" si="81"/>
        <v>大阪府守口市金田町</v>
      </c>
      <c r="D1399" s="2" t="str">
        <f t="shared" si="82"/>
        <v>http://geocode.csis.u-tokyo.ac.jp/cgi-bin/simple_geocode.cgi?charset=UTF8&amp;addr=%E5%A4%A7%E9%98%AA%E5%BA%9C%E5%AE%88%E5%8F%A3%E5%B8%82%E9%87%91%E7%94%B0%E7%94%BA</v>
      </c>
      <c r="E1399" t="str">
        <f t="shared" si="83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1399" cm="1">
        <f t="array" ref="F1399">INDEX(_xlfn.FILTERXML(E1399,"//latitude"),1)</f>
        <v>34.753807000000002</v>
      </c>
      <c r="G1399" cm="1">
        <f t="array" ref="G1399">INDEX(_xlfn.FILTERXML(E1399,"//longitude"),1)</f>
        <v>135.59071399999999</v>
      </c>
      <c r="H1399">
        <v>34.753807000000002</v>
      </c>
      <c r="I1399">
        <v>135.59071399999999</v>
      </c>
    </row>
    <row r="1400" spans="1:9" x14ac:dyDescent="0.4">
      <c r="A1400" t="s">
        <v>9</v>
      </c>
      <c r="B1400" t="s">
        <v>205</v>
      </c>
      <c r="C1400" t="str">
        <f t="shared" si="81"/>
        <v>東京都杉並区</v>
      </c>
      <c r="D1400" s="2" t="str">
        <f t="shared" si="82"/>
        <v>http://geocode.csis.u-tokyo.ac.jp/cgi-bin/simple_geocode.cgi?charset=UTF8&amp;addr=%E6%9D%B1%E4%BA%AC%E9%83%BD%E6%9D%89%E4%B8%A6%E5%8C%BA</v>
      </c>
      <c r="E1400" t="str">
        <f t="shared" si="83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1400" cm="1">
        <f t="array" ref="F1400">INDEX(_xlfn.FILTERXML(E1400,"//latitude"),1)</f>
        <v>35.699547000000003</v>
      </c>
      <c r="G1400" cm="1">
        <f t="array" ref="G1400">INDEX(_xlfn.FILTERXML(E1400,"//longitude"),1)</f>
        <v>139.636414</v>
      </c>
      <c r="H1400">
        <v>35.699547000000003</v>
      </c>
      <c r="I1400">
        <v>139.636414</v>
      </c>
    </row>
    <row r="1401" spans="1:9" x14ac:dyDescent="0.4">
      <c r="A1401" t="s">
        <v>17</v>
      </c>
      <c r="B1401" t="s">
        <v>607</v>
      </c>
      <c r="C1401" t="str">
        <f t="shared" si="81"/>
        <v>愛知県半田市大池町</v>
      </c>
      <c r="D1401" s="2" t="str">
        <f t="shared" si="82"/>
        <v>http://geocode.csis.u-tokyo.ac.jp/cgi-bin/simple_geocode.cgi?charset=UTF8&amp;addr=%E6%84%9B%E7%9F%A5%E7%9C%8C%E5%8D%8A%E7%94%B0%E5%B8%82%E5%A4%A7%E6%B1%A0%E7%94%BA</v>
      </c>
      <c r="E1401" t="str">
        <f t="shared" si="83"/>
        <v xml:space="preserve">&lt;?xml version="1.0" encoding="UTF-8" ?&gt;
&lt;results&gt;
&lt;query&gt;愛知県半田市大池町&lt;/query&gt;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1401" cm="1">
        <f t="array" ref="F1401">INDEX(_xlfn.FILTERXML(E1401,"//latitude"),1)</f>
        <v>34.918365000000001</v>
      </c>
      <c r="G1401" cm="1">
        <f t="array" ref="G1401">INDEX(_xlfn.FILTERXML(E1401,"//longitude"),1)</f>
        <v>136.952789</v>
      </c>
      <c r="H1401">
        <v>34.918365000000001</v>
      </c>
      <c r="I1401">
        <v>136.952789</v>
      </c>
    </row>
    <row r="1402" spans="1:9" x14ac:dyDescent="0.4">
      <c r="A1402" t="s">
        <v>11</v>
      </c>
      <c r="B1402" t="s">
        <v>611</v>
      </c>
      <c r="C1402" t="str">
        <f t="shared" si="81"/>
        <v>大阪府東大阪市新池島町</v>
      </c>
      <c r="D1402" s="2" t="str">
        <f t="shared" si="82"/>
        <v>http://geocode.csis.u-tokyo.ac.jp/cgi-bin/simple_geocode.cgi?charset=UTF8&amp;addr=%E5%A4%A7%E9%98%AA%E5%BA%9C%E6%9D%B1%E5%A4%A7%E9%98%AA%E5%B8%82%E6%96%B0%E6%B1%A0%E5%B3%B6%E7%94%BA</v>
      </c>
      <c r="E1402" t="str">
        <f t="shared" si="83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1402" cm="1">
        <f t="array" ref="F1402">INDEX(_xlfn.FILTERXML(E1402,"//latitude"),1)</f>
        <v>34.658169000000001</v>
      </c>
      <c r="G1402" cm="1">
        <f t="array" ref="G1402">INDEX(_xlfn.FILTERXML(E1402,"//longitude"),1)</f>
        <v>135.631516</v>
      </c>
      <c r="H1402">
        <v>34.658169000000001</v>
      </c>
      <c r="I1402">
        <v>135.631516</v>
      </c>
    </row>
    <row r="1403" spans="1:9" x14ac:dyDescent="0.4">
      <c r="A1403" t="s">
        <v>17</v>
      </c>
      <c r="B1403" t="s">
        <v>612</v>
      </c>
      <c r="C1403" t="str">
        <f t="shared" si="81"/>
        <v>愛知県知多郡東浦町大字森岡字祖母懐</v>
      </c>
      <c r="D1403" s="2" t="str">
        <f t="shared" si="82"/>
        <v>http://geocode.csis.u-tokyo.ac.jp/cgi-bin/simple_geocode.cgi?charset=UTF8&amp;addr=%E6%84%9B%E7%9F%A5%E7%9C%8C%E7%9F%A5%E5%A4%9A%E9%83%A1%E6%9D%B1%E6%B5%A6%E7%94%BA%E5%A4%A7%E5%AD%97%E6%A3%AE%E5%B2%A1%E5%AD%97%E7%A5%96%E6%AF%8D%E6%87%90</v>
      </c>
      <c r="E1403" t="str">
        <f t="shared" si="83"/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1403" cm="1">
        <f t="array" ref="F1403">INDEX(_xlfn.FILTERXML(E1403,"//latitude"),1)</f>
        <v>34.994807999999999</v>
      </c>
      <c r="G1403" cm="1">
        <f t="array" ref="G1403">INDEX(_xlfn.FILTERXML(E1403,"//longitude"),1)</f>
        <v>136.95208700000001</v>
      </c>
      <c r="H1403">
        <v>34.994807999999999</v>
      </c>
      <c r="I1403">
        <v>136.95208700000001</v>
      </c>
    </row>
    <row r="1404" spans="1:9" x14ac:dyDescent="0.4">
      <c r="A1404" t="s">
        <v>9</v>
      </c>
      <c r="B1404" t="s">
        <v>614</v>
      </c>
      <c r="C1404" t="str">
        <f t="shared" si="81"/>
        <v>東京都府中市東芝町1-64</v>
      </c>
      <c r="D1404" s="2" t="str">
        <f t="shared" si="82"/>
        <v>http://geocode.csis.u-tokyo.ac.jp/cgi-bin/simple_geocode.cgi?charset=UTF8&amp;addr=%E6%9D%B1%E4%BA%AC%E9%83%BD%E5%BA%9C%E4%B8%AD%E5%B8%82%E6%9D%B1%E8%8A%9D%E7%94%BA1-64</v>
      </c>
      <c r="E1404" t="str">
        <f t="shared" si="83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1404" cm="1">
        <f t="array" ref="F1404">INDEX(_xlfn.FILTERXML(E1404,"//latitude"),1)</f>
        <v>35.681538000000003</v>
      </c>
      <c r="G1404" cm="1">
        <f t="array" ref="G1404">INDEX(_xlfn.FILTERXML(E1404,"//longitude"),1)</f>
        <v>139.46318099999999</v>
      </c>
      <c r="H1404">
        <v>35.681538000000003</v>
      </c>
      <c r="I1404">
        <v>139.46318099999999</v>
      </c>
    </row>
    <row r="1405" spans="1:9" x14ac:dyDescent="0.4">
      <c r="A1405" t="s">
        <v>118</v>
      </c>
      <c r="B1405" t="s">
        <v>621</v>
      </c>
      <c r="C1405" t="str">
        <f t="shared" si="81"/>
        <v>北海道札幌市東区</v>
      </c>
      <c r="D1405" s="2" t="str">
        <f t="shared" si="82"/>
        <v>http://geocode.csis.u-tokyo.ac.jp/cgi-bin/simple_geocode.cgi?charset=UTF8&amp;addr=%E5%8C%97%E6%B5%B7%E9%81%93%E6%9C%AD%E5%B9%8C%E5%B8%82%E6%9D%B1%E5%8C%BA</v>
      </c>
      <c r="E1405" t="str">
        <f t="shared" si="83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1405" cm="1">
        <f t="array" ref="F1405">INDEX(_xlfn.FILTERXML(E1405,"//latitude"),1)</f>
        <v>43.076241000000003</v>
      </c>
      <c r="G1405" cm="1">
        <f t="array" ref="G1405">INDEX(_xlfn.FILTERXML(E1405,"//longitude"),1)</f>
        <v>141.363663</v>
      </c>
      <c r="H1405">
        <v>43.076241000000003</v>
      </c>
      <c r="I1405">
        <v>141.363663</v>
      </c>
    </row>
    <row r="1406" spans="1:9" x14ac:dyDescent="0.4">
      <c r="A1406" t="s">
        <v>9</v>
      </c>
      <c r="B1406" t="s">
        <v>622</v>
      </c>
      <c r="C1406" t="str">
        <f t="shared" si="81"/>
        <v>東京都小金井貫井南町</v>
      </c>
      <c r="D1406" s="2" t="str">
        <f t="shared" si="82"/>
        <v>http://geocode.csis.u-tokyo.ac.jp/cgi-bin/simple_geocode.cgi?charset=UTF8&amp;addr=%E6%9D%B1%E4%BA%AC%E9%83%BD%E5%B0%8F%E9%87%91%E4%BA%95%E8%B2%AB%E4%BA%95%E5%8D%97%E7%94%BA</v>
      </c>
      <c r="E1406" t="str">
        <f t="shared" si="83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1406" cm="1">
        <f t="array" ref="F1406">INDEX(_xlfn.FILTERXML(E1406,"//latitude"),1)</f>
        <v>35.699477999999999</v>
      </c>
      <c r="G1406" cm="1">
        <f t="array" ref="G1406">INDEX(_xlfn.FILTERXML(E1406,"//longitude"),1)</f>
        <v>139.50299100000001</v>
      </c>
      <c r="H1406">
        <v>35.699477999999999</v>
      </c>
      <c r="I1406">
        <v>139.50299100000001</v>
      </c>
    </row>
    <row r="1407" spans="1:9" x14ac:dyDescent="0.4">
      <c r="A1407" t="s">
        <v>48</v>
      </c>
      <c r="B1407" t="s">
        <v>624</v>
      </c>
      <c r="C1407" t="str">
        <f t="shared" si="81"/>
        <v>石川県小松市</v>
      </c>
      <c r="D1407" s="2" t="str">
        <f t="shared" si="82"/>
        <v>http://geocode.csis.u-tokyo.ac.jp/cgi-bin/simple_geocode.cgi?charset=UTF8&amp;addr=%E7%9F%B3%E5%B7%9D%E7%9C%8C%E5%B0%8F%E6%9D%BE%E5%B8%82</v>
      </c>
      <c r="E1407" t="str">
        <f t="shared" si="83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1407" cm="1">
        <f t="array" ref="F1407">INDEX(_xlfn.FILTERXML(E1407,"//latitude"),1)</f>
        <v>36.408355999999998</v>
      </c>
      <c r="G1407" cm="1">
        <f t="array" ref="G1407">INDEX(_xlfn.FILTERXML(E1407,"//longitude"),1)</f>
        <v>136.44558699999999</v>
      </c>
      <c r="H1407">
        <v>36.408355999999998</v>
      </c>
      <c r="I1407">
        <v>136.44558699999999</v>
      </c>
    </row>
    <row r="1408" spans="1:9" x14ac:dyDescent="0.4">
      <c r="A1408" t="s">
        <v>9</v>
      </c>
      <c r="B1408" t="s">
        <v>625</v>
      </c>
      <c r="C1408" t="str">
        <f t="shared" si="81"/>
        <v>東京都足立区</v>
      </c>
      <c r="D1408" s="2" t="str">
        <f t="shared" si="82"/>
        <v>http://geocode.csis.u-tokyo.ac.jp/cgi-bin/simple_geocode.cgi?charset=UTF8&amp;addr=%E6%9D%B1%E4%BA%AC%E9%83%BD%E8%B6%B3%E7%AB%8B%E5%8C%BA</v>
      </c>
      <c r="E1408" t="str">
        <f t="shared" si="83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1408" cm="1">
        <f t="array" ref="F1408">INDEX(_xlfn.FILTERXML(E1408,"//latitude"),1)</f>
        <v>35.774943999999998</v>
      </c>
      <c r="G1408" cm="1">
        <f t="array" ref="G1408">INDEX(_xlfn.FILTERXML(E1408,"//longitude"),1)</f>
        <v>139.80458100000001</v>
      </c>
      <c r="H1408">
        <v>35.774943999999998</v>
      </c>
      <c r="I1408">
        <v>139.80458100000001</v>
      </c>
    </row>
    <row r="1409" spans="1:9" x14ac:dyDescent="0.4">
      <c r="A1409" t="s">
        <v>9</v>
      </c>
      <c r="B1409" t="s">
        <v>629</v>
      </c>
      <c r="C1409" t="str">
        <f t="shared" si="81"/>
        <v>東京都杉並区和泉</v>
      </c>
      <c r="D1409" s="2" t="str">
        <f t="shared" si="82"/>
        <v>http://geocode.csis.u-tokyo.ac.jp/cgi-bin/simple_geocode.cgi?charset=UTF8&amp;addr=%E6%9D%B1%E4%BA%AC%E9%83%BD%E6%9D%89%E4%B8%A6%E5%8C%BA%E5%92%8C%E6%B3%89</v>
      </c>
      <c r="E1409" t="str">
        <f t="shared" si="83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1409" cm="1">
        <f t="array" ref="F1409">INDEX(_xlfn.FILTERXML(E1409,"//latitude"),1)</f>
        <v>35.675258999999997</v>
      </c>
      <c r="G1409" cm="1">
        <f t="array" ref="G1409">INDEX(_xlfn.FILTERXML(E1409,"//longitude"),1)</f>
        <v>139.65695199999999</v>
      </c>
      <c r="H1409" s="3">
        <v>35.675258999999997</v>
      </c>
      <c r="I1409" s="3">
        <v>139.65695199999999</v>
      </c>
    </row>
    <row r="1410" spans="1:9" x14ac:dyDescent="0.4">
      <c r="A1410" t="s">
        <v>20</v>
      </c>
      <c r="B1410" t="s">
        <v>630</v>
      </c>
      <c r="C1410" t="str">
        <f t="shared" si="81"/>
        <v>茨城県行方市</v>
      </c>
      <c r="D1410" s="2" t="str">
        <f t="shared" si="82"/>
        <v>http://geocode.csis.u-tokyo.ac.jp/cgi-bin/simple_geocode.cgi?charset=UTF8&amp;addr=%E8%8C%A8%E5%9F%8E%E7%9C%8C%E8%A1%8C%E6%96%B9%E5%B8%82</v>
      </c>
      <c r="E1410" t="str">
        <f t="shared" si="83"/>
        <v xml:space="preserve">&lt;?xml version="1.0" encoding="UTF-8" ?&gt;
&lt;results&gt;
&lt;query&gt;茨城県行方市&lt;/query&gt;
&lt;geodetic&gt;wgs1984&lt;/geodetic&gt;
&lt;iConf&gt;5&lt;/iConf&gt;
&lt;converted&gt;茨城県行方市&lt;/converted&gt;
&lt;candidate&gt;
&lt;address&gt;茨城県/行方市&lt;/address&gt;
&lt;longitude&gt;140.489105&lt;/longitude&gt;
&lt;latitude&gt;35.990166&lt;/latitude&gt;
&lt;iLvl&gt;3&lt;/iLvl&gt;
&lt;/candidate&gt;
&lt;/results&gt;
</v>
      </c>
      <c r="F1410" cm="1">
        <f t="array" ref="F1410">INDEX(_xlfn.FILTERXML(E1410,"//latitude"),1)</f>
        <v>35.990166000000002</v>
      </c>
      <c r="G1410" cm="1">
        <f t="array" ref="G1410">INDEX(_xlfn.FILTERXML(E1410,"//longitude"),1)</f>
        <v>140.489105</v>
      </c>
      <c r="H1410">
        <v>35.990166000000002</v>
      </c>
      <c r="I1410">
        <v>140.489105</v>
      </c>
    </row>
    <row r="1411" spans="1:9" x14ac:dyDescent="0.4">
      <c r="A1411" t="s">
        <v>10</v>
      </c>
      <c r="B1411" t="s">
        <v>632</v>
      </c>
      <c r="C1411" t="str">
        <f t="shared" si="81"/>
        <v>神奈川県横浜市西区中央一丁目</v>
      </c>
      <c r="D1411" s="2" t="str">
        <f t="shared" si="82"/>
        <v>http://geocode.csis.u-tokyo.ac.jp/cgi-bin/simple_geocode.cgi?charset=UTF8&amp;addr=%E7%A5%9E%E5%A5%88%E5%B7%9D%E7%9C%8C%E6%A8%AA%E6%B5%9C%E5%B8%82%E8%A5%BF%E5%8C%BA%E4%B8%AD%E5%A4%AE%E4%B8%80%E4%B8%81%E7%9B%AE</v>
      </c>
      <c r="E1411" t="str">
        <f t="shared" si="83"/>
        <v xml:space="preserve">&lt;?xml version="1.0" encoding="UTF-8" ?&gt;
&lt;results&gt;
&lt;query&gt;神奈川県横浜市西区中央一丁目&lt;/query&gt;
&lt;geodetic&gt;wgs1984&lt;/geodetic&gt;
&lt;iConf&gt;5&lt;/iConf&gt;
&lt;converted&gt;神奈川県横浜市西区中央一丁目&lt;/converted&gt;
&lt;candidate&gt;
&lt;address&gt;神奈川県/横浜市/西区/中央/一丁目&lt;/address&gt;
&lt;longitude&gt;139.617004&lt;/longitude&gt;
&lt;latitude&gt;35.455040&lt;/latitude&gt;
&lt;iLvl&gt;6&lt;/iLvl&gt;
&lt;/candidate&gt;
&lt;/results&gt;
</v>
      </c>
      <c r="F1411" cm="1">
        <f t="array" ref="F1411">INDEX(_xlfn.FILTERXML(E1411,"//latitude"),1)</f>
        <v>35.455039999999997</v>
      </c>
      <c r="G1411" cm="1">
        <f t="array" ref="G1411">INDEX(_xlfn.FILTERXML(E1411,"//longitude"),1)</f>
        <v>139.61700400000001</v>
      </c>
      <c r="H1411">
        <v>35.455039999999997</v>
      </c>
      <c r="I1411">
        <v>139.61700400000001</v>
      </c>
    </row>
    <row r="1412" spans="1:9" x14ac:dyDescent="0.4">
      <c r="A1412" t="s">
        <v>16</v>
      </c>
      <c r="B1412" t="s">
        <v>237</v>
      </c>
      <c r="C1412" t="str">
        <f t="shared" si="81"/>
        <v>長野県松本市</v>
      </c>
      <c r="D1412" s="2" t="str">
        <f t="shared" si="82"/>
        <v>http://geocode.csis.u-tokyo.ac.jp/cgi-bin/simple_geocode.cgi?charset=UTF8&amp;addr=%E9%95%B7%E9%87%8E%E7%9C%8C%E6%9D%BE%E6%9C%AC%E5%B8%82</v>
      </c>
      <c r="E1412" t="str">
        <f t="shared" si="83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1412" cm="1">
        <f t="array" ref="F1412">INDEX(_xlfn.FILTERXML(E1412,"//latitude"),1)</f>
        <v>36.238093999999997</v>
      </c>
      <c r="G1412" cm="1">
        <f t="array" ref="G1412">INDEX(_xlfn.FILTERXML(E1412,"//longitude"),1)</f>
        <v>137.97198499999999</v>
      </c>
      <c r="H1412">
        <v>36.238093999999997</v>
      </c>
      <c r="I1412">
        <v>137.97198499999999</v>
      </c>
    </row>
    <row r="1413" spans="1:9" x14ac:dyDescent="0.4">
      <c r="A1413" t="s">
        <v>10</v>
      </c>
      <c r="B1413" t="s">
        <v>633</v>
      </c>
      <c r="C1413" t="str">
        <f t="shared" si="81"/>
        <v>神奈川県横浜市港北区綱島上町</v>
      </c>
      <c r="D1413" s="2" t="str">
        <f t="shared" si="82"/>
        <v>http://geocode.csis.u-tokyo.ac.jp/cgi-bin/simple_geocode.cgi?charset=UTF8&amp;addr=%E7%A5%9E%E5%A5%88%E5%B7%9D%E7%9C%8C%E6%A8%AA%E6%B5%9C%E5%B8%82%E6%B8%AF%E5%8C%97%E5%8C%BA%E7%B6%B1%E5%B3%B6%E4%B8%8A%E7%94%BA</v>
      </c>
      <c r="E1413" t="str">
        <f t="shared" si="83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1413" cm="1">
        <f t="array" ref="F1413">INDEX(_xlfn.FILTERXML(E1413,"//latitude"),1)</f>
        <v>35.536560000000001</v>
      </c>
      <c r="G1413" cm="1">
        <f t="array" ref="G1413">INDEX(_xlfn.FILTERXML(E1413,"//longitude"),1)</f>
        <v>139.62498500000001</v>
      </c>
      <c r="H1413">
        <v>35.536560000000001</v>
      </c>
      <c r="I1413">
        <v>139.62498500000001</v>
      </c>
    </row>
    <row r="1414" spans="1:9" x14ac:dyDescent="0.4">
      <c r="A1414" t="s">
        <v>10</v>
      </c>
      <c r="B1414" t="s">
        <v>634</v>
      </c>
      <c r="C1414" t="str">
        <f t="shared" si="81"/>
        <v>神奈川県横浜市金沢区東朝比奈</v>
      </c>
      <c r="D1414" s="2" t="str">
        <f t="shared" si="82"/>
        <v>http://geocode.csis.u-tokyo.ac.jp/cgi-bin/simple_geocode.cgi?charset=UTF8&amp;addr=%E7%A5%9E%E5%A5%88%E5%B7%9D%E7%9C%8C%E6%A8%AA%E6%B5%9C%E5%B8%82%E9%87%91%E6%B2%A2%E5%8C%BA%E6%9D%B1%E6%9C%9D%E6%AF%94%E5%A5%88</v>
      </c>
      <c r="E1414" t="str">
        <f t="shared" si="83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1414" cm="1">
        <f t="array" ref="F1414">INDEX(_xlfn.FILTERXML(E1414,"//latitude"),1)</f>
        <v>35.324542999999998</v>
      </c>
      <c r="G1414" cm="1">
        <f t="array" ref="G1414">INDEX(_xlfn.FILTERXML(E1414,"//longitude"),1)</f>
        <v>139.60403400000001</v>
      </c>
      <c r="H1414">
        <v>35.324542999999998</v>
      </c>
      <c r="I1414">
        <v>139.60403400000001</v>
      </c>
    </row>
    <row r="1415" spans="1:9" x14ac:dyDescent="0.4">
      <c r="A1415" t="s">
        <v>10</v>
      </c>
      <c r="B1415" t="s">
        <v>638</v>
      </c>
      <c r="C1415" t="str">
        <f t="shared" si="81"/>
        <v>神奈川県横浜市　旭区　東希望が丘</v>
      </c>
      <c r="D1415" s="2" t="str">
        <f t="shared" si="82"/>
        <v>http://geocode.csis.u-tokyo.ac.jp/cgi-bin/simple_geocode.cgi?charset=UTF8&amp;addr=%E7%A5%9E%E5%A5%88%E5%B7%9D%E7%9C%8C%E6%A8%AA%E6%B5%9C%E5%B8%82%E3%80%80%E6%97%AD%E5%8C%BA%E3%80%80%E6%9D%B1%E5%B8%8C%E6%9C%9B%E3%81%8C%E4%B8%98</v>
      </c>
      <c r="E1415" t="str">
        <f t="shared" si="83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1415" cm="1">
        <f t="array" ref="F1415">INDEX(_xlfn.FILTERXML(E1415,"//latitude"),1)</f>
        <v>35.464314000000002</v>
      </c>
      <c r="G1415" cm="1">
        <f t="array" ref="G1415">INDEX(_xlfn.FILTERXML(E1415,"//longitude"),1)</f>
        <v>139.51432800000001</v>
      </c>
      <c r="H1415">
        <v>35.464314000000002</v>
      </c>
      <c r="I1415">
        <v>139.51432800000001</v>
      </c>
    </row>
    <row r="1416" spans="1:9" x14ac:dyDescent="0.4">
      <c r="A1416" t="s">
        <v>17</v>
      </c>
      <c r="B1416" t="s">
        <v>639</v>
      </c>
      <c r="C1416" t="str">
        <f t="shared" si="81"/>
        <v>愛知県知多郡東浦町緒川</v>
      </c>
      <c r="D1416" s="2" t="str">
        <f t="shared" si="82"/>
        <v>http://geocode.csis.u-tokyo.ac.jp/cgi-bin/simple_geocode.cgi?charset=UTF8&amp;addr=%E6%84%9B%E7%9F%A5%E7%9C%8C%E7%9F%A5%E5%A4%9A%E9%83%A1%E6%9D%B1%E6%B5%A6%E7%94%BA%E7%B7%92%E5%B7%9D</v>
      </c>
      <c r="E1416" t="str">
        <f t="shared" si="83"/>
        <v xml:space="preserve">&lt;?xml version="1.0" encoding="UTF-8" ?&gt;
&lt;results&gt;
&lt;query&gt;愛知県知多郡東浦町緒川&lt;/query&gt;
&lt;geodetic&gt;wgs1984&lt;/geodetic&gt;
&lt;iConf&gt;5&lt;/iConf&gt;
&lt;converted&gt;愛知県知多郡東浦町緒川&lt;/converted&gt;
&lt;candidate&gt;
&lt;address&gt;愛知県/知多郡/東浦町/緒川&lt;/address&gt;
&lt;longitude&gt;136.936691&lt;/longitude&gt;
&lt;latitude&gt;34.972813&lt;/latitude&gt;
&lt;iLvl&gt;5&lt;/iLvl&gt;
&lt;/candidate&gt;
&lt;/results&gt;
</v>
      </c>
      <c r="F1416" cm="1">
        <f t="array" ref="F1416">INDEX(_xlfn.FILTERXML(E1416,"//latitude"),1)</f>
        <v>34.972813000000002</v>
      </c>
      <c r="G1416" cm="1">
        <f t="array" ref="G1416">INDEX(_xlfn.FILTERXML(E1416,"//longitude"),1)</f>
        <v>136.936691</v>
      </c>
      <c r="H1416">
        <v>34.972813000000002</v>
      </c>
      <c r="I1416">
        <v>136.936691</v>
      </c>
    </row>
    <row r="1417" spans="1:9" x14ac:dyDescent="0.4">
      <c r="A1417" t="s">
        <v>26</v>
      </c>
      <c r="B1417" t="s">
        <v>642</v>
      </c>
      <c r="C1417" t="str">
        <f t="shared" si="81"/>
        <v>京都府京都市山科区東野舞台町</v>
      </c>
      <c r="D1417" s="2" t="str">
        <f t="shared" si="82"/>
        <v>http://geocode.csis.u-tokyo.ac.jp/cgi-bin/simple_geocode.cgi?charset=UTF8&amp;addr=%E4%BA%AC%E9%83%BD%E5%BA%9C%E4%BA%AC%E9%83%BD%E5%B8%82%E5%B1%B1%E7%A7%91%E5%8C%BA%E6%9D%B1%E9%87%8E%E8%88%9E%E5%8F%B0%E7%94%BA</v>
      </c>
      <c r="E1417" t="str">
        <f t="shared" si="83"/>
        <v xml:space="preserve">&lt;?xml version="1.0" encoding="UTF-8" ?&gt;
&lt;results&gt;
&lt;query&gt;京都府京都市山科区東野舞台町&lt;/query&gt;
&lt;geodetic&gt;wgs1984&lt;/geodetic&gt;
&lt;iConf&gt;5&lt;/iConf&gt;
&lt;converted&gt;京都府京都市山科区東野舞台町&lt;/converted&gt;
&lt;candidate&gt;
&lt;address&gt;京都府/京都市/山科区/東野舞台町&lt;/address&gt;
&lt;longitude&gt;135.808807&lt;/longitude&gt;
&lt;latitude&gt;34.975178&lt;/latitude&gt;
&lt;iLvl&gt;5&lt;/iLvl&gt;
&lt;/candidate&gt;
&lt;/results&gt;
</v>
      </c>
      <c r="F1417" cm="1">
        <f t="array" ref="F1417">INDEX(_xlfn.FILTERXML(E1417,"//latitude"),1)</f>
        <v>34.975178</v>
      </c>
      <c r="G1417" cm="1">
        <f t="array" ref="G1417">INDEX(_xlfn.FILTERXML(E1417,"//longitude"),1)</f>
        <v>135.808807</v>
      </c>
      <c r="H1417">
        <v>34.975178</v>
      </c>
      <c r="I1417">
        <v>135.808807</v>
      </c>
    </row>
    <row r="1418" spans="1:9" x14ac:dyDescent="0.4">
      <c r="A1418" t="s">
        <v>17</v>
      </c>
      <c r="B1418" t="s">
        <v>649</v>
      </c>
      <c r="C1418" t="str">
        <f t="shared" si="81"/>
        <v>愛知県瀬戸市窯町</v>
      </c>
      <c r="D1418" s="2" t="str">
        <f t="shared" si="82"/>
        <v>http://geocode.csis.u-tokyo.ac.jp/cgi-bin/simple_geocode.cgi?charset=UTF8&amp;addr=%E6%84%9B%E7%9F%A5%E7%9C%8C%E7%80%AC%E6%88%B8%E5%B8%82%E7%AA%AF%E7%94%BA</v>
      </c>
      <c r="E1418" t="str">
        <f t="shared" si="83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1418" cm="1">
        <f t="array" ref="F1418">INDEX(_xlfn.FILTERXML(E1418,"//latitude"),1)</f>
        <v>35.240887000000001</v>
      </c>
      <c r="G1418" cm="1">
        <f t="array" ref="G1418">INDEX(_xlfn.FILTERXML(E1418,"//longitude"),1)</f>
        <v>137.12818899999999</v>
      </c>
      <c r="H1418">
        <v>35.240887000000001</v>
      </c>
      <c r="I1418">
        <v>137.12818899999999</v>
      </c>
    </row>
    <row r="1419" spans="1:9" x14ac:dyDescent="0.4">
      <c r="A1419" t="s">
        <v>11</v>
      </c>
      <c r="B1419" t="s">
        <v>656</v>
      </c>
      <c r="C1419" t="str">
        <f t="shared" si="81"/>
        <v>大阪府枚方市</v>
      </c>
      <c r="D1419" s="2" t="str">
        <f t="shared" si="82"/>
        <v>http://geocode.csis.u-tokyo.ac.jp/cgi-bin/simple_geocode.cgi?charset=UTF8&amp;addr=%E5%A4%A7%E9%98%AA%E5%BA%9C%E6%9E%9A%E6%96%B9%E5%B8%82</v>
      </c>
      <c r="E1419" t="str">
        <f t="shared" si="83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1419" cm="1">
        <f t="array" ref="F1419">INDEX(_xlfn.FILTERXML(E1419,"//latitude"),1)</f>
        <v>34.814464999999998</v>
      </c>
      <c r="G1419" cm="1">
        <f t="array" ref="G1419">INDEX(_xlfn.FILTERXML(E1419,"//longitude"),1)</f>
        <v>135.65063499999999</v>
      </c>
      <c r="H1419">
        <v>34.814464999999998</v>
      </c>
      <c r="I1419">
        <v>135.65063499999999</v>
      </c>
    </row>
    <row r="1420" spans="1:9" x14ac:dyDescent="0.4">
      <c r="A1420" t="s">
        <v>9</v>
      </c>
      <c r="B1420" t="s">
        <v>657</v>
      </c>
      <c r="C1420" t="str">
        <f t="shared" si="81"/>
        <v>東京都八王子市</v>
      </c>
      <c r="D1420" s="2" t="str">
        <f t="shared" si="82"/>
        <v>http://geocode.csis.u-tokyo.ac.jp/cgi-bin/simple_geocode.cgi?charset=UTF8&amp;addr=%E6%9D%B1%E4%BA%AC%E9%83%BD%E5%85%AB%E7%8E%8B%E5%AD%90%E5%B8%82</v>
      </c>
      <c r="E1420" t="str">
        <f t="shared" si="83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1420" cm="1">
        <f t="array" ref="F1420">INDEX(_xlfn.FILTERXML(E1420,"//latitude"),1)</f>
        <v>35.666569000000003</v>
      </c>
      <c r="G1420" cm="1">
        <f t="array" ref="G1420">INDEX(_xlfn.FILTERXML(E1420,"//longitude"),1)</f>
        <v>139.31607099999999</v>
      </c>
      <c r="H1420">
        <v>35.666569000000003</v>
      </c>
      <c r="I1420">
        <v>139.31607099999999</v>
      </c>
    </row>
    <row r="1421" spans="1:9" x14ac:dyDescent="0.4">
      <c r="A1421" t="s">
        <v>144</v>
      </c>
      <c r="B1421" t="s">
        <v>234</v>
      </c>
      <c r="C1421" t="str">
        <f t="shared" si="81"/>
        <v>秋田県北秋田市鷹巣字下家下</v>
      </c>
      <c r="D1421" s="2" t="str">
        <f t="shared" si="82"/>
        <v>http://geocode.csis.u-tokyo.ac.jp/cgi-bin/simple_geocode.cgi?charset=UTF8&amp;addr=%E7%A7%8B%E7%94%B0%E7%9C%8C%E5%8C%97%E7%A7%8B%E7%94%B0%E5%B8%82%E9%B7%B9%E5%B7%A3%E5%AD%97%E4%B8%8B%E5%AE%B6%E4%B8%8B</v>
      </c>
      <c r="E1421" t="str">
        <f t="shared" si="83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1421" cm="1">
        <f t="array" ref="F1421">INDEX(_xlfn.FILTERXML(E1421,"//latitude"),1)</f>
        <v>40.230370000000001</v>
      </c>
      <c r="G1421" cm="1">
        <f t="array" ref="G1421">INDEX(_xlfn.FILTERXML(E1421,"//longitude"),1)</f>
        <v>140.35974100000001</v>
      </c>
      <c r="H1421">
        <v>40.230370000000001</v>
      </c>
      <c r="I1421">
        <v>140.35974100000001</v>
      </c>
    </row>
    <row r="1422" spans="1:9" x14ac:dyDescent="0.4">
      <c r="A1422" t="s">
        <v>9</v>
      </c>
      <c r="B1422" t="s">
        <v>659</v>
      </c>
      <c r="C1422" t="str">
        <f t="shared" si="81"/>
        <v>東京都世田谷区弦巻</v>
      </c>
      <c r="D1422" s="2" t="str">
        <f t="shared" si="82"/>
        <v>http://geocode.csis.u-tokyo.ac.jp/cgi-bin/simple_geocode.cgi?charset=UTF8&amp;addr=%E6%9D%B1%E4%BA%AC%E9%83%BD%E4%B8%96%E7%94%B0%E8%B0%B7%E5%8C%BA%E5%BC%A6%E5%B7%BB</v>
      </c>
      <c r="E1422" t="str">
        <f t="shared" si="83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1422" cm="1">
        <f t="array" ref="F1422">INDEX(_xlfn.FILTERXML(E1422,"//latitude"),1)</f>
        <v>35.638038999999999</v>
      </c>
      <c r="G1422" cm="1">
        <f t="array" ref="G1422">INDEX(_xlfn.FILTERXML(E1422,"//longitude"),1)</f>
        <v>139.651962</v>
      </c>
      <c r="H1422">
        <v>35.638038999999999</v>
      </c>
      <c r="I1422">
        <v>139.651962</v>
      </c>
    </row>
    <row r="1423" spans="1:9" x14ac:dyDescent="0.4">
      <c r="A1423" t="s">
        <v>9</v>
      </c>
      <c r="B1423" t="s">
        <v>252</v>
      </c>
      <c r="C1423" t="str">
        <f t="shared" ref="C1423:C1486" si="84">+A1423&amp;B1423</f>
        <v>東京都渋谷区代々木</v>
      </c>
      <c r="D1423" s="2" t="str">
        <f t="shared" ref="D1423:D1486" si="85" xml:space="preserve"> "http://geocode.csis.u-tokyo.ac.jp/cgi-bin/simple_geocode.cgi?charset=UTF8&amp;addr=" &amp; _xlfn.ENCODEURL(C1423)</f>
        <v>http://geocode.csis.u-tokyo.ac.jp/cgi-bin/simple_geocode.cgi?charset=UTF8&amp;addr=%E6%9D%B1%E4%BA%AC%E9%83%BD%E6%B8%8B%E8%B0%B7%E5%8C%BA%E4%BB%A3%E3%80%85%E6%9C%A8</v>
      </c>
      <c r="E1423" t="str">
        <f t="shared" ref="E1423:E1486" si="86" xml:space="preserve"> _xlfn.WEBSERVICE(D1423)</f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1423" cm="1">
        <f t="array" ref="F1423">INDEX(_xlfn.FILTERXML(E1423,"//latitude"),1)</f>
        <v>35.681885000000001</v>
      </c>
      <c r="G1423" cm="1">
        <f t="array" ref="G1423">INDEX(_xlfn.FILTERXML(E1423,"//longitude"),1)</f>
        <v>139.70004299999999</v>
      </c>
      <c r="H1423">
        <v>35.681885000000001</v>
      </c>
      <c r="I1423">
        <v>139.70004299999999</v>
      </c>
    </row>
    <row r="1424" spans="1:9" x14ac:dyDescent="0.4">
      <c r="A1424" t="s">
        <v>11</v>
      </c>
      <c r="B1424" t="s">
        <v>664</v>
      </c>
      <c r="C1424" t="str">
        <f t="shared" si="84"/>
        <v>大阪府豊中市東豊中町</v>
      </c>
      <c r="D1424" s="2" t="str">
        <f t="shared" si="85"/>
        <v>http://geocode.csis.u-tokyo.ac.jp/cgi-bin/simple_geocode.cgi?charset=UTF8&amp;addr=%E5%A4%A7%E9%98%AA%E5%BA%9C%E8%B1%8A%E4%B8%AD%E5%B8%82%E6%9D%B1%E8%B1%8A%E4%B8%AD%E7%94%BA</v>
      </c>
      <c r="E1424" t="str">
        <f t="shared" si="86"/>
        <v xml:space="preserve">&lt;?xml version="1.0" encoding="UTF-8" ?&gt;
&lt;results&gt;
&lt;query&gt;大阪府豊中市東豊中町&lt;/query&gt;
&lt;geodetic&gt;wgs1984&lt;/geodetic&gt;
&lt;iConf&gt;5&lt;/iConf&gt;
&lt;converted&gt;大阪府豊中市東豊中町&lt;/converted&gt;
&lt;candidate&gt;
&lt;address&gt;大阪府/豊中市/東豊中町&lt;/address&gt;
&lt;longitude&gt;135.478714&lt;/longitude&gt;
&lt;latitude&gt;34.800533&lt;/latitude&gt;
&lt;iLvl&gt;5&lt;/iLvl&gt;
&lt;/candidate&gt;
&lt;/results&gt;
</v>
      </c>
      <c r="F1424" cm="1">
        <f t="array" ref="F1424">INDEX(_xlfn.FILTERXML(E1424,"//latitude"),1)</f>
        <v>34.800533000000001</v>
      </c>
      <c r="G1424" cm="1">
        <f t="array" ref="G1424">INDEX(_xlfn.FILTERXML(E1424,"//longitude"),1)</f>
        <v>135.478714</v>
      </c>
      <c r="H1424">
        <v>34.800533000000001</v>
      </c>
      <c r="I1424">
        <v>135.478714</v>
      </c>
    </row>
    <row r="1425" spans="1:9" x14ac:dyDescent="0.4">
      <c r="A1425" t="s">
        <v>14</v>
      </c>
      <c r="B1425" t="s">
        <v>665</v>
      </c>
      <c r="C1425" t="str">
        <f t="shared" si="84"/>
        <v>広島県広島市安佐南区川内</v>
      </c>
      <c r="D1425" s="2" t="str">
        <f t="shared" si="85"/>
        <v>http://geocode.csis.u-tokyo.ac.jp/cgi-bin/simple_geocode.cgi?charset=UTF8&amp;addr=%E5%BA%83%E5%B3%B6%E7%9C%8C%E5%BA%83%E5%B3%B6%E5%B8%82%E5%AE%89%E4%BD%90%E5%8D%97%E5%8C%BA%E5%B7%9D%E5%86%85</v>
      </c>
      <c r="E1425" t="str">
        <f t="shared" si="86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1425" cm="1">
        <f t="array" ref="F1425">INDEX(_xlfn.FILTERXML(E1425,"//latitude"),1)</f>
        <v>34.458027000000001</v>
      </c>
      <c r="G1425" cm="1">
        <f t="array" ref="G1425">INDEX(_xlfn.FILTERXML(E1425,"//longitude"),1)</f>
        <v>132.48445100000001</v>
      </c>
      <c r="H1425">
        <v>34.458027000000001</v>
      </c>
      <c r="I1425">
        <v>132.48445100000001</v>
      </c>
    </row>
    <row r="1426" spans="1:9" x14ac:dyDescent="0.4">
      <c r="A1426" t="s">
        <v>28</v>
      </c>
      <c r="B1426" t="s">
        <v>666</v>
      </c>
      <c r="C1426" t="str">
        <f t="shared" si="84"/>
        <v>沖縄県豊見城市</v>
      </c>
      <c r="D1426" s="2" t="str">
        <f t="shared" si="85"/>
        <v>http://geocode.csis.u-tokyo.ac.jp/cgi-bin/simple_geocode.cgi?charset=UTF8&amp;addr=%E6%B2%96%E7%B8%84%E7%9C%8C%E8%B1%8A%E8%A6%8B%E5%9F%8E%E5%B8%82</v>
      </c>
      <c r="E1426" t="str">
        <f t="shared" si="86"/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1426" cm="1">
        <f t="array" ref="F1426">INDEX(_xlfn.FILTERXML(E1426,"//latitude"),1)</f>
        <v>26.161026</v>
      </c>
      <c r="G1426" cm="1">
        <f t="array" ref="G1426">INDEX(_xlfn.FILTERXML(E1426,"//longitude"),1)</f>
        <v>127.66888400000001</v>
      </c>
      <c r="H1426">
        <v>26.161026</v>
      </c>
      <c r="I1426">
        <v>127.66888400000001</v>
      </c>
    </row>
    <row r="1427" spans="1:9" x14ac:dyDescent="0.4">
      <c r="A1427" t="s">
        <v>11</v>
      </c>
      <c r="B1427" t="s">
        <v>236</v>
      </c>
      <c r="C1427" t="str">
        <f t="shared" si="84"/>
        <v>大阪府吹田市桃山台</v>
      </c>
      <c r="D1427" s="2" t="str">
        <f t="shared" si="85"/>
        <v>http://geocode.csis.u-tokyo.ac.jp/cgi-bin/simple_geocode.cgi?charset=UTF8&amp;addr=%E5%A4%A7%E9%98%AA%E5%BA%9C%E5%90%B9%E7%94%B0%E5%B8%82%E6%A1%83%E5%B1%B1%E5%8F%B0</v>
      </c>
      <c r="E1427" t="str">
        <f t="shared" si="86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1427" cm="1">
        <f t="array" ref="F1427">INDEX(_xlfn.FILTERXML(E1427,"//latitude"),1)</f>
        <v>34.791454000000002</v>
      </c>
      <c r="G1427" cm="1">
        <f t="array" ref="G1427">INDEX(_xlfn.FILTERXML(E1427,"//longitude"),1)</f>
        <v>135.505402</v>
      </c>
      <c r="H1427">
        <v>34.791454000000002</v>
      </c>
      <c r="I1427">
        <v>135.505402</v>
      </c>
    </row>
    <row r="1428" spans="1:9" x14ac:dyDescent="0.4">
      <c r="A1428" t="s">
        <v>48</v>
      </c>
      <c r="B1428" t="s">
        <v>268</v>
      </c>
      <c r="C1428" t="str">
        <f t="shared" si="84"/>
        <v>石川県能美市福島町</v>
      </c>
      <c r="D1428" s="2" t="str">
        <f t="shared" si="85"/>
        <v>http://geocode.csis.u-tokyo.ac.jp/cgi-bin/simple_geocode.cgi?charset=UTF8&amp;addr=%E7%9F%B3%E5%B7%9D%E7%9C%8C%E8%83%BD%E7%BE%8E%E5%B8%82%E7%A6%8F%E5%B3%B6%E7%94%BA</v>
      </c>
      <c r="E1428" t="str">
        <f t="shared" si="86"/>
        <v xml:space="preserve">&lt;?xml version="1.0" encoding="UTF-8" ?&gt;
&lt;results&gt;
&lt;query&gt;石川県能美市福島町&lt;/query&gt;
&lt;geodetic&gt;wgs1984&lt;/geodetic&gt;
&lt;iConf&gt;5&lt;/iConf&gt;
&lt;converted&gt;石川県能美市福島町&lt;/converted&gt;
&lt;candidate&gt;
&lt;address&gt;石川県/能美市/福島町&lt;/address&gt;
&lt;longitude&gt;136.470688&lt;/longitude&gt;
&lt;latitude&gt;36.458138&lt;/latitude&gt;
&lt;iLvl&gt;5&lt;/iLvl&gt;
&lt;/candidate&gt;
&lt;/results&gt;
</v>
      </c>
      <c r="F1428" cm="1">
        <f t="array" ref="F1428">INDEX(_xlfn.FILTERXML(E1428,"//latitude"),1)</f>
        <v>36.458137999999998</v>
      </c>
      <c r="G1428" cm="1">
        <f t="array" ref="G1428">INDEX(_xlfn.FILTERXML(E1428,"//longitude"),1)</f>
        <v>136.470688</v>
      </c>
      <c r="H1428">
        <v>36.458137999999998</v>
      </c>
      <c r="I1428">
        <v>136.470688</v>
      </c>
    </row>
    <row r="1429" spans="1:9" x14ac:dyDescent="0.4">
      <c r="A1429" t="s">
        <v>16</v>
      </c>
      <c r="B1429" t="s">
        <v>269</v>
      </c>
      <c r="C1429" t="str">
        <f t="shared" si="84"/>
        <v>長野県松本市笹賀</v>
      </c>
      <c r="D1429" s="2" t="str">
        <f t="shared" si="85"/>
        <v>http://geocode.csis.u-tokyo.ac.jp/cgi-bin/simple_geocode.cgi?charset=UTF8&amp;addr=%E9%95%B7%E9%87%8E%E7%9C%8C%E6%9D%BE%E6%9C%AC%E5%B8%82%E7%AC%B9%E8%B3%80</v>
      </c>
      <c r="E1429" t="str">
        <f t="shared" si="86"/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1429" cm="1">
        <f t="array" ref="F1429">INDEX(_xlfn.FILTERXML(E1429,"//latitude"),1)</f>
        <v>36.177273</v>
      </c>
      <c r="G1429" cm="1">
        <f t="array" ref="G1429">INDEX(_xlfn.FILTERXML(E1429,"//longitude"),1)</f>
        <v>137.93632500000001</v>
      </c>
      <c r="H1429">
        <v>36.177273</v>
      </c>
      <c r="I1429">
        <v>137.93632500000001</v>
      </c>
    </row>
    <row r="1430" spans="1:9" x14ac:dyDescent="0.4">
      <c r="A1430" t="s">
        <v>15</v>
      </c>
      <c r="B1430" t="s">
        <v>271</v>
      </c>
      <c r="C1430" t="str">
        <f t="shared" si="84"/>
        <v>兵庫県小野市</v>
      </c>
      <c r="D1430" s="2" t="str">
        <f t="shared" si="85"/>
        <v>http://geocode.csis.u-tokyo.ac.jp/cgi-bin/simple_geocode.cgi?charset=UTF8&amp;addr=%E5%85%B5%E5%BA%AB%E7%9C%8C%E5%B0%8F%E9%87%8E%E5%B8%82</v>
      </c>
      <c r="E1430" t="str">
        <f t="shared" si="86"/>
        <v xml:space="preserve">&lt;?xml version="1.0" encoding="UTF-8" ?&gt;
&lt;results&gt;
&lt;query&gt;兵庫県小野市&lt;/query&gt;
&lt;geodetic&gt;wgs1984&lt;/geodetic&gt;
&lt;iConf&gt;5&lt;/iConf&gt;
&lt;converted&gt;兵庫県小野市&lt;/converted&gt;
&lt;candidate&gt;
&lt;address&gt;兵庫県/小野市&lt;/address&gt;
&lt;longitude&gt;134.931549&lt;/longitude&gt;
&lt;latitude&gt;34.853184&lt;/latitude&gt;
&lt;iLvl&gt;3&lt;/iLvl&gt;
&lt;/candidate&gt;
&lt;/results&gt;
</v>
      </c>
      <c r="F1430" cm="1">
        <f t="array" ref="F1430">INDEX(_xlfn.FILTERXML(E1430,"//latitude"),1)</f>
        <v>34.853183999999999</v>
      </c>
      <c r="G1430" cm="1">
        <f t="array" ref="G1430">INDEX(_xlfn.FILTERXML(E1430,"//longitude"),1)</f>
        <v>134.93154899999999</v>
      </c>
      <c r="H1430">
        <v>34.853183999999999</v>
      </c>
      <c r="I1430">
        <v>134.93154899999999</v>
      </c>
    </row>
    <row r="1431" spans="1:9" x14ac:dyDescent="0.4">
      <c r="A1431" t="s">
        <v>18</v>
      </c>
      <c r="B1431" t="s">
        <v>272</v>
      </c>
      <c r="C1431" t="str">
        <f t="shared" si="84"/>
        <v>千葉県大和田</v>
      </c>
      <c r="D1431" s="2" t="str">
        <f t="shared" si="85"/>
        <v>http://geocode.csis.u-tokyo.ac.jp/cgi-bin/simple_geocode.cgi?charset=UTF8&amp;addr=%E5%8D%83%E8%91%89%E7%9C%8C%E5%A4%A7%E5%92%8C%E7%94%B0</v>
      </c>
      <c r="E1431" t="str">
        <f t="shared" si="86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1431" cm="1">
        <f t="array" ref="F1431">INDEX(_xlfn.FILTERXML(E1431,"//latitude"),1)</f>
        <v>35.834408000000003</v>
      </c>
      <c r="G1431" cm="1">
        <f t="array" ref="G1431">INDEX(_xlfn.FILTERXML(E1431,"//longitude"),1)</f>
        <v>140.46289100000001</v>
      </c>
      <c r="H1431">
        <v>35.834408000000003</v>
      </c>
      <c r="I1431">
        <v>140.46289100000001</v>
      </c>
    </row>
    <row r="1432" spans="1:9" x14ac:dyDescent="0.4">
      <c r="A1432" t="s">
        <v>37</v>
      </c>
      <c r="B1432" t="s">
        <v>274</v>
      </c>
      <c r="C1432" t="str">
        <f t="shared" si="84"/>
        <v>三重県津市河芸町千里ケ丘</v>
      </c>
      <c r="D1432" s="2" t="str">
        <f t="shared" si="85"/>
        <v>http://geocode.csis.u-tokyo.ac.jp/cgi-bin/simple_geocode.cgi?charset=UTF8&amp;addr=%E4%B8%89%E9%87%8D%E7%9C%8C%E6%B4%A5%E5%B8%82%E6%B2%B3%E8%8A%B8%E7%94%BA%E5%8D%83%E9%87%8C%E3%82%B1%E4%B8%98</v>
      </c>
      <c r="E1432" t="str">
        <f t="shared" si="86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1432" cm="1">
        <f t="array" ref="F1432">INDEX(_xlfn.FILTERXML(E1432,"//latitude"),1)</f>
        <v>34.804855000000003</v>
      </c>
      <c r="G1432" cm="1">
        <f t="array" ref="G1432">INDEX(_xlfn.FILTERXML(E1432,"//longitude"),1)</f>
        <v>136.54585299999999</v>
      </c>
      <c r="H1432">
        <v>34.804855000000003</v>
      </c>
      <c r="I1432">
        <v>136.54585299999999</v>
      </c>
    </row>
    <row r="1433" spans="1:9" x14ac:dyDescent="0.4">
      <c r="A1433" t="s">
        <v>17</v>
      </c>
      <c r="B1433" t="s">
        <v>275</v>
      </c>
      <c r="C1433" t="str">
        <f t="shared" si="84"/>
        <v>愛知県名古屋市東区前浪町</v>
      </c>
      <c r="D1433" s="2" t="str">
        <f t="shared" si="85"/>
        <v>http://geocode.csis.u-tokyo.ac.jp/cgi-bin/simple_geocode.cgi?charset=UTF8&amp;addr=%E6%84%9B%E7%9F%A5%E7%9C%8C%E5%90%8D%E5%8F%A4%E5%B1%8B%E5%B8%82%E6%9D%B1%E5%8C%BA%E5%89%8D%E6%B5%AA%E7%94%BA</v>
      </c>
      <c r="E1433" t="str">
        <f t="shared" si="86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1433" cm="1">
        <f t="array" ref="F1433">INDEX(_xlfn.FILTERXML(E1433,"//latitude"),1)</f>
        <v>35.185032</v>
      </c>
      <c r="G1433" cm="1">
        <f t="array" ref="G1433">INDEX(_xlfn.FILTERXML(E1433,"//longitude"),1)</f>
        <v>136.95257599999999</v>
      </c>
      <c r="H1433">
        <v>35.185032</v>
      </c>
      <c r="I1433">
        <v>136.95257599999999</v>
      </c>
    </row>
    <row r="1434" spans="1:9" x14ac:dyDescent="0.4">
      <c r="A1434" t="s">
        <v>16</v>
      </c>
      <c r="B1434" t="s">
        <v>276</v>
      </c>
      <c r="C1434" t="str">
        <f t="shared" si="84"/>
        <v>長野県飯田市丸山町</v>
      </c>
      <c r="D1434" s="2" t="str">
        <f t="shared" si="85"/>
        <v>http://geocode.csis.u-tokyo.ac.jp/cgi-bin/simple_geocode.cgi?charset=UTF8&amp;addr=%E9%95%B7%E9%87%8E%E7%9C%8C%E9%A3%AF%E7%94%B0%E5%B8%82%E4%B8%B8%E5%B1%B1%E7%94%BA</v>
      </c>
      <c r="E1434" t="str">
        <f t="shared" si="86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1434" cm="1">
        <f t="array" ref="F1434">INDEX(_xlfn.FILTERXML(E1434,"//latitude"),1)</f>
        <v>35.523266</v>
      </c>
      <c r="G1434" cm="1">
        <f t="array" ref="G1434">INDEX(_xlfn.FILTERXML(E1434,"//longitude"),1)</f>
        <v>137.81454500000001</v>
      </c>
      <c r="H1434">
        <v>35.523266</v>
      </c>
      <c r="I1434">
        <v>137.81454500000001</v>
      </c>
    </row>
    <row r="1435" spans="1:9" x14ac:dyDescent="0.4">
      <c r="A1435" t="s">
        <v>34</v>
      </c>
      <c r="B1435" t="s">
        <v>281</v>
      </c>
      <c r="C1435" t="str">
        <f t="shared" si="84"/>
        <v>岐阜県関市山田</v>
      </c>
      <c r="D1435" s="2" t="str">
        <f t="shared" si="85"/>
        <v>http://geocode.csis.u-tokyo.ac.jp/cgi-bin/simple_geocode.cgi?charset=UTF8&amp;addr=%E5%B2%90%E9%98%9C%E7%9C%8C%E9%96%A2%E5%B8%82%E5%B1%B1%E7%94%B0</v>
      </c>
      <c r="E1435" t="str">
        <f t="shared" si="86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1435" cm="1">
        <f t="array" ref="F1435">INDEX(_xlfn.FILTERXML(E1435,"//latitude"),1)</f>
        <v>35.467384000000003</v>
      </c>
      <c r="G1435" cm="1">
        <f t="array" ref="G1435">INDEX(_xlfn.FILTERXML(E1435,"//longitude"),1)</f>
        <v>136.87733499999999</v>
      </c>
      <c r="H1435">
        <v>35.467384000000003</v>
      </c>
      <c r="I1435">
        <v>136.87733499999999</v>
      </c>
    </row>
    <row r="1436" spans="1:9" x14ac:dyDescent="0.4">
      <c r="A1436" t="s">
        <v>33</v>
      </c>
      <c r="B1436" t="s">
        <v>284</v>
      </c>
      <c r="C1436" t="str">
        <f t="shared" si="84"/>
        <v>岩手県二戸市上斗米字上川代</v>
      </c>
      <c r="D1436" s="2" t="str">
        <f t="shared" si="85"/>
        <v>http://geocode.csis.u-tokyo.ac.jp/cgi-bin/simple_geocode.cgi?charset=UTF8&amp;addr=%E5%B2%A9%E6%89%8B%E7%9C%8C%E4%BA%8C%E6%88%B8%E5%B8%82%E4%B8%8A%E6%96%97%E7%B1%B3%E5%AD%97%E4%B8%8A%E5%B7%9D%E4%BB%A3</v>
      </c>
      <c r="E1436" t="str">
        <f t="shared" si="86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1436" cm="1">
        <f t="array" ref="F1436">INDEX(_xlfn.FILTERXML(E1436,"//latitude"),1)</f>
        <v>40.277240999999997</v>
      </c>
      <c r="G1436" cm="1">
        <f t="array" ref="G1436">INDEX(_xlfn.FILTERXML(E1436,"//longitude"),1)</f>
        <v>141.16333</v>
      </c>
      <c r="H1436">
        <v>40.277240999999997</v>
      </c>
      <c r="I1436">
        <v>141.16333</v>
      </c>
    </row>
    <row r="1437" spans="1:9" x14ac:dyDescent="0.4">
      <c r="A1437" t="s">
        <v>9</v>
      </c>
      <c r="B1437" t="s">
        <v>243</v>
      </c>
      <c r="C1437" t="str">
        <f t="shared" si="84"/>
        <v>東京都立川市柴崎町</v>
      </c>
      <c r="D1437" s="2" t="str">
        <f t="shared" si="85"/>
        <v>http://geocode.csis.u-tokyo.ac.jp/cgi-bin/simple_geocode.cgi?charset=UTF8&amp;addr=%E6%9D%B1%E4%BA%AC%E9%83%BD%E7%AB%8B%E5%B7%9D%E5%B8%82%E6%9F%B4%E5%B4%8E%E7%94%BA</v>
      </c>
      <c r="E1437" t="str">
        <f t="shared" si="86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1437" cm="1">
        <f t="array" ref="F1437">INDEX(_xlfn.FILTERXML(E1437,"//latitude"),1)</f>
        <v>35.694065000000002</v>
      </c>
      <c r="G1437" cm="1">
        <f t="array" ref="G1437">INDEX(_xlfn.FILTERXML(E1437,"//longitude"),1)</f>
        <v>139.40458699999999</v>
      </c>
      <c r="H1437">
        <v>35.694065000000002</v>
      </c>
      <c r="I1437">
        <v>139.40458699999999</v>
      </c>
    </row>
    <row r="1438" spans="1:9" x14ac:dyDescent="0.4">
      <c r="A1438" t="s">
        <v>10</v>
      </c>
      <c r="B1438" t="s">
        <v>294</v>
      </c>
      <c r="C1438" t="str">
        <f t="shared" si="84"/>
        <v>神奈川県茅ケ崎市元町</v>
      </c>
      <c r="D1438" s="2" t="str">
        <f t="shared" si="85"/>
        <v>http://geocode.csis.u-tokyo.ac.jp/cgi-bin/simple_geocode.cgi?charset=UTF8&amp;addr=%E7%A5%9E%E5%A5%88%E5%B7%9D%E7%9C%8C%E8%8C%85%E3%82%B1%E5%B4%8E%E5%B8%82%E5%85%83%E7%94%BA</v>
      </c>
      <c r="E1438" t="str">
        <f t="shared" si="86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1438" cm="1">
        <f t="array" ref="F1438">INDEX(_xlfn.FILTERXML(E1438,"//latitude"),1)</f>
        <v>35.33231</v>
      </c>
      <c r="G1438" cm="1">
        <f t="array" ref="G1438">INDEX(_xlfn.FILTERXML(E1438,"//longitude"),1)</f>
        <v>139.40823399999999</v>
      </c>
      <c r="H1438">
        <v>35.33231</v>
      </c>
      <c r="I1438">
        <v>139.40823399999999</v>
      </c>
    </row>
    <row r="1439" spans="1:9" x14ac:dyDescent="0.4">
      <c r="A1439" t="s">
        <v>26</v>
      </c>
      <c r="B1439" t="s">
        <v>296</v>
      </c>
      <c r="C1439" t="str">
        <f t="shared" si="84"/>
        <v>京都府宇治市伊勢田町名木1丁目</v>
      </c>
      <c r="D1439" s="2" t="str">
        <f t="shared" si="85"/>
        <v>http://geocode.csis.u-tokyo.ac.jp/cgi-bin/simple_geocode.cgi?charset=UTF8&amp;addr=%E4%BA%AC%E9%83%BD%E5%BA%9C%E5%AE%87%E6%B2%BB%E5%B8%82%E4%BC%8A%E5%8B%A2%E7%94%B0%E7%94%BA%E5%90%8D%E6%9C%A81%E4%B8%81%E7%9B%AE</v>
      </c>
      <c r="E1439" t="str">
        <f t="shared" si="86"/>
        <v xml:space="preserve">&lt;?xml version="1.0" encoding="UTF-8" ?&gt;
&lt;results&gt;
&lt;query&gt;京都府宇治市伊勢田町名木1丁目&lt;/query&gt;
&lt;geodetic&gt;wgs1984&lt;/geodetic&gt;
&lt;iConf&gt;5&lt;/iConf&gt;
&lt;converted&gt;京都府宇治市伊勢田町名木1丁目&lt;/converted&gt;
&lt;candidate&gt;
&lt;address&gt;京都府/宇治市/伊勢田町名木/一丁目&lt;/address&gt;
&lt;longitude&gt;135.767776&lt;/longitude&gt;
&lt;latitude&gt;34.882561&lt;/latitude&gt;
&lt;iLvl&gt;6&lt;/iLvl&gt;
&lt;/candidate&gt;
&lt;/results&gt;
</v>
      </c>
      <c r="F1439" cm="1">
        <f t="array" ref="F1439">INDEX(_xlfn.FILTERXML(E1439,"//latitude"),1)</f>
        <v>34.882561000000003</v>
      </c>
      <c r="G1439" cm="1">
        <f t="array" ref="G1439">INDEX(_xlfn.FILTERXML(E1439,"//longitude"),1)</f>
        <v>135.767776</v>
      </c>
      <c r="H1439">
        <v>34.882561000000003</v>
      </c>
      <c r="I1439">
        <v>135.767776</v>
      </c>
    </row>
    <row r="1440" spans="1:9" x14ac:dyDescent="0.4">
      <c r="A1440" t="s">
        <v>29</v>
      </c>
      <c r="B1440" t="s">
        <v>292</v>
      </c>
      <c r="C1440" t="str">
        <f t="shared" si="84"/>
        <v>静岡県掛川市大坪台</v>
      </c>
      <c r="D1440" s="2" t="str">
        <f t="shared" si="85"/>
        <v>http://geocode.csis.u-tokyo.ac.jp/cgi-bin/simple_geocode.cgi?charset=UTF8&amp;addr=%E9%9D%99%E5%B2%A1%E7%9C%8C%E6%8E%9B%E5%B7%9D%E5%B8%82%E5%A4%A7%E5%9D%AA%E5%8F%B0</v>
      </c>
      <c r="E1440" t="str">
        <f t="shared" si="86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1440" cm="1">
        <f t="array" ref="F1440">INDEX(_xlfn.FILTERXML(E1440,"//latitude"),1)</f>
        <v>34.710231999999998</v>
      </c>
      <c r="G1440" cm="1">
        <f t="array" ref="G1440">INDEX(_xlfn.FILTERXML(E1440,"//longitude"),1)</f>
        <v>138.04037500000001</v>
      </c>
      <c r="H1440">
        <v>34.710231999999998</v>
      </c>
      <c r="I1440">
        <v>138.04037500000001</v>
      </c>
    </row>
    <row r="1441" spans="1:9" x14ac:dyDescent="0.4">
      <c r="A1441" t="s">
        <v>20</v>
      </c>
      <c r="B1441" t="s">
        <v>293</v>
      </c>
      <c r="C1441" t="str">
        <f t="shared" si="84"/>
        <v>茨城県那珂市本米崎</v>
      </c>
      <c r="D1441" s="2" t="str">
        <f t="shared" si="85"/>
        <v>http://geocode.csis.u-tokyo.ac.jp/cgi-bin/simple_geocode.cgi?charset=UTF8&amp;addr=%E8%8C%A8%E5%9F%8E%E7%9C%8C%E9%82%A3%E7%8F%82%E5%B8%82%E6%9C%AC%E7%B1%B3%E5%B4%8E</v>
      </c>
      <c r="E1441" t="str">
        <f t="shared" si="86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1441" cm="1">
        <f t="array" ref="F1441">INDEX(_xlfn.FILTERXML(E1441,"//latitude"),1)</f>
        <v>36.490650000000002</v>
      </c>
      <c r="G1441" cm="1">
        <f t="array" ref="G1441">INDEX(_xlfn.FILTERXML(E1441,"//longitude"),1)</f>
        <v>140.54766799999999</v>
      </c>
      <c r="H1441">
        <v>36.490650000000002</v>
      </c>
      <c r="I1441">
        <v>140.54766799999999</v>
      </c>
    </row>
    <row r="1442" spans="1:9" x14ac:dyDescent="0.4">
      <c r="A1442" t="s">
        <v>13</v>
      </c>
      <c r="B1442" t="s">
        <v>1158</v>
      </c>
      <c r="C1442" t="str">
        <f t="shared" si="84"/>
        <v>埼玉県川口市辻</v>
      </c>
      <c r="D1442" s="2" t="str">
        <f t="shared" si="85"/>
        <v>http://geocode.csis.u-tokyo.ac.jp/cgi-bin/simple_geocode.cgi?charset=UTF8&amp;addr=%E5%9F%BC%E7%8E%89%E7%9C%8C%E5%B7%9D%E5%8F%A3%E5%B8%82%E8%BE%BB</v>
      </c>
      <c r="E1442" t="str">
        <f t="shared" si="86"/>
        <v xml:space="preserve">&lt;?xml version="1.0" encoding="UTF-8" ?&gt;
&lt;results&gt;
&lt;query&gt;埼玉県川口市辻&lt;/query&gt;
&lt;geodetic&gt;wgs1984&lt;/geodetic&gt;
&lt;iConf&gt;5&lt;/iConf&gt;
&lt;converted&gt;埼玉県川口市辻&lt;/converted&gt;
&lt;candidate&gt;
&lt;address&gt;埼玉県/川口市/辻&lt;/address&gt;
&lt;longitude&gt;139.730118&lt;/longitude&gt;
&lt;latitude&gt;35.825397&lt;/latitude&gt;
&lt;iLvl&gt;5&lt;/iLvl&gt;
&lt;/candidate&gt;
&lt;/results&gt;
</v>
      </c>
      <c r="F1442" cm="1">
        <f t="array" ref="F1442">INDEX(_xlfn.FILTERXML(E1442,"//latitude"),1)</f>
        <v>35.825397000000002</v>
      </c>
      <c r="G1442" cm="1">
        <f t="array" ref="G1442">INDEX(_xlfn.FILTERXML(E1442,"//longitude"),1)</f>
        <v>139.730118</v>
      </c>
      <c r="H1442">
        <v>35.825397000000002</v>
      </c>
      <c r="I1442">
        <v>139.730118</v>
      </c>
    </row>
    <row r="1443" spans="1:9" x14ac:dyDescent="0.4">
      <c r="A1443" t="s">
        <v>9</v>
      </c>
      <c r="B1443" t="s">
        <v>1111</v>
      </c>
      <c r="C1443" t="str">
        <f t="shared" si="84"/>
        <v>東京都杉並区高井戸東</v>
      </c>
      <c r="D1443" s="2" t="str">
        <f t="shared" si="85"/>
        <v>http://geocode.csis.u-tokyo.ac.jp/cgi-bin/simple_geocode.cgi?charset=UTF8&amp;addr=%E6%9D%B1%E4%BA%AC%E9%83%BD%E6%9D%89%E4%B8%A6%E5%8C%BA%E9%AB%98%E4%BA%95%E6%88%B8%E6%9D%B1</v>
      </c>
      <c r="E1443" t="str">
        <f t="shared" si="86"/>
        <v xml:space="preserve">&lt;?xml version="1.0" encoding="UTF-8" ?&gt;
&lt;results&gt;
&lt;query&gt;東京都杉並区高井戸東&lt;/query&gt;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1443" cm="1">
        <f t="array" ref="F1443">INDEX(_xlfn.FILTERXML(E1443,"//latitude"),1)</f>
        <v>35.679405000000003</v>
      </c>
      <c r="G1443" cm="1">
        <f t="array" ref="G1443">INDEX(_xlfn.FILTERXML(E1443,"//longitude"),1)</f>
        <v>139.621948</v>
      </c>
      <c r="H1443">
        <v>35.679405000000003</v>
      </c>
      <c r="I1443">
        <v>139.621948</v>
      </c>
    </row>
    <row r="1444" spans="1:9" x14ac:dyDescent="0.4">
      <c r="A1444" t="s">
        <v>12</v>
      </c>
      <c r="B1444" t="s">
        <v>1107</v>
      </c>
      <c r="C1444" t="str">
        <f t="shared" si="84"/>
        <v>奈良県生駒市</v>
      </c>
      <c r="D1444" s="2" t="str">
        <f t="shared" si="85"/>
        <v>http://geocode.csis.u-tokyo.ac.jp/cgi-bin/simple_geocode.cgi?charset=UTF8&amp;addr=%E5%A5%88%E8%89%AF%E7%9C%8C%E7%94%9F%E9%A7%92%E5%B8%82</v>
      </c>
      <c r="E1444" t="str">
        <f t="shared" si="86"/>
        <v xml:space="preserve">&lt;?xml version="1.0" encoding="UTF-8" ?&gt;
&lt;results&gt;
&lt;query&gt;奈良県生駒市&lt;/query&gt;
&lt;geodetic&gt;wgs1984&lt;/geodetic&gt;
&lt;iConf&gt;5&lt;/iConf&gt;
&lt;converted&gt;奈良県生駒市&lt;/converted&gt;
&lt;candidate&gt;
&lt;address&gt;奈良県/生駒市&lt;/address&gt;
&lt;longitude&gt;135.700546&lt;/longitude&gt;
&lt;latitude&gt;34.691978&lt;/latitude&gt;
&lt;iLvl&gt;3&lt;/iLvl&gt;
&lt;/candidate&gt;
&lt;/results&gt;
</v>
      </c>
      <c r="F1444" cm="1">
        <f t="array" ref="F1444">INDEX(_xlfn.FILTERXML(E1444,"//latitude"),1)</f>
        <v>34.691977999999999</v>
      </c>
      <c r="G1444" cm="1">
        <f t="array" ref="G1444">INDEX(_xlfn.FILTERXML(E1444,"//longitude"),1)</f>
        <v>135.700546</v>
      </c>
      <c r="H1444">
        <v>34.691977999999999</v>
      </c>
      <c r="I1444">
        <v>135.700546</v>
      </c>
    </row>
    <row r="1445" spans="1:9" x14ac:dyDescent="0.4">
      <c r="A1445" t="s">
        <v>9</v>
      </c>
      <c r="B1445" t="s">
        <v>712</v>
      </c>
      <c r="C1445" t="str">
        <f t="shared" si="84"/>
        <v>東京都世田谷区桜上水</v>
      </c>
      <c r="D1445" s="2" t="str">
        <f t="shared" si="85"/>
        <v>http://geocode.csis.u-tokyo.ac.jp/cgi-bin/simple_geocode.cgi?charset=UTF8&amp;addr=%E6%9D%B1%E4%BA%AC%E9%83%BD%E4%B8%96%E7%94%B0%E8%B0%B7%E5%8C%BA%E6%A1%9C%E4%B8%8A%E6%B0%B4</v>
      </c>
      <c r="E1445" t="str">
        <f t="shared" si="86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1445" cm="1">
        <f t="array" ref="F1445">INDEX(_xlfn.FILTERXML(E1445,"//latitude"),1)</f>
        <v>35.658088999999997</v>
      </c>
      <c r="G1445" cm="1">
        <f t="array" ref="G1445">INDEX(_xlfn.FILTERXML(E1445,"//longitude"),1)</f>
        <v>139.631516</v>
      </c>
      <c r="H1445">
        <v>35.658088999999997</v>
      </c>
      <c r="I1445">
        <v>139.631516</v>
      </c>
    </row>
    <row r="1446" spans="1:9" x14ac:dyDescent="0.4">
      <c r="A1446" t="s">
        <v>28</v>
      </c>
      <c r="B1446" t="s">
        <v>172</v>
      </c>
      <c r="C1446" t="str">
        <f t="shared" si="84"/>
        <v>沖縄県那覇市</v>
      </c>
      <c r="D1446" s="2" t="str">
        <f t="shared" si="85"/>
        <v>http://geocode.csis.u-tokyo.ac.jp/cgi-bin/simple_geocode.cgi?charset=UTF8&amp;addr=%E6%B2%96%E7%B8%84%E7%9C%8C%E9%82%A3%E8%A6%87%E5%B8%82</v>
      </c>
      <c r="E1446" t="str">
        <f t="shared" si="86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1446" cm="1">
        <f t="array" ref="F1446">INDEX(_xlfn.FILTERXML(E1446,"//latitude"),1)</f>
        <v>26.212295999999998</v>
      </c>
      <c r="G1446" cm="1">
        <f t="array" ref="G1446">INDEX(_xlfn.FILTERXML(E1446,"//longitude"),1)</f>
        <v>127.679214</v>
      </c>
      <c r="H1446">
        <v>26.212295999999998</v>
      </c>
      <c r="I1446">
        <v>127.679214</v>
      </c>
    </row>
    <row r="1447" spans="1:9" x14ac:dyDescent="0.4">
      <c r="A1447" t="s">
        <v>15</v>
      </c>
      <c r="B1447" t="s">
        <v>1159</v>
      </c>
      <c r="C1447" t="str">
        <f t="shared" si="84"/>
        <v>兵庫県神戸市北区幸陽町</v>
      </c>
      <c r="D1447" s="2" t="str">
        <f t="shared" si="85"/>
        <v>http://geocode.csis.u-tokyo.ac.jp/cgi-bin/simple_geocode.cgi?charset=UTF8&amp;addr=%E5%85%B5%E5%BA%AB%E7%9C%8C%E7%A5%9E%E6%88%B8%E5%B8%82%E5%8C%97%E5%8C%BA%E5%B9%B8%E9%99%BD%E7%94%BA</v>
      </c>
      <c r="E1447" t="str">
        <f t="shared" si="86"/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1447" cm="1">
        <f t="array" ref="F1447">INDEX(_xlfn.FILTERXML(E1447,"//latitude"),1)</f>
        <v>34.768439999999998</v>
      </c>
      <c r="G1447" cm="1">
        <f t="array" ref="G1447">INDEX(_xlfn.FILTERXML(E1447,"//longitude"),1)</f>
        <v>135.188141</v>
      </c>
      <c r="H1447">
        <v>34.768439999999998</v>
      </c>
      <c r="I1447">
        <v>135.188141</v>
      </c>
    </row>
    <row r="1448" spans="1:9" x14ac:dyDescent="0.4">
      <c r="A1448" t="s">
        <v>18</v>
      </c>
      <c r="B1448" t="s">
        <v>1160</v>
      </c>
      <c r="C1448" t="str">
        <f t="shared" si="84"/>
        <v>千葉県鎌ケ谷市西道野辺1-2-503</v>
      </c>
      <c r="D1448" s="2" t="str">
        <f t="shared" si="85"/>
        <v>http://geocode.csis.u-tokyo.ac.jp/cgi-bin/simple_geocode.cgi?charset=UTF8&amp;addr=%E5%8D%83%E8%91%89%E7%9C%8C%E9%8E%8C%E3%82%B1%E8%B0%B7%E5%B8%82%E8%A5%BF%E9%81%93%E9%87%8E%E8%BE%BA1-2-503</v>
      </c>
      <c r="E1448" t="str">
        <f t="shared" si="86"/>
        <v xml:space="preserve">&lt;?xml version="1.0" encoding="UTF-8" ?&gt;
&lt;results&gt;
&lt;query&gt;千葉県鎌ケ谷市西道野辺1-2-503&lt;/query&gt;
&lt;geodetic&gt;wgs1984&lt;/geodetic&gt;
&lt;iConf&gt;5&lt;/iConf&gt;
&lt;converted&gt;千葉県鎌ケ谷市西道野辺1-&lt;/converted&gt;
&lt;candidate&gt;
&lt;address&gt;千葉県/鎌ケ谷市/西道野辺/１番&lt;/address&gt;
&lt;longitude&gt;139.987442&lt;/longitude&gt;
&lt;latitude&gt;35.753365&lt;/latitude&gt;
&lt;iLvl&gt;7&lt;/iLvl&gt;
&lt;/candidate&gt;
&lt;/results&gt;
</v>
      </c>
      <c r="F1448" cm="1">
        <f t="array" ref="F1448">INDEX(_xlfn.FILTERXML(E1448,"//latitude"),1)</f>
        <v>35.753365000000002</v>
      </c>
      <c r="G1448" cm="1">
        <f t="array" ref="G1448">INDEX(_xlfn.FILTERXML(E1448,"//longitude"),1)</f>
        <v>139.98744199999999</v>
      </c>
      <c r="H1448">
        <v>35.753365000000002</v>
      </c>
      <c r="I1448">
        <v>139.98744199999999</v>
      </c>
    </row>
    <row r="1449" spans="1:9" x14ac:dyDescent="0.4">
      <c r="A1449" t="s">
        <v>29</v>
      </c>
      <c r="B1449" t="s">
        <v>1161</v>
      </c>
      <c r="C1449" t="str">
        <f t="shared" si="84"/>
        <v>静岡県浜松市浜名区中条</v>
      </c>
      <c r="D1449" s="2" t="str">
        <f t="shared" si="85"/>
        <v>http://geocode.csis.u-tokyo.ac.jp/cgi-bin/simple_geocode.cgi?charset=UTF8&amp;addr=%E9%9D%99%E5%B2%A1%E7%9C%8C%E6%B5%9C%E6%9D%BE%E5%B8%82%E6%B5%9C%E5%90%8D%E5%8C%BA%E4%B8%AD%E6%9D%A1</v>
      </c>
      <c r="E1449" t="str">
        <f t="shared" si="86"/>
        <v xml:space="preserve">&lt;?xml version="1.0" encoding="UTF-8" ?&gt;
&lt;results&gt;
&lt;query&gt;静岡県浜松市浜名区中条&lt;/query&gt;
&lt;geodetic&gt;wgs1984&lt;/geodetic&gt;
&lt;iConf&gt;5&lt;/iConf&gt;
&lt;converted&gt;静岡県浜松市浜名区中条&lt;/converted&gt;
&lt;candidate&gt;
&lt;address&gt;静岡県/浜松市/浜名区/中条&lt;/address&gt;
&lt;longitude&gt;137.782608&lt;/longitude&gt;
&lt;latitude&gt;34.783016&lt;/latitude&gt;
&lt;iLvl&gt;5&lt;/iLvl&gt;
&lt;/candidate&gt;
&lt;/results&gt;
</v>
      </c>
      <c r="F1449" cm="1">
        <f t="array" ref="F1449">INDEX(_xlfn.FILTERXML(E1449,"//latitude"),1)</f>
        <v>34.783016000000003</v>
      </c>
      <c r="G1449" cm="1">
        <f t="array" ref="G1449">INDEX(_xlfn.FILTERXML(E1449,"//longitude"),1)</f>
        <v>137.78260800000001</v>
      </c>
      <c r="H1449">
        <v>34.783016000000003</v>
      </c>
      <c r="I1449">
        <v>137.78260800000001</v>
      </c>
    </row>
    <row r="1450" spans="1:9" x14ac:dyDescent="0.4">
      <c r="A1450" t="s">
        <v>14</v>
      </c>
      <c r="B1450" t="s">
        <v>369</v>
      </c>
      <c r="C1450" t="str">
        <f t="shared" si="84"/>
        <v>広島県広島市中区舟入南三丁目</v>
      </c>
      <c r="D1450" s="2" t="str">
        <f t="shared" si="85"/>
        <v>http://geocode.csis.u-tokyo.ac.jp/cgi-bin/simple_geocode.cgi?charset=UTF8&amp;addr=%E5%BA%83%E5%B3%B6%E7%9C%8C%E5%BA%83%E5%B3%B6%E5%B8%82%E4%B8%AD%E5%8C%BA%E8%88%9F%E5%85%A5%E5%8D%97%E4%B8%89%E4%B8%81%E7%9B%AE</v>
      </c>
      <c r="E1450" t="str">
        <f t="shared" si="86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1450" cm="1">
        <f t="array" ref="F1450">INDEX(_xlfn.FILTERXML(E1450,"//latitude"),1)</f>
        <v>34.377560000000003</v>
      </c>
      <c r="G1450" cm="1">
        <f t="array" ref="G1450">INDEX(_xlfn.FILTERXML(E1450,"//longitude"),1)</f>
        <v>132.43547100000001</v>
      </c>
      <c r="H1450">
        <v>34.377560000000003</v>
      </c>
      <c r="I1450">
        <v>132.43547100000001</v>
      </c>
    </row>
    <row r="1451" spans="1:9" x14ac:dyDescent="0.4">
      <c r="A1451" t="s">
        <v>13</v>
      </c>
      <c r="B1451" t="s">
        <v>414</v>
      </c>
      <c r="C1451" t="str">
        <f t="shared" si="84"/>
        <v>埼玉県戸田市喜沢</v>
      </c>
      <c r="D1451" s="2" t="str">
        <f t="shared" si="85"/>
        <v>http://geocode.csis.u-tokyo.ac.jp/cgi-bin/simple_geocode.cgi?charset=UTF8&amp;addr=%E5%9F%BC%E7%8E%89%E7%9C%8C%E6%88%B8%E7%94%B0%E5%B8%82%E5%96%9C%E6%B2%A2</v>
      </c>
      <c r="E1451" t="str">
        <f t="shared" si="86"/>
        <v xml:space="preserve">&lt;?xml version="1.0" encoding="UTF-8" ?&gt;
&lt;results&gt;
&lt;query&gt;埼玉県戸田市喜沢&lt;/query&gt;
&lt;geodetic&gt;wgs1984&lt;/geodetic&gt;
&lt;iConf&gt;5&lt;/iConf&gt;
&lt;converted&gt;埼玉県戸田市喜沢&lt;/converted&gt;
&lt;candidate&gt;
&lt;address&gt;埼玉県/戸田市/喜沢&lt;/address&gt;
&lt;longitude&gt;139.696365&lt;/longitude&gt;
&lt;latitude&gt;35.813251&lt;/latitude&gt;
&lt;iLvl&gt;5&lt;/iLvl&gt;
&lt;/candidate&gt;
&lt;/results&gt;
</v>
      </c>
      <c r="F1451" cm="1">
        <f t="array" ref="F1451">INDEX(_xlfn.FILTERXML(E1451,"//latitude"),1)</f>
        <v>35.813251000000001</v>
      </c>
      <c r="G1451" cm="1">
        <f t="array" ref="G1451">INDEX(_xlfn.FILTERXML(E1451,"//longitude"),1)</f>
        <v>139.69636499999999</v>
      </c>
      <c r="H1451">
        <v>35.813251000000001</v>
      </c>
      <c r="I1451">
        <v>139.69636499999999</v>
      </c>
    </row>
    <row r="1452" spans="1:9" x14ac:dyDescent="0.4">
      <c r="A1452" t="s">
        <v>17</v>
      </c>
      <c r="B1452" t="s">
        <v>1162</v>
      </c>
      <c r="C1452" t="str">
        <f t="shared" si="84"/>
        <v>愛知県海部郡飛島村竹之郷</v>
      </c>
      <c r="D1452" s="2" t="str">
        <f t="shared" si="85"/>
        <v>http://geocode.csis.u-tokyo.ac.jp/cgi-bin/simple_geocode.cgi?charset=UTF8&amp;addr=%E6%84%9B%E7%9F%A5%E7%9C%8C%E6%B5%B7%E9%83%A8%E9%83%A1%E9%A3%9B%E5%B3%B6%E6%9D%91%E7%AB%B9%E4%B9%8B%E9%83%B7</v>
      </c>
      <c r="E1452" t="str">
        <f t="shared" si="86"/>
        <v xml:space="preserve">&lt;?xml version="1.0" encoding="UTF-8" ?&gt;
&lt;results&gt;
&lt;query&gt;愛知県海部郡飛島村竹之郷&lt;/query&gt;
&lt;geodetic&gt;wgs1984&lt;/geodetic&gt;
&lt;iConf&gt;5&lt;/iConf&gt;
&lt;converted&gt;愛知県海部郡飛島村竹之郷&lt;/converted&gt;
&lt;candidate&gt;
&lt;address&gt;愛知県/海部郡/飛島村/竹之郷&lt;/address&gt;
&lt;longitude&gt;136.788162&lt;/longitude&gt;
&lt;latitude&gt;35.078491&lt;/latitude&gt;
&lt;iLvl&gt;5&lt;/iLvl&gt;
&lt;/candidate&gt;
&lt;/results&gt;
</v>
      </c>
      <c r="F1452" cm="1">
        <f t="array" ref="F1452">INDEX(_xlfn.FILTERXML(E1452,"//latitude"),1)</f>
        <v>35.078491</v>
      </c>
      <c r="G1452" cm="1">
        <f t="array" ref="G1452">INDEX(_xlfn.FILTERXML(E1452,"//longitude"),1)</f>
        <v>136.788162</v>
      </c>
      <c r="H1452">
        <v>35.078491</v>
      </c>
      <c r="I1452">
        <v>136.788162</v>
      </c>
    </row>
    <row r="1453" spans="1:9" x14ac:dyDescent="0.4">
      <c r="A1453" t="s">
        <v>9</v>
      </c>
      <c r="B1453" t="s">
        <v>30</v>
      </c>
      <c r="C1453" t="str">
        <f t="shared" si="84"/>
        <v>東京都中野区</v>
      </c>
      <c r="D1453" s="2" t="str">
        <f t="shared" si="85"/>
        <v>http://geocode.csis.u-tokyo.ac.jp/cgi-bin/simple_geocode.cgi?charset=UTF8&amp;addr=%E6%9D%B1%E4%BA%AC%E9%83%BD%E4%B8%AD%E9%87%8E%E5%8C%BA</v>
      </c>
      <c r="E1453" t="str">
        <f t="shared" si="86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1453" cm="1">
        <f t="array" ref="F1453">INDEX(_xlfn.FILTERXML(E1453,"//latitude"),1)</f>
        <v>35.707267999999999</v>
      </c>
      <c r="G1453" cm="1">
        <f t="array" ref="G1453">INDEX(_xlfn.FILTERXML(E1453,"//longitude"),1)</f>
        <v>139.66374200000001</v>
      </c>
      <c r="H1453">
        <v>35.707267999999999</v>
      </c>
      <c r="I1453">
        <v>139.66374200000001</v>
      </c>
    </row>
    <row r="1454" spans="1:9" x14ac:dyDescent="0.4">
      <c r="A1454" t="s">
        <v>15</v>
      </c>
      <c r="B1454" t="s">
        <v>390</v>
      </c>
      <c r="C1454" t="str">
        <f t="shared" si="84"/>
        <v>兵庫県神戸市東灘区本山南町</v>
      </c>
      <c r="D1454" s="2" t="str">
        <f t="shared" si="85"/>
        <v>http://geocode.csis.u-tokyo.ac.jp/cgi-bin/simple_geocode.cgi?charset=UTF8&amp;addr=%E5%85%B5%E5%BA%AB%E7%9C%8C%E7%A5%9E%E6%88%B8%E5%B8%82%E6%9D%B1%E7%81%98%E5%8C%BA%E6%9C%AC%E5%B1%B1%E5%8D%97%E7%94%BA</v>
      </c>
      <c r="E1454" t="str">
        <f t="shared" si="86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1454" cm="1">
        <f t="array" ref="F1454">INDEX(_xlfn.FILTERXML(E1454,"//latitude"),1)</f>
        <v>34.723492</v>
      </c>
      <c r="G1454" cm="1">
        <f t="array" ref="G1454">INDEX(_xlfn.FILTERXML(E1454,"//longitude"),1)</f>
        <v>135.287949</v>
      </c>
      <c r="H1454">
        <v>34.723492</v>
      </c>
      <c r="I1454">
        <v>135.287949</v>
      </c>
    </row>
    <row r="1455" spans="1:9" x14ac:dyDescent="0.4">
      <c r="A1455" t="s">
        <v>22</v>
      </c>
      <c r="B1455" t="s">
        <v>214</v>
      </c>
      <c r="C1455" t="str">
        <f t="shared" si="84"/>
        <v>群馬県太田市藤久良町</v>
      </c>
      <c r="D1455" s="2" t="str">
        <f t="shared" si="85"/>
        <v>http://geocode.csis.u-tokyo.ac.jp/cgi-bin/simple_geocode.cgi?charset=UTF8&amp;addr=%E7%BE%A4%E9%A6%AC%E7%9C%8C%E5%A4%AA%E7%94%B0%E5%B8%82%E8%97%A4%E4%B9%85%E8%89%AF%E7%94%BA</v>
      </c>
      <c r="E1455" t="str">
        <f t="shared" si="86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1455" cm="1">
        <f t="array" ref="F1455">INDEX(_xlfn.FILTERXML(E1455,"//latitude"),1)</f>
        <v>36.291457999999999</v>
      </c>
      <c r="G1455" cm="1">
        <f t="array" ref="G1455">INDEX(_xlfn.FILTERXML(E1455,"//longitude"),1)</f>
        <v>139.35166899999999</v>
      </c>
      <c r="H1455">
        <v>36.291457999999999</v>
      </c>
      <c r="I1455">
        <v>139.35166899999999</v>
      </c>
    </row>
    <row r="1456" spans="1:9" x14ac:dyDescent="0.4">
      <c r="A1456" t="s">
        <v>15</v>
      </c>
      <c r="B1456" t="s">
        <v>375</v>
      </c>
      <c r="C1456" t="str">
        <f t="shared" si="84"/>
        <v>兵庫県三木市志染町西自由が丘</v>
      </c>
      <c r="D1456" s="2" t="str">
        <f t="shared" si="85"/>
        <v>http://geocode.csis.u-tokyo.ac.jp/cgi-bin/simple_geocode.cgi?charset=UTF8&amp;addr=%E5%85%B5%E5%BA%AB%E7%9C%8C%E4%B8%89%E6%9C%A8%E5%B8%82%E5%BF%97%E6%9F%93%E7%94%BA%E8%A5%BF%E8%87%AA%E7%94%B1%E3%81%8C%E4%B8%98</v>
      </c>
      <c r="E1456" t="str">
        <f t="shared" si="86"/>
        <v xml:space="preserve">&lt;?xml version="1.0" encoding="UTF-8" ?&gt;
&lt;results&gt;
&lt;query&gt;兵庫県三木市志染町西自由が丘&lt;/query&gt;
&lt;geodetic&gt;wgs1984&lt;/geodetic&gt;
&lt;iConf&gt;5&lt;/iConf&gt;
&lt;converted&gt;兵庫県三木市志染町西自由が丘&lt;/converted&gt;
&lt;candidate&gt;
&lt;address&gt;兵庫県/三木市/志染町西自由が丘&lt;/address&gt;
&lt;longitude&gt;135.010147&lt;/longitude&gt;
&lt;latitude&gt;34.783649&lt;/latitude&gt;
&lt;iLvl&gt;5&lt;/iLvl&gt;
&lt;/candidate&gt;
&lt;/results&gt;
</v>
      </c>
      <c r="F1456" cm="1">
        <f t="array" ref="F1456">INDEX(_xlfn.FILTERXML(E1456,"//latitude"),1)</f>
        <v>34.783648999999997</v>
      </c>
      <c r="G1456" cm="1">
        <f t="array" ref="G1456">INDEX(_xlfn.FILTERXML(E1456,"//longitude"),1)</f>
        <v>135.01014699999999</v>
      </c>
      <c r="H1456">
        <v>34.783648999999997</v>
      </c>
      <c r="I1456">
        <v>135.01014699999999</v>
      </c>
    </row>
    <row r="1457" spans="1:9" x14ac:dyDescent="0.4">
      <c r="A1457" t="s">
        <v>10</v>
      </c>
      <c r="B1457" t="s">
        <v>249</v>
      </c>
      <c r="C1457" t="str">
        <f t="shared" si="84"/>
        <v>神奈川県横浜市青葉区藤が丘</v>
      </c>
      <c r="D1457" s="2" t="str">
        <f t="shared" si="85"/>
        <v>http://geocode.csis.u-tokyo.ac.jp/cgi-bin/simple_geocode.cgi?charset=UTF8&amp;addr=%E7%A5%9E%E5%A5%88%E5%B7%9D%E7%9C%8C%E6%A8%AA%E6%B5%9C%E5%B8%82%E9%9D%92%E8%91%89%E5%8C%BA%E8%97%A4%E3%81%8C%E4%B8%98</v>
      </c>
      <c r="E1457" t="str">
        <f t="shared" si="86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1457" cm="1">
        <f t="array" ref="F1457">INDEX(_xlfn.FILTERXML(E1457,"//latitude"),1)</f>
        <v>35.546458999999999</v>
      </c>
      <c r="G1457" cm="1">
        <f t="array" ref="G1457">INDEX(_xlfn.FILTERXML(E1457,"//longitude"),1)</f>
        <v>139.530472</v>
      </c>
      <c r="H1457">
        <v>35.546458999999999</v>
      </c>
      <c r="I1457">
        <v>139.530472</v>
      </c>
    </row>
    <row r="1458" spans="1:9" x14ac:dyDescent="0.4">
      <c r="A1458" t="s">
        <v>9</v>
      </c>
      <c r="B1458" t="s">
        <v>340</v>
      </c>
      <c r="C1458" t="str">
        <f t="shared" si="84"/>
        <v>東京都豊島区西巣鴨</v>
      </c>
      <c r="D1458" s="2" t="str">
        <f t="shared" si="85"/>
        <v>http://geocode.csis.u-tokyo.ac.jp/cgi-bin/simple_geocode.cgi?charset=UTF8&amp;addr=%E6%9D%B1%E4%BA%AC%E9%83%BD%E8%B1%8A%E5%B3%B6%E5%8C%BA%E8%A5%BF%E5%B7%A3%E9%B4%A8</v>
      </c>
      <c r="E1458" t="str">
        <f t="shared" si="86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1458" cm="1">
        <f t="array" ref="F1458">INDEX(_xlfn.FILTERXML(E1458,"//latitude"),1)</f>
        <v>35.737560000000002</v>
      </c>
      <c r="G1458" cm="1">
        <f t="array" ref="G1458">INDEX(_xlfn.FILTERXML(E1458,"//longitude"),1)</f>
        <v>139.725266</v>
      </c>
      <c r="H1458">
        <v>35.737560000000002</v>
      </c>
      <c r="I1458">
        <v>139.725266</v>
      </c>
    </row>
    <row r="1459" spans="1:9" x14ac:dyDescent="0.4">
      <c r="A1459" t="s">
        <v>10</v>
      </c>
      <c r="B1459" t="s">
        <v>1163</v>
      </c>
      <c r="C1459" t="str">
        <f t="shared" si="84"/>
        <v>神奈川県横浜市南区清水ケ丘</v>
      </c>
      <c r="D1459" s="2" t="str">
        <f t="shared" si="85"/>
        <v>http://geocode.csis.u-tokyo.ac.jp/cgi-bin/simple_geocode.cgi?charset=UTF8&amp;addr=%E7%A5%9E%E5%A5%88%E5%B7%9D%E7%9C%8C%E6%A8%AA%E6%B5%9C%E5%B8%82%E5%8D%97%E5%8C%BA%E6%B8%85%E6%B0%B4%E3%82%B1%E4%B8%98</v>
      </c>
      <c r="E1459" t="str">
        <f t="shared" si="86"/>
        <v xml:space="preserve">&lt;?xml version="1.0" encoding="UTF-8" ?&gt;
&lt;results&gt;
&lt;query&gt;神奈川県横浜市南区清水ケ丘&lt;/query&gt;
&lt;geodetic&gt;wgs1984&lt;/geodetic&gt;
&lt;iConf&gt;5&lt;/iConf&gt;
&lt;converted&gt;神奈川県横浜市南区清水ケ丘&lt;/converted&gt;
&lt;candidate&gt;
&lt;address&gt;神奈川県/横浜市/南区/清水ケ丘&lt;/address&gt;
&lt;longitude&gt;139.607834&lt;/longitude&gt;
&lt;latitude&gt;35.439793&lt;/latitude&gt;
&lt;iLvl&gt;5&lt;/iLvl&gt;
&lt;/candidate&gt;
&lt;/results&gt;
</v>
      </c>
      <c r="F1459" cm="1">
        <f t="array" ref="F1459">INDEX(_xlfn.FILTERXML(E1459,"//latitude"),1)</f>
        <v>35.439793000000002</v>
      </c>
      <c r="G1459" cm="1">
        <f t="array" ref="G1459">INDEX(_xlfn.FILTERXML(E1459,"//longitude"),1)</f>
        <v>139.607834</v>
      </c>
      <c r="H1459">
        <v>35.439793000000002</v>
      </c>
      <c r="I1459">
        <v>139.607834</v>
      </c>
    </row>
    <row r="1460" spans="1:9" x14ac:dyDescent="0.4">
      <c r="A1460" t="s">
        <v>16</v>
      </c>
      <c r="B1460" t="s">
        <v>300</v>
      </c>
      <c r="C1460" t="str">
        <f t="shared" si="84"/>
        <v>長野県長野市平林</v>
      </c>
      <c r="D1460" s="2" t="str">
        <f t="shared" si="85"/>
        <v>http://geocode.csis.u-tokyo.ac.jp/cgi-bin/simple_geocode.cgi?charset=UTF8&amp;addr=%E9%95%B7%E9%87%8E%E7%9C%8C%E9%95%B7%E9%87%8E%E5%B8%82%E5%B9%B3%E6%9E%97</v>
      </c>
      <c r="E1460" t="str">
        <f t="shared" si="86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1460" cm="1">
        <f t="array" ref="F1460">INDEX(_xlfn.FILTERXML(E1460,"//latitude"),1)</f>
        <v>36.649807000000003</v>
      </c>
      <c r="G1460" cm="1">
        <f t="array" ref="G1460">INDEX(_xlfn.FILTERXML(E1460,"//longitude"),1)</f>
        <v>138.21038799999999</v>
      </c>
      <c r="H1460">
        <v>36.649807000000003</v>
      </c>
      <c r="I1460">
        <v>138.21038799999999</v>
      </c>
    </row>
    <row r="1461" spans="1:9" x14ac:dyDescent="0.4">
      <c r="A1461" t="s">
        <v>9</v>
      </c>
      <c r="B1461" t="s">
        <v>299</v>
      </c>
      <c r="C1461" t="str">
        <f t="shared" si="84"/>
        <v>東京都荒川区</v>
      </c>
      <c r="D1461" s="2" t="str">
        <f t="shared" si="85"/>
        <v>http://geocode.csis.u-tokyo.ac.jp/cgi-bin/simple_geocode.cgi?charset=UTF8&amp;addr=%E6%9D%B1%E4%BA%AC%E9%83%BD%E8%8D%92%E5%B7%9D%E5%8C%BA</v>
      </c>
      <c r="E1461" t="str">
        <f t="shared" si="86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1461" cm="1">
        <f t="array" ref="F1461">INDEX(_xlfn.FILTERXML(E1461,"//latitude"),1)</f>
        <v>35.736083999999998</v>
      </c>
      <c r="G1461" cm="1">
        <f t="array" ref="G1461">INDEX(_xlfn.FILTERXML(E1461,"//longitude"),1)</f>
        <v>139.78337099999999</v>
      </c>
      <c r="H1461">
        <v>35.736083999999998</v>
      </c>
      <c r="I1461">
        <v>139.78337099999999</v>
      </c>
    </row>
    <row r="1462" spans="1:9" x14ac:dyDescent="0.4">
      <c r="A1462" t="s">
        <v>12</v>
      </c>
      <c r="B1462" t="s">
        <v>301</v>
      </c>
      <c r="C1462" t="str">
        <f t="shared" si="84"/>
        <v>奈良県北葛城郡広陵町</v>
      </c>
      <c r="D1462" s="2" t="str">
        <f t="shared" si="85"/>
        <v>http://geocode.csis.u-tokyo.ac.jp/cgi-bin/simple_geocode.cgi?charset=UTF8&amp;addr=%E5%A5%88%E8%89%AF%E7%9C%8C%E5%8C%97%E8%91%9B%E5%9F%8E%E9%83%A1%E5%BA%83%E9%99%B5%E7%94%BA</v>
      </c>
      <c r="E1462" t="str">
        <f t="shared" si="86"/>
        <v xml:space="preserve">&lt;?xml version="1.0" encoding="UTF-8" ?&gt;
&lt;results&gt;
&lt;query&gt;奈良県北葛城郡広陵町&lt;/query&gt;
&lt;geodetic&gt;wgs1984&lt;/geodetic&gt;
&lt;iConf&gt;5&lt;/iConf&gt;
&lt;converted&gt;奈良県北葛城郡広陵町&lt;/converted&gt;
&lt;candidate&gt;
&lt;address&gt;奈良県/北葛城郡/広陵町&lt;/address&gt;
&lt;longitude&gt;135.750839&lt;/longitude&gt;
&lt;latitude&gt;34.542740&lt;/latitude&gt;
&lt;iLvl&gt;3&lt;/iLvl&gt;
&lt;/candidate&gt;
&lt;/results&gt;
</v>
      </c>
      <c r="F1462" cm="1">
        <f t="array" ref="F1462">INDEX(_xlfn.FILTERXML(E1462,"//latitude"),1)</f>
        <v>34.542740000000002</v>
      </c>
      <c r="G1462" cm="1">
        <f t="array" ref="G1462">INDEX(_xlfn.FILTERXML(E1462,"//longitude"),1)</f>
        <v>135.75083900000001</v>
      </c>
      <c r="H1462">
        <v>34.542740000000002</v>
      </c>
      <c r="I1462">
        <v>135.75083900000001</v>
      </c>
    </row>
    <row r="1463" spans="1:9" x14ac:dyDescent="0.4">
      <c r="A1463" t="s">
        <v>11</v>
      </c>
      <c r="B1463" t="s">
        <v>303</v>
      </c>
      <c r="C1463" t="str">
        <f t="shared" si="84"/>
        <v>大阪府大阪市平野区長吉長原西</v>
      </c>
      <c r="D1463" s="2" t="str">
        <f t="shared" si="85"/>
        <v>http://geocode.csis.u-tokyo.ac.jp/cgi-bin/simple_geocode.cgi?charset=UTF8&amp;addr=%E5%A4%A7%E9%98%AA%E5%BA%9C%E5%A4%A7%E9%98%AA%E5%B8%82%E5%B9%B3%E9%87%8E%E5%8C%BA%E9%95%B7%E5%90%89%E9%95%B7%E5%8E%9F%E8%A5%BF</v>
      </c>
      <c r="E1463" t="str">
        <f t="shared" si="86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1463" cm="1">
        <f t="array" ref="F1463">INDEX(_xlfn.FILTERXML(E1463,"//latitude"),1)</f>
        <v>34.607632000000002</v>
      </c>
      <c r="G1463" cm="1">
        <f t="array" ref="G1463">INDEX(_xlfn.FILTERXML(E1463,"//longitude"),1)</f>
        <v>135.565979</v>
      </c>
      <c r="H1463">
        <v>34.607632000000002</v>
      </c>
      <c r="I1463">
        <v>135.565979</v>
      </c>
    </row>
    <row r="1464" spans="1:9" x14ac:dyDescent="0.4">
      <c r="A1464" t="s">
        <v>118</v>
      </c>
      <c r="B1464" t="s">
        <v>306</v>
      </c>
      <c r="C1464" t="str">
        <f t="shared" si="84"/>
        <v>北海道上川郡東川町</v>
      </c>
      <c r="D1464" s="2" t="str">
        <f t="shared" si="85"/>
        <v>http://geocode.csis.u-tokyo.ac.jp/cgi-bin/simple_geocode.cgi?charset=UTF8&amp;addr=%E5%8C%97%E6%B5%B7%E9%81%93%E4%B8%8A%E5%B7%9D%E9%83%A1%E6%9D%B1%E5%B7%9D%E7%94%BA</v>
      </c>
      <c r="E1464" t="str">
        <f t="shared" si="86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1464" cm="1">
        <f t="array" ref="F1464">INDEX(_xlfn.FILTERXML(E1464,"//latitude"),1)</f>
        <v>43.698875000000001</v>
      </c>
      <c r="G1464" cm="1">
        <f t="array" ref="G1464">INDEX(_xlfn.FILTERXML(E1464,"//longitude"),1)</f>
        <v>142.510132</v>
      </c>
      <c r="H1464">
        <v>43.698875000000001</v>
      </c>
      <c r="I1464">
        <v>142.510132</v>
      </c>
    </row>
    <row r="1465" spans="1:9" x14ac:dyDescent="0.4">
      <c r="A1465" t="s">
        <v>11</v>
      </c>
      <c r="B1465" t="s">
        <v>310</v>
      </c>
      <c r="C1465" t="str">
        <f t="shared" si="84"/>
        <v>大阪府大阪市都島区中野町</v>
      </c>
      <c r="D1465" s="2" t="str">
        <f t="shared" si="85"/>
        <v>http://geocode.csis.u-tokyo.ac.jp/cgi-bin/simple_geocode.cgi?charset=UTF8&amp;addr=%E5%A4%A7%E9%98%AA%E5%BA%9C%E5%A4%A7%E9%98%AA%E5%B8%82%E9%83%BD%E5%B3%B6%E5%8C%BA%E4%B8%AD%E9%87%8E%E7%94%BA</v>
      </c>
      <c r="E1465" t="str">
        <f t="shared" si="86"/>
        <v xml:space="preserve">&lt;?xml version="1.0" encoding="UTF-8" ?&gt;
&lt;results&gt;
&lt;query&gt;大阪府大阪市都島区中野町&lt;/query&gt;
&lt;geodetic&gt;wgs1984&lt;/geodetic&gt;
&lt;iConf&gt;5&lt;/iConf&gt;
&lt;converted&gt;大阪府大阪市都島区中野町&lt;/converted&gt;
&lt;candidate&gt;
&lt;address&gt;大阪府/大阪市/都島区/中野町&lt;/address&gt;
&lt;longitude&gt;135.523590&lt;/longitude&gt;
&lt;latitude&gt;34.699627&lt;/latitude&gt;
&lt;iLvl&gt;5&lt;/iLvl&gt;
&lt;/candidate&gt;
&lt;/results&gt;
</v>
      </c>
      <c r="F1465" cm="1">
        <f t="array" ref="F1465">INDEX(_xlfn.FILTERXML(E1465,"//latitude"),1)</f>
        <v>34.699627</v>
      </c>
      <c r="G1465" cm="1">
        <f t="array" ref="G1465">INDEX(_xlfn.FILTERXML(E1465,"//longitude"),1)</f>
        <v>135.52359000000001</v>
      </c>
      <c r="H1465">
        <v>34.699627</v>
      </c>
      <c r="I1465">
        <v>135.52359000000001</v>
      </c>
    </row>
    <row r="1466" spans="1:9" x14ac:dyDescent="0.4">
      <c r="A1466" t="s">
        <v>11</v>
      </c>
      <c r="B1466" t="s">
        <v>41</v>
      </c>
      <c r="C1466" t="str">
        <f t="shared" si="84"/>
        <v>大阪府豊中市</v>
      </c>
      <c r="D1466" s="2" t="str">
        <f t="shared" si="85"/>
        <v>http://geocode.csis.u-tokyo.ac.jp/cgi-bin/simple_geocode.cgi?charset=UTF8&amp;addr=%E5%A4%A7%E9%98%AA%E5%BA%9C%E8%B1%8A%E4%B8%AD%E5%B8%82</v>
      </c>
      <c r="E1466" t="str">
        <f t="shared" si="86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466" cm="1">
        <f t="array" ref="F1466">INDEX(_xlfn.FILTERXML(E1466,"//latitude"),1)</f>
        <v>34.781238999999999</v>
      </c>
      <c r="G1466" cm="1">
        <f t="array" ref="G1466">INDEX(_xlfn.FILTERXML(E1466,"//longitude"),1)</f>
        <v>135.46989400000001</v>
      </c>
      <c r="H1466">
        <v>34.781238999999999</v>
      </c>
      <c r="I1466">
        <v>135.46989400000001</v>
      </c>
    </row>
    <row r="1467" spans="1:9" x14ac:dyDescent="0.4">
      <c r="A1467" t="s">
        <v>15</v>
      </c>
      <c r="B1467" t="s">
        <v>313</v>
      </c>
      <c r="C1467" t="str">
        <f t="shared" si="84"/>
        <v>兵庫県宝塚市すみれが丘3-6-1-112</v>
      </c>
      <c r="D1467" s="2" t="str">
        <f t="shared" si="85"/>
        <v>http://geocode.csis.u-tokyo.ac.jp/cgi-bin/simple_geocode.cgi?charset=UTF8&amp;addr=%E5%85%B5%E5%BA%AB%E7%9C%8C%E5%AE%9D%E5%A1%9A%E5%B8%82%E3%81%99%E3%81%BF%E3%82%8C%E3%81%8C%E4%B8%983-6-1-112</v>
      </c>
      <c r="E1467" t="str">
        <f t="shared" si="86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1467" cm="1">
        <f t="array" ref="F1467">INDEX(_xlfn.FILTERXML(E1467,"//latitude"),1)</f>
        <v>34.823956000000003</v>
      </c>
      <c r="G1467" cm="1">
        <f t="array" ref="G1467">INDEX(_xlfn.FILTERXML(E1467,"//longitude"),1)</f>
        <v>135.34510800000001</v>
      </c>
      <c r="H1467">
        <v>34.823956000000003</v>
      </c>
      <c r="I1467">
        <v>135.34510800000001</v>
      </c>
    </row>
    <row r="1468" spans="1:9" x14ac:dyDescent="0.4">
      <c r="A1468" t="s">
        <v>18</v>
      </c>
      <c r="B1468" t="s">
        <v>317</v>
      </c>
      <c r="C1468" t="str">
        <f t="shared" si="84"/>
        <v>千葉県千葉市中央区神明町205-1</v>
      </c>
      <c r="D1468" s="2" t="str">
        <f t="shared" si="85"/>
        <v>http://geocode.csis.u-tokyo.ac.jp/cgi-bin/simple_geocode.cgi?charset=UTF8&amp;addr=%E5%8D%83%E8%91%89%E7%9C%8C%E5%8D%83%E8%91%89%E5%B8%82%E4%B8%AD%E5%A4%AE%E5%8C%BA%E7%A5%9E%E6%98%8E%E7%94%BA205-1</v>
      </c>
      <c r="E1468" t="str">
        <f t="shared" si="86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1468" cm="1">
        <f t="array" ref="F1468">INDEX(_xlfn.FILTERXML(E1468,"//latitude"),1)</f>
        <v>35.604281999999998</v>
      </c>
      <c r="G1468" cm="1">
        <f t="array" ref="G1468">INDEX(_xlfn.FILTERXML(E1468,"//longitude"),1)</f>
        <v>140.116501</v>
      </c>
      <c r="H1468">
        <v>35.604281999999998</v>
      </c>
      <c r="I1468">
        <v>140.116501</v>
      </c>
    </row>
    <row r="1469" spans="1:9" x14ac:dyDescent="0.4">
      <c r="A1469" t="s">
        <v>204</v>
      </c>
      <c r="B1469" t="s">
        <v>322</v>
      </c>
      <c r="C1469" t="str">
        <f t="shared" si="84"/>
        <v>青森県青森市浜田</v>
      </c>
      <c r="D1469" s="2" t="str">
        <f t="shared" si="85"/>
        <v>http://geocode.csis.u-tokyo.ac.jp/cgi-bin/simple_geocode.cgi?charset=UTF8&amp;addr=%E9%9D%92%E6%A3%AE%E7%9C%8C%E9%9D%92%E6%A3%AE%E5%B8%82%E6%B5%9C%E7%94%B0</v>
      </c>
      <c r="E1469" t="str">
        <f t="shared" si="86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1469" cm="1">
        <f t="array" ref="F1469">INDEX(_xlfn.FILTERXML(E1469,"//latitude"),1)</f>
        <v>40.798389</v>
      </c>
      <c r="G1469" cm="1">
        <f t="array" ref="G1469">INDEX(_xlfn.FILTERXML(E1469,"//longitude"),1)</f>
        <v>140.752319</v>
      </c>
      <c r="H1469">
        <v>40.798389</v>
      </c>
      <c r="I1469">
        <v>140.752319</v>
      </c>
    </row>
    <row r="1470" spans="1:9" x14ac:dyDescent="0.4">
      <c r="A1470" t="s">
        <v>13</v>
      </c>
      <c r="B1470" t="s">
        <v>325</v>
      </c>
      <c r="C1470" t="str">
        <f t="shared" si="84"/>
        <v>埼玉県戸田市川岸</v>
      </c>
      <c r="D1470" s="2" t="str">
        <f t="shared" si="85"/>
        <v>http://geocode.csis.u-tokyo.ac.jp/cgi-bin/simple_geocode.cgi?charset=UTF8&amp;addr=%E5%9F%BC%E7%8E%89%E7%9C%8C%E6%88%B8%E7%94%B0%E5%B8%82%E5%B7%9D%E5%B2%B8</v>
      </c>
      <c r="E1470" t="str">
        <f t="shared" si="86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1470" cm="1">
        <f t="array" ref="F1470">INDEX(_xlfn.FILTERXML(E1470,"//latitude"),1)</f>
        <v>35.802562999999999</v>
      </c>
      <c r="G1470" cm="1">
        <f t="array" ref="G1470">INDEX(_xlfn.FILTERXML(E1470,"//longitude"),1)</f>
        <v>139.68940699999999</v>
      </c>
      <c r="H1470">
        <v>35.802562999999999</v>
      </c>
      <c r="I1470">
        <v>139.68940699999999</v>
      </c>
    </row>
    <row r="1471" spans="1:9" x14ac:dyDescent="0.4">
      <c r="A1471" t="s">
        <v>12</v>
      </c>
      <c r="B1471" t="s">
        <v>326</v>
      </c>
      <c r="C1471" t="str">
        <f t="shared" si="84"/>
        <v>奈良県生駒郡三郷町</v>
      </c>
      <c r="D1471" s="2" t="str">
        <f t="shared" si="85"/>
        <v>http://geocode.csis.u-tokyo.ac.jp/cgi-bin/simple_geocode.cgi?charset=UTF8&amp;addr=%E5%A5%88%E8%89%AF%E7%9C%8C%E7%94%9F%E9%A7%92%E9%83%A1%E4%B8%89%E9%83%B7%E7%94%BA</v>
      </c>
      <c r="E1471" t="str">
        <f t="shared" si="86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1471" cm="1">
        <f t="array" ref="F1471">INDEX(_xlfn.FILTERXML(E1471,"//latitude"),1)</f>
        <v>34.599975999999998</v>
      </c>
      <c r="G1471" cm="1">
        <f t="array" ref="G1471">INDEX(_xlfn.FILTERXML(E1471,"//longitude"),1)</f>
        <v>135.69541899999999</v>
      </c>
      <c r="H1471">
        <v>34.599975999999998</v>
      </c>
      <c r="I1471">
        <v>135.69541899999999</v>
      </c>
    </row>
    <row r="1472" spans="1:9" x14ac:dyDescent="0.4">
      <c r="A1472" t="s">
        <v>9</v>
      </c>
      <c r="B1472" t="s">
        <v>329</v>
      </c>
      <c r="C1472" t="str">
        <f t="shared" si="84"/>
        <v>東京都中央区勝どき</v>
      </c>
      <c r="D1472" s="2" t="str">
        <f t="shared" si="85"/>
        <v>http://geocode.csis.u-tokyo.ac.jp/cgi-bin/simple_geocode.cgi?charset=UTF8&amp;addr=%E6%9D%B1%E4%BA%AC%E9%83%BD%E4%B8%AD%E5%A4%AE%E5%8C%BA%E5%8B%9D%E3%81%A9%E3%81%8D</v>
      </c>
      <c r="E1472" t="str">
        <f t="shared" si="86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1472" cm="1">
        <f t="array" ref="F1472">INDEX(_xlfn.FILTERXML(E1472,"//latitude"),1)</f>
        <v>35.660708999999997</v>
      </c>
      <c r="G1472" cm="1">
        <f t="array" ref="G1472">INDEX(_xlfn.FILTERXML(E1472,"//longitude"),1)</f>
        <v>139.77647400000001</v>
      </c>
      <c r="H1472">
        <v>35.660708999999997</v>
      </c>
      <c r="I1472">
        <v>139.77647400000001</v>
      </c>
    </row>
    <row r="1473" spans="1:9" x14ac:dyDescent="0.4">
      <c r="A1473" t="s">
        <v>9</v>
      </c>
      <c r="B1473" t="s">
        <v>331</v>
      </c>
      <c r="C1473" t="str">
        <f t="shared" si="84"/>
        <v>東京都調布市</v>
      </c>
      <c r="D1473" s="2" t="str">
        <f t="shared" si="85"/>
        <v>http://geocode.csis.u-tokyo.ac.jp/cgi-bin/simple_geocode.cgi?charset=UTF8&amp;addr=%E6%9D%B1%E4%BA%AC%E9%83%BD%E8%AA%BF%E5%B8%83%E5%B8%82</v>
      </c>
      <c r="E1473" t="str">
        <f t="shared" si="86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1473" cm="1">
        <f t="array" ref="F1473">INDEX(_xlfn.FILTERXML(E1473,"//latitude"),1)</f>
        <v>35.650627</v>
      </c>
      <c r="G1473" cm="1">
        <f t="array" ref="G1473">INDEX(_xlfn.FILTERXML(E1473,"//longitude"),1)</f>
        <v>139.54068000000001</v>
      </c>
      <c r="H1473">
        <v>35.650627</v>
      </c>
      <c r="I1473">
        <v>139.54068000000001</v>
      </c>
    </row>
    <row r="1474" spans="1:9" x14ac:dyDescent="0.4">
      <c r="A1474" t="s">
        <v>13</v>
      </c>
      <c r="B1474" t="s">
        <v>332</v>
      </c>
      <c r="C1474" t="str">
        <f t="shared" si="84"/>
        <v>埼玉県越谷市新越谷</v>
      </c>
      <c r="D1474" s="2" t="str">
        <f t="shared" si="85"/>
        <v>http://geocode.csis.u-tokyo.ac.jp/cgi-bin/simple_geocode.cgi?charset=UTF8&amp;addr=%E5%9F%BC%E7%8E%89%E7%9C%8C%E8%B6%8A%E8%B0%B7%E5%B8%82%E6%96%B0%E8%B6%8A%E8%B0%B7</v>
      </c>
      <c r="E1474" t="str">
        <f t="shared" si="86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1474" cm="1">
        <f t="array" ref="F1474">INDEX(_xlfn.FILTERXML(E1474,"//latitude"),1)</f>
        <v>35.874282999999998</v>
      </c>
      <c r="G1474" cm="1">
        <f t="array" ref="G1474">INDEX(_xlfn.FILTERXML(E1474,"//longitude"),1)</f>
        <v>139.78247099999999</v>
      </c>
      <c r="H1474">
        <v>35.874282999999998</v>
      </c>
      <c r="I1474">
        <v>139.78247099999999</v>
      </c>
    </row>
    <row r="1475" spans="1:9" x14ac:dyDescent="0.4">
      <c r="A1475" t="s">
        <v>10</v>
      </c>
      <c r="B1475" t="s">
        <v>333</v>
      </c>
      <c r="C1475" t="str">
        <f t="shared" si="84"/>
        <v>神奈川県横浜市西区平沼</v>
      </c>
      <c r="D1475" s="2" t="str">
        <f t="shared" si="85"/>
        <v>http://geocode.csis.u-tokyo.ac.jp/cgi-bin/simple_geocode.cgi?charset=UTF8&amp;addr=%E7%A5%9E%E5%A5%88%E5%B7%9D%E7%9C%8C%E6%A8%AA%E6%B5%9C%E5%B8%82%E8%A5%BF%E5%8C%BA%E5%B9%B3%E6%B2%BC</v>
      </c>
      <c r="E1475" t="str">
        <f t="shared" si="86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1475" cm="1">
        <f t="array" ref="F1475">INDEX(_xlfn.FILTERXML(E1475,"//latitude"),1)</f>
        <v>35.460503000000003</v>
      </c>
      <c r="G1475" cm="1">
        <f t="array" ref="G1475">INDEX(_xlfn.FILTERXML(E1475,"//longitude"),1)</f>
        <v>139.61964399999999</v>
      </c>
      <c r="H1475">
        <v>35.460503000000003</v>
      </c>
      <c r="I1475">
        <v>139.61964399999999</v>
      </c>
    </row>
    <row r="1476" spans="1:9" x14ac:dyDescent="0.4">
      <c r="A1476" t="s">
        <v>9</v>
      </c>
      <c r="B1476" t="s">
        <v>337</v>
      </c>
      <c r="C1476" t="str">
        <f t="shared" si="84"/>
        <v>東京都世田谷区上野毛</v>
      </c>
      <c r="D1476" s="2" t="str">
        <f t="shared" si="85"/>
        <v>http://geocode.csis.u-tokyo.ac.jp/cgi-bin/simple_geocode.cgi?charset=UTF8&amp;addr=%E6%9D%B1%E4%BA%AC%E9%83%BD%E4%B8%96%E7%94%B0%E8%B0%B7%E5%8C%BA%E4%B8%8A%E9%87%8E%E6%AF%9B</v>
      </c>
      <c r="E1476" t="str">
        <f t="shared" si="86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1476" cm="1">
        <f t="array" ref="F1476">INDEX(_xlfn.FILTERXML(E1476,"//latitude"),1)</f>
        <v>35.61121</v>
      </c>
      <c r="G1476" cm="1">
        <f t="array" ref="G1476">INDEX(_xlfn.FILTERXML(E1476,"//longitude"),1)</f>
        <v>139.63961800000001</v>
      </c>
      <c r="H1476">
        <v>35.61121</v>
      </c>
      <c r="I1476">
        <v>139.63961800000001</v>
      </c>
    </row>
    <row r="1477" spans="1:9" x14ac:dyDescent="0.4">
      <c r="A1477" t="s">
        <v>52</v>
      </c>
      <c r="B1477" t="s">
        <v>338</v>
      </c>
      <c r="C1477" t="str">
        <f t="shared" si="84"/>
        <v>徳島県美馬市脇町字小星</v>
      </c>
      <c r="D1477" s="2" t="str">
        <f t="shared" si="85"/>
        <v>http://geocode.csis.u-tokyo.ac.jp/cgi-bin/simple_geocode.cgi?charset=UTF8&amp;addr=%E5%BE%B3%E5%B3%B6%E7%9C%8C%E7%BE%8E%E9%A6%AC%E5%B8%82%E8%84%87%E7%94%BA%E5%AD%97%E5%B0%8F%E6%98%9F</v>
      </c>
      <c r="E1477" t="str">
        <f t="shared" si="86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1477" cm="1">
        <f t="array" ref="F1477">INDEX(_xlfn.FILTERXML(E1477,"//latitude"),1)</f>
        <v>34.066153999999997</v>
      </c>
      <c r="G1477" cm="1">
        <f t="array" ref="G1477">INDEX(_xlfn.FILTERXML(E1477,"//longitude"),1)</f>
        <v>134.092636</v>
      </c>
      <c r="H1477">
        <v>34.066153999999997</v>
      </c>
      <c r="I1477">
        <v>134.092636</v>
      </c>
    </row>
    <row r="1478" spans="1:9" x14ac:dyDescent="0.4">
      <c r="A1478" t="s">
        <v>9</v>
      </c>
      <c r="B1478" t="s">
        <v>340</v>
      </c>
      <c r="C1478" t="str">
        <f t="shared" si="84"/>
        <v>東京都豊島区西巣鴨</v>
      </c>
      <c r="D1478" s="2" t="str">
        <f t="shared" si="85"/>
        <v>http://geocode.csis.u-tokyo.ac.jp/cgi-bin/simple_geocode.cgi?charset=UTF8&amp;addr=%E6%9D%B1%E4%BA%AC%E9%83%BD%E8%B1%8A%E5%B3%B6%E5%8C%BA%E8%A5%BF%E5%B7%A3%E9%B4%A8</v>
      </c>
      <c r="E1478" t="str">
        <f t="shared" si="86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1478" cm="1">
        <f t="array" ref="F1478">INDEX(_xlfn.FILTERXML(E1478,"//latitude"),1)</f>
        <v>35.737560000000002</v>
      </c>
      <c r="G1478" cm="1">
        <f t="array" ref="G1478">INDEX(_xlfn.FILTERXML(E1478,"//longitude"),1)</f>
        <v>139.725266</v>
      </c>
      <c r="H1478">
        <v>35.737560000000002</v>
      </c>
      <c r="I1478">
        <v>139.725266</v>
      </c>
    </row>
    <row r="1479" spans="1:9" x14ac:dyDescent="0.4">
      <c r="A1479" t="s">
        <v>9</v>
      </c>
      <c r="B1479" t="s">
        <v>1111</v>
      </c>
      <c r="C1479" t="str">
        <f t="shared" si="84"/>
        <v>東京都杉並区高井戸東</v>
      </c>
      <c r="D1479" s="2" t="str">
        <f t="shared" si="85"/>
        <v>http://geocode.csis.u-tokyo.ac.jp/cgi-bin/simple_geocode.cgi?charset=UTF8&amp;addr=%E6%9D%B1%E4%BA%AC%E9%83%BD%E6%9D%89%E4%B8%A6%E5%8C%BA%E9%AB%98%E4%BA%95%E6%88%B8%E6%9D%B1</v>
      </c>
      <c r="E1479" t="str">
        <f t="shared" si="86"/>
        <v xml:space="preserve">&lt;?xml version="1.0" encoding="UTF-8" ?&gt;
&lt;results&gt;
&lt;query&gt;東京都杉並区高井戸東&lt;/query&gt;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1479" cm="1">
        <f t="array" ref="F1479">INDEX(_xlfn.FILTERXML(E1479,"//latitude"),1)</f>
        <v>35.679405000000003</v>
      </c>
      <c r="G1479" cm="1">
        <f t="array" ref="G1479">INDEX(_xlfn.FILTERXML(E1479,"//longitude"),1)</f>
        <v>139.621948</v>
      </c>
      <c r="H1479">
        <v>35.679405000000003</v>
      </c>
      <c r="I1479">
        <v>139.621948</v>
      </c>
    </row>
    <row r="1480" spans="1:9" x14ac:dyDescent="0.4">
      <c r="A1480" t="s">
        <v>9</v>
      </c>
      <c r="B1480" t="s">
        <v>243</v>
      </c>
      <c r="C1480" t="str">
        <f t="shared" si="84"/>
        <v>東京都立川市柴崎町</v>
      </c>
      <c r="D1480" s="2" t="str">
        <f t="shared" si="85"/>
        <v>http://geocode.csis.u-tokyo.ac.jp/cgi-bin/simple_geocode.cgi?charset=UTF8&amp;addr=%E6%9D%B1%E4%BA%AC%E9%83%BD%E7%AB%8B%E5%B7%9D%E5%B8%82%E6%9F%B4%E5%B4%8E%E7%94%BA</v>
      </c>
      <c r="E1480" t="str">
        <f t="shared" si="86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1480" cm="1">
        <f t="array" ref="F1480">INDEX(_xlfn.FILTERXML(E1480,"//latitude"),1)</f>
        <v>35.694065000000002</v>
      </c>
      <c r="G1480" cm="1">
        <f t="array" ref="G1480">INDEX(_xlfn.FILTERXML(E1480,"//longitude"),1)</f>
        <v>139.40458699999999</v>
      </c>
      <c r="H1480">
        <v>35.694065000000002</v>
      </c>
      <c r="I1480">
        <v>139.40458699999999</v>
      </c>
    </row>
    <row r="1481" spans="1:9" x14ac:dyDescent="0.4">
      <c r="A1481" t="s">
        <v>46</v>
      </c>
      <c r="B1481" t="s">
        <v>1113</v>
      </c>
      <c r="C1481" t="str">
        <f t="shared" si="84"/>
        <v>山口県山口市朝倉町</v>
      </c>
      <c r="D1481" s="2" t="str">
        <f t="shared" si="85"/>
        <v>http://geocode.csis.u-tokyo.ac.jp/cgi-bin/simple_geocode.cgi?charset=UTF8&amp;addr=%E5%B1%B1%E5%8F%A3%E7%9C%8C%E5%B1%B1%E5%8F%A3%E5%B8%82%E6%9C%9D%E5%80%89%E7%94%BA</v>
      </c>
      <c r="E1481" t="str">
        <f t="shared" si="86"/>
        <v xml:space="preserve">&lt;?xml version="1.0" encoding="UTF-8" ?&gt;
&lt;results&gt;
&lt;query&gt;山口県山口市朝倉町&lt;/query&gt;
&lt;geodetic&gt;wgs1984&lt;/geodetic&gt;
&lt;iConf&gt;5&lt;/iConf&gt;
&lt;converted&gt;山口県山口市朝倉町&lt;/converted&gt;
&lt;candidate&gt;
&lt;address&gt;山口県/山口市/朝倉町&lt;/address&gt;
&lt;longitude&gt;131.448257&lt;/longitude&gt;
&lt;latitude&gt;34.179890&lt;/latitude&gt;
&lt;iLvl&gt;5&lt;/iLvl&gt;
&lt;/candidate&gt;
&lt;/results&gt;
</v>
      </c>
      <c r="F1481" cm="1">
        <f t="array" ref="F1481">INDEX(_xlfn.FILTERXML(E1481,"//latitude"),1)</f>
        <v>34.17989</v>
      </c>
      <c r="G1481" cm="1">
        <f t="array" ref="G1481">INDEX(_xlfn.FILTERXML(E1481,"//longitude"),1)</f>
        <v>131.44825700000001</v>
      </c>
      <c r="H1481">
        <v>34.17989</v>
      </c>
      <c r="I1481">
        <v>131.44825700000001</v>
      </c>
    </row>
    <row r="1482" spans="1:9" x14ac:dyDescent="0.4">
      <c r="A1482" t="s">
        <v>21</v>
      </c>
      <c r="B1482" t="s">
        <v>730</v>
      </c>
      <c r="C1482" t="str">
        <f t="shared" si="84"/>
        <v>福岡県福岡市早良区百道浜</v>
      </c>
      <c r="D1482" s="2" t="str">
        <f t="shared" si="85"/>
        <v>http://geocode.csis.u-tokyo.ac.jp/cgi-bin/simple_geocode.cgi?charset=UTF8&amp;addr=%E7%A6%8F%E5%B2%A1%E7%9C%8C%E7%A6%8F%E5%B2%A1%E5%B8%82%E6%97%A9%E8%89%AF%E5%8C%BA%E7%99%BE%E9%81%93%E6%B5%9C</v>
      </c>
      <c r="E1482" t="str">
        <f t="shared" si="86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1482" cm="1">
        <f t="array" ref="F1482">INDEX(_xlfn.FILTERXML(E1482,"//latitude"),1)</f>
        <v>33.590674999999997</v>
      </c>
      <c r="G1482" cm="1">
        <f t="array" ref="G1482">INDEX(_xlfn.FILTERXML(E1482,"//longitude"),1)</f>
        <v>130.35678100000001</v>
      </c>
      <c r="H1482">
        <v>33.590674999999997</v>
      </c>
      <c r="I1482">
        <v>130.35678100000001</v>
      </c>
    </row>
    <row r="1483" spans="1:9" x14ac:dyDescent="0.4">
      <c r="A1483" t="s">
        <v>23</v>
      </c>
      <c r="B1483" t="s">
        <v>365</v>
      </c>
      <c r="C1483" t="str">
        <f t="shared" si="84"/>
        <v>宮城県仙台市青葉区五橋2－10－6</v>
      </c>
      <c r="D1483" s="2" t="str">
        <f t="shared" si="85"/>
        <v>http://geocode.csis.u-tokyo.ac.jp/cgi-bin/simple_geocode.cgi?charset=UTF8&amp;addr=%E5%AE%AE%E5%9F%8E%E7%9C%8C%E4%BB%99%E5%8F%B0%E5%B8%82%E9%9D%92%E8%91%89%E5%8C%BA%E4%BA%94%E6%A9%8B2%EF%BC%8D10%EF%BC%8D6</v>
      </c>
      <c r="E1483" t="str">
        <f t="shared" si="86"/>
        <v xml:space="preserve">&lt;?xml version="1.0" encoding="UTF-8" ?&gt;
&lt;results&gt;
&lt;query&gt;宮城県仙台市青葉区五橋2−10−6&lt;/query&gt;
&lt;geodetic&gt;wgs1984&lt;/geodetic&gt;
&lt;iConf&gt;5&lt;/iConf&gt;
&lt;converted&gt;宮城県仙台市青葉区五橋2−10−6&lt;/converted&gt;
&lt;candidate&gt;
&lt;address&gt;宮城県/仙台市/青葉区/五橋/二丁目/１０番/６号&lt;/address&gt;
&lt;longitude&gt;140.879272&lt;/longitude&gt;
&lt;latitude&gt;38.249813&lt;/latitude&gt;
&lt;iLvl&gt;8&lt;/iLvl&gt;
&lt;/candidate&gt;
&lt;/results&gt;
</v>
      </c>
      <c r="F1483" cm="1">
        <f t="array" ref="F1483">INDEX(_xlfn.FILTERXML(E1483,"//latitude"),1)</f>
        <v>38.249813000000003</v>
      </c>
      <c r="G1483" cm="1">
        <f t="array" ref="G1483">INDEX(_xlfn.FILTERXML(E1483,"//longitude"),1)</f>
        <v>140.87927199999999</v>
      </c>
      <c r="H1483">
        <v>38.249813000000003</v>
      </c>
      <c r="I1483">
        <v>140.87927199999999</v>
      </c>
    </row>
    <row r="1484" spans="1:9" x14ac:dyDescent="0.4">
      <c r="A1484" t="s">
        <v>18</v>
      </c>
      <c r="B1484" t="s">
        <v>530</v>
      </c>
      <c r="C1484" t="str">
        <f t="shared" si="84"/>
        <v>千葉県流山市</v>
      </c>
      <c r="D1484" s="2" t="str">
        <f t="shared" si="85"/>
        <v>http://geocode.csis.u-tokyo.ac.jp/cgi-bin/simple_geocode.cgi?charset=UTF8&amp;addr=%E5%8D%83%E8%91%89%E7%9C%8C%E6%B5%81%E5%B1%B1%E5%B8%82</v>
      </c>
      <c r="E1484" t="str">
        <f t="shared" si="86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1484" cm="1">
        <f t="array" ref="F1484">INDEX(_xlfn.FILTERXML(E1484,"//latitude"),1)</f>
        <v>35.856285</v>
      </c>
      <c r="G1484" cm="1">
        <f t="array" ref="G1484">INDEX(_xlfn.FILTERXML(E1484,"//longitude"),1)</f>
        <v>139.90258800000001</v>
      </c>
      <c r="H1484">
        <v>35.856285</v>
      </c>
      <c r="I1484">
        <v>139.90258800000001</v>
      </c>
    </row>
    <row r="1485" spans="1:9" x14ac:dyDescent="0.4">
      <c r="A1485" t="s">
        <v>18</v>
      </c>
      <c r="B1485" t="s">
        <v>408</v>
      </c>
      <c r="C1485" t="str">
        <f t="shared" si="84"/>
        <v>千葉県市原市東国分寺台</v>
      </c>
      <c r="D1485" s="2" t="str">
        <f t="shared" si="85"/>
        <v>http://geocode.csis.u-tokyo.ac.jp/cgi-bin/simple_geocode.cgi?charset=UTF8&amp;addr=%E5%8D%83%E8%91%89%E7%9C%8C%E5%B8%82%E5%8E%9F%E5%B8%82%E6%9D%B1%E5%9B%BD%E5%88%86%E5%AF%BA%E5%8F%B0</v>
      </c>
      <c r="E1485" t="str">
        <f t="shared" si="86"/>
        <v xml:space="preserve">&lt;?xml version="1.0" encoding="UTF-8" ?&gt;
&lt;results&gt;
&lt;query&gt;千葉県市原市東国分寺台&lt;/query&gt;
&lt;geodetic&gt;wgs1984&lt;/geodetic&gt;
&lt;iConf&gt;5&lt;/iConf&gt;
&lt;converted&gt;千葉県市原市東国分寺台&lt;/converted&gt;
&lt;candidate&gt;
&lt;address&gt;千葉県/市原市/東国分寺台&lt;/address&gt;
&lt;longitude&gt;140.118591&lt;/longitude&gt;
&lt;latitude&gt;35.494881&lt;/latitude&gt;
&lt;iLvl&gt;5&lt;/iLvl&gt;
&lt;/candidate&gt;
&lt;/results&gt;
</v>
      </c>
      <c r="F1485" cm="1">
        <f t="array" ref="F1485">INDEX(_xlfn.FILTERXML(E1485,"//latitude"),1)</f>
        <v>35.494880999999999</v>
      </c>
      <c r="G1485" cm="1">
        <f t="array" ref="G1485">INDEX(_xlfn.FILTERXML(E1485,"//longitude"),1)</f>
        <v>140.11859100000001</v>
      </c>
      <c r="H1485">
        <v>35.494880999999999</v>
      </c>
      <c r="I1485">
        <v>140.11859100000001</v>
      </c>
    </row>
    <row r="1486" spans="1:9" x14ac:dyDescent="0.4">
      <c r="A1486" t="s">
        <v>39</v>
      </c>
      <c r="B1486" t="s">
        <v>1136</v>
      </c>
      <c r="C1486" t="str">
        <f t="shared" si="84"/>
        <v>愛媛県今治市郷桜井</v>
      </c>
      <c r="D1486" s="2" t="str">
        <f t="shared" si="85"/>
        <v>http://geocode.csis.u-tokyo.ac.jp/cgi-bin/simple_geocode.cgi?charset=UTF8&amp;addr=%E6%84%9B%E5%AA%9B%E7%9C%8C%E4%BB%8A%E6%B2%BB%E5%B8%82%E9%83%B7%E6%A1%9C%E4%BA%95</v>
      </c>
      <c r="E1486" t="str">
        <f t="shared" si="86"/>
        <v xml:space="preserve">&lt;?xml version="1.0" encoding="UTF-8" ?&gt;
&lt;results&gt;
&lt;query&gt;愛媛県今治市郷桜井&lt;/query&gt;
&lt;geodetic&gt;wgs1984&lt;/geodetic&gt;
&lt;iConf&gt;5&lt;/iConf&gt;
&lt;converted&gt;愛媛県今治市郷桜井&lt;/converted&gt;
&lt;candidate&gt;
&lt;address&gt;愛媛県/今治市/郷桜井&lt;/address&gt;
&lt;longitude&gt;133.031494&lt;/longitude&gt;
&lt;latitude&gt;34.018867&lt;/latitude&gt;
&lt;iLvl&gt;5&lt;/iLvl&gt;
&lt;/candidate&gt;
&lt;/results&gt;
</v>
      </c>
      <c r="F1486" cm="1">
        <f t="array" ref="F1486">INDEX(_xlfn.FILTERXML(E1486,"//latitude"),1)</f>
        <v>34.018867</v>
      </c>
      <c r="G1486" cm="1">
        <f t="array" ref="G1486">INDEX(_xlfn.FILTERXML(E1486,"//longitude"),1)</f>
        <v>133.03149400000001</v>
      </c>
      <c r="H1486">
        <v>34.018867</v>
      </c>
      <c r="I1486">
        <v>133.03149400000001</v>
      </c>
    </row>
    <row r="1487" spans="1:9" x14ac:dyDescent="0.4">
      <c r="A1487" t="s">
        <v>11</v>
      </c>
      <c r="B1487" t="s">
        <v>1109</v>
      </c>
      <c r="C1487" t="str">
        <f t="shared" ref="C1487:C1550" si="87">+A1487&amp;B1487</f>
        <v>大阪府大阪市城東区諏訪</v>
      </c>
      <c r="D1487" s="2" t="str">
        <f t="shared" ref="D1487:D1550" si="88" xml:space="preserve"> "http://geocode.csis.u-tokyo.ac.jp/cgi-bin/simple_geocode.cgi?charset=UTF8&amp;addr=" &amp; _xlfn.ENCODEURL(C1487)</f>
        <v>http://geocode.csis.u-tokyo.ac.jp/cgi-bin/simple_geocode.cgi?charset=UTF8&amp;addr=%E5%A4%A7%E9%98%AA%E5%BA%9C%E5%A4%A7%E9%98%AA%E5%B8%82%E5%9F%8E%E6%9D%B1%E5%8C%BA%E8%AB%8F%E8%A8%AA</v>
      </c>
      <c r="E1487" t="str">
        <f t="shared" ref="E1487:E1550" si="89" xml:space="preserve"> _xlfn.WEBSERVICE(D1487)</f>
        <v xml:space="preserve">&lt;?xml version="1.0" encoding="UTF-8" ?&gt;
&lt;results&gt;
&lt;query&gt;大阪府大阪市城東区諏訪&lt;/query&gt;
&lt;geodetic&gt;wgs1984&lt;/geodetic&gt;
&lt;iConf&gt;5&lt;/iConf&gt;
&lt;converted&gt;大阪府大阪市城東区諏訪&lt;/converted&gt;
&lt;candidate&gt;
&lt;address&gt;大阪府/大阪市/城東区/諏訪&lt;/address&gt;
&lt;longitude&gt;135.561844&lt;/longitude&gt;
&lt;latitude&gt;34.686092&lt;/latitude&gt;
&lt;iLvl&gt;5&lt;/iLvl&gt;
&lt;/candidate&gt;
&lt;/results&gt;
</v>
      </c>
      <c r="F1487" cm="1">
        <f t="array" ref="F1487">INDEX(_xlfn.FILTERXML(E1487,"//latitude"),1)</f>
        <v>34.686092000000002</v>
      </c>
      <c r="G1487" cm="1">
        <f t="array" ref="G1487">INDEX(_xlfn.FILTERXML(E1487,"//longitude"),1)</f>
        <v>135.56184400000001</v>
      </c>
      <c r="H1487">
        <v>34.686092000000002</v>
      </c>
      <c r="I1487">
        <v>135.56184400000001</v>
      </c>
    </row>
    <row r="1488" spans="1:9" x14ac:dyDescent="0.4">
      <c r="A1488" t="s">
        <v>11</v>
      </c>
      <c r="B1488" t="s">
        <v>409</v>
      </c>
      <c r="C1488" t="str">
        <f t="shared" si="87"/>
        <v>大阪府吹田市江の木町</v>
      </c>
      <c r="D1488" s="2" t="str">
        <f t="shared" si="88"/>
        <v>http://geocode.csis.u-tokyo.ac.jp/cgi-bin/simple_geocode.cgi?charset=UTF8&amp;addr=%E5%A4%A7%E9%98%AA%E5%BA%9C%E5%90%B9%E7%94%B0%E5%B8%82%E6%B1%9F%E3%81%AE%E6%9C%A8%E7%94%BA</v>
      </c>
      <c r="E1488" t="str">
        <f t="shared" si="89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1488" cm="1">
        <f t="array" ref="F1488">INDEX(_xlfn.FILTERXML(E1488,"//latitude"),1)</f>
        <v>34.754128000000001</v>
      </c>
      <c r="G1488" cm="1">
        <f t="array" ref="G1488">INDEX(_xlfn.FILTERXML(E1488,"//longitude"),1)</f>
        <v>135.49443099999999</v>
      </c>
      <c r="H1488">
        <v>34.754128000000001</v>
      </c>
      <c r="I1488">
        <v>135.49443099999999</v>
      </c>
    </row>
    <row r="1489" spans="1:9" x14ac:dyDescent="0.4">
      <c r="A1489" t="s">
        <v>21</v>
      </c>
      <c r="B1489" t="s">
        <v>1118</v>
      </c>
      <c r="C1489" t="str">
        <f t="shared" si="87"/>
        <v>福岡県粕屋町酒殿</v>
      </c>
      <c r="D1489" s="2" t="str">
        <f t="shared" si="88"/>
        <v>http://geocode.csis.u-tokyo.ac.jp/cgi-bin/simple_geocode.cgi?charset=UTF8&amp;addr=%E7%A6%8F%E5%B2%A1%E7%9C%8C%E7%B2%95%E5%B1%8B%E7%94%BA%E9%85%92%E6%AE%BF</v>
      </c>
      <c r="E1489" t="str">
        <f t="shared" si="89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1489" cm="1">
        <f t="array" ref="F1489">INDEX(_xlfn.FILTERXML(E1489,"//latitude"),1)</f>
        <v>33.598205999999998</v>
      </c>
      <c r="G1489" cm="1">
        <f t="array" ref="G1489">INDEX(_xlfn.FILTERXML(E1489,"//longitude"),1)</f>
        <v>130.48031599999999</v>
      </c>
      <c r="H1489">
        <v>33.598205999999998</v>
      </c>
      <c r="I1489">
        <v>130.48031599999999</v>
      </c>
    </row>
    <row r="1490" spans="1:9" x14ac:dyDescent="0.4">
      <c r="A1490" t="s">
        <v>10</v>
      </c>
      <c r="B1490" t="s">
        <v>1145</v>
      </c>
      <c r="C1490" t="str">
        <f t="shared" si="87"/>
        <v>神奈川県川崎市宮前区馬絹</v>
      </c>
      <c r="D1490" s="2" t="str">
        <f t="shared" si="88"/>
        <v>http://geocode.csis.u-tokyo.ac.jp/cgi-bin/simple_geocode.cgi?charset=UTF8&amp;addr=%E7%A5%9E%E5%A5%88%E5%B7%9D%E7%9C%8C%E5%B7%9D%E5%B4%8E%E5%B8%82%E5%AE%AE%E5%89%8D%E5%8C%BA%E9%A6%AC%E7%B5%B9</v>
      </c>
      <c r="E1490" t="str">
        <f t="shared" si="89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1490" cm="1">
        <f t="array" ref="F1490">INDEX(_xlfn.FILTERXML(E1490,"//latitude"),1)</f>
        <v>35.581547</v>
      </c>
      <c r="G1490" cm="1">
        <f t="array" ref="G1490">INDEX(_xlfn.FILTERXML(E1490,"//longitude"),1)</f>
        <v>139.58741800000001</v>
      </c>
      <c r="H1490">
        <v>35.581547</v>
      </c>
      <c r="I1490">
        <v>139.58741800000001</v>
      </c>
    </row>
    <row r="1491" spans="1:9" x14ac:dyDescent="0.4">
      <c r="A1491" t="s">
        <v>13</v>
      </c>
      <c r="B1491" t="s">
        <v>1164</v>
      </c>
      <c r="C1491" t="str">
        <f t="shared" si="87"/>
        <v>埼玉県さいたま市浦和区</v>
      </c>
      <c r="D1491" s="2" t="str">
        <f t="shared" si="88"/>
        <v>http://geocode.csis.u-tokyo.ac.jp/cgi-bin/simple_geocode.cgi?charset=UTF8&amp;addr=%E5%9F%BC%E7%8E%89%E7%9C%8C%E3%81%95%E3%81%84%E3%81%9F%E3%81%BE%E5%B8%82%E6%B5%A6%E5%92%8C%E5%8C%BA</v>
      </c>
      <c r="E1491" t="str">
        <f t="shared" si="89"/>
        <v xml:space="preserve">&lt;?xml version="1.0" encoding="UTF-8" ?&gt;
&lt;results&gt;
&lt;query&gt;埼玉県さいたま市浦和区&lt;/query&gt;
&lt;geodetic&gt;wgs1984&lt;/geodetic&gt;
&lt;iConf&gt;5&lt;/iConf&gt;
&lt;converted&gt;埼玉県さいたま市浦和区&lt;/converted&gt;
&lt;candidate&gt;
&lt;address&gt;埼玉県/さいたま市/浦和区&lt;/address&gt;
&lt;longitude&gt;139.645401&lt;/longitude&gt;
&lt;latitude&gt;35.861969&lt;/latitude&gt;
&lt;iLvl&gt;4&lt;/iLvl&gt;
&lt;/candidate&gt;
&lt;/results&gt;
</v>
      </c>
      <c r="F1491" cm="1">
        <f t="array" ref="F1491">INDEX(_xlfn.FILTERXML(E1491,"//latitude"),1)</f>
        <v>35.861969000000002</v>
      </c>
      <c r="G1491" cm="1">
        <f t="array" ref="G1491">INDEX(_xlfn.FILTERXML(E1491,"//longitude"),1)</f>
        <v>139.64540099999999</v>
      </c>
      <c r="H1491" s="3">
        <v>35.861969000000002</v>
      </c>
      <c r="I1491" s="3">
        <v>139.64540099999999</v>
      </c>
    </row>
    <row r="1492" spans="1:9" x14ac:dyDescent="0.4">
      <c r="A1492" t="s">
        <v>9</v>
      </c>
      <c r="B1492" t="s">
        <v>223</v>
      </c>
      <c r="C1492" t="str">
        <f t="shared" si="87"/>
        <v>東京都世田谷区</v>
      </c>
      <c r="D1492" s="2" t="str">
        <f t="shared" si="88"/>
        <v>http://geocode.csis.u-tokyo.ac.jp/cgi-bin/simple_geocode.cgi?charset=UTF8&amp;addr=%E6%9D%B1%E4%BA%AC%E9%83%BD%E4%B8%96%E7%94%B0%E8%B0%B7%E5%8C%BA</v>
      </c>
      <c r="E1492" t="str">
        <f t="shared" si="8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492" cm="1">
        <f t="array" ref="F1492">INDEX(_xlfn.FILTERXML(E1492,"//latitude"),1)</f>
        <v>35.646481000000001</v>
      </c>
      <c r="G1492" cm="1">
        <f t="array" ref="G1492">INDEX(_xlfn.FILTERXML(E1492,"//longitude"),1)</f>
        <v>139.65321399999999</v>
      </c>
      <c r="H1492">
        <v>35.646481000000001</v>
      </c>
      <c r="I1492">
        <v>139.65321399999999</v>
      </c>
    </row>
    <row r="1493" spans="1:9" x14ac:dyDescent="0.4">
      <c r="A1493" t="s">
        <v>10</v>
      </c>
      <c r="B1493" t="s">
        <v>136</v>
      </c>
      <c r="C1493" t="str">
        <f t="shared" si="87"/>
        <v>神奈川県横浜市港北区綱島東</v>
      </c>
      <c r="D1493" s="2" t="str">
        <f t="shared" si="88"/>
        <v>http://geocode.csis.u-tokyo.ac.jp/cgi-bin/simple_geocode.cgi?charset=UTF8&amp;addr=%E7%A5%9E%E5%A5%88%E5%B7%9D%E7%9C%8C%E6%A8%AA%E6%B5%9C%E5%B8%82%E6%B8%AF%E5%8C%97%E5%8C%BA%E7%B6%B1%E5%B3%B6%E6%9D%B1</v>
      </c>
      <c r="E1493" t="str">
        <f t="shared" si="89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1493" cm="1">
        <f t="array" ref="F1493">INDEX(_xlfn.FILTERXML(E1493,"//latitude"),1)</f>
        <v>35.535587</v>
      </c>
      <c r="G1493" cm="1">
        <f t="array" ref="G1493">INDEX(_xlfn.FILTERXML(E1493,"//longitude"),1)</f>
        <v>139.63743600000001</v>
      </c>
      <c r="H1493">
        <v>35.535587</v>
      </c>
      <c r="I1493">
        <v>139.63743600000001</v>
      </c>
    </row>
    <row r="1494" spans="1:9" x14ac:dyDescent="0.4">
      <c r="A1494" t="s">
        <v>10</v>
      </c>
      <c r="B1494" t="s">
        <v>348</v>
      </c>
      <c r="C1494" t="str">
        <f t="shared" si="87"/>
        <v>神奈川県横浜市中区本牧原</v>
      </c>
      <c r="D1494" s="2" t="str">
        <f t="shared" si="88"/>
        <v>http://geocode.csis.u-tokyo.ac.jp/cgi-bin/simple_geocode.cgi?charset=UTF8&amp;addr=%E7%A5%9E%E5%A5%88%E5%B7%9D%E7%9C%8C%E6%A8%AA%E6%B5%9C%E5%B8%82%E4%B8%AD%E5%8C%BA%E6%9C%AC%E7%89%A7%E5%8E%9F</v>
      </c>
      <c r="E1494" t="str">
        <f t="shared" si="89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1494" cm="1">
        <f t="array" ref="F1494">INDEX(_xlfn.FILTERXML(E1494,"//latitude"),1)</f>
        <v>35.425179</v>
      </c>
      <c r="G1494" cm="1">
        <f t="array" ref="G1494">INDEX(_xlfn.FILTERXML(E1494,"//longitude"),1)</f>
        <v>139.66725199999999</v>
      </c>
      <c r="H1494">
        <v>35.425179</v>
      </c>
      <c r="I1494">
        <v>139.66725199999999</v>
      </c>
    </row>
    <row r="1495" spans="1:9" x14ac:dyDescent="0.4">
      <c r="A1495" t="s">
        <v>11</v>
      </c>
      <c r="B1495" t="s">
        <v>349</v>
      </c>
      <c r="C1495" t="str">
        <f t="shared" si="87"/>
        <v>大阪府交野市</v>
      </c>
      <c r="D1495" s="2" t="str">
        <f t="shared" si="88"/>
        <v>http://geocode.csis.u-tokyo.ac.jp/cgi-bin/simple_geocode.cgi?charset=UTF8&amp;addr=%E5%A4%A7%E9%98%AA%E5%BA%9C%E4%BA%A4%E9%87%8E%E5%B8%82</v>
      </c>
      <c r="E1495" t="str">
        <f t="shared" si="89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1495" cm="1">
        <f t="array" ref="F1495">INDEX(_xlfn.FILTERXML(E1495,"//latitude"),1)</f>
        <v>34.787956000000001</v>
      </c>
      <c r="G1495" cm="1">
        <f t="array" ref="G1495">INDEX(_xlfn.FILTERXML(E1495,"//longitude"),1)</f>
        <v>135.67997700000001</v>
      </c>
      <c r="H1495">
        <v>34.787956000000001</v>
      </c>
      <c r="I1495">
        <v>135.67997700000001</v>
      </c>
    </row>
    <row r="1496" spans="1:9" x14ac:dyDescent="0.4">
      <c r="A1496" t="s">
        <v>11</v>
      </c>
      <c r="B1496" t="s">
        <v>351</v>
      </c>
      <c r="C1496" t="str">
        <f t="shared" si="87"/>
        <v>大阪府豊中市宮山町</v>
      </c>
      <c r="D1496" s="2" t="str">
        <f t="shared" si="88"/>
        <v>http://geocode.csis.u-tokyo.ac.jp/cgi-bin/simple_geocode.cgi?charset=UTF8&amp;addr=%E5%A4%A7%E9%98%AA%E5%BA%9C%E8%B1%8A%E4%B8%AD%E5%B8%82%E5%AE%AE%E5%B1%B1%E7%94%BA</v>
      </c>
      <c r="E1496" t="str">
        <f t="shared" si="89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1496" cm="1">
        <f t="array" ref="F1496">INDEX(_xlfn.FILTERXML(E1496,"//latitude"),1)</f>
        <v>34.80621</v>
      </c>
      <c r="G1496" cm="1">
        <f t="array" ref="G1496">INDEX(_xlfn.FILTERXML(E1496,"//longitude"),1)</f>
        <v>135.46333300000001</v>
      </c>
      <c r="H1496">
        <v>34.80621</v>
      </c>
      <c r="I1496">
        <v>135.46333300000001</v>
      </c>
    </row>
    <row r="1497" spans="1:9" x14ac:dyDescent="0.4">
      <c r="A1497" t="s">
        <v>10</v>
      </c>
      <c r="B1497" t="s">
        <v>353</v>
      </c>
      <c r="C1497" t="str">
        <f t="shared" si="87"/>
        <v>神奈川県横浜市金沢区能見台</v>
      </c>
      <c r="D1497" s="2" t="str">
        <f t="shared" si="88"/>
        <v>http://geocode.csis.u-tokyo.ac.jp/cgi-bin/simple_geocode.cgi?charset=UTF8&amp;addr=%E7%A5%9E%E5%A5%88%E5%B7%9D%E7%9C%8C%E6%A8%AA%E6%B5%9C%E5%B8%82%E9%87%91%E6%B2%A2%E5%8C%BA%E8%83%BD%E8%A6%8B%E5%8F%B0</v>
      </c>
      <c r="E1497" t="str">
        <f t="shared" si="89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1497" cm="1">
        <f t="array" ref="F1497">INDEX(_xlfn.FILTERXML(E1497,"//latitude"),1)</f>
        <v>35.361786000000002</v>
      </c>
      <c r="G1497" cm="1">
        <f t="array" ref="G1497">INDEX(_xlfn.FILTERXML(E1497,"//longitude"),1)</f>
        <v>139.61166399999999</v>
      </c>
      <c r="H1497">
        <v>35.361786000000002</v>
      </c>
      <c r="I1497">
        <v>139.61166399999999</v>
      </c>
    </row>
    <row r="1498" spans="1:9" x14ac:dyDescent="0.4">
      <c r="A1498" t="s">
        <v>31</v>
      </c>
      <c r="B1498" t="s">
        <v>357</v>
      </c>
      <c r="C1498" t="str">
        <f t="shared" si="87"/>
        <v>熊本県熊本市西区高橋町</v>
      </c>
      <c r="D1498" s="2" t="str">
        <f t="shared" si="88"/>
        <v>http://geocode.csis.u-tokyo.ac.jp/cgi-bin/simple_geocode.cgi?charset=UTF8&amp;addr=%E7%86%8A%E6%9C%AC%E7%9C%8C%E7%86%8A%E6%9C%AC%E5%B8%82%E8%A5%BF%E5%8C%BA%E9%AB%98%E6%A9%8B%E7%94%BA</v>
      </c>
      <c r="E1498" t="str">
        <f t="shared" si="89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1498" cm="1">
        <f t="array" ref="F1498">INDEX(_xlfn.FILTERXML(E1498,"//latitude"),1)</f>
        <v>32.784737</v>
      </c>
      <c r="G1498" cm="1">
        <f t="array" ref="G1498">INDEX(_xlfn.FILTERXML(E1498,"//longitude"),1)</f>
        <v>130.65756200000001</v>
      </c>
      <c r="H1498">
        <v>32.784737</v>
      </c>
      <c r="I1498">
        <v>130.65756200000001</v>
      </c>
    </row>
    <row r="1499" spans="1:9" x14ac:dyDescent="0.4">
      <c r="A1499" t="s">
        <v>9</v>
      </c>
      <c r="B1499" t="s">
        <v>358</v>
      </c>
      <c r="C1499" t="str">
        <f t="shared" si="87"/>
        <v>東京都目黒区目黒本町3-15-2</v>
      </c>
      <c r="D1499" s="2" t="str">
        <f t="shared" si="88"/>
        <v>http://geocode.csis.u-tokyo.ac.jp/cgi-bin/simple_geocode.cgi?charset=UTF8&amp;addr=%E6%9D%B1%E4%BA%AC%E9%83%BD%E7%9B%AE%E9%BB%92%E5%8C%BA%E7%9B%AE%E9%BB%92%E6%9C%AC%E7%94%BA3-15-2</v>
      </c>
      <c r="E1499" t="str">
        <f t="shared" si="89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1499" cm="1">
        <f t="array" ref="F1499">INDEX(_xlfn.FILTERXML(E1499,"//latitude"),1)</f>
        <v>35.622405999999998</v>
      </c>
      <c r="G1499" cm="1">
        <f t="array" ref="G1499">INDEX(_xlfn.FILTERXML(E1499,"//longitude"),1)</f>
        <v>139.70077499999999</v>
      </c>
      <c r="H1499">
        <v>35.622405999999998</v>
      </c>
      <c r="I1499">
        <v>139.70077499999999</v>
      </c>
    </row>
    <row r="1500" spans="1:9" x14ac:dyDescent="0.4">
      <c r="A1500" t="s">
        <v>10</v>
      </c>
      <c r="B1500" t="s">
        <v>359</v>
      </c>
      <c r="C1500" t="str">
        <f t="shared" si="87"/>
        <v>神奈川県綾瀬市</v>
      </c>
      <c r="D1500" s="2" t="str">
        <f t="shared" si="88"/>
        <v>http://geocode.csis.u-tokyo.ac.jp/cgi-bin/simple_geocode.cgi?charset=UTF8&amp;addr=%E7%A5%9E%E5%A5%88%E5%B7%9D%E7%9C%8C%E7%B6%BE%E7%80%AC%E5%B8%82</v>
      </c>
      <c r="E1500" t="str">
        <f t="shared" si="89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1500" cm="1">
        <f t="array" ref="F1500">INDEX(_xlfn.FILTERXML(E1500,"//latitude"),1)</f>
        <v>35.437159999999999</v>
      </c>
      <c r="G1500" cm="1">
        <f t="array" ref="G1500">INDEX(_xlfn.FILTERXML(E1500,"//longitude"),1)</f>
        <v>139.426346</v>
      </c>
      <c r="H1500">
        <v>35.437159999999999</v>
      </c>
      <c r="I1500">
        <v>139.426346</v>
      </c>
    </row>
    <row r="1501" spans="1:9" x14ac:dyDescent="0.4">
      <c r="A1501" t="s">
        <v>26</v>
      </c>
      <c r="B1501" t="s">
        <v>362</v>
      </c>
      <c r="C1501" t="str">
        <f t="shared" si="87"/>
        <v>京都府宇治市五ケ庄三番割</v>
      </c>
      <c r="D1501" s="2" t="str">
        <f t="shared" si="88"/>
        <v>http://geocode.csis.u-tokyo.ac.jp/cgi-bin/simple_geocode.cgi?charset=UTF8&amp;addr=%E4%BA%AC%E9%83%BD%E5%BA%9C%E5%AE%87%E6%B2%BB%E5%B8%82%E4%BA%94%E3%82%B1%E5%BA%84%E4%B8%89%E7%95%AA%E5%89%B2</v>
      </c>
      <c r="E1501" t="str">
        <f t="shared" si="89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1501" cm="1">
        <f t="array" ref="F1501">INDEX(_xlfn.FILTERXML(E1501,"//latitude"),1)</f>
        <v>34.913933</v>
      </c>
      <c r="G1501" cm="1">
        <f t="array" ref="G1501">INDEX(_xlfn.FILTERXML(E1501,"//longitude"),1)</f>
        <v>135.80801400000001</v>
      </c>
      <c r="H1501">
        <v>34.913933</v>
      </c>
      <c r="I1501">
        <v>135.80801400000001</v>
      </c>
    </row>
    <row r="1502" spans="1:9" x14ac:dyDescent="0.4">
      <c r="A1502" t="s">
        <v>10</v>
      </c>
      <c r="B1502" t="s">
        <v>249</v>
      </c>
      <c r="C1502" t="str">
        <f t="shared" si="87"/>
        <v>神奈川県横浜市青葉区藤が丘</v>
      </c>
      <c r="D1502" s="2" t="str">
        <f t="shared" si="88"/>
        <v>http://geocode.csis.u-tokyo.ac.jp/cgi-bin/simple_geocode.cgi?charset=UTF8&amp;addr=%E7%A5%9E%E5%A5%88%E5%B7%9D%E7%9C%8C%E6%A8%AA%E6%B5%9C%E5%B8%82%E9%9D%92%E8%91%89%E5%8C%BA%E8%97%A4%E3%81%8C%E4%B8%98</v>
      </c>
      <c r="E1502" t="str">
        <f t="shared" si="89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1502" cm="1">
        <f t="array" ref="F1502">INDEX(_xlfn.FILTERXML(E1502,"//latitude"),1)</f>
        <v>35.546458999999999</v>
      </c>
      <c r="G1502" cm="1">
        <f t="array" ref="G1502">INDEX(_xlfn.FILTERXML(E1502,"//longitude"),1)</f>
        <v>139.530472</v>
      </c>
      <c r="H1502">
        <v>35.546458999999999</v>
      </c>
      <c r="I1502">
        <v>139.530472</v>
      </c>
    </row>
    <row r="1503" spans="1:9" x14ac:dyDescent="0.4">
      <c r="A1503" t="s">
        <v>15</v>
      </c>
      <c r="B1503" t="s">
        <v>368</v>
      </c>
      <c r="C1503" t="str">
        <f t="shared" si="87"/>
        <v>兵庫県姫路市飾磨区上野田</v>
      </c>
      <c r="D1503" s="2" t="str">
        <f t="shared" si="88"/>
        <v>http://geocode.csis.u-tokyo.ac.jp/cgi-bin/simple_geocode.cgi?charset=UTF8&amp;addr=%E5%85%B5%E5%BA%AB%E7%9C%8C%E5%A7%AB%E8%B7%AF%E5%B8%82%E9%A3%BE%E7%A3%A8%E5%8C%BA%E4%B8%8A%E9%87%8E%E7%94%B0</v>
      </c>
      <c r="E1503" t="str">
        <f t="shared" si="89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1503" cm="1">
        <f t="array" ref="F1503">INDEX(_xlfn.FILTERXML(E1503,"//latitude"),1)</f>
        <v>34.808334000000002</v>
      </c>
      <c r="G1503" cm="1">
        <f t="array" ref="G1503">INDEX(_xlfn.FILTERXML(E1503,"//longitude"),1)</f>
        <v>134.68087800000001</v>
      </c>
      <c r="H1503">
        <v>34.808334000000002</v>
      </c>
      <c r="I1503">
        <v>134.68087800000001</v>
      </c>
    </row>
    <row r="1504" spans="1:9" x14ac:dyDescent="0.4">
      <c r="A1504" t="s">
        <v>14</v>
      </c>
      <c r="B1504" t="s">
        <v>369</v>
      </c>
      <c r="C1504" t="str">
        <f t="shared" si="87"/>
        <v>広島県広島市中区舟入南三丁目</v>
      </c>
      <c r="D1504" s="2" t="str">
        <f t="shared" si="88"/>
        <v>http://geocode.csis.u-tokyo.ac.jp/cgi-bin/simple_geocode.cgi?charset=UTF8&amp;addr=%E5%BA%83%E5%B3%B6%E7%9C%8C%E5%BA%83%E5%B3%B6%E5%B8%82%E4%B8%AD%E5%8C%BA%E8%88%9F%E5%85%A5%E5%8D%97%E4%B8%89%E4%B8%81%E7%9B%AE</v>
      </c>
      <c r="E1504" t="str">
        <f t="shared" si="89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1504" cm="1">
        <f t="array" ref="F1504">INDEX(_xlfn.FILTERXML(E1504,"//latitude"),1)</f>
        <v>34.377560000000003</v>
      </c>
      <c r="G1504" cm="1">
        <f t="array" ref="G1504">INDEX(_xlfn.FILTERXML(E1504,"//longitude"),1)</f>
        <v>132.43547100000001</v>
      </c>
      <c r="H1504">
        <v>34.377560000000003</v>
      </c>
      <c r="I1504">
        <v>132.43547100000001</v>
      </c>
    </row>
    <row r="1505" spans="1:9" x14ac:dyDescent="0.4">
      <c r="A1505" t="s">
        <v>17</v>
      </c>
      <c r="B1505" t="s">
        <v>373</v>
      </c>
      <c r="C1505" t="str">
        <f t="shared" si="87"/>
        <v>愛知県一宮市</v>
      </c>
      <c r="D1505" s="2" t="str">
        <f t="shared" si="88"/>
        <v>http://geocode.csis.u-tokyo.ac.jp/cgi-bin/simple_geocode.cgi?charset=UTF8&amp;addr=%E6%84%9B%E7%9F%A5%E7%9C%8C%E4%B8%80%E5%AE%AE%E5%B8%82</v>
      </c>
      <c r="E1505" t="str">
        <f t="shared" si="89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1505" cm="1">
        <f t="array" ref="F1505">INDEX(_xlfn.FILTERXML(E1505,"//latitude"),1)</f>
        <v>35.304012</v>
      </c>
      <c r="G1505" cm="1">
        <f t="array" ref="G1505">INDEX(_xlfn.FILTERXML(E1505,"//longitude"),1)</f>
        <v>136.80233799999999</v>
      </c>
      <c r="H1505">
        <v>35.304012</v>
      </c>
      <c r="I1505">
        <v>136.80233799999999</v>
      </c>
    </row>
    <row r="1506" spans="1:9" x14ac:dyDescent="0.4">
      <c r="A1506" t="s">
        <v>17</v>
      </c>
      <c r="B1506" t="s">
        <v>374</v>
      </c>
      <c r="C1506" t="str">
        <f t="shared" si="87"/>
        <v>愛知県名古屋市千種区茶屋坂通</v>
      </c>
      <c r="D1506" s="2" t="str">
        <f t="shared" si="88"/>
        <v>http://geocode.csis.u-tokyo.ac.jp/cgi-bin/simple_geocode.cgi?charset=UTF8&amp;addr=%E6%84%9B%E7%9F%A5%E7%9C%8C%E5%90%8D%E5%8F%A4%E5%B1%8B%E5%B8%82%E5%8D%83%E7%A8%AE%E5%8C%BA%E8%8C%B6%E5%B1%8B%E5%9D%82%E9%80%9A</v>
      </c>
      <c r="E1506" t="str">
        <f t="shared" si="89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1506" cm="1">
        <f t="array" ref="F1506">INDEX(_xlfn.FILTERXML(E1506,"//latitude"),1)</f>
        <v>35.182724</v>
      </c>
      <c r="G1506" cm="1">
        <f t="array" ref="G1506">INDEX(_xlfn.FILTERXML(E1506,"//longitude"),1)</f>
        <v>136.954285</v>
      </c>
      <c r="H1506">
        <v>35.182724</v>
      </c>
      <c r="I1506">
        <v>136.954285</v>
      </c>
    </row>
    <row r="1507" spans="1:9" x14ac:dyDescent="0.4">
      <c r="A1507" t="s">
        <v>9</v>
      </c>
      <c r="B1507" t="s">
        <v>179</v>
      </c>
      <c r="C1507" t="str">
        <f t="shared" si="87"/>
        <v>東京都国立市</v>
      </c>
      <c r="D1507" s="2" t="str">
        <f t="shared" si="88"/>
        <v>http://geocode.csis.u-tokyo.ac.jp/cgi-bin/simple_geocode.cgi?charset=UTF8&amp;addr=%E6%9D%B1%E4%BA%AC%E9%83%BD%E5%9B%BD%E7%AB%8B%E5%B8%82</v>
      </c>
      <c r="E1507" t="str">
        <f t="shared" si="89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1507" cm="1">
        <f t="array" ref="F1507">INDEX(_xlfn.FILTERXML(E1507,"//latitude"),1)</f>
        <v>35.683909999999997</v>
      </c>
      <c r="G1507" cm="1">
        <f t="array" ref="G1507">INDEX(_xlfn.FILTERXML(E1507,"//longitude"),1)</f>
        <v>139.44136</v>
      </c>
      <c r="H1507">
        <v>35.683909999999997</v>
      </c>
      <c r="I1507">
        <v>139.44136</v>
      </c>
    </row>
    <row r="1508" spans="1:9" x14ac:dyDescent="0.4">
      <c r="A1508" t="s">
        <v>16</v>
      </c>
      <c r="B1508" t="s">
        <v>235</v>
      </c>
      <c r="C1508" t="str">
        <f t="shared" si="87"/>
        <v>長野県上水内郡信濃町大字柏原</v>
      </c>
      <c r="D1508" s="2" t="str">
        <f t="shared" si="88"/>
        <v>http://geocode.csis.u-tokyo.ac.jp/cgi-bin/simple_geocode.cgi?charset=UTF8&amp;addr=%E9%95%B7%E9%87%8E%E7%9C%8C%E4%B8%8A%E6%B0%B4%E5%86%85%E9%83%A1%E4%BF%A1%E6%BF%83%E7%94%BA%E5%A4%A7%E5%AD%97%E6%9F%8F%E5%8E%9F</v>
      </c>
      <c r="E1508" t="str">
        <f t="shared" si="89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1508" cm="1">
        <f t="array" ref="F1508">INDEX(_xlfn.FILTERXML(E1508,"//latitude"),1)</f>
        <v>36.801845999999998</v>
      </c>
      <c r="G1508" cm="1">
        <f t="array" ref="G1508">INDEX(_xlfn.FILTERXML(E1508,"//longitude"),1)</f>
        <v>138.15112300000001</v>
      </c>
      <c r="H1508">
        <v>36.801845999999998</v>
      </c>
      <c r="I1508">
        <v>138.15112300000001</v>
      </c>
    </row>
    <row r="1509" spans="1:9" x14ac:dyDescent="0.4">
      <c r="A1509" t="s">
        <v>37</v>
      </c>
      <c r="B1509" t="s">
        <v>379</v>
      </c>
      <c r="C1509" t="str">
        <f t="shared" si="87"/>
        <v>三重県鈴鹿市</v>
      </c>
      <c r="D1509" s="2" t="str">
        <f t="shared" si="88"/>
        <v>http://geocode.csis.u-tokyo.ac.jp/cgi-bin/simple_geocode.cgi?charset=UTF8&amp;addr=%E4%B8%89%E9%87%8D%E7%9C%8C%E9%88%B4%E9%B9%BF%E5%B8%82</v>
      </c>
      <c r="E1509" t="str">
        <f t="shared" si="89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1509" cm="1">
        <f t="array" ref="F1509">INDEX(_xlfn.FILTERXML(E1509,"//latitude"),1)</f>
        <v>34.881866000000002</v>
      </c>
      <c r="G1509" cm="1">
        <f t="array" ref="G1509">INDEX(_xlfn.FILTERXML(E1509,"//longitude"),1)</f>
        <v>136.584183</v>
      </c>
      <c r="H1509">
        <v>34.881866000000002</v>
      </c>
      <c r="I1509">
        <v>136.584183</v>
      </c>
    </row>
    <row r="1510" spans="1:9" x14ac:dyDescent="0.4">
      <c r="A1510" t="s">
        <v>11</v>
      </c>
      <c r="B1510" t="s">
        <v>381</v>
      </c>
      <c r="C1510" t="str">
        <f t="shared" si="87"/>
        <v>大阪府大阪市東淀川区北江口</v>
      </c>
      <c r="D1510" s="2" t="str">
        <f t="shared" si="88"/>
        <v>http://geocode.csis.u-tokyo.ac.jp/cgi-bin/simple_geocode.cgi?charset=UTF8&amp;addr=%E5%A4%A7%E9%98%AA%E5%BA%9C%E5%A4%A7%E9%98%AA%E5%B8%82%E6%9D%B1%E6%B7%80%E5%B7%9D%E5%8C%BA%E5%8C%97%E6%B1%9F%E5%8F%A3</v>
      </c>
      <c r="E1510" t="str">
        <f t="shared" si="89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1510" cm="1">
        <f t="array" ref="F1510">INDEX(_xlfn.FILTERXML(E1510,"//latitude"),1)</f>
        <v>34.758991000000002</v>
      </c>
      <c r="G1510" cm="1">
        <f t="array" ref="G1510">INDEX(_xlfn.FILTERXML(E1510,"//longitude"),1)</f>
        <v>135.54148900000001</v>
      </c>
      <c r="H1510">
        <v>34.758991000000002</v>
      </c>
      <c r="I1510">
        <v>135.54148900000001</v>
      </c>
    </row>
    <row r="1511" spans="1:9" x14ac:dyDescent="0.4">
      <c r="A1511" t="s">
        <v>114</v>
      </c>
      <c r="B1511" t="s">
        <v>384</v>
      </c>
      <c r="C1511" t="str">
        <f t="shared" si="87"/>
        <v>福島県いわき市小名浜玉川町南</v>
      </c>
      <c r="D1511" s="2" t="str">
        <f t="shared" si="88"/>
        <v>http://geocode.csis.u-tokyo.ac.jp/cgi-bin/simple_geocode.cgi?charset=UTF8&amp;addr=%E7%A6%8F%E5%B3%B6%E7%9C%8C%E3%81%84%E3%82%8F%E3%81%8D%E5%B8%82%E5%B0%8F%E5%90%8D%E6%B5%9C%E7%8E%89%E5%B7%9D%E7%94%BA%E5%8D%97</v>
      </c>
      <c r="E1511" t="str">
        <f t="shared" si="89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1511" cm="1">
        <f t="array" ref="F1511">INDEX(_xlfn.FILTERXML(E1511,"//latitude"),1)</f>
        <v>36.984408999999999</v>
      </c>
      <c r="G1511" cm="1">
        <f t="array" ref="G1511">INDEX(_xlfn.FILTERXML(E1511,"//longitude"),1)</f>
        <v>140.88294999999999</v>
      </c>
      <c r="H1511">
        <v>36.984408999999999</v>
      </c>
      <c r="I1511">
        <v>140.88294999999999</v>
      </c>
    </row>
    <row r="1512" spans="1:9" x14ac:dyDescent="0.4">
      <c r="A1512" t="s">
        <v>21</v>
      </c>
      <c r="B1512" t="s">
        <v>385</v>
      </c>
      <c r="C1512" t="str">
        <f t="shared" si="87"/>
        <v>福岡県福岡市中央区小笹</v>
      </c>
      <c r="D1512" s="2" t="str">
        <f t="shared" si="88"/>
        <v>http://geocode.csis.u-tokyo.ac.jp/cgi-bin/simple_geocode.cgi?charset=UTF8&amp;addr=%E7%A6%8F%E5%B2%A1%E7%9C%8C%E7%A6%8F%E5%B2%A1%E5%B8%82%E4%B8%AD%E5%A4%AE%E5%8C%BA%E5%B0%8F%E7%AC%B9</v>
      </c>
      <c r="E1512" t="str">
        <f t="shared" si="89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1512" cm="1">
        <f t="array" ref="F1512">INDEX(_xlfn.FILTERXML(E1512,"//latitude"),1)</f>
        <v>33.562201999999999</v>
      </c>
      <c r="G1512" cm="1">
        <f t="array" ref="G1512">INDEX(_xlfn.FILTERXML(E1512,"//longitude"),1)</f>
        <v>130.391098</v>
      </c>
      <c r="H1512">
        <v>33.562201999999999</v>
      </c>
      <c r="I1512">
        <v>130.391098</v>
      </c>
    </row>
    <row r="1513" spans="1:9" x14ac:dyDescent="0.4">
      <c r="A1513" t="s">
        <v>9</v>
      </c>
      <c r="B1513" t="s">
        <v>162</v>
      </c>
      <c r="C1513" t="str">
        <f t="shared" si="87"/>
        <v>東京都文京区本駒込</v>
      </c>
      <c r="D1513" s="2" t="str">
        <f t="shared" si="88"/>
        <v>http://geocode.csis.u-tokyo.ac.jp/cgi-bin/simple_geocode.cgi?charset=UTF8&amp;addr=%E6%9D%B1%E4%BA%AC%E9%83%BD%E6%96%87%E4%BA%AC%E5%8C%BA%E6%9C%AC%E9%A7%92%E8%BE%BC</v>
      </c>
      <c r="E1513" t="str">
        <f t="shared" si="89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513" cm="1">
        <f t="array" ref="F1513">INDEX(_xlfn.FILTERXML(E1513,"//latitude"),1)</f>
        <v>35.725501999999999</v>
      </c>
      <c r="G1513" cm="1">
        <f t="array" ref="G1513">INDEX(_xlfn.FILTERXML(E1513,"//longitude"),1)</f>
        <v>139.75147999999999</v>
      </c>
      <c r="H1513">
        <v>35.725501999999999</v>
      </c>
      <c r="I1513">
        <v>139.75147999999999</v>
      </c>
    </row>
    <row r="1514" spans="1:9" x14ac:dyDescent="0.4">
      <c r="A1514" t="s">
        <v>11</v>
      </c>
      <c r="B1514" t="s">
        <v>263</v>
      </c>
      <c r="C1514" t="str">
        <f t="shared" si="87"/>
        <v>大阪府大阪市福島区福島</v>
      </c>
      <c r="D1514" s="2" t="str">
        <f t="shared" si="88"/>
        <v>http://geocode.csis.u-tokyo.ac.jp/cgi-bin/simple_geocode.cgi?charset=UTF8&amp;addr=%E5%A4%A7%E9%98%AA%E5%BA%9C%E5%A4%A7%E9%98%AA%E5%B8%82%E7%A6%8F%E5%B3%B6%E5%8C%BA%E7%A6%8F%E5%B3%B6</v>
      </c>
      <c r="E1514" t="str">
        <f t="shared" si="89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514" cm="1">
        <f t="array" ref="F1514">INDEX(_xlfn.FILTERXML(E1514,"//latitude"),1)</f>
        <v>34.694656000000002</v>
      </c>
      <c r="G1514" cm="1">
        <f t="array" ref="G1514">INDEX(_xlfn.FILTERXML(E1514,"//longitude"),1)</f>
        <v>135.48904400000001</v>
      </c>
      <c r="H1514">
        <v>34.694656000000002</v>
      </c>
      <c r="I1514">
        <v>135.48904400000001</v>
      </c>
    </row>
    <row r="1515" spans="1:9" x14ac:dyDescent="0.4">
      <c r="A1515" t="s">
        <v>38</v>
      </c>
      <c r="B1515" t="s">
        <v>1165</v>
      </c>
      <c r="C1515" t="str">
        <f t="shared" si="87"/>
        <v>新潟県新潟市</v>
      </c>
      <c r="D1515" s="2" t="str">
        <f t="shared" si="88"/>
        <v>http://geocode.csis.u-tokyo.ac.jp/cgi-bin/simple_geocode.cgi?charset=UTF8&amp;addr=%E6%96%B0%E6%BD%9F%E7%9C%8C%E6%96%B0%E6%BD%9F%E5%B8%82</v>
      </c>
      <c r="E1515" t="str">
        <f t="shared" si="89"/>
        <v xml:space="preserve">&lt;?xml version="1.0" encoding="UTF-8" ?&gt;
&lt;results&gt;
&lt;query&gt;新潟県新潟市&lt;/query&gt;
&lt;geodetic&gt;wgs1984&lt;/geodetic&gt;
&lt;iConf&gt;5&lt;/iConf&gt;
&lt;converted&gt;新潟県新潟市&lt;/converted&gt;
&lt;candidate&gt;
&lt;address&gt;新潟県/新潟市&lt;/address&gt;
&lt;longitude&gt;139.036407&lt;/longitude&gt;
&lt;latitude&gt;37.916126&lt;/latitude&gt;
&lt;iLvl&gt;3&lt;/iLvl&gt;
&lt;/candidate&gt;
&lt;/results&gt;
</v>
      </c>
      <c r="F1515" cm="1">
        <f t="array" ref="F1515">INDEX(_xlfn.FILTERXML(E1515,"//latitude"),1)</f>
        <v>37.916125999999998</v>
      </c>
      <c r="G1515" cm="1">
        <f t="array" ref="G1515">INDEX(_xlfn.FILTERXML(E1515,"//longitude"),1)</f>
        <v>139.036407</v>
      </c>
      <c r="H1515">
        <v>37.916125999999998</v>
      </c>
      <c r="I1515">
        <v>139.036407</v>
      </c>
    </row>
    <row r="1516" spans="1:9" x14ac:dyDescent="0.4">
      <c r="A1516" t="s">
        <v>17</v>
      </c>
      <c r="B1516" t="s">
        <v>374</v>
      </c>
      <c r="C1516" t="str">
        <f t="shared" si="87"/>
        <v>愛知県名古屋市千種区茶屋坂通</v>
      </c>
      <c r="D1516" s="2" t="str">
        <f t="shared" si="88"/>
        <v>http://geocode.csis.u-tokyo.ac.jp/cgi-bin/simple_geocode.cgi?charset=UTF8&amp;addr=%E6%84%9B%E7%9F%A5%E7%9C%8C%E5%90%8D%E5%8F%A4%E5%B1%8B%E5%B8%82%E5%8D%83%E7%A8%AE%E5%8C%BA%E8%8C%B6%E5%B1%8B%E5%9D%82%E9%80%9A</v>
      </c>
      <c r="E1516" t="str">
        <f t="shared" si="89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1516" cm="1">
        <f t="array" ref="F1516">INDEX(_xlfn.FILTERXML(E1516,"//latitude"),1)</f>
        <v>35.182724</v>
      </c>
      <c r="G1516" cm="1">
        <f t="array" ref="G1516">INDEX(_xlfn.FILTERXML(E1516,"//longitude"),1)</f>
        <v>136.954285</v>
      </c>
      <c r="H1516">
        <v>35.182724</v>
      </c>
      <c r="I1516">
        <v>136.954285</v>
      </c>
    </row>
    <row r="1517" spans="1:9" x14ac:dyDescent="0.4">
      <c r="A1517" t="s">
        <v>25</v>
      </c>
      <c r="B1517" t="s">
        <v>277</v>
      </c>
      <c r="C1517" t="str">
        <f t="shared" si="87"/>
        <v>香川県観音寺市柞田町甲</v>
      </c>
      <c r="D1517" s="2" t="str">
        <f t="shared" si="88"/>
        <v>http://geocode.csis.u-tokyo.ac.jp/cgi-bin/simple_geocode.cgi?charset=UTF8&amp;addr=%E9%A6%99%E5%B7%9D%E7%9C%8C%E8%A6%B3%E9%9F%B3%E5%AF%BA%E5%B8%82%E6%9F%9E%E7%94%B0%E7%94%BA%E7%94%B2</v>
      </c>
      <c r="E1517" t="str">
        <f t="shared" si="89"/>
        <v xml:space="preserve">&lt;?xml version="1.0" encoding="UTF-8" ?&gt;
&lt;results&gt;
&lt;query&gt;香川県観音寺市柞田町甲&lt;/query&gt;
&lt;geodetic&gt;wgs1984&lt;/geodetic&gt;
&lt;iConf&gt;4&lt;/iConf&gt;
&lt;converted&gt;香川県観音寺市柞田町甲&lt;/converted&gt;
&lt;candidate&gt;
&lt;address&gt;香川県/観音寺市/柞田町/甲１２３７番地&lt;/address&gt;
&lt;longitude&gt;133.665024&lt;/longitude&gt;
&lt;latitude&gt;34.119408&lt;/latitude&gt;
&lt;iLvl&gt;7&lt;/iLvl&gt;
&lt;/candidate&gt;
&lt;candidate&gt;
&lt;address&gt;香川県/観音寺市/柞田町/甲１４２５番地&lt;/address&gt;
&lt;longitude&gt;133.662186&lt;/longitude&gt;
&lt;latitude&gt;34.113583&lt;/latitude&gt;
&lt;iLvl&gt;7&lt;/iLvl&gt;
&lt;/candidate&gt;
&lt;/results&gt;
</v>
      </c>
      <c r="F1517" cm="1">
        <f t="array" ref="F1517">INDEX(_xlfn.FILTERXML(E1517,"//latitude"),1)</f>
        <v>34.119408</v>
      </c>
      <c r="G1517" cm="1">
        <f t="array" ref="G1517">INDEX(_xlfn.FILTERXML(E1517,"//longitude"),1)</f>
        <v>133.66502399999999</v>
      </c>
      <c r="H1517">
        <v>34.119408</v>
      </c>
      <c r="I1517">
        <v>133.66502399999999</v>
      </c>
    </row>
    <row r="1518" spans="1:9" x14ac:dyDescent="0.4">
      <c r="A1518" t="s">
        <v>16</v>
      </c>
      <c r="B1518" t="s">
        <v>1166</v>
      </c>
      <c r="C1518" t="str">
        <f t="shared" si="87"/>
        <v>長野県長野市檀田</v>
      </c>
      <c r="D1518" s="2" t="str">
        <f t="shared" si="88"/>
        <v>http://geocode.csis.u-tokyo.ac.jp/cgi-bin/simple_geocode.cgi?charset=UTF8&amp;addr=%E9%95%B7%E9%87%8E%E7%9C%8C%E9%95%B7%E9%87%8E%E5%B8%82%E6%AA%80%E7%94%B0</v>
      </c>
      <c r="E1518" t="str">
        <f t="shared" si="89"/>
        <v xml:space="preserve">&lt;?xml version="1.0" encoding="UTF-8" ?&gt;
&lt;results&gt;
&lt;query&gt;長野県長野市檀田&lt;/query&gt;
&lt;geodetic&gt;wgs1984&lt;/geodetic&gt;
&lt;iConf&gt;5&lt;/iConf&gt;
&lt;converted&gt;長野県長野市檀田&lt;/converted&gt;
&lt;candidate&gt;
&lt;address&gt;長野県/長野市/檀田&lt;/address&gt;
&lt;longitude&gt;138.205093&lt;/longitude&gt;
&lt;latitude&gt;36.678818&lt;/latitude&gt;
&lt;iLvl&gt;5&lt;/iLvl&gt;
&lt;/candidate&gt;
&lt;/results&gt;
</v>
      </c>
      <c r="F1518" cm="1">
        <f t="array" ref="F1518">INDEX(_xlfn.FILTERXML(E1518,"//latitude"),1)</f>
        <v>36.678818</v>
      </c>
      <c r="G1518" cm="1">
        <f t="array" ref="G1518">INDEX(_xlfn.FILTERXML(E1518,"//longitude"),1)</f>
        <v>138.20509300000001</v>
      </c>
      <c r="H1518">
        <v>36.678818</v>
      </c>
      <c r="I1518">
        <v>138.20509300000001</v>
      </c>
    </row>
    <row r="1519" spans="1:9" x14ac:dyDescent="0.4">
      <c r="A1519" t="s">
        <v>193</v>
      </c>
      <c r="B1519" t="s">
        <v>610</v>
      </c>
      <c r="C1519" t="str">
        <f t="shared" si="87"/>
        <v>島根県出雲市斐川町上直江</v>
      </c>
      <c r="D1519" s="2" t="str">
        <f t="shared" si="88"/>
        <v>http://geocode.csis.u-tokyo.ac.jp/cgi-bin/simple_geocode.cgi?charset=UTF8&amp;addr=%E5%B3%B6%E6%A0%B9%E7%9C%8C%E5%87%BA%E9%9B%B2%E5%B8%82%E6%96%90%E5%B7%9D%E7%94%BA%E4%B8%8A%E7%9B%B4%E6%B1%9F</v>
      </c>
      <c r="E1519" t="str">
        <f t="shared" si="89"/>
        <v xml:space="preserve">&lt;?xml version="1.0" encoding="UTF-8" ?&gt;
&lt;results&gt;
&lt;query&gt;島根県出雲市斐川町上直江&lt;/query&gt;
&lt;geodetic&gt;wgs1984&lt;/geodetic&gt;
&lt;iConf&gt;5&lt;/iConf&gt;
&lt;converted&gt;島根県出雲市斐川町上直江&lt;/converted&gt;
&lt;candidate&gt;
&lt;address&gt;島根県/出雲市/斐川町上直江&lt;/address&gt;
&lt;longitude&gt;132.807312&lt;/longitude&gt;
&lt;latitude&gt;35.388817&lt;/latitude&gt;
&lt;iLvl&gt;5&lt;/iLvl&gt;
&lt;/candidate&gt;
&lt;/results&gt;
</v>
      </c>
      <c r="F1519" cm="1">
        <f t="array" ref="F1519">INDEX(_xlfn.FILTERXML(E1519,"//latitude"),1)</f>
        <v>35.388817000000003</v>
      </c>
      <c r="G1519" cm="1">
        <f t="array" ref="G1519">INDEX(_xlfn.FILTERXML(E1519,"//longitude"),1)</f>
        <v>132.807312</v>
      </c>
      <c r="H1519">
        <v>35.388817000000003</v>
      </c>
      <c r="I1519">
        <v>132.807312</v>
      </c>
    </row>
    <row r="1520" spans="1:9" x14ac:dyDescent="0.4">
      <c r="A1520" t="s">
        <v>23</v>
      </c>
      <c r="B1520" t="s">
        <v>1110</v>
      </c>
      <c r="C1520" t="str">
        <f t="shared" si="87"/>
        <v>宮城県仙台市太白区東中田5丁目</v>
      </c>
      <c r="D1520" s="2" t="str">
        <f t="shared" si="88"/>
        <v>http://geocode.csis.u-tokyo.ac.jp/cgi-bin/simple_geocode.cgi?charset=UTF8&amp;addr=%E5%AE%AE%E5%9F%8E%E7%9C%8C%E4%BB%99%E5%8F%B0%E5%B8%82%E5%A4%AA%E7%99%BD%E5%8C%BA%E6%9D%B1%E4%B8%AD%E7%94%B05%E4%B8%81%E7%9B%AE</v>
      </c>
      <c r="E1520" t="str">
        <f t="shared" si="89"/>
        <v xml:space="preserve">&lt;?xml version="1.0" encoding="UTF-8" ?&gt;
&lt;results&gt;
&lt;query&gt;宮城県仙台市太白区東中田5丁目&lt;/query&gt;
&lt;geodetic&gt;wgs1984&lt;/geodetic&gt;
&lt;iConf&gt;5&lt;/iConf&gt;
&lt;converted&gt;宮城県仙台市太白区東中田5丁目&lt;/converted&gt;
&lt;candidate&gt;
&lt;address&gt;宮城県/仙台市/太白区/東中田/五丁目&lt;/address&gt;
&lt;longitude&gt;140.898972&lt;/longitude&gt;
&lt;latitude&gt;38.199066&lt;/latitude&gt;
&lt;iLvl&gt;6&lt;/iLvl&gt;
&lt;/candidate&gt;
&lt;/results&gt;
</v>
      </c>
      <c r="F1520" cm="1">
        <f t="array" ref="F1520">INDEX(_xlfn.FILTERXML(E1520,"//latitude"),1)</f>
        <v>38.199066000000002</v>
      </c>
      <c r="G1520" cm="1">
        <f t="array" ref="G1520">INDEX(_xlfn.FILTERXML(E1520,"//longitude"),1)</f>
        <v>140.89897199999999</v>
      </c>
      <c r="H1520">
        <v>38.199066000000002</v>
      </c>
      <c r="I1520">
        <v>140.89897199999999</v>
      </c>
    </row>
    <row r="1521" spans="1:9" x14ac:dyDescent="0.4">
      <c r="A1521" t="s">
        <v>38</v>
      </c>
      <c r="B1521" t="s">
        <v>1167</v>
      </c>
      <c r="C1521" t="str">
        <f t="shared" si="87"/>
        <v>新潟県新潟市東区</v>
      </c>
      <c r="D1521" s="2" t="str">
        <f t="shared" si="88"/>
        <v>http://geocode.csis.u-tokyo.ac.jp/cgi-bin/simple_geocode.cgi?charset=UTF8&amp;addr=%E6%96%B0%E6%BD%9F%E7%9C%8C%E6%96%B0%E6%BD%9F%E5%B8%82%E6%9D%B1%E5%8C%BA</v>
      </c>
      <c r="E1521" t="str">
        <f t="shared" si="89"/>
        <v xml:space="preserve">&lt;?xml version="1.0" encoding="UTF-8" ?&gt;
&lt;results&gt;
&lt;query&gt;新潟県新潟市東区&lt;/query&gt;
&lt;geodetic&gt;wgs1984&lt;/geodetic&gt;
&lt;iConf&gt;5&lt;/iConf&gt;
&lt;converted&gt;新潟県新潟市東区&lt;/converted&gt;
&lt;candidate&gt;
&lt;address&gt;新潟県/新潟市/東区&lt;/address&gt;
&lt;longitude&gt;139.092606&lt;/longitude&gt;
&lt;latitude&gt;37.924892&lt;/latitude&gt;
&lt;iLvl&gt;4&lt;/iLvl&gt;
&lt;/candidate&gt;
&lt;/results&gt;
</v>
      </c>
      <c r="F1521" cm="1">
        <f t="array" ref="F1521">INDEX(_xlfn.FILTERXML(E1521,"//latitude"),1)</f>
        <v>37.924892</v>
      </c>
      <c r="G1521" cm="1">
        <f t="array" ref="G1521">INDEX(_xlfn.FILTERXML(E1521,"//longitude"),1)</f>
        <v>139.09260599999999</v>
      </c>
      <c r="H1521">
        <v>37.924892</v>
      </c>
      <c r="I1521">
        <v>139.09260599999999</v>
      </c>
    </row>
    <row r="1522" spans="1:9" x14ac:dyDescent="0.4">
      <c r="A1522" t="s">
        <v>13</v>
      </c>
      <c r="B1522" t="s">
        <v>1144</v>
      </c>
      <c r="C1522" t="str">
        <f t="shared" si="87"/>
        <v>埼玉県川越市大塚新町</v>
      </c>
      <c r="D1522" s="2" t="str">
        <f t="shared" si="88"/>
        <v>http://geocode.csis.u-tokyo.ac.jp/cgi-bin/simple_geocode.cgi?charset=UTF8&amp;addr=%E5%9F%BC%E7%8E%89%E7%9C%8C%E5%B7%9D%E8%B6%8A%E5%B8%82%E5%A4%A7%E5%A1%9A%E6%96%B0%E7%94%BA</v>
      </c>
      <c r="E1522" t="str">
        <f t="shared" si="89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1522" cm="1">
        <f t="array" ref="F1522">INDEX(_xlfn.FILTERXML(E1522,"//latitude"),1)</f>
        <v>35.895339999999997</v>
      </c>
      <c r="G1522" cm="1">
        <f t="array" ref="G1522">INDEX(_xlfn.FILTERXML(E1522,"//longitude"),1)</f>
        <v>139.463348</v>
      </c>
      <c r="H1522">
        <v>35.895339999999997</v>
      </c>
      <c r="I1522">
        <v>139.463348</v>
      </c>
    </row>
    <row r="1523" spans="1:9" x14ac:dyDescent="0.4">
      <c r="A1523" t="s">
        <v>46</v>
      </c>
      <c r="B1523" t="s">
        <v>1168</v>
      </c>
      <c r="C1523" t="str">
        <f t="shared" si="87"/>
        <v>山口県山陽小野田市中川</v>
      </c>
      <c r="D1523" s="2" t="str">
        <f t="shared" si="88"/>
        <v>http://geocode.csis.u-tokyo.ac.jp/cgi-bin/simple_geocode.cgi?charset=UTF8&amp;addr=%E5%B1%B1%E5%8F%A3%E7%9C%8C%E5%B1%B1%E9%99%BD%E5%B0%8F%E9%87%8E%E7%94%B0%E5%B8%82%E4%B8%AD%E5%B7%9D</v>
      </c>
      <c r="E1523" t="str">
        <f t="shared" si="89"/>
        <v xml:space="preserve">&lt;?xml version="1.0" encoding="UTF-8" ?&gt;
&lt;results&gt;
&lt;query&gt;山口県山陽小野田市中川&lt;/query&gt;
&lt;geodetic&gt;wgs1984&lt;/geodetic&gt;
&lt;iConf&gt;5&lt;/iConf&gt;
&lt;converted&gt;山口県山陽小野田市中川&lt;/converted&gt;
&lt;candidate&gt;
&lt;address&gt;山口県/山陽小野田市/中川&lt;/address&gt;
&lt;longitude&gt;131.178436&lt;/longitude&gt;
&lt;latitude&gt;33.989189&lt;/latitude&gt;
&lt;iLvl&gt;5&lt;/iLvl&gt;
&lt;/candidate&gt;
&lt;/results&gt;
</v>
      </c>
      <c r="F1523" cm="1">
        <f t="array" ref="F1523">INDEX(_xlfn.FILTERXML(E1523,"//latitude"),1)</f>
        <v>33.989189000000003</v>
      </c>
      <c r="G1523" cm="1">
        <f t="array" ref="G1523">INDEX(_xlfn.FILTERXML(E1523,"//longitude"),1)</f>
        <v>131.178436</v>
      </c>
      <c r="H1523">
        <v>33.989189000000003</v>
      </c>
      <c r="I1523">
        <v>131.178436</v>
      </c>
    </row>
    <row r="1524" spans="1:9" x14ac:dyDescent="0.4">
      <c r="A1524" t="s">
        <v>34</v>
      </c>
      <c r="B1524" t="s">
        <v>597</v>
      </c>
      <c r="C1524" t="str">
        <f t="shared" si="87"/>
        <v>岐阜県各務原市</v>
      </c>
      <c r="D1524" s="2" t="str">
        <f t="shared" si="88"/>
        <v>http://geocode.csis.u-tokyo.ac.jp/cgi-bin/simple_geocode.cgi?charset=UTF8&amp;addr=%E5%B2%90%E9%98%9C%E7%9C%8C%E5%90%84%E5%8B%99%E5%8E%9F%E5%B8%82</v>
      </c>
      <c r="E1524" t="str">
        <f t="shared" si="89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1524" cm="1">
        <f t="array" ref="F1524">INDEX(_xlfn.FILTERXML(E1524,"//latitude"),1)</f>
        <v>35.398910999999998</v>
      </c>
      <c r="G1524" cm="1">
        <f t="array" ref="G1524">INDEX(_xlfn.FILTERXML(E1524,"//longitude"),1)</f>
        <v>136.848389</v>
      </c>
      <c r="H1524">
        <v>35.398910999999998</v>
      </c>
      <c r="I1524">
        <v>136.848389</v>
      </c>
    </row>
    <row r="1525" spans="1:9" x14ac:dyDescent="0.4">
      <c r="A1525" t="s">
        <v>9</v>
      </c>
      <c r="B1525" t="s">
        <v>692</v>
      </c>
      <c r="C1525" t="str">
        <f t="shared" si="87"/>
        <v>東京都品川区荏原</v>
      </c>
      <c r="D1525" s="2" t="str">
        <f t="shared" si="88"/>
        <v>http://geocode.csis.u-tokyo.ac.jp/cgi-bin/simple_geocode.cgi?charset=UTF8&amp;addr=%E6%9D%B1%E4%BA%AC%E9%83%BD%E5%93%81%E5%B7%9D%E5%8C%BA%E8%8D%8F%E5%8E%9F</v>
      </c>
      <c r="E1525" t="str">
        <f t="shared" si="89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1525" cm="1">
        <f t="array" ref="F1525">INDEX(_xlfn.FILTERXML(E1525,"//latitude"),1)</f>
        <v>35.619990999999999</v>
      </c>
      <c r="G1525" cm="1">
        <f t="array" ref="G1525">INDEX(_xlfn.FILTERXML(E1525,"//longitude"),1)</f>
        <v>139.71379099999999</v>
      </c>
      <c r="H1525">
        <v>35.619990999999999</v>
      </c>
      <c r="I1525">
        <v>139.71379099999999</v>
      </c>
    </row>
    <row r="1526" spans="1:9" x14ac:dyDescent="0.4">
      <c r="A1526" t="s">
        <v>9</v>
      </c>
      <c r="B1526" t="s">
        <v>538</v>
      </c>
      <c r="C1526" t="str">
        <f t="shared" si="87"/>
        <v>東京都世田谷区成城</v>
      </c>
      <c r="D1526" s="2" t="str">
        <f t="shared" si="88"/>
        <v>http://geocode.csis.u-tokyo.ac.jp/cgi-bin/simple_geocode.cgi?charset=UTF8&amp;addr=%E6%9D%B1%E4%BA%AC%E9%83%BD%E4%B8%96%E7%94%B0%E8%B0%B7%E5%8C%BA%E6%88%90%E5%9F%8E</v>
      </c>
      <c r="E1526" t="str">
        <f t="shared" si="89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1526" cm="1">
        <f t="array" ref="F1526">INDEX(_xlfn.FILTERXML(E1526,"//latitude"),1)</f>
        <v>35.635052000000002</v>
      </c>
      <c r="G1526" cm="1">
        <f t="array" ref="G1526">INDEX(_xlfn.FILTERXML(E1526,"//longitude"),1)</f>
        <v>139.60249300000001</v>
      </c>
      <c r="H1526">
        <v>35.635052000000002</v>
      </c>
      <c r="I1526">
        <v>139.60249300000001</v>
      </c>
    </row>
    <row r="1527" spans="1:9" x14ac:dyDescent="0.4">
      <c r="A1527" t="s">
        <v>9</v>
      </c>
      <c r="B1527" t="s">
        <v>1114</v>
      </c>
      <c r="C1527" t="str">
        <f t="shared" si="87"/>
        <v>東京都江東区豊洲５ー５ー１</v>
      </c>
      <c r="D1527" s="2" t="str">
        <f t="shared" si="88"/>
        <v>http://geocode.csis.u-tokyo.ac.jp/cgi-bin/simple_geocode.cgi?charset=UTF8&amp;addr=%E6%9D%B1%E4%BA%AC%E9%83%BD%E6%B1%9F%E6%9D%B1%E5%8C%BA%E8%B1%8A%E6%B4%B2%EF%BC%95%E3%83%BC%EF%BC%95%E3%83%BC%EF%BC%91</v>
      </c>
      <c r="E1527" t="str">
        <f t="shared" si="89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1527" cm="1">
        <f t="array" ref="F1527">INDEX(_xlfn.FILTERXML(E1527,"//latitude"),1)</f>
        <v>35.653678999999997</v>
      </c>
      <c r="G1527" cm="1">
        <f t="array" ref="G1527">INDEX(_xlfn.FILTERXML(E1527,"//longitude"),1)</f>
        <v>139.795715</v>
      </c>
      <c r="H1527">
        <v>35.653678999999997</v>
      </c>
      <c r="I1527">
        <v>139.795715</v>
      </c>
    </row>
    <row r="1528" spans="1:9" x14ac:dyDescent="0.4">
      <c r="A1528" t="s">
        <v>9</v>
      </c>
      <c r="B1528" t="s">
        <v>1071</v>
      </c>
      <c r="C1528" t="str">
        <f t="shared" si="87"/>
        <v>東京都板橋区栄町</v>
      </c>
      <c r="D1528" s="2" t="str">
        <f t="shared" si="88"/>
        <v>http://geocode.csis.u-tokyo.ac.jp/cgi-bin/simple_geocode.cgi?charset=UTF8&amp;addr=%E6%9D%B1%E4%BA%AC%E9%83%BD%E6%9D%BF%E6%A9%8B%E5%8C%BA%E6%A0%84%E7%94%BA</v>
      </c>
      <c r="E1528" t="str">
        <f t="shared" si="89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1528" cm="1">
        <f t="array" ref="F1528">INDEX(_xlfn.FILTERXML(E1528,"//latitude"),1)</f>
        <v>35.753070999999998</v>
      </c>
      <c r="G1528" cm="1">
        <f t="array" ref="G1528">INDEX(_xlfn.FILTERXML(E1528,"//longitude"),1)</f>
        <v>139.70214799999999</v>
      </c>
      <c r="H1528">
        <v>35.753070999999998</v>
      </c>
      <c r="I1528">
        <v>139.70214799999999</v>
      </c>
    </row>
    <row r="1529" spans="1:9" x14ac:dyDescent="0.4">
      <c r="A1529" t="s">
        <v>34</v>
      </c>
      <c r="B1529" t="s">
        <v>532</v>
      </c>
      <c r="C1529" t="str">
        <f t="shared" si="87"/>
        <v>岐阜県恵那市武並町藤</v>
      </c>
      <c r="D1529" s="2" t="str">
        <f t="shared" si="88"/>
        <v>http://geocode.csis.u-tokyo.ac.jp/cgi-bin/simple_geocode.cgi?charset=UTF8&amp;addr=%E5%B2%90%E9%98%9C%E7%9C%8C%E6%81%B5%E9%82%A3%E5%B8%82%E6%AD%A6%E4%B8%A6%E7%94%BA%E8%97%A4</v>
      </c>
      <c r="E1529" t="str">
        <f t="shared" si="89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1529" cm="1">
        <f t="array" ref="F1529">INDEX(_xlfn.FILTERXML(E1529,"//latitude"),1)</f>
        <v>35.457886000000002</v>
      </c>
      <c r="G1529" cm="1">
        <f t="array" ref="G1529">INDEX(_xlfn.FILTERXML(E1529,"//longitude"),1)</f>
        <v>137.31976299999999</v>
      </c>
      <c r="H1529">
        <v>35.457886000000002</v>
      </c>
      <c r="I1529">
        <v>137.31976299999999</v>
      </c>
    </row>
    <row r="1530" spans="1:9" x14ac:dyDescent="0.4">
      <c r="A1530" t="s">
        <v>13</v>
      </c>
      <c r="B1530" t="s">
        <v>663</v>
      </c>
      <c r="C1530" t="str">
        <f t="shared" si="87"/>
        <v>埼玉県川口市</v>
      </c>
      <c r="D1530" s="2" t="str">
        <f t="shared" si="88"/>
        <v>http://geocode.csis.u-tokyo.ac.jp/cgi-bin/simple_geocode.cgi?charset=UTF8&amp;addr=%E5%9F%BC%E7%8E%89%E7%9C%8C%E5%B7%9D%E5%8F%A3%E5%B8%82</v>
      </c>
      <c r="E1530" t="str">
        <f t="shared" si="89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1530" cm="1">
        <f t="array" ref="F1530">INDEX(_xlfn.FILTERXML(E1530,"//latitude"),1)</f>
        <v>35.807738999999998</v>
      </c>
      <c r="G1530" cm="1">
        <f t="array" ref="G1530">INDEX(_xlfn.FILTERXML(E1530,"//longitude"),1)</f>
        <v>139.72416699999999</v>
      </c>
      <c r="H1530">
        <v>35.807738999999998</v>
      </c>
      <c r="I1530">
        <v>139.72416699999999</v>
      </c>
    </row>
    <row r="1531" spans="1:9" x14ac:dyDescent="0.4">
      <c r="A1531" t="s">
        <v>13</v>
      </c>
      <c r="B1531" t="s">
        <v>1115</v>
      </c>
      <c r="C1531" t="str">
        <f t="shared" si="87"/>
        <v>埼玉県さいたま市浦和区仲町２－１９－１６</v>
      </c>
      <c r="D1531" s="2" t="str">
        <f t="shared" si="88"/>
        <v>http://geocode.csis.u-tokyo.ac.jp/cgi-bin/simple_geocode.cgi?charset=UTF8&amp;addr=%E5%9F%BC%E7%8E%89%E7%9C%8C%E3%81%95%E3%81%84%E3%81%9F%E3%81%BE%E5%B8%82%E6%B5%A6%E5%92%8C%E5%8C%BA%E4%BB%B2%E7%94%BA%EF%BC%92%EF%BC%8D%EF%BC%91%EF%BC%99%EF%BC%8D%EF%BC%91%EF%BC%96</v>
      </c>
      <c r="E1531" t="str">
        <f t="shared" si="89"/>
        <v xml:space="preserve">&lt;?xml version="1.0" encoding="UTF-8" ?&gt;
&lt;results&gt;
&lt;query&gt;埼玉県さいたま市浦和区仲町２−１９−１６&lt;/query&gt;
&lt;geodetic&gt;wgs1984&lt;/geodetic&gt;
&lt;iConf&gt;5&lt;/iConf&gt;
&lt;converted&gt;埼玉県さいたま市浦和区仲町２−１９−１６&lt;/converted&gt;
&lt;candidate&gt;
&lt;address&gt;埼玉県/さいたま市/浦和区/仲町/二丁目/１９番/１６号&lt;/address&gt;
&lt;longitude&gt;139.650421&lt;/longitude&gt;
&lt;latitude&gt;35.860485&lt;/latitude&gt;
&lt;iLvl&gt;8&lt;/iLvl&gt;
&lt;/candidate&gt;
&lt;/results&gt;
</v>
      </c>
      <c r="F1531" cm="1">
        <f t="array" ref="F1531">INDEX(_xlfn.FILTERXML(E1531,"//latitude"),1)</f>
        <v>35.860484999999997</v>
      </c>
      <c r="G1531" cm="1">
        <f t="array" ref="G1531">INDEX(_xlfn.FILTERXML(E1531,"//longitude"),1)</f>
        <v>139.65042099999999</v>
      </c>
      <c r="H1531">
        <v>35.860484999999997</v>
      </c>
      <c r="I1531">
        <v>139.65042099999999</v>
      </c>
    </row>
    <row r="1532" spans="1:9" x14ac:dyDescent="0.4">
      <c r="A1532" t="s">
        <v>9</v>
      </c>
      <c r="B1532" t="s">
        <v>1141</v>
      </c>
      <c r="C1532" t="str">
        <f t="shared" si="87"/>
        <v>東京都練馬区小竹町</v>
      </c>
      <c r="D1532" s="2" t="str">
        <f t="shared" si="88"/>
        <v>http://geocode.csis.u-tokyo.ac.jp/cgi-bin/simple_geocode.cgi?charset=UTF8&amp;addr=%E6%9D%B1%E4%BA%AC%E9%83%BD%E7%B7%B4%E9%A6%AC%E5%8C%BA%E5%B0%8F%E7%AB%B9%E7%94%BA</v>
      </c>
      <c r="E1532" t="str">
        <f t="shared" si="89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1532" cm="1">
        <f t="array" ref="F1532">INDEX(_xlfn.FILTERXML(E1532,"//latitude"),1)</f>
        <v>35.739773</v>
      </c>
      <c r="G1532" cm="1">
        <f t="array" ref="G1532">INDEX(_xlfn.FILTERXML(E1532,"//longitude"),1)</f>
        <v>139.676086</v>
      </c>
      <c r="H1532">
        <v>35.739773</v>
      </c>
      <c r="I1532">
        <v>139.676086</v>
      </c>
    </row>
    <row r="1533" spans="1:9" x14ac:dyDescent="0.4">
      <c r="A1533" t="s">
        <v>17</v>
      </c>
      <c r="B1533" t="s">
        <v>1169</v>
      </c>
      <c r="C1533" t="str">
        <f t="shared" si="87"/>
        <v>愛知県尾張旭市</v>
      </c>
      <c r="D1533" s="2" t="str">
        <f t="shared" si="88"/>
        <v>http://geocode.csis.u-tokyo.ac.jp/cgi-bin/simple_geocode.cgi?charset=UTF8&amp;addr=%E6%84%9B%E7%9F%A5%E7%9C%8C%E5%B0%BE%E5%BC%B5%E6%97%AD%E5%B8%82</v>
      </c>
      <c r="E1533" t="str">
        <f t="shared" si="89"/>
        <v xml:space="preserve">&lt;?xml version="1.0" encoding="UTF-8" ?&gt;
&lt;results&gt;
&lt;query&gt;愛知県尾張旭市&lt;/query&gt;
&lt;geodetic&gt;wgs1984&lt;/geodetic&gt;
&lt;iConf&gt;5&lt;/iConf&gt;
&lt;converted&gt;愛知県尾張旭市&lt;/converted&gt;
&lt;candidate&gt;
&lt;address&gt;愛知県/尾張旭市&lt;/address&gt;
&lt;longitude&gt;137.035416&lt;/longitude&gt;
&lt;latitude&gt;35.216568&lt;/latitude&gt;
&lt;iLvl&gt;3&lt;/iLvl&gt;
&lt;/candidate&gt;
&lt;/results&gt;
</v>
      </c>
      <c r="F1533" cm="1">
        <f t="array" ref="F1533">INDEX(_xlfn.FILTERXML(E1533,"//latitude"),1)</f>
        <v>35.216568000000002</v>
      </c>
      <c r="G1533" cm="1">
        <f t="array" ref="G1533">INDEX(_xlfn.FILTERXML(E1533,"//longitude"),1)</f>
        <v>137.035416</v>
      </c>
      <c r="H1533">
        <v>35.216568000000002</v>
      </c>
      <c r="I1533">
        <v>137.035416</v>
      </c>
    </row>
    <row r="1534" spans="1:9" x14ac:dyDescent="0.4">
      <c r="A1534" t="s">
        <v>11</v>
      </c>
      <c r="B1534" t="s">
        <v>137</v>
      </c>
      <c r="C1534" t="str">
        <f t="shared" si="87"/>
        <v>大阪府吹田市</v>
      </c>
      <c r="D1534" s="2" t="str">
        <f t="shared" si="88"/>
        <v>http://geocode.csis.u-tokyo.ac.jp/cgi-bin/simple_geocode.cgi?charset=UTF8&amp;addr=%E5%A4%A7%E9%98%AA%E5%BA%9C%E5%90%B9%E7%94%B0%E5%B8%82</v>
      </c>
      <c r="E1534" t="str">
        <f t="shared" si="8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534" cm="1">
        <f t="array" ref="F1534">INDEX(_xlfn.FILTERXML(E1534,"//latitude"),1)</f>
        <v>34.759402999999999</v>
      </c>
      <c r="G1534" cm="1">
        <f t="array" ref="G1534">INDEX(_xlfn.FILTERXML(E1534,"//longitude"),1)</f>
        <v>135.51679999999999</v>
      </c>
      <c r="H1534">
        <v>34.759402999999999</v>
      </c>
      <c r="I1534">
        <v>135.51679999999999</v>
      </c>
    </row>
    <row r="1535" spans="1:9" x14ac:dyDescent="0.4">
      <c r="A1535" t="s">
        <v>19</v>
      </c>
      <c r="B1535" t="s">
        <v>221</v>
      </c>
      <c r="C1535" t="str">
        <f t="shared" si="87"/>
        <v>滋賀県甲賀市信楽町田代</v>
      </c>
      <c r="D1535" s="2" t="str">
        <f t="shared" si="88"/>
        <v>http://geocode.csis.u-tokyo.ac.jp/cgi-bin/simple_geocode.cgi?charset=UTF8&amp;addr=%E6%BB%8B%E8%B3%80%E7%9C%8C%E7%94%B2%E8%B3%80%E5%B8%82%E4%BF%A1%E6%A5%BD%E7%94%BA%E7%94%B0%E4%BB%A3</v>
      </c>
      <c r="E1535" t="str">
        <f t="shared" si="89"/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1535" cm="1">
        <f t="array" ref="F1535">INDEX(_xlfn.FILTERXML(E1535,"//latitude"),1)</f>
        <v>34.906810999999998</v>
      </c>
      <c r="G1535" cm="1">
        <f t="array" ref="G1535">INDEX(_xlfn.FILTERXML(E1535,"//longitude"),1)</f>
        <v>136.01362599999999</v>
      </c>
      <c r="H1535">
        <v>34.906810999999998</v>
      </c>
      <c r="I1535">
        <v>136.01362599999999</v>
      </c>
    </row>
    <row r="1536" spans="1:9" x14ac:dyDescent="0.4">
      <c r="A1536" t="s">
        <v>114</v>
      </c>
      <c r="B1536" t="s">
        <v>388</v>
      </c>
      <c r="C1536" t="str">
        <f t="shared" si="87"/>
        <v>福島県福島市</v>
      </c>
      <c r="D1536" s="2" t="str">
        <f t="shared" si="88"/>
        <v>http://geocode.csis.u-tokyo.ac.jp/cgi-bin/simple_geocode.cgi?charset=UTF8&amp;addr=%E7%A6%8F%E5%B3%B6%E7%9C%8C%E7%A6%8F%E5%B3%B6%E5%B8%82</v>
      </c>
      <c r="E1536" t="str">
        <f t="shared" si="89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1536" cm="1">
        <f t="array" ref="F1536">INDEX(_xlfn.FILTERXML(E1536,"//latitude"),1)</f>
        <v>37.760756999999998</v>
      </c>
      <c r="G1536" cm="1">
        <f t="array" ref="G1536">INDEX(_xlfn.FILTERXML(E1536,"//longitude"),1)</f>
        <v>140.47326699999999</v>
      </c>
      <c r="H1536">
        <v>37.760756999999998</v>
      </c>
      <c r="I1536">
        <v>140.47326699999999</v>
      </c>
    </row>
    <row r="1537" spans="1:9" x14ac:dyDescent="0.4">
      <c r="A1537" t="s">
        <v>26</v>
      </c>
      <c r="B1537" t="s">
        <v>389</v>
      </c>
      <c r="C1537" t="str">
        <f t="shared" si="87"/>
        <v>京都府南丹市園部町横田7号</v>
      </c>
      <c r="D1537" s="2" t="str">
        <f t="shared" si="88"/>
        <v>http://geocode.csis.u-tokyo.ac.jp/cgi-bin/simple_geocode.cgi?charset=UTF8&amp;addr=%E4%BA%AC%E9%83%BD%E5%BA%9C%E5%8D%97%E4%B8%B9%E5%B8%82%E5%9C%92%E9%83%A8%E7%94%BA%E6%A8%AA%E7%94%B07%E5%8F%B7</v>
      </c>
      <c r="E1537" t="str">
        <f t="shared" si="89"/>
        <v xml:space="preserve">&lt;?xml version="1.0" encoding="UTF-8" ?&gt;
&lt;results&gt;
&lt;query&gt;京都府南丹市園部町横田7号&lt;/query&gt;
&lt;geodetic&gt;wgs1984&lt;/geodetic&gt;
&lt;iConf&gt;5&lt;/iConf&gt;
&lt;converted&gt;京都府南丹市園部町横田7号&lt;/converted&gt;
&lt;candidate&gt;
&lt;address&gt;京都府/南丹市/園部町横田/七号&lt;/address&gt;
&lt;longitude&gt;135.457916&lt;/longitude&gt;
&lt;latitude&gt;35.103794&lt;/latitude&gt;
&lt;iLvl&gt;6&lt;/iLvl&gt;
&lt;/candidate&gt;
&lt;/results&gt;
</v>
      </c>
      <c r="F1537" cm="1">
        <f t="array" ref="F1537">INDEX(_xlfn.FILTERXML(E1537,"//latitude"),1)</f>
        <v>35.103794000000001</v>
      </c>
      <c r="G1537" cm="1">
        <f t="array" ref="G1537">INDEX(_xlfn.FILTERXML(E1537,"//longitude"),1)</f>
        <v>135.45791600000001</v>
      </c>
      <c r="H1537">
        <v>35.103794000000001</v>
      </c>
      <c r="I1537">
        <v>135.45791600000001</v>
      </c>
    </row>
    <row r="1538" spans="1:9" x14ac:dyDescent="0.4">
      <c r="A1538" t="s">
        <v>15</v>
      </c>
      <c r="B1538" t="s">
        <v>390</v>
      </c>
      <c r="C1538" t="str">
        <f t="shared" si="87"/>
        <v>兵庫県神戸市東灘区本山南町</v>
      </c>
      <c r="D1538" s="2" t="str">
        <f t="shared" si="88"/>
        <v>http://geocode.csis.u-tokyo.ac.jp/cgi-bin/simple_geocode.cgi?charset=UTF8&amp;addr=%E5%85%B5%E5%BA%AB%E7%9C%8C%E7%A5%9E%E6%88%B8%E5%B8%82%E6%9D%B1%E7%81%98%E5%8C%BA%E6%9C%AC%E5%B1%B1%E5%8D%97%E7%94%BA</v>
      </c>
      <c r="E1538" t="str">
        <f t="shared" si="89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1538" cm="1">
        <f t="array" ref="F1538">INDEX(_xlfn.FILTERXML(E1538,"//latitude"),1)</f>
        <v>34.723492</v>
      </c>
      <c r="G1538" cm="1">
        <f t="array" ref="G1538">INDEX(_xlfn.FILTERXML(E1538,"//longitude"),1)</f>
        <v>135.287949</v>
      </c>
      <c r="H1538">
        <v>34.723492</v>
      </c>
      <c r="I1538">
        <v>135.287949</v>
      </c>
    </row>
    <row r="1539" spans="1:9" x14ac:dyDescent="0.4">
      <c r="A1539" t="s">
        <v>24</v>
      </c>
      <c r="B1539" t="s">
        <v>392</v>
      </c>
      <c r="C1539" t="str">
        <f t="shared" si="87"/>
        <v>栃木県河内郡上三川町</v>
      </c>
      <c r="D1539" s="2" t="str">
        <f t="shared" si="88"/>
        <v>http://geocode.csis.u-tokyo.ac.jp/cgi-bin/simple_geocode.cgi?charset=UTF8&amp;addr=%E6%A0%83%E6%9C%A8%E7%9C%8C%E6%B2%B3%E5%86%85%E9%83%A1%E4%B8%8A%E4%B8%89%E5%B7%9D%E7%94%BA</v>
      </c>
      <c r="E1539" t="str">
        <f t="shared" si="89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1539" cm="1">
        <f t="array" ref="F1539">INDEX(_xlfn.FILTERXML(E1539,"//latitude"),1)</f>
        <v>36.439266000000003</v>
      </c>
      <c r="G1539" cm="1">
        <f t="array" ref="G1539">INDEX(_xlfn.FILTERXML(E1539,"//longitude"),1)</f>
        <v>139.91021699999999</v>
      </c>
      <c r="H1539">
        <v>36.439266000000003</v>
      </c>
      <c r="I1539">
        <v>139.91021699999999</v>
      </c>
    </row>
    <row r="1540" spans="1:9" x14ac:dyDescent="0.4">
      <c r="A1540" t="s">
        <v>23</v>
      </c>
      <c r="B1540" t="s">
        <v>393</v>
      </c>
      <c r="C1540" t="str">
        <f t="shared" si="87"/>
        <v>宮城県富谷市明石台</v>
      </c>
      <c r="D1540" s="2" t="str">
        <f t="shared" si="88"/>
        <v>http://geocode.csis.u-tokyo.ac.jp/cgi-bin/simple_geocode.cgi?charset=UTF8&amp;addr=%E5%AE%AE%E5%9F%8E%E7%9C%8C%E5%AF%8C%E8%B0%B7%E5%B8%82%E6%98%8E%E7%9F%B3%E5%8F%B0</v>
      </c>
      <c r="E1540" t="str">
        <f t="shared" si="89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1540" cm="1">
        <f t="array" ref="F1540">INDEX(_xlfn.FILTERXML(E1540,"//latitude"),1)</f>
        <v>38.344250000000002</v>
      </c>
      <c r="G1540" cm="1">
        <f t="array" ref="G1540">INDEX(_xlfn.FILTERXML(E1540,"//longitude"),1)</f>
        <v>140.899216</v>
      </c>
      <c r="H1540">
        <v>38.344250000000002</v>
      </c>
      <c r="I1540">
        <v>140.899216</v>
      </c>
    </row>
    <row r="1541" spans="1:9" x14ac:dyDescent="0.4">
      <c r="A1541" t="s">
        <v>10</v>
      </c>
      <c r="B1541" t="s">
        <v>394</v>
      </c>
      <c r="C1541" t="str">
        <f t="shared" si="87"/>
        <v>神奈川県横浜市栄区桂台西</v>
      </c>
      <c r="D1541" s="2" t="str">
        <f t="shared" si="88"/>
        <v>http://geocode.csis.u-tokyo.ac.jp/cgi-bin/simple_geocode.cgi?charset=UTF8&amp;addr=%E7%A5%9E%E5%A5%88%E5%B7%9D%E7%9C%8C%E6%A8%AA%E6%B5%9C%E5%B8%82%E6%A0%84%E5%8C%BA%E6%A1%82%E5%8F%B0%E8%A5%BF</v>
      </c>
      <c r="E1541" t="str">
        <f t="shared" si="89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1541" cm="1">
        <f t="array" ref="F1541">INDEX(_xlfn.FILTERXML(E1541,"//latitude"),1)</f>
        <v>35.358170000000001</v>
      </c>
      <c r="G1541" cm="1">
        <f t="array" ref="G1541">INDEX(_xlfn.FILTERXML(E1541,"//longitude"),1)</f>
        <v>139.561646</v>
      </c>
      <c r="H1541">
        <v>35.358170000000001</v>
      </c>
      <c r="I1541">
        <v>139.561646</v>
      </c>
    </row>
    <row r="1542" spans="1:9" x14ac:dyDescent="0.4">
      <c r="A1542" t="s">
        <v>11</v>
      </c>
      <c r="B1542" t="s">
        <v>395</v>
      </c>
      <c r="C1542" t="str">
        <f t="shared" si="87"/>
        <v>大阪府箕面市西小路</v>
      </c>
      <c r="D1542" s="2" t="str">
        <f t="shared" si="88"/>
        <v>http://geocode.csis.u-tokyo.ac.jp/cgi-bin/simple_geocode.cgi?charset=UTF8&amp;addr=%E5%A4%A7%E9%98%AA%E5%BA%9C%E7%AE%95%E9%9D%A2%E5%B8%82%E8%A5%BF%E5%B0%8F%E8%B7%AF</v>
      </c>
      <c r="E1542" t="str">
        <f t="shared" si="89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1542" cm="1">
        <f t="array" ref="F1542">INDEX(_xlfn.FILTERXML(E1542,"//latitude"),1)</f>
        <v>34.829231</v>
      </c>
      <c r="G1542" cm="1">
        <f t="array" ref="G1542">INDEX(_xlfn.FILTERXML(E1542,"//longitude"),1)</f>
        <v>135.46665999999999</v>
      </c>
      <c r="H1542">
        <v>34.829231</v>
      </c>
      <c r="I1542">
        <v>135.46665999999999</v>
      </c>
    </row>
    <row r="1543" spans="1:9" x14ac:dyDescent="0.4">
      <c r="A1543" t="s">
        <v>23</v>
      </c>
      <c r="B1543" t="s">
        <v>401</v>
      </c>
      <c r="C1543" t="str">
        <f t="shared" si="87"/>
        <v>宮城県多賀城市東田中2-40-29</v>
      </c>
      <c r="D1543" s="2" t="str">
        <f t="shared" si="88"/>
        <v>http://geocode.csis.u-tokyo.ac.jp/cgi-bin/simple_geocode.cgi?charset=UTF8&amp;addr=%E5%AE%AE%E5%9F%8E%E7%9C%8C%E5%A4%9A%E8%B3%80%E5%9F%8E%E5%B8%82%E6%9D%B1%E7%94%B0%E4%B8%AD2-40-29</v>
      </c>
      <c r="E1543" t="str">
        <f t="shared" si="89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1543" cm="1">
        <f t="array" ref="F1543">INDEX(_xlfn.FILTERXML(E1543,"//latitude"),1)</f>
        <v>38.290306000000001</v>
      </c>
      <c r="G1543" cm="1">
        <f t="array" ref="G1543">INDEX(_xlfn.FILTERXML(E1543,"//longitude"),1)</f>
        <v>141.00164799999999</v>
      </c>
      <c r="H1543">
        <v>38.290306000000001</v>
      </c>
      <c r="I1543">
        <v>141.00164799999999</v>
      </c>
    </row>
    <row r="1544" spans="1:9" x14ac:dyDescent="0.4">
      <c r="A1544" t="s">
        <v>19</v>
      </c>
      <c r="B1544" t="s">
        <v>101</v>
      </c>
      <c r="C1544" t="str">
        <f t="shared" si="87"/>
        <v>滋賀県大津市</v>
      </c>
      <c r="D1544" s="2" t="str">
        <f t="shared" si="88"/>
        <v>http://geocode.csis.u-tokyo.ac.jp/cgi-bin/simple_geocode.cgi?charset=UTF8&amp;addr=%E6%BB%8B%E8%B3%80%E7%9C%8C%E5%A4%A7%E6%B4%A5%E5%B8%82</v>
      </c>
      <c r="E1544" t="str">
        <f t="shared" si="89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1544" cm="1">
        <f t="array" ref="F1544">INDEX(_xlfn.FILTERXML(E1544,"//latitude"),1)</f>
        <v>35.018355999999997</v>
      </c>
      <c r="G1544" cm="1">
        <f t="array" ref="G1544">INDEX(_xlfn.FILTERXML(E1544,"//longitude"),1)</f>
        <v>135.85466</v>
      </c>
      <c r="H1544">
        <v>35.018355999999997</v>
      </c>
      <c r="I1544">
        <v>135.85466</v>
      </c>
    </row>
    <row r="1545" spans="1:9" x14ac:dyDescent="0.4">
      <c r="A1545" t="s">
        <v>10</v>
      </c>
      <c r="B1545" t="s">
        <v>404</v>
      </c>
      <c r="C1545" t="str">
        <f t="shared" si="87"/>
        <v>神奈川県横浜市神奈川区神大寺</v>
      </c>
      <c r="D1545" s="2" t="str">
        <f t="shared" si="88"/>
        <v>http://geocode.csis.u-tokyo.ac.jp/cgi-bin/simple_geocode.cgi?charset=UTF8&amp;addr=%E7%A5%9E%E5%A5%88%E5%B7%9D%E7%9C%8C%E6%A8%AA%E6%B5%9C%E5%B8%82%E7%A5%9E%E5%A5%88%E5%B7%9D%E5%8C%BA%E7%A5%9E%E5%A4%A7%E5%AF%BA</v>
      </c>
      <c r="E1545" t="str">
        <f t="shared" si="89"/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1545" cm="1">
        <f t="array" ref="F1545">INDEX(_xlfn.FILTERXML(E1545,"//latitude"),1)</f>
        <v>35.484076999999999</v>
      </c>
      <c r="G1545" cm="1">
        <f t="array" ref="G1545">INDEX(_xlfn.FILTERXML(E1545,"//longitude"),1)</f>
        <v>139.61473100000001</v>
      </c>
      <c r="H1545">
        <v>35.484076999999999</v>
      </c>
      <c r="I1545">
        <v>139.61473100000001</v>
      </c>
    </row>
    <row r="1546" spans="1:9" x14ac:dyDescent="0.4">
      <c r="A1546" t="s">
        <v>12</v>
      </c>
      <c r="B1546" t="s">
        <v>406</v>
      </c>
      <c r="C1546" t="str">
        <f t="shared" si="87"/>
        <v>奈良県生駒市西白庭台</v>
      </c>
      <c r="D1546" s="2" t="str">
        <f t="shared" si="88"/>
        <v>http://geocode.csis.u-tokyo.ac.jp/cgi-bin/simple_geocode.cgi?charset=UTF8&amp;addr=%E5%A5%88%E8%89%AF%E7%9C%8C%E7%94%9F%E9%A7%92%E5%B8%82%E8%A5%BF%E7%99%BD%E5%BA%AD%E5%8F%B0</v>
      </c>
      <c r="E1546" t="str">
        <f t="shared" si="89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1546" cm="1">
        <f t="array" ref="F1546">INDEX(_xlfn.FILTERXML(E1546,"//latitude"),1)</f>
        <v>34.725323000000003</v>
      </c>
      <c r="G1546" cm="1">
        <f t="array" ref="G1546">INDEX(_xlfn.FILTERXML(E1546,"//longitude"),1)</f>
        <v>135.70727500000001</v>
      </c>
      <c r="H1546">
        <v>34.725323000000003</v>
      </c>
      <c r="I1546">
        <v>135.70727500000001</v>
      </c>
    </row>
    <row r="1547" spans="1:9" x14ac:dyDescent="0.4">
      <c r="A1547" t="s">
        <v>10</v>
      </c>
      <c r="B1547" t="s">
        <v>407</v>
      </c>
      <c r="C1547" t="str">
        <f t="shared" si="87"/>
        <v>神奈川県厚木市森の里</v>
      </c>
      <c r="D1547" s="2" t="str">
        <f t="shared" si="88"/>
        <v>http://geocode.csis.u-tokyo.ac.jp/cgi-bin/simple_geocode.cgi?charset=UTF8&amp;addr=%E7%A5%9E%E5%A5%88%E5%B7%9D%E7%9C%8C%E5%8E%9A%E6%9C%A8%E5%B8%82%E6%A3%AE%E3%81%AE%E9%87%8C</v>
      </c>
      <c r="E1547" t="str">
        <f t="shared" si="89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1547" cm="1">
        <f t="array" ref="F1547">INDEX(_xlfn.FILTERXML(E1547,"//latitude"),1)</f>
        <v>35.441989999999997</v>
      </c>
      <c r="G1547" cm="1">
        <f t="array" ref="G1547">INDEX(_xlfn.FILTERXML(E1547,"//longitude"),1)</f>
        <v>139.30896000000001</v>
      </c>
      <c r="H1547">
        <v>35.441989999999997</v>
      </c>
      <c r="I1547">
        <v>139.30896000000001</v>
      </c>
    </row>
    <row r="1548" spans="1:9" x14ac:dyDescent="0.4">
      <c r="A1548" t="s">
        <v>11</v>
      </c>
      <c r="B1548" t="s">
        <v>409</v>
      </c>
      <c r="C1548" t="str">
        <f t="shared" si="87"/>
        <v>大阪府吹田市江の木町</v>
      </c>
      <c r="D1548" s="2" t="str">
        <f t="shared" si="88"/>
        <v>http://geocode.csis.u-tokyo.ac.jp/cgi-bin/simple_geocode.cgi?charset=UTF8&amp;addr=%E5%A4%A7%E9%98%AA%E5%BA%9C%E5%90%B9%E7%94%B0%E5%B8%82%E6%B1%9F%E3%81%AE%E6%9C%A8%E7%94%BA</v>
      </c>
      <c r="E1548" t="str">
        <f t="shared" si="89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1548" cm="1">
        <f t="array" ref="F1548">INDEX(_xlfn.FILTERXML(E1548,"//latitude"),1)</f>
        <v>34.754128000000001</v>
      </c>
      <c r="G1548" cm="1">
        <f t="array" ref="G1548">INDEX(_xlfn.FILTERXML(E1548,"//longitude"),1)</f>
        <v>135.49443099999999</v>
      </c>
      <c r="H1548">
        <v>34.754128000000001</v>
      </c>
      <c r="I1548">
        <v>135.49443099999999</v>
      </c>
    </row>
    <row r="1549" spans="1:9" x14ac:dyDescent="0.4">
      <c r="A1549" t="s">
        <v>9</v>
      </c>
      <c r="B1549" t="s">
        <v>412</v>
      </c>
      <c r="C1549" t="str">
        <f t="shared" si="87"/>
        <v>東京都日野市万願寺</v>
      </c>
      <c r="D1549" s="2" t="str">
        <f t="shared" si="88"/>
        <v>http://geocode.csis.u-tokyo.ac.jp/cgi-bin/simple_geocode.cgi?charset=UTF8&amp;addr=%E6%9D%B1%E4%BA%AC%E9%83%BD%E6%97%A5%E9%87%8E%E5%B8%82%E4%B8%87%E9%A1%98%E5%AF%BA</v>
      </c>
      <c r="E1549" t="str">
        <f t="shared" si="89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1549" cm="1">
        <f t="array" ref="F1549">INDEX(_xlfn.FILTERXML(E1549,"//latitude"),1)</f>
        <v>35.675331</v>
      </c>
      <c r="G1549" cm="1">
        <f t="array" ref="G1549">INDEX(_xlfn.FILTERXML(E1549,"//longitude"),1)</f>
        <v>139.42031900000001</v>
      </c>
      <c r="H1549">
        <v>35.675331</v>
      </c>
      <c r="I1549">
        <v>139.42031900000001</v>
      </c>
    </row>
    <row r="1550" spans="1:9" x14ac:dyDescent="0.4">
      <c r="A1550" t="s">
        <v>26</v>
      </c>
      <c r="B1550" t="s">
        <v>418</v>
      </c>
      <c r="C1550" t="str">
        <f t="shared" si="87"/>
        <v>京都府京都市南区西九条大国町6-1</v>
      </c>
      <c r="D1550" s="2" t="str">
        <f t="shared" si="88"/>
        <v>http://geocode.csis.u-tokyo.ac.jp/cgi-bin/simple_geocode.cgi?charset=UTF8&amp;addr=%E4%BA%AC%E9%83%BD%E5%BA%9C%E4%BA%AC%E9%83%BD%E5%B8%82%E5%8D%97%E5%8C%BA%E8%A5%BF%E4%B9%9D%E6%9D%A1%E5%A4%A7%E5%9B%BD%E7%94%BA6-1</v>
      </c>
      <c r="E1550" t="str">
        <f t="shared" si="89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1550" cm="1">
        <f t="array" ref="F1550">INDEX(_xlfn.FILTERXML(E1550,"//latitude"),1)</f>
        <v>34.977969999999999</v>
      </c>
      <c r="G1550" cm="1">
        <f t="array" ref="G1550">INDEX(_xlfn.FILTERXML(E1550,"//longitude"),1)</f>
        <v>135.74478099999999</v>
      </c>
      <c r="H1550">
        <v>34.977969999999999</v>
      </c>
      <c r="I1550">
        <v>135.74478099999999</v>
      </c>
    </row>
    <row r="1551" spans="1:9" x14ac:dyDescent="0.4">
      <c r="A1551" t="s">
        <v>160</v>
      </c>
      <c r="B1551" t="s">
        <v>420</v>
      </c>
      <c r="C1551" t="str">
        <f t="shared" ref="C1551:C1605" si="90">+A1551&amp;B1551</f>
        <v>鳥取県鳥取市片原１丁目１１５番地</v>
      </c>
      <c r="D1551" s="2" t="str">
        <f t="shared" ref="D1551:D1605" si="91" xml:space="preserve"> "http://geocode.csis.u-tokyo.ac.jp/cgi-bin/simple_geocode.cgi?charset=UTF8&amp;addr=" &amp; _xlfn.ENCODEURL(C1551)</f>
        <v>http://geocode.csis.u-tokyo.ac.jp/cgi-bin/simple_geocode.cgi?charset=UTF8&amp;addr=%E9%B3%A5%E5%8F%96%E7%9C%8C%E9%B3%A5%E5%8F%96%E5%B8%82%E7%89%87%E5%8E%9F%EF%BC%91%E4%B8%81%E7%9B%AE%EF%BC%91%EF%BC%91%EF%BC%95%E7%95%AA%E5%9C%B0</v>
      </c>
      <c r="E1551" t="str">
        <f t="shared" ref="E1551:E1605" si="92" xml:space="preserve"> _xlfn.WEBSERVICE(D1551)</f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1551" cm="1">
        <f t="array" ref="F1551">INDEX(_xlfn.FILTERXML(E1551,"//latitude"),1)</f>
        <v>35.501629000000001</v>
      </c>
      <c r="G1551" cm="1">
        <f t="array" ref="G1551">INDEX(_xlfn.FILTERXML(E1551,"//longitude"),1)</f>
        <v>134.23374899999999</v>
      </c>
      <c r="H1551">
        <v>35.501629000000001</v>
      </c>
      <c r="I1551">
        <v>134.23374899999999</v>
      </c>
    </row>
    <row r="1552" spans="1:9" x14ac:dyDescent="0.4">
      <c r="A1552" t="s">
        <v>10</v>
      </c>
      <c r="B1552" t="s">
        <v>260</v>
      </c>
      <c r="C1552" t="str">
        <f t="shared" si="90"/>
        <v>神奈川県川崎市麻生区東百合丘</v>
      </c>
      <c r="D1552" s="2" t="str">
        <f t="shared" si="91"/>
        <v>http://geocode.csis.u-tokyo.ac.jp/cgi-bin/simple_geocode.cgi?charset=UTF8&amp;addr=%E7%A5%9E%E5%A5%88%E5%B7%9D%E7%9C%8C%E5%B7%9D%E5%B4%8E%E5%B8%82%E9%BA%BB%E7%94%9F%E5%8C%BA%E6%9D%B1%E7%99%BE%E5%90%88%E4%B8%98</v>
      </c>
      <c r="E1552" t="str">
        <f t="shared" si="92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1552" cm="1">
        <f t="array" ref="F1552">INDEX(_xlfn.FILTERXML(E1552,"//latitude"),1)</f>
        <v>35.602142000000001</v>
      </c>
      <c r="G1552" cm="1">
        <f t="array" ref="G1552">INDEX(_xlfn.FILTERXML(E1552,"//longitude"),1)</f>
        <v>139.527512</v>
      </c>
      <c r="H1552">
        <v>35.602142000000001</v>
      </c>
      <c r="I1552">
        <v>139.527512</v>
      </c>
    </row>
    <row r="1553" spans="1:9" x14ac:dyDescent="0.4">
      <c r="A1553" t="s">
        <v>9</v>
      </c>
      <c r="B1553" t="s">
        <v>1114</v>
      </c>
      <c r="C1553" t="str">
        <f t="shared" si="90"/>
        <v>東京都江東区豊洲５ー５ー１</v>
      </c>
      <c r="D1553" s="2" t="str">
        <f t="shared" si="91"/>
        <v>http://geocode.csis.u-tokyo.ac.jp/cgi-bin/simple_geocode.cgi?charset=UTF8&amp;addr=%E6%9D%B1%E4%BA%AC%E9%83%BD%E6%B1%9F%E6%9D%B1%E5%8C%BA%E8%B1%8A%E6%B4%B2%EF%BC%95%E3%83%BC%EF%BC%95%E3%83%BC%EF%BC%91</v>
      </c>
      <c r="E1553" t="str">
        <f t="shared" si="92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1553" cm="1">
        <f t="array" ref="F1553">INDEX(_xlfn.FILTERXML(E1553,"//latitude"),1)</f>
        <v>35.653678999999997</v>
      </c>
      <c r="G1553" cm="1">
        <f t="array" ref="G1553">INDEX(_xlfn.FILTERXML(E1553,"//longitude"),1)</f>
        <v>139.795715</v>
      </c>
      <c r="H1553">
        <v>35.653678999999997</v>
      </c>
      <c r="I1553">
        <v>139.795715</v>
      </c>
    </row>
    <row r="1554" spans="1:9" x14ac:dyDescent="0.4">
      <c r="A1554" t="s">
        <v>13</v>
      </c>
      <c r="B1554" t="s">
        <v>435</v>
      </c>
      <c r="C1554" t="str">
        <f t="shared" si="90"/>
        <v>埼玉県熊谷市本町</v>
      </c>
      <c r="D1554" s="2" t="str">
        <f t="shared" si="91"/>
        <v>http://geocode.csis.u-tokyo.ac.jp/cgi-bin/simple_geocode.cgi?charset=UTF8&amp;addr=%E5%9F%BC%E7%8E%89%E7%9C%8C%E7%86%8A%E8%B0%B7%E5%B8%82%E6%9C%AC%E7%94%BA</v>
      </c>
      <c r="E1554" t="str">
        <f t="shared" si="92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1554" cm="1">
        <f t="array" ref="F1554">INDEX(_xlfn.FILTERXML(E1554,"//latitude"),1)</f>
        <v>36.144767999999999</v>
      </c>
      <c r="G1554" cm="1">
        <f t="array" ref="G1554">INDEX(_xlfn.FILTERXML(E1554,"//longitude"),1)</f>
        <v>139.38445999999999</v>
      </c>
      <c r="H1554">
        <v>36.144767999999999</v>
      </c>
      <c r="I1554">
        <v>139.38445999999999</v>
      </c>
    </row>
    <row r="1555" spans="1:9" x14ac:dyDescent="0.4">
      <c r="A1555" t="s">
        <v>17</v>
      </c>
      <c r="B1555" t="s">
        <v>436</v>
      </c>
      <c r="C1555" t="str">
        <f t="shared" si="90"/>
        <v>愛知県江南市五明町当光地</v>
      </c>
      <c r="D1555" s="2" t="str">
        <f t="shared" si="91"/>
        <v>http://geocode.csis.u-tokyo.ac.jp/cgi-bin/simple_geocode.cgi?charset=UTF8&amp;addr=%E6%84%9B%E7%9F%A5%E7%9C%8C%E6%B1%9F%E5%8D%97%E5%B8%82%E4%BA%94%E6%98%8E%E7%94%BA%E5%BD%93%E5%85%89%E5%9C%B0</v>
      </c>
      <c r="E1555" t="str">
        <f t="shared" si="92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1555" cm="1">
        <f t="array" ref="F1555">INDEX(_xlfn.FILTERXML(E1555,"//latitude"),1)</f>
        <v>35.317512999999998</v>
      </c>
      <c r="G1555" cm="1">
        <f t="array" ref="G1555">INDEX(_xlfn.FILTERXML(E1555,"//longitude"),1)</f>
        <v>136.86288500000001</v>
      </c>
      <c r="H1555">
        <v>35.317512999999998</v>
      </c>
      <c r="I1555">
        <v>136.86288500000001</v>
      </c>
    </row>
    <row r="1556" spans="1:9" x14ac:dyDescent="0.4">
      <c r="A1556" t="s">
        <v>9</v>
      </c>
      <c r="B1556" t="s">
        <v>162</v>
      </c>
      <c r="C1556" t="str">
        <f t="shared" si="90"/>
        <v>東京都文京区本駒込</v>
      </c>
      <c r="D1556" s="2" t="str">
        <f t="shared" si="91"/>
        <v>http://geocode.csis.u-tokyo.ac.jp/cgi-bin/simple_geocode.cgi?charset=UTF8&amp;addr=%E6%9D%B1%E4%BA%AC%E9%83%BD%E6%96%87%E4%BA%AC%E5%8C%BA%E6%9C%AC%E9%A7%92%E8%BE%BC</v>
      </c>
      <c r="E1556" t="str">
        <f t="shared" si="92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556" cm="1">
        <f t="array" ref="F1556">INDEX(_xlfn.FILTERXML(E1556,"//latitude"),1)</f>
        <v>35.725501999999999</v>
      </c>
      <c r="G1556" cm="1">
        <f t="array" ref="G1556">INDEX(_xlfn.FILTERXML(E1556,"//longitude"),1)</f>
        <v>139.75147999999999</v>
      </c>
      <c r="H1556">
        <v>35.725501999999999</v>
      </c>
      <c r="I1556">
        <v>139.75147999999999</v>
      </c>
    </row>
    <row r="1557" spans="1:9" x14ac:dyDescent="0.4">
      <c r="A1557" t="s">
        <v>35</v>
      </c>
      <c r="B1557" t="s">
        <v>515</v>
      </c>
      <c r="C1557" t="str">
        <f t="shared" si="90"/>
        <v>宮崎県宮崎市出来島町</v>
      </c>
      <c r="D1557" s="2" t="str">
        <f t="shared" si="91"/>
        <v>http://geocode.csis.u-tokyo.ac.jp/cgi-bin/simple_geocode.cgi?charset=UTF8&amp;addr=%E5%AE%AE%E5%B4%8E%E7%9C%8C%E5%AE%AE%E5%B4%8E%E5%B8%82%E5%87%BA%E6%9D%A5%E5%B3%B6%E7%94%BA</v>
      </c>
      <c r="E1557" t="str">
        <f t="shared" si="92"/>
        <v xml:space="preserve">&lt;?xml version="1.0" encoding="UTF-8" ?&gt;
&lt;results&gt;
&lt;query&gt;宮崎県宮崎市出来島町&lt;/query&gt;
&lt;geodetic&gt;wgs1984&lt;/geodetic&gt;
&lt;iConf&gt;5&lt;/iConf&gt;
&lt;converted&gt;宮崎県宮崎市出来島町&lt;/converted&gt;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1557" cm="1">
        <f t="array" ref="F1557">INDEX(_xlfn.FILTERXML(E1557,"//latitude"),1)</f>
        <v>31.901689999999999</v>
      </c>
      <c r="G1557" cm="1">
        <f t="array" ref="G1557">INDEX(_xlfn.FILTERXML(E1557,"//longitude"),1)</f>
        <v>131.43656899999999</v>
      </c>
      <c r="H1557">
        <v>31.901689999999999</v>
      </c>
      <c r="I1557">
        <v>131.43656899999999</v>
      </c>
    </row>
    <row r="1558" spans="1:9" x14ac:dyDescent="0.4">
      <c r="A1558" t="s">
        <v>9</v>
      </c>
      <c r="B1558" t="s">
        <v>1170</v>
      </c>
      <c r="C1558" t="str">
        <f t="shared" si="90"/>
        <v>東京都武蔵村山市岸</v>
      </c>
      <c r="D1558" s="2" t="str">
        <f t="shared" si="91"/>
        <v>http://geocode.csis.u-tokyo.ac.jp/cgi-bin/simple_geocode.cgi?charset=UTF8&amp;addr=%E6%9D%B1%E4%BA%AC%E9%83%BD%E6%AD%A6%E8%94%B5%E6%9D%91%E5%B1%B1%E5%B8%82%E5%B2%B8</v>
      </c>
      <c r="E1558" t="str">
        <f t="shared" si="92"/>
        <v xml:space="preserve">&lt;?xml version="1.0" encoding="UTF-8" ?&gt;
&lt;results&gt;
&lt;query&gt;東京都武蔵村山市岸&lt;/query&gt;
&lt;geodetic&gt;wgs1984&lt;/geodetic&gt;
&lt;iConf&gt;5&lt;/iConf&gt;
&lt;converted&gt;東京都武蔵村山市岸&lt;/converted&gt;
&lt;candidate&gt;
&lt;address&gt;東京都/武蔵村山市/岸&lt;/address&gt;
&lt;longitude&gt;139.359619&lt;/longitude&gt;
&lt;latitude&gt;35.743656&lt;/latitude&gt;
&lt;iLvl&gt;5&lt;/iLvl&gt;
&lt;/candidate&gt;
&lt;/results&gt;
</v>
      </c>
      <c r="F1558" cm="1">
        <f t="array" ref="F1558">INDEX(_xlfn.FILTERXML(E1558,"//latitude"),1)</f>
        <v>35.743656000000001</v>
      </c>
      <c r="G1558" cm="1">
        <f t="array" ref="G1558">INDEX(_xlfn.FILTERXML(E1558,"//longitude"),1)</f>
        <v>139.35961900000001</v>
      </c>
      <c r="H1558">
        <v>35.743656000000001</v>
      </c>
      <c r="I1558">
        <v>139.35961900000001</v>
      </c>
    </row>
    <row r="1559" spans="1:9" x14ac:dyDescent="0.4">
      <c r="A1559" t="s">
        <v>9</v>
      </c>
      <c r="B1559" t="s">
        <v>1171</v>
      </c>
      <c r="C1559" t="str">
        <f t="shared" si="90"/>
        <v>東京都大田区南久が原2丁目</v>
      </c>
      <c r="D1559" s="2" t="str">
        <f t="shared" si="91"/>
        <v>http://geocode.csis.u-tokyo.ac.jp/cgi-bin/simple_geocode.cgi?charset=UTF8&amp;addr=%E6%9D%B1%E4%BA%AC%E9%83%BD%E5%A4%A7%E7%94%B0%E5%8C%BA%E5%8D%97%E4%B9%85%E3%81%8C%E5%8E%9F2%E4%B8%81%E7%9B%AE</v>
      </c>
      <c r="E1559" t="str">
        <f t="shared" si="92"/>
        <v xml:space="preserve">&lt;?xml version="1.0" encoding="UTF-8" ?&gt;
&lt;results&gt;
&lt;query&gt;東京都大田区南久が原2丁目&lt;/query&gt;
&lt;geodetic&gt;wgs1984&lt;/geodetic&gt;
&lt;iConf&gt;5&lt;/iConf&gt;
&lt;converted&gt;東京都大田区南久が原2丁目&lt;/converted&gt;
&lt;candidate&gt;
&lt;address&gt;東京都/大田区/南久が原/二丁目&lt;/address&gt;
&lt;longitude&gt;139.685379&lt;/longitude&gt;
&lt;latitude&gt;35.576698&lt;/latitude&gt;
&lt;iLvl&gt;6&lt;/iLvl&gt;
&lt;/candidate&gt;
&lt;/results&gt;
</v>
      </c>
      <c r="F1559" cm="1">
        <f t="array" ref="F1559">INDEX(_xlfn.FILTERXML(E1559,"//latitude"),1)</f>
        <v>35.576698</v>
      </c>
      <c r="G1559" cm="1">
        <f t="array" ref="G1559">INDEX(_xlfn.FILTERXML(E1559,"//longitude"),1)</f>
        <v>139.68537900000001</v>
      </c>
      <c r="H1559">
        <v>35.576698</v>
      </c>
      <c r="I1559">
        <v>139.68537900000001</v>
      </c>
    </row>
    <row r="1560" spans="1:9" x14ac:dyDescent="0.4">
      <c r="A1560" t="s">
        <v>43</v>
      </c>
      <c r="B1560" t="s">
        <v>1172</v>
      </c>
      <c r="C1560" t="str">
        <f t="shared" si="90"/>
        <v>大分県速見郡日出町3824番地1</v>
      </c>
      <c r="D1560" s="2" t="str">
        <f t="shared" si="91"/>
        <v>http://geocode.csis.u-tokyo.ac.jp/cgi-bin/simple_geocode.cgi?charset=UTF8&amp;addr=%E5%A4%A7%E5%88%86%E7%9C%8C%E9%80%9F%E8%A6%8B%E9%83%A1%E6%97%A5%E5%87%BA%E7%94%BA3824%E7%95%AA%E5%9C%B01</v>
      </c>
      <c r="E1560" t="str">
        <f t="shared" si="92"/>
        <v xml:space="preserve">&lt;?xml version="1.0" encoding="UTF-8" ?&gt;
&lt;results&gt;
&lt;query&gt;大分県速見郡日出町3824番地1&lt;/query&gt;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1560" cm="1">
        <f t="array" ref="F1560">INDEX(_xlfn.FILTERXML(E1560,"//latitude"),1)</f>
        <v>33.369441999999999</v>
      </c>
      <c r="G1560" cm="1">
        <f t="array" ref="G1560">INDEX(_xlfn.FILTERXML(E1560,"//longitude"),1)</f>
        <v>131.532532</v>
      </c>
      <c r="H1560">
        <v>33.369441999999999</v>
      </c>
      <c r="I1560">
        <v>131.532532</v>
      </c>
    </row>
    <row r="1561" spans="1:9" x14ac:dyDescent="0.4">
      <c r="A1561" t="s">
        <v>10</v>
      </c>
      <c r="B1561" t="s">
        <v>1108</v>
      </c>
      <c r="C1561" t="str">
        <f t="shared" si="90"/>
        <v>神奈川県横浜市中区海岸通</v>
      </c>
      <c r="D1561" s="2" t="str">
        <f t="shared" si="91"/>
        <v>http://geocode.csis.u-tokyo.ac.jp/cgi-bin/simple_geocode.cgi?charset=UTF8&amp;addr=%E7%A5%9E%E5%A5%88%E5%B7%9D%E7%9C%8C%E6%A8%AA%E6%B5%9C%E5%B8%82%E4%B8%AD%E5%8C%BA%E6%B5%B7%E5%B2%B8%E9%80%9A</v>
      </c>
      <c r="E1561" t="str">
        <f t="shared" si="92"/>
        <v xml:space="preserve">&lt;?xml version="1.0" encoding="UTF-8" ?&gt;
&lt;results&gt;
&lt;query&gt;神奈川県横浜市中区海岸通&lt;/query&gt;
&lt;geodetic&gt;wgs1984&lt;/geodetic&gt;
&lt;iConf&gt;5&lt;/iConf&gt;
&lt;converted&gt;神奈川県横浜市中区海岸通&lt;/converted&gt;
&lt;candidate&gt;
&lt;address&gt;神奈川県/横浜市/中区/海岸通&lt;/address&gt;
&lt;longitude&gt;139.646835&lt;/longitude&gt;
&lt;latitude&gt;35.450535&lt;/latitude&gt;
&lt;iLvl&gt;5&lt;/iLvl&gt;
&lt;/candidate&gt;
&lt;/results&gt;
</v>
      </c>
      <c r="F1561" cm="1">
        <f t="array" ref="F1561">INDEX(_xlfn.FILTERXML(E1561,"//latitude"),1)</f>
        <v>35.450535000000002</v>
      </c>
      <c r="G1561" cm="1">
        <f t="array" ref="G1561">INDEX(_xlfn.FILTERXML(E1561,"//longitude"),1)</f>
        <v>139.64683500000001</v>
      </c>
      <c r="H1561">
        <v>35.450535000000002</v>
      </c>
      <c r="I1561">
        <v>139.64683500000001</v>
      </c>
    </row>
    <row r="1562" spans="1:9" x14ac:dyDescent="0.4">
      <c r="A1562" t="s">
        <v>11</v>
      </c>
      <c r="B1562" t="s">
        <v>1173</v>
      </c>
      <c r="C1562" t="str">
        <f t="shared" si="90"/>
        <v>大阪府東大阪市</v>
      </c>
      <c r="D1562" s="2" t="str">
        <f t="shared" si="91"/>
        <v>http://geocode.csis.u-tokyo.ac.jp/cgi-bin/simple_geocode.cgi?charset=UTF8&amp;addr=%E5%A4%A7%E9%98%AA%E5%BA%9C%E6%9D%B1%E5%A4%A7%E9%98%AA%E5%B8%82</v>
      </c>
      <c r="E1562" t="str">
        <f t="shared" si="92"/>
        <v xml:space="preserve">&lt;?xml version="1.0" encoding="UTF-8" ?&gt;
&lt;results&gt;
&lt;query&gt;大阪府東大阪市&lt;/query&gt;
&lt;geodetic&gt;wgs1984&lt;/geodetic&gt;
&lt;iConf&gt;5&lt;/iConf&gt;
&lt;converted&gt;大阪府東大阪市&lt;/converted&gt;
&lt;candidate&gt;
&lt;address&gt;大阪府/東大阪市&lt;/address&gt;
&lt;longitude&gt;135.600891&lt;/longitude&gt;
&lt;latitude&gt;34.679325&lt;/latitude&gt;
&lt;iLvl&gt;3&lt;/iLvl&gt;
&lt;/candidate&gt;
&lt;/results&gt;
</v>
      </c>
      <c r="F1562" cm="1">
        <f t="array" ref="F1562">INDEX(_xlfn.FILTERXML(E1562,"//latitude"),1)</f>
        <v>34.679324999999999</v>
      </c>
      <c r="G1562" cm="1">
        <f t="array" ref="G1562">INDEX(_xlfn.FILTERXML(E1562,"//longitude"),1)</f>
        <v>135.60089099999999</v>
      </c>
      <c r="H1562">
        <v>34.679324999999999</v>
      </c>
      <c r="I1562">
        <v>135.60089099999999</v>
      </c>
    </row>
    <row r="1563" spans="1:9" x14ac:dyDescent="0.4">
      <c r="A1563" t="s">
        <v>16</v>
      </c>
      <c r="B1563" t="s">
        <v>219</v>
      </c>
      <c r="C1563" t="str">
        <f t="shared" si="90"/>
        <v>長野県須坂市大字福島</v>
      </c>
      <c r="D1563" s="2" t="str">
        <f t="shared" si="91"/>
        <v>http://geocode.csis.u-tokyo.ac.jp/cgi-bin/simple_geocode.cgi?charset=UTF8&amp;addr=%E9%95%B7%E9%87%8E%E7%9C%8C%E9%A0%88%E5%9D%82%E5%B8%82%E5%A4%A7%E5%AD%97%E7%A6%8F%E5%B3%B6</v>
      </c>
      <c r="E1563" t="str">
        <f t="shared" si="92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1563" cm="1">
        <f t="array" ref="F1563">INDEX(_xlfn.FILTERXML(E1563,"//latitude"),1)</f>
        <v>36.646191000000002</v>
      </c>
      <c r="G1563" cm="1">
        <f t="array" ref="G1563">INDEX(_xlfn.FILTERXML(E1563,"//longitude"),1)</f>
        <v>138.26513700000001</v>
      </c>
      <c r="H1563" s="3">
        <v>36.646191000000002</v>
      </c>
      <c r="I1563" s="3">
        <v>138.26513700000001</v>
      </c>
    </row>
    <row r="1564" spans="1:9" x14ac:dyDescent="0.4">
      <c r="A1564" t="s">
        <v>9</v>
      </c>
      <c r="B1564" t="s">
        <v>251</v>
      </c>
      <c r="C1564" t="str">
        <f t="shared" si="90"/>
        <v>東京都葛飾区宝町</v>
      </c>
      <c r="D1564" s="2" t="str">
        <f t="shared" si="91"/>
        <v>http://geocode.csis.u-tokyo.ac.jp/cgi-bin/simple_geocode.cgi?charset=UTF8&amp;addr=%E6%9D%B1%E4%BA%AC%E9%83%BD%E8%91%9B%E9%A3%BE%E5%8C%BA%E5%AE%9D%E7%94%BA</v>
      </c>
      <c r="E1564" t="str">
        <f t="shared" si="92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1564" cm="1">
        <f t="array" ref="F1564">INDEX(_xlfn.FILTERXML(E1564,"//latitude"),1)</f>
        <v>35.741855999999999</v>
      </c>
      <c r="G1564" cm="1">
        <f t="array" ref="G1564">INDEX(_xlfn.FILTERXML(E1564,"//longitude"),1)</f>
        <v>139.83651699999999</v>
      </c>
      <c r="H1564">
        <v>35.741855999999999</v>
      </c>
      <c r="I1564">
        <v>139.83651699999999</v>
      </c>
    </row>
    <row r="1565" spans="1:9" x14ac:dyDescent="0.4">
      <c r="A1565" t="s">
        <v>118</v>
      </c>
      <c r="B1565" t="s">
        <v>1174</v>
      </c>
      <c r="C1565" t="str">
        <f t="shared" si="90"/>
        <v>北海道小樽市入船</v>
      </c>
      <c r="D1565" s="2" t="str">
        <f t="shared" si="91"/>
        <v>http://geocode.csis.u-tokyo.ac.jp/cgi-bin/simple_geocode.cgi?charset=UTF8&amp;addr=%E5%8C%97%E6%B5%B7%E9%81%93%E5%B0%8F%E6%A8%BD%E5%B8%82%E5%85%A5%E8%88%B9</v>
      </c>
      <c r="E1565" t="str">
        <f t="shared" si="92"/>
        <v xml:space="preserve">&lt;?xml version="1.0" encoding="UTF-8" ?&gt;
&lt;results&gt;
&lt;query&gt;北海道小樽市入船&lt;/query&gt;
&lt;geodetic&gt;wgs1984&lt;/geodetic&gt;
&lt;iConf&gt;5&lt;/iConf&gt;
&lt;converted&gt;北海道小樽市入船&lt;/converted&gt;
&lt;candidate&gt;
&lt;address&gt;北海道/小樽市/入船&lt;/address&gt;
&lt;longitude&gt;141.004944&lt;/longitude&gt;
&lt;latitude&gt;43.188309&lt;/latitude&gt;
&lt;iLvl&gt;5&lt;/iLvl&gt;
&lt;/candidate&gt;
&lt;/results&gt;
</v>
      </c>
      <c r="F1565" cm="1">
        <f t="array" ref="F1565">INDEX(_xlfn.FILTERXML(E1565,"//latitude"),1)</f>
        <v>43.188308999999997</v>
      </c>
      <c r="G1565" cm="1">
        <f t="array" ref="G1565">INDEX(_xlfn.FILTERXML(E1565,"//longitude"),1)</f>
        <v>141.00494399999999</v>
      </c>
      <c r="H1565">
        <v>43.188308999999997</v>
      </c>
      <c r="I1565">
        <v>141.00494399999999</v>
      </c>
    </row>
    <row r="1566" spans="1:9" x14ac:dyDescent="0.4">
      <c r="A1566" t="s">
        <v>20</v>
      </c>
      <c r="B1566" t="s">
        <v>446</v>
      </c>
      <c r="C1566" t="str">
        <f t="shared" si="90"/>
        <v>茨城県鉾田市</v>
      </c>
      <c r="D1566" s="2" t="str">
        <f t="shared" si="91"/>
        <v>http://geocode.csis.u-tokyo.ac.jp/cgi-bin/simple_geocode.cgi?charset=UTF8&amp;addr=%E8%8C%A8%E5%9F%8E%E7%9C%8C%E9%89%BE%E7%94%B0%E5%B8%82</v>
      </c>
      <c r="E1566" t="str">
        <f t="shared" si="92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1566" cm="1">
        <f t="array" ref="F1566">INDEX(_xlfn.FILTERXML(E1566,"//latitude"),1)</f>
        <v>36.158687999999998</v>
      </c>
      <c r="G1566" cm="1">
        <f t="array" ref="G1566">INDEX(_xlfn.FILTERXML(E1566,"//longitude"),1)</f>
        <v>140.516434</v>
      </c>
      <c r="H1566">
        <v>36.158687999999998</v>
      </c>
      <c r="I1566">
        <v>140.516434</v>
      </c>
    </row>
    <row r="1567" spans="1:9" x14ac:dyDescent="0.4">
      <c r="A1567" t="s">
        <v>21</v>
      </c>
      <c r="B1567" t="s">
        <v>447</v>
      </c>
      <c r="C1567" t="str">
        <f t="shared" si="90"/>
        <v>福岡県福岡市南区向野</v>
      </c>
      <c r="D1567" s="2" t="str">
        <f t="shared" si="91"/>
        <v>http://geocode.csis.u-tokyo.ac.jp/cgi-bin/simple_geocode.cgi?charset=UTF8&amp;addr=%E7%A6%8F%E5%B2%A1%E7%9C%8C%E7%A6%8F%E5%B2%A1%E5%B8%82%E5%8D%97%E5%8C%BA%E5%90%91%E9%87%8E</v>
      </c>
      <c r="E1567" t="str">
        <f t="shared" si="92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1567" cm="1">
        <f t="array" ref="F1567">INDEX(_xlfn.FILTERXML(E1567,"//latitude"),1)</f>
        <v>33.563774000000002</v>
      </c>
      <c r="G1567" cm="1">
        <f t="array" ref="G1567">INDEX(_xlfn.FILTERXML(E1567,"//longitude"),1)</f>
        <v>130.42030299999999</v>
      </c>
      <c r="H1567">
        <v>33.563774000000002</v>
      </c>
      <c r="I1567">
        <v>130.42030299999999</v>
      </c>
    </row>
    <row r="1568" spans="1:9" x14ac:dyDescent="0.4">
      <c r="A1568" t="s">
        <v>160</v>
      </c>
      <c r="B1568" t="s">
        <v>448</v>
      </c>
      <c r="C1568" t="str">
        <f t="shared" si="90"/>
        <v>鳥取県東伯郡湯梨浜町水下</v>
      </c>
      <c r="D1568" s="2" t="str">
        <f t="shared" si="91"/>
        <v>http://geocode.csis.u-tokyo.ac.jp/cgi-bin/simple_geocode.cgi?charset=UTF8&amp;addr=%E9%B3%A5%E5%8F%96%E7%9C%8C%E6%9D%B1%E4%BC%AF%E9%83%A1%E6%B9%AF%E6%A2%A8%E6%B5%9C%E7%94%BA%E6%B0%B4%E4%B8%8B</v>
      </c>
      <c r="E1568" t="str">
        <f t="shared" si="92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1568" cm="1">
        <f t="array" ref="F1568">INDEX(_xlfn.FILTERXML(E1568,"//latitude"),1)</f>
        <v>35.487048999999999</v>
      </c>
      <c r="G1568" cm="1">
        <f t="array" ref="G1568">INDEX(_xlfn.FILTERXML(E1568,"//longitude"),1)</f>
        <v>133.87129200000001</v>
      </c>
      <c r="H1568">
        <v>35.487048999999999</v>
      </c>
      <c r="I1568">
        <v>133.87129200000001</v>
      </c>
    </row>
    <row r="1569" spans="1:9" x14ac:dyDescent="0.4">
      <c r="A1569" t="s">
        <v>9</v>
      </c>
      <c r="B1569" t="s">
        <v>126</v>
      </c>
      <c r="C1569" t="str">
        <f t="shared" si="90"/>
        <v>東京都世田谷区船橋</v>
      </c>
      <c r="D1569" s="2" t="str">
        <f t="shared" si="91"/>
        <v>http://geocode.csis.u-tokyo.ac.jp/cgi-bin/simple_geocode.cgi?charset=UTF8&amp;addr=%E6%9D%B1%E4%BA%AC%E9%83%BD%E4%B8%96%E7%94%B0%E8%B0%B7%E5%8C%BA%E8%88%B9%E6%A9%8B</v>
      </c>
      <c r="E1569" t="str">
        <f t="shared" si="92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1569" cm="1">
        <f t="array" ref="F1569">INDEX(_xlfn.FILTERXML(E1569,"//latitude"),1)</f>
        <v>35.650036</v>
      </c>
      <c r="G1569" cm="1">
        <f t="array" ref="G1569">INDEX(_xlfn.FILTERXML(E1569,"//longitude"),1)</f>
        <v>139.62178</v>
      </c>
      <c r="H1569">
        <v>35.650036</v>
      </c>
      <c r="I1569">
        <v>139.62178</v>
      </c>
    </row>
    <row r="1570" spans="1:9" x14ac:dyDescent="0.4">
      <c r="A1570" t="s">
        <v>20</v>
      </c>
      <c r="B1570" t="s">
        <v>451</v>
      </c>
      <c r="C1570" t="str">
        <f t="shared" si="90"/>
        <v>茨城県日立市日高町</v>
      </c>
      <c r="D1570" s="2" t="str">
        <f t="shared" si="91"/>
        <v>http://geocode.csis.u-tokyo.ac.jp/cgi-bin/simple_geocode.cgi?charset=UTF8&amp;addr=%E8%8C%A8%E5%9F%8E%E7%9C%8C%E6%97%A5%E7%AB%8B%E5%B8%82%E6%97%A5%E9%AB%98%E7%94%BA</v>
      </c>
      <c r="E1570" t="str">
        <f t="shared" si="92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1570" cm="1">
        <f t="array" ref="F1570">INDEX(_xlfn.FILTERXML(E1570,"//latitude"),1)</f>
        <v>36.635756999999998</v>
      </c>
      <c r="G1570" cm="1">
        <f t="array" ref="G1570">INDEX(_xlfn.FILTERXML(E1570,"//longitude"),1)</f>
        <v>140.676132</v>
      </c>
      <c r="H1570">
        <v>36.635756999999998</v>
      </c>
      <c r="I1570">
        <v>140.676132</v>
      </c>
    </row>
    <row r="1571" spans="1:9" x14ac:dyDescent="0.4">
      <c r="A1571" t="s">
        <v>42</v>
      </c>
      <c r="B1571" t="s">
        <v>463</v>
      </c>
      <c r="C1571" t="str">
        <f t="shared" si="90"/>
        <v>富山県富山市開</v>
      </c>
      <c r="D1571" s="2" t="str">
        <f t="shared" si="91"/>
        <v>http://geocode.csis.u-tokyo.ac.jp/cgi-bin/simple_geocode.cgi?charset=UTF8&amp;addr=%E5%AF%8C%E5%B1%B1%E7%9C%8C%E5%AF%8C%E5%B1%B1%E5%B8%82%E9%96%8B</v>
      </c>
      <c r="E1571" t="str">
        <f t="shared" si="92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1571" cm="1">
        <f t="array" ref="F1571">INDEX(_xlfn.FILTERXML(E1571,"//latitude"),1)</f>
        <v>36.681457999999999</v>
      </c>
      <c r="G1571" cm="1">
        <f t="array" ref="G1571">INDEX(_xlfn.FILTERXML(E1571,"//longitude"),1)</f>
        <v>137.26216099999999</v>
      </c>
      <c r="H1571">
        <v>36.681457999999999</v>
      </c>
      <c r="I1571">
        <v>137.26216099999999</v>
      </c>
    </row>
    <row r="1572" spans="1:9" x14ac:dyDescent="0.4">
      <c r="A1572" t="s">
        <v>9</v>
      </c>
      <c r="B1572" t="s">
        <v>465</v>
      </c>
      <c r="C1572" t="str">
        <f t="shared" si="90"/>
        <v>東京都府中市分梅町</v>
      </c>
      <c r="D1572" s="2" t="str">
        <f t="shared" si="91"/>
        <v>http://geocode.csis.u-tokyo.ac.jp/cgi-bin/simple_geocode.cgi?charset=UTF8&amp;addr=%E6%9D%B1%E4%BA%AC%E9%83%BD%E5%BA%9C%E4%B8%AD%E5%B8%82%E5%88%86%E6%A2%85%E7%94%BA</v>
      </c>
      <c r="E1572" t="str">
        <f t="shared" si="92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1572" cm="1">
        <f t="array" ref="F1572">INDEX(_xlfn.FILTERXML(E1572,"//latitude"),1)</f>
        <v>35.667552999999998</v>
      </c>
      <c r="G1572" cm="1">
        <f t="array" ref="G1572">INDEX(_xlfn.FILTERXML(E1572,"//longitude"),1)</f>
        <v>139.46575899999999</v>
      </c>
      <c r="H1572">
        <v>35.667552999999998</v>
      </c>
      <c r="I1572">
        <v>139.46575899999999</v>
      </c>
    </row>
    <row r="1573" spans="1:9" x14ac:dyDescent="0.4">
      <c r="A1573" t="s">
        <v>10</v>
      </c>
      <c r="B1573" t="s">
        <v>53</v>
      </c>
      <c r="C1573" t="str">
        <f t="shared" si="90"/>
        <v>神奈川県川崎市中原区</v>
      </c>
      <c r="D1573" s="2" t="str">
        <f t="shared" si="91"/>
        <v>http://geocode.csis.u-tokyo.ac.jp/cgi-bin/simple_geocode.cgi?charset=UTF8&amp;addr=%E7%A5%9E%E5%A5%88%E5%B7%9D%E7%9C%8C%E5%B7%9D%E5%B4%8E%E5%B8%82%E4%B8%AD%E5%8E%9F%E5%8C%BA</v>
      </c>
      <c r="E1573" t="str">
        <f t="shared" si="92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573" cm="1">
        <f t="array" ref="F1573">INDEX(_xlfn.FILTERXML(E1573,"//latitude"),1)</f>
        <v>35.576259999999998</v>
      </c>
      <c r="G1573" cm="1">
        <f t="array" ref="G1573">INDEX(_xlfn.FILTERXML(E1573,"//longitude"),1)</f>
        <v>139.65576200000001</v>
      </c>
      <c r="H1573">
        <v>35.576259999999998</v>
      </c>
      <c r="I1573">
        <v>139.65576200000001</v>
      </c>
    </row>
    <row r="1574" spans="1:9" x14ac:dyDescent="0.4">
      <c r="A1574" t="s">
        <v>14</v>
      </c>
      <c r="B1574" t="s">
        <v>475</v>
      </c>
      <c r="C1574" t="str">
        <f t="shared" si="90"/>
        <v>広島県広島市安佐南区山本新町</v>
      </c>
      <c r="D1574" s="2" t="str">
        <f t="shared" si="91"/>
        <v>http://geocode.csis.u-tokyo.ac.jp/cgi-bin/simple_geocode.cgi?charset=UTF8&amp;addr=%E5%BA%83%E5%B3%B6%E7%9C%8C%E5%BA%83%E5%B3%B6%E5%B8%82%E5%AE%89%E4%BD%90%E5%8D%97%E5%8C%BA%E5%B1%B1%E6%9C%AC%E6%96%B0%E7%94%BA</v>
      </c>
      <c r="E1574" t="str">
        <f t="shared" si="92"/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1574" cm="1">
        <f t="array" ref="F1574">INDEX(_xlfn.FILTERXML(E1574,"//latitude"),1)</f>
        <v>34.440441</v>
      </c>
      <c r="G1574" cm="1">
        <f t="array" ref="G1574">INDEX(_xlfn.FILTERXML(E1574,"//longitude"),1)</f>
        <v>132.43774400000001</v>
      </c>
      <c r="H1574">
        <v>34.440441</v>
      </c>
      <c r="I1574">
        <v>132.43774400000001</v>
      </c>
    </row>
    <row r="1575" spans="1:9" x14ac:dyDescent="0.4">
      <c r="A1575" t="s">
        <v>17</v>
      </c>
      <c r="B1575" t="s">
        <v>488</v>
      </c>
      <c r="C1575" t="str">
        <f t="shared" si="90"/>
        <v>愛知県名古屋市熱田区一番2丁目</v>
      </c>
      <c r="D1575" s="2" t="str">
        <f t="shared" si="91"/>
        <v>http://geocode.csis.u-tokyo.ac.jp/cgi-bin/simple_geocode.cgi?charset=UTF8&amp;addr=%E6%84%9B%E7%9F%A5%E7%9C%8C%E5%90%8D%E5%8F%A4%E5%B1%8B%E5%B8%82%E7%86%B1%E7%94%B0%E5%8C%BA%E4%B8%80%E7%95%AA2%E4%B8%81%E7%9B%AE</v>
      </c>
      <c r="E1575" t="str">
        <f t="shared" si="92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1575" cm="1">
        <f t="array" ref="F1575">INDEX(_xlfn.FILTERXML(E1575,"//latitude"),1)</f>
        <v>35.122086000000003</v>
      </c>
      <c r="G1575" cm="1">
        <f t="array" ref="G1575">INDEX(_xlfn.FILTERXML(E1575,"//longitude"),1)</f>
        <v>136.89750699999999</v>
      </c>
      <c r="H1575">
        <v>35.122086000000003</v>
      </c>
      <c r="I1575">
        <v>136.89750699999999</v>
      </c>
    </row>
    <row r="1576" spans="1:9" x14ac:dyDescent="0.4">
      <c r="A1576" t="s">
        <v>21</v>
      </c>
      <c r="B1576" t="s">
        <v>499</v>
      </c>
      <c r="C1576" t="str">
        <f t="shared" si="90"/>
        <v>福岡県福岡市早良区</v>
      </c>
      <c r="D1576" s="2" t="str">
        <f t="shared" si="91"/>
        <v>http://geocode.csis.u-tokyo.ac.jp/cgi-bin/simple_geocode.cgi?charset=UTF8&amp;addr=%E7%A6%8F%E5%B2%A1%E7%9C%8C%E7%A6%8F%E5%B2%A1%E5%B8%82%E6%97%A9%E8%89%AF%E5%8C%BA</v>
      </c>
      <c r="E1576" t="str">
        <f t="shared" si="92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1576" cm="1">
        <f t="array" ref="F1576">INDEX(_xlfn.FILTERXML(E1576,"//latitude"),1)</f>
        <v>33.581944</v>
      </c>
      <c r="G1576" cm="1">
        <f t="array" ref="G1576">INDEX(_xlfn.FILTERXML(E1576,"//longitude"),1)</f>
        <v>130.34840399999999</v>
      </c>
      <c r="H1576">
        <v>33.581944</v>
      </c>
      <c r="I1576">
        <v>130.34840399999999</v>
      </c>
    </row>
    <row r="1577" spans="1:9" x14ac:dyDescent="0.4">
      <c r="A1577" t="s">
        <v>10</v>
      </c>
      <c r="B1577" t="s">
        <v>509</v>
      </c>
      <c r="C1577" t="str">
        <f t="shared" si="90"/>
        <v>神奈川県横浜市港北区</v>
      </c>
      <c r="D1577" s="2" t="str">
        <f t="shared" si="91"/>
        <v>http://geocode.csis.u-tokyo.ac.jp/cgi-bin/simple_geocode.cgi?charset=UTF8&amp;addr=%E7%A5%9E%E5%A5%88%E5%B7%9D%E7%9C%8C%E6%A8%AA%E6%B5%9C%E5%B8%82%E6%B8%AF%E5%8C%97%E5%8C%BA</v>
      </c>
      <c r="E1577" t="str">
        <f t="shared" si="92"/>
        <v xml:space="preserve">&lt;?xml version="1.0" encoding="UTF-8" ?&gt;
&lt;results&gt;
&lt;query&gt;神奈川県横浜市港北区&lt;/query&gt;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1577" cm="1">
        <f t="array" ref="F1577">INDEX(_xlfn.FILTERXML(E1577,"//latitude"),1)</f>
        <v>35.519016000000001</v>
      </c>
      <c r="G1577" cm="1">
        <f t="array" ref="G1577">INDEX(_xlfn.FILTERXML(E1577,"//longitude"),1)</f>
        <v>139.633194</v>
      </c>
      <c r="H1577">
        <v>35.519016000000001</v>
      </c>
      <c r="I1577">
        <v>139.633194</v>
      </c>
    </row>
    <row r="1578" spans="1:9" x14ac:dyDescent="0.4">
      <c r="A1578" t="s">
        <v>10</v>
      </c>
      <c r="B1578" t="s">
        <v>511</v>
      </c>
      <c r="C1578" t="str">
        <f t="shared" si="90"/>
        <v>神奈川県川崎市川崎区港町5-1</v>
      </c>
      <c r="D1578" s="2" t="str">
        <f t="shared" si="91"/>
        <v>http://geocode.csis.u-tokyo.ac.jp/cgi-bin/simple_geocode.cgi?charset=UTF8&amp;addr=%E7%A5%9E%E5%A5%88%E5%B7%9D%E7%9C%8C%E5%B7%9D%E5%B4%8E%E5%B8%82%E5%B7%9D%E5%B4%8E%E5%8C%BA%E6%B8%AF%E7%94%BA5-1</v>
      </c>
      <c r="E1578" t="str">
        <f t="shared" si="92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1578" cm="1">
        <f t="array" ref="F1578">INDEX(_xlfn.FILTERXML(E1578,"//latitude"),1)</f>
        <v>35.535666999999997</v>
      </c>
      <c r="G1578" cm="1">
        <f t="array" ref="G1578">INDEX(_xlfn.FILTERXML(E1578,"//longitude"),1)</f>
        <v>139.71348599999999</v>
      </c>
      <c r="H1578">
        <v>35.535666999999997</v>
      </c>
      <c r="I1578">
        <v>139.71348599999999</v>
      </c>
    </row>
    <row r="1579" spans="1:9" x14ac:dyDescent="0.4">
      <c r="A1579" t="s">
        <v>9</v>
      </c>
      <c r="B1579" t="s">
        <v>513</v>
      </c>
      <c r="C1579" t="str">
        <f t="shared" si="90"/>
        <v>東京都足立東綾瀬</v>
      </c>
      <c r="D1579" s="2" t="str">
        <f t="shared" si="91"/>
        <v>http://geocode.csis.u-tokyo.ac.jp/cgi-bin/simple_geocode.cgi?charset=UTF8&amp;addr=%E6%9D%B1%E4%BA%AC%E9%83%BD%E8%B6%B3%E7%AB%8B%E6%9D%B1%E7%B6%BE%E7%80%AC</v>
      </c>
      <c r="E1579" t="str">
        <f t="shared" si="92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1579" cm="1">
        <f t="array" ref="F1579">INDEX(_xlfn.FILTERXML(E1579,"//latitude"),1)</f>
        <v>35.774943999999998</v>
      </c>
      <c r="G1579" cm="1">
        <f t="array" ref="G1579">INDEX(_xlfn.FILTERXML(E1579,"//longitude"),1)</f>
        <v>139.80458100000001</v>
      </c>
      <c r="H1579">
        <v>35.774943999999998</v>
      </c>
      <c r="I1579">
        <v>139.80458100000001</v>
      </c>
    </row>
    <row r="1580" spans="1:9" x14ac:dyDescent="0.4">
      <c r="A1580" t="s">
        <v>9</v>
      </c>
      <c r="B1580" t="s">
        <v>885</v>
      </c>
      <c r="C1580" t="str">
        <f t="shared" si="90"/>
        <v>東京都大田区西六郷</v>
      </c>
      <c r="D1580" s="2" t="str">
        <f t="shared" si="91"/>
        <v>http://geocode.csis.u-tokyo.ac.jp/cgi-bin/simple_geocode.cgi?charset=UTF8&amp;addr=%E6%9D%B1%E4%BA%AC%E9%83%BD%E5%A4%A7%E7%94%B0%E5%8C%BA%E8%A5%BF%E5%85%AD%E9%83%B7</v>
      </c>
      <c r="E1580" t="str">
        <f t="shared" si="92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1580" cm="1">
        <f t="array" ref="F1580">INDEX(_xlfn.FILTERXML(E1580,"//latitude"),1)</f>
        <v>35.553992999999998</v>
      </c>
      <c r="G1580" cm="1">
        <f t="array" ref="G1580">INDEX(_xlfn.FILTERXML(E1580,"//longitude"),1)</f>
        <v>139.70808400000001</v>
      </c>
      <c r="H1580" s="3">
        <v>35.553992999999998</v>
      </c>
      <c r="I1580" s="3">
        <v>139.70808400000001</v>
      </c>
    </row>
    <row r="1581" spans="1:9" x14ac:dyDescent="0.4">
      <c r="A1581" t="s">
        <v>16</v>
      </c>
      <c r="B1581" t="s">
        <v>1175</v>
      </c>
      <c r="C1581" t="str">
        <f t="shared" si="90"/>
        <v>長野県上高井郡高山村大字高井</v>
      </c>
      <c r="D1581" s="2" t="str">
        <f t="shared" si="91"/>
        <v>http://geocode.csis.u-tokyo.ac.jp/cgi-bin/simple_geocode.cgi?charset=UTF8&amp;addr=%E9%95%B7%E9%87%8E%E7%9C%8C%E4%B8%8A%E9%AB%98%E4%BA%95%E9%83%A1%E9%AB%98%E5%B1%B1%E6%9D%91%E5%A4%A7%E5%AD%97%E9%AB%98%E4%BA%95</v>
      </c>
      <c r="E1581" t="str">
        <f t="shared" si="92"/>
        <v xml:space="preserve">&lt;?xml version="1.0" encoding="UTF-8" ?&gt;
&lt;results&gt;
&lt;query&gt;長野県上高井郡高山村大字高井&lt;/query&gt;
&lt;geodetic&gt;wgs1984&lt;/geodetic&gt;
&lt;iConf&gt;5&lt;/iConf&gt;
&lt;converted&gt;長野県上高井郡高山村大字高井&lt;/converted&gt;
&lt;candidate&gt;
&lt;address&gt;長野県/上高井郡/高山村/高井&lt;/address&gt;
&lt;longitude&gt;138.362930&lt;/longitude&gt;
&lt;latitude&gt;36.664207&lt;/latitude&gt;
&lt;iLvl&gt;5&lt;/iLvl&gt;
&lt;/candidate&gt;
&lt;/results&gt;
</v>
      </c>
      <c r="F1581" cm="1">
        <f t="array" ref="F1581">INDEX(_xlfn.FILTERXML(E1581,"//latitude"),1)</f>
        <v>36.664206999999998</v>
      </c>
      <c r="G1581" cm="1">
        <f t="array" ref="G1581">INDEX(_xlfn.FILTERXML(E1581,"//longitude"),1)</f>
        <v>138.36293000000001</v>
      </c>
      <c r="H1581">
        <v>36.664206999999998</v>
      </c>
      <c r="I1581">
        <v>138.36293000000001</v>
      </c>
    </row>
    <row r="1582" spans="1:9" x14ac:dyDescent="0.4">
      <c r="A1582" t="s">
        <v>21</v>
      </c>
      <c r="B1582" t="s">
        <v>1092</v>
      </c>
      <c r="C1582" t="str">
        <f t="shared" si="90"/>
        <v>福岡県福津市</v>
      </c>
      <c r="D1582" s="2" t="str">
        <f t="shared" si="91"/>
        <v>http://geocode.csis.u-tokyo.ac.jp/cgi-bin/simple_geocode.cgi?charset=UTF8&amp;addr=%E7%A6%8F%E5%B2%A1%E7%9C%8C%E7%A6%8F%E6%B4%A5%E5%B8%82</v>
      </c>
      <c r="E1582" t="str">
        <f t="shared" si="92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1582" cm="1">
        <f t="array" ref="F1582">INDEX(_xlfn.FILTERXML(E1582,"//latitude"),1)</f>
        <v>33.766894999999998</v>
      </c>
      <c r="G1582" cm="1">
        <f t="array" ref="G1582">INDEX(_xlfn.FILTERXML(E1582,"//longitude"),1)</f>
        <v>130.49104299999999</v>
      </c>
      <c r="H1582">
        <v>33.766894999999998</v>
      </c>
      <c r="I1582">
        <v>130.49104299999999</v>
      </c>
    </row>
    <row r="1583" spans="1:9" x14ac:dyDescent="0.4">
      <c r="A1583" t="s">
        <v>18</v>
      </c>
      <c r="B1583" t="s">
        <v>1176</v>
      </c>
      <c r="C1583" t="str">
        <f t="shared" si="90"/>
        <v>千葉県千葉市花見川区さつきが丘</v>
      </c>
      <c r="D1583" s="2" t="str">
        <f t="shared" si="91"/>
        <v>http://geocode.csis.u-tokyo.ac.jp/cgi-bin/simple_geocode.cgi?charset=UTF8&amp;addr=%E5%8D%83%E8%91%89%E7%9C%8C%E5%8D%83%E8%91%89%E5%B8%82%E8%8A%B1%E8%A6%8B%E5%B7%9D%E5%8C%BA%E3%81%95%E3%81%A4%E3%81%8D%E3%81%8C%E4%B8%98</v>
      </c>
      <c r="E1583" t="str">
        <f t="shared" si="92"/>
        <v xml:space="preserve">&lt;?xml version="1.0" encoding="UTF-8" ?&gt;
&lt;results&gt;
&lt;query&gt;千葉県千葉市花見川区さつきが丘&lt;/query&gt;
&lt;geodetic&gt;wgs1984&lt;/geodetic&gt;
&lt;iConf&gt;5&lt;/iConf&gt;
&lt;converted&gt;千葉県千葉市花見川区さつきが丘&lt;/converted&gt;
&lt;candidate&gt;
&lt;address&gt;千葉県/千葉市/花見川区/さつきが丘&lt;/address&gt;
&lt;longitude&gt;140.097183&lt;/longitude&gt;
&lt;latitude&gt;35.664711&lt;/latitude&gt;
&lt;iLvl&gt;5&lt;/iLvl&gt;
&lt;/candidate&gt;
&lt;/results&gt;
</v>
      </c>
      <c r="F1583" cm="1">
        <f t="array" ref="F1583">INDEX(_xlfn.FILTERXML(E1583,"//latitude"),1)</f>
        <v>35.664710999999997</v>
      </c>
      <c r="G1583" cm="1">
        <f t="array" ref="G1583">INDEX(_xlfn.FILTERXML(E1583,"//longitude"),1)</f>
        <v>140.097183</v>
      </c>
      <c r="H1583">
        <v>35.664710999999997</v>
      </c>
      <c r="I1583">
        <v>140.097183</v>
      </c>
    </row>
    <row r="1584" spans="1:9" x14ac:dyDescent="0.4">
      <c r="A1584" t="s">
        <v>13</v>
      </c>
      <c r="B1584" t="s">
        <v>1177</v>
      </c>
      <c r="C1584" t="str">
        <f t="shared" si="90"/>
        <v>埼玉県さいたま市見沼区小深作</v>
      </c>
      <c r="D1584" s="2" t="str">
        <f t="shared" si="91"/>
        <v>http://geocode.csis.u-tokyo.ac.jp/cgi-bin/simple_geocode.cgi?charset=UTF8&amp;addr=%E5%9F%BC%E7%8E%89%E7%9C%8C%E3%81%95%E3%81%84%E3%81%9F%E3%81%BE%E5%B8%82%E8%A6%8B%E6%B2%BC%E5%8C%BA%E5%B0%8F%E6%B7%B1%E4%BD%9C</v>
      </c>
      <c r="E1584" t="str">
        <f t="shared" si="92"/>
        <v xml:space="preserve">&lt;?xml version="1.0" encoding="UTF-8" ?&gt;
&lt;results&gt;
&lt;query&gt;埼玉県さいたま市見沼区小深作&lt;/query&gt;
&lt;geodetic&gt;wgs1984&lt;/geodetic&gt;
&lt;iConf&gt;5&lt;/iConf&gt;
&lt;converted&gt;埼玉県さいたま市見沼区小深作&lt;/converted&gt;
&lt;candidate&gt;
&lt;address&gt;埼玉県/さいたま市/見沼区/小深作&lt;/address&gt;
&lt;longitude&gt;139.668213&lt;/longitude&gt;
&lt;latitude&gt;35.941586&lt;/latitude&gt;
&lt;iLvl&gt;5&lt;/iLvl&gt;
&lt;/candidate&gt;
&lt;/results&gt;
</v>
      </c>
      <c r="F1584" cm="1">
        <f t="array" ref="F1584">INDEX(_xlfn.FILTERXML(E1584,"//latitude"),1)</f>
        <v>35.941586000000001</v>
      </c>
      <c r="G1584" cm="1">
        <f t="array" ref="G1584">INDEX(_xlfn.FILTERXML(E1584,"//longitude"),1)</f>
        <v>139.66821300000001</v>
      </c>
      <c r="H1584">
        <v>35.941586000000001</v>
      </c>
      <c r="I1584">
        <v>139.66821300000001</v>
      </c>
    </row>
    <row r="1585" spans="1:9" x14ac:dyDescent="0.4">
      <c r="A1585" t="s">
        <v>11</v>
      </c>
      <c r="B1585" t="s">
        <v>1178</v>
      </c>
      <c r="C1585" t="str">
        <f t="shared" si="90"/>
        <v>大阪府大阪市住吉区長居東4-21-2</v>
      </c>
      <c r="D1585" s="2" t="str">
        <f t="shared" si="91"/>
        <v>http://geocode.csis.u-tokyo.ac.jp/cgi-bin/simple_geocode.cgi?charset=UTF8&amp;addr=%E5%A4%A7%E9%98%AA%E5%BA%9C%E5%A4%A7%E9%98%AA%E5%B8%82%E4%BD%8F%E5%90%89%E5%8C%BA%E9%95%B7%E5%B1%85%E6%9D%B14-21-2</v>
      </c>
      <c r="E1585" t="str">
        <f t="shared" si="92"/>
        <v xml:space="preserve">&lt;?xml version="1.0" encoding="UTF-8" ?&gt;
&lt;results&gt;
&lt;query&gt;大阪府大阪市住吉区長居東4-21-2&lt;/query&gt;
&lt;geodetic&gt;wgs1984&lt;/geodetic&gt;
&lt;iConf&gt;5&lt;/iConf&gt;
&lt;converted&gt;大阪府大阪市住吉区長居東4-21-2&lt;/converted&gt;
&lt;candidate&gt;
&lt;address&gt;大阪府/大阪市/住吉区/長居東/四丁目/２１番/２号&lt;/address&gt;
&lt;longitude&gt;135.513351&lt;/longitude&gt;
&lt;latitude&gt;34.607239&lt;/latitude&gt;
&lt;iLvl&gt;8&lt;/iLvl&gt;
&lt;/candidate&gt;
&lt;/results&gt;
</v>
      </c>
      <c r="F1585" cm="1">
        <f t="array" ref="F1585">INDEX(_xlfn.FILTERXML(E1585,"//latitude"),1)</f>
        <v>34.607239</v>
      </c>
      <c r="G1585" cm="1">
        <f t="array" ref="G1585">INDEX(_xlfn.FILTERXML(E1585,"//longitude"),1)</f>
        <v>135.513351</v>
      </c>
      <c r="H1585">
        <v>34.607239</v>
      </c>
      <c r="I1585">
        <v>135.513351</v>
      </c>
    </row>
    <row r="1586" spans="1:9" x14ac:dyDescent="0.4">
      <c r="A1586" t="s">
        <v>113</v>
      </c>
      <c r="B1586" t="s">
        <v>1179</v>
      </c>
      <c r="C1586" t="str">
        <f t="shared" si="90"/>
        <v>岡山県倉敷市笹沖</v>
      </c>
      <c r="D1586" s="2" t="str">
        <f t="shared" si="91"/>
        <v>http://geocode.csis.u-tokyo.ac.jp/cgi-bin/simple_geocode.cgi?charset=UTF8&amp;addr=%E5%B2%A1%E5%B1%B1%E7%9C%8C%E5%80%89%E6%95%B7%E5%B8%82%E7%AC%B9%E6%B2%96</v>
      </c>
      <c r="E1586" t="str">
        <f t="shared" si="92"/>
        <v xml:space="preserve">&lt;?xml version="1.0" encoding="UTF-8" ?&gt;
&lt;results&gt;
&lt;query&gt;岡山県倉敷市笹沖&lt;/query&gt;
&lt;geodetic&gt;wgs1984&lt;/geodetic&gt;
&lt;iConf&gt;5&lt;/iConf&gt;
&lt;converted&gt;岡山県倉敷市笹沖&lt;/converted&gt;
&lt;candidate&gt;
&lt;address&gt;岡山県/倉敷市/笹沖&lt;/address&gt;
&lt;longitude&gt;133.765930&lt;/longitude&gt;
&lt;latitude&gt;34.576698&lt;/latitude&gt;
&lt;iLvl&gt;5&lt;/iLvl&gt;
&lt;/candidate&gt;
&lt;/results&gt;
</v>
      </c>
      <c r="F1586" cm="1">
        <f t="array" ref="F1586">INDEX(_xlfn.FILTERXML(E1586,"//latitude"),1)</f>
        <v>34.576698</v>
      </c>
      <c r="G1586" cm="1">
        <f t="array" ref="G1586">INDEX(_xlfn.FILTERXML(E1586,"//longitude"),1)</f>
        <v>133.76593</v>
      </c>
      <c r="H1586">
        <v>34.576698</v>
      </c>
      <c r="I1586">
        <v>133.76593</v>
      </c>
    </row>
    <row r="1587" spans="1:9" x14ac:dyDescent="0.4">
      <c r="A1587" t="s">
        <v>29</v>
      </c>
      <c r="B1587" t="s">
        <v>516</v>
      </c>
      <c r="C1587" t="str">
        <f t="shared" si="90"/>
        <v>静岡県沼津市東椎路</v>
      </c>
      <c r="D1587" s="2" t="str">
        <f t="shared" si="91"/>
        <v>http://geocode.csis.u-tokyo.ac.jp/cgi-bin/simple_geocode.cgi?charset=UTF8&amp;addr=%E9%9D%99%E5%B2%A1%E7%9C%8C%E6%B2%BC%E6%B4%A5%E5%B8%82%E6%9D%B1%E6%A4%8E%E8%B7%AF</v>
      </c>
      <c r="E1587" t="str">
        <f t="shared" si="92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1587" cm="1">
        <f t="array" ref="F1587">INDEX(_xlfn.FILTERXML(E1587,"//latitude"),1)</f>
        <v>35.128608999999997</v>
      </c>
      <c r="G1587" cm="1">
        <f t="array" ref="G1587">INDEX(_xlfn.FILTERXML(E1587,"//longitude"),1)</f>
        <v>138.837143</v>
      </c>
      <c r="H1587">
        <v>35.128608999999997</v>
      </c>
      <c r="I1587">
        <v>138.837143</v>
      </c>
    </row>
    <row r="1588" spans="1:9" x14ac:dyDescent="0.4">
      <c r="A1588" t="s">
        <v>29</v>
      </c>
      <c r="B1588" t="s">
        <v>517</v>
      </c>
      <c r="C1588" t="str">
        <f t="shared" si="90"/>
        <v>静岡県静岡市駿河区西島</v>
      </c>
      <c r="D1588" s="2" t="str">
        <f t="shared" si="91"/>
        <v>http://geocode.csis.u-tokyo.ac.jp/cgi-bin/simple_geocode.cgi?charset=UTF8&amp;addr=%E9%9D%99%E5%B2%A1%E7%9C%8C%E9%9D%99%E5%B2%A1%E5%B8%82%E9%A7%BF%E6%B2%B3%E5%8C%BA%E8%A5%BF%E5%B3%B6</v>
      </c>
      <c r="E1588" t="str">
        <f t="shared" si="92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1588" cm="1">
        <f t="array" ref="F1588">INDEX(_xlfn.FILTERXML(E1588,"//latitude"),1)</f>
        <v>34.943291000000002</v>
      </c>
      <c r="G1588" cm="1">
        <f t="array" ref="G1588">INDEX(_xlfn.FILTERXML(E1588,"//longitude"),1)</f>
        <v>138.40498400000001</v>
      </c>
      <c r="H1588">
        <v>34.943291000000002</v>
      </c>
      <c r="I1588">
        <v>138.40498400000001</v>
      </c>
    </row>
    <row r="1589" spans="1:9" x14ac:dyDescent="0.4">
      <c r="A1589" t="s">
        <v>34</v>
      </c>
      <c r="B1589" t="s">
        <v>241</v>
      </c>
      <c r="C1589" t="str">
        <f t="shared" si="90"/>
        <v>岐阜県岐阜市日野南</v>
      </c>
      <c r="D1589" s="2" t="str">
        <f t="shared" si="91"/>
        <v>http://geocode.csis.u-tokyo.ac.jp/cgi-bin/simple_geocode.cgi?charset=UTF8&amp;addr=%E5%B2%90%E9%98%9C%E7%9C%8C%E5%B2%90%E9%98%9C%E5%B8%82%E6%97%A5%E9%87%8E%E5%8D%97</v>
      </c>
      <c r="E1589" t="str">
        <f t="shared" si="92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1589" cm="1">
        <f t="array" ref="F1589">INDEX(_xlfn.FILTERXML(E1589,"//latitude"),1)</f>
        <v>35.429161000000001</v>
      </c>
      <c r="G1589" cm="1">
        <f t="array" ref="G1589">INDEX(_xlfn.FILTERXML(E1589,"//longitude"),1)</f>
        <v>136.80055200000001</v>
      </c>
      <c r="H1589">
        <v>35.429161000000001</v>
      </c>
      <c r="I1589">
        <v>136.80055200000001</v>
      </c>
    </row>
    <row r="1590" spans="1:9" x14ac:dyDescent="0.4">
      <c r="A1590" t="s">
        <v>34</v>
      </c>
      <c r="B1590" t="s">
        <v>532</v>
      </c>
      <c r="C1590" t="str">
        <f t="shared" si="90"/>
        <v>岐阜県恵那市武並町藤</v>
      </c>
      <c r="D1590" s="2" t="str">
        <f t="shared" si="91"/>
        <v>http://geocode.csis.u-tokyo.ac.jp/cgi-bin/simple_geocode.cgi?charset=UTF8&amp;addr=%E5%B2%90%E9%98%9C%E7%9C%8C%E6%81%B5%E9%82%A3%E5%B8%82%E6%AD%A6%E4%B8%A6%E7%94%BA%E8%97%A4</v>
      </c>
      <c r="E1590" t="str">
        <f t="shared" si="92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1590" cm="1">
        <f t="array" ref="F1590">INDEX(_xlfn.FILTERXML(E1590,"//latitude"),1)</f>
        <v>35.457886000000002</v>
      </c>
      <c r="G1590" cm="1">
        <f t="array" ref="G1590">INDEX(_xlfn.FILTERXML(E1590,"//longitude"),1)</f>
        <v>137.31976299999999</v>
      </c>
      <c r="H1590">
        <v>35.457886000000002</v>
      </c>
      <c r="I1590">
        <v>137.31976299999999</v>
      </c>
    </row>
    <row r="1591" spans="1:9" x14ac:dyDescent="0.4">
      <c r="A1591" t="s">
        <v>15</v>
      </c>
      <c r="B1591" t="s">
        <v>535</v>
      </c>
      <c r="C1591" t="str">
        <f t="shared" si="90"/>
        <v>兵庫県荷山町</v>
      </c>
      <c r="D1591" s="2" t="str">
        <f t="shared" si="91"/>
        <v>http://geocode.csis.u-tokyo.ac.jp/cgi-bin/simple_geocode.cgi?charset=UTF8&amp;addr=%E5%85%B5%E5%BA%AB%E7%9C%8C%E8%8D%B7%E5%B1%B1%E7%94%BA</v>
      </c>
      <c r="E1591" t="str">
        <f t="shared" si="92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1591" cm="1">
        <f t="array" ref="F1591">INDEX(_xlfn.FILTERXML(E1591,"//latitude"),1)</f>
        <v>34.689495000000001</v>
      </c>
      <c r="G1591" cm="1">
        <f t="array" ref="G1591">INDEX(_xlfn.FILTERXML(E1591,"//longitude"),1)</f>
        <v>135.19572400000001</v>
      </c>
      <c r="H1591">
        <v>34.689495000000001</v>
      </c>
      <c r="I1591">
        <v>135.19572400000001</v>
      </c>
    </row>
    <row r="1592" spans="1:9" x14ac:dyDescent="0.4">
      <c r="A1592" t="s">
        <v>17</v>
      </c>
      <c r="B1592" t="s">
        <v>537</v>
      </c>
      <c r="C1592" t="str">
        <f t="shared" si="90"/>
        <v>愛知県春日井市八幡町5-1</v>
      </c>
      <c r="D1592" s="2" t="str">
        <f t="shared" si="91"/>
        <v>http://geocode.csis.u-tokyo.ac.jp/cgi-bin/simple_geocode.cgi?charset=UTF8&amp;addr=%E6%84%9B%E7%9F%A5%E7%9C%8C%E6%98%A5%E6%97%A5%E4%BA%95%E5%B8%82%E5%85%AB%E5%B9%A1%E7%94%BA5-1</v>
      </c>
      <c r="E1592" t="str">
        <f t="shared" si="92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1592" cm="1">
        <f t="array" ref="F1592">INDEX(_xlfn.FILTERXML(E1592,"//latitude"),1)</f>
        <v>35.236572000000002</v>
      </c>
      <c r="G1592" cm="1">
        <f t="array" ref="G1592">INDEX(_xlfn.FILTERXML(E1592,"//longitude"),1)</f>
        <v>136.95735199999999</v>
      </c>
      <c r="H1592">
        <v>35.236572000000002</v>
      </c>
      <c r="I1592">
        <v>136.95735199999999</v>
      </c>
    </row>
    <row r="1593" spans="1:9" x14ac:dyDescent="0.4">
      <c r="A1593" t="s">
        <v>16</v>
      </c>
      <c r="B1593" t="s">
        <v>266</v>
      </c>
      <c r="C1593" t="str">
        <f t="shared" si="90"/>
        <v>長野県松本市渚</v>
      </c>
      <c r="D1593" s="2" t="str">
        <f t="shared" si="91"/>
        <v>http://geocode.csis.u-tokyo.ac.jp/cgi-bin/simple_geocode.cgi?charset=UTF8&amp;addr=%E9%95%B7%E9%87%8E%E7%9C%8C%E6%9D%BE%E6%9C%AC%E5%B8%82%E6%B8%9A</v>
      </c>
      <c r="E1593" t="str">
        <f t="shared" si="92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1593" cm="1">
        <f t="array" ref="F1593">INDEX(_xlfn.FILTERXML(E1593,"//latitude"),1)</f>
        <v>36.234549999999999</v>
      </c>
      <c r="G1593" cm="1">
        <f t="array" ref="G1593">INDEX(_xlfn.FILTERXML(E1593,"//longitude"),1)</f>
        <v>137.95657299999999</v>
      </c>
      <c r="H1593">
        <v>36.234549999999999</v>
      </c>
      <c r="I1593">
        <v>137.95657299999999</v>
      </c>
    </row>
    <row r="1594" spans="1:9" x14ac:dyDescent="0.4">
      <c r="A1594" t="s">
        <v>21</v>
      </c>
      <c r="B1594" t="s">
        <v>1180</v>
      </c>
      <c r="C1594" t="str">
        <f t="shared" si="90"/>
        <v>福岡県福岡市早良区昭代1丁目</v>
      </c>
      <c r="D1594" s="2" t="str">
        <f t="shared" si="91"/>
        <v>http://geocode.csis.u-tokyo.ac.jp/cgi-bin/simple_geocode.cgi?charset=UTF8&amp;addr=%E7%A6%8F%E5%B2%A1%E7%9C%8C%E7%A6%8F%E5%B2%A1%E5%B8%82%E6%97%A9%E8%89%AF%E5%8C%BA%E6%98%AD%E4%BB%A31%E4%B8%81%E7%9B%AE</v>
      </c>
      <c r="E1594" t="str">
        <f t="shared" si="92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1594" cm="1">
        <f t="array" ref="F1594">INDEX(_xlfn.FILTERXML(E1594,"//latitude"),1)</f>
        <v>33.576279</v>
      </c>
      <c r="G1594" cm="1">
        <f t="array" ref="G1594">INDEX(_xlfn.FILTERXML(E1594,"//longitude"),1)</f>
        <v>130.35682700000001</v>
      </c>
      <c r="H1594">
        <v>33.576279</v>
      </c>
      <c r="I1594">
        <v>130.35682700000001</v>
      </c>
    </row>
    <row r="1595" spans="1:9" x14ac:dyDescent="0.4">
      <c r="A1595" t="s">
        <v>11</v>
      </c>
      <c r="B1595" t="s">
        <v>1181</v>
      </c>
      <c r="C1595" t="str">
        <f t="shared" si="90"/>
        <v>大阪府堺市北区金岡町</v>
      </c>
      <c r="D1595" s="2" t="str">
        <f t="shared" si="91"/>
        <v>http://geocode.csis.u-tokyo.ac.jp/cgi-bin/simple_geocode.cgi?charset=UTF8&amp;addr=%E5%A4%A7%E9%98%AA%E5%BA%9C%E5%A0%BA%E5%B8%82%E5%8C%97%E5%8C%BA%E9%87%91%E5%B2%A1%E7%94%BA</v>
      </c>
      <c r="E1595" t="str">
        <f t="shared" si="92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1595" cm="1">
        <f t="array" ref="F1595">INDEX(_xlfn.FILTERXML(E1595,"//latitude"),1)</f>
        <v>34.556914999999996</v>
      </c>
      <c r="G1595" cm="1">
        <f t="array" ref="G1595">INDEX(_xlfn.FILTERXML(E1595,"//longitude"),1)</f>
        <v>135.51889</v>
      </c>
      <c r="H1595">
        <v>34.556914999999996</v>
      </c>
      <c r="I1595">
        <v>135.51889</v>
      </c>
    </row>
    <row r="1596" spans="1:9" x14ac:dyDescent="0.4">
      <c r="A1596" t="s">
        <v>12</v>
      </c>
      <c r="B1596" t="s">
        <v>1182</v>
      </c>
      <c r="C1596" t="str">
        <f t="shared" si="90"/>
        <v>奈良県大和郡山市筒井町</v>
      </c>
      <c r="D1596" s="2" t="str">
        <f t="shared" si="91"/>
        <v>http://geocode.csis.u-tokyo.ac.jp/cgi-bin/simple_geocode.cgi?charset=UTF8&amp;addr=%E5%A5%88%E8%89%AF%E7%9C%8C%E5%A4%A7%E5%92%8C%E9%83%A1%E5%B1%B1%E5%B8%82%E7%AD%92%E4%BA%95%E7%94%BA</v>
      </c>
      <c r="E1596" t="str">
        <f t="shared" si="92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1596" cm="1">
        <f t="array" ref="F1596">INDEX(_xlfn.FILTERXML(E1596,"//latitude"),1)</f>
        <v>34.623524000000003</v>
      </c>
      <c r="G1596" cm="1">
        <f t="array" ref="G1596">INDEX(_xlfn.FILTERXML(E1596,"//longitude"),1)</f>
        <v>135.780609</v>
      </c>
      <c r="H1596">
        <v>34.623524000000003</v>
      </c>
      <c r="I1596">
        <v>135.780609</v>
      </c>
    </row>
    <row r="1597" spans="1:9" x14ac:dyDescent="0.4">
      <c r="A1597" t="s">
        <v>10</v>
      </c>
      <c r="B1597" t="s">
        <v>1183</v>
      </c>
      <c r="C1597" t="str">
        <f t="shared" si="90"/>
        <v>神奈川県川崎市川崎区池田</v>
      </c>
      <c r="D1597" s="2" t="str">
        <f t="shared" si="91"/>
        <v>http://geocode.csis.u-tokyo.ac.jp/cgi-bin/simple_geocode.cgi?charset=UTF8&amp;addr=%E7%A5%9E%E5%A5%88%E5%B7%9D%E7%9C%8C%E5%B7%9D%E5%B4%8E%E5%B8%82%E5%B7%9D%E5%B4%8E%E5%8C%BA%E6%B1%A0%E7%94%B0</v>
      </c>
      <c r="E1597" t="str">
        <f t="shared" si="92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1597" cm="1">
        <f t="array" ref="F1597">INDEX(_xlfn.FILTERXML(E1597,"//latitude"),1)</f>
        <v>35.521529999999998</v>
      </c>
      <c r="G1597" cm="1">
        <f t="array" ref="G1597">INDEX(_xlfn.FILTERXML(E1597,"//longitude"),1)</f>
        <v>139.691452</v>
      </c>
      <c r="H1597">
        <v>35.521529999999998</v>
      </c>
      <c r="I1597">
        <v>139.691452</v>
      </c>
    </row>
    <row r="1598" spans="1:9" x14ac:dyDescent="0.4">
      <c r="A1598" t="s">
        <v>11</v>
      </c>
      <c r="B1598" t="s">
        <v>1184</v>
      </c>
      <c r="C1598" t="str">
        <f t="shared" si="90"/>
        <v>大阪府高槻市赤大路町</v>
      </c>
      <c r="D1598" s="2" t="str">
        <f t="shared" si="91"/>
        <v>http://geocode.csis.u-tokyo.ac.jp/cgi-bin/simple_geocode.cgi?charset=UTF8&amp;addr=%E5%A4%A7%E9%98%AA%E5%BA%9C%E9%AB%98%E6%A7%BB%E5%B8%82%E8%B5%A4%E5%A4%A7%E8%B7%AF%E7%94%BA</v>
      </c>
      <c r="E1598" t="str">
        <f t="shared" si="92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1598" cm="1">
        <f t="array" ref="F1598">INDEX(_xlfn.FILTERXML(E1598,"//latitude"),1)</f>
        <v>34.835884</v>
      </c>
      <c r="G1598" cm="1">
        <f t="array" ref="G1598">INDEX(_xlfn.FILTERXML(E1598,"//longitude"),1)</f>
        <v>135.58471700000001</v>
      </c>
      <c r="H1598">
        <v>34.835884</v>
      </c>
      <c r="I1598">
        <v>135.58471700000001</v>
      </c>
    </row>
    <row r="1599" spans="1:9" x14ac:dyDescent="0.4">
      <c r="A1599" t="s">
        <v>33</v>
      </c>
      <c r="B1599" t="s">
        <v>1185</v>
      </c>
      <c r="C1599" t="str">
        <f t="shared" si="90"/>
        <v>岩手県滝沢市</v>
      </c>
      <c r="D1599" s="2" t="str">
        <f t="shared" si="91"/>
        <v>http://geocode.csis.u-tokyo.ac.jp/cgi-bin/simple_geocode.cgi?charset=UTF8&amp;addr=%E5%B2%A9%E6%89%8B%E7%9C%8C%E6%BB%9D%E6%B2%A2%E5%B8%82</v>
      </c>
      <c r="E1599" t="str">
        <f t="shared" si="92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1599" cm="1">
        <f t="array" ref="F1599">INDEX(_xlfn.FILTERXML(E1599,"//latitude"),1)</f>
        <v>39.734737000000003</v>
      </c>
      <c r="G1599" cm="1">
        <f t="array" ref="G1599">INDEX(_xlfn.FILTERXML(E1599,"//longitude"),1)</f>
        <v>141.07707199999999</v>
      </c>
      <c r="H1599">
        <v>39.734737000000003</v>
      </c>
      <c r="I1599">
        <v>141.07707199999999</v>
      </c>
    </row>
    <row r="1600" spans="1:9" x14ac:dyDescent="0.4">
      <c r="A1600" t="s">
        <v>18</v>
      </c>
      <c r="B1600" t="s">
        <v>112</v>
      </c>
      <c r="C1600" t="str">
        <f t="shared" si="90"/>
        <v>千葉県市川市</v>
      </c>
      <c r="D1600" s="2" t="str">
        <f t="shared" si="91"/>
        <v>http://geocode.csis.u-tokyo.ac.jp/cgi-bin/simple_geocode.cgi?charset=UTF8&amp;addr=%E5%8D%83%E8%91%89%E7%9C%8C%E5%B8%82%E5%B7%9D%E5%B8%82</v>
      </c>
      <c r="E1600" t="str">
        <f t="shared" si="92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1600" cm="1">
        <f t="array" ref="F1600">INDEX(_xlfn.FILTERXML(E1600,"//latitude"),1)</f>
        <v>35.721912000000003</v>
      </c>
      <c r="G1600" cm="1">
        <f t="array" ref="G1600">INDEX(_xlfn.FILTERXML(E1600,"//longitude"),1)</f>
        <v>139.931015</v>
      </c>
      <c r="H1600">
        <v>35.721912000000003</v>
      </c>
      <c r="I1600">
        <v>139.931015</v>
      </c>
    </row>
    <row r="1601" spans="1:9" x14ac:dyDescent="0.4">
      <c r="A1601" t="s">
        <v>11</v>
      </c>
      <c r="B1601" t="s">
        <v>703</v>
      </c>
      <c r="C1601" t="str">
        <f t="shared" si="90"/>
        <v>大阪府箕面市箕面</v>
      </c>
      <c r="D1601" s="2" t="str">
        <f t="shared" si="91"/>
        <v>http://geocode.csis.u-tokyo.ac.jp/cgi-bin/simple_geocode.cgi?charset=UTF8&amp;addr=%E5%A4%A7%E9%98%AA%E5%BA%9C%E7%AE%95%E9%9D%A2%E5%B8%82%E7%AE%95%E9%9D%A2</v>
      </c>
      <c r="E1601" t="str">
        <f t="shared" si="92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1601" cm="1">
        <f t="array" ref="F1601">INDEX(_xlfn.FILTERXML(E1601,"//latitude"),1)</f>
        <v>34.835892000000001</v>
      </c>
      <c r="G1601" cm="1">
        <f t="array" ref="G1601">INDEX(_xlfn.FILTERXML(E1601,"//longitude"),1)</f>
        <v>135.46850599999999</v>
      </c>
      <c r="H1601">
        <v>34.835892000000001</v>
      </c>
      <c r="I1601">
        <v>135.46850599999999</v>
      </c>
    </row>
    <row r="1602" spans="1:9" x14ac:dyDescent="0.4">
      <c r="A1602" t="s">
        <v>28</v>
      </c>
      <c r="B1602" t="s">
        <v>1186</v>
      </c>
      <c r="C1602" t="str">
        <f t="shared" si="90"/>
        <v>沖縄県島尻郡八重瀬町東風平318-1</v>
      </c>
      <c r="D1602" s="2" t="str">
        <f t="shared" si="91"/>
        <v>http://geocode.csis.u-tokyo.ac.jp/cgi-bin/simple_geocode.cgi?charset=UTF8&amp;addr=%E6%B2%96%E7%B8%84%E7%9C%8C%E5%B3%B6%E5%B0%BB%E9%83%A1%E5%85%AB%E9%87%8D%E7%80%AC%E7%94%BA%E6%9D%B1%E9%A2%A8%E5%B9%B3318-1</v>
      </c>
      <c r="E1602" t="str">
        <f t="shared" si="92"/>
        <v xml:space="preserve">&lt;?xml version="1.0" encoding="UTF-8" ?&gt;
&lt;results&gt;
&lt;query&gt;沖縄県島尻郡八重瀬町東風平318-1&lt;/query&gt;
&lt;geodetic&gt;wgs1984&lt;/geodetic&gt;
&lt;iConf&gt;5&lt;/iConf&gt;
&lt;converted&gt;沖縄県島尻郡八重瀬町東風平318-&lt;/converted&gt;
&lt;candidate&gt;
&lt;address&gt;沖縄県/島尻郡/八重瀬町/東風平/３１８番地&lt;/address&gt;
&lt;longitude&gt;127.724014&lt;/longitude&gt;
&lt;latitude&gt;26.154480&lt;/latitude&gt;
&lt;iLvl&gt;7&lt;/iLvl&gt;
&lt;/candidate&gt;
&lt;/results&gt;
</v>
      </c>
      <c r="F1602" cm="1">
        <f t="array" ref="F1602">INDEX(_xlfn.FILTERXML(E1602,"//latitude"),1)</f>
        <v>26.15448</v>
      </c>
      <c r="G1602" cm="1">
        <f t="array" ref="G1602">INDEX(_xlfn.FILTERXML(E1602,"//longitude"),1)</f>
        <v>127.724014</v>
      </c>
      <c r="H1602">
        <v>26.15448</v>
      </c>
      <c r="I1602">
        <v>127.724014</v>
      </c>
    </row>
    <row r="1603" spans="1:9" x14ac:dyDescent="0.4">
      <c r="A1603" t="s">
        <v>13</v>
      </c>
      <c r="B1603" t="s">
        <v>1187</v>
      </c>
      <c r="C1603" t="str">
        <f t="shared" si="90"/>
        <v>埼玉県東松山市箭弓町</v>
      </c>
      <c r="D1603" s="2" t="str">
        <f t="shared" si="91"/>
        <v>http://geocode.csis.u-tokyo.ac.jp/cgi-bin/simple_geocode.cgi?charset=UTF8&amp;addr=%E5%9F%BC%E7%8E%89%E7%9C%8C%E6%9D%B1%E6%9D%BE%E5%B1%B1%E5%B8%82%E7%AE%AD%E5%BC%93%E7%94%BA</v>
      </c>
      <c r="E1603" t="str">
        <f t="shared" si="92"/>
        <v xml:space="preserve">&lt;?xml version="1.0" encoding="UTF-8" ?&gt;
&lt;results&gt;
&lt;query&gt;埼玉県東松山市箭弓町&lt;/query&gt;
&lt;geodetic&gt;wgs1984&lt;/geodetic&gt;
&lt;iConf&gt;5&lt;/iConf&gt;
&lt;converted&gt;埼玉県東松山市箭弓町&lt;/converted&gt;
&lt;candidate&gt;
&lt;address&gt;埼玉県/東松山市/箭弓町&lt;/address&gt;
&lt;longitude&gt;139.402512&lt;/longitude&gt;
&lt;latitude&gt;36.035595&lt;/latitude&gt;
&lt;iLvl&gt;5&lt;/iLvl&gt;
&lt;/candidate&gt;
&lt;/results&gt;
</v>
      </c>
      <c r="F1603" cm="1">
        <f t="array" ref="F1603">INDEX(_xlfn.FILTERXML(E1603,"//latitude"),1)</f>
        <v>36.035595000000001</v>
      </c>
      <c r="G1603" cm="1">
        <f t="array" ref="G1603">INDEX(_xlfn.FILTERXML(E1603,"//longitude"),1)</f>
        <v>139.402512</v>
      </c>
      <c r="H1603" s="3">
        <v>36.035595000000001</v>
      </c>
      <c r="I1603" s="3">
        <v>139.402512</v>
      </c>
    </row>
    <row r="1604" spans="1:9" x14ac:dyDescent="0.4">
      <c r="A1604" t="s">
        <v>15</v>
      </c>
      <c r="B1604" t="s">
        <v>1188</v>
      </c>
      <c r="C1604" t="str">
        <f t="shared" si="90"/>
        <v>兵庫県西宮市小曽根町</v>
      </c>
      <c r="D1604" s="2" t="str">
        <f t="shared" si="91"/>
        <v>http://geocode.csis.u-tokyo.ac.jp/cgi-bin/simple_geocode.cgi?charset=UTF8&amp;addr=%E5%85%B5%E5%BA%AB%E7%9C%8C%E8%A5%BF%E5%AE%AE%E5%B8%82%E5%B0%8F%E6%9B%BD%E6%A0%B9%E7%94%BA</v>
      </c>
      <c r="E1604" t="str">
        <f t="shared" si="92"/>
        <v xml:space="preserve">&lt;?xml version="1.0" encoding="UTF-8" ?&gt;
&lt;results&gt;
&lt;query&gt;兵庫県西宮市小曽根町&lt;/query&gt;
&lt;geodetic&gt;wgs1984&lt;/geodetic&gt;
&lt;iConf&gt;5&lt;/iConf&gt;
&lt;converted&gt;兵庫県西宮市小曽根町&lt;/converted&gt;
&lt;candidate&gt;
&lt;address&gt;兵庫県/西宮市/小曽根町&lt;/address&gt;
&lt;longitude&gt;135.378021&lt;/longitude&gt;
&lt;latitude&gt;34.731476&lt;/latitude&gt;
&lt;iLvl&gt;5&lt;/iLvl&gt;
&lt;/candidate&gt;
&lt;/results&gt;
</v>
      </c>
      <c r="F1604" cm="1">
        <f t="array" ref="F1604">INDEX(_xlfn.FILTERXML(E1604,"//latitude"),1)</f>
        <v>34.731476000000001</v>
      </c>
      <c r="G1604" cm="1">
        <f t="array" ref="G1604">INDEX(_xlfn.FILTERXML(E1604,"//longitude"),1)</f>
        <v>135.37802099999999</v>
      </c>
      <c r="H1604">
        <v>34.731476000000001</v>
      </c>
      <c r="I1604">
        <v>135.37802099999999</v>
      </c>
    </row>
    <row r="1605" spans="1:9" x14ac:dyDescent="0.4">
      <c r="A1605" t="s">
        <v>32</v>
      </c>
      <c r="B1605" t="s">
        <v>1189</v>
      </c>
      <c r="C1605" t="str">
        <f t="shared" si="90"/>
        <v>佐賀県佐賀市</v>
      </c>
      <c r="D1605" s="2" t="str">
        <f t="shared" si="91"/>
        <v>http://geocode.csis.u-tokyo.ac.jp/cgi-bin/simple_geocode.cgi?charset=UTF8&amp;addr=%E4%BD%90%E8%B3%80%E7%9C%8C%E4%BD%90%E8%B3%80%E5%B8%82</v>
      </c>
      <c r="E1605" t="str">
        <f t="shared" si="92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1605" cm="1">
        <f t="array" ref="F1605">INDEX(_xlfn.FILTERXML(E1605,"//latitude"),1)</f>
        <v>33.263542000000001</v>
      </c>
      <c r="G1605" cm="1">
        <f t="array" ref="G1605">INDEX(_xlfn.FILTERXML(E1605,"//longitude"),1)</f>
        <v>130.30084199999999</v>
      </c>
      <c r="H1605">
        <v>33.263542000000001</v>
      </c>
      <c r="I1605">
        <v>130.30084199999999</v>
      </c>
    </row>
    <row r="1606" spans="1:9" x14ac:dyDescent="0.4">
      <c r="D1606" s="2"/>
    </row>
    <row r="1607" spans="1:9" x14ac:dyDescent="0.4">
      <c r="D1607" s="2"/>
    </row>
    <row r="1608" spans="1:9" x14ac:dyDescent="0.4">
      <c r="D1608" s="2"/>
    </row>
    <row r="1609" spans="1:9" x14ac:dyDescent="0.4">
      <c r="D1609" s="2"/>
    </row>
    <row r="1610" spans="1:9" x14ac:dyDescent="0.4">
      <c r="D1610" s="2"/>
    </row>
    <row r="1611" spans="1:9" x14ac:dyDescent="0.4">
      <c r="D1611" s="2"/>
    </row>
    <row r="1612" spans="1:9" x14ac:dyDescent="0.4">
      <c r="D1612" s="2"/>
    </row>
    <row r="1613" spans="1:9" x14ac:dyDescent="0.4">
      <c r="D1613" s="2"/>
    </row>
    <row r="1614" spans="1:9" x14ac:dyDescent="0.4">
      <c r="D1614" s="2"/>
    </row>
    <row r="1615" spans="1:9" x14ac:dyDescent="0.4">
      <c r="D1615" s="2"/>
    </row>
    <row r="1616" spans="1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2026-03-10T04:47:19Z</dcterms:modified>
</cp:coreProperties>
</file>