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\ダッシュボード\"/>
    </mc:Choice>
  </mc:AlternateContent>
  <xr:revisionPtr revIDLastSave="0" documentId="13_ncr:1_{3A05EB83-3C93-456C-B6BC-9C80B82FE024}" xr6:coauthVersionLast="47" xr6:coauthVersionMax="47" xr10:uidLastSave="{00000000-0000-0000-0000-000000000000}"/>
  <bookViews>
    <workbookView xWindow="1170" yWindow="1170" windowWidth="25515" windowHeight="13875" xr2:uid="{BB5B2B8E-421E-4F23-82A9-C171D1080EF6}"/>
  </bookViews>
  <sheets>
    <sheet name="Sheet1" sheetId="1" r:id="rId1"/>
  </sheets>
  <definedNames>
    <definedName name="_xlnm._FilterDatabase" localSheetId="0" hidden="1">Sheet1!$A$1:$I$1074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4" i="1" l="1"/>
  <c r="D134" i="1" s="1"/>
  <c r="E134" i="1" s="1"/>
  <c r="C135" i="1"/>
  <c r="D135" i="1" s="1"/>
  <c r="E135" i="1" s="1"/>
  <c r="C136" i="1"/>
  <c r="D136" i="1" s="1"/>
  <c r="E136" i="1" s="1"/>
  <c r="C137" i="1"/>
  <c r="D137" i="1" s="1"/>
  <c r="E137" i="1" s="1"/>
  <c r="C138" i="1"/>
  <c r="D138" i="1" s="1"/>
  <c r="E138" i="1" s="1"/>
  <c r="C139" i="1"/>
  <c r="D139" i="1" s="1"/>
  <c r="E139" i="1" s="1"/>
  <c r="C140" i="1"/>
  <c r="D140" i="1"/>
  <c r="E140" i="1" s="1"/>
  <c r="C141" i="1"/>
  <c r="D141" i="1" s="1"/>
  <c r="E141" i="1" s="1"/>
  <c r="C142" i="1"/>
  <c r="D142" i="1"/>
  <c r="E142" i="1" s="1"/>
  <c r="C143" i="1"/>
  <c r="D143" i="1"/>
  <c r="E143" i="1" s="1"/>
  <c r="C144" i="1"/>
  <c r="D144" i="1" s="1"/>
  <c r="E144" i="1" s="1"/>
  <c r="C145" i="1"/>
  <c r="D145" i="1"/>
  <c r="E145" i="1"/>
  <c r="C146" i="1"/>
  <c r="D146" i="1" s="1"/>
  <c r="E146" i="1" s="1"/>
  <c r="C147" i="1"/>
  <c r="D147" i="1"/>
  <c r="E147" i="1" s="1"/>
  <c r="C148" i="1"/>
  <c r="D148" i="1"/>
  <c r="E148" i="1" s="1"/>
  <c r="C149" i="1"/>
  <c r="D149" i="1" s="1"/>
  <c r="E149" i="1" s="1"/>
  <c r="C150" i="1"/>
  <c r="D150" i="1" s="1"/>
  <c r="E150" i="1" s="1"/>
  <c r="C151" i="1"/>
  <c r="D151" i="1" s="1"/>
  <c r="E151" i="1"/>
  <c r="C152" i="1"/>
  <c r="D152" i="1" s="1"/>
  <c r="E152" i="1" s="1"/>
  <c r="C153" i="1"/>
  <c r="D153" i="1" s="1"/>
  <c r="E153" i="1" s="1"/>
  <c r="C154" i="1"/>
  <c r="D154" i="1" s="1"/>
  <c r="E154" i="1" s="1"/>
  <c r="C155" i="1"/>
  <c r="D155" i="1" s="1"/>
  <c r="E155" i="1" s="1"/>
  <c r="C156" i="1"/>
  <c r="D156" i="1" s="1"/>
  <c r="E156" i="1" s="1"/>
  <c r="C157" i="1"/>
  <c r="D157" i="1" s="1"/>
  <c r="E157" i="1" s="1"/>
  <c r="C158" i="1"/>
  <c r="D158" i="1"/>
  <c r="E158" i="1" s="1"/>
  <c r="C159" i="1"/>
  <c r="D159" i="1" s="1"/>
  <c r="E159" i="1" s="1"/>
  <c r="C160" i="1"/>
  <c r="D160" i="1" s="1"/>
  <c r="E160" i="1" s="1"/>
  <c r="C161" i="1"/>
  <c r="D161" i="1" s="1"/>
  <c r="E161" i="1" s="1"/>
  <c r="C162" i="1"/>
  <c r="D162" i="1"/>
  <c r="E162" i="1" s="1"/>
  <c r="C163" i="1"/>
  <c r="D163" i="1"/>
  <c r="E163" i="1"/>
  <c r="C164" i="1"/>
  <c r="D164" i="1" s="1"/>
  <c r="E164" i="1" s="1"/>
  <c r="C165" i="1"/>
  <c r="D165" i="1" s="1"/>
  <c r="E165" i="1" s="1"/>
  <c r="C166" i="1"/>
  <c r="D166" i="1" s="1"/>
  <c r="E166" i="1" s="1"/>
  <c r="C167" i="1"/>
  <c r="D167" i="1" s="1"/>
  <c r="E167" i="1"/>
  <c r="C168" i="1"/>
  <c r="D168" i="1" s="1"/>
  <c r="E168" i="1" s="1"/>
  <c r="C169" i="1"/>
  <c r="D169" i="1" s="1"/>
  <c r="E169" i="1"/>
  <c r="C170" i="1"/>
  <c r="D170" i="1"/>
  <c r="E170" i="1" s="1"/>
  <c r="C171" i="1"/>
  <c r="D171" i="1" s="1"/>
  <c r="E171" i="1" s="1"/>
  <c r="C172" i="1"/>
  <c r="D172" i="1"/>
  <c r="E172" i="1" s="1"/>
  <c r="C173" i="1"/>
  <c r="D173" i="1" s="1"/>
  <c r="E173" i="1" s="1"/>
  <c r="C174" i="1"/>
  <c r="D174" i="1" s="1"/>
  <c r="E174" i="1" s="1"/>
  <c r="C175" i="1"/>
  <c r="D175" i="1" s="1"/>
  <c r="E175" i="1" s="1"/>
  <c r="C176" i="1"/>
  <c r="D176" i="1" s="1"/>
  <c r="E176" i="1" s="1"/>
  <c r="C177" i="1"/>
  <c r="D177" i="1" s="1"/>
  <c r="E177" i="1" s="1"/>
  <c r="C178" i="1"/>
  <c r="D178" i="1"/>
  <c r="E178" i="1" s="1"/>
  <c r="C179" i="1"/>
  <c r="D179" i="1" s="1"/>
  <c r="E179" i="1" s="1"/>
  <c r="C180" i="1"/>
  <c r="D180" i="1" s="1"/>
  <c r="E180" i="1" s="1"/>
  <c r="C181" i="1"/>
  <c r="D181" i="1"/>
  <c r="E181" i="1" s="1"/>
  <c r="C182" i="1"/>
  <c r="D182" i="1" s="1"/>
  <c r="E182" i="1" s="1"/>
  <c r="C183" i="1"/>
  <c r="D183" i="1" s="1"/>
  <c r="E183" i="1" s="1"/>
  <c r="C184" i="1"/>
  <c r="D184" i="1" s="1"/>
  <c r="E184" i="1" s="1"/>
  <c r="C185" i="1"/>
  <c r="D185" i="1" s="1"/>
  <c r="E185" i="1" s="1"/>
  <c r="C186" i="1"/>
  <c r="D186" i="1" s="1"/>
  <c r="E186" i="1" s="1"/>
  <c r="C187" i="1"/>
  <c r="D187" i="1" s="1"/>
  <c r="E187" i="1" s="1"/>
  <c r="C188" i="1"/>
  <c r="D188" i="1" s="1"/>
  <c r="E188" i="1" s="1"/>
  <c r="C189" i="1"/>
  <c r="D189" i="1" s="1"/>
  <c r="E189" i="1" s="1"/>
  <c r="C190" i="1"/>
  <c r="D190" i="1" s="1"/>
  <c r="E190" i="1" s="1"/>
  <c r="C191" i="1"/>
  <c r="D191" i="1" s="1"/>
  <c r="E191" i="1" s="1"/>
  <c r="C192" i="1"/>
  <c r="D192" i="1" s="1"/>
  <c r="E192" i="1"/>
  <c r="C193" i="1"/>
  <c r="D193" i="1"/>
  <c r="E193" i="1"/>
  <c r="C194" i="1"/>
  <c r="D194" i="1" s="1"/>
  <c r="E194" i="1" s="1"/>
  <c r="C195" i="1"/>
  <c r="D195" i="1"/>
  <c r="E195" i="1" s="1"/>
  <c r="C196" i="1"/>
  <c r="D196" i="1" s="1"/>
  <c r="E196" i="1" s="1"/>
  <c r="C197" i="1"/>
  <c r="D197" i="1" s="1"/>
  <c r="E197" i="1" s="1"/>
  <c r="C198" i="1"/>
  <c r="D198" i="1" s="1"/>
  <c r="E198" i="1" s="1"/>
  <c r="C199" i="1"/>
  <c r="D199" i="1" s="1"/>
  <c r="E199" i="1" s="1"/>
  <c r="C200" i="1"/>
  <c r="D200" i="1" s="1"/>
  <c r="E200" i="1" s="1"/>
  <c r="C201" i="1"/>
  <c r="D201" i="1" s="1"/>
  <c r="E201" i="1"/>
  <c r="C202" i="1"/>
  <c r="D202" i="1"/>
  <c r="E202" i="1"/>
  <c r="C203" i="1"/>
  <c r="D203" i="1" s="1"/>
  <c r="E203" i="1" s="1"/>
  <c r="C204" i="1"/>
  <c r="D204" i="1" s="1"/>
  <c r="E204" i="1" s="1"/>
  <c r="C205" i="1"/>
  <c r="D205" i="1" s="1"/>
  <c r="E205" i="1" s="1"/>
  <c r="C206" i="1"/>
  <c r="D206" i="1"/>
  <c r="E206" i="1" s="1"/>
  <c r="C207" i="1"/>
  <c r="D207" i="1"/>
  <c r="E207" i="1" s="1"/>
  <c r="C208" i="1"/>
  <c r="D208" i="1" s="1"/>
  <c r="E208" i="1" s="1"/>
  <c r="C209" i="1"/>
  <c r="D209" i="1"/>
  <c r="E209" i="1"/>
  <c r="C210" i="1"/>
  <c r="D210" i="1"/>
  <c r="E210" i="1" s="1"/>
  <c r="C211" i="1"/>
  <c r="D211" i="1" s="1"/>
  <c r="E211" i="1" s="1"/>
  <c r="C212" i="1"/>
  <c r="D212" i="1" s="1"/>
  <c r="E212" i="1" s="1"/>
  <c r="C213" i="1"/>
  <c r="D213" i="1" s="1"/>
  <c r="E213" i="1" s="1"/>
  <c r="C214" i="1"/>
  <c r="D214" i="1" s="1"/>
  <c r="E214" i="1" s="1"/>
  <c r="C215" i="1"/>
  <c r="D215" i="1" s="1"/>
  <c r="E215" i="1" s="1"/>
  <c r="C216" i="1"/>
  <c r="D216" i="1" s="1"/>
  <c r="E216" i="1" s="1"/>
  <c r="C217" i="1"/>
  <c r="D217" i="1" s="1"/>
  <c r="E217" i="1" s="1"/>
  <c r="C218" i="1"/>
  <c r="D218" i="1" s="1"/>
  <c r="E218" i="1" s="1"/>
  <c r="C219" i="1"/>
  <c r="D219" i="1" s="1"/>
  <c r="E219" i="1" s="1"/>
  <c r="C220" i="1"/>
  <c r="D220" i="1" s="1"/>
  <c r="E220" i="1" s="1"/>
  <c r="C221" i="1"/>
  <c r="D221" i="1" s="1"/>
  <c r="E221" i="1" s="1"/>
  <c r="C222" i="1"/>
  <c r="D222" i="1" s="1"/>
  <c r="E222" i="1" s="1"/>
  <c r="C223" i="1"/>
  <c r="D223" i="1"/>
  <c r="E223" i="1" s="1"/>
  <c r="C224" i="1"/>
  <c r="D224" i="1" s="1"/>
  <c r="E224" i="1" s="1"/>
  <c r="C225" i="1"/>
  <c r="D225" i="1"/>
  <c r="E225" i="1" s="1"/>
  <c r="C226" i="1"/>
  <c r="D226" i="1"/>
  <c r="E226" i="1" s="1"/>
  <c r="C227" i="1"/>
  <c r="D227" i="1"/>
  <c r="E227" i="1"/>
  <c r="C228" i="1"/>
  <c r="D228" i="1"/>
  <c r="E228" i="1" s="1"/>
  <c r="C229" i="1"/>
  <c r="D229" i="1" s="1"/>
  <c r="E229" i="1" s="1"/>
  <c r="C230" i="1"/>
  <c r="D230" i="1" s="1"/>
  <c r="E230" i="1" s="1"/>
  <c r="C231" i="1"/>
  <c r="D231" i="1" s="1"/>
  <c r="E231" i="1" s="1"/>
  <c r="C232" i="1"/>
  <c r="D232" i="1" s="1"/>
  <c r="E232" i="1" s="1"/>
  <c r="C233" i="1"/>
  <c r="D233" i="1" s="1"/>
  <c r="E233" i="1"/>
  <c r="C234" i="1"/>
  <c r="D234" i="1"/>
  <c r="E234" i="1" s="1"/>
  <c r="C235" i="1"/>
  <c r="D235" i="1" s="1"/>
  <c r="E235" i="1" s="1"/>
  <c r="C236" i="1"/>
  <c r="D236" i="1" s="1"/>
  <c r="E236" i="1" s="1"/>
  <c r="C237" i="1"/>
  <c r="D237" i="1" s="1"/>
  <c r="E237" i="1" s="1"/>
  <c r="C238" i="1"/>
  <c r="D238" i="1" s="1"/>
  <c r="E238" i="1" s="1"/>
  <c r="C239" i="1"/>
  <c r="D239" i="1"/>
  <c r="E239" i="1" s="1"/>
  <c r="C240" i="1"/>
  <c r="D240" i="1" s="1"/>
  <c r="E240" i="1" s="1"/>
  <c r="C241" i="1"/>
  <c r="D241" i="1"/>
  <c r="E241" i="1" s="1"/>
  <c r="C242" i="1"/>
  <c r="D242" i="1" s="1"/>
  <c r="E242" i="1" s="1"/>
  <c r="C243" i="1"/>
  <c r="D243" i="1" s="1"/>
  <c r="E243" i="1" s="1"/>
  <c r="C244" i="1"/>
  <c r="D244" i="1"/>
  <c r="E244" i="1" s="1"/>
  <c r="C245" i="1"/>
  <c r="D245" i="1" s="1"/>
  <c r="E245" i="1" s="1"/>
  <c r="C246" i="1"/>
  <c r="D246" i="1" s="1"/>
  <c r="E246" i="1"/>
  <c r="C247" i="1"/>
  <c r="D247" i="1" s="1"/>
  <c r="E247" i="1"/>
  <c r="C248" i="1"/>
  <c r="D248" i="1" s="1"/>
  <c r="E248" i="1" s="1"/>
  <c r="C249" i="1"/>
  <c r="D249" i="1" s="1"/>
  <c r="E249" i="1" s="1"/>
  <c r="C250" i="1"/>
  <c r="D250" i="1" s="1"/>
  <c r="E250" i="1" s="1"/>
  <c r="C251" i="1"/>
  <c r="D251" i="1" s="1"/>
  <c r="E251" i="1" s="1"/>
  <c r="C252" i="1"/>
  <c r="D252" i="1" s="1"/>
  <c r="E252" i="1" s="1"/>
  <c r="C253" i="1"/>
  <c r="D253" i="1" s="1"/>
  <c r="E253" i="1" s="1"/>
  <c r="C254" i="1"/>
  <c r="D254" i="1" s="1"/>
  <c r="E254" i="1" s="1"/>
  <c r="C255" i="1"/>
  <c r="D255" i="1"/>
  <c r="E255" i="1" s="1"/>
  <c r="C256" i="1"/>
  <c r="D256" i="1" s="1"/>
  <c r="E256" i="1" s="1"/>
  <c r="C257" i="1"/>
  <c r="D257" i="1"/>
  <c r="E257" i="1" s="1"/>
  <c r="C258" i="1"/>
  <c r="D258" i="1"/>
  <c r="E258" i="1" s="1"/>
  <c r="C259" i="1"/>
  <c r="D259" i="1"/>
  <c r="E259" i="1"/>
  <c r="C260" i="1"/>
  <c r="D260" i="1"/>
  <c r="E260" i="1" s="1"/>
  <c r="C261" i="1"/>
  <c r="D261" i="1" s="1"/>
  <c r="E261" i="1" s="1"/>
  <c r="C262" i="1"/>
  <c r="D262" i="1" s="1"/>
  <c r="E262" i="1" s="1"/>
  <c r="C263" i="1"/>
  <c r="D263" i="1" s="1"/>
  <c r="E263" i="1" s="1"/>
  <c r="C264" i="1"/>
  <c r="D264" i="1" s="1"/>
  <c r="E264" i="1" s="1"/>
  <c r="C265" i="1"/>
  <c r="D265" i="1" s="1"/>
  <c r="E265" i="1" s="1"/>
  <c r="C266" i="1"/>
  <c r="D266" i="1"/>
  <c r="E266" i="1" s="1"/>
  <c r="C267" i="1"/>
  <c r="D267" i="1"/>
  <c r="E267" i="1" s="1"/>
  <c r="C268" i="1"/>
  <c r="D268" i="1" s="1"/>
  <c r="E268" i="1" s="1"/>
  <c r="C269" i="1"/>
  <c r="D269" i="1" s="1"/>
  <c r="E269" i="1" s="1"/>
  <c r="C270" i="1"/>
  <c r="D270" i="1"/>
  <c r="E270" i="1" s="1"/>
  <c r="C271" i="1"/>
  <c r="D271" i="1" s="1"/>
  <c r="E271" i="1"/>
  <c r="C272" i="1"/>
  <c r="D272" i="1"/>
  <c r="E272" i="1" s="1"/>
  <c r="C273" i="1"/>
  <c r="D273" i="1"/>
  <c r="E273" i="1" s="1"/>
  <c r="C274" i="1"/>
  <c r="D274" i="1"/>
  <c r="E274" i="1" s="1"/>
  <c r="C275" i="1"/>
  <c r="D275" i="1" s="1"/>
  <c r="E275" i="1" s="1"/>
  <c r="C276" i="1"/>
  <c r="D276" i="1" s="1"/>
  <c r="E276" i="1" s="1"/>
  <c r="C277" i="1"/>
  <c r="D277" i="1" s="1"/>
  <c r="E277" i="1"/>
  <c r="C278" i="1"/>
  <c r="D278" i="1" s="1"/>
  <c r="E278" i="1"/>
  <c r="C279" i="1"/>
  <c r="D279" i="1" s="1"/>
  <c r="E279" i="1"/>
  <c r="C280" i="1"/>
  <c r="D280" i="1" s="1"/>
  <c r="E280" i="1"/>
  <c r="C281" i="1"/>
  <c r="D281" i="1" s="1"/>
  <c r="E281" i="1" s="1"/>
  <c r="C282" i="1"/>
  <c r="D282" i="1" s="1"/>
  <c r="E282" i="1" s="1"/>
  <c r="C283" i="1"/>
  <c r="D283" i="1" s="1"/>
  <c r="E283" i="1" s="1"/>
  <c r="C284" i="1"/>
  <c r="D284" i="1"/>
  <c r="E284" i="1" s="1"/>
  <c r="C285" i="1"/>
  <c r="D285" i="1" s="1"/>
  <c r="E285" i="1" s="1"/>
  <c r="C286" i="1"/>
  <c r="D286" i="1"/>
  <c r="E286" i="1" s="1"/>
  <c r="C287" i="1"/>
  <c r="D287" i="1" s="1"/>
  <c r="E287" i="1" s="1"/>
  <c r="C288" i="1"/>
  <c r="D288" i="1"/>
  <c r="E288" i="1" s="1"/>
  <c r="C289" i="1"/>
  <c r="D289" i="1"/>
  <c r="E289" i="1" s="1"/>
  <c r="C290" i="1"/>
  <c r="D290" i="1" s="1"/>
  <c r="E290" i="1" s="1"/>
  <c r="C291" i="1"/>
  <c r="D291" i="1" s="1"/>
  <c r="E291" i="1" s="1"/>
  <c r="C292" i="1"/>
  <c r="D292" i="1" s="1"/>
  <c r="E292" i="1" s="1"/>
  <c r="C293" i="1"/>
  <c r="D293" i="1" s="1"/>
  <c r="E293" i="1" s="1"/>
  <c r="C294" i="1"/>
  <c r="D294" i="1" s="1"/>
  <c r="E294" i="1" s="1"/>
  <c r="C295" i="1"/>
  <c r="D295" i="1" s="1"/>
  <c r="E295" i="1" s="1"/>
  <c r="C296" i="1"/>
  <c r="D296" i="1" s="1"/>
  <c r="E296" i="1"/>
  <c r="C297" i="1"/>
  <c r="D297" i="1"/>
  <c r="E297" i="1" s="1"/>
  <c r="C298" i="1"/>
  <c r="D298" i="1" s="1"/>
  <c r="E298" i="1" s="1"/>
  <c r="C299" i="1"/>
  <c r="D299" i="1" s="1"/>
  <c r="E299" i="1" s="1"/>
  <c r="C300" i="1"/>
  <c r="D300" i="1"/>
  <c r="E300" i="1" s="1"/>
  <c r="C301" i="1"/>
  <c r="D301" i="1" s="1"/>
  <c r="E301" i="1" s="1"/>
  <c r="C302" i="1"/>
  <c r="D302" i="1" s="1"/>
  <c r="E302" i="1" s="1"/>
  <c r="C303" i="1"/>
  <c r="D303" i="1" s="1"/>
  <c r="E303" i="1" s="1"/>
  <c r="C304" i="1"/>
  <c r="D304" i="1" s="1"/>
  <c r="E304" i="1" s="1"/>
  <c r="C305" i="1"/>
  <c r="D305" i="1" s="1"/>
  <c r="E305" i="1" s="1"/>
  <c r="C306" i="1"/>
  <c r="D306" i="1"/>
  <c r="E306" i="1" s="1"/>
  <c r="C307" i="1"/>
  <c r="D307" i="1"/>
  <c r="E307" i="1" s="1"/>
  <c r="C308" i="1"/>
  <c r="D308" i="1"/>
  <c r="E308" i="1" s="1"/>
  <c r="C309" i="1"/>
  <c r="D309" i="1" s="1"/>
  <c r="E309" i="1" s="1"/>
  <c r="C310" i="1"/>
  <c r="D310" i="1" s="1"/>
  <c r="E310" i="1" s="1"/>
  <c r="C311" i="1"/>
  <c r="D311" i="1" s="1"/>
  <c r="E311" i="1" s="1"/>
  <c r="C312" i="1"/>
  <c r="D312" i="1" s="1"/>
  <c r="E312" i="1" s="1"/>
  <c r="C313" i="1"/>
  <c r="D313" i="1" s="1"/>
  <c r="E313" i="1" s="1"/>
  <c r="C314" i="1"/>
  <c r="D314" i="1" s="1"/>
  <c r="E314" i="1" s="1"/>
  <c r="C315" i="1"/>
  <c r="D315" i="1"/>
  <c r="E315" i="1" s="1"/>
  <c r="C316" i="1"/>
  <c r="D316" i="1"/>
  <c r="E316" i="1" s="1"/>
  <c r="C317" i="1"/>
  <c r="D317" i="1" s="1"/>
  <c r="E317" i="1" s="1"/>
  <c r="C318" i="1"/>
  <c r="D318" i="1"/>
  <c r="E318" i="1" s="1"/>
  <c r="C319" i="1"/>
  <c r="D319" i="1" s="1"/>
  <c r="E319" i="1" s="1"/>
  <c r="C320" i="1"/>
  <c r="D320" i="1" s="1"/>
  <c r="E320" i="1" s="1"/>
  <c r="C321" i="1"/>
  <c r="D321" i="1" s="1"/>
  <c r="E321" i="1" s="1"/>
  <c r="C322" i="1"/>
  <c r="D322" i="1" s="1"/>
  <c r="E322" i="1" s="1"/>
  <c r="C323" i="1"/>
  <c r="D323" i="1"/>
  <c r="E323" i="1" s="1"/>
  <c r="C324" i="1"/>
  <c r="D324" i="1"/>
  <c r="E324" i="1" s="1"/>
  <c r="C325" i="1"/>
  <c r="D325" i="1" s="1"/>
  <c r="E325" i="1" s="1"/>
  <c r="C326" i="1"/>
  <c r="D326" i="1" s="1"/>
  <c r="E326" i="1" s="1"/>
  <c r="C327" i="1"/>
  <c r="D327" i="1" s="1"/>
  <c r="E327" i="1" s="1"/>
  <c r="C328" i="1"/>
  <c r="D328" i="1" s="1"/>
  <c r="E328" i="1" s="1"/>
  <c r="C329" i="1"/>
  <c r="D329" i="1" s="1"/>
  <c r="E329" i="1" s="1"/>
  <c r="C330" i="1"/>
  <c r="D330" i="1" s="1"/>
  <c r="E330" i="1" s="1"/>
  <c r="C331" i="1"/>
  <c r="D331" i="1" s="1"/>
  <c r="E331" i="1" s="1"/>
  <c r="C332" i="1"/>
  <c r="D332" i="1" s="1"/>
  <c r="E332" i="1" s="1"/>
  <c r="C333" i="1"/>
  <c r="D333" i="1" s="1"/>
  <c r="E333" i="1" s="1"/>
  <c r="C334" i="1"/>
  <c r="D334" i="1" s="1"/>
  <c r="E334" i="1" s="1"/>
  <c r="C335" i="1"/>
  <c r="D335" i="1" s="1"/>
  <c r="E335" i="1" s="1"/>
  <c r="C336" i="1"/>
  <c r="D336" i="1" s="1"/>
  <c r="E336" i="1" s="1"/>
  <c r="C337" i="1"/>
  <c r="D337" i="1" s="1"/>
  <c r="E337" i="1" s="1"/>
  <c r="C338" i="1"/>
  <c r="D338" i="1" s="1"/>
  <c r="E338" i="1" s="1"/>
  <c r="C339" i="1"/>
  <c r="D339" i="1" s="1"/>
  <c r="E339" i="1" s="1"/>
  <c r="C340" i="1"/>
  <c r="D340" i="1" s="1"/>
  <c r="E340" i="1" s="1"/>
  <c r="C341" i="1"/>
  <c r="D341" i="1" s="1"/>
  <c r="E341" i="1" s="1"/>
  <c r="C342" i="1"/>
  <c r="D342" i="1" s="1"/>
  <c r="E342" i="1" s="1"/>
  <c r="C343" i="1"/>
  <c r="D343" i="1" s="1"/>
  <c r="E343" i="1" s="1"/>
  <c r="C344" i="1"/>
  <c r="D344" i="1" s="1"/>
  <c r="E344" i="1" s="1"/>
  <c r="C345" i="1"/>
  <c r="D345" i="1" s="1"/>
  <c r="E345" i="1" s="1"/>
  <c r="C346" i="1"/>
  <c r="D346" i="1" s="1"/>
  <c r="E346" i="1" s="1"/>
  <c r="C347" i="1"/>
  <c r="D347" i="1" s="1"/>
  <c r="E347" i="1" s="1"/>
  <c r="C348" i="1"/>
  <c r="D348" i="1" s="1"/>
  <c r="E348" i="1" s="1"/>
  <c r="C349" i="1"/>
  <c r="D349" i="1" s="1"/>
  <c r="E349" i="1" s="1"/>
  <c r="C350" i="1"/>
  <c r="D350" i="1" s="1"/>
  <c r="E350" i="1" s="1"/>
  <c r="C351" i="1"/>
  <c r="D351" i="1" s="1"/>
  <c r="E351" i="1" s="1"/>
  <c r="C352" i="1"/>
  <c r="D352" i="1" s="1"/>
  <c r="E352" i="1" s="1"/>
  <c r="C353" i="1"/>
  <c r="D353" i="1"/>
  <c r="E353" i="1" s="1"/>
  <c r="C354" i="1"/>
  <c r="D354" i="1"/>
  <c r="E354" i="1" s="1"/>
  <c r="C355" i="1"/>
  <c r="D355" i="1" s="1"/>
  <c r="E355" i="1" s="1"/>
  <c r="C356" i="1"/>
  <c r="D356" i="1" s="1"/>
  <c r="E356" i="1" s="1"/>
  <c r="C357" i="1"/>
  <c r="D357" i="1" s="1"/>
  <c r="E357" i="1" s="1"/>
  <c r="C358" i="1"/>
  <c r="D358" i="1" s="1"/>
  <c r="E358" i="1" s="1"/>
  <c r="C359" i="1"/>
  <c r="D359" i="1" s="1"/>
  <c r="E359" i="1" s="1"/>
  <c r="C360" i="1"/>
  <c r="D360" i="1" s="1"/>
  <c r="E360" i="1" s="1"/>
  <c r="C361" i="1"/>
  <c r="D361" i="1" s="1"/>
  <c r="E361" i="1" s="1"/>
  <c r="C362" i="1"/>
  <c r="D362" i="1" s="1"/>
  <c r="E362" i="1" s="1"/>
  <c r="C363" i="1"/>
  <c r="D363" i="1"/>
  <c r="E363" i="1" s="1"/>
  <c r="C364" i="1"/>
  <c r="D364" i="1" s="1"/>
  <c r="E364" i="1" s="1"/>
  <c r="C365" i="1"/>
  <c r="D365" i="1" s="1"/>
  <c r="E365" i="1" s="1"/>
  <c r="C366" i="1"/>
  <c r="D366" i="1" s="1"/>
  <c r="E366" i="1" s="1"/>
  <c r="C367" i="1"/>
  <c r="D367" i="1" s="1"/>
  <c r="E367" i="1" s="1"/>
  <c r="C368" i="1"/>
  <c r="D368" i="1" s="1"/>
  <c r="E368" i="1" s="1"/>
  <c r="C369" i="1"/>
  <c r="D369" i="1"/>
  <c r="E369" i="1" s="1"/>
  <c r="C370" i="1"/>
  <c r="D370" i="1" s="1"/>
  <c r="E370" i="1" s="1"/>
  <c r="C371" i="1"/>
  <c r="D371" i="1"/>
  <c r="E371" i="1" s="1"/>
  <c r="C372" i="1"/>
  <c r="D372" i="1" s="1"/>
  <c r="E372" i="1" s="1"/>
  <c r="C373" i="1"/>
  <c r="D373" i="1" s="1"/>
  <c r="E373" i="1" s="1"/>
  <c r="C374" i="1"/>
  <c r="D374" i="1" s="1"/>
  <c r="E374" i="1" s="1"/>
  <c r="C375" i="1"/>
  <c r="D375" i="1" s="1"/>
  <c r="E375" i="1" s="1"/>
  <c r="C376" i="1"/>
  <c r="D376" i="1" s="1"/>
  <c r="E376" i="1" s="1"/>
  <c r="C377" i="1"/>
  <c r="D377" i="1" s="1"/>
  <c r="E377" i="1" s="1"/>
  <c r="C378" i="1"/>
  <c r="D378" i="1" s="1"/>
  <c r="E378" i="1" s="1"/>
  <c r="C379" i="1"/>
  <c r="D379" i="1"/>
  <c r="E379" i="1" s="1"/>
  <c r="C380" i="1"/>
  <c r="D380" i="1" s="1"/>
  <c r="E380" i="1" s="1"/>
  <c r="C381" i="1"/>
  <c r="D381" i="1" s="1"/>
  <c r="E381" i="1" s="1"/>
  <c r="C382" i="1"/>
  <c r="D382" i="1" s="1"/>
  <c r="E382" i="1" s="1"/>
  <c r="C383" i="1"/>
  <c r="D383" i="1" s="1"/>
  <c r="E383" i="1" s="1"/>
  <c r="C384" i="1"/>
  <c r="D384" i="1" s="1"/>
  <c r="E384" i="1" s="1"/>
  <c r="C385" i="1"/>
  <c r="D385" i="1"/>
  <c r="E385" i="1" s="1"/>
  <c r="C386" i="1"/>
  <c r="D386" i="1" s="1"/>
  <c r="E386" i="1" s="1"/>
  <c r="C387" i="1"/>
  <c r="D387" i="1" s="1"/>
  <c r="E387" i="1" s="1"/>
  <c r="C388" i="1"/>
  <c r="D388" i="1"/>
  <c r="E388" i="1" s="1"/>
  <c r="C389" i="1"/>
  <c r="D389" i="1"/>
  <c r="E389" i="1" s="1"/>
  <c r="C390" i="1"/>
  <c r="D390" i="1" s="1"/>
  <c r="E390" i="1" s="1"/>
  <c r="C391" i="1"/>
  <c r="D391" i="1" s="1"/>
  <c r="E391" i="1" s="1"/>
  <c r="C392" i="1"/>
  <c r="D392" i="1" s="1"/>
  <c r="E392" i="1" s="1"/>
  <c r="C393" i="1"/>
  <c r="D393" i="1" s="1"/>
  <c r="E393" i="1" s="1"/>
  <c r="C394" i="1"/>
  <c r="D394" i="1"/>
  <c r="E394" i="1" s="1"/>
  <c r="C395" i="1"/>
  <c r="D395" i="1" s="1"/>
  <c r="E395" i="1" s="1"/>
  <c r="C396" i="1"/>
  <c r="D396" i="1"/>
  <c r="E396" i="1" s="1"/>
  <c r="C397" i="1"/>
  <c r="D397" i="1" s="1"/>
  <c r="E397" i="1" s="1"/>
  <c r="C398" i="1"/>
  <c r="D398" i="1" s="1"/>
  <c r="E398" i="1" s="1"/>
  <c r="C399" i="1"/>
  <c r="D399" i="1" s="1"/>
  <c r="E399" i="1" s="1"/>
  <c r="C400" i="1"/>
  <c r="D400" i="1"/>
  <c r="E400" i="1" s="1"/>
  <c r="C401" i="1"/>
  <c r="D401" i="1" s="1"/>
  <c r="E401" i="1" s="1"/>
  <c r="C402" i="1"/>
  <c r="D402" i="1"/>
  <c r="E402" i="1" s="1"/>
  <c r="C403" i="1"/>
  <c r="D403" i="1" s="1"/>
  <c r="E403" i="1" s="1"/>
  <c r="C404" i="1"/>
  <c r="D404" i="1" s="1"/>
  <c r="E404" i="1" s="1"/>
  <c r="C405" i="1"/>
  <c r="D405" i="1" s="1"/>
  <c r="E405" i="1"/>
  <c r="C406" i="1"/>
  <c r="D406" i="1" s="1"/>
  <c r="E406" i="1"/>
  <c r="C407" i="1"/>
  <c r="D407" i="1" s="1"/>
  <c r="E407" i="1"/>
  <c r="C408" i="1"/>
  <c r="D408" i="1" s="1"/>
  <c r="E408" i="1" s="1"/>
  <c r="C409" i="1"/>
  <c r="D409" i="1" s="1"/>
  <c r="E409" i="1" s="1"/>
  <c r="C410" i="1"/>
  <c r="D410" i="1" s="1"/>
  <c r="E410" i="1" s="1"/>
  <c r="C411" i="1"/>
  <c r="D411" i="1" s="1"/>
  <c r="E411" i="1" s="1"/>
  <c r="C412" i="1"/>
  <c r="D412" i="1" s="1"/>
  <c r="E412" i="1" s="1"/>
  <c r="C413" i="1"/>
  <c r="D413" i="1" s="1"/>
  <c r="E413" i="1" s="1"/>
  <c r="C414" i="1"/>
  <c r="D414" i="1" s="1"/>
  <c r="E414" i="1" s="1"/>
  <c r="C415" i="1"/>
  <c r="D415" i="1" s="1"/>
  <c r="E415" i="1" s="1"/>
  <c r="C416" i="1"/>
  <c r="D416" i="1" s="1"/>
  <c r="E416" i="1" s="1"/>
  <c r="C417" i="1"/>
  <c r="D417" i="1" s="1"/>
  <c r="E417" i="1" s="1"/>
  <c r="C418" i="1"/>
  <c r="D418" i="1" s="1"/>
  <c r="E418" i="1" s="1"/>
  <c r="C419" i="1"/>
  <c r="D419" i="1" s="1"/>
  <c r="E419" i="1" s="1"/>
  <c r="C420" i="1"/>
  <c r="D420" i="1" s="1"/>
  <c r="E420" i="1" s="1"/>
  <c r="C421" i="1"/>
  <c r="D421" i="1" s="1"/>
  <c r="E421" i="1" s="1"/>
  <c r="C422" i="1"/>
  <c r="D422" i="1" s="1"/>
  <c r="E422" i="1"/>
  <c r="C423" i="1"/>
  <c r="D423" i="1" s="1"/>
  <c r="E423" i="1"/>
  <c r="C424" i="1"/>
  <c r="D424" i="1" s="1"/>
  <c r="E424" i="1"/>
  <c r="C425" i="1"/>
  <c r="D425" i="1"/>
  <c r="E425" i="1" s="1"/>
  <c r="C426" i="1"/>
  <c r="D426" i="1"/>
  <c r="E426" i="1" s="1"/>
  <c r="C427" i="1"/>
  <c r="D427" i="1" s="1"/>
  <c r="E427" i="1" s="1"/>
  <c r="C428" i="1"/>
  <c r="D428" i="1"/>
  <c r="E428" i="1" s="1"/>
  <c r="C429" i="1"/>
  <c r="D429" i="1"/>
  <c r="E429" i="1" s="1"/>
  <c r="C430" i="1"/>
  <c r="D430" i="1"/>
  <c r="E430" i="1" s="1"/>
  <c r="C431" i="1"/>
  <c r="D431" i="1" s="1"/>
  <c r="E431" i="1" s="1"/>
  <c r="C432" i="1"/>
  <c r="D432" i="1" s="1"/>
  <c r="E432" i="1" s="1"/>
  <c r="C433" i="1"/>
  <c r="D433" i="1"/>
  <c r="E433" i="1" s="1"/>
  <c r="C434" i="1"/>
  <c r="D434" i="1" s="1"/>
  <c r="E434" i="1" s="1"/>
  <c r="C435" i="1"/>
  <c r="D435" i="1" s="1"/>
  <c r="E435" i="1" s="1"/>
  <c r="C436" i="1"/>
  <c r="D436" i="1" s="1"/>
  <c r="E436" i="1" s="1"/>
  <c r="C437" i="1"/>
  <c r="D437" i="1"/>
  <c r="E437" i="1" s="1"/>
  <c r="C438" i="1"/>
  <c r="D438" i="1" s="1"/>
  <c r="E438" i="1" s="1"/>
  <c r="C439" i="1"/>
  <c r="D439" i="1" s="1"/>
  <c r="E439" i="1" s="1"/>
  <c r="C440" i="1"/>
  <c r="D440" i="1" s="1"/>
  <c r="E440" i="1" s="1"/>
  <c r="C441" i="1"/>
  <c r="D441" i="1" s="1"/>
  <c r="E441" i="1"/>
  <c r="C442" i="1"/>
  <c r="D442" i="1" s="1"/>
  <c r="E442" i="1" s="1"/>
  <c r="C443" i="1"/>
  <c r="D443" i="1" s="1"/>
  <c r="E443" i="1" s="1"/>
  <c r="C444" i="1"/>
  <c r="D444" i="1" s="1"/>
  <c r="E444" i="1" s="1"/>
  <c r="C445" i="1"/>
  <c r="D445" i="1"/>
  <c r="E445" i="1" s="1"/>
  <c r="C446" i="1"/>
  <c r="D446" i="1" s="1"/>
  <c r="E446" i="1"/>
  <c r="C447" i="1"/>
  <c r="D447" i="1" s="1"/>
  <c r="E447" i="1"/>
  <c r="C448" i="1"/>
  <c r="D448" i="1"/>
  <c r="E448" i="1" s="1"/>
  <c r="C449" i="1"/>
  <c r="D449" i="1"/>
  <c r="E449" i="1" s="1"/>
  <c r="C450" i="1"/>
  <c r="D450" i="1"/>
  <c r="E450" i="1" s="1"/>
  <c r="C451" i="1"/>
  <c r="D451" i="1" s="1"/>
  <c r="E451" i="1" s="1"/>
  <c r="C452" i="1"/>
  <c r="D452" i="1" s="1"/>
  <c r="E452" i="1" s="1"/>
  <c r="C453" i="1"/>
  <c r="D453" i="1"/>
  <c r="E453" i="1" s="1"/>
  <c r="C454" i="1"/>
  <c r="D454" i="1" s="1"/>
  <c r="E454" i="1"/>
  <c r="C455" i="1"/>
  <c r="D455" i="1" s="1"/>
  <c r="E455" i="1"/>
  <c r="C456" i="1"/>
  <c r="D456" i="1" s="1"/>
  <c r="E456" i="1" s="1"/>
  <c r="C457" i="1"/>
  <c r="D457" i="1" s="1"/>
  <c r="E457" i="1" s="1"/>
  <c r="C458" i="1"/>
  <c r="D458" i="1" s="1"/>
  <c r="E458" i="1" s="1"/>
  <c r="C459" i="1"/>
  <c r="D459" i="1" s="1"/>
  <c r="E459" i="1" s="1"/>
  <c r="C460" i="1"/>
  <c r="D460" i="1" s="1"/>
  <c r="E460" i="1" s="1"/>
  <c r="C461" i="1"/>
  <c r="D461" i="1" s="1"/>
  <c r="E461" i="1" s="1"/>
  <c r="C462" i="1"/>
  <c r="D462" i="1" s="1"/>
  <c r="E462" i="1" s="1"/>
  <c r="C463" i="1"/>
  <c r="D463" i="1"/>
  <c r="E463" i="1" s="1"/>
  <c r="C464" i="1"/>
  <c r="D464" i="1" s="1"/>
  <c r="E464" i="1" s="1"/>
  <c r="C465" i="1"/>
  <c r="D465" i="1"/>
  <c r="E465" i="1" s="1"/>
  <c r="C466" i="1"/>
  <c r="D466" i="1"/>
  <c r="E466" i="1" s="1"/>
  <c r="C467" i="1"/>
  <c r="D467" i="1"/>
  <c r="E467" i="1" s="1"/>
  <c r="C468" i="1"/>
  <c r="D468" i="1" s="1"/>
  <c r="E468" i="1" s="1"/>
  <c r="C469" i="1"/>
  <c r="D469" i="1" s="1"/>
  <c r="E469" i="1" s="1"/>
  <c r="C470" i="1"/>
  <c r="D470" i="1" s="1"/>
  <c r="E470" i="1" s="1"/>
  <c r="C471" i="1"/>
  <c r="D471" i="1" s="1"/>
  <c r="E471" i="1" s="1"/>
  <c r="C472" i="1"/>
  <c r="D472" i="1" s="1"/>
  <c r="E472" i="1" s="1"/>
  <c r="C473" i="1"/>
  <c r="D473" i="1" s="1"/>
  <c r="E473" i="1" s="1"/>
  <c r="C474" i="1"/>
  <c r="D474" i="1"/>
  <c r="E474" i="1" s="1"/>
  <c r="C475" i="1"/>
  <c r="D475" i="1"/>
  <c r="E475" i="1" s="1"/>
  <c r="C476" i="1"/>
  <c r="D476" i="1"/>
  <c r="E476" i="1" s="1"/>
  <c r="C477" i="1"/>
  <c r="D477" i="1" s="1"/>
  <c r="E477" i="1" s="1"/>
  <c r="C478" i="1"/>
  <c r="D478" i="1" s="1"/>
  <c r="E478" i="1" s="1"/>
  <c r="C479" i="1"/>
  <c r="D479" i="1" s="1"/>
  <c r="E479" i="1" s="1"/>
  <c r="C480" i="1"/>
  <c r="D480" i="1" s="1"/>
  <c r="E480" i="1" s="1"/>
  <c r="C481" i="1"/>
  <c r="D481" i="1" s="1"/>
  <c r="E481" i="1" s="1"/>
  <c r="C482" i="1"/>
  <c r="D482" i="1" s="1"/>
  <c r="E482" i="1" s="1"/>
  <c r="C483" i="1"/>
  <c r="D483" i="1"/>
  <c r="E483" i="1" s="1"/>
  <c r="C484" i="1"/>
  <c r="D484" i="1" s="1"/>
  <c r="E484" i="1" s="1"/>
  <c r="C485" i="1"/>
  <c r="D485" i="1"/>
  <c r="E485" i="1" s="1"/>
  <c r="C486" i="1"/>
  <c r="D486" i="1" s="1"/>
  <c r="E486" i="1" s="1"/>
  <c r="C487" i="1"/>
  <c r="D487" i="1" s="1"/>
  <c r="E487" i="1"/>
  <c r="C488" i="1"/>
  <c r="D488" i="1" s="1"/>
  <c r="E488" i="1"/>
  <c r="C489" i="1"/>
  <c r="D489" i="1" s="1"/>
  <c r="E489" i="1" s="1"/>
  <c r="C490" i="1"/>
  <c r="D490" i="1" s="1"/>
  <c r="E490" i="1" s="1"/>
  <c r="C491" i="1"/>
  <c r="D491" i="1"/>
  <c r="E491" i="1" s="1"/>
  <c r="C492" i="1"/>
  <c r="D492" i="1" s="1"/>
  <c r="E492" i="1" s="1"/>
  <c r="C493" i="1"/>
  <c r="D493" i="1" s="1"/>
  <c r="E493" i="1" s="1"/>
  <c r="C494" i="1"/>
  <c r="D494" i="1" s="1"/>
  <c r="E494" i="1" s="1"/>
  <c r="C495" i="1"/>
  <c r="D495" i="1" s="1"/>
  <c r="E495" i="1" s="1"/>
  <c r="C496" i="1"/>
  <c r="D496" i="1" s="1"/>
  <c r="E496" i="1"/>
  <c r="C497" i="1"/>
  <c r="D497" i="1"/>
  <c r="E497" i="1" s="1"/>
  <c r="C498" i="1"/>
  <c r="D498" i="1" s="1"/>
  <c r="E498" i="1" s="1"/>
  <c r="C499" i="1"/>
  <c r="D499" i="1"/>
  <c r="E499" i="1" s="1"/>
  <c r="C500" i="1"/>
  <c r="D500" i="1" s="1"/>
  <c r="E500" i="1" s="1"/>
  <c r="C501" i="1"/>
  <c r="D501" i="1" s="1"/>
  <c r="E501" i="1" s="1"/>
  <c r="C502" i="1"/>
  <c r="D502" i="1" s="1"/>
  <c r="E502" i="1"/>
  <c r="C503" i="1"/>
  <c r="D503" i="1" s="1"/>
  <c r="E503" i="1"/>
  <c r="C504" i="1"/>
  <c r="D504" i="1" s="1"/>
  <c r="E504" i="1" s="1"/>
  <c r="C505" i="1"/>
  <c r="D505" i="1" s="1"/>
  <c r="E505" i="1" s="1"/>
  <c r="C506" i="1"/>
  <c r="D506" i="1" s="1"/>
  <c r="E506" i="1" s="1"/>
  <c r="C507" i="1"/>
  <c r="D507" i="1" s="1"/>
  <c r="E507" i="1" s="1"/>
  <c r="C508" i="1"/>
  <c r="D508" i="1" s="1"/>
  <c r="E508" i="1" s="1"/>
  <c r="C509" i="1"/>
  <c r="D509" i="1"/>
  <c r="E509" i="1" s="1"/>
  <c r="C510" i="1"/>
  <c r="D510" i="1" s="1"/>
  <c r="E510" i="1" s="1"/>
  <c r="C511" i="1"/>
  <c r="D511" i="1"/>
  <c r="E511" i="1" s="1"/>
  <c r="C512" i="1"/>
  <c r="D512" i="1" s="1"/>
  <c r="E512" i="1" s="1"/>
  <c r="C513" i="1"/>
  <c r="D513" i="1" s="1"/>
  <c r="E513" i="1" s="1"/>
  <c r="C514" i="1"/>
  <c r="D514" i="1"/>
  <c r="E514" i="1" s="1"/>
  <c r="C515" i="1"/>
  <c r="D515" i="1" s="1"/>
  <c r="E515" i="1" s="1"/>
  <c r="C516" i="1"/>
  <c r="D516" i="1" s="1"/>
  <c r="E516" i="1" s="1"/>
  <c r="C517" i="1"/>
  <c r="D517" i="1" s="1"/>
  <c r="E517" i="1" s="1"/>
  <c r="C518" i="1"/>
  <c r="D518" i="1" s="1"/>
  <c r="E518" i="1" s="1"/>
  <c r="C519" i="1"/>
  <c r="D519" i="1" s="1"/>
  <c r="E519" i="1" s="1"/>
  <c r="C520" i="1"/>
  <c r="D520" i="1" s="1"/>
  <c r="E520" i="1" s="1"/>
  <c r="C521" i="1"/>
  <c r="D521" i="1"/>
  <c r="E521" i="1" s="1"/>
  <c r="C522" i="1"/>
  <c r="D522" i="1"/>
  <c r="E522" i="1" s="1"/>
  <c r="C523" i="1"/>
  <c r="D523" i="1" s="1"/>
  <c r="E523" i="1" s="1"/>
  <c r="C524" i="1"/>
  <c r="D524" i="1" s="1"/>
  <c r="E524" i="1" s="1"/>
  <c r="C525" i="1"/>
  <c r="D525" i="1" s="1"/>
  <c r="E525" i="1" s="1"/>
  <c r="C526" i="1"/>
  <c r="D526" i="1" s="1"/>
  <c r="E526" i="1" s="1"/>
  <c r="C527" i="1"/>
  <c r="D527" i="1" s="1"/>
  <c r="E527" i="1" s="1"/>
  <c r="C528" i="1"/>
  <c r="D528" i="1" s="1"/>
  <c r="E528" i="1" s="1"/>
  <c r="C529" i="1"/>
  <c r="D529" i="1"/>
  <c r="E529" i="1" s="1"/>
  <c r="C530" i="1"/>
  <c r="D530" i="1"/>
  <c r="E530" i="1" s="1"/>
  <c r="C531" i="1"/>
  <c r="D531" i="1" s="1"/>
  <c r="E531" i="1" s="1"/>
  <c r="C532" i="1"/>
  <c r="D532" i="1" s="1"/>
  <c r="E532" i="1" s="1"/>
  <c r="C533" i="1"/>
  <c r="D533" i="1" s="1"/>
  <c r="E533" i="1" s="1"/>
  <c r="C534" i="1"/>
  <c r="D534" i="1" s="1"/>
  <c r="E534" i="1" s="1"/>
  <c r="C535" i="1"/>
  <c r="D535" i="1" s="1"/>
  <c r="E535" i="1" s="1"/>
  <c r="C536" i="1"/>
  <c r="D536" i="1" s="1"/>
  <c r="E536" i="1" s="1"/>
  <c r="C537" i="1"/>
  <c r="D537" i="1" s="1"/>
  <c r="E537" i="1" s="1"/>
  <c r="C538" i="1"/>
  <c r="D538" i="1"/>
  <c r="E538" i="1" s="1"/>
  <c r="C539" i="1"/>
  <c r="D539" i="1" s="1"/>
  <c r="E539" i="1" s="1"/>
  <c r="C540" i="1"/>
  <c r="D540" i="1" s="1"/>
  <c r="E540" i="1" s="1"/>
  <c r="C541" i="1"/>
  <c r="D541" i="1" s="1"/>
  <c r="E541" i="1" s="1"/>
  <c r="C542" i="1"/>
  <c r="D542" i="1" s="1"/>
  <c r="E542" i="1" s="1"/>
  <c r="C543" i="1"/>
  <c r="D543" i="1"/>
  <c r="E543" i="1" s="1"/>
  <c r="C544" i="1"/>
  <c r="D544" i="1" s="1"/>
  <c r="E544" i="1" s="1"/>
  <c r="C545" i="1"/>
  <c r="D545" i="1" s="1"/>
  <c r="E545" i="1" s="1"/>
  <c r="C546" i="1"/>
  <c r="D546" i="1" s="1"/>
  <c r="E546" i="1" s="1"/>
  <c r="C547" i="1"/>
  <c r="D547" i="1" s="1"/>
  <c r="E547" i="1" s="1"/>
  <c r="C548" i="1"/>
  <c r="D548" i="1"/>
  <c r="E548" i="1" s="1"/>
  <c r="C549" i="1"/>
  <c r="D549" i="1" s="1"/>
  <c r="E549" i="1" s="1"/>
  <c r="C550" i="1"/>
  <c r="D550" i="1" s="1"/>
  <c r="E550" i="1" s="1"/>
  <c r="C551" i="1"/>
  <c r="D551" i="1" s="1"/>
  <c r="E551" i="1" s="1"/>
  <c r="C552" i="1"/>
  <c r="D552" i="1" s="1"/>
  <c r="E552" i="1"/>
  <c r="C553" i="1"/>
  <c r="D553" i="1"/>
  <c r="E553" i="1" s="1"/>
  <c r="C554" i="1"/>
  <c r="D554" i="1" s="1"/>
  <c r="E554" i="1" s="1"/>
  <c r="C555" i="1"/>
  <c r="D555" i="1"/>
  <c r="E555" i="1" s="1"/>
  <c r="C556" i="1"/>
  <c r="D556" i="1"/>
  <c r="E556" i="1" s="1"/>
  <c r="C557" i="1"/>
  <c r="D557" i="1" s="1"/>
  <c r="E557" i="1" s="1"/>
  <c r="C558" i="1"/>
  <c r="D558" i="1" s="1"/>
  <c r="E558" i="1" s="1"/>
  <c r="C559" i="1"/>
  <c r="D559" i="1"/>
  <c r="E559" i="1" s="1"/>
  <c r="C560" i="1"/>
  <c r="D560" i="1" s="1"/>
  <c r="E560" i="1" s="1"/>
  <c r="C561" i="1"/>
  <c r="D561" i="1"/>
  <c r="E561" i="1" s="1"/>
  <c r="C562" i="1"/>
  <c r="D562" i="1"/>
  <c r="E562" i="1" s="1"/>
  <c r="C563" i="1"/>
  <c r="D563" i="1" s="1"/>
  <c r="E563" i="1" s="1"/>
  <c r="C564" i="1"/>
  <c r="D564" i="1"/>
  <c r="E564" i="1" s="1"/>
  <c r="C565" i="1"/>
  <c r="D565" i="1"/>
  <c r="E565" i="1" s="1"/>
  <c r="C566" i="1"/>
  <c r="D566" i="1" s="1"/>
  <c r="E566" i="1" s="1"/>
  <c r="C567" i="1"/>
  <c r="D567" i="1" s="1"/>
  <c r="E567" i="1" s="1"/>
  <c r="C568" i="1"/>
  <c r="D568" i="1" s="1"/>
  <c r="E568" i="1" s="1"/>
  <c r="C569" i="1"/>
  <c r="D569" i="1" s="1"/>
  <c r="E569" i="1" s="1"/>
  <c r="C570" i="1"/>
  <c r="D570" i="1" s="1"/>
  <c r="E570" i="1" s="1"/>
  <c r="C571" i="1"/>
  <c r="D571" i="1" s="1"/>
  <c r="E571" i="1" s="1"/>
  <c r="C572" i="1"/>
  <c r="D572" i="1"/>
  <c r="E572" i="1" s="1"/>
  <c r="C573" i="1"/>
  <c r="D573" i="1"/>
  <c r="E573" i="1" s="1"/>
  <c r="C574" i="1"/>
  <c r="D574" i="1"/>
  <c r="E574" i="1" s="1"/>
  <c r="C575" i="1"/>
  <c r="D575" i="1" s="1"/>
  <c r="E575" i="1" s="1"/>
  <c r="C576" i="1"/>
  <c r="D576" i="1" s="1"/>
  <c r="E576" i="1" s="1"/>
  <c r="C577" i="1"/>
  <c r="D577" i="1"/>
  <c r="E577" i="1" s="1"/>
  <c r="C578" i="1"/>
  <c r="D578" i="1" s="1"/>
  <c r="E578" i="1" s="1"/>
  <c r="C579" i="1"/>
  <c r="D579" i="1"/>
  <c r="E579" i="1" s="1"/>
  <c r="C580" i="1"/>
  <c r="D580" i="1" s="1"/>
  <c r="E580" i="1" s="1"/>
  <c r="C581" i="1"/>
  <c r="D581" i="1"/>
  <c r="E581" i="1" s="1"/>
  <c r="C582" i="1"/>
  <c r="D582" i="1" s="1"/>
  <c r="E582" i="1" s="1"/>
  <c r="C583" i="1"/>
  <c r="D583" i="1" s="1"/>
  <c r="E583" i="1" s="1"/>
  <c r="C584" i="1"/>
  <c r="D584" i="1" s="1"/>
  <c r="E584" i="1" s="1"/>
  <c r="C585" i="1"/>
  <c r="D585" i="1"/>
  <c r="E585" i="1" s="1"/>
  <c r="C586" i="1"/>
  <c r="D586" i="1"/>
  <c r="E586" i="1" s="1"/>
  <c r="C587" i="1"/>
  <c r="D587" i="1" s="1"/>
  <c r="E587" i="1" s="1"/>
  <c r="C588" i="1"/>
  <c r="D588" i="1" s="1"/>
  <c r="E588" i="1" s="1"/>
  <c r="C589" i="1"/>
  <c r="D589" i="1"/>
  <c r="E589" i="1" s="1"/>
  <c r="C590" i="1"/>
  <c r="D590" i="1"/>
  <c r="E590" i="1" s="1"/>
  <c r="C591" i="1"/>
  <c r="D591" i="1" s="1"/>
  <c r="E591" i="1" s="1"/>
  <c r="C592" i="1"/>
  <c r="D592" i="1" s="1"/>
  <c r="E592" i="1" s="1"/>
  <c r="C593" i="1"/>
  <c r="D593" i="1" s="1"/>
  <c r="E593" i="1" s="1"/>
  <c r="C594" i="1"/>
  <c r="D594" i="1"/>
  <c r="E594" i="1" s="1"/>
  <c r="C595" i="1"/>
  <c r="D595" i="1"/>
  <c r="E595" i="1" s="1"/>
  <c r="C596" i="1"/>
  <c r="D596" i="1" s="1"/>
  <c r="E596" i="1" s="1"/>
  <c r="C597" i="1"/>
  <c r="D597" i="1" s="1"/>
  <c r="E597" i="1" s="1"/>
  <c r="C598" i="1"/>
  <c r="D598" i="1" s="1"/>
  <c r="E598" i="1" s="1"/>
  <c r="C599" i="1"/>
  <c r="D599" i="1" s="1"/>
  <c r="E599" i="1" s="1"/>
  <c r="C600" i="1"/>
  <c r="D600" i="1" s="1"/>
  <c r="E600" i="1" s="1"/>
  <c r="C601" i="1"/>
  <c r="D601" i="1" s="1"/>
  <c r="E601" i="1" s="1"/>
  <c r="C602" i="1"/>
  <c r="D602" i="1" s="1"/>
  <c r="E602" i="1" s="1"/>
  <c r="C603" i="1"/>
  <c r="D603" i="1"/>
  <c r="E603" i="1" s="1"/>
  <c r="C604" i="1"/>
  <c r="D604" i="1" s="1"/>
  <c r="E604" i="1" s="1"/>
  <c r="C605" i="1"/>
  <c r="D605" i="1" s="1"/>
  <c r="E605" i="1" s="1"/>
  <c r="C606" i="1"/>
  <c r="D606" i="1" s="1"/>
  <c r="E606" i="1" s="1"/>
  <c r="C607" i="1"/>
  <c r="D607" i="1" s="1"/>
  <c r="E607" i="1" s="1"/>
  <c r="C608" i="1"/>
  <c r="D608" i="1" s="1"/>
  <c r="E608" i="1" s="1"/>
  <c r="C609" i="1"/>
  <c r="D609" i="1"/>
  <c r="E609" i="1" s="1"/>
  <c r="C610" i="1"/>
  <c r="D610" i="1"/>
  <c r="E610" i="1" s="1"/>
  <c r="C611" i="1"/>
  <c r="D611" i="1"/>
  <c r="E611" i="1" s="1"/>
  <c r="C612" i="1"/>
  <c r="D612" i="1" s="1"/>
  <c r="E612" i="1" s="1"/>
  <c r="C613" i="1"/>
  <c r="D613" i="1" s="1"/>
  <c r="E613" i="1" s="1"/>
  <c r="C614" i="1"/>
  <c r="D614" i="1" s="1"/>
  <c r="E614" i="1" s="1"/>
  <c r="C615" i="1"/>
  <c r="D615" i="1" s="1"/>
  <c r="E615" i="1"/>
  <c r="C616" i="1"/>
  <c r="D616" i="1" s="1"/>
  <c r="E616" i="1"/>
  <c r="C617" i="1"/>
  <c r="D617" i="1" s="1"/>
  <c r="E617" i="1" s="1"/>
  <c r="C618" i="1"/>
  <c r="D618" i="1" s="1"/>
  <c r="E618" i="1" s="1"/>
  <c r="C619" i="1"/>
  <c r="D619" i="1"/>
  <c r="E619" i="1" s="1"/>
  <c r="C620" i="1"/>
  <c r="D620" i="1"/>
  <c r="E620" i="1" s="1"/>
  <c r="C621" i="1"/>
  <c r="D621" i="1" s="1"/>
  <c r="E621" i="1" s="1"/>
  <c r="C622" i="1"/>
  <c r="D622" i="1" s="1"/>
  <c r="E622" i="1" s="1"/>
  <c r="C623" i="1"/>
  <c r="D623" i="1" s="1"/>
  <c r="E623" i="1" s="1"/>
  <c r="C624" i="1"/>
  <c r="D624" i="1" s="1"/>
  <c r="E624" i="1" s="1"/>
  <c r="C625" i="1"/>
  <c r="D625" i="1"/>
  <c r="E625" i="1" s="1"/>
  <c r="C626" i="1"/>
  <c r="D626" i="1" s="1"/>
  <c r="E626" i="1" s="1"/>
  <c r="C627" i="1"/>
  <c r="D627" i="1" s="1"/>
  <c r="E627" i="1" s="1"/>
  <c r="C628" i="1"/>
  <c r="D628" i="1"/>
  <c r="E628" i="1" s="1"/>
  <c r="C629" i="1"/>
  <c r="D629" i="1" s="1"/>
  <c r="E629" i="1" s="1"/>
  <c r="C630" i="1"/>
  <c r="D630" i="1" s="1"/>
  <c r="E630" i="1" s="1"/>
  <c r="C631" i="1"/>
  <c r="D631" i="1" s="1"/>
  <c r="E631" i="1"/>
  <c r="C632" i="1"/>
  <c r="D632" i="1" s="1"/>
  <c r="E632" i="1"/>
  <c r="C633" i="1"/>
  <c r="D633" i="1" s="1"/>
  <c r="E633" i="1"/>
  <c r="C634" i="1"/>
  <c r="D634" i="1" s="1"/>
  <c r="E634" i="1"/>
  <c r="C635" i="1"/>
  <c r="D635" i="1"/>
  <c r="E635" i="1" s="1"/>
  <c r="C636" i="1"/>
  <c r="D636" i="1"/>
  <c r="E636" i="1" s="1"/>
  <c r="C637" i="1"/>
  <c r="D637" i="1" s="1"/>
  <c r="E637" i="1" s="1"/>
  <c r="C638" i="1"/>
  <c r="D638" i="1" s="1"/>
  <c r="E638" i="1" s="1"/>
  <c r="C639" i="1"/>
  <c r="D639" i="1" s="1"/>
  <c r="E639" i="1" s="1"/>
  <c r="C640" i="1"/>
  <c r="D640" i="1" s="1"/>
  <c r="E640" i="1" s="1"/>
  <c r="C641" i="1"/>
  <c r="D641" i="1"/>
  <c r="E641" i="1" s="1"/>
  <c r="C642" i="1"/>
  <c r="D642" i="1" s="1"/>
  <c r="E642" i="1" s="1"/>
  <c r="C643" i="1"/>
  <c r="D643" i="1" s="1"/>
  <c r="E643" i="1" s="1"/>
  <c r="C644" i="1"/>
  <c r="D644" i="1" s="1"/>
  <c r="E644" i="1" s="1"/>
  <c r="C645" i="1"/>
  <c r="D645" i="1" s="1"/>
  <c r="E645" i="1" s="1"/>
  <c r="C646" i="1"/>
  <c r="D646" i="1" s="1"/>
  <c r="E646" i="1" s="1"/>
  <c r="C647" i="1"/>
  <c r="D647" i="1"/>
  <c r="E647" i="1" s="1"/>
  <c r="C648" i="1"/>
  <c r="D648" i="1" s="1"/>
  <c r="E648" i="1" s="1"/>
  <c r="C649" i="1"/>
  <c r="D649" i="1" s="1"/>
  <c r="E649" i="1" s="1"/>
  <c r="C650" i="1"/>
  <c r="D650" i="1" s="1"/>
  <c r="E650" i="1" s="1"/>
  <c r="C651" i="1"/>
  <c r="D651" i="1" s="1"/>
  <c r="E651" i="1" s="1"/>
  <c r="C652" i="1"/>
  <c r="D652" i="1" s="1"/>
  <c r="E652" i="1" s="1"/>
  <c r="C653" i="1"/>
  <c r="D653" i="1" s="1"/>
  <c r="E653" i="1" s="1"/>
  <c r="C654" i="1"/>
  <c r="D654" i="1" s="1"/>
  <c r="E654" i="1" s="1"/>
  <c r="C655" i="1"/>
  <c r="D655" i="1" s="1"/>
  <c r="E655" i="1" s="1"/>
  <c r="C656" i="1"/>
  <c r="D656" i="1"/>
  <c r="E656" i="1" s="1"/>
  <c r="C657" i="1"/>
  <c r="D657" i="1"/>
  <c r="E657" i="1" s="1"/>
  <c r="C658" i="1"/>
  <c r="D658" i="1"/>
  <c r="E658" i="1" s="1"/>
  <c r="C659" i="1"/>
  <c r="D659" i="1" s="1"/>
  <c r="E659" i="1" s="1"/>
  <c r="C660" i="1"/>
  <c r="D660" i="1" s="1"/>
  <c r="E660" i="1" s="1"/>
  <c r="C661" i="1"/>
  <c r="D661" i="1" s="1"/>
  <c r="E661" i="1" s="1"/>
  <c r="C662" i="1"/>
  <c r="D662" i="1" s="1"/>
  <c r="E662" i="1" s="1"/>
  <c r="C663" i="1"/>
  <c r="D663" i="1" s="1"/>
  <c r="E663" i="1" s="1"/>
  <c r="C664" i="1"/>
  <c r="D664" i="1" s="1"/>
  <c r="E664" i="1"/>
  <c r="C665" i="1"/>
  <c r="D665" i="1" s="1"/>
  <c r="E665" i="1" s="1"/>
  <c r="C666" i="1"/>
  <c r="D666" i="1" s="1"/>
  <c r="E666" i="1" s="1"/>
  <c r="C667" i="1"/>
  <c r="D667" i="1" s="1"/>
  <c r="E667" i="1" s="1"/>
  <c r="C668" i="1"/>
  <c r="D668" i="1" s="1"/>
  <c r="E668" i="1" s="1"/>
  <c r="C669" i="1"/>
  <c r="D669" i="1" s="1"/>
  <c r="E669" i="1" s="1"/>
  <c r="C670" i="1"/>
  <c r="D670" i="1" s="1"/>
  <c r="E670" i="1" s="1"/>
  <c r="C671" i="1"/>
  <c r="D671" i="1" s="1"/>
  <c r="E671" i="1" s="1"/>
  <c r="C672" i="1"/>
  <c r="D672" i="1" s="1"/>
  <c r="E672" i="1" s="1"/>
  <c r="C673" i="1"/>
  <c r="D673" i="1" s="1"/>
  <c r="E673" i="1" s="1"/>
  <c r="C674" i="1"/>
  <c r="D674" i="1" s="1"/>
  <c r="E674" i="1" s="1"/>
  <c r="C675" i="1"/>
  <c r="D675" i="1"/>
  <c r="E675" i="1" s="1"/>
  <c r="C676" i="1"/>
  <c r="D676" i="1" s="1"/>
  <c r="E676" i="1" s="1"/>
  <c r="C677" i="1"/>
  <c r="D677" i="1"/>
  <c r="E677" i="1" s="1"/>
  <c r="C678" i="1"/>
  <c r="D678" i="1" s="1"/>
  <c r="E678" i="1"/>
  <c r="C679" i="1"/>
  <c r="D679" i="1"/>
  <c r="E679" i="1" s="1"/>
  <c r="C680" i="1"/>
  <c r="D680" i="1" s="1"/>
  <c r="E680" i="1"/>
  <c r="C681" i="1"/>
  <c r="D681" i="1"/>
  <c r="E681" i="1" s="1"/>
  <c r="C682" i="1"/>
  <c r="D682" i="1" s="1"/>
  <c r="E682" i="1" s="1"/>
  <c r="C683" i="1"/>
  <c r="D683" i="1" s="1"/>
  <c r="E683" i="1" s="1"/>
  <c r="C684" i="1"/>
  <c r="D684" i="1" s="1"/>
  <c r="E684" i="1" s="1"/>
  <c r="C685" i="1"/>
  <c r="D685" i="1" s="1"/>
  <c r="E685" i="1" s="1"/>
  <c r="C686" i="1"/>
  <c r="D686" i="1" s="1"/>
  <c r="E686" i="1" s="1"/>
  <c r="C687" i="1"/>
  <c r="D687" i="1" s="1"/>
  <c r="E687" i="1" s="1"/>
  <c r="C688" i="1"/>
  <c r="D688" i="1"/>
  <c r="E688" i="1" s="1"/>
  <c r="C689" i="1"/>
  <c r="D689" i="1"/>
  <c r="E689" i="1" s="1"/>
  <c r="C690" i="1"/>
  <c r="D690" i="1" s="1"/>
  <c r="E690" i="1" s="1"/>
  <c r="C691" i="1"/>
  <c r="D691" i="1" s="1"/>
  <c r="E691" i="1" s="1"/>
  <c r="C692" i="1"/>
  <c r="D692" i="1" s="1"/>
  <c r="E692" i="1" s="1"/>
  <c r="C693" i="1"/>
  <c r="D693" i="1" s="1"/>
  <c r="E693" i="1" s="1"/>
  <c r="C694" i="1"/>
  <c r="D694" i="1" s="1"/>
  <c r="E694" i="1" s="1"/>
  <c r="C695" i="1"/>
  <c r="D695" i="1" s="1"/>
  <c r="E695" i="1" s="1"/>
  <c r="C696" i="1"/>
  <c r="D696" i="1" s="1"/>
  <c r="E696" i="1" s="1"/>
  <c r="C697" i="1"/>
  <c r="D697" i="1" s="1"/>
  <c r="E697" i="1" s="1"/>
  <c r="C698" i="1"/>
  <c r="D698" i="1" s="1"/>
  <c r="E698" i="1" s="1"/>
  <c r="C699" i="1"/>
  <c r="D699" i="1"/>
  <c r="E699" i="1" s="1"/>
  <c r="C700" i="1"/>
  <c r="D700" i="1" s="1"/>
  <c r="E700" i="1" s="1"/>
  <c r="C701" i="1"/>
  <c r="D701" i="1" s="1"/>
  <c r="E701" i="1" s="1"/>
  <c r="C702" i="1"/>
  <c r="D702" i="1" s="1"/>
  <c r="E702" i="1" s="1"/>
  <c r="C703" i="1"/>
  <c r="D703" i="1" s="1"/>
  <c r="E703" i="1" s="1"/>
  <c r="C704" i="1"/>
  <c r="D704" i="1" s="1"/>
  <c r="E704" i="1" s="1"/>
  <c r="C705" i="1"/>
  <c r="D705" i="1" s="1"/>
  <c r="E705" i="1" s="1"/>
  <c r="C706" i="1"/>
  <c r="D706" i="1" s="1"/>
  <c r="E706" i="1" s="1"/>
  <c r="C707" i="1"/>
  <c r="D707" i="1"/>
  <c r="E707" i="1" s="1"/>
  <c r="C708" i="1"/>
  <c r="D708" i="1" s="1"/>
  <c r="E708" i="1" s="1"/>
  <c r="C709" i="1"/>
  <c r="D709" i="1" s="1"/>
  <c r="E709" i="1" s="1"/>
  <c r="C710" i="1"/>
  <c r="D710" i="1" s="1"/>
  <c r="E710" i="1" s="1"/>
  <c r="C711" i="1"/>
  <c r="D711" i="1"/>
  <c r="E711" i="1" s="1"/>
  <c r="C712" i="1"/>
  <c r="D712" i="1" s="1"/>
  <c r="E712" i="1" s="1"/>
  <c r="C713" i="1"/>
  <c r="D713" i="1" s="1"/>
  <c r="E713" i="1" s="1"/>
  <c r="C714" i="1"/>
  <c r="D714" i="1" s="1"/>
  <c r="E714" i="1" s="1"/>
  <c r="C715" i="1"/>
  <c r="D715" i="1" s="1"/>
  <c r="E715" i="1" s="1"/>
  <c r="C716" i="1"/>
  <c r="D716" i="1" s="1"/>
  <c r="E716" i="1" s="1"/>
  <c r="C717" i="1"/>
  <c r="D717" i="1"/>
  <c r="E717" i="1" s="1"/>
  <c r="C718" i="1"/>
  <c r="D718" i="1" s="1"/>
  <c r="E718" i="1" s="1"/>
  <c r="C719" i="1"/>
  <c r="D719" i="1"/>
  <c r="E719" i="1" s="1"/>
  <c r="F719" i="1" s="1" a="1"/>
  <c r="F719" i="1" s="1"/>
  <c r="C720" i="1"/>
  <c r="D720" i="1" s="1"/>
  <c r="E720" i="1" s="1"/>
  <c r="F720" i="1" s="1" a="1"/>
  <c r="F720" i="1" s="1"/>
  <c r="C721" i="1"/>
  <c r="D721" i="1" s="1"/>
  <c r="E721" i="1" s="1"/>
  <c r="F721" i="1" s="1" a="1"/>
  <c r="F721" i="1" s="1"/>
  <c r="C722" i="1"/>
  <c r="D722" i="1" s="1"/>
  <c r="E722" i="1" s="1"/>
  <c r="F722" i="1" s="1" a="1"/>
  <c r="F722" i="1" s="1"/>
  <c r="C723" i="1"/>
  <c r="D723" i="1" s="1"/>
  <c r="E723" i="1" s="1"/>
  <c r="F723" i="1" s="1" a="1"/>
  <c r="F723" i="1" s="1"/>
  <c r="C724" i="1"/>
  <c r="D724" i="1" s="1"/>
  <c r="E724" i="1" s="1"/>
  <c r="F724" i="1" s="1" a="1"/>
  <c r="F724" i="1" s="1"/>
  <c r="C725" i="1"/>
  <c r="D725" i="1"/>
  <c r="E725" i="1" s="1"/>
  <c r="F725" i="1" s="1" a="1"/>
  <c r="F725" i="1" s="1"/>
  <c r="C726" i="1"/>
  <c r="D726" i="1" s="1"/>
  <c r="E726" i="1"/>
  <c r="F726" i="1" s="1" a="1"/>
  <c r="F726" i="1" s="1"/>
  <c r="C727" i="1"/>
  <c r="D727" i="1" s="1"/>
  <c r="E727" i="1" s="1"/>
  <c r="F727" i="1" s="1" a="1"/>
  <c r="F727" i="1" s="1"/>
  <c r="C728" i="1"/>
  <c r="D728" i="1" s="1"/>
  <c r="E728" i="1" s="1"/>
  <c r="F728" i="1" s="1" a="1"/>
  <c r="F728" i="1" s="1"/>
  <c r="C729" i="1"/>
  <c r="D729" i="1" s="1"/>
  <c r="E729" i="1" s="1"/>
  <c r="F729" i="1" s="1" a="1"/>
  <c r="F729" i="1" s="1"/>
  <c r="C730" i="1"/>
  <c r="D730" i="1" s="1"/>
  <c r="E730" i="1" s="1"/>
  <c r="F730" i="1" s="1" a="1"/>
  <c r="F730" i="1" s="1"/>
  <c r="C731" i="1"/>
  <c r="D731" i="1" s="1"/>
  <c r="E731" i="1" s="1"/>
  <c r="F731" i="1" s="1" a="1"/>
  <c r="F731" i="1" s="1"/>
  <c r="C732" i="1"/>
  <c r="D732" i="1" s="1"/>
  <c r="E732" i="1" s="1"/>
  <c r="F732" i="1" s="1" a="1"/>
  <c r="F732" i="1" s="1"/>
  <c r="C733" i="1"/>
  <c r="D733" i="1"/>
  <c r="E733" i="1" s="1"/>
  <c r="F733" i="1" s="1" a="1"/>
  <c r="F733" i="1" s="1"/>
  <c r="C734" i="1"/>
  <c r="D734" i="1" s="1"/>
  <c r="E734" i="1" s="1"/>
  <c r="F734" i="1" s="1" a="1"/>
  <c r="F734" i="1" s="1"/>
  <c r="C735" i="1"/>
  <c r="D735" i="1" s="1"/>
  <c r="E735" i="1" s="1"/>
  <c r="F735" i="1" s="1" a="1"/>
  <c r="F735" i="1" s="1"/>
  <c r="C736" i="1"/>
  <c r="D736" i="1" s="1"/>
  <c r="E736" i="1" s="1"/>
  <c r="F736" i="1" s="1" a="1"/>
  <c r="F736" i="1" s="1"/>
  <c r="C737" i="1"/>
  <c r="D737" i="1" s="1"/>
  <c r="E737" i="1" s="1"/>
  <c r="F737" i="1" s="1" a="1"/>
  <c r="F737" i="1" s="1"/>
  <c r="C738" i="1"/>
  <c r="D738" i="1"/>
  <c r="E738" i="1" s="1"/>
  <c r="F738" i="1" s="1" a="1"/>
  <c r="F738" i="1" s="1"/>
  <c r="C739" i="1"/>
  <c r="D739" i="1" s="1"/>
  <c r="E739" i="1" s="1"/>
  <c r="F739" i="1" s="1" a="1"/>
  <c r="F739" i="1" s="1"/>
  <c r="C740" i="1"/>
  <c r="D740" i="1" s="1"/>
  <c r="E740" i="1" s="1"/>
  <c r="F740" i="1" s="1" a="1"/>
  <c r="F740" i="1" s="1"/>
  <c r="C741" i="1"/>
  <c r="D741" i="1"/>
  <c r="E741" i="1" s="1"/>
  <c r="F741" i="1" s="1" a="1"/>
  <c r="F741" i="1" s="1"/>
  <c r="C742" i="1"/>
  <c r="D742" i="1" s="1"/>
  <c r="E742" i="1" s="1"/>
  <c r="F742" i="1" s="1" a="1"/>
  <c r="F742" i="1" s="1"/>
  <c r="C743" i="1"/>
  <c r="D743" i="1" s="1"/>
  <c r="E743" i="1" s="1"/>
  <c r="F743" i="1" s="1" a="1"/>
  <c r="F743" i="1" s="1"/>
  <c r="C744" i="1"/>
  <c r="D744" i="1" s="1"/>
  <c r="E744" i="1" s="1"/>
  <c r="F744" i="1" s="1" a="1"/>
  <c r="F744" i="1" s="1"/>
  <c r="C745" i="1"/>
  <c r="D745" i="1" s="1"/>
  <c r="E745" i="1" s="1"/>
  <c r="F745" i="1" s="1" a="1"/>
  <c r="F745" i="1" s="1"/>
  <c r="C746" i="1"/>
  <c r="D746" i="1" s="1"/>
  <c r="E746" i="1" s="1"/>
  <c r="F746" i="1" s="1" a="1"/>
  <c r="F746" i="1" s="1"/>
  <c r="C747" i="1"/>
  <c r="D747" i="1" s="1"/>
  <c r="E747" i="1" s="1"/>
  <c r="F747" i="1" s="1" a="1"/>
  <c r="F747" i="1" s="1"/>
  <c r="C748" i="1"/>
  <c r="D748" i="1" s="1"/>
  <c r="E748" i="1" s="1"/>
  <c r="F748" i="1" s="1" a="1"/>
  <c r="F748" i="1" s="1"/>
  <c r="C749" i="1"/>
  <c r="D749" i="1"/>
  <c r="E749" i="1" s="1"/>
  <c r="F749" i="1" s="1" a="1"/>
  <c r="F749" i="1" s="1"/>
  <c r="C750" i="1"/>
  <c r="D750" i="1"/>
  <c r="E750" i="1" s="1"/>
  <c r="F750" i="1" s="1" a="1"/>
  <c r="F750" i="1" s="1"/>
  <c r="C751" i="1"/>
  <c r="D751" i="1" s="1"/>
  <c r="E751" i="1" s="1"/>
  <c r="F751" i="1" s="1" a="1"/>
  <c r="F751" i="1" s="1"/>
  <c r="C752" i="1"/>
  <c r="D752" i="1" s="1"/>
  <c r="E752" i="1" s="1"/>
  <c r="F752" i="1" s="1" a="1"/>
  <c r="F752" i="1" s="1"/>
  <c r="C753" i="1"/>
  <c r="D753" i="1"/>
  <c r="E753" i="1" s="1"/>
  <c r="F753" i="1" s="1" a="1"/>
  <c r="F753" i="1" s="1"/>
  <c r="C754" i="1"/>
  <c r="D754" i="1" s="1"/>
  <c r="E754" i="1" s="1"/>
  <c r="F754" i="1" s="1" a="1"/>
  <c r="F754" i="1" s="1"/>
  <c r="C755" i="1"/>
  <c r="D755" i="1" s="1"/>
  <c r="E755" i="1" s="1"/>
  <c r="F755" i="1" s="1" a="1"/>
  <c r="F755" i="1" s="1"/>
  <c r="C756" i="1"/>
  <c r="D756" i="1" s="1"/>
  <c r="E756" i="1" s="1"/>
  <c r="F756" i="1" s="1" a="1"/>
  <c r="F756" i="1" s="1"/>
  <c r="C757" i="1"/>
  <c r="D757" i="1" s="1"/>
  <c r="E757" i="1" s="1"/>
  <c r="F757" i="1" s="1" a="1"/>
  <c r="F757" i="1" s="1"/>
  <c r="C758" i="1"/>
  <c r="D758" i="1" s="1"/>
  <c r="E758" i="1" s="1"/>
  <c r="F758" i="1" s="1" a="1"/>
  <c r="F758" i="1" s="1"/>
  <c r="C759" i="1"/>
  <c r="D759" i="1" s="1"/>
  <c r="E759" i="1" s="1"/>
  <c r="F759" i="1" s="1" a="1"/>
  <c r="F759" i="1" s="1"/>
  <c r="C760" i="1"/>
  <c r="D760" i="1" s="1"/>
  <c r="E760" i="1" s="1"/>
  <c r="F760" i="1" s="1" a="1"/>
  <c r="F760" i="1" s="1"/>
  <c r="C761" i="1"/>
  <c r="D761" i="1" s="1"/>
  <c r="E761" i="1" s="1"/>
  <c r="F761" i="1" s="1" a="1"/>
  <c r="F761" i="1" s="1"/>
  <c r="C762" i="1"/>
  <c r="D762" i="1" s="1"/>
  <c r="E762" i="1" s="1"/>
  <c r="F762" i="1" s="1" a="1"/>
  <c r="F762" i="1" s="1"/>
  <c r="C763" i="1"/>
  <c r="D763" i="1" s="1"/>
  <c r="E763" i="1" s="1"/>
  <c r="F763" i="1" s="1" a="1"/>
  <c r="F763" i="1" s="1"/>
  <c r="C764" i="1"/>
  <c r="D764" i="1" s="1"/>
  <c r="E764" i="1" s="1"/>
  <c r="F764" i="1" s="1" a="1"/>
  <c r="F764" i="1" s="1"/>
  <c r="C765" i="1"/>
  <c r="D765" i="1" s="1"/>
  <c r="E765" i="1" s="1"/>
  <c r="F765" i="1" s="1" a="1"/>
  <c r="F765" i="1" s="1"/>
  <c r="C766" i="1"/>
  <c r="D766" i="1" s="1"/>
  <c r="E766" i="1" s="1"/>
  <c r="F766" i="1" s="1" a="1"/>
  <c r="F766" i="1" s="1"/>
  <c r="C767" i="1"/>
  <c r="D767" i="1" s="1"/>
  <c r="E767" i="1"/>
  <c r="F767" i="1" s="1" a="1"/>
  <c r="F767" i="1" s="1"/>
  <c r="C768" i="1"/>
  <c r="D768" i="1" s="1"/>
  <c r="E768" i="1" s="1"/>
  <c r="F768" i="1" s="1" a="1"/>
  <c r="F768" i="1" s="1"/>
  <c r="C769" i="1"/>
  <c r="D769" i="1"/>
  <c r="E769" i="1" s="1"/>
  <c r="F769" i="1" s="1" a="1"/>
  <c r="F769" i="1" s="1"/>
  <c r="C770" i="1"/>
  <c r="D770" i="1" s="1"/>
  <c r="E770" i="1" s="1"/>
  <c r="F770" i="1" s="1" a="1"/>
  <c r="F770" i="1" s="1"/>
  <c r="C771" i="1"/>
  <c r="D771" i="1" s="1"/>
  <c r="E771" i="1" s="1"/>
  <c r="F771" i="1" s="1" a="1"/>
  <c r="F771" i="1" s="1"/>
  <c r="C772" i="1"/>
  <c r="D772" i="1" s="1"/>
  <c r="E772" i="1" s="1"/>
  <c r="F772" i="1" s="1" a="1"/>
  <c r="F772" i="1" s="1"/>
  <c r="C773" i="1"/>
  <c r="D773" i="1" s="1"/>
  <c r="E773" i="1" s="1"/>
  <c r="F773" i="1" s="1" a="1"/>
  <c r="F773" i="1" s="1"/>
  <c r="C774" i="1"/>
  <c r="D774" i="1" s="1"/>
  <c r="E774" i="1" s="1"/>
  <c r="F774" i="1" s="1" a="1"/>
  <c r="F774" i="1" s="1"/>
  <c r="C775" i="1"/>
  <c r="D775" i="1" s="1"/>
  <c r="E775" i="1" s="1"/>
  <c r="F775" i="1" s="1" a="1"/>
  <c r="F775" i="1" s="1"/>
  <c r="C776" i="1"/>
  <c r="D776" i="1" s="1"/>
  <c r="E776" i="1" s="1"/>
  <c r="F776" i="1" s="1" a="1"/>
  <c r="F776" i="1" s="1"/>
  <c r="C777" i="1"/>
  <c r="D777" i="1" s="1"/>
  <c r="E777" i="1" s="1"/>
  <c r="F777" i="1" s="1" a="1"/>
  <c r="F777" i="1" s="1"/>
  <c r="C778" i="1"/>
  <c r="D778" i="1" s="1"/>
  <c r="E778" i="1" s="1"/>
  <c r="F778" i="1" s="1" a="1"/>
  <c r="F778" i="1" s="1"/>
  <c r="C779" i="1"/>
  <c r="D779" i="1" s="1"/>
  <c r="E779" i="1" s="1"/>
  <c r="F779" i="1" s="1" a="1"/>
  <c r="F779" i="1" s="1"/>
  <c r="C780" i="1"/>
  <c r="D780" i="1" s="1"/>
  <c r="E780" i="1"/>
  <c r="F780" i="1" s="1" a="1"/>
  <c r="F780" i="1" s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G780" i="1" l="1" a="1"/>
  <c r="G780" i="1" s="1"/>
  <c r="G767" i="1" a="1"/>
  <c r="G767" i="1" s="1"/>
  <c r="G766" i="1" a="1"/>
  <c r="G766" i="1" s="1"/>
  <c r="G765" i="1" a="1"/>
  <c r="G765" i="1" s="1"/>
  <c r="G776" i="1" a="1"/>
  <c r="G776" i="1" s="1"/>
  <c r="G764" i="1" a="1"/>
  <c r="G764" i="1" s="1"/>
  <c r="G773" i="1" a="1"/>
  <c r="G773" i="1" s="1"/>
  <c r="G761" i="1" a="1"/>
  <c r="G761" i="1" s="1"/>
  <c r="G760" i="1" a="1"/>
  <c r="G760" i="1" s="1"/>
  <c r="G772" i="1" a="1"/>
  <c r="G772" i="1" s="1"/>
  <c r="G771" i="1" a="1"/>
  <c r="G771" i="1" s="1"/>
  <c r="G757" i="1" a="1"/>
  <c r="G757" i="1" s="1"/>
  <c r="G769" i="1" a="1"/>
  <c r="G769" i="1" s="1"/>
  <c r="G768" i="1" a="1"/>
  <c r="G768" i="1" s="1"/>
  <c r="G779" i="1" a="1"/>
  <c r="G779" i="1" s="1"/>
  <c r="G778" i="1" a="1"/>
  <c r="G778" i="1" s="1"/>
  <c r="G763" i="1" a="1"/>
  <c r="G763" i="1" s="1"/>
  <c r="G777" i="1" a="1"/>
  <c r="G777" i="1" s="1"/>
  <c r="G762" i="1" a="1"/>
  <c r="G762" i="1" s="1"/>
  <c r="G775" i="1" a="1"/>
  <c r="G775" i="1" s="1"/>
  <c r="G774" i="1" a="1"/>
  <c r="G774" i="1" s="1"/>
  <c r="G759" i="1" a="1"/>
  <c r="G759" i="1" s="1"/>
  <c r="G758" i="1" a="1"/>
  <c r="G758" i="1" s="1"/>
  <c r="G770" i="1" a="1"/>
  <c r="G770" i="1" s="1"/>
  <c r="G756" i="1" a="1"/>
  <c r="G756" i="1" s="1"/>
  <c r="D123" i="1"/>
  <c r="E123" i="1" s="1"/>
  <c r="D124" i="1"/>
  <c r="E124" i="1" s="1"/>
  <c r="D125" i="1"/>
  <c r="E125" i="1" s="1"/>
  <c r="F125" i="1" s="1" a="1"/>
  <c r="F125" i="1" s="1"/>
  <c r="D126" i="1"/>
  <c r="E126" i="1" s="1"/>
  <c r="D127" i="1"/>
  <c r="E127" i="1" s="1"/>
  <c r="D128" i="1"/>
  <c r="E128" i="1" s="1"/>
  <c r="F128" i="1" s="1" a="1"/>
  <c r="F128" i="1" s="1"/>
  <c r="D129" i="1"/>
  <c r="E129" i="1" s="1"/>
  <c r="F129" i="1" s="1" a="1"/>
  <c r="F129" i="1" s="1"/>
  <c r="D130" i="1"/>
  <c r="E130" i="1" s="1"/>
  <c r="G130" i="1" s="1" a="1"/>
  <c r="G130" i="1" s="1"/>
  <c r="D131" i="1"/>
  <c r="E131" i="1" s="1"/>
  <c r="D132" i="1"/>
  <c r="E132" i="1" s="1"/>
  <c r="G132" i="1" s="1" a="1"/>
  <c r="G132" i="1" s="1"/>
  <c r="D133" i="1"/>
  <c r="E133" i="1" s="1"/>
  <c r="G135" i="1" a="1"/>
  <c r="G135" i="1" s="1"/>
  <c r="F139" i="1" a="1"/>
  <c r="F139" i="1" s="1"/>
  <c r="G142" i="1" a="1"/>
  <c r="G142" i="1" s="1"/>
  <c r="F144" i="1" a="1"/>
  <c r="F144" i="1" s="1"/>
  <c r="F145" i="1" a="1"/>
  <c r="F145" i="1" s="1"/>
  <c r="F148" i="1" a="1"/>
  <c r="F148" i="1" s="1"/>
  <c r="F150" i="1" a="1"/>
  <c r="F150" i="1" s="1"/>
  <c r="G151" i="1" a="1"/>
  <c r="G151" i="1" s="1"/>
  <c r="F155" i="1" a="1"/>
  <c r="F155" i="1" s="1"/>
  <c r="G156" i="1" a="1"/>
  <c r="G156" i="1" s="1"/>
  <c r="F158" i="1" a="1"/>
  <c r="F158" i="1" s="1"/>
  <c r="F160" i="1" a="1"/>
  <c r="F160" i="1" s="1"/>
  <c r="G161" i="1" a="1"/>
  <c r="G161" i="1" s="1"/>
  <c r="G162" i="1" a="1"/>
  <c r="G162" i="1" s="1"/>
  <c r="G164" i="1" a="1"/>
  <c r="G164" i="1" s="1"/>
  <c r="G165" i="1" a="1"/>
  <c r="G165" i="1" s="1"/>
  <c r="G167" i="1" a="1"/>
  <c r="G167" i="1" s="1"/>
  <c r="G172" i="1" a="1"/>
  <c r="G172" i="1" s="1"/>
  <c r="G177" i="1" a="1"/>
  <c r="G177" i="1" s="1"/>
  <c r="G178" i="1" a="1"/>
  <c r="G178" i="1" s="1"/>
  <c r="F179" i="1" a="1"/>
  <c r="F179" i="1" s="1"/>
  <c r="G185" i="1" a="1"/>
  <c r="G185" i="1" s="1"/>
  <c r="F186" i="1" a="1"/>
  <c r="F186" i="1" s="1"/>
  <c r="G187" i="1" a="1"/>
  <c r="G187" i="1" s="1"/>
  <c r="G188" i="1" a="1"/>
  <c r="G188" i="1" s="1"/>
  <c r="F189" i="1" a="1"/>
  <c r="F189" i="1" s="1"/>
  <c r="G191" i="1" a="1"/>
  <c r="G191" i="1" s="1"/>
  <c r="F192" i="1" a="1"/>
  <c r="F192" i="1" s="1"/>
  <c r="F195" i="1" a="1"/>
  <c r="F195" i="1" s="1"/>
  <c r="G196" i="1" a="1"/>
  <c r="G196" i="1" s="1"/>
  <c r="G207" i="1" a="1"/>
  <c r="G207" i="1" s="1"/>
  <c r="F208" i="1" a="1"/>
  <c r="F208" i="1" s="1"/>
  <c r="F209" i="1" a="1"/>
  <c r="F209" i="1" s="1"/>
  <c r="G212" i="1" a="1"/>
  <c r="G212" i="1" s="1"/>
  <c r="F214" i="1" a="1"/>
  <c r="F214" i="1" s="1"/>
  <c r="F219" i="1" a="1"/>
  <c r="F219" i="1" s="1"/>
  <c r="G223" i="1" a="1"/>
  <c r="G223" i="1" s="1"/>
  <c r="F224" i="1" a="1"/>
  <c r="F224" i="1" s="1"/>
  <c r="G225" i="1" a="1"/>
  <c r="G225" i="1" s="1"/>
  <c r="G227" i="1" a="1"/>
  <c r="G227" i="1" s="1"/>
  <c r="F228" i="1" a="1"/>
  <c r="F228" i="1" s="1"/>
  <c r="G229" i="1" a="1"/>
  <c r="G229" i="1" s="1"/>
  <c r="G231" i="1" a="1"/>
  <c r="G231" i="1" s="1"/>
  <c r="F235" i="1" a="1"/>
  <c r="F235" i="1" s="1"/>
  <c r="F243" i="1" a="1"/>
  <c r="F243" i="1" s="1"/>
  <c r="G244" i="1" a="1"/>
  <c r="G244" i="1" s="1"/>
  <c r="F246" i="1" a="1"/>
  <c r="F246" i="1" s="1"/>
  <c r="F249" i="1" a="1"/>
  <c r="F249" i="1" s="1"/>
  <c r="F250" i="1" a="1"/>
  <c r="F250" i="1" s="1"/>
  <c r="F253" i="1" a="1"/>
  <c r="F253" i="1" s="1"/>
  <c r="F254" i="1" a="1"/>
  <c r="F254" i="1" s="1"/>
  <c r="G255" i="1" a="1"/>
  <c r="G255" i="1" s="1"/>
  <c r="F258" i="1" a="1"/>
  <c r="F258" i="1" s="1"/>
  <c r="F260" i="1" a="1"/>
  <c r="F260" i="1" s="1"/>
  <c r="G261" i="1" a="1"/>
  <c r="G261" i="1" s="1"/>
  <c r="G264" i="1" a="1"/>
  <c r="G264" i="1" s="1"/>
  <c r="F267" i="1" a="1"/>
  <c r="F267" i="1" s="1"/>
  <c r="G272" i="1" a="1"/>
  <c r="G272" i="1" s="1"/>
  <c r="G273" i="1" a="1"/>
  <c r="G273" i="1" s="1"/>
  <c r="G274" i="1" a="1"/>
  <c r="G274" i="1" s="1"/>
  <c r="G276" i="1" a="1"/>
  <c r="G276" i="1" s="1"/>
  <c r="F277" i="1" a="1"/>
  <c r="F277" i="1" s="1"/>
  <c r="G279" i="1" a="1"/>
  <c r="G279" i="1" s="1"/>
  <c r="G281" i="1" a="1"/>
  <c r="G281" i="1" s="1"/>
  <c r="F283" i="1" a="1"/>
  <c r="F283" i="1" s="1"/>
  <c r="G284" i="1" a="1"/>
  <c r="G284" i="1" s="1"/>
  <c r="F285" i="1" a="1"/>
  <c r="F285" i="1" s="1"/>
  <c r="G286" i="1" a="1"/>
  <c r="G286" i="1" s="1"/>
  <c r="G287" i="1" a="1"/>
  <c r="G287" i="1" s="1"/>
  <c r="F288" i="1" a="1"/>
  <c r="F288" i="1" s="1"/>
  <c r="G291" i="1" a="1"/>
  <c r="G291" i="1" s="1"/>
  <c r="F292" i="1" a="1"/>
  <c r="F292" i="1" s="1"/>
  <c r="F295" i="1" a="1"/>
  <c r="F295" i="1" s="1"/>
  <c r="F301" i="1" a="1"/>
  <c r="F301" i="1" s="1"/>
  <c r="G302" i="1" a="1"/>
  <c r="G302" i="1" s="1"/>
  <c r="G305" i="1" a="1"/>
  <c r="G305" i="1" s="1"/>
  <c r="G306" i="1" a="1"/>
  <c r="G306" i="1" s="1"/>
  <c r="F307" i="1" a="1"/>
  <c r="F307" i="1" s="1"/>
  <c r="F310" i="1" a="1"/>
  <c r="F310" i="1" s="1"/>
  <c r="F320" i="1" a="1"/>
  <c r="F320" i="1" s="1"/>
  <c r="G321" i="1" a="1"/>
  <c r="G321" i="1" s="1"/>
  <c r="F322" i="1" a="1"/>
  <c r="F322" i="1" s="1"/>
  <c r="G324" i="1" a="1"/>
  <c r="G324" i="1" s="1"/>
  <c r="F325" i="1" a="1"/>
  <c r="F325" i="1" s="1"/>
  <c r="G332" i="1" a="1"/>
  <c r="G332" i="1" s="1"/>
  <c r="G335" i="1" a="1"/>
  <c r="G335" i="1" s="1"/>
  <c r="F336" i="1" a="1"/>
  <c r="F336" i="1" s="1"/>
  <c r="F337" i="1" a="1"/>
  <c r="F337" i="1" s="1"/>
  <c r="G338" i="1" a="1"/>
  <c r="G338" i="1" s="1"/>
  <c r="F340" i="1" a="1"/>
  <c r="F340" i="1" s="1"/>
  <c r="F341" i="1" a="1"/>
  <c r="F341" i="1" s="1"/>
  <c r="F343" i="1" a="1"/>
  <c r="F343" i="1" s="1"/>
  <c r="G344" i="1" a="1"/>
  <c r="G344" i="1" s="1"/>
  <c r="G348" i="1" a="1"/>
  <c r="G348" i="1" s="1"/>
  <c r="F357" i="1" a="1"/>
  <c r="F357" i="1" s="1"/>
  <c r="F360" i="1" a="1"/>
  <c r="F360" i="1" s="1"/>
  <c r="G361" i="1" a="1"/>
  <c r="G361" i="1" s="1"/>
  <c r="G365" i="1" a="1"/>
  <c r="G365" i="1" s="1"/>
  <c r="F366" i="1" a="1"/>
  <c r="F366" i="1" s="1"/>
  <c r="F368" i="1" a="1"/>
  <c r="F368" i="1" s="1"/>
  <c r="F373" i="1" a="1"/>
  <c r="F373" i="1" s="1"/>
  <c r="F376" i="1" a="1"/>
  <c r="F376" i="1" s="1"/>
  <c r="F377" i="1" a="1"/>
  <c r="F377" i="1" s="1"/>
  <c r="G378" i="1" a="1"/>
  <c r="G378" i="1" s="1"/>
  <c r="F380" i="1" a="1"/>
  <c r="F380" i="1" s="1"/>
  <c r="F382" i="1" a="1"/>
  <c r="F382" i="1" s="1"/>
  <c r="G383" i="1" a="1"/>
  <c r="G383" i="1" s="1"/>
  <c r="F384" i="1" a="1"/>
  <c r="F384" i="1" s="1"/>
  <c r="G385" i="1" a="1"/>
  <c r="G385" i="1" s="1"/>
  <c r="G389" i="1" a="1"/>
  <c r="G389" i="1" s="1"/>
  <c r="F392" i="1" a="1"/>
  <c r="F392" i="1" s="1"/>
  <c r="F394" i="1" a="1"/>
  <c r="F394" i="1" s="1"/>
  <c r="F395" i="1" a="1"/>
  <c r="F395" i="1" s="1"/>
  <c r="G398" i="1" a="1"/>
  <c r="G398" i="1" s="1"/>
  <c r="G399" i="1" a="1"/>
  <c r="G399" i="1" s="1"/>
  <c r="F400" i="1" a="1"/>
  <c r="F400" i="1" s="1"/>
  <c r="F401" i="1" a="1"/>
  <c r="F401" i="1" s="1"/>
  <c r="F402" i="1" a="1"/>
  <c r="F402" i="1" s="1"/>
  <c r="F404" i="1" a="1"/>
  <c r="F404" i="1" s="1"/>
  <c r="F407" i="1" a="1"/>
  <c r="F407" i="1" s="1"/>
  <c r="G408" i="1" a="1"/>
  <c r="G408" i="1" s="1"/>
  <c r="F411" i="1" a="1"/>
  <c r="F411" i="1" s="1"/>
  <c r="F416" i="1" a="1"/>
  <c r="F416" i="1" s="1"/>
  <c r="G417" i="1" a="1"/>
  <c r="G417" i="1" s="1"/>
  <c r="G418" i="1" a="1"/>
  <c r="G418" i="1" s="1"/>
  <c r="G421" i="1" a="1"/>
  <c r="G421" i="1" s="1"/>
  <c r="G422" i="1" a="1"/>
  <c r="G422" i="1" s="1"/>
  <c r="F424" i="1" a="1"/>
  <c r="F424" i="1" s="1"/>
  <c r="G430" i="1" a="1"/>
  <c r="G430" i="1" s="1"/>
  <c r="F431" i="1" a="1"/>
  <c r="F431" i="1" s="1"/>
  <c r="G433" i="1" a="1"/>
  <c r="G433" i="1" s="1"/>
  <c r="F436" i="1" a="1"/>
  <c r="F436" i="1" s="1"/>
  <c r="F437" i="1" a="1"/>
  <c r="F437" i="1" s="1"/>
  <c r="G438" i="1" a="1"/>
  <c r="G438" i="1" s="1"/>
  <c r="G439" i="1" a="1"/>
  <c r="G439" i="1" s="1"/>
  <c r="F440" i="1" a="1"/>
  <c r="F440" i="1" s="1"/>
  <c r="G441" i="1" a="1"/>
  <c r="G441" i="1" s="1"/>
  <c r="F443" i="1" a="1"/>
  <c r="F443" i="1" s="1"/>
  <c r="G445" i="1" a="1"/>
  <c r="G445" i="1" s="1"/>
  <c r="G448" i="1" a="1"/>
  <c r="G448" i="1" s="1"/>
  <c r="F450" i="1" a="1"/>
  <c r="F450" i="1" s="1"/>
  <c r="G454" i="1" a="1"/>
  <c r="G454" i="1" s="1"/>
  <c r="F457" i="1" a="1"/>
  <c r="F457" i="1" s="1"/>
  <c r="F461" i="1" a="1"/>
  <c r="F461" i="1" s="1"/>
  <c r="F468" i="1" a="1"/>
  <c r="F468" i="1" s="1"/>
  <c r="G470" i="1" a="1"/>
  <c r="G470" i="1" s="1"/>
  <c r="G471" i="1" a="1"/>
  <c r="G471" i="1" s="1"/>
  <c r="G474" i="1" a="1"/>
  <c r="G474" i="1" s="1"/>
  <c r="G478" i="1" a="1"/>
  <c r="G478" i="1" s="1"/>
  <c r="G481" i="1" a="1"/>
  <c r="G481" i="1" s="1"/>
  <c r="F487" i="1" a="1"/>
  <c r="F487" i="1" s="1"/>
  <c r="G489" i="1" a="1"/>
  <c r="G489" i="1" s="1"/>
  <c r="G492" i="1" a="1"/>
  <c r="G492" i="1" s="1"/>
  <c r="G493" i="1" a="1"/>
  <c r="G493" i="1" s="1"/>
  <c r="F494" i="1" a="1"/>
  <c r="F494" i="1" s="1"/>
  <c r="G495" i="1" a="1"/>
  <c r="G495" i="1" s="1"/>
  <c r="F502" i="1" a="1"/>
  <c r="F502" i="1" s="1"/>
  <c r="F505" i="1" a="1"/>
  <c r="F505" i="1" s="1"/>
  <c r="F508" i="1" a="1"/>
  <c r="F508" i="1" s="1"/>
  <c r="F514" i="1" a="1"/>
  <c r="F514" i="1" s="1"/>
  <c r="F519" i="1" a="1"/>
  <c r="F519" i="1" s="1"/>
  <c r="G520" i="1" a="1"/>
  <c r="G520" i="1" s="1"/>
  <c r="F522" i="1" a="1"/>
  <c r="F522" i="1" s="1"/>
  <c r="G523" i="1" a="1"/>
  <c r="G523" i="1" s="1"/>
  <c r="F525" i="1" a="1"/>
  <c r="F525" i="1" s="1"/>
  <c r="G527" i="1" a="1"/>
  <c r="G527" i="1" s="1"/>
  <c r="F528" i="1" a="1"/>
  <c r="F528" i="1" s="1"/>
  <c r="G529" i="1" a="1"/>
  <c r="G529" i="1" s="1"/>
  <c r="F530" i="1" a="1"/>
  <c r="F530" i="1" s="1"/>
  <c r="G533" i="1" a="1"/>
  <c r="G533" i="1" s="1"/>
  <c r="G534" i="1" a="1"/>
  <c r="G534" i="1" s="1"/>
  <c r="G536" i="1" a="1"/>
  <c r="G536" i="1" s="1"/>
  <c r="F537" i="1" a="1"/>
  <c r="F537" i="1" s="1"/>
  <c r="F538" i="1" a="1"/>
  <c r="F538" i="1" s="1"/>
  <c r="G544" i="1" a="1"/>
  <c r="G544" i="1" s="1"/>
  <c r="F547" i="1" a="1"/>
  <c r="F547" i="1" s="1"/>
  <c r="F548" i="1" a="1"/>
  <c r="F548" i="1" s="1"/>
  <c r="F550" i="1" a="1"/>
  <c r="F550" i="1" s="1"/>
  <c r="G551" i="1" a="1"/>
  <c r="G551" i="1" s="1"/>
  <c r="F552" i="1" a="1"/>
  <c r="F552" i="1" s="1"/>
  <c r="G555" i="1" a="1"/>
  <c r="G555" i="1" s="1"/>
  <c r="F557" i="1" a="1"/>
  <c r="F557" i="1" s="1"/>
  <c r="F558" i="1" a="1"/>
  <c r="F558" i="1" s="1"/>
  <c r="G559" i="1" a="1"/>
  <c r="G559" i="1" s="1"/>
  <c r="F560" i="1" a="1"/>
  <c r="F560" i="1" s="1"/>
  <c r="G564" i="1" a="1"/>
  <c r="G564" i="1" s="1"/>
  <c r="F568" i="1" a="1"/>
  <c r="F568" i="1" s="1"/>
  <c r="F569" i="1" a="1"/>
  <c r="F569" i="1" s="1"/>
  <c r="F571" i="1" a="1"/>
  <c r="F571" i="1" s="1"/>
  <c r="F576" i="1" a="1"/>
  <c r="F576" i="1" s="1"/>
  <c r="F578" i="1" a="1"/>
  <c r="F578" i="1" s="1"/>
  <c r="G582" i="1" a="1"/>
  <c r="G582" i="1" s="1"/>
  <c r="F586" i="1" a="1"/>
  <c r="F586" i="1" s="1"/>
  <c r="G590" i="1" a="1"/>
  <c r="G590" i="1" s="1"/>
  <c r="G596" i="1" a="1"/>
  <c r="G596" i="1" s="1"/>
  <c r="F598" i="1" a="1"/>
  <c r="F598" i="1" s="1"/>
  <c r="G600" i="1" a="1"/>
  <c r="G600" i="1" s="1"/>
  <c r="F601" i="1" a="1"/>
  <c r="F601" i="1" s="1"/>
  <c r="F602" i="1" a="1"/>
  <c r="F602" i="1" s="1"/>
  <c r="G611" i="1" a="1"/>
  <c r="G611" i="1" s="1"/>
  <c r="F614" i="1" a="1"/>
  <c r="F614" i="1" s="1"/>
  <c r="F615" i="1" a="1"/>
  <c r="F615" i="1" s="1"/>
  <c r="G616" i="1" a="1"/>
  <c r="G616" i="1" s="1"/>
  <c r="F617" i="1" a="1"/>
  <c r="F617" i="1" s="1"/>
  <c r="G620" i="1" a="1"/>
  <c r="G620" i="1" s="1"/>
  <c r="F623" i="1" a="1"/>
  <c r="F623" i="1" s="1"/>
  <c r="G625" i="1" a="1"/>
  <c r="G625" i="1" s="1"/>
  <c r="F626" i="1" a="1"/>
  <c r="F626" i="1" s="1"/>
  <c r="G634" i="1" a="1"/>
  <c r="G634" i="1" s="1"/>
  <c r="F635" i="1" a="1"/>
  <c r="F635" i="1" s="1"/>
  <c r="F637" i="1" a="1"/>
  <c r="F637" i="1" s="1"/>
  <c r="F638" i="1" a="1"/>
  <c r="F638" i="1" s="1"/>
  <c r="F641" i="1" a="1"/>
  <c r="F641" i="1" s="1"/>
  <c r="F643" i="1" a="1"/>
  <c r="F643" i="1" s="1"/>
  <c r="F644" i="1" a="1"/>
  <c r="F644" i="1" s="1"/>
  <c r="G645" i="1" a="1"/>
  <c r="G645" i="1" s="1"/>
  <c r="G647" i="1" a="1"/>
  <c r="G647" i="1" s="1"/>
  <c r="F649" i="1" a="1"/>
  <c r="F649" i="1" s="1"/>
  <c r="F650" i="1" a="1"/>
  <c r="F650" i="1" s="1"/>
  <c r="F652" i="1" a="1"/>
  <c r="F652" i="1" s="1"/>
  <c r="F656" i="1" a="1"/>
  <c r="F656" i="1" s="1"/>
  <c r="F660" i="1" a="1"/>
  <c r="F660" i="1" s="1"/>
  <c r="F662" i="1" a="1"/>
  <c r="F662" i="1" s="1"/>
  <c r="G663" i="1" a="1"/>
  <c r="G663" i="1" s="1"/>
  <c r="F664" i="1" a="1"/>
  <c r="F664" i="1" s="1"/>
  <c r="G666" i="1" a="1"/>
  <c r="G666" i="1" s="1"/>
  <c r="G667" i="1" a="1"/>
  <c r="G667" i="1" s="1"/>
  <c r="G668" i="1" a="1"/>
  <c r="G668" i="1" s="1"/>
  <c r="F673" i="1" a="1"/>
  <c r="F673" i="1" s="1"/>
  <c r="F674" i="1" a="1"/>
  <c r="F674" i="1" s="1"/>
  <c r="G675" i="1" a="1"/>
  <c r="G675" i="1" s="1"/>
  <c r="F676" i="1" a="1"/>
  <c r="F676" i="1" s="1"/>
  <c r="G677" i="1" a="1"/>
  <c r="G677" i="1" s="1"/>
  <c r="F679" i="1" a="1"/>
  <c r="F679" i="1" s="1"/>
  <c r="F681" i="1" a="1"/>
  <c r="F681" i="1" s="1"/>
  <c r="F683" i="1" a="1"/>
  <c r="F683" i="1" s="1"/>
  <c r="G685" i="1" a="1"/>
  <c r="G685" i="1" s="1"/>
  <c r="G687" i="1" a="1"/>
  <c r="G687" i="1" s="1"/>
  <c r="G688" i="1" a="1"/>
  <c r="G688" i="1" s="1"/>
  <c r="G689" i="1" a="1"/>
  <c r="G689" i="1" s="1"/>
  <c r="F690" i="1" a="1"/>
  <c r="F690" i="1" s="1"/>
  <c r="F697" i="1" a="1"/>
  <c r="F697" i="1" s="1"/>
  <c r="G701" i="1" a="1"/>
  <c r="G701" i="1" s="1"/>
  <c r="F703" i="1" a="1"/>
  <c r="F703" i="1" s="1"/>
  <c r="F705" i="1" a="1"/>
  <c r="F705" i="1" s="1"/>
  <c r="F706" i="1" a="1"/>
  <c r="F706" i="1" s="1"/>
  <c r="F707" i="1" a="1"/>
  <c r="F707" i="1" s="1"/>
  <c r="G709" i="1" a="1"/>
  <c r="G709" i="1" s="1"/>
  <c r="G711" i="1" a="1"/>
  <c r="G711" i="1" s="1"/>
  <c r="F713" i="1" a="1"/>
  <c r="F713" i="1" s="1"/>
  <c r="F715" i="1" a="1"/>
  <c r="F715" i="1" s="1"/>
  <c r="G717" i="1" a="1"/>
  <c r="G717" i="1" s="1"/>
  <c r="G733" i="1" a="1"/>
  <c r="G733" i="1" s="1"/>
  <c r="G749" i="1" a="1"/>
  <c r="G749" i="1" s="1"/>
  <c r="G750" i="1" a="1"/>
  <c r="G750" i="1" s="1"/>
  <c r="G753" i="1" a="1"/>
  <c r="G753" i="1" s="1"/>
  <c r="G745" i="1" l="1" a="1"/>
  <c r="G745" i="1" s="1"/>
  <c r="F717" i="1" a="1"/>
  <c r="F717" i="1" s="1"/>
  <c r="G723" i="1" a="1"/>
  <c r="G723" i="1" s="1"/>
  <c r="G746" i="1" a="1"/>
  <c r="G746" i="1" s="1"/>
  <c r="G738" i="1" a="1"/>
  <c r="G738" i="1" s="1"/>
  <c r="G720" i="1" a="1"/>
  <c r="G720" i="1" s="1"/>
  <c r="G752" i="1" a="1"/>
  <c r="G752" i="1" s="1"/>
  <c r="F709" i="1" a="1"/>
  <c r="F709" i="1" s="1"/>
  <c r="F687" i="1" a="1"/>
  <c r="F687" i="1" s="1"/>
  <c r="F611" i="1" a="1"/>
  <c r="F611" i="1" s="1"/>
  <c r="F616" i="1" a="1"/>
  <c r="F616" i="1" s="1"/>
  <c r="G707" i="1" a="1"/>
  <c r="G707" i="1" s="1"/>
  <c r="F666" i="1" a="1"/>
  <c r="F666" i="1" s="1"/>
  <c r="F689" i="1" a="1"/>
  <c r="F689" i="1" s="1"/>
  <c r="F645" i="1" a="1"/>
  <c r="F645" i="1" s="1"/>
  <c r="G690" i="1" a="1"/>
  <c r="G690" i="1" s="1"/>
  <c r="G673" i="1" a="1"/>
  <c r="G673" i="1" s="1"/>
  <c r="F675" i="1" a="1"/>
  <c r="F675" i="1" s="1"/>
  <c r="F634" i="1" a="1"/>
  <c r="F634" i="1" s="1"/>
  <c r="G704" i="1" a="1"/>
  <c r="G704" i="1" s="1"/>
  <c r="F704" i="1" a="1"/>
  <c r="F704" i="1" s="1"/>
  <c r="F692" i="1" a="1"/>
  <c r="F692" i="1" s="1"/>
  <c r="G692" i="1" a="1"/>
  <c r="G692" i="1" s="1"/>
  <c r="G655" i="1" a="1"/>
  <c r="G655" i="1" s="1"/>
  <c r="F655" i="1" a="1"/>
  <c r="F655" i="1" s="1"/>
  <c r="G619" i="1" a="1"/>
  <c r="G619" i="1" s="1"/>
  <c r="F619" i="1" a="1"/>
  <c r="F619" i="1" s="1"/>
  <c r="F699" i="1" a="1"/>
  <c r="F699" i="1" s="1"/>
  <c r="G699" i="1" a="1"/>
  <c r="G699" i="1" s="1"/>
  <c r="G638" i="1" a="1"/>
  <c r="G638" i="1" s="1"/>
  <c r="G697" i="1" a="1"/>
  <c r="G697" i="1" s="1"/>
  <c r="G623" i="1" a="1"/>
  <c r="G623" i="1" s="1"/>
  <c r="G431" i="1" a="1"/>
  <c r="G431" i="1" s="1"/>
  <c r="G602" i="1" a="1"/>
  <c r="G602" i="1" s="1"/>
  <c r="F600" i="1" a="1"/>
  <c r="F600" i="1" s="1"/>
  <c r="G548" i="1" a="1"/>
  <c r="G548" i="1" s="1"/>
  <c r="G519" i="1" a="1"/>
  <c r="G519" i="1" s="1"/>
  <c r="G547" i="1" a="1"/>
  <c r="G547" i="1" s="1"/>
  <c r="G320" i="1" a="1"/>
  <c r="G320" i="1" s="1"/>
  <c r="G186" i="1" a="1"/>
  <c r="G186" i="1" s="1"/>
  <c r="G260" i="1" a="1"/>
  <c r="G260" i="1" s="1"/>
  <c r="F167" i="1" a="1"/>
  <c r="F167" i="1" s="1"/>
  <c r="F378" i="1" a="1"/>
  <c r="F378" i="1" s="1"/>
  <c r="F286" i="1" a="1"/>
  <c r="F286" i="1" s="1"/>
  <c r="F478" i="1" a="1"/>
  <c r="F478" i="1" s="1"/>
  <c r="F272" i="1" a="1"/>
  <c r="F272" i="1" s="1"/>
  <c r="F433" i="1" a="1"/>
  <c r="F433" i="1" s="1"/>
  <c r="G322" i="1" a="1"/>
  <c r="G322" i="1" s="1"/>
  <c r="F207" i="1" a="1"/>
  <c r="F207" i="1" s="1"/>
  <c r="G195" i="1" a="1"/>
  <c r="G195" i="1" s="1"/>
  <c r="F212" i="1" a="1"/>
  <c r="F212" i="1" s="1"/>
  <c r="F321" i="1" a="1"/>
  <c r="F321" i="1" s="1"/>
  <c r="F196" i="1" a="1"/>
  <c r="F196" i="1" s="1"/>
  <c r="G192" i="1" a="1"/>
  <c r="G192" i="1" s="1"/>
  <c r="G224" i="1" a="1"/>
  <c r="G224" i="1" s="1"/>
  <c r="F544" i="1" a="1"/>
  <c r="F544" i="1" s="1"/>
  <c r="F261" i="1" a="1"/>
  <c r="F261" i="1" s="1"/>
  <c r="F361" i="1" a="1"/>
  <c r="F361" i="1" s="1"/>
  <c r="F398" i="1" a="1"/>
  <c r="F398" i="1" s="1"/>
  <c r="G341" i="1" a="1"/>
  <c r="G341" i="1" s="1"/>
  <c r="G382" i="1" a="1"/>
  <c r="G382" i="1" s="1"/>
  <c r="G238" i="1" a="1"/>
  <c r="G238" i="1" s="1"/>
  <c r="F238" i="1" a="1"/>
  <c r="F238" i="1" s="1"/>
  <c r="G425" i="1" a="1"/>
  <c r="G425" i="1" s="1"/>
  <c r="F425" i="1" a="1"/>
  <c r="F425" i="1" s="1"/>
  <c r="F309" i="1" a="1"/>
  <c r="F309" i="1" s="1"/>
  <c r="G309" i="1" a="1"/>
  <c r="G309" i="1" s="1"/>
  <c r="F297" i="1" a="1"/>
  <c r="F297" i="1" s="1"/>
  <c r="G297" i="1" a="1"/>
  <c r="G297" i="1" s="1"/>
  <c r="F190" i="1" a="1"/>
  <c r="F190" i="1" s="1"/>
  <c r="G190" i="1" a="1"/>
  <c r="G190" i="1" s="1"/>
  <c r="G511" i="1" a="1"/>
  <c r="G511" i="1" s="1"/>
  <c r="F511" i="1" a="1"/>
  <c r="F511" i="1" s="1"/>
  <c r="G510" i="1" a="1"/>
  <c r="G510" i="1" s="1"/>
  <c r="F510" i="1" a="1"/>
  <c r="F510" i="1" s="1"/>
  <c r="G347" i="1" a="1"/>
  <c r="G347" i="1" s="1"/>
  <c r="F347" i="1" a="1"/>
  <c r="F347" i="1" s="1"/>
  <c r="F317" i="1" a="1"/>
  <c r="F317" i="1" s="1"/>
  <c r="G317" i="1" a="1"/>
  <c r="G317" i="1" s="1"/>
  <c r="G591" i="1" a="1"/>
  <c r="G591" i="1" s="1"/>
  <c r="F591" i="1" a="1"/>
  <c r="F591" i="1" s="1"/>
  <c r="F540" i="1" a="1"/>
  <c r="F540" i="1" s="1"/>
  <c r="G540" i="1" a="1"/>
  <c r="G540" i="1" s="1"/>
  <c r="G585" i="1" a="1"/>
  <c r="G585" i="1" s="1"/>
  <c r="F585" i="1" a="1"/>
  <c r="F585" i="1" s="1"/>
  <c r="F509" i="1" a="1"/>
  <c r="F509" i="1" s="1"/>
  <c r="G509" i="1" a="1"/>
  <c r="G509" i="1" s="1"/>
  <c r="F477" i="1" a="1"/>
  <c r="F477" i="1" s="1"/>
  <c r="G477" i="1" a="1"/>
  <c r="G477" i="1" s="1"/>
  <c r="G526" i="1" a="1"/>
  <c r="G526" i="1" s="1"/>
  <c r="F526" i="1" a="1"/>
  <c r="F526" i="1" s="1"/>
  <c r="F465" i="1" a="1"/>
  <c r="F465" i="1" s="1"/>
  <c r="G465" i="1" a="1"/>
  <c r="G465" i="1" s="1"/>
  <c r="F542" i="1" a="1"/>
  <c r="F542" i="1" s="1"/>
  <c r="G542" i="1" a="1"/>
  <c r="G542" i="1" s="1"/>
  <c r="G567" i="1" a="1"/>
  <c r="G567" i="1" s="1"/>
  <c r="F567" i="1" a="1"/>
  <c r="F567" i="1" s="1"/>
  <c r="F594" i="1" a="1"/>
  <c r="F594" i="1" s="1"/>
  <c r="G594" i="1" a="1"/>
  <c r="G594" i="1" s="1"/>
  <c r="F251" i="1" a="1"/>
  <c r="F251" i="1" s="1"/>
  <c r="G251" i="1" a="1"/>
  <c r="G251" i="1" s="1"/>
  <c r="F201" i="1" a="1"/>
  <c r="F201" i="1" s="1"/>
  <c r="G201" i="1" a="1"/>
  <c r="G201" i="1" s="1"/>
  <c r="G455" i="1" a="1"/>
  <c r="G455" i="1" s="1"/>
  <c r="F455" i="1" a="1"/>
  <c r="F455" i="1" s="1"/>
  <c r="F565" i="1" a="1"/>
  <c r="F565" i="1" s="1"/>
  <c r="G565" i="1" a="1"/>
  <c r="G565" i="1" s="1"/>
  <c r="G413" i="1" a="1"/>
  <c r="G413" i="1" s="1"/>
  <c r="F413" i="1" a="1"/>
  <c r="F413" i="1" s="1"/>
  <c r="G537" i="1" a="1"/>
  <c r="G537" i="1" s="1"/>
  <c r="F492" i="1" a="1"/>
  <c r="F492" i="1" s="1"/>
  <c r="G550" i="1" a="1"/>
  <c r="G550" i="1" s="1"/>
  <c r="F225" i="1" a="1"/>
  <c r="F225" i="1" s="1"/>
  <c r="G325" i="1" a="1"/>
  <c r="G325" i="1" s="1"/>
  <c r="F481" i="1" a="1"/>
  <c r="F481" i="1" s="1"/>
  <c r="F338" i="1" a="1"/>
  <c r="F338" i="1" s="1"/>
  <c r="G277" i="1" a="1"/>
  <c r="G277" i="1" s="1"/>
  <c r="G214" i="1" a="1"/>
  <c r="G214" i="1" s="1"/>
  <c r="F165" i="1" a="1"/>
  <c r="F165" i="1" s="1"/>
  <c r="G392" i="1" a="1"/>
  <c r="G392" i="1" s="1"/>
  <c r="F582" i="1" a="1"/>
  <c r="F582" i="1" s="1"/>
  <c r="G571" i="1" a="1"/>
  <c r="G571" i="1" s="1"/>
  <c r="F408" i="1" a="1"/>
  <c r="F408" i="1" s="1"/>
  <c r="G373" i="1" a="1"/>
  <c r="G373" i="1" s="1"/>
  <c r="G366" i="1" a="1"/>
  <c r="G366" i="1" s="1"/>
  <c r="G336" i="1" a="1"/>
  <c r="G336" i="1" s="1"/>
  <c r="F276" i="1" a="1"/>
  <c r="F276" i="1" s="1"/>
  <c r="G505" i="1" a="1"/>
  <c r="G505" i="1" s="1"/>
  <c r="G148" i="1" a="1"/>
  <c r="G148" i="1" s="1"/>
  <c r="F132" i="1" a="1"/>
  <c r="F132" i="1" s="1"/>
  <c r="G139" i="1" a="1"/>
  <c r="G139" i="1" s="1"/>
  <c r="G145" i="1" a="1"/>
  <c r="G145" i="1" s="1"/>
  <c r="G283" i="1" a="1"/>
  <c r="G283" i="1" s="1"/>
  <c r="G250" i="1" a="1"/>
  <c r="G250" i="1" s="1"/>
  <c r="G219" i="1" a="1"/>
  <c r="G219" i="1" s="1"/>
  <c r="G705" i="1" a="1"/>
  <c r="G705" i="1" s="1"/>
  <c r="F711" i="1" a="1"/>
  <c r="F711" i="1" s="1"/>
  <c r="F667" i="1" a="1"/>
  <c r="F667" i="1" s="1"/>
  <c r="G568" i="1" a="1"/>
  <c r="G568" i="1" s="1"/>
  <c r="F348" i="1" a="1"/>
  <c r="F348" i="1" s="1"/>
  <c r="G337" i="1" a="1"/>
  <c r="G337" i="1" s="1"/>
  <c r="F244" i="1" a="1"/>
  <c r="F244" i="1" s="1"/>
  <c r="G407" i="1" a="1"/>
  <c r="G407" i="1" s="1"/>
  <c r="G377" i="1" a="1"/>
  <c r="G377" i="1" s="1"/>
  <c r="G660" i="1" a="1"/>
  <c r="G660" i="1" s="1"/>
  <c r="G674" i="1" a="1"/>
  <c r="G674" i="1" s="1"/>
  <c r="F625" i="1" a="1"/>
  <c r="F625" i="1" s="1"/>
  <c r="F559" i="1" a="1"/>
  <c r="F559" i="1" s="1"/>
  <c r="G468" i="1" a="1"/>
  <c r="G468" i="1" s="1"/>
  <c r="G440" i="1" a="1"/>
  <c r="G440" i="1" s="1"/>
  <c r="F383" i="1" a="1"/>
  <c r="F383" i="1" s="1"/>
  <c r="G243" i="1" a="1"/>
  <c r="G243" i="1" s="1"/>
  <c r="F229" i="1" a="1"/>
  <c r="F229" i="1" s="1"/>
  <c r="G160" i="1" a="1"/>
  <c r="G160" i="1" s="1"/>
  <c r="G209" i="1" a="1"/>
  <c r="G209" i="1" s="1"/>
  <c r="F302" i="1" a="1"/>
  <c r="F302" i="1" s="1"/>
  <c r="F418" i="1" a="1"/>
  <c r="F418" i="1" s="1"/>
  <c r="G340" i="1" a="1"/>
  <c r="G340" i="1" s="1"/>
  <c r="G254" i="1" a="1"/>
  <c r="G254" i="1" s="1"/>
  <c r="G235" i="1" a="1"/>
  <c r="G235" i="1" s="1"/>
  <c r="F223" i="1" a="1"/>
  <c r="F223" i="1" s="1"/>
  <c r="G228" i="1" a="1"/>
  <c r="G228" i="1" s="1"/>
  <c r="G179" i="1" a="1"/>
  <c r="G179" i="1" s="1"/>
  <c r="G158" i="1" a="1"/>
  <c r="G158" i="1" s="1"/>
  <c r="G726" i="1" a="1"/>
  <c r="G726" i="1" s="1"/>
  <c r="F677" i="1" a="1"/>
  <c r="F677" i="1" s="1"/>
  <c r="G598" i="1" a="1"/>
  <c r="G598" i="1" s="1"/>
  <c r="G494" i="1" a="1"/>
  <c r="G494" i="1" s="1"/>
  <c r="G424" i="1" a="1"/>
  <c r="G424" i="1" s="1"/>
  <c r="G411" i="1" a="1"/>
  <c r="G411" i="1" s="1"/>
  <c r="G307" i="1" a="1"/>
  <c r="G307" i="1" s="1"/>
  <c r="G267" i="1" a="1"/>
  <c r="G267" i="1" s="1"/>
  <c r="G208" i="1" a="1"/>
  <c r="G208" i="1" s="1"/>
  <c r="F172" i="1" a="1"/>
  <c r="F172" i="1" s="1"/>
  <c r="G637" i="1" a="1"/>
  <c r="G637" i="1" s="1"/>
  <c r="F688" i="1" a="1"/>
  <c r="F688" i="1" s="1"/>
  <c r="F663" i="1" a="1"/>
  <c r="F663" i="1" s="1"/>
  <c r="G650" i="1" a="1"/>
  <c r="G650" i="1" s="1"/>
  <c r="G502" i="1" a="1"/>
  <c r="G502" i="1" s="1"/>
  <c r="F335" i="1" a="1"/>
  <c r="F335" i="1" s="1"/>
  <c r="G292" i="1" a="1"/>
  <c r="G292" i="1" s="1"/>
  <c r="G246" i="1" a="1"/>
  <c r="G246" i="1" s="1"/>
  <c r="F178" i="1" a="1"/>
  <c r="F178" i="1" s="1"/>
  <c r="F164" i="1" a="1"/>
  <c r="F164" i="1" s="1"/>
  <c r="G754" i="1" a="1"/>
  <c r="G754" i="1" s="1"/>
  <c r="F564" i="1" a="1"/>
  <c r="F564" i="1" s="1"/>
  <c r="F555" i="1" a="1"/>
  <c r="F555" i="1" s="1"/>
  <c r="G508" i="1" a="1"/>
  <c r="G508" i="1" s="1"/>
  <c r="F471" i="1" a="1"/>
  <c r="F471" i="1" s="1"/>
  <c r="G437" i="1" a="1"/>
  <c r="G437" i="1" s="1"/>
  <c r="F430" i="1" a="1"/>
  <c r="F430" i="1" s="1"/>
  <c r="G416" i="1" a="1"/>
  <c r="G416" i="1" s="1"/>
  <c r="G394" i="1" a="1"/>
  <c r="G394" i="1" s="1"/>
  <c r="G357" i="1" a="1"/>
  <c r="G357" i="1" s="1"/>
  <c r="G662" i="1" a="1"/>
  <c r="G662" i="1" s="1"/>
  <c r="F520" i="1" a="1"/>
  <c r="F520" i="1" s="1"/>
  <c r="F385" i="1" a="1"/>
  <c r="F385" i="1" s="1"/>
  <c r="F344" i="1" a="1"/>
  <c r="F344" i="1" s="1"/>
  <c r="F305" i="1" a="1"/>
  <c r="F305" i="1" s="1"/>
  <c r="F291" i="1" a="1"/>
  <c r="F291" i="1" s="1"/>
  <c r="F185" i="1" a="1"/>
  <c r="F185" i="1" s="1"/>
  <c r="G681" i="1" a="1"/>
  <c r="G681" i="1" s="1"/>
  <c r="F668" i="1" a="1"/>
  <c r="F668" i="1" s="1"/>
  <c r="G635" i="1" a="1"/>
  <c r="G635" i="1" s="1"/>
  <c r="F533" i="1" a="1"/>
  <c r="F533" i="1" s="1"/>
  <c r="F177" i="1" a="1"/>
  <c r="F177" i="1" s="1"/>
  <c r="G155" i="1" a="1"/>
  <c r="G155" i="1" s="1"/>
  <c r="G718" i="1" a="1"/>
  <c r="G718" i="1" s="1"/>
  <c r="F718" i="1" a="1"/>
  <c r="F718" i="1" s="1"/>
  <c r="F500" i="1" a="1"/>
  <c r="F500" i="1" s="1"/>
  <c r="G500" i="1" a="1"/>
  <c r="G500" i="1" s="1"/>
  <c r="G561" i="1" a="1"/>
  <c r="G561" i="1" s="1"/>
  <c r="F561" i="1" a="1"/>
  <c r="F561" i="1" s="1"/>
  <c r="F414" i="1" a="1"/>
  <c r="F414" i="1" s="1"/>
  <c r="G414" i="1" a="1"/>
  <c r="G414" i="1" s="1"/>
  <c r="G731" i="1" a="1"/>
  <c r="G731" i="1" s="1"/>
  <c r="G648" i="1" a="1"/>
  <c r="G648" i="1" s="1"/>
  <c r="F648" i="1" a="1"/>
  <c r="F648" i="1" s="1"/>
  <c r="G579" i="1" a="1"/>
  <c r="G579" i="1" s="1"/>
  <c r="F579" i="1" a="1"/>
  <c r="F579" i="1" s="1"/>
  <c r="F499" i="1" a="1"/>
  <c r="F499" i="1" s="1"/>
  <c r="G499" i="1" a="1"/>
  <c r="G499" i="1" s="1"/>
  <c r="F506" i="1" a="1"/>
  <c r="F506" i="1" s="1"/>
  <c r="G506" i="1" a="1"/>
  <c r="G506" i="1" s="1"/>
  <c r="G748" i="1" a="1"/>
  <c r="G748" i="1" s="1"/>
  <c r="G744" i="1" a="1"/>
  <c r="G744" i="1" s="1"/>
  <c r="G686" i="1" a="1"/>
  <c r="G686" i="1" s="1"/>
  <c r="F686" i="1" a="1"/>
  <c r="F686" i="1" s="1"/>
  <c r="G539" i="1" a="1"/>
  <c r="G539" i="1" s="1"/>
  <c r="F539" i="1" a="1"/>
  <c r="F539" i="1" s="1"/>
  <c r="G737" i="1" a="1"/>
  <c r="G737" i="1" s="1"/>
  <c r="F698" i="1" a="1"/>
  <c r="F698" i="1" s="1"/>
  <c r="G698" i="1" a="1"/>
  <c r="G698" i="1" s="1"/>
  <c r="G691" i="1" a="1"/>
  <c r="G691" i="1" s="1"/>
  <c r="F691" i="1" a="1"/>
  <c r="F691" i="1" s="1"/>
  <c r="F577" i="1" a="1"/>
  <c r="F577" i="1" s="1"/>
  <c r="G577" i="1" a="1"/>
  <c r="G577" i="1" s="1"/>
  <c r="G743" i="1" a="1"/>
  <c r="G743" i="1" s="1"/>
  <c r="F653" i="1" a="1"/>
  <c r="F653" i="1" s="1"/>
  <c r="G653" i="1" a="1"/>
  <c r="G653" i="1" s="1"/>
  <c r="F646" i="1" a="1"/>
  <c r="F646" i="1" s="1"/>
  <c r="G646" i="1" a="1"/>
  <c r="G646" i="1" s="1"/>
  <c r="F633" i="1" a="1"/>
  <c r="F633" i="1" s="1"/>
  <c r="G633" i="1" a="1"/>
  <c r="G633" i="1" s="1"/>
  <c r="F545" i="1" a="1"/>
  <c r="F545" i="1" s="1"/>
  <c r="G545" i="1" a="1"/>
  <c r="G545" i="1" s="1"/>
  <c r="F497" i="1" a="1"/>
  <c r="F497" i="1" s="1"/>
  <c r="G497" i="1" a="1"/>
  <c r="G497" i="1" s="1"/>
  <c r="G736" i="1" a="1"/>
  <c r="G736" i="1" s="1"/>
  <c r="F716" i="1" a="1"/>
  <c r="F716" i="1" s="1"/>
  <c r="G716" i="1" a="1"/>
  <c r="G716" i="1" s="1"/>
  <c r="F710" i="1" a="1"/>
  <c r="F710" i="1" s="1"/>
  <c r="G710" i="1" a="1"/>
  <c r="G710" i="1" s="1"/>
  <c r="F624" i="1" a="1"/>
  <c r="F624" i="1" s="1"/>
  <c r="G624" i="1" a="1"/>
  <c r="G624" i="1" s="1"/>
  <c r="F609" i="1" a="1"/>
  <c r="F609" i="1" s="1"/>
  <c r="G609" i="1" a="1"/>
  <c r="G609" i="1" s="1"/>
  <c r="F517" i="1" a="1"/>
  <c r="F517" i="1" s="1"/>
  <c r="G517" i="1" a="1"/>
  <c r="G517" i="1" s="1"/>
  <c r="G475" i="1" a="1"/>
  <c r="G475" i="1" s="1"/>
  <c r="F475" i="1" a="1"/>
  <c r="F475" i="1" s="1"/>
  <c r="G742" i="1" a="1"/>
  <c r="G742" i="1" s="1"/>
  <c r="G727" i="1" a="1"/>
  <c r="G727" i="1" s="1"/>
  <c r="G665" i="1" a="1"/>
  <c r="G665" i="1" s="1"/>
  <c r="F665" i="1" a="1"/>
  <c r="F665" i="1" s="1"/>
  <c r="G735" i="1" a="1"/>
  <c r="G735" i="1" s="1"/>
  <c r="G599" i="1" a="1"/>
  <c r="G599" i="1" s="1"/>
  <c r="F599" i="1" a="1"/>
  <c r="F599" i="1" s="1"/>
  <c r="F584" i="1" a="1"/>
  <c r="F584" i="1" s="1"/>
  <c r="G584" i="1" a="1"/>
  <c r="G584" i="1" s="1"/>
  <c r="G566" i="1" a="1"/>
  <c r="G566" i="1" s="1"/>
  <c r="F566" i="1" a="1"/>
  <c r="F566" i="1" s="1"/>
  <c r="G734" i="1" a="1"/>
  <c r="G734" i="1" s="1"/>
  <c r="F672" i="1" a="1"/>
  <c r="F672" i="1" s="1"/>
  <c r="G672" i="1" a="1"/>
  <c r="G672" i="1" s="1"/>
  <c r="F631" i="1" a="1"/>
  <c r="F631" i="1" s="1"/>
  <c r="G631" i="1" a="1"/>
  <c r="G631" i="1" s="1"/>
  <c r="G607" i="1" a="1"/>
  <c r="G607" i="1" s="1"/>
  <c r="F607" i="1" a="1"/>
  <c r="F607" i="1" s="1"/>
  <c r="F574" i="1" a="1"/>
  <c r="F574" i="1" s="1"/>
  <c r="G574" i="1" a="1"/>
  <c r="G574" i="1" s="1"/>
  <c r="F606" i="1" a="1"/>
  <c r="F606" i="1" s="1"/>
  <c r="G606" i="1" a="1"/>
  <c r="G606" i="1" s="1"/>
  <c r="F459" i="1" a="1"/>
  <c r="F459" i="1" s="1"/>
  <c r="G459" i="1" a="1"/>
  <c r="G459" i="1" s="1"/>
  <c r="F708" i="1" a="1"/>
  <c r="F708" i="1" s="1"/>
  <c r="G708" i="1" a="1"/>
  <c r="G708" i="1" s="1"/>
  <c r="F671" i="1" a="1"/>
  <c r="F671" i="1" s="1"/>
  <c r="G671" i="1" a="1"/>
  <c r="G671" i="1" s="1"/>
  <c r="F479" i="1" a="1"/>
  <c r="F479" i="1" s="1"/>
  <c r="G479" i="1" a="1"/>
  <c r="G479" i="1" s="1"/>
  <c r="G755" i="1" a="1"/>
  <c r="G755" i="1" s="1"/>
  <c r="G702" i="1" a="1"/>
  <c r="G702" i="1" s="1"/>
  <c r="F702" i="1" a="1"/>
  <c r="F702" i="1" s="1"/>
  <c r="G695" i="1" a="1"/>
  <c r="G695" i="1" s="1"/>
  <c r="F695" i="1" a="1"/>
  <c r="F695" i="1" s="1"/>
  <c r="F556" i="1" a="1"/>
  <c r="F556" i="1" s="1"/>
  <c r="G556" i="1" a="1"/>
  <c r="G556" i="1" s="1"/>
  <c r="F670" i="1" a="1"/>
  <c r="F670" i="1" s="1"/>
  <c r="G670" i="1" a="1"/>
  <c r="G670" i="1" s="1"/>
  <c r="G629" i="1" a="1"/>
  <c r="G629" i="1" s="1"/>
  <c r="F629" i="1" a="1"/>
  <c r="F629" i="1" s="1"/>
  <c r="F597" i="1" a="1"/>
  <c r="F597" i="1" s="1"/>
  <c r="G597" i="1" a="1"/>
  <c r="G597" i="1" s="1"/>
  <c r="F621" i="1" a="1"/>
  <c r="F621" i="1" s="1"/>
  <c r="G621" i="1" a="1"/>
  <c r="G621" i="1" s="1"/>
  <c r="G732" i="1" a="1"/>
  <c r="G732" i="1" s="1"/>
  <c r="G604" i="1" a="1"/>
  <c r="G604" i="1" s="1"/>
  <c r="F604" i="1" a="1"/>
  <c r="F604" i="1" s="1"/>
  <c r="F589" i="1" a="1"/>
  <c r="F589" i="1" s="1"/>
  <c r="G589" i="1" a="1"/>
  <c r="G589" i="1" s="1"/>
  <c r="G751" i="1" a="1"/>
  <c r="G751" i="1" s="1"/>
  <c r="F572" i="1" a="1"/>
  <c r="F572" i="1" s="1"/>
  <c r="G572" i="1" a="1"/>
  <c r="G572" i="1" s="1"/>
  <c r="F693" i="1" a="1"/>
  <c r="F693" i="1" s="1"/>
  <c r="G693" i="1" a="1"/>
  <c r="G693" i="1" s="1"/>
  <c r="G636" i="1" a="1"/>
  <c r="G636" i="1" s="1"/>
  <c r="F636" i="1" a="1"/>
  <c r="F636" i="1" s="1"/>
  <c r="F581" i="1" a="1"/>
  <c r="F581" i="1" s="1"/>
  <c r="G581" i="1" a="1"/>
  <c r="G581" i="1" s="1"/>
  <c r="G724" i="1" a="1"/>
  <c r="G724" i="1" s="1"/>
  <c r="F700" i="1" a="1"/>
  <c r="F700" i="1" s="1"/>
  <c r="G700" i="1" a="1"/>
  <c r="G700" i="1" s="1"/>
  <c r="F595" i="1" a="1"/>
  <c r="F595" i="1" s="1"/>
  <c r="G595" i="1" a="1"/>
  <c r="G595" i="1" s="1"/>
  <c r="F563" i="1" a="1"/>
  <c r="F563" i="1" s="1"/>
  <c r="G563" i="1" a="1"/>
  <c r="G563" i="1" s="1"/>
  <c r="F488" i="1" a="1"/>
  <c r="F488" i="1" s="1"/>
  <c r="G488" i="1" a="1"/>
  <c r="G488" i="1" s="1"/>
  <c r="G434" i="1" a="1"/>
  <c r="G434" i="1" s="1"/>
  <c r="F434" i="1" a="1"/>
  <c r="F434" i="1" s="1"/>
  <c r="F427" i="1" a="1"/>
  <c r="F427" i="1" s="1"/>
  <c r="G427" i="1" a="1"/>
  <c r="G427" i="1" s="1"/>
  <c r="F415" i="1" a="1"/>
  <c r="F415" i="1" s="1"/>
  <c r="G415" i="1" a="1"/>
  <c r="G415" i="1" s="1"/>
  <c r="F678" i="1" a="1"/>
  <c r="F678" i="1" s="1"/>
  <c r="G678" i="1" a="1"/>
  <c r="G678" i="1" s="1"/>
  <c r="F570" i="1" a="1"/>
  <c r="F570" i="1" s="1"/>
  <c r="G570" i="1" a="1"/>
  <c r="G570" i="1" s="1"/>
  <c r="G507" i="1" a="1"/>
  <c r="G507" i="1" s="1"/>
  <c r="F507" i="1" a="1"/>
  <c r="F507" i="1" s="1"/>
  <c r="F462" i="1" a="1"/>
  <c r="F462" i="1" s="1"/>
  <c r="G462" i="1" a="1"/>
  <c r="G462" i="1" s="1"/>
  <c r="F451" i="1" a="1"/>
  <c r="F451" i="1" s="1"/>
  <c r="G451" i="1" a="1"/>
  <c r="G451" i="1" s="1"/>
  <c r="F426" i="1" a="1"/>
  <c r="F426" i="1" s="1"/>
  <c r="G426" i="1" a="1"/>
  <c r="G426" i="1" s="1"/>
  <c r="G397" i="1" a="1"/>
  <c r="G397" i="1" s="1"/>
  <c r="F397" i="1" a="1"/>
  <c r="F397" i="1" s="1"/>
  <c r="G390" i="1" a="1"/>
  <c r="G390" i="1" s="1"/>
  <c r="F390" i="1" a="1"/>
  <c r="F390" i="1" s="1"/>
  <c r="F363" i="1" a="1"/>
  <c r="F363" i="1" s="1"/>
  <c r="G363" i="1" a="1"/>
  <c r="G363" i="1" s="1"/>
  <c r="F651" i="1" a="1"/>
  <c r="F651" i="1" s="1"/>
  <c r="G651" i="1" a="1"/>
  <c r="G651" i="1" s="1"/>
  <c r="G632" i="1" a="1"/>
  <c r="G632" i="1" s="1"/>
  <c r="F632" i="1" a="1"/>
  <c r="F632" i="1" s="1"/>
  <c r="F583" i="1" a="1"/>
  <c r="F583" i="1" s="1"/>
  <c r="G583" i="1" a="1"/>
  <c r="G583" i="1" s="1"/>
  <c r="F515" i="1" a="1"/>
  <c r="F515" i="1" s="1"/>
  <c r="G515" i="1" a="1"/>
  <c r="G515" i="1" s="1"/>
  <c r="G741" i="1" a="1"/>
  <c r="G741" i="1" s="1"/>
  <c r="F628" i="1" a="1"/>
  <c r="F628" i="1" s="1"/>
  <c r="G628" i="1" a="1"/>
  <c r="G628" i="1" s="1"/>
  <c r="G578" i="1" a="1"/>
  <c r="G578" i="1" s="1"/>
  <c r="G569" i="1" a="1"/>
  <c r="G569" i="1" s="1"/>
  <c r="G560" i="1" a="1"/>
  <c r="G560" i="1" s="1"/>
  <c r="F551" i="1" a="1"/>
  <c r="F551" i="1" s="1"/>
  <c r="G528" i="1" a="1"/>
  <c r="G528" i="1" s="1"/>
  <c r="G482" i="1" a="1"/>
  <c r="G482" i="1" s="1"/>
  <c r="F482" i="1" a="1"/>
  <c r="F482" i="1" s="1"/>
  <c r="F472" i="1" a="1"/>
  <c r="F472" i="1" s="1"/>
  <c r="G472" i="1" a="1"/>
  <c r="G472" i="1" s="1"/>
  <c r="F456" i="1" a="1"/>
  <c r="F456" i="1" s="1"/>
  <c r="G456" i="1" a="1"/>
  <c r="G456" i="1" s="1"/>
  <c r="F444" i="1" a="1"/>
  <c r="F444" i="1" s="1"/>
  <c r="G444" i="1" a="1"/>
  <c r="G444" i="1" s="1"/>
  <c r="F370" i="1" a="1"/>
  <c r="F370" i="1" s="1"/>
  <c r="G370" i="1" a="1"/>
  <c r="G370" i="1" s="1"/>
  <c r="F701" i="1" a="1"/>
  <c r="F701" i="1" s="1"/>
  <c r="F647" i="1" a="1"/>
  <c r="F647" i="1" s="1"/>
  <c r="G643" i="1" a="1"/>
  <c r="G643" i="1" s="1"/>
  <c r="G615" i="1" a="1"/>
  <c r="G615" i="1" s="1"/>
  <c r="F603" i="1" a="1"/>
  <c r="F603" i="1" s="1"/>
  <c r="G603" i="1" a="1"/>
  <c r="G603" i="1" s="1"/>
  <c r="F590" i="1" a="1"/>
  <c r="F590" i="1" s="1"/>
  <c r="G586" i="1" a="1"/>
  <c r="G586" i="1" s="1"/>
  <c r="G514" i="1" a="1"/>
  <c r="G514" i="1" s="1"/>
  <c r="G487" i="1" a="1"/>
  <c r="G487" i="1" s="1"/>
  <c r="G461" i="1" a="1"/>
  <c r="G461" i="1" s="1"/>
  <c r="G409" i="1" a="1"/>
  <c r="G409" i="1" s="1"/>
  <c r="F409" i="1" a="1"/>
  <c r="F409" i="1" s="1"/>
  <c r="G402" i="1" a="1"/>
  <c r="G402" i="1" s="1"/>
  <c r="F389" i="1" a="1"/>
  <c r="F389" i="1" s="1"/>
  <c r="G712" i="1" a="1"/>
  <c r="G712" i="1" s="1"/>
  <c r="F712" i="1" a="1"/>
  <c r="F712" i="1" s="1"/>
  <c r="F659" i="1" a="1"/>
  <c r="F659" i="1" s="1"/>
  <c r="G659" i="1" a="1"/>
  <c r="G659" i="1" s="1"/>
  <c r="F587" i="1" a="1"/>
  <c r="F587" i="1" s="1"/>
  <c r="G587" i="1" a="1"/>
  <c r="G587" i="1" s="1"/>
  <c r="F532" i="1" a="1"/>
  <c r="F532" i="1" s="1"/>
  <c r="G532" i="1" a="1"/>
  <c r="G532" i="1" s="1"/>
  <c r="F524" i="1" a="1"/>
  <c r="F524" i="1" s="1"/>
  <c r="G524" i="1" a="1"/>
  <c r="G524" i="1" s="1"/>
  <c r="F501" i="1" a="1"/>
  <c r="F501" i="1" s="1"/>
  <c r="G501" i="1" a="1"/>
  <c r="G501" i="1" s="1"/>
  <c r="F467" i="1" a="1"/>
  <c r="F467" i="1" s="1"/>
  <c r="G467" i="1" a="1"/>
  <c r="G467" i="1" s="1"/>
  <c r="F536" i="1" a="1"/>
  <c r="F536" i="1" s="1"/>
  <c r="F523" i="1" a="1"/>
  <c r="F523" i="1" s="1"/>
  <c r="G466" i="1" a="1"/>
  <c r="G466" i="1" s="1"/>
  <c r="F466" i="1" a="1"/>
  <c r="F466" i="1" s="1"/>
  <c r="F449" i="1" a="1"/>
  <c r="F449" i="1" s="1"/>
  <c r="G449" i="1" a="1"/>
  <c r="G449" i="1" s="1"/>
  <c r="F438" i="1" a="1"/>
  <c r="F438" i="1" s="1"/>
  <c r="F432" i="1" a="1"/>
  <c r="F432" i="1" s="1"/>
  <c r="G432" i="1" a="1"/>
  <c r="G432" i="1" s="1"/>
  <c r="F654" i="1" a="1"/>
  <c r="F654" i="1" s="1"/>
  <c r="G654" i="1" a="1"/>
  <c r="G654" i="1" s="1"/>
  <c r="F546" i="1" a="1"/>
  <c r="F546" i="1" s="1"/>
  <c r="G546" i="1" a="1"/>
  <c r="G546" i="1" s="1"/>
  <c r="F496" i="1" a="1"/>
  <c r="F496" i="1" s="1"/>
  <c r="G496" i="1" a="1"/>
  <c r="G496" i="1" s="1"/>
  <c r="G486" i="1" a="1"/>
  <c r="G486" i="1" s="1"/>
  <c r="F486" i="1" a="1"/>
  <c r="F486" i="1" s="1"/>
  <c r="F460" i="1" a="1"/>
  <c r="F460" i="1" s="1"/>
  <c r="G460" i="1" a="1"/>
  <c r="G460" i="1" s="1"/>
  <c r="G419" i="1" a="1"/>
  <c r="G419" i="1" s="1"/>
  <c r="F419" i="1" a="1"/>
  <c r="F419" i="1" s="1"/>
  <c r="G381" i="1" a="1"/>
  <c r="G381" i="1" s="1"/>
  <c r="F381" i="1" a="1"/>
  <c r="F381" i="1" s="1"/>
  <c r="F354" i="1" a="1"/>
  <c r="F354" i="1" s="1"/>
  <c r="G354" i="1" a="1"/>
  <c r="G354" i="1" s="1"/>
  <c r="F491" i="1" a="1"/>
  <c r="F491" i="1" s="1"/>
  <c r="G491" i="1" a="1"/>
  <c r="G491" i="1" s="1"/>
  <c r="G729" i="1" a="1"/>
  <c r="G729" i="1" s="1"/>
  <c r="F669" i="1" a="1"/>
  <c r="F669" i="1" s="1"/>
  <c r="G669" i="1" a="1"/>
  <c r="G669" i="1" s="1"/>
  <c r="G610" i="1" a="1"/>
  <c r="G610" i="1" s="1"/>
  <c r="F610" i="1" a="1"/>
  <c r="F610" i="1" s="1"/>
  <c r="F593" i="1" a="1"/>
  <c r="F593" i="1" s="1"/>
  <c r="G593" i="1" a="1"/>
  <c r="G593" i="1" s="1"/>
  <c r="F573" i="1" a="1"/>
  <c r="F573" i="1" s="1"/>
  <c r="G573" i="1" a="1"/>
  <c r="G573" i="1" s="1"/>
  <c r="F527" i="1" a="1"/>
  <c r="F527" i="1" s="1"/>
  <c r="G522" i="1" a="1"/>
  <c r="G522" i="1" s="1"/>
  <c r="F518" i="1" a="1"/>
  <c r="F518" i="1" s="1"/>
  <c r="G518" i="1" a="1"/>
  <c r="G518" i="1" s="1"/>
  <c r="F495" i="1" a="1"/>
  <c r="F495" i="1" s="1"/>
  <c r="F448" i="1" a="1"/>
  <c r="F448" i="1" s="1"/>
  <c r="F639" i="1" a="1"/>
  <c r="F639" i="1" s="1"/>
  <c r="G639" i="1" a="1"/>
  <c r="G639" i="1" s="1"/>
  <c r="G740" i="1" a="1"/>
  <c r="G740" i="1" s="1"/>
  <c r="G703" i="1" a="1"/>
  <c r="G703" i="1" s="1"/>
  <c r="G683" i="1" a="1"/>
  <c r="G683" i="1" s="1"/>
  <c r="G680" i="1" a="1"/>
  <c r="G680" i="1" s="1"/>
  <c r="F680" i="1" a="1"/>
  <c r="F680" i="1" s="1"/>
  <c r="G661" i="1" a="1"/>
  <c r="G661" i="1" s="1"/>
  <c r="F661" i="1" a="1"/>
  <c r="F661" i="1" s="1"/>
  <c r="G649" i="1" a="1"/>
  <c r="G649" i="1" s="1"/>
  <c r="F642" i="1" a="1"/>
  <c r="F642" i="1" s="1"/>
  <c r="G642" i="1" a="1"/>
  <c r="G642" i="1" s="1"/>
  <c r="F531" i="1" a="1"/>
  <c r="F531" i="1" s="1"/>
  <c r="G531" i="1" a="1"/>
  <c r="G531" i="1" s="1"/>
  <c r="G442" i="1" a="1"/>
  <c r="G442" i="1" s="1"/>
  <c r="F442" i="1" a="1"/>
  <c r="F442" i="1" s="1"/>
  <c r="G375" i="1" a="1"/>
  <c r="G375" i="1" s="1"/>
  <c r="F375" i="1" a="1"/>
  <c r="F375" i="1" s="1"/>
  <c r="G730" i="1" a="1"/>
  <c r="G730" i="1" s="1"/>
  <c r="F684" i="1" a="1"/>
  <c r="F684" i="1" s="1"/>
  <c r="G684" i="1" a="1"/>
  <c r="G684" i="1" s="1"/>
  <c r="F714" i="1" a="1"/>
  <c r="F714" i="1" s="1"/>
  <c r="G714" i="1" a="1"/>
  <c r="G714" i="1" s="1"/>
  <c r="F622" i="1" a="1"/>
  <c r="F622" i="1" s="1"/>
  <c r="G622" i="1" a="1"/>
  <c r="G622" i="1" s="1"/>
  <c r="G614" i="1" a="1"/>
  <c r="G614" i="1" s="1"/>
  <c r="G558" i="1" a="1"/>
  <c r="G558" i="1" s="1"/>
  <c r="F554" i="1" a="1"/>
  <c r="F554" i="1" s="1"/>
  <c r="G554" i="1" a="1"/>
  <c r="G554" i="1" s="1"/>
  <c r="F480" i="1" a="1"/>
  <c r="F480" i="1" s="1"/>
  <c r="G480" i="1" a="1"/>
  <c r="G480" i="1" s="1"/>
  <c r="G722" i="1" a="1"/>
  <c r="G722" i="1" s="1"/>
  <c r="G713" i="1" a="1"/>
  <c r="G713" i="1" s="1"/>
  <c r="G706" i="1" a="1"/>
  <c r="G706" i="1" s="1"/>
  <c r="G676" i="1" a="1"/>
  <c r="G676" i="1" s="1"/>
  <c r="F657" i="1" a="1"/>
  <c r="F657" i="1" s="1"/>
  <c r="G657" i="1" a="1"/>
  <c r="G657" i="1" s="1"/>
  <c r="G626" i="1" a="1"/>
  <c r="G626" i="1" s="1"/>
  <c r="F618" i="1" a="1"/>
  <c r="F618" i="1" s="1"/>
  <c r="G618" i="1" a="1"/>
  <c r="G618" i="1" s="1"/>
  <c r="G601" i="1" a="1"/>
  <c r="G601" i="1" s="1"/>
  <c r="G576" i="1" a="1"/>
  <c r="G576" i="1" s="1"/>
  <c r="F513" i="1" a="1"/>
  <c r="F513" i="1" s="1"/>
  <c r="G513" i="1" a="1"/>
  <c r="G513" i="1" s="1"/>
  <c r="G490" i="1" a="1"/>
  <c r="G490" i="1" s="1"/>
  <c r="F490" i="1" a="1"/>
  <c r="F490" i="1" s="1"/>
  <c r="F470" i="1" a="1"/>
  <c r="F470" i="1" s="1"/>
  <c r="F386" i="1" a="1"/>
  <c r="F386" i="1" s="1"/>
  <c r="G386" i="1" a="1"/>
  <c r="G386" i="1" s="1"/>
  <c r="F658" i="1" a="1"/>
  <c r="F658" i="1" s="1"/>
  <c r="G658" i="1" a="1"/>
  <c r="G658" i="1" s="1"/>
  <c r="G549" i="1" a="1"/>
  <c r="G549" i="1" s="1"/>
  <c r="F549" i="1" a="1"/>
  <c r="F549" i="1" s="1"/>
  <c r="F535" i="1" a="1"/>
  <c r="F535" i="1" s="1"/>
  <c r="G535" i="1" a="1"/>
  <c r="G535" i="1" s="1"/>
  <c r="G504" i="1" a="1"/>
  <c r="G504" i="1" s="1"/>
  <c r="F504" i="1" a="1"/>
  <c r="F504" i="1" s="1"/>
  <c r="G485" i="1" a="1"/>
  <c r="G485" i="1" s="1"/>
  <c r="F485" i="1" a="1"/>
  <c r="F485" i="1" s="1"/>
  <c r="F694" i="1" a="1"/>
  <c r="F694" i="1" s="1"/>
  <c r="G694" i="1" a="1"/>
  <c r="G694" i="1" s="1"/>
  <c r="F627" i="1" a="1"/>
  <c r="F627" i="1" s="1"/>
  <c r="G627" i="1" a="1"/>
  <c r="G627" i="1" s="1"/>
  <c r="F541" i="1" a="1"/>
  <c r="F541" i="1" s="1"/>
  <c r="G541" i="1" a="1"/>
  <c r="G541" i="1" s="1"/>
  <c r="G725" i="1" a="1"/>
  <c r="G725" i="1" s="1"/>
  <c r="G719" i="1" a="1"/>
  <c r="G719" i="1" s="1"/>
  <c r="G679" i="1" a="1"/>
  <c r="G679" i="1" s="1"/>
  <c r="G656" i="1" a="1"/>
  <c r="G656" i="1" s="1"/>
  <c r="G641" i="1" a="1"/>
  <c r="G641" i="1" s="1"/>
  <c r="F630" i="1" a="1"/>
  <c r="F630" i="1" s="1"/>
  <c r="G630" i="1" a="1"/>
  <c r="G630" i="1" s="1"/>
  <c r="G617" i="1" a="1"/>
  <c r="G617" i="1" s="1"/>
  <c r="F605" i="1" a="1"/>
  <c r="F605" i="1" s="1"/>
  <c r="G605" i="1" a="1"/>
  <c r="G605" i="1" s="1"/>
  <c r="G664" i="1" a="1"/>
  <c r="G664" i="1" s="1"/>
  <c r="F592" i="1" a="1"/>
  <c r="F592" i="1" s="1"/>
  <c r="G592" i="1" a="1"/>
  <c r="G592" i="1" s="1"/>
  <c r="F580" i="1" a="1"/>
  <c r="F580" i="1" s="1"/>
  <c r="G580" i="1" a="1"/>
  <c r="G580" i="1" s="1"/>
  <c r="F534" i="1" a="1"/>
  <c r="F534" i="1" s="1"/>
  <c r="G530" i="1" a="1"/>
  <c r="G530" i="1" s="1"/>
  <c r="F489" i="1" a="1"/>
  <c r="F489" i="1" s="1"/>
  <c r="F441" i="1" a="1"/>
  <c r="F441" i="1" s="1"/>
  <c r="F412" i="1" a="1"/>
  <c r="F412" i="1" s="1"/>
  <c r="G412" i="1" a="1"/>
  <c r="G412" i="1" s="1"/>
  <c r="F640" i="1" a="1"/>
  <c r="F640" i="1" s="1"/>
  <c r="G640" i="1" a="1"/>
  <c r="G640" i="1" s="1"/>
  <c r="G696" i="1" a="1"/>
  <c r="G696" i="1" s="1"/>
  <c r="F696" i="1" a="1"/>
  <c r="F696" i="1" s="1"/>
  <c r="G652" i="1" a="1"/>
  <c r="G652" i="1" s="1"/>
  <c r="F613" i="1" a="1"/>
  <c r="F613" i="1" s="1"/>
  <c r="G613" i="1" a="1"/>
  <c r="G613" i="1" s="1"/>
  <c r="F553" i="1" a="1"/>
  <c r="F553" i="1" s="1"/>
  <c r="G553" i="1" a="1"/>
  <c r="G553" i="1" s="1"/>
  <c r="F423" i="1" a="1"/>
  <c r="F423" i="1" s="1"/>
  <c r="G423" i="1" a="1"/>
  <c r="G423" i="1" s="1"/>
  <c r="G406" i="1" a="1"/>
  <c r="G406" i="1" s="1"/>
  <c r="F406" i="1" a="1"/>
  <c r="F406" i="1" s="1"/>
  <c r="F399" i="1" a="1"/>
  <c r="F399" i="1" s="1"/>
  <c r="F612" i="1" a="1"/>
  <c r="F612" i="1" s="1"/>
  <c r="G612" i="1" a="1"/>
  <c r="G612" i="1" s="1"/>
  <c r="F596" i="1" a="1"/>
  <c r="F596" i="1" s="1"/>
  <c r="G562" i="1" a="1"/>
  <c r="G562" i="1" s="1"/>
  <c r="F562" i="1" a="1"/>
  <c r="F562" i="1" s="1"/>
  <c r="G557" i="1" a="1"/>
  <c r="G557" i="1" s="1"/>
  <c r="F521" i="1" a="1"/>
  <c r="F521" i="1" s="1"/>
  <c r="G521" i="1" a="1"/>
  <c r="G521" i="1" s="1"/>
  <c r="F512" i="1" a="1"/>
  <c r="F512" i="1" s="1"/>
  <c r="G512" i="1" a="1"/>
  <c r="G512" i="1" s="1"/>
  <c r="F498" i="1" a="1"/>
  <c r="F498" i="1" s="1"/>
  <c r="G498" i="1" a="1"/>
  <c r="G498" i="1" s="1"/>
  <c r="F484" i="1" a="1"/>
  <c r="F484" i="1" s="1"/>
  <c r="G484" i="1" a="1"/>
  <c r="G484" i="1" s="1"/>
  <c r="F474" i="1" a="1"/>
  <c r="F474" i="1" s="1"/>
  <c r="G469" i="1" a="1"/>
  <c r="G469" i="1" s="1"/>
  <c r="F469" i="1" a="1"/>
  <c r="F469" i="1" s="1"/>
  <c r="G464" i="1" a="1"/>
  <c r="G464" i="1" s="1"/>
  <c r="F464" i="1" a="1"/>
  <c r="F464" i="1" s="1"/>
  <c r="F458" i="1" a="1"/>
  <c r="F458" i="1" s="1"/>
  <c r="G458" i="1" a="1"/>
  <c r="G458" i="1" s="1"/>
  <c r="G453" i="1" a="1"/>
  <c r="G453" i="1" s="1"/>
  <c r="F453" i="1" a="1"/>
  <c r="F453" i="1" s="1"/>
  <c r="G435" i="1" a="1"/>
  <c r="G435" i="1" s="1"/>
  <c r="F435" i="1" a="1"/>
  <c r="F435" i="1" s="1"/>
  <c r="F588" i="1" a="1"/>
  <c r="F588" i="1" s="1"/>
  <c r="G588" i="1" a="1"/>
  <c r="G588" i="1" s="1"/>
  <c r="G739" i="1" a="1"/>
  <c r="G739" i="1" s="1"/>
  <c r="G728" i="1" a="1"/>
  <c r="G728" i="1" s="1"/>
  <c r="G721" i="1" a="1"/>
  <c r="G721" i="1" s="1"/>
  <c r="G644" i="1" a="1"/>
  <c r="G644" i="1" s="1"/>
  <c r="G575" i="1" a="1"/>
  <c r="G575" i="1" s="1"/>
  <c r="F575" i="1" a="1"/>
  <c r="F575" i="1" s="1"/>
  <c r="F543" i="1" a="1"/>
  <c r="F543" i="1" s="1"/>
  <c r="G543" i="1" a="1"/>
  <c r="G543" i="1" s="1"/>
  <c r="F503" i="1" a="1"/>
  <c r="F503" i="1" s="1"/>
  <c r="G503" i="1" a="1"/>
  <c r="G503" i="1" s="1"/>
  <c r="G452" i="1" a="1"/>
  <c r="G452" i="1" s="1"/>
  <c r="F452" i="1" a="1"/>
  <c r="F452" i="1" s="1"/>
  <c r="F446" i="1" a="1"/>
  <c r="F446" i="1" s="1"/>
  <c r="G446" i="1" a="1"/>
  <c r="G446" i="1" s="1"/>
  <c r="F429" i="1" a="1"/>
  <c r="F429" i="1" s="1"/>
  <c r="G429" i="1" a="1"/>
  <c r="G429" i="1" s="1"/>
  <c r="F405" i="1" a="1"/>
  <c r="F405" i="1" s="1"/>
  <c r="G405" i="1" a="1"/>
  <c r="G405" i="1" s="1"/>
  <c r="F682" i="1" a="1"/>
  <c r="F682" i="1" s="1"/>
  <c r="G682" i="1" a="1"/>
  <c r="G682" i="1" s="1"/>
  <c r="G525" i="1" a="1"/>
  <c r="G525" i="1" s="1"/>
  <c r="G747" i="1" a="1"/>
  <c r="G747" i="1" s="1"/>
  <c r="G715" i="1" a="1"/>
  <c r="G715" i="1" s="1"/>
  <c r="F685" i="1" a="1"/>
  <c r="F685" i="1" s="1"/>
  <c r="F620" i="1" a="1"/>
  <c r="F620" i="1" s="1"/>
  <c r="F608" i="1" a="1"/>
  <c r="F608" i="1" s="1"/>
  <c r="G608" i="1" a="1"/>
  <c r="G608" i="1" s="1"/>
  <c r="G552" i="1" a="1"/>
  <c r="G552" i="1" s="1"/>
  <c r="G538" i="1" a="1"/>
  <c r="G538" i="1" s="1"/>
  <c r="F529" i="1" a="1"/>
  <c r="F529" i="1" s="1"/>
  <c r="G516" i="1" a="1"/>
  <c r="G516" i="1" s="1"/>
  <c r="F516" i="1" a="1"/>
  <c r="F516" i="1" s="1"/>
  <c r="F493" i="1" a="1"/>
  <c r="F493" i="1" s="1"/>
  <c r="F483" i="1" a="1"/>
  <c r="F483" i="1" s="1"/>
  <c r="G483" i="1" a="1"/>
  <c r="G483" i="1" s="1"/>
  <c r="F473" i="1" a="1"/>
  <c r="F473" i="1" s="1"/>
  <c r="G473" i="1" a="1"/>
  <c r="G473" i="1" s="1"/>
  <c r="G463" i="1" a="1"/>
  <c r="G463" i="1" s="1"/>
  <c r="F463" i="1" a="1"/>
  <c r="F463" i="1" s="1"/>
  <c r="F445" i="1" a="1"/>
  <c r="F445" i="1" s="1"/>
  <c r="G428" i="1" a="1"/>
  <c r="G428" i="1" s="1"/>
  <c r="F428" i="1" a="1"/>
  <c r="F428" i="1" s="1"/>
  <c r="F422" i="1" a="1"/>
  <c r="F422" i="1" s="1"/>
  <c r="F391" i="1" a="1"/>
  <c r="F391" i="1" s="1"/>
  <c r="G391" i="1" a="1"/>
  <c r="G391" i="1" s="1"/>
  <c r="F420" i="1" a="1"/>
  <c r="F420" i="1" s="1"/>
  <c r="G420" i="1" a="1"/>
  <c r="G420" i="1" s="1"/>
  <c r="G395" i="1" a="1"/>
  <c r="G395" i="1" s="1"/>
  <c r="F365" i="1" a="1"/>
  <c r="F365" i="1" s="1"/>
  <c r="G476" i="1" a="1"/>
  <c r="G476" i="1" s="1"/>
  <c r="F476" i="1" a="1"/>
  <c r="F476" i="1" s="1"/>
  <c r="F371" i="1" a="1"/>
  <c r="F371" i="1" s="1"/>
  <c r="G371" i="1" a="1"/>
  <c r="G371" i="1" s="1"/>
  <c r="G359" i="1" a="1"/>
  <c r="G359" i="1" s="1"/>
  <c r="F359" i="1" a="1"/>
  <c r="F359" i="1" s="1"/>
  <c r="G353" i="1" a="1"/>
  <c r="G353" i="1" s="1"/>
  <c r="F353" i="1" a="1"/>
  <c r="F353" i="1" s="1"/>
  <c r="F364" i="1" a="1"/>
  <c r="F364" i="1" s="1"/>
  <c r="G364" i="1" a="1"/>
  <c r="G364" i="1" s="1"/>
  <c r="F289" i="1" a="1"/>
  <c r="F289" i="1" s="1"/>
  <c r="G289" i="1" a="1"/>
  <c r="G289" i="1" s="1"/>
  <c r="F330" i="1" a="1"/>
  <c r="F330" i="1" s="1"/>
  <c r="G330" i="1" a="1"/>
  <c r="G330" i="1" s="1"/>
  <c r="G358" i="1" a="1"/>
  <c r="G358" i="1" s="1"/>
  <c r="F358" i="1" a="1"/>
  <c r="F358" i="1" s="1"/>
  <c r="F403" i="1" a="1"/>
  <c r="F403" i="1" s="1"/>
  <c r="G403" i="1" a="1"/>
  <c r="G403" i="1" s="1"/>
  <c r="G384" i="1" a="1"/>
  <c r="G384" i="1" s="1"/>
  <c r="F329" i="1" a="1"/>
  <c r="F329" i="1" s="1"/>
  <c r="G329" i="1" a="1"/>
  <c r="G329" i="1" s="1"/>
  <c r="F345" i="1" a="1"/>
  <c r="F345" i="1" s="1"/>
  <c r="G345" i="1" a="1"/>
  <c r="G345" i="1" s="1"/>
  <c r="F350" i="1" a="1"/>
  <c r="F350" i="1" s="1"/>
  <c r="G350" i="1" a="1"/>
  <c r="G350" i="1" s="1"/>
  <c r="F339" i="1" a="1"/>
  <c r="F339" i="1" s="1"/>
  <c r="G339" i="1" a="1"/>
  <c r="G339" i="1" s="1"/>
  <c r="F410" i="1" a="1"/>
  <c r="F410" i="1" s="1"/>
  <c r="G410" i="1" a="1"/>
  <c r="G410" i="1" s="1"/>
  <c r="F379" i="1" a="1"/>
  <c r="F379" i="1" s="1"/>
  <c r="G379" i="1" a="1"/>
  <c r="G379" i="1" s="1"/>
  <c r="G362" i="1" a="1"/>
  <c r="G362" i="1" s="1"/>
  <c r="F362" i="1" a="1"/>
  <c r="F362" i="1" s="1"/>
  <c r="F417" i="1" a="1"/>
  <c r="F417" i="1" s="1"/>
  <c r="G401" i="1" a="1"/>
  <c r="G401" i="1" s="1"/>
  <c r="G393" i="1" a="1"/>
  <c r="G393" i="1" s="1"/>
  <c r="F393" i="1" a="1"/>
  <c r="F393" i="1" s="1"/>
  <c r="G388" i="1" a="1"/>
  <c r="G388" i="1" s="1"/>
  <c r="F388" i="1" a="1"/>
  <c r="F388" i="1" s="1"/>
  <c r="F314" i="1" a="1"/>
  <c r="F314" i="1" s="1"/>
  <c r="G314" i="1" a="1"/>
  <c r="G314" i="1" s="1"/>
  <c r="G387" i="1" a="1"/>
  <c r="G387" i="1" s="1"/>
  <c r="F387" i="1" a="1"/>
  <c r="F387" i="1" s="1"/>
  <c r="G355" i="1" a="1"/>
  <c r="G355" i="1" s="1"/>
  <c r="F355" i="1" a="1"/>
  <c r="F355" i="1" s="1"/>
  <c r="F326" i="1" a="1"/>
  <c r="F326" i="1" s="1"/>
  <c r="G326" i="1" a="1"/>
  <c r="G326" i="1" s="1"/>
  <c r="G457" i="1" a="1"/>
  <c r="G457" i="1" s="1"/>
  <c r="G443" i="1" a="1"/>
  <c r="G443" i="1" s="1"/>
  <c r="G436" i="1" a="1"/>
  <c r="G436" i="1" s="1"/>
  <c r="F421" i="1" a="1"/>
  <c r="F421" i="1" s="1"/>
  <c r="G367" i="1" a="1"/>
  <c r="G367" i="1" s="1"/>
  <c r="F367" i="1" a="1"/>
  <c r="F367" i="1" s="1"/>
  <c r="G343" i="1" a="1"/>
  <c r="G343" i="1" s="1"/>
  <c r="G334" i="1" a="1"/>
  <c r="G334" i="1" s="1"/>
  <c r="F334" i="1" a="1"/>
  <c r="F334" i="1" s="1"/>
  <c r="F454" i="1" a="1"/>
  <c r="F454" i="1" s="1"/>
  <c r="F447" i="1" a="1"/>
  <c r="F447" i="1" s="1"/>
  <c r="G447" i="1" a="1"/>
  <c r="G447" i="1" s="1"/>
  <c r="G450" i="1" a="1"/>
  <c r="G450" i="1" s="1"/>
  <c r="F396" i="1" a="1"/>
  <c r="F396" i="1" s="1"/>
  <c r="G396" i="1" a="1"/>
  <c r="G396" i="1" s="1"/>
  <c r="G360" i="1" a="1"/>
  <c r="G360" i="1" s="1"/>
  <c r="F439" i="1" a="1"/>
  <c r="F439" i="1" s="1"/>
  <c r="G400" i="1" a="1"/>
  <c r="G400" i="1" s="1"/>
  <c r="F372" i="1" a="1"/>
  <c r="F372" i="1" s="1"/>
  <c r="G372" i="1" a="1"/>
  <c r="G372" i="1" s="1"/>
  <c r="F290" i="1" a="1"/>
  <c r="F290" i="1" s="1"/>
  <c r="G290" i="1" a="1"/>
  <c r="G290" i="1" s="1"/>
  <c r="F263" i="1" a="1"/>
  <c r="F263" i="1" s="1"/>
  <c r="G263" i="1" a="1"/>
  <c r="G263" i="1" s="1"/>
  <c r="G328" i="1" a="1"/>
  <c r="G328" i="1" s="1"/>
  <c r="F328" i="1" a="1"/>
  <c r="F328" i="1" s="1"/>
  <c r="F374" i="1" a="1"/>
  <c r="F374" i="1" s="1"/>
  <c r="G374" i="1" a="1"/>
  <c r="G374" i="1" s="1"/>
  <c r="F369" i="1" a="1"/>
  <c r="F369" i="1" s="1"/>
  <c r="G369" i="1" a="1"/>
  <c r="G369" i="1" s="1"/>
  <c r="G327" i="1" a="1"/>
  <c r="G327" i="1" s="1"/>
  <c r="F327" i="1" a="1"/>
  <c r="F327" i="1" s="1"/>
  <c r="F294" i="1" a="1"/>
  <c r="F294" i="1" s="1"/>
  <c r="G294" i="1" a="1"/>
  <c r="G294" i="1" s="1"/>
  <c r="F269" i="1" a="1"/>
  <c r="F269" i="1" s="1"/>
  <c r="G269" i="1" a="1"/>
  <c r="G269" i="1" s="1"/>
  <c r="G300" i="1" a="1"/>
  <c r="G300" i="1" s="1"/>
  <c r="F300" i="1" a="1"/>
  <c r="F300" i="1" s="1"/>
  <c r="G293" i="1" a="1"/>
  <c r="G293" i="1" s="1"/>
  <c r="F293" i="1" a="1"/>
  <c r="F293" i="1" s="1"/>
  <c r="G275" i="1" a="1"/>
  <c r="G275" i="1" s="1"/>
  <c r="F275" i="1" a="1"/>
  <c r="F275" i="1" s="1"/>
  <c r="G268" i="1" a="1"/>
  <c r="G268" i="1" s="1"/>
  <c r="F268" i="1" a="1"/>
  <c r="F268" i="1" s="1"/>
  <c r="F333" i="1" a="1"/>
  <c r="F333" i="1" s="1"/>
  <c r="G333" i="1" a="1"/>
  <c r="G333" i="1" s="1"/>
  <c r="G280" i="1" a="1"/>
  <c r="G280" i="1" s="1"/>
  <c r="F280" i="1" a="1"/>
  <c r="F280" i="1" s="1"/>
  <c r="F313" i="1" a="1"/>
  <c r="F313" i="1" s="1"/>
  <c r="G313" i="1" a="1"/>
  <c r="G313" i="1" s="1"/>
  <c r="F299" i="1" a="1"/>
  <c r="F299" i="1" s="1"/>
  <c r="G299" i="1" a="1"/>
  <c r="G299" i="1" s="1"/>
  <c r="F241" i="1" a="1"/>
  <c r="F241" i="1" s="1"/>
  <c r="G241" i="1" a="1"/>
  <c r="G241" i="1" s="1"/>
  <c r="F352" i="1" a="1"/>
  <c r="F352" i="1" s="1"/>
  <c r="G352" i="1" a="1"/>
  <c r="G352" i="1" s="1"/>
  <c r="F298" i="1" a="1"/>
  <c r="F298" i="1" s="1"/>
  <c r="G298" i="1" a="1"/>
  <c r="G298" i="1" s="1"/>
  <c r="G319" i="1" a="1"/>
  <c r="G319" i="1" s="1"/>
  <c r="F319" i="1" a="1"/>
  <c r="F319" i="1" s="1"/>
  <c r="G380" i="1" a="1"/>
  <c r="G380" i="1" s="1"/>
  <c r="G376" i="1" a="1"/>
  <c r="G376" i="1" s="1"/>
  <c r="F351" i="1" a="1"/>
  <c r="F351" i="1" s="1"/>
  <c r="G351" i="1" a="1"/>
  <c r="G351" i="1" s="1"/>
  <c r="F226" i="1" a="1"/>
  <c r="F226" i="1" s="1"/>
  <c r="G226" i="1" a="1"/>
  <c r="G226" i="1" s="1"/>
  <c r="F346" i="1" a="1"/>
  <c r="F346" i="1" s="1"/>
  <c r="G346" i="1" a="1"/>
  <c r="G346" i="1" s="1"/>
  <c r="G331" i="1" a="1"/>
  <c r="G331" i="1" s="1"/>
  <c r="F331" i="1" a="1"/>
  <c r="F331" i="1" s="1"/>
  <c r="F318" i="1" a="1"/>
  <c r="F318" i="1" s="1"/>
  <c r="G318" i="1" a="1"/>
  <c r="G318" i="1" s="1"/>
  <c r="G304" i="1" a="1"/>
  <c r="G304" i="1" s="1"/>
  <c r="F304" i="1" a="1"/>
  <c r="F304" i="1" s="1"/>
  <c r="G323" i="1" a="1"/>
  <c r="G323" i="1" s="1"/>
  <c r="F323" i="1" a="1"/>
  <c r="F323" i="1" s="1"/>
  <c r="F311" i="1" a="1"/>
  <c r="F311" i="1" s="1"/>
  <c r="G311" i="1" a="1"/>
  <c r="G311" i="1" s="1"/>
  <c r="G303" i="1" a="1"/>
  <c r="G303" i="1" s="1"/>
  <c r="F303" i="1" a="1"/>
  <c r="F303" i="1" s="1"/>
  <c r="G368" i="1" a="1"/>
  <c r="G368" i="1" s="1"/>
  <c r="F332" i="1" a="1"/>
  <c r="F332" i="1" s="1"/>
  <c r="G285" i="1" a="1"/>
  <c r="G285" i="1" s="1"/>
  <c r="G258" i="1" a="1"/>
  <c r="G258" i="1" s="1"/>
  <c r="G253" i="1" a="1"/>
  <c r="G253" i="1" s="1"/>
  <c r="G211" i="1" a="1"/>
  <c r="G211" i="1" s="1"/>
  <c r="F211" i="1" a="1"/>
  <c r="F211" i="1" s="1"/>
  <c r="G236" i="1" a="1"/>
  <c r="G236" i="1" s="1"/>
  <c r="F236" i="1" a="1"/>
  <c r="F236" i="1" s="1"/>
  <c r="F262" i="1" a="1"/>
  <c r="F262" i="1" s="1"/>
  <c r="G262" i="1" a="1"/>
  <c r="G262" i="1" s="1"/>
  <c r="G248" i="1" a="1"/>
  <c r="G248" i="1" s="1"/>
  <c r="F248" i="1" a="1"/>
  <c r="F248" i="1" s="1"/>
  <c r="G288" i="1" a="1"/>
  <c r="G288" i="1" s="1"/>
  <c r="F284" i="1" a="1"/>
  <c r="F284" i="1" s="1"/>
  <c r="F279" i="1" a="1"/>
  <c r="F279" i="1" s="1"/>
  <c r="F247" i="1" a="1"/>
  <c r="F247" i="1" s="1"/>
  <c r="G247" i="1" a="1"/>
  <c r="G247" i="1" s="1"/>
  <c r="F217" i="1" a="1"/>
  <c r="F217" i="1" s="1"/>
  <c r="G217" i="1" a="1"/>
  <c r="G217" i="1" s="1"/>
  <c r="G216" i="1" a="1"/>
  <c r="G216" i="1" s="1"/>
  <c r="F216" i="1" a="1"/>
  <c r="F216" i="1" s="1"/>
  <c r="F256" i="1" a="1"/>
  <c r="F256" i="1" s="1"/>
  <c r="G256" i="1" a="1"/>
  <c r="G256" i="1" s="1"/>
  <c r="G240" i="1" a="1"/>
  <c r="G240" i="1" s="1"/>
  <c r="F240" i="1" a="1"/>
  <c r="F240" i="1" s="1"/>
  <c r="F342" i="1" a="1"/>
  <c r="F342" i="1" s="1"/>
  <c r="G342" i="1" a="1"/>
  <c r="G342" i="1" s="1"/>
  <c r="F287" i="1" a="1"/>
  <c r="F287" i="1" s="1"/>
  <c r="F278" i="1" a="1"/>
  <c r="F278" i="1" s="1"/>
  <c r="G278" i="1" a="1"/>
  <c r="G278" i="1" s="1"/>
  <c r="F273" i="1" a="1"/>
  <c r="F273" i="1" s="1"/>
  <c r="G316" i="1" a="1"/>
  <c r="G316" i="1" s="1"/>
  <c r="F316" i="1" a="1"/>
  <c r="F316" i="1" s="1"/>
  <c r="G404" i="1" a="1"/>
  <c r="G404" i="1" s="1"/>
  <c r="F306" i="1" a="1"/>
  <c r="F306" i="1" s="1"/>
  <c r="F245" i="1" a="1"/>
  <c r="F245" i="1" s="1"/>
  <c r="G245" i="1" a="1"/>
  <c r="G245" i="1" s="1"/>
  <c r="G222" i="1" a="1"/>
  <c r="G222" i="1" s="1"/>
  <c r="F222" i="1" a="1"/>
  <c r="F222" i="1" s="1"/>
  <c r="F356" i="1" a="1"/>
  <c r="F356" i="1" s="1"/>
  <c r="G356" i="1" a="1"/>
  <c r="G356" i="1" s="1"/>
  <c r="F349" i="1" a="1"/>
  <c r="F349" i="1" s="1"/>
  <c r="G349" i="1" a="1"/>
  <c r="G349" i="1" s="1"/>
  <c r="G315" i="1" a="1"/>
  <c r="G315" i="1" s="1"/>
  <c r="F315" i="1" a="1"/>
  <c r="F315" i="1" s="1"/>
  <c r="F266" i="1" a="1"/>
  <c r="F266" i="1" s="1"/>
  <c r="G266" i="1" a="1"/>
  <c r="G266" i="1" s="1"/>
  <c r="G233" i="1" a="1"/>
  <c r="G233" i="1" s="1"/>
  <c r="F233" i="1" a="1"/>
  <c r="F233" i="1" s="1"/>
  <c r="G310" i="1" a="1"/>
  <c r="G310" i="1" s="1"/>
  <c r="F282" i="1" a="1"/>
  <c r="F282" i="1" s="1"/>
  <c r="G282" i="1" a="1"/>
  <c r="G282" i="1" s="1"/>
  <c r="F324" i="1" a="1"/>
  <c r="F324" i="1" s="1"/>
  <c r="G301" i="1" a="1"/>
  <c r="G301" i="1" s="1"/>
  <c r="F265" i="1" a="1"/>
  <c r="F265" i="1" s="1"/>
  <c r="G265" i="1" a="1"/>
  <c r="G265" i="1" s="1"/>
  <c r="F213" i="1" a="1"/>
  <c r="F213" i="1" s="1"/>
  <c r="G213" i="1" a="1"/>
  <c r="G213" i="1" s="1"/>
  <c r="F281" i="1" a="1"/>
  <c r="F281" i="1" s="1"/>
  <c r="G271" i="1" a="1"/>
  <c r="G271" i="1" s="1"/>
  <c r="F271" i="1" a="1"/>
  <c r="F271" i="1" s="1"/>
  <c r="G249" i="1" a="1"/>
  <c r="G249" i="1" s="1"/>
  <c r="F231" i="1" a="1"/>
  <c r="F231" i="1" s="1"/>
  <c r="G206" i="1" a="1"/>
  <c r="G206" i="1" s="1"/>
  <c r="F206" i="1" a="1"/>
  <c r="F206" i="1" s="1"/>
  <c r="F198" i="1" a="1"/>
  <c r="F198" i="1" s="1"/>
  <c r="G198" i="1" a="1"/>
  <c r="G198" i="1" s="1"/>
  <c r="G199" i="1" a="1"/>
  <c r="G199" i="1" s="1"/>
  <c r="F199" i="1" a="1"/>
  <c r="F199" i="1" s="1"/>
  <c r="G194" i="1" a="1"/>
  <c r="G194" i="1" s="1"/>
  <c r="F194" i="1" a="1"/>
  <c r="F194" i="1" s="1"/>
  <c r="F176" i="1" a="1"/>
  <c r="F176" i="1" s="1"/>
  <c r="G176" i="1" a="1"/>
  <c r="G176" i="1" s="1"/>
  <c r="G168" i="1" a="1"/>
  <c r="G168" i="1" s="1"/>
  <c r="F168" i="1" a="1"/>
  <c r="F168" i="1" s="1"/>
  <c r="F205" i="1" a="1"/>
  <c r="F205" i="1" s="1"/>
  <c r="G205" i="1" a="1"/>
  <c r="G205" i="1" s="1"/>
  <c r="G193" i="1" a="1"/>
  <c r="G193" i="1" s="1"/>
  <c r="F193" i="1" a="1"/>
  <c r="F193" i="1" s="1"/>
  <c r="F188" i="1" a="1"/>
  <c r="F188" i="1" s="1"/>
  <c r="G210" i="1" a="1"/>
  <c r="G210" i="1" s="1"/>
  <c r="F210" i="1" a="1"/>
  <c r="F210" i="1" s="1"/>
  <c r="F181" i="1" a="1"/>
  <c r="F181" i="1" s="1"/>
  <c r="G181" i="1" a="1"/>
  <c r="G181" i="1" s="1"/>
  <c r="F154" i="1" a="1"/>
  <c r="F154" i="1" s="1"/>
  <c r="G154" i="1" a="1"/>
  <c r="G154" i="1" s="1"/>
  <c r="F215" i="1" a="1"/>
  <c r="F215" i="1" s="1"/>
  <c r="G215" i="1" a="1"/>
  <c r="G215" i="1" s="1"/>
  <c r="G204" i="1" a="1"/>
  <c r="G204" i="1" s="1"/>
  <c r="F204" i="1" a="1"/>
  <c r="F204" i="1" s="1"/>
  <c r="F166" i="1" a="1"/>
  <c r="F166" i="1" s="1"/>
  <c r="G166" i="1" a="1"/>
  <c r="G166" i="1" s="1"/>
  <c r="F230" i="1" a="1"/>
  <c r="F230" i="1" s="1"/>
  <c r="G230" i="1" a="1"/>
  <c r="G230" i="1" s="1"/>
  <c r="G197" i="1" a="1"/>
  <c r="G197" i="1" s="1"/>
  <c r="F197" i="1" a="1"/>
  <c r="F197" i="1" s="1"/>
  <c r="G180" i="1" a="1"/>
  <c r="G180" i="1" s="1"/>
  <c r="F180" i="1" a="1"/>
  <c r="F180" i="1" s="1"/>
  <c r="G159" i="1" a="1"/>
  <c r="G159" i="1" s="1"/>
  <c r="F159" i="1" a="1"/>
  <c r="F159" i="1" s="1"/>
  <c r="F257" i="1" a="1"/>
  <c r="F257" i="1" s="1"/>
  <c r="G257" i="1" a="1"/>
  <c r="G257" i="1" s="1"/>
  <c r="F221" i="1" a="1"/>
  <c r="F221" i="1" s="1"/>
  <c r="G221" i="1" a="1"/>
  <c r="G221" i="1" s="1"/>
  <c r="G203" i="1" a="1"/>
  <c r="G203" i="1" s="1"/>
  <c r="F203" i="1" a="1"/>
  <c r="F203" i="1" s="1"/>
  <c r="G296" i="1" a="1"/>
  <c r="G296" i="1" s="1"/>
  <c r="F296" i="1" a="1"/>
  <c r="F296" i="1" s="1"/>
  <c r="G220" i="1" a="1"/>
  <c r="G220" i="1" s="1"/>
  <c r="F220" i="1" a="1"/>
  <c r="F220" i="1" s="1"/>
  <c r="F234" i="1" a="1"/>
  <c r="F234" i="1" s="1"/>
  <c r="G234" i="1" a="1"/>
  <c r="G234" i="1" s="1"/>
  <c r="F202" i="1" a="1"/>
  <c r="F202" i="1" s="1"/>
  <c r="G202" i="1" a="1"/>
  <c r="G202" i="1" s="1"/>
  <c r="G252" i="1" a="1"/>
  <c r="G252" i="1" s="1"/>
  <c r="F252" i="1" a="1"/>
  <c r="F252" i="1" s="1"/>
  <c r="G312" i="1" a="1"/>
  <c r="G312" i="1" s="1"/>
  <c r="F312" i="1" a="1"/>
  <c r="F312" i="1" s="1"/>
  <c r="G295" i="1" a="1"/>
  <c r="G295" i="1" s="1"/>
  <c r="G308" i="1" a="1"/>
  <c r="G308" i="1" s="1"/>
  <c r="F308" i="1" a="1"/>
  <c r="F308" i="1" s="1"/>
  <c r="F270" i="1" a="1"/>
  <c r="F270" i="1" s="1"/>
  <c r="G270" i="1" a="1"/>
  <c r="G270" i="1" s="1"/>
  <c r="G171" i="1" a="1"/>
  <c r="G171" i="1" s="1"/>
  <c r="F171" i="1" a="1"/>
  <c r="F171" i="1" s="1"/>
  <c r="F274" i="1" a="1"/>
  <c r="F274" i="1" s="1"/>
  <c r="F255" i="1" a="1"/>
  <c r="F255" i="1" s="1"/>
  <c r="F242" i="1" a="1"/>
  <c r="F242" i="1" s="1"/>
  <c r="G242" i="1" a="1"/>
  <c r="G242" i="1" s="1"/>
  <c r="F170" i="1" a="1"/>
  <c r="F170" i="1" s="1"/>
  <c r="G170" i="1" a="1"/>
  <c r="G170" i="1" s="1"/>
  <c r="F264" i="1" a="1"/>
  <c r="F264" i="1" s="1"/>
  <c r="F259" i="1" a="1"/>
  <c r="F259" i="1" s="1"/>
  <c r="G259" i="1" a="1"/>
  <c r="G259" i="1" s="1"/>
  <c r="F237" i="1" a="1"/>
  <c r="F237" i="1" s="1"/>
  <c r="G237" i="1" a="1"/>
  <c r="G237" i="1" s="1"/>
  <c r="G200" i="1" a="1"/>
  <c r="G200" i="1" s="1"/>
  <c r="F200" i="1" a="1"/>
  <c r="F200" i="1" s="1"/>
  <c r="F183" i="1" a="1"/>
  <c r="F183" i="1" s="1"/>
  <c r="G183" i="1" a="1"/>
  <c r="G183" i="1" s="1"/>
  <c r="F169" i="1" a="1"/>
  <c r="F169" i="1" s="1"/>
  <c r="G169" i="1" a="1"/>
  <c r="G169" i="1" s="1"/>
  <c r="F227" i="1" a="1"/>
  <c r="F227" i="1" s="1"/>
  <c r="F218" i="1" a="1"/>
  <c r="F218" i="1" s="1"/>
  <c r="G218" i="1" a="1"/>
  <c r="G218" i="1" s="1"/>
  <c r="F182" i="1" a="1"/>
  <c r="F182" i="1" s="1"/>
  <c r="G182" i="1" a="1"/>
  <c r="G182" i="1" s="1"/>
  <c r="G184" i="1" a="1"/>
  <c r="G184" i="1" s="1"/>
  <c r="F184" i="1" a="1"/>
  <c r="F184" i="1" s="1"/>
  <c r="F162" i="1" a="1"/>
  <c r="F162" i="1" s="1"/>
  <c r="G152" i="1" a="1"/>
  <c r="G152" i="1" s="1"/>
  <c r="F152" i="1" a="1"/>
  <c r="F152" i="1" s="1"/>
  <c r="G140" i="1" a="1"/>
  <c r="G140" i="1" s="1"/>
  <c r="F140" i="1" a="1"/>
  <c r="F140" i="1" s="1"/>
  <c r="G133" i="1" a="1"/>
  <c r="G133" i="1" s="1"/>
  <c r="F133" i="1" a="1"/>
  <c r="F133" i="1" s="1"/>
  <c r="F157" i="1" a="1"/>
  <c r="F157" i="1" s="1"/>
  <c r="G157" i="1" a="1"/>
  <c r="G157" i="1" s="1"/>
  <c r="G146" i="1" a="1"/>
  <c r="G146" i="1" s="1"/>
  <c r="F146" i="1" a="1"/>
  <c r="F146" i="1" s="1"/>
  <c r="G232" i="1" a="1"/>
  <c r="G232" i="1" s="1"/>
  <c r="F232" i="1" a="1"/>
  <c r="F232" i="1" s="1"/>
  <c r="F156" i="1" a="1"/>
  <c r="F156" i="1" s="1"/>
  <c r="F191" i="1" a="1"/>
  <c r="F191" i="1" s="1"/>
  <c r="G175" i="1" a="1"/>
  <c r="G175" i="1" s="1"/>
  <c r="F175" i="1" a="1"/>
  <c r="F175" i="1" s="1"/>
  <c r="F151" i="1" a="1"/>
  <c r="F151" i="1" s="1"/>
  <c r="F131" i="1" a="1"/>
  <c r="F131" i="1" s="1"/>
  <c r="G131" i="1" a="1"/>
  <c r="G131" i="1" s="1"/>
  <c r="F187" i="1" a="1"/>
  <c r="F187" i="1" s="1"/>
  <c r="G149" i="1" a="1"/>
  <c r="G149" i="1" s="1"/>
  <c r="F149" i="1" a="1"/>
  <c r="F149" i="1" s="1"/>
  <c r="F138" i="1" a="1"/>
  <c r="F138" i="1" s="1"/>
  <c r="G138" i="1" a="1"/>
  <c r="G138" i="1" s="1"/>
  <c r="G174" i="1" a="1"/>
  <c r="G174" i="1" s="1"/>
  <c r="F174" i="1" a="1"/>
  <c r="F174" i="1" s="1"/>
  <c r="G137" i="1" a="1"/>
  <c r="G137" i="1" s="1"/>
  <c r="F137" i="1" a="1"/>
  <c r="F137" i="1" s="1"/>
  <c r="F173" i="1" a="1"/>
  <c r="F173" i="1" s="1"/>
  <c r="G173" i="1" a="1"/>
  <c r="G173" i="1" s="1"/>
  <c r="F163" i="1" a="1"/>
  <c r="F163" i="1" s="1"/>
  <c r="G163" i="1" a="1"/>
  <c r="G163" i="1" s="1"/>
  <c r="G143" i="1" a="1"/>
  <c r="G143" i="1" s="1"/>
  <c r="F143" i="1" a="1"/>
  <c r="F143" i="1" s="1"/>
  <c r="G189" i="1" a="1"/>
  <c r="G189" i="1" s="1"/>
  <c r="F134" i="1" a="1"/>
  <c r="F134" i="1" s="1"/>
  <c r="G134" i="1" a="1"/>
  <c r="G134" i="1" s="1"/>
  <c r="F153" i="1" a="1"/>
  <c r="F153" i="1" s="1"/>
  <c r="G153" i="1" a="1"/>
  <c r="G153" i="1" s="1"/>
  <c r="F147" i="1" a="1"/>
  <c r="F147" i="1" s="1"/>
  <c r="G147" i="1" a="1"/>
  <c r="G147" i="1" s="1"/>
  <c r="F141" i="1" a="1"/>
  <c r="F141" i="1" s="1"/>
  <c r="G141" i="1" a="1"/>
  <c r="G141" i="1" s="1"/>
  <c r="G239" i="1" a="1"/>
  <c r="G239" i="1" s="1"/>
  <c r="F239" i="1" a="1"/>
  <c r="F239" i="1" s="1"/>
  <c r="G136" i="1" a="1"/>
  <c r="G136" i="1" s="1"/>
  <c r="F136" i="1" a="1"/>
  <c r="F136" i="1" s="1"/>
  <c r="F130" i="1" a="1"/>
  <c r="F130" i="1" s="1"/>
  <c r="G144" i="1" a="1"/>
  <c r="G144" i="1" s="1"/>
  <c r="F135" i="1" a="1"/>
  <c r="F135" i="1" s="1"/>
  <c r="G128" i="1" a="1"/>
  <c r="G128" i="1" s="1"/>
  <c r="G127" i="1" a="1"/>
  <c r="G127" i="1" s="1"/>
  <c r="F127" i="1" a="1"/>
  <c r="F127" i="1" s="1"/>
  <c r="F126" i="1" a="1"/>
  <c r="F126" i="1" s="1"/>
  <c r="G126" i="1" a="1"/>
  <c r="G126" i="1" s="1"/>
  <c r="F161" i="1" a="1"/>
  <c r="F161" i="1" s="1"/>
  <c r="G150" i="1" a="1"/>
  <c r="G150" i="1" s="1"/>
  <c r="F142" i="1" a="1"/>
  <c r="F142" i="1" s="1"/>
  <c r="G129" i="1" a="1"/>
  <c r="G129" i="1" s="1"/>
  <c r="G125" i="1" a="1"/>
  <c r="G125" i="1" s="1"/>
  <c r="F124" i="1" a="1"/>
  <c r="F124" i="1" s="1"/>
  <c r="G124" i="1" a="1"/>
  <c r="G124" i="1" s="1"/>
  <c r="F123" i="1" a="1"/>
  <c r="F123" i="1" s="1"/>
  <c r="G123" i="1" a="1"/>
  <c r="G123" i="1" s="1"/>
  <c r="D96" i="1" l="1"/>
  <c r="E96" i="1" s="1"/>
  <c r="D97" i="1"/>
  <c r="E97" i="1" s="1"/>
  <c r="D98" i="1"/>
  <c r="E98" i="1" s="1"/>
  <c r="D99" i="1"/>
  <c r="E99" i="1" s="1"/>
  <c r="F99" i="1" s="1" a="1"/>
  <c r="F99" i="1" s="1"/>
  <c r="D100" i="1"/>
  <c r="E100" i="1" s="1"/>
  <c r="D101" i="1"/>
  <c r="E101" i="1" s="1"/>
  <c r="F101" i="1" s="1" a="1"/>
  <c r="F101" i="1" s="1"/>
  <c r="D102" i="1"/>
  <c r="E102" i="1" s="1"/>
  <c r="D103" i="1"/>
  <c r="E103" i="1" s="1"/>
  <c r="D104" i="1"/>
  <c r="E104" i="1" s="1"/>
  <c r="D105" i="1"/>
  <c r="E105" i="1" s="1"/>
  <c r="G105" i="1" s="1" a="1"/>
  <c r="G105" i="1" s="1"/>
  <c r="D106" i="1"/>
  <c r="E106" i="1" s="1"/>
  <c r="D107" i="1"/>
  <c r="E107" i="1" s="1"/>
  <c r="D108" i="1"/>
  <c r="E108" i="1" s="1"/>
  <c r="F108" i="1" s="1" a="1"/>
  <c r="F108" i="1" s="1"/>
  <c r="D109" i="1"/>
  <c r="E109" i="1" s="1"/>
  <c r="D110" i="1"/>
  <c r="E110" i="1" s="1"/>
  <c r="F110" i="1" s="1" a="1"/>
  <c r="F110" i="1" s="1"/>
  <c r="D111" i="1"/>
  <c r="E111" i="1" s="1"/>
  <c r="D112" i="1"/>
  <c r="E112" i="1" s="1"/>
  <c r="D113" i="1"/>
  <c r="E113" i="1" s="1"/>
  <c r="D114" i="1"/>
  <c r="E114" i="1" s="1"/>
  <c r="D115" i="1"/>
  <c r="E115" i="1" s="1"/>
  <c r="F115" i="1" s="1" a="1"/>
  <c r="F115" i="1" s="1"/>
  <c r="D116" i="1"/>
  <c r="E116" i="1" s="1"/>
  <c r="D117" i="1"/>
  <c r="E117" i="1" s="1"/>
  <c r="F117" i="1" s="1" a="1"/>
  <c r="F117" i="1" s="1"/>
  <c r="D118" i="1"/>
  <c r="E118" i="1" s="1"/>
  <c r="D119" i="1"/>
  <c r="E119" i="1" s="1"/>
  <c r="D120" i="1"/>
  <c r="E120" i="1" s="1"/>
  <c r="D121" i="1"/>
  <c r="E121" i="1" s="1"/>
  <c r="D122" i="1"/>
  <c r="E122" i="1" s="1"/>
  <c r="G117" i="1" l="1" a="1"/>
  <c r="G117" i="1" s="1"/>
  <c r="F105" i="1" a="1"/>
  <c r="F105" i="1" s="1"/>
  <c r="G108" i="1" a="1"/>
  <c r="G108" i="1" s="1"/>
  <c r="F113" i="1" a="1"/>
  <c r="F113" i="1" s="1"/>
  <c r="G113" i="1" a="1"/>
  <c r="G113" i="1" s="1"/>
  <c r="F104" i="1" a="1"/>
  <c r="F104" i="1" s="1"/>
  <c r="G104" i="1" a="1"/>
  <c r="G104" i="1" s="1"/>
  <c r="F112" i="1" a="1"/>
  <c r="F112" i="1" s="1"/>
  <c r="G112" i="1" a="1"/>
  <c r="G112" i="1" s="1"/>
  <c r="F118" i="1" a="1"/>
  <c r="F118" i="1" s="1"/>
  <c r="G118" i="1" a="1"/>
  <c r="G118" i="1" s="1"/>
  <c r="F111" i="1" a="1"/>
  <c r="F111" i="1" s="1"/>
  <c r="G111" i="1" a="1"/>
  <c r="G111" i="1" s="1"/>
  <c r="F102" i="1" a="1"/>
  <c r="F102" i="1" s="1"/>
  <c r="G102" i="1" a="1"/>
  <c r="G102" i="1" s="1"/>
  <c r="G109" i="1" a="1"/>
  <c r="G109" i="1" s="1"/>
  <c r="F109" i="1" a="1"/>
  <c r="F109" i="1" s="1"/>
  <c r="G100" i="1" a="1"/>
  <c r="G100" i="1" s="1"/>
  <c r="F100" i="1" a="1"/>
  <c r="F100" i="1" s="1"/>
  <c r="G116" i="1" a="1"/>
  <c r="G116" i="1" s="1"/>
  <c r="F116" i="1" a="1"/>
  <c r="F116" i="1" s="1"/>
  <c r="G122" i="1" a="1"/>
  <c r="G122" i="1" s="1"/>
  <c r="F122" i="1" a="1"/>
  <c r="F122" i="1" s="1"/>
  <c r="F107" i="1" a="1"/>
  <c r="F107" i="1" s="1"/>
  <c r="G107" i="1" a="1"/>
  <c r="G107" i="1" s="1"/>
  <c r="G121" i="1" a="1"/>
  <c r="G121" i="1" s="1"/>
  <c r="F121" i="1" a="1"/>
  <c r="F121" i="1" s="1"/>
  <c r="F106" i="1" a="1"/>
  <c r="F106" i="1" s="1"/>
  <c r="G106" i="1" a="1"/>
  <c r="G106" i="1" s="1"/>
  <c r="F97" i="1" a="1"/>
  <c r="F97" i="1" s="1"/>
  <c r="G97" i="1" a="1"/>
  <c r="G97" i="1" s="1"/>
  <c r="F120" i="1" a="1"/>
  <c r="F120" i="1" s="1"/>
  <c r="G120" i="1" a="1"/>
  <c r="G120" i="1" s="1"/>
  <c r="F119" i="1" a="1"/>
  <c r="F119" i="1" s="1"/>
  <c r="G119" i="1" a="1"/>
  <c r="G119" i="1" s="1"/>
  <c r="F103" i="1" a="1"/>
  <c r="F103" i="1" s="1"/>
  <c r="G103" i="1" a="1"/>
  <c r="G103" i="1" s="1"/>
  <c r="G99" i="1" a="1"/>
  <c r="G99" i="1" s="1"/>
  <c r="G115" i="1" a="1"/>
  <c r="G115" i="1" s="1"/>
  <c r="F98" i="1" a="1"/>
  <c r="F98" i="1" s="1"/>
  <c r="G98" i="1" a="1"/>
  <c r="G98" i="1" s="1"/>
  <c r="F114" i="1" a="1"/>
  <c r="F114" i="1" s="1"/>
  <c r="G114" i="1" a="1"/>
  <c r="G114" i="1" s="1"/>
  <c r="G101" i="1" a="1"/>
  <c r="G101" i="1" s="1"/>
  <c r="G110" i="1" a="1"/>
  <c r="G110" i="1" s="1"/>
  <c r="F96" i="1" a="1"/>
  <c r="F96" i="1" s="1"/>
  <c r="G96" i="1" a="1"/>
  <c r="G96" i="1" s="1"/>
  <c r="D71" i="1" l="1"/>
  <c r="E71" i="1" s="1"/>
  <c r="D72" i="1"/>
  <c r="E72" i="1" s="1"/>
  <c r="F72" i="1" s="1" a="1"/>
  <c r="F72" i="1" s="1"/>
  <c r="D73" i="1"/>
  <c r="E73" i="1" s="1"/>
  <c r="D74" i="1"/>
  <c r="E74" i="1" s="1"/>
  <c r="D75" i="1"/>
  <c r="E75" i="1" s="1"/>
  <c r="D76" i="1"/>
  <c r="E76" i="1" s="1"/>
  <c r="F76" i="1" s="1" a="1"/>
  <c r="F76" i="1" s="1"/>
  <c r="D77" i="1"/>
  <c r="E77" i="1" s="1"/>
  <c r="D78" i="1"/>
  <c r="E78" i="1" s="1"/>
  <c r="F78" i="1" s="1" a="1"/>
  <c r="F78" i="1" s="1"/>
  <c r="D79" i="1"/>
  <c r="E79" i="1" s="1"/>
  <c r="D80" i="1"/>
  <c r="E80" i="1" s="1"/>
  <c r="D81" i="1"/>
  <c r="E81" i="1" s="1"/>
  <c r="D82" i="1"/>
  <c r="E82" i="1" s="1"/>
  <c r="D83" i="1"/>
  <c r="E83" i="1" s="1"/>
  <c r="F83" i="1" s="1" a="1"/>
  <c r="F83" i="1" s="1"/>
  <c r="D84" i="1"/>
  <c r="E84" i="1" s="1"/>
  <c r="G84" i="1" s="1" a="1"/>
  <c r="G84" i="1" s="1"/>
  <c r="D85" i="1"/>
  <c r="E85" i="1" s="1"/>
  <c r="D86" i="1"/>
  <c r="E86" i="1" s="1"/>
  <c r="F86" i="1" s="1" a="1"/>
  <c r="F86" i="1" s="1"/>
  <c r="D87" i="1"/>
  <c r="E87" i="1" s="1"/>
  <c r="D88" i="1"/>
  <c r="E88" i="1" s="1"/>
  <c r="F88" i="1" s="1" a="1"/>
  <c r="F88" i="1" s="1"/>
  <c r="D89" i="1"/>
  <c r="E89" i="1" s="1"/>
  <c r="D90" i="1"/>
  <c r="E90" i="1" s="1"/>
  <c r="G90" i="1" s="1" a="1"/>
  <c r="G90" i="1" s="1"/>
  <c r="D91" i="1"/>
  <c r="E91" i="1" s="1"/>
  <c r="D92" i="1"/>
  <c r="E92" i="1" s="1"/>
  <c r="F92" i="1" s="1" a="1"/>
  <c r="F92" i="1" s="1"/>
  <c r="D93" i="1"/>
  <c r="E93" i="1" s="1"/>
  <c r="D94" i="1"/>
  <c r="E94" i="1" s="1"/>
  <c r="F94" i="1" s="1" a="1"/>
  <c r="F94" i="1" s="1"/>
  <c r="D95" i="1"/>
  <c r="E95" i="1" s="1"/>
  <c r="G94" i="1" l="1" a="1"/>
  <c r="G94" i="1" s="1"/>
  <c r="G81" i="1" a="1"/>
  <c r="G81" i="1" s="1"/>
  <c r="F81" i="1" a="1"/>
  <c r="F81" i="1" s="1"/>
  <c r="F89" i="1" a="1"/>
  <c r="F89" i="1" s="1"/>
  <c r="G89" i="1" a="1"/>
  <c r="G89" i="1" s="1"/>
  <c r="G75" i="1" a="1"/>
  <c r="G75" i="1" s="1"/>
  <c r="F75" i="1" a="1"/>
  <c r="F75" i="1" s="1"/>
  <c r="F79" i="1" a="1"/>
  <c r="F79" i="1" s="1"/>
  <c r="G79" i="1" a="1"/>
  <c r="G79" i="1" s="1"/>
  <c r="F77" i="1" a="1"/>
  <c r="F77" i="1" s="1"/>
  <c r="G77" i="1" a="1"/>
  <c r="G77" i="1" s="1"/>
  <c r="F93" i="1" a="1"/>
  <c r="F93" i="1" s="1"/>
  <c r="G93" i="1" a="1"/>
  <c r="G93" i="1" s="1"/>
  <c r="F73" i="1" a="1"/>
  <c r="F73" i="1" s="1"/>
  <c r="G73" i="1" a="1"/>
  <c r="G73" i="1" s="1"/>
  <c r="G91" i="1" a="1"/>
  <c r="G91" i="1" s="1"/>
  <c r="F91" i="1" a="1"/>
  <c r="F91" i="1" s="1"/>
  <c r="F95" i="1" a="1"/>
  <c r="F95" i="1" s="1"/>
  <c r="G95" i="1" a="1"/>
  <c r="G95" i="1" s="1"/>
  <c r="G76" i="1" a="1"/>
  <c r="G76" i="1" s="1"/>
  <c r="F90" i="1" a="1"/>
  <c r="F90" i="1" s="1"/>
  <c r="F85" i="1" a="1"/>
  <c r="F85" i="1" s="1"/>
  <c r="G85" i="1" a="1"/>
  <c r="G85" i="1" s="1"/>
  <c r="F80" i="1" a="1"/>
  <c r="F80" i="1" s="1"/>
  <c r="G80" i="1" a="1"/>
  <c r="G80" i="1" s="1"/>
  <c r="F84" i="1" a="1"/>
  <c r="F84" i="1" s="1"/>
  <c r="G88" i="1" a="1"/>
  <c r="G88" i="1" s="1"/>
  <c r="G83" i="1" a="1"/>
  <c r="G83" i="1" s="1"/>
  <c r="F74" i="1" a="1"/>
  <c r="F74" i="1" s="1"/>
  <c r="G74" i="1" a="1"/>
  <c r="G74" i="1" s="1"/>
  <c r="G78" i="1" a="1"/>
  <c r="G78" i="1" s="1"/>
  <c r="G92" i="1" a="1"/>
  <c r="G92" i="1" s="1"/>
  <c r="F87" i="1" a="1"/>
  <c r="F87" i="1" s="1"/>
  <c r="G87" i="1" a="1"/>
  <c r="G87" i="1" s="1"/>
  <c r="G72" i="1" a="1"/>
  <c r="G72" i="1" s="1"/>
  <c r="F82" i="1" a="1"/>
  <c r="F82" i="1" s="1"/>
  <c r="G82" i="1" a="1"/>
  <c r="G82" i="1" s="1"/>
  <c r="G86" i="1" a="1"/>
  <c r="G86" i="1" s="1"/>
  <c r="F71" i="1" a="1"/>
  <c r="F71" i="1" s="1"/>
  <c r="G71" i="1" a="1"/>
  <c r="G71" i="1" s="1"/>
  <c r="D58" i="1" l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F69" i="1" s="1" a="1"/>
  <c r="F69" i="1" s="1"/>
  <c r="D70" i="1"/>
  <c r="E70" i="1" s="1"/>
  <c r="G65" i="1" l="1" a="1"/>
  <c r="G65" i="1" s="1"/>
  <c r="F65" i="1" a="1"/>
  <c r="F65" i="1" s="1"/>
  <c r="F66" i="1" a="1"/>
  <c r="F66" i="1" s="1"/>
  <c r="G66" i="1" a="1"/>
  <c r="G66" i="1" s="1"/>
  <c r="G64" i="1" a="1"/>
  <c r="G64" i="1" s="1"/>
  <c r="F64" i="1" a="1"/>
  <c r="F64" i="1" s="1"/>
  <c r="F67" i="1" a="1"/>
  <c r="F67" i="1" s="1"/>
  <c r="G67" i="1" a="1"/>
  <c r="G67" i="1" s="1"/>
  <c r="G62" i="1" a="1"/>
  <c r="G62" i="1" s="1"/>
  <c r="F62" i="1" a="1"/>
  <c r="F62" i="1" s="1"/>
  <c r="F61" i="1" a="1"/>
  <c r="F61" i="1" s="1"/>
  <c r="G61" i="1" a="1"/>
  <c r="G61" i="1" s="1"/>
  <c r="G63" i="1" a="1"/>
  <c r="G63" i="1" s="1"/>
  <c r="F63" i="1" a="1"/>
  <c r="F63" i="1" s="1"/>
  <c r="F70" i="1" a="1"/>
  <c r="F70" i="1" s="1"/>
  <c r="G70" i="1" a="1"/>
  <c r="G70" i="1" s="1"/>
  <c r="F60" i="1" a="1"/>
  <c r="F60" i="1" s="1"/>
  <c r="G60" i="1" a="1"/>
  <c r="G60" i="1" s="1"/>
  <c r="F68" i="1" a="1"/>
  <c r="F68" i="1" s="1"/>
  <c r="G68" i="1" a="1"/>
  <c r="G68" i="1" s="1"/>
  <c r="F59" i="1" a="1"/>
  <c r="F59" i="1" s="1"/>
  <c r="G59" i="1" a="1"/>
  <c r="G59" i="1" s="1"/>
  <c r="F58" i="1" a="1"/>
  <c r="F58" i="1" s="1"/>
  <c r="G58" i="1" a="1"/>
  <c r="G58" i="1" s="1"/>
  <c r="G69" i="1" a="1"/>
  <c r="G69" i="1" s="1"/>
  <c r="D45" i="1" l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F52" i="1" s="1" a="1"/>
  <c r="F52" i="1" s="1"/>
  <c r="D53" i="1"/>
  <c r="E53" i="1" s="1"/>
  <c r="D54" i="1"/>
  <c r="E54" i="1" s="1"/>
  <c r="D55" i="1"/>
  <c r="E55" i="1" s="1"/>
  <c r="D56" i="1"/>
  <c r="E56" i="1" s="1"/>
  <c r="D57" i="1"/>
  <c r="E57" i="1" s="1"/>
  <c r="F55" i="1" l="1" a="1"/>
  <c r="F55" i="1" s="1"/>
  <c r="G55" i="1" a="1"/>
  <c r="G55" i="1" s="1"/>
  <c r="F51" i="1" a="1"/>
  <c r="F51" i="1" s="1"/>
  <c r="G51" i="1" a="1"/>
  <c r="G51" i="1" s="1"/>
  <c r="F50" i="1" a="1"/>
  <c r="F50" i="1" s="1"/>
  <c r="G50" i="1" a="1"/>
  <c r="G50" i="1" s="1"/>
  <c r="G49" i="1" a="1"/>
  <c r="G49" i="1" s="1"/>
  <c r="F49" i="1" a="1"/>
  <c r="F49" i="1" s="1"/>
  <c r="F57" i="1" a="1"/>
  <c r="F57" i="1" s="1"/>
  <c r="G57" i="1" a="1"/>
  <c r="G57" i="1" s="1"/>
  <c r="G48" i="1" a="1"/>
  <c r="G48" i="1" s="1"/>
  <c r="F48" i="1" a="1"/>
  <c r="F48" i="1" s="1"/>
  <c r="F56" i="1" a="1"/>
  <c r="F56" i="1" s="1"/>
  <c r="G56" i="1" a="1"/>
  <c r="G56" i="1" s="1"/>
  <c r="F47" i="1" a="1"/>
  <c r="F47" i="1" s="1"/>
  <c r="G47" i="1" a="1"/>
  <c r="G47" i="1" s="1"/>
  <c r="F46" i="1" a="1"/>
  <c r="F46" i="1" s="1"/>
  <c r="G46" i="1" a="1"/>
  <c r="G46" i="1" s="1"/>
  <c r="G54" i="1" a="1"/>
  <c r="G54" i="1" s="1"/>
  <c r="F54" i="1" a="1"/>
  <c r="F54" i="1" s="1"/>
  <c r="F45" i="1" a="1"/>
  <c r="F45" i="1" s="1"/>
  <c r="G45" i="1" a="1"/>
  <c r="G45" i="1" s="1"/>
  <c r="G53" i="1" a="1"/>
  <c r="G53" i="1" s="1"/>
  <c r="F53" i="1" a="1"/>
  <c r="F53" i="1" s="1"/>
  <c r="G52" i="1" a="1"/>
  <c r="G52" i="1" s="1"/>
  <c r="D24" i="1" l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F29" i="1" s="1" a="1"/>
  <c r="F29" i="1" s="1"/>
  <c r="D30" i="1"/>
  <c r="E30" i="1" s="1"/>
  <c r="D31" i="1"/>
  <c r="E31" i="1" s="1"/>
  <c r="F31" i="1" s="1" a="1"/>
  <c r="F31" i="1" s="1"/>
  <c r="D32" i="1"/>
  <c r="E32" i="1" s="1"/>
  <c r="F32" i="1" s="1" a="1"/>
  <c r="F32" i="1" s="1"/>
  <c r="D33" i="1"/>
  <c r="E33" i="1" s="1"/>
  <c r="D34" i="1"/>
  <c r="E34" i="1" s="1"/>
  <c r="D35" i="1"/>
  <c r="E35" i="1" s="1"/>
  <c r="D36" i="1"/>
  <c r="E36" i="1" s="1"/>
  <c r="F36" i="1" s="1" a="1"/>
  <c r="F36" i="1" s="1"/>
  <c r="D37" i="1"/>
  <c r="E37" i="1" s="1"/>
  <c r="D38" i="1"/>
  <c r="E38" i="1" s="1"/>
  <c r="F38" i="1" s="1" a="1"/>
  <c r="F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F41" i="1" l="1" a="1"/>
  <c r="F41" i="1" s="1"/>
  <c r="G41" i="1" a="1"/>
  <c r="G41" i="1" s="1"/>
  <c r="F39" i="1" a="1"/>
  <c r="F39" i="1" s="1"/>
  <c r="G39" i="1" a="1"/>
  <c r="G39" i="1" s="1"/>
  <c r="F30" i="1" a="1"/>
  <c r="F30" i="1" s="1"/>
  <c r="G30" i="1" a="1"/>
  <c r="G30" i="1" s="1"/>
  <c r="G28" i="1" a="1"/>
  <c r="G28" i="1" s="1"/>
  <c r="F28" i="1" a="1"/>
  <c r="F28" i="1" s="1"/>
  <c r="G37" i="1" a="1"/>
  <c r="G37" i="1" s="1"/>
  <c r="F37" i="1" a="1"/>
  <c r="F37" i="1" s="1"/>
  <c r="G27" i="1" a="1"/>
  <c r="G27" i="1" s="1"/>
  <c r="F27" i="1" a="1"/>
  <c r="F27" i="1" s="1"/>
  <c r="G44" i="1" a="1"/>
  <c r="G44" i="1" s="1"/>
  <c r="F44" i="1" a="1"/>
  <c r="F44" i="1" s="1"/>
  <c r="G43" i="1" a="1"/>
  <c r="G43" i="1" s="1"/>
  <c r="F43" i="1" a="1"/>
  <c r="F43" i="1" s="1"/>
  <c r="F25" i="1" a="1"/>
  <c r="F25" i="1" s="1"/>
  <c r="G25" i="1" a="1"/>
  <c r="G25" i="1" s="1"/>
  <c r="F35" i="1" a="1"/>
  <c r="F35" i="1" s="1"/>
  <c r="G35" i="1" a="1"/>
  <c r="G35" i="1" s="1"/>
  <c r="F34" i="1" a="1"/>
  <c r="F34" i="1" s="1"/>
  <c r="G34" i="1" a="1"/>
  <c r="G34" i="1" s="1"/>
  <c r="G38" i="1" a="1"/>
  <c r="G38" i="1" s="1"/>
  <c r="G31" i="1" a="1"/>
  <c r="G31" i="1" s="1"/>
  <c r="F26" i="1" a="1"/>
  <c r="F26" i="1" s="1"/>
  <c r="G26" i="1" a="1"/>
  <c r="G26" i="1" s="1"/>
  <c r="F40" i="1" a="1"/>
  <c r="F40" i="1" s="1"/>
  <c r="G40" i="1" a="1"/>
  <c r="G40" i="1" s="1"/>
  <c r="F33" i="1" a="1"/>
  <c r="F33" i="1" s="1"/>
  <c r="G33" i="1" a="1"/>
  <c r="G33" i="1" s="1"/>
  <c r="G36" i="1" a="1"/>
  <c r="G36" i="1" s="1"/>
  <c r="G29" i="1" a="1"/>
  <c r="G29" i="1" s="1"/>
  <c r="G32" i="1" a="1"/>
  <c r="G32" i="1" s="1"/>
  <c r="F42" i="1" a="1"/>
  <c r="F42" i="1" s="1"/>
  <c r="G42" i="1" a="1"/>
  <c r="G42" i="1" s="1"/>
  <c r="F24" i="1" a="1"/>
  <c r="F24" i="1" s="1"/>
  <c r="G24" i="1" a="1"/>
  <c r="G24" i="1" s="1"/>
  <c r="D7" i="1" l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G17" i="1" s="1" a="1"/>
  <c r="G17" i="1" s="1"/>
  <c r="D18" i="1"/>
  <c r="E18" i="1" s="1"/>
  <c r="D19" i="1"/>
  <c r="E19" i="1" s="1"/>
  <c r="D20" i="1"/>
  <c r="E20" i="1" s="1"/>
  <c r="D21" i="1"/>
  <c r="E21" i="1" s="1"/>
  <c r="G21" i="1" s="1" a="1"/>
  <c r="G21" i="1" s="1"/>
  <c r="D22" i="1"/>
  <c r="E22" i="1" s="1"/>
  <c r="F22" i="1" s="1" a="1"/>
  <c r="F22" i="1" s="1"/>
  <c r="D23" i="1"/>
  <c r="E23" i="1" s="1"/>
  <c r="D6" i="1"/>
  <c r="E6" i="1" s="1"/>
  <c r="D5" i="1"/>
  <c r="E5" i="1" s="1"/>
  <c r="D3" i="1"/>
  <c r="E3" i="1" s="1"/>
  <c r="D4" i="1"/>
  <c r="E4" i="1" s="1"/>
  <c r="C2" i="1"/>
  <c r="D2" i="1" s="1"/>
  <c r="E2" i="1" s="1"/>
  <c r="F2" i="1" s="1" a="1"/>
  <c r="F2" i="1" s="1"/>
  <c r="F16" i="1" l="1" a="1"/>
  <c r="F16" i="1" s="1"/>
  <c r="G16" i="1" a="1"/>
  <c r="G16" i="1" s="1"/>
  <c r="F15" i="1" a="1"/>
  <c r="F15" i="1" s="1"/>
  <c r="G15" i="1" a="1"/>
  <c r="G15" i="1" s="1"/>
  <c r="F23" i="1" a="1"/>
  <c r="F23" i="1" s="1"/>
  <c r="G23" i="1" a="1"/>
  <c r="G23" i="1" s="1"/>
  <c r="G14" i="1" a="1"/>
  <c r="G14" i="1" s="1"/>
  <c r="F14" i="1" a="1"/>
  <c r="F14" i="1" s="1"/>
  <c r="G13" i="1" a="1"/>
  <c r="G13" i="1" s="1"/>
  <c r="F13" i="1" a="1"/>
  <c r="F13" i="1" s="1"/>
  <c r="G12" i="1" a="1"/>
  <c r="G12" i="1" s="1"/>
  <c r="F12" i="1" a="1"/>
  <c r="F12" i="1" s="1"/>
  <c r="G11" i="1" a="1"/>
  <c r="G11" i="1" s="1"/>
  <c r="F11" i="1" a="1"/>
  <c r="F11" i="1" s="1"/>
  <c r="G10" i="1" a="1"/>
  <c r="G10" i="1" s="1"/>
  <c r="F10" i="1" a="1"/>
  <c r="F10" i="1" s="1"/>
  <c r="G20" i="1" a="1"/>
  <c r="G20" i="1" s="1"/>
  <c r="F20" i="1" a="1"/>
  <c r="F20" i="1" s="1"/>
  <c r="F18" i="1" a="1"/>
  <c r="F18" i="1" s="1"/>
  <c r="G18" i="1" a="1"/>
  <c r="G18" i="1" s="1"/>
  <c r="F9" i="1" a="1"/>
  <c r="F9" i="1" s="1"/>
  <c r="G9" i="1" a="1"/>
  <c r="G9" i="1" s="1"/>
  <c r="F8" i="1" a="1"/>
  <c r="F8" i="1" s="1"/>
  <c r="G8" i="1" a="1"/>
  <c r="G8" i="1" s="1"/>
  <c r="F19" i="1" a="1"/>
  <c r="F19" i="1" s="1"/>
  <c r="G19" i="1" a="1"/>
  <c r="G19" i="1" s="1"/>
  <c r="F7" i="1" a="1"/>
  <c r="F7" i="1" s="1"/>
  <c r="G7" i="1" a="1"/>
  <c r="G7" i="1" s="1"/>
  <c r="F17" i="1" a="1"/>
  <c r="F17" i="1" s="1"/>
  <c r="F21" i="1" a="1"/>
  <c r="F21" i="1" s="1"/>
  <c r="G22" i="1" a="1"/>
  <c r="G22" i="1" s="1"/>
  <c r="F6" i="1" a="1"/>
  <c r="F6" i="1" s="1"/>
  <c r="G6" i="1" a="1"/>
  <c r="G6" i="1" s="1"/>
  <c r="F5" i="1" a="1"/>
  <c r="F5" i="1" s="1"/>
  <c r="G5" i="1" a="1"/>
  <c r="G5" i="1" s="1"/>
  <c r="F4" i="1" a="1"/>
  <c r="F4" i="1" s="1"/>
  <c r="G4" i="1" a="1"/>
  <c r="G4" i="1" s="1"/>
  <c r="G2" i="1" a="1"/>
  <c r="G2" i="1" s="1"/>
  <c r="F3" i="1" a="1"/>
  <c r="F3" i="1" s="1"/>
  <c r="G3" i="1" a="1"/>
  <c r="G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<sst xmlns="http://schemas.openxmlformats.org/spreadsheetml/2006/main" count="1567" uniqueCount="764">
  <si>
    <t>jio0</t>
  </si>
  <si>
    <t>jio1</t>
  </si>
  <si>
    <t>jio2</t>
  </si>
  <si>
    <t>latitude</t>
  </si>
  <si>
    <t>longitude</t>
  </si>
  <si>
    <t>都道府県</t>
  </si>
  <si>
    <t>住所（市区町村）</t>
  </si>
  <si>
    <t>A</t>
    <phoneticPr fontId="1"/>
  </si>
  <si>
    <t>B</t>
    <phoneticPr fontId="1"/>
  </si>
  <si>
    <t>東京都</t>
  </si>
  <si>
    <t>神奈川県</t>
  </si>
  <si>
    <t>大阪府</t>
  </si>
  <si>
    <t>埼玉県</t>
  </si>
  <si>
    <t>兵庫県</t>
  </si>
  <si>
    <t>長野県</t>
  </si>
  <si>
    <t>愛知県</t>
  </si>
  <si>
    <t>千葉県</t>
  </si>
  <si>
    <t>滋賀県</t>
  </si>
  <si>
    <t>茨城県</t>
  </si>
  <si>
    <t>福岡県</t>
  </si>
  <si>
    <t>宮城県</t>
  </si>
  <si>
    <t>栃木県</t>
  </si>
  <si>
    <t>香川県</t>
  </si>
  <si>
    <t>京都府</t>
  </si>
  <si>
    <t>静岡県</t>
  </si>
  <si>
    <t>佐賀県</t>
  </si>
  <si>
    <t>岐阜県</t>
  </si>
  <si>
    <t>宮崎県</t>
  </si>
  <si>
    <t>三重県</t>
  </si>
  <si>
    <t>新潟県</t>
  </si>
  <si>
    <t>石川県</t>
  </si>
  <si>
    <t>北海道</t>
  </si>
  <si>
    <t>秋田県</t>
  </si>
  <si>
    <t>世田谷区</t>
  </si>
  <si>
    <t>渋谷区代々木</t>
  </si>
  <si>
    <t>大田区南馬込</t>
  </si>
  <si>
    <t>文京区白山</t>
  </si>
  <si>
    <t>横浜市金沢区東朝比奈</t>
  </si>
  <si>
    <t>磐田市元天神町</t>
  </si>
  <si>
    <t>神戸市北区幸陽町</t>
  </si>
  <si>
    <t>長崎県</t>
  </si>
  <si>
    <t>墨田区</t>
  </si>
  <si>
    <t>新宿区</t>
  </si>
  <si>
    <t>上尾市</t>
  </si>
  <si>
    <t>和歌山県</t>
  </si>
  <si>
    <t>我孫子市</t>
  </si>
  <si>
    <t>芳賀郡益子町七井中央</t>
  </si>
  <si>
    <t>常滑市西之口</t>
  </si>
  <si>
    <t>中野区本町</t>
  </si>
  <si>
    <t>川西市</t>
  </si>
  <si>
    <t>茅ヶ崎市松が丘</t>
  </si>
  <si>
    <t>浜松市浜名区新原</t>
  </si>
  <si>
    <t>北葛飾郡松伏町</t>
  </si>
  <si>
    <t>高槻市別所中の町</t>
  </si>
  <si>
    <t>中央区佃</t>
  </si>
  <si>
    <t>新座市</t>
  </si>
  <si>
    <t>上尾市愛宕</t>
  </si>
  <si>
    <t>海老名市</t>
  </si>
  <si>
    <t>浜松市中央区大工町</t>
  </si>
  <si>
    <t>足利市県町</t>
  </si>
  <si>
    <t>堺市北区長曽根町</t>
  </si>
  <si>
    <t>宮崎市広島２丁目</t>
  </si>
  <si>
    <t>板橋区</t>
  </si>
  <si>
    <t>浜松市中央区中田島町</t>
  </si>
  <si>
    <t>京都市西京区下津林南大般若町</t>
  </si>
  <si>
    <t>市川市市川</t>
  </si>
  <si>
    <t>川越市</t>
  </si>
  <si>
    <t>茨木市</t>
  </si>
  <si>
    <t>富津市佐貫</t>
  </si>
  <si>
    <t>富津市</t>
  </si>
  <si>
    <t>調布市仙川町</t>
  </si>
  <si>
    <t>松戸市</t>
  </si>
  <si>
    <t>名古屋市西区鳥見町</t>
  </si>
  <si>
    <t>大阪市都島区網島町</t>
  </si>
  <si>
    <t>川崎市高津区</t>
  </si>
  <si>
    <t>練馬区石神井町</t>
  </si>
  <si>
    <t>長野市平林</t>
  </si>
  <si>
    <t>荒川区</t>
  </si>
  <si>
    <t>上川郡東川町</t>
  </si>
  <si>
    <t>豊中市</t>
  </si>
  <si>
    <t>宝塚市すみれが丘3-6-1-112</t>
  </si>
  <si>
    <t>千葉市中央区神明町205-1</t>
  </si>
  <si>
    <t>青森県</t>
  </si>
  <si>
    <t>青森市浜田</t>
  </si>
  <si>
    <t>戸田市川岸</t>
  </si>
  <si>
    <t>奈良県</t>
  </si>
  <si>
    <t>生駒郡三郷町</t>
  </si>
  <si>
    <t>中央区勝どき</t>
  </si>
  <si>
    <t>調布市</t>
  </si>
  <si>
    <t>横浜市西区平沼</t>
  </si>
  <si>
    <t>世田谷区上野毛</t>
  </si>
  <si>
    <t>徳島県</t>
  </si>
  <si>
    <t>美馬市脇町字小星</t>
  </si>
  <si>
    <t>豊島区西巣鴨</t>
  </si>
  <si>
    <t>港区港南</t>
  </si>
  <si>
    <t>福島県</t>
  </si>
  <si>
    <t>荒川区南千住</t>
  </si>
  <si>
    <t>熊本県</t>
  </si>
  <si>
    <t>横浜市港北区綱島東</t>
  </si>
  <si>
    <t>交野市</t>
  </si>
  <si>
    <t>豊中市宮山町</t>
  </si>
  <si>
    <t>横浜市金沢区能見台</t>
  </si>
  <si>
    <t>熊本市西区高橋町</t>
  </si>
  <si>
    <t>目黒区目黒本町3-15-2</t>
  </si>
  <si>
    <t>綾瀬市</t>
  </si>
  <si>
    <t>宇治市五ケ庄三番割</t>
  </si>
  <si>
    <t>横浜市青葉区藤が丘</t>
  </si>
  <si>
    <t>一宮市</t>
  </si>
  <si>
    <t>名古屋市千種区茶屋坂通</t>
  </si>
  <si>
    <t>上水内郡信濃町大字柏原</t>
  </si>
  <si>
    <t>鈴鹿市</t>
  </si>
  <si>
    <t>大阪市東淀川区北江口</t>
  </si>
  <si>
    <t>いわき市小名浜玉川町南</t>
  </si>
  <si>
    <t>福岡市中央区小笹</t>
  </si>
  <si>
    <t>藤沢市片瀬海岸２丁目</t>
  </si>
  <si>
    <t>神戸市東灘区本山南町</t>
  </si>
  <si>
    <t>河内郡上三川町</t>
  </si>
  <si>
    <t>富谷市明石台</t>
  </si>
  <si>
    <t>箕面市西小路</t>
  </si>
  <si>
    <t>多賀城市東田中2-40-29</t>
  </si>
  <si>
    <t>大津市</t>
  </si>
  <si>
    <t>横浜市神奈川区神大寺</t>
  </si>
  <si>
    <t>生駒市西白庭台</t>
  </si>
  <si>
    <t>厚木市森の里</t>
  </si>
  <si>
    <t>吹田市江の木町</t>
  </si>
  <si>
    <t>京都市南区西九条大国町6-1</t>
  </si>
  <si>
    <t>鳥取県</t>
  </si>
  <si>
    <t>鳥取市片原１丁目１１５番地</t>
  </si>
  <si>
    <t>川崎市麻生区東百合丘</t>
  </si>
  <si>
    <t>熊谷市本町</t>
  </si>
  <si>
    <t>江南市五明町当光地</t>
  </si>
  <si>
    <t>刈谷市松坂町</t>
  </si>
  <si>
    <t>岡山県</t>
  </si>
  <si>
    <t>名古屋市北区</t>
  </si>
  <si>
    <t>日立市久慈町</t>
  </si>
  <si>
    <t>鉾田市</t>
  </si>
  <si>
    <t>福岡市南区向野</t>
  </si>
  <si>
    <t>東伯郡湯梨浜町水下</t>
  </si>
  <si>
    <t>世田谷区船橋</t>
  </si>
  <si>
    <t>日立市日高町</t>
  </si>
  <si>
    <t>富山県</t>
  </si>
  <si>
    <t>富山市開</t>
  </si>
  <si>
    <t>川崎市中原区</t>
  </si>
  <si>
    <t>名古屋市熱田区一番2丁目</t>
  </si>
  <si>
    <t>福岡市早良区</t>
  </si>
  <si>
    <t>横浜市港北区日吉本町</t>
  </si>
  <si>
    <t>川崎市川崎区港町5-1</t>
  </si>
  <si>
    <t>足立東綾瀬</t>
  </si>
  <si>
    <t>愛媛県</t>
  </si>
  <si>
    <t>松山市</t>
  </si>
  <si>
    <t>群馬県</t>
  </si>
  <si>
    <t>前橋市大手町</t>
  </si>
  <si>
    <t>生駒郡三郷町勢野北</t>
  </si>
  <si>
    <t>沼津市東椎路</t>
  </si>
  <si>
    <t>静岡市駿河区西島</t>
  </si>
  <si>
    <t>岐阜市</t>
  </si>
  <si>
    <t>荷山町</t>
  </si>
  <si>
    <t>春日井市八幡町5-1</t>
  </si>
  <si>
    <t>横浜市西区浅間台</t>
  </si>
  <si>
    <t>東松島市赤井字有明</t>
  </si>
  <si>
    <t>板橋区南町</t>
  </si>
  <si>
    <t>練馬区中村南</t>
  </si>
  <si>
    <t>八王子市</t>
  </si>
  <si>
    <t>岐阜市正木</t>
  </si>
  <si>
    <t>広島県</t>
  </si>
  <si>
    <t>世田谷区桜上水</t>
  </si>
  <si>
    <t>鹿児島県</t>
  </si>
  <si>
    <t>長浜市高月町片山</t>
  </si>
  <si>
    <t>横浜市南区永田東</t>
  </si>
  <si>
    <t>東海市荒尾町</t>
  </si>
  <si>
    <t>名古屋市瑞穂区亀城町</t>
  </si>
  <si>
    <t>目黒区鷹番</t>
  </si>
  <si>
    <t>日野市</t>
  </si>
  <si>
    <t>世田谷区北沢</t>
  </si>
  <si>
    <t>つくば市学園南</t>
  </si>
  <si>
    <t>羽島市上中町長間</t>
  </si>
  <si>
    <t>福岡市南区若久</t>
  </si>
  <si>
    <t>吉野郡大淀町福神</t>
  </si>
  <si>
    <t>桜川市</t>
  </si>
  <si>
    <t>品川区</t>
  </si>
  <si>
    <t>山形県</t>
  </si>
  <si>
    <t>福岡市早良区百道浜</t>
  </si>
  <si>
    <t>土浦市右籾</t>
  </si>
  <si>
    <t>神戸市兵庫区梅元町</t>
  </si>
  <si>
    <t>静岡市駿河区下川原南</t>
  </si>
  <si>
    <t>川西市多田1-1-1</t>
  </si>
  <si>
    <t>城陽市市辺</t>
  </si>
  <si>
    <t>袋井市豊沢</t>
  </si>
  <si>
    <t>船橋市</t>
  </si>
  <si>
    <t>横浜市港北区箕輪町</t>
  </si>
  <si>
    <t>横浜市青葉区美しが丘</t>
  </si>
  <si>
    <t>山梨県</t>
  </si>
  <si>
    <t>小金井市前原町</t>
  </si>
  <si>
    <t>吹田市広芝町</t>
  </si>
  <si>
    <t>沖縄県</t>
  </si>
  <si>
    <t>国頭郡東村字有銘</t>
  </si>
  <si>
    <t>札幌市北区屯田2条１丁目</t>
  </si>
  <si>
    <t>横浜市港北区新吉田東</t>
  </si>
  <si>
    <t>加古川市市平岡町</t>
  </si>
  <si>
    <t>南箕輪村</t>
  </si>
  <si>
    <t>神戸市北区緑町</t>
  </si>
  <si>
    <t>札幌市中央区北1条西22丁目</t>
  </si>
  <si>
    <t>東京都大田区南千束</t>
  </si>
  <si>
    <t>福岡市東区美和台</t>
  </si>
  <si>
    <t>焼津市</t>
  </si>
  <si>
    <t>横浜市旭区四季美台</t>
  </si>
  <si>
    <t>室蘭市</t>
  </si>
  <si>
    <t>草津市</t>
  </si>
  <si>
    <t>八幡浜市</t>
  </si>
  <si>
    <t>昭島市</t>
  </si>
  <si>
    <t>港区</t>
  </si>
  <si>
    <t>豊田市</t>
  </si>
  <si>
    <t>荒川区荒川５丁目</t>
  </si>
  <si>
    <t>箕面市箕面</t>
  </si>
  <si>
    <t>杉並区成田西</t>
  </si>
  <si>
    <t>日立市東大沼町</t>
  </si>
  <si>
    <t>水戸市吉沢町</t>
  </si>
  <si>
    <t>世田谷区桜</t>
  </si>
  <si>
    <t>尼崎市</t>
  </si>
  <si>
    <t>酒田市北新町</t>
  </si>
  <si>
    <t>南砺市福光</t>
  </si>
  <si>
    <t>芦屋市岩園町</t>
  </si>
  <si>
    <t>和歌山市太田</t>
  </si>
  <si>
    <t>岡山市北区西古松</t>
  </si>
  <si>
    <t>大阪市北区東天満</t>
  </si>
  <si>
    <t>香取市</t>
  </si>
  <si>
    <t>港区高輪</t>
  </si>
  <si>
    <t>湖南市下田</t>
  </si>
  <si>
    <t>大阪市中央区東心斎橋</t>
  </si>
  <si>
    <t>西脇市</t>
  </si>
  <si>
    <t>橋本市</t>
  </si>
  <si>
    <t>三浦郡葉山町長柄</t>
  </si>
  <si>
    <t>大島郡　龍郷町</t>
  </si>
  <si>
    <t>川崎市多摩区東三田</t>
  </si>
  <si>
    <t>大分県</t>
  </si>
  <si>
    <t>大分市公園通り</t>
  </si>
  <si>
    <t>青森市羽白字沢田</t>
  </si>
  <si>
    <t>須坂市大字福島</t>
  </si>
  <si>
    <t>江戸川区西瑞江</t>
  </si>
  <si>
    <t>宇都宮市</t>
  </si>
  <si>
    <t>杉並区浜田山</t>
  </si>
  <si>
    <t>宝塚市中筋山手4丁目</t>
  </si>
  <si>
    <t>芦屋市</t>
  </si>
  <si>
    <t>名古屋市中川区愛知町</t>
  </si>
  <si>
    <t>横浜市青葉区つつじヶ丘</t>
  </si>
  <si>
    <t>札幌市中央区北４条西30丁目1-17</t>
  </si>
  <si>
    <t>岡山市南区大福</t>
  </si>
  <si>
    <t>日立市大みか町</t>
  </si>
  <si>
    <t>池田市</t>
  </si>
  <si>
    <t>練馬区中村北</t>
  </si>
  <si>
    <t>品川区八潮</t>
  </si>
  <si>
    <t>中郡二宮町山西</t>
  </si>
  <si>
    <t>逗子市</t>
  </si>
  <si>
    <t>西宮市段上町</t>
  </si>
  <si>
    <t>山形市十日町</t>
  </si>
  <si>
    <t>京田辺市</t>
  </si>
  <si>
    <t>伊勢市宮後</t>
  </si>
  <si>
    <t>札幌市中央区南西28</t>
  </si>
  <si>
    <t>茨木市新中条町</t>
  </si>
  <si>
    <t>江戸川区南篠崎町</t>
  </si>
  <si>
    <t>奈良市</t>
  </si>
  <si>
    <t>豊明市前後町仙人塚</t>
  </si>
  <si>
    <t>福岡市中央区警固</t>
  </si>
  <si>
    <t>名古屋市天白区高島</t>
  </si>
  <si>
    <t>石狩郡当別町</t>
  </si>
  <si>
    <t>横浜市港北区新羽町</t>
  </si>
  <si>
    <t>岡山市北区御津野々口</t>
  </si>
  <si>
    <t>札幌市中央区北2条西21丁目</t>
  </si>
  <si>
    <t>足立区加平</t>
  </si>
  <si>
    <t>海南市</t>
  </si>
  <si>
    <t>鳥取市西町</t>
  </si>
  <si>
    <t>大田区</t>
  </si>
  <si>
    <t>川西市大和東</t>
  </si>
  <si>
    <t>町田市西成瀬</t>
  </si>
  <si>
    <t>北区</t>
  </si>
  <si>
    <t>品川区東品川４－１３－２４</t>
  </si>
  <si>
    <t>小牧市上末</t>
  </si>
  <si>
    <t>札幌市厚別区厚別中央2条6丁目</t>
  </si>
  <si>
    <t>福岡市博多区住吉4丁目</t>
  </si>
  <si>
    <t>川越市山田</t>
  </si>
  <si>
    <t>江戸川区</t>
  </si>
  <si>
    <t>山口県</t>
  </si>
  <si>
    <t>長門市三隅下</t>
  </si>
  <si>
    <t>みやま市高田町濃施</t>
  </si>
  <si>
    <t>岩手県</t>
  </si>
  <si>
    <t>花巻市</t>
  </si>
  <si>
    <t>津市柳山津興</t>
  </si>
  <si>
    <t>名古屋市中川区二女子町</t>
  </si>
  <si>
    <t>吹田市桃山台</t>
  </si>
  <si>
    <t>三鷹市</t>
  </si>
  <si>
    <t>加賀市</t>
  </si>
  <si>
    <t>鈴鹿市岸岡町</t>
  </si>
  <si>
    <t>名古屋市中川区万場</t>
  </si>
  <si>
    <t>高島市鴨</t>
  </si>
  <si>
    <t>西宮市名塩南台</t>
  </si>
  <si>
    <t>印西市</t>
  </si>
  <si>
    <t>川崎市宮前区宮崎</t>
  </si>
  <si>
    <t>西条市</t>
  </si>
  <si>
    <t>宝塚市中山桜台</t>
  </si>
  <si>
    <t>神戸市長田区</t>
  </si>
  <si>
    <t>神戸市須磨区多井畑南町</t>
  </si>
  <si>
    <t>守口市橋波東之町</t>
  </si>
  <si>
    <t>伏見区深草石橋町</t>
  </si>
  <si>
    <t>名古屋市千種区田代本通2-22</t>
  </si>
  <si>
    <t>松本市</t>
  </si>
  <si>
    <t>新城市庭野松本</t>
  </si>
  <si>
    <t>姫路市林田町下伊勢</t>
  </si>
  <si>
    <t>浜松市中区神田町</t>
  </si>
  <si>
    <t>中央区晴海</t>
  </si>
  <si>
    <t>野田市花井</t>
  </si>
  <si>
    <t>西宮市津門宝津町</t>
  </si>
  <si>
    <t>世田谷区粕谷</t>
  </si>
  <si>
    <t>仙台市</t>
  </si>
  <si>
    <t>横浜市青葉区</t>
  </si>
  <si>
    <t>福生市</t>
  </si>
  <si>
    <t>広島市中区富士見町9-15-1301</t>
  </si>
  <si>
    <t>千代田区富士見</t>
  </si>
  <si>
    <t>犬山市大字羽黒字堂ヶ洞</t>
  </si>
  <si>
    <t>福井県</t>
  </si>
  <si>
    <t>小浜市水取</t>
  </si>
  <si>
    <t>神戸市垂水区東舞子町</t>
  </si>
  <si>
    <t>川崎市麻生区王禅寺西</t>
  </si>
  <si>
    <t>船橋市三咲</t>
  </si>
  <si>
    <t>横浜市青葉区青葉台1-2-1</t>
  </si>
  <si>
    <t>富山市婦中町砂子田</t>
  </si>
  <si>
    <t>船橋市金杉台</t>
  </si>
  <si>
    <t>松本市島内</t>
  </si>
  <si>
    <t>杉並区</t>
  </si>
  <si>
    <t>札幌市中央区北六条西12丁目</t>
  </si>
  <si>
    <t>港区三田５ー2－22</t>
  </si>
  <si>
    <t>板橋区徳丸</t>
  </si>
  <si>
    <t>吹田市</t>
  </si>
  <si>
    <t>岸和田市並松町</t>
  </si>
  <si>
    <t>西宮市津門大塚町</t>
  </si>
  <si>
    <t>金沢市小坂町</t>
  </si>
  <si>
    <t>大阪市天王寺区北河堀町</t>
  </si>
  <si>
    <t>金沢市</t>
  </si>
  <si>
    <t>横浜市青葉区奈良町1566-123</t>
  </si>
  <si>
    <t>伊達市元町</t>
  </si>
  <si>
    <t>練馬区早宮</t>
  </si>
  <si>
    <t>横浜市南区蒔田町</t>
  </si>
  <si>
    <t>金沢市泉が丘２－９－１７</t>
  </si>
  <si>
    <t>堺市西区浜寺石津町中</t>
  </si>
  <si>
    <t>高市郡高取町丹生谷</t>
  </si>
  <si>
    <t>大阪市北区</t>
  </si>
  <si>
    <t>千代田区麹町1丁目</t>
  </si>
  <si>
    <t>安中市古屋</t>
  </si>
  <si>
    <t>習志野市津田沼</t>
  </si>
  <si>
    <t>渋谷区桜丘町</t>
  </si>
  <si>
    <t>鳥取市</t>
  </si>
  <si>
    <t>市川市東菅野</t>
  </si>
  <si>
    <t>明石市大久保町</t>
  </si>
  <si>
    <t>江戸川区東葛西6</t>
  </si>
  <si>
    <t>知多郡南知多町</t>
  </si>
  <si>
    <t>横浜市青葉区新石川</t>
  </si>
  <si>
    <t>川崎市高津区溝口</t>
  </si>
  <si>
    <t>世田谷区松原</t>
  </si>
  <si>
    <t>稲沢市祖父江町山崎中屋敷</t>
  </si>
  <si>
    <t>加古川市加古川町稲屋</t>
  </si>
  <si>
    <t>八幡市男山金振</t>
  </si>
  <si>
    <t>名古屋市中川区富永３丁目</t>
  </si>
  <si>
    <t>東大和市狭山</t>
  </si>
  <si>
    <t>四日市市室山町</t>
  </si>
  <si>
    <t>相模原市緑区橋本3-22-10</t>
  </si>
  <si>
    <t>神戸市西区玉津町西河原</t>
  </si>
  <si>
    <t>清瀬市上清戸</t>
  </si>
  <si>
    <t>高槻市上土室</t>
  </si>
  <si>
    <t>横浜市金沢区柴町391</t>
  </si>
  <si>
    <t>横浜市港北区仲手原</t>
  </si>
  <si>
    <t>宇都宮市砥上町</t>
  </si>
  <si>
    <t>札幌市南区澄川4条</t>
  </si>
  <si>
    <t>中頭郡読谷村喜名</t>
  </si>
  <si>
    <t>高知県</t>
  </si>
  <si>
    <t>吾川郡いの町</t>
  </si>
  <si>
    <t>三田市</t>
  </si>
  <si>
    <t>南相馬市原町区馬場字薬師前</t>
  </si>
  <si>
    <t>さいたま市大宮区</t>
  </si>
  <si>
    <t>Yokohama</t>
  </si>
  <si>
    <t>小田原市南町</t>
  </si>
  <si>
    <t>大和市</t>
  </si>
  <si>
    <t>京都市東山区五条橋東</t>
  </si>
  <si>
    <t>岡崎市保母町字下屋敷</t>
  </si>
  <si>
    <t>藤沢市辻堂新町</t>
  </si>
  <si>
    <t>日進市梅森町新田</t>
  </si>
  <si>
    <t>葛飾区白鳥</t>
  </si>
  <si>
    <t>京都市左京区松ケ崎木ノ本町</t>
  </si>
  <si>
    <t>鎌倉市稲村ケ崎</t>
  </si>
  <si>
    <t>名古屋市中川区高畑</t>
  </si>
  <si>
    <t>鴨川市</t>
  </si>
  <si>
    <t>善通寺市下吉田町</t>
  </si>
  <si>
    <t>浜松市中央区上西町</t>
  </si>
  <si>
    <t>名古屋市緑区東神の倉三丁目</t>
  </si>
  <si>
    <t>墨田区石原</t>
  </si>
  <si>
    <t>吹田市千里山東</t>
  </si>
  <si>
    <t>習志野市</t>
  </si>
  <si>
    <t>枚方市</t>
  </si>
  <si>
    <t>大阪市天王寺区</t>
  </si>
  <si>
    <t>川崎市麻生区上麻生</t>
  </si>
  <si>
    <t>堺市堺区綾之町西</t>
  </si>
  <si>
    <t>佐世保市三浦町６番６号</t>
  </si>
  <si>
    <t>品川区西五反田</t>
  </si>
  <si>
    <t>北葛城郡広陵町馬見北</t>
  </si>
  <si>
    <t>一宮市千秋町小山字一町畑</t>
  </si>
  <si>
    <t>西春日井郡豊山町豊場下戸</t>
  </si>
  <si>
    <t>宜野湾市</t>
  </si>
  <si>
    <t>大田区南千束</t>
  </si>
  <si>
    <t>奄美市名瀬港町</t>
  </si>
  <si>
    <t>柴田郡大河原町南桜町</t>
  </si>
  <si>
    <t>名古屋市東区</t>
  </si>
  <si>
    <t>相楽郡精華町桜が丘</t>
  </si>
  <si>
    <t>甲賀市水口町貴生川</t>
  </si>
  <si>
    <t>防府市</t>
  </si>
  <si>
    <t>日向市</t>
  </si>
  <si>
    <t>町田市小山ヶ丘</t>
  </si>
  <si>
    <t>世田谷区若林</t>
  </si>
  <si>
    <t>佐波郡玉村町下之宮</t>
  </si>
  <si>
    <t>さいたま市南区神明</t>
  </si>
  <si>
    <t>東久留米市幸町</t>
  </si>
  <si>
    <t>宇部市東岐波</t>
  </si>
  <si>
    <t>豊明市前後町</t>
  </si>
  <si>
    <t>湖西市大知波</t>
  </si>
  <si>
    <t>東京都墨田区吾妻橋</t>
  </si>
  <si>
    <t>蕨市</t>
  </si>
  <si>
    <t>半田市板山町</t>
  </si>
  <si>
    <t>小郡市小郡</t>
  </si>
  <si>
    <t>館林市赤土町</t>
  </si>
  <si>
    <t>岡山市北区大安寺中町</t>
  </si>
  <si>
    <t>寝屋川市仁和寺本町</t>
  </si>
  <si>
    <t>文京区大塚</t>
  </si>
  <si>
    <t>千葉市中央区大森町</t>
  </si>
  <si>
    <t>安芸郡海田町南つくも町</t>
  </si>
  <si>
    <t>東白川郡棚倉町大字棚倉字広畑</t>
  </si>
  <si>
    <t>富田林市</t>
  </si>
  <si>
    <t>岡山市北区桑田町</t>
  </si>
  <si>
    <t>奈良市南登美ケ丘</t>
  </si>
  <si>
    <t>大阪市東淀川区相川</t>
  </si>
  <si>
    <t>練馬区貫井</t>
  </si>
  <si>
    <t>佐野市赤見町</t>
  </si>
  <si>
    <t>笠岡市吉浜</t>
  </si>
  <si>
    <t>小明町</t>
  </si>
  <si>
    <t>大垣市 安井町</t>
  </si>
  <si>
    <t>尼崎市南塚口町</t>
  </si>
  <si>
    <t>泉佐野市日根野</t>
  </si>
  <si>
    <t>名古屋市中川区服部</t>
  </si>
  <si>
    <t>呉市広白岳6丁目</t>
  </si>
  <si>
    <t>菊川市下平川</t>
  </si>
  <si>
    <t>富田林市小金台３丁目</t>
  </si>
  <si>
    <t>神戸市北区小倉台</t>
  </si>
  <si>
    <t>町田市</t>
  </si>
  <si>
    <t>福山市野上町</t>
  </si>
  <si>
    <t>江東区有明</t>
  </si>
  <si>
    <t>金沢市駅西本町</t>
  </si>
  <si>
    <t>町田市鶴間</t>
  </si>
  <si>
    <t>三景台町</t>
  </si>
  <si>
    <t>牛久市ひたち野西</t>
  </si>
  <si>
    <t>流山市南流山</t>
  </si>
  <si>
    <t>浜松市中央区和地山</t>
  </si>
  <si>
    <t>墨田区吾妻橋</t>
  </si>
  <si>
    <t>明石市藤江</t>
  </si>
  <si>
    <t>横浜市青葉区すすき野2丁目</t>
  </si>
  <si>
    <t>春日井市乙輪町</t>
  </si>
  <si>
    <t>茅ヶ崎市香川</t>
  </si>
  <si>
    <t>石岡市</t>
  </si>
  <si>
    <t>福岡市博多区豊</t>
  </si>
  <si>
    <t>江東区大島</t>
  </si>
  <si>
    <t>恵庭市京町</t>
  </si>
  <si>
    <t>西春日井郡豊山町豊場中之町</t>
  </si>
  <si>
    <t>東広島市黒瀬町乃美尾</t>
  </si>
  <si>
    <t>千代田区</t>
  </si>
  <si>
    <t>三田市川除</t>
  </si>
  <si>
    <t>北名古屋市</t>
  </si>
  <si>
    <t>所沢市喜多町</t>
  </si>
  <si>
    <t>名古屋市天白区</t>
  </si>
  <si>
    <t>横浜市保土ケ谷区月見台</t>
  </si>
  <si>
    <t>泉大津市板原町</t>
  </si>
  <si>
    <t>酒田市</t>
  </si>
  <si>
    <t>座間市</t>
  </si>
  <si>
    <t>津市緑が丘</t>
  </si>
  <si>
    <t>印西市中央南</t>
  </si>
  <si>
    <t>津市芸濃町椋本</t>
  </si>
  <si>
    <t>町田市野津田町</t>
  </si>
  <si>
    <t>京都市伏見区両替町</t>
  </si>
  <si>
    <t>熊本市中央区坪井2丁目</t>
  </si>
  <si>
    <t>川崎市幸区小倉</t>
  </si>
  <si>
    <t>世田谷区三軒茶屋</t>
  </si>
  <si>
    <t>呉市阿賀北</t>
  </si>
  <si>
    <t>所沢市東町12-8-912</t>
  </si>
  <si>
    <t>守口市</t>
  </si>
  <si>
    <t>川崎市宮前区土橋</t>
  </si>
  <si>
    <t>各務原市</t>
  </si>
  <si>
    <t>松戸市河原塚</t>
  </si>
  <si>
    <t>さいたま市南区四谷</t>
  </si>
  <si>
    <t>台東区</t>
  </si>
  <si>
    <t>牛久市ひたち野西2丁目</t>
  </si>
  <si>
    <t>守口市金田町</t>
  </si>
  <si>
    <t>半田市大池町</t>
  </si>
  <si>
    <t>東大阪市新池島町</t>
  </si>
  <si>
    <t>知多郡東浦町大字森岡字祖母懐</t>
  </si>
  <si>
    <t>府中市東芝町1-64</t>
  </si>
  <si>
    <t>札幌市東区</t>
  </si>
  <si>
    <t>小金井貫井南町</t>
  </si>
  <si>
    <t>小松市</t>
  </si>
  <si>
    <t>足立区</t>
  </si>
  <si>
    <t>杉並区和泉</t>
  </si>
  <si>
    <t>横浜市港北区綱島上町</t>
  </si>
  <si>
    <t>横浜市　旭区　東希望が丘</t>
  </si>
  <si>
    <t>知多郡東浦町</t>
  </si>
  <si>
    <t>瀬戸市窯町</t>
  </si>
  <si>
    <t>北秋田市鷹巣字下家下</t>
  </si>
  <si>
    <t>世田谷区弦巻</t>
  </si>
  <si>
    <t>広島市安佐南区川内</t>
  </si>
  <si>
    <t>豊見城市</t>
  </si>
  <si>
    <t>松本市笹賀</t>
  </si>
  <si>
    <t>大和田</t>
  </si>
  <si>
    <t>津市河芸町千里ケ丘</t>
  </si>
  <si>
    <t>名古屋市東区前浪町</t>
  </si>
  <si>
    <t>関市山田</t>
  </si>
  <si>
    <t>二戸市上斗米字上川代</t>
  </si>
  <si>
    <t>立川市柴崎町</t>
  </si>
  <si>
    <t>茅ケ崎市元町</t>
  </si>
  <si>
    <t>掛川市大坪台</t>
  </si>
  <si>
    <t>那珂市本米崎</t>
  </si>
  <si>
    <t>滝沢市</t>
  </si>
  <si>
    <t>姫路市書写</t>
  </si>
  <si>
    <t>秩父市山田</t>
  </si>
  <si>
    <t>揖斐郡揖斐川町</t>
  </si>
  <si>
    <t>京都市伏見区竹田田中宮町</t>
  </si>
  <si>
    <t>豊能郡能勢町平通</t>
  </si>
  <si>
    <t>岩沼市</t>
  </si>
  <si>
    <t>那覇市</t>
  </si>
  <si>
    <t>箕面市桜</t>
  </si>
  <si>
    <t>浜松市中央区鴨江</t>
  </si>
  <si>
    <t>箕面市桜ケ丘</t>
  </si>
  <si>
    <t>八戸市根城六丁目</t>
  </si>
  <si>
    <t>武蔵野市緑町</t>
  </si>
  <si>
    <t>調布市国領町</t>
  </si>
  <si>
    <t>西宮市大社町</t>
  </si>
  <si>
    <t>大牟田市天領町１丁目</t>
  </si>
  <si>
    <t>守山市播磨田町</t>
  </si>
  <si>
    <t>下関市長府川端</t>
  </si>
  <si>
    <t>千代田区外神田4-14-2</t>
  </si>
  <si>
    <t>稲敷市月出里</t>
  </si>
  <si>
    <t>新宿区西新宿</t>
  </si>
  <si>
    <t>市川市行徳駅前</t>
  </si>
  <si>
    <t>小松市白江町</t>
  </si>
  <si>
    <t>仙台市宮城野区鶴ケ谷東三丁目</t>
  </si>
  <si>
    <t>大阪市東淀川区下新庄 6-9-16</t>
  </si>
  <si>
    <t>目黒区</t>
  </si>
  <si>
    <t>名古屋市中区栄5丁目</t>
  </si>
  <si>
    <t>名張市すずらん台西</t>
  </si>
  <si>
    <t>厚木市</t>
  </si>
  <si>
    <t>守口市外島町2-2</t>
  </si>
  <si>
    <t>岐阜市三田洞東1丁目</t>
  </si>
  <si>
    <t>熊本市東区長嶺南</t>
  </si>
  <si>
    <t>那覇市銘苅</t>
  </si>
  <si>
    <t>知多郡東浦町緒川東仙台</t>
  </si>
  <si>
    <t>江東区</t>
  </si>
  <si>
    <t>魚津市友道</t>
  </si>
  <si>
    <t>さいたま市見沼区蓮沼</t>
  </si>
  <si>
    <t>向日市物集女町五ノ坪</t>
  </si>
  <si>
    <t>大阪市住吉区南住吉</t>
  </si>
  <si>
    <t>豊島区目白</t>
  </si>
  <si>
    <t>恵庭市</t>
  </si>
  <si>
    <t>新潟市江南区東船場</t>
  </si>
  <si>
    <t>世田谷区等々力</t>
  </si>
  <si>
    <t>北区滝野川</t>
  </si>
  <si>
    <t>下伊那郡松川町元大島</t>
  </si>
  <si>
    <t>赤磐市</t>
  </si>
  <si>
    <t>草加市氷川町</t>
  </si>
  <si>
    <t>世田谷区瀬田1-22-18</t>
  </si>
  <si>
    <t>鈴鹿市郡山町</t>
  </si>
  <si>
    <t>八千代市村上</t>
  </si>
  <si>
    <t>目黒区南1丁目</t>
  </si>
  <si>
    <t>川口市芝中田</t>
  </si>
  <si>
    <t>名古屋市中川区</t>
  </si>
  <si>
    <t>由利本荘市石脇字竜巻</t>
  </si>
  <si>
    <t>岐阜市江崎南</t>
  </si>
  <si>
    <t>名古屋市中区大須4-6-15</t>
  </si>
  <si>
    <t>米子市米原</t>
  </si>
  <si>
    <t>倉敷市西阿知町</t>
  </si>
  <si>
    <t>北見市西三輪</t>
  </si>
  <si>
    <t>瀬戸市北脇町</t>
  </si>
  <si>
    <t>額田郡幸田町大字菱池字細井</t>
  </si>
  <si>
    <t>虻田郡ニセコ町字中央通</t>
  </si>
  <si>
    <t>東山</t>
  </si>
  <si>
    <t>横浜市保土ヶ谷区鎌谷町</t>
  </si>
  <si>
    <t>神戸市兵庫区湊川町10丁目</t>
  </si>
  <si>
    <t>石垣市平得</t>
  </si>
  <si>
    <t>入間市扇台</t>
  </si>
  <si>
    <t>日進市五色園</t>
  </si>
  <si>
    <t>奥州市水沢羽田町字室ノ木</t>
  </si>
  <si>
    <t>東大阪市高井田元町2丁目</t>
  </si>
  <si>
    <t>長岡京市神足木寺町</t>
  </si>
  <si>
    <t>柏市永楽台</t>
  </si>
  <si>
    <t>広島市安佐北区あさひが丘</t>
  </si>
  <si>
    <t>今治市鯉池町１丁目</t>
  </si>
  <si>
    <t>千葉市美浜区打瀬</t>
  </si>
  <si>
    <t>鳥取市気高町</t>
  </si>
  <si>
    <t>東松山市</t>
  </si>
  <si>
    <t>大阪市港区三先</t>
  </si>
  <si>
    <t>宜野湾市大山</t>
  </si>
  <si>
    <t>鴻巣市吹上</t>
  </si>
  <si>
    <t>下閉伊郡山田町飯岡</t>
  </si>
  <si>
    <t>石川郡石川町大字谷沢字京賀の内</t>
  </si>
  <si>
    <t>下新川郡入善町</t>
  </si>
  <si>
    <t>沼津市</t>
  </si>
  <si>
    <t>福津市日蒔野</t>
  </si>
  <si>
    <t>中野区</t>
  </si>
  <si>
    <t>佐倉市染井野</t>
  </si>
  <si>
    <t>台東区浅草</t>
  </si>
  <si>
    <t>鳥取市正蓮寺</t>
  </si>
  <si>
    <t>横浜市瀬谷区瀬谷5丁目</t>
  </si>
  <si>
    <t>浜松市中央区</t>
  </si>
  <si>
    <t>川崎市幸区古市場</t>
  </si>
  <si>
    <t>寝屋川市</t>
  </si>
  <si>
    <t>大阪市東淀川区豊里</t>
  </si>
  <si>
    <t>戸田市新曽</t>
  </si>
  <si>
    <t>世田谷区赤堤</t>
  </si>
  <si>
    <t>西東京市</t>
  </si>
  <si>
    <t>半田市青山</t>
  </si>
  <si>
    <t>神戸市垂水区美山台</t>
  </si>
  <si>
    <t>福岡市中央区今泉2丁目3－3－41</t>
  </si>
  <si>
    <t>八尾市山本町</t>
  </si>
  <si>
    <t>岡谷市湊</t>
  </si>
  <si>
    <t>浦安市堀江一丁目</t>
  </si>
  <si>
    <t>鈴鹿市山辺町</t>
  </si>
  <si>
    <t>大阪市住之江区粉浜西</t>
  </si>
  <si>
    <t>大田区東六郷3丁目26-8</t>
  </si>
  <si>
    <t>千葉市</t>
  </si>
  <si>
    <t>江南市北山町西</t>
  </si>
  <si>
    <t>鎌ケ谷市西佐津間</t>
  </si>
  <si>
    <t>倉敷市老松町</t>
  </si>
  <si>
    <t>横浜市緑区長津田三丁目</t>
  </si>
  <si>
    <t>橋本市橋本</t>
  </si>
  <si>
    <t>太宰府市</t>
  </si>
  <si>
    <t>福岡市西区今宿</t>
  </si>
  <si>
    <t>名古屋市千種区唐山町</t>
  </si>
  <si>
    <t>富士市今泉2丁目</t>
  </si>
  <si>
    <t>吹田市津雲台</t>
  </si>
  <si>
    <t>横須賀市平成町</t>
  </si>
  <si>
    <t>諏訪市中洲</t>
  </si>
  <si>
    <t>小城市三日月町堀江</t>
  </si>
  <si>
    <t>甲賀市甲賀町小佐治</t>
  </si>
  <si>
    <t>横浜市都筑区荏田南</t>
  </si>
  <si>
    <t>大垣市</t>
  </si>
  <si>
    <t>国立市</t>
  </si>
  <si>
    <t>姫路市広畑区城山町</t>
  </si>
  <si>
    <t>田方郡函南町桑原</t>
  </si>
  <si>
    <t>狭山市</t>
  </si>
  <si>
    <t>高岡市手洗野</t>
  </si>
  <si>
    <t>秦野市</t>
  </si>
  <si>
    <t>柏市末広町</t>
  </si>
  <si>
    <t>さいたま市北区日進町</t>
  </si>
  <si>
    <t>掛川市駅前</t>
  </si>
  <si>
    <t>豊島区駒込</t>
  </si>
  <si>
    <t>土浦市</t>
  </si>
  <si>
    <t>新潟市南区根岸</t>
  </si>
  <si>
    <t>佐世保市</t>
  </si>
  <si>
    <t>青梅市今井</t>
  </si>
  <si>
    <t>花巻市桜台</t>
  </si>
  <si>
    <t>名古屋市東区葵</t>
  </si>
  <si>
    <t>沼津市千本郷林</t>
  </si>
  <si>
    <t>蒲郡市水竹町下島</t>
  </si>
  <si>
    <t>和光市本町</t>
  </si>
  <si>
    <t>江東区亀戸</t>
  </si>
  <si>
    <t>薩摩川内市若葉町</t>
  </si>
  <si>
    <t>館山市八幡</t>
  </si>
  <si>
    <t>鳥取市行徳一丁目</t>
  </si>
  <si>
    <t>鳥取市松原</t>
  </si>
  <si>
    <t>吉野郡大淀町西増</t>
  </si>
  <si>
    <t>四日市市西松本町</t>
  </si>
  <si>
    <t>渋谷区神山町</t>
  </si>
  <si>
    <t>市川市南大野</t>
  </si>
  <si>
    <t>高槻市富田町１丁目</t>
  </si>
  <si>
    <t>橿原市上品寺町</t>
  </si>
  <si>
    <t>名古屋市瑞穂区中山町</t>
  </si>
  <si>
    <t>芦屋市朝日ヶ丘町</t>
  </si>
  <si>
    <t>広島市東区牛田本町</t>
  </si>
  <si>
    <t>札幌市白石区</t>
  </si>
  <si>
    <t>三鷹市上連雀</t>
  </si>
  <si>
    <t>板橋区常盤台</t>
  </si>
  <si>
    <t>さいたま市南区四谷2丁目</t>
  </si>
  <si>
    <t>浜松市浜名区染地台</t>
  </si>
  <si>
    <t>名古屋市西区新道</t>
  </si>
  <si>
    <t>本庄市</t>
  </si>
  <si>
    <t>加古川市加古川町美乃利</t>
  </si>
  <si>
    <t>愛西市日置町本郷</t>
  </si>
  <si>
    <t>豊島区千早4丁目</t>
  </si>
  <si>
    <t>柏市</t>
  </si>
  <si>
    <t>杉並区井草</t>
  </si>
  <si>
    <t>海部郡蟹江町</t>
  </si>
  <si>
    <t>北上市</t>
  </si>
  <si>
    <t>横浜市鶴見区豊岡町</t>
  </si>
  <si>
    <t>南都留郡鳴沢村</t>
  </si>
  <si>
    <t>飯田市</t>
  </si>
  <si>
    <t>下野市緑</t>
  </si>
  <si>
    <t>一宮市多加木</t>
  </si>
  <si>
    <t>姫路市</t>
  </si>
  <si>
    <t>養老郡養老町大巻</t>
  </si>
  <si>
    <t>札幌市北区</t>
  </si>
  <si>
    <t>たつの市御津町苅屋</t>
  </si>
  <si>
    <t>福島市</t>
  </si>
  <si>
    <t>京都市伏見区深草大亀谷八島町</t>
  </si>
  <si>
    <t>鎌倉市</t>
  </si>
  <si>
    <t>大垣市笠木町</t>
  </si>
  <si>
    <t>香芝市鎌田</t>
  </si>
  <si>
    <t>八千代市勝田台北</t>
  </si>
  <si>
    <t>藤沢市</t>
  </si>
  <si>
    <t>立川市西砂町</t>
  </si>
  <si>
    <t>中頭郡読谷村</t>
  </si>
  <si>
    <t>目黒区自由が丘1-24-6</t>
  </si>
  <si>
    <t>読谷村伊良皆428-3</t>
  </si>
  <si>
    <t>神戸市垂水区山手</t>
  </si>
  <si>
    <t>津市河辺町</t>
  </si>
  <si>
    <t>大田区大森西</t>
  </si>
  <si>
    <t>徳島市佐古7番町</t>
  </si>
  <si>
    <t>鴻巣市宮前</t>
  </si>
  <si>
    <t>福岡市早良区荒江</t>
  </si>
  <si>
    <t>豊田市四郷町六反田南</t>
  </si>
  <si>
    <t>世田谷区桜新町２－１４－８</t>
  </si>
  <si>
    <t>名古屋市東区芳野芳野白壁</t>
  </si>
  <si>
    <t>千葉県柏市増尾</t>
  </si>
  <si>
    <t>北名古屋市沖村天花寺</t>
  </si>
  <si>
    <t>南国市立田</t>
  </si>
  <si>
    <t>入間市東町4</t>
  </si>
  <si>
    <t>津市上浜町</t>
  </si>
  <si>
    <t>宮崎市吉村町</t>
  </si>
  <si>
    <t>目黒区五本木</t>
  </si>
  <si>
    <t>横浜市戸塚区川上町</t>
  </si>
  <si>
    <t>山口市小郡高砂町</t>
  </si>
  <si>
    <t>広島市東区東蟹屋町</t>
  </si>
  <si>
    <t>春日市須玖北2-143</t>
  </si>
  <si>
    <t>藤沢市辻堂太平台</t>
  </si>
  <si>
    <t>川崎市宮前区けやき平</t>
  </si>
  <si>
    <t>港区海岸</t>
  </si>
  <si>
    <t>大和市深見台</t>
  </si>
  <si>
    <t>徳島市佐古一番町</t>
  </si>
  <si>
    <t>紀の川市黒土</t>
  </si>
  <si>
    <t>四街道市もねの里</t>
  </si>
  <si>
    <t>我孫子市白山</t>
  </si>
  <si>
    <t>姫路市東辻井</t>
  </si>
  <si>
    <t>前橋市荒牧町</t>
  </si>
  <si>
    <t>菊池市</t>
  </si>
  <si>
    <t>名古屋市中川区二女町町</t>
  </si>
  <si>
    <t>さいたま市見沼区中川</t>
  </si>
  <si>
    <t>三次市南畑敷町</t>
  </si>
  <si>
    <t>ひたちなか市勝田泉町</t>
  </si>
  <si>
    <t>大阪市平野区西脇</t>
  </si>
  <si>
    <t>鹿沼市茂呂</t>
  </si>
  <si>
    <t>三田市友が丘</t>
  </si>
  <si>
    <t>立川市曙町</t>
  </si>
  <si>
    <t>福岡市東区千早</t>
  </si>
  <si>
    <t>那須塩原市太夫塚</t>
  </si>
  <si>
    <t>杉並区,西荻北3丁目,20-12</t>
  </si>
  <si>
    <t>名古屋市昭和区滝子町</t>
  </si>
  <si>
    <t>大阪市福島区玉川</t>
  </si>
  <si>
    <t>大阪市西区南堀江</t>
  </si>
  <si>
    <t>横浜市旭区中尾</t>
  </si>
  <si>
    <t>山陽小野田市埴生</t>
  </si>
  <si>
    <t>加東市東垂水</t>
  </si>
  <si>
    <t>習志野市鷺沼</t>
  </si>
  <si>
    <t>豊島区千川</t>
  </si>
  <si>
    <t>下松市</t>
  </si>
  <si>
    <t>世田谷区上用賀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</si>
</sst>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83F1-693B-40FB-B54E-2CFAE0B1ADB5}">
  <dimension ref="A1:I3761"/>
  <sheetViews>
    <sheetView tabSelected="1" zoomScale="70" zoomScaleNormal="70" workbookViewId="0">
      <selection activeCell="H2" sqref="H2:I780"/>
    </sheetView>
  </sheetViews>
  <sheetFormatPr defaultRowHeight="18.75" x14ac:dyDescent="0.4"/>
  <cols>
    <col min="2" max="2" width="38" bestFit="1" customWidth="1"/>
    <col min="3" max="3" width="27.625" bestFit="1" customWidth="1"/>
    <col min="4" max="4" width="17" customWidth="1"/>
    <col min="5" max="5" width="43.375" customWidth="1"/>
    <col min="6" max="6" width="23.625" customWidth="1"/>
  </cols>
  <sheetData>
    <row r="1" spans="1:9" x14ac:dyDescent="0.4">
      <c r="A1" t="s">
        <v>5</v>
      </c>
      <c r="B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7</v>
      </c>
      <c r="I1" s="1" t="s">
        <v>8</v>
      </c>
    </row>
    <row r="2" spans="1:9" x14ac:dyDescent="0.4">
      <c r="A2" t="s">
        <v>13</v>
      </c>
      <c r="B2" t="s">
        <v>523</v>
      </c>
      <c r="C2" t="str">
        <f>+A2&amp;B2</f>
        <v>兵庫県姫路市書写</v>
      </c>
      <c r="D2" s="2" t="str">
        <f xml:space="preserve"> "http://geocode.csis.u-tokyo.ac.jp/cgi-bin/simple_geocode.cgi?charset=UTF8&amp;addr=" &amp; _xlfn.ENCODEURL(C2)</f>
        <v>http://geocode.csis.u-tokyo.ac.jp/cgi-bin/simple_geocode.cgi?charset=UTF8&amp;addr=%E5%85%B5%E5%BA%AB%E7%9C%8C%E5%A7%AB%E8%B7%AF%E5%B8%82%E6%9B%B8%E5%86%99</v>
      </c>
      <c r="E2" t="str">
        <f xml:space="preserve"> _xlfn.WEBSERVICE(D2)</f>
        <v xml:space="preserve">&lt;?xml version="1.0" encoding="UTF-8" ?&gt;
&lt;results&gt;
&lt;query&gt;兵庫県姫路市書写&lt;/query&gt;
&lt;geodetic&gt;wgs1984&lt;/geodetic&gt;
&lt;iConf&gt;5&lt;/iConf&gt;
&lt;converted&gt;兵庫県姫路市書写&lt;/converted&gt;
&lt;candidate&gt;
&lt;address&gt;兵庫県/姫路市/書写&lt;/address&gt;
&lt;longitude&gt;134.655121&lt;/longitude&gt;
&lt;latitude&gt;34.884491&lt;/latitude&gt;
&lt;iLvl&gt;5&lt;/iLvl&gt;
&lt;/candidate&gt;
&lt;/results&gt;
</v>
      </c>
      <c r="F2" cm="1">
        <f t="array" ref="F2">INDEX(_xlfn.FILTERXML(E2,"//latitude"),1)</f>
        <v>34.884490999999997</v>
      </c>
      <c r="G2" cm="1">
        <f t="array" ref="G2">INDEX(_xlfn.FILTERXML(E2,"//longitude"),1)</f>
        <v>134.65512100000001</v>
      </c>
      <c r="H2">
        <v>34.884490999999997</v>
      </c>
      <c r="I2">
        <v>134.65512100000001</v>
      </c>
    </row>
    <row r="3" spans="1:9" x14ac:dyDescent="0.4">
      <c r="A3" t="s">
        <v>9</v>
      </c>
      <c r="B3" t="s">
        <v>464</v>
      </c>
      <c r="C3" t="str">
        <f t="shared" ref="C3:C66" si="0">+A3&amp;B3</f>
        <v>東京都江東区大島</v>
      </c>
      <c r="D3" s="2" t="str">
        <f t="shared" ref="D3" si="1" xml:space="preserve"> "http://geocode.csis.u-tokyo.ac.jp/cgi-bin/simple_geocode.cgi?charset=UTF8&amp;addr=" &amp; _xlfn.ENCODEURL(C3)</f>
        <v>http://geocode.csis.u-tokyo.ac.jp/cgi-bin/simple_geocode.cgi?charset=UTF8&amp;addr=%E6%9D%B1%E4%BA%AC%E9%83%BD%E6%B1%9F%E6%9D%B1%E5%8C%BA%E5%A4%A7%E5%B3%B6</v>
      </c>
      <c r="E3" t="str">
        <f t="shared" ref="E3:E4" si="2" xml:space="preserve"> _xlfn.WEBSERVICE(D3)</f>
        <v xml:space="preserve">&lt;?xml version="1.0" encoding="UTF-8" ?&gt;
&lt;results&gt;
&lt;query&gt;東京都江東区大島&lt;/query&gt;
&lt;geodetic&gt;wgs1984&lt;/geodetic&gt;
&lt;iConf&gt;5&lt;/iConf&gt;
&lt;converted&gt;東京都江東区大島&lt;/converted&gt;
&lt;candidate&gt;
&lt;address&gt;東京都/江東区/大島&lt;/address&gt;
&lt;longitude&gt;139.823425&lt;/longitude&gt;
&lt;latitude&gt;35.687180&lt;/latitude&gt;
&lt;iLvl&gt;5&lt;/iLvl&gt;
&lt;/candidate&gt;
&lt;/results&gt;
</v>
      </c>
      <c r="F3" cm="1">
        <f t="array" ref="F3">INDEX(_xlfn.FILTERXML(E3,"//latitude"),1)</f>
        <v>35.687179999999998</v>
      </c>
      <c r="G3" cm="1">
        <f t="array" ref="G3">INDEX(_xlfn.FILTERXML(E3,"//longitude"),1)</f>
        <v>139.82342499999999</v>
      </c>
      <c r="H3">
        <v>35.687179999999998</v>
      </c>
      <c r="I3">
        <v>139.82342499999999</v>
      </c>
    </row>
    <row r="4" spans="1:9" x14ac:dyDescent="0.4">
      <c r="A4" t="s">
        <v>12</v>
      </c>
      <c r="B4" t="s">
        <v>524</v>
      </c>
      <c r="C4" t="str">
        <f t="shared" si="0"/>
        <v>埼玉県秩父市山田</v>
      </c>
      <c r="D4" s="2" t="str">
        <f xml:space="preserve"> "http://geocode.csis.u-tokyo.ac.jp/cgi-bin/simple_geocode.cgi?charset=UTF8&amp;addr=" &amp; _xlfn.ENCODEURL(C4)</f>
        <v>http://geocode.csis.u-tokyo.ac.jp/cgi-bin/simple_geocode.cgi?charset=UTF8&amp;addr=%E5%9F%BC%E7%8E%89%E7%9C%8C%E7%A7%A9%E7%88%B6%E5%B8%82%E5%B1%B1%E7%94%B0</v>
      </c>
      <c r="E4" t="str">
        <f t="shared" si="2"/>
        <v xml:space="preserve">&lt;?xml version="1.0" encoding="UTF-8" ?&gt;
&lt;results&gt;
&lt;query&gt;埼玉県秩父市山田&lt;/query&gt;
&lt;geodetic&gt;wgs1984&lt;/geodetic&gt;
&lt;iConf&gt;5&lt;/iConf&gt;
&lt;converted&gt;埼玉県秩父市山田&lt;/converted&gt;
&lt;candidate&gt;
&lt;address&gt;埼玉県/秩父市/山田&lt;/address&gt;
&lt;longitude&gt;139.121002&lt;/longitude&gt;
&lt;latitude&gt;36.010696&lt;/latitude&gt;
&lt;iLvl&gt;5&lt;/iLvl&gt;
&lt;/candidate&gt;
&lt;/results&gt;
</v>
      </c>
      <c r="F4" cm="1">
        <f t="array" ref="F4">INDEX(_xlfn.FILTERXML(E4,"//latitude"),1)</f>
        <v>36.010696000000003</v>
      </c>
      <c r="G4" cm="1">
        <f t="array" ref="G4">INDEX(_xlfn.FILTERXML(E4,"//longitude"),1)</f>
        <v>139.121002</v>
      </c>
      <c r="H4">
        <v>36.010696000000003</v>
      </c>
      <c r="I4">
        <v>139.121002</v>
      </c>
    </row>
    <row r="5" spans="1:9" x14ac:dyDescent="0.4">
      <c r="A5" t="s">
        <v>26</v>
      </c>
      <c r="B5" t="s">
        <v>525</v>
      </c>
      <c r="C5" t="str">
        <f t="shared" si="0"/>
        <v>岐阜県揖斐郡揖斐川町</v>
      </c>
      <c r="D5" s="2" t="str">
        <f t="shared" ref="D5" si="3" xml:space="preserve"> "http://geocode.csis.u-tokyo.ac.jp/cgi-bin/simple_geocode.cgi?charset=UTF8&amp;addr=" &amp; _xlfn.ENCODEURL(C5)</f>
        <v>http://geocode.csis.u-tokyo.ac.jp/cgi-bin/simple_geocode.cgi?charset=UTF8&amp;addr=%E5%B2%90%E9%98%9C%E7%9C%8C%E6%8F%96%E6%96%90%E9%83%A1%E6%8F%96%E6%96%90%E5%B7%9D%E7%94%BA</v>
      </c>
      <c r="E5" t="str">
        <f t="shared" ref="E5" si="4" xml:space="preserve"> _xlfn.WEBSERVICE(D5)</f>
        <v xml:space="preserve">&lt;?xml version="1.0" encoding="UTF-8" ?&gt;
&lt;results&gt;
&lt;query&gt;岐阜県揖斐郡揖斐川町&lt;/query&gt;
&lt;geodetic&gt;wgs1984&lt;/geodetic&gt;
&lt;iConf&gt;5&lt;/iConf&gt;
&lt;converted&gt;岐阜県揖斐郡揖斐川町&lt;/converted&gt;
&lt;candidate&gt;
&lt;address&gt;岐阜県/揖斐郡/揖斐川町&lt;/address&gt;
&lt;longitude&gt;136.568207&lt;/longitude&gt;
&lt;latitude&gt;35.486946&lt;/latitude&gt;
&lt;iLvl&gt;3&lt;/iLvl&gt;
&lt;/candidate&gt;
&lt;/results&gt;
</v>
      </c>
      <c r="F5" cm="1">
        <f t="array" ref="F5">INDEX(_xlfn.FILTERXML(E5,"//latitude"),1)</f>
        <v>35.486946000000003</v>
      </c>
      <c r="G5" cm="1">
        <f t="array" ref="G5">INDEX(_xlfn.FILTERXML(E5,"//longitude"),1)</f>
        <v>136.568207</v>
      </c>
      <c r="H5">
        <v>35.486946000000003</v>
      </c>
      <c r="I5">
        <v>136.568207</v>
      </c>
    </row>
    <row r="6" spans="1:9" x14ac:dyDescent="0.4">
      <c r="A6" t="s">
        <v>9</v>
      </c>
      <c r="B6" t="s">
        <v>94</v>
      </c>
      <c r="C6" t="str">
        <f t="shared" si="0"/>
        <v>東京都港区港南</v>
      </c>
      <c r="D6" s="2" t="str">
        <f t="shared" ref="D6" si="5" xml:space="preserve"> "http://geocode.csis.u-tokyo.ac.jp/cgi-bin/simple_geocode.cgi?charset=UTF8&amp;addr=" &amp; _xlfn.ENCODEURL(C6)</f>
        <v>http://geocode.csis.u-tokyo.ac.jp/cgi-bin/simple_geocode.cgi?charset=UTF8&amp;addr=%E6%9D%B1%E4%BA%AC%E9%83%BD%E6%B8%AF%E5%8C%BA%E6%B8%AF%E5%8D%97</v>
      </c>
      <c r="E6" t="str">
        <f t="shared" ref="E6" si="6" xml:space="preserve"> _xlfn.WEBSERVICE(D6)</f>
        <v xml:space="preserve">&lt;?xml version="1.0" encoding="UTF-8" ?&gt;
&lt;results&gt;
&lt;query&gt;東京都港区港南&lt;/query&gt;
&lt;geodetic&gt;wgs1984&lt;/geodetic&gt;
&lt;iConf&gt;5&lt;/iConf&gt;
&lt;converted&gt;東京都港区港南&lt;/converted&gt;
&lt;candidate&gt;
&lt;address&gt;東京都/港区/港南&lt;/address&gt;
&lt;longitude&gt;139.744339&lt;/longitude&gt;
&lt;latitude&gt;35.630707&lt;/latitude&gt;
&lt;iLvl&gt;5&lt;/iLvl&gt;
&lt;/candidate&gt;
&lt;/results&gt;
</v>
      </c>
      <c r="F6" cm="1">
        <f t="array" ref="F6">INDEX(_xlfn.FILTERXML(E6,"//latitude"),1)</f>
        <v>35.630707000000001</v>
      </c>
      <c r="G6" cm="1">
        <f t="array" ref="G6">INDEX(_xlfn.FILTERXML(E6,"//longitude"),1)</f>
        <v>139.744339</v>
      </c>
      <c r="H6">
        <v>35.630707000000001</v>
      </c>
      <c r="I6">
        <v>139.744339</v>
      </c>
    </row>
    <row r="7" spans="1:9" x14ac:dyDescent="0.4">
      <c r="A7" t="s">
        <v>15</v>
      </c>
      <c r="B7" t="s">
        <v>72</v>
      </c>
      <c r="C7" t="str">
        <f t="shared" si="0"/>
        <v>愛知県名古屋市西区鳥見町</v>
      </c>
      <c r="D7" s="2" t="str">
        <f t="shared" ref="D7:D23" si="7" xml:space="preserve"> "http://geocode.csis.u-tokyo.ac.jp/cgi-bin/simple_geocode.cgi?charset=UTF8&amp;addr=" &amp; _xlfn.ENCODEURL(C7)</f>
        <v>http://geocode.csis.u-tokyo.ac.jp/cgi-bin/simple_geocode.cgi?charset=UTF8&amp;addr=%E6%84%9B%E7%9F%A5%E7%9C%8C%E5%90%8D%E5%8F%A4%E5%B1%8B%E5%B8%82%E8%A5%BF%E5%8C%BA%E9%B3%A5%E8%A6%8B%E7%94%BA</v>
      </c>
      <c r="E7" t="str">
        <f t="shared" ref="E7:E23" si="8" xml:space="preserve"> _xlfn.WEBSERVICE(D7)</f>
        <v xml:space="preserve">&lt;?xml version="1.0" encoding="UTF-8" ?&gt;
&lt;results&gt;
&lt;query&gt;愛知県名古屋市西区鳥見町&lt;/query&gt;
&lt;geodetic&gt;wgs1984&lt;/geodetic&gt;
&lt;iConf&gt;5&lt;/iConf&gt;
&lt;converted&gt;愛知県名古屋市西区鳥見町&lt;/converted&gt;
&lt;candidate&gt;
&lt;address&gt;愛知県/名古屋市/西区/鳥見町&lt;/address&gt;
&lt;longitude&gt;136.886322&lt;/longitude&gt;
&lt;latitude&gt;35.201611&lt;/latitude&gt;
&lt;iLvl&gt;5&lt;/iLvl&gt;
&lt;/candidate&gt;
&lt;/results&gt;
</v>
      </c>
      <c r="F7" cm="1">
        <f t="array" ref="F7">INDEX(_xlfn.FILTERXML(E7,"//latitude"),1)</f>
        <v>35.201611</v>
      </c>
      <c r="G7" cm="1">
        <f t="array" ref="G7">INDEX(_xlfn.FILTERXML(E7,"//longitude"),1)</f>
        <v>136.88632200000001</v>
      </c>
      <c r="H7">
        <v>35.201611</v>
      </c>
      <c r="I7">
        <v>136.88632200000001</v>
      </c>
    </row>
    <row r="8" spans="1:9" x14ac:dyDescent="0.4">
      <c r="A8" t="s">
        <v>23</v>
      </c>
      <c r="B8" t="s">
        <v>526</v>
      </c>
      <c r="C8" t="str">
        <f t="shared" si="0"/>
        <v>京都府京都市伏見区竹田田中宮町</v>
      </c>
      <c r="D8" s="2" t="str">
        <f t="shared" si="7"/>
        <v>http://geocode.csis.u-tokyo.ac.jp/cgi-bin/simple_geocode.cgi?charset=UTF8&amp;addr=%E4%BA%AC%E9%83%BD%E5%BA%9C%E4%BA%AC%E9%83%BD%E5%B8%82%E4%BC%8F%E8%A6%8B%E5%8C%BA%E7%AB%B9%E7%94%B0%E7%94%B0%E4%B8%AD%E5%AE%AE%E7%94%BA</v>
      </c>
      <c r="E8" t="str">
        <f t="shared" si="8"/>
        <v xml:space="preserve">&lt;?xml version="1.0" encoding="UTF-8" ?&gt;
&lt;results&gt;
&lt;query&gt;京都府京都市伏見区竹田田中宮町&lt;/query&gt;
&lt;geodetic&gt;wgs1984&lt;/geodetic&gt;
&lt;iConf&gt;5&lt;/iConf&gt;
&lt;converted&gt;京都府京都市伏見区竹田田中宮町&lt;/converted&gt;
&lt;candidate&gt;
&lt;address&gt;京都府/京都市/伏見区/竹田田中宮町&lt;/address&gt;
&lt;longitude&gt;135.753738&lt;/longitude&gt;
&lt;latitude&gt;34.949249&lt;/latitude&gt;
&lt;iLvl&gt;5&lt;/iLvl&gt;
&lt;/candidate&gt;
&lt;/results&gt;
</v>
      </c>
      <c r="F8" cm="1">
        <f t="array" ref="F8">INDEX(_xlfn.FILTERXML(E8,"//latitude"),1)</f>
        <v>34.949249000000002</v>
      </c>
      <c r="G8" cm="1">
        <f t="array" ref="G8">INDEX(_xlfn.FILTERXML(E8,"//longitude"),1)</f>
        <v>135.753738</v>
      </c>
      <c r="H8">
        <v>34.949249000000002</v>
      </c>
      <c r="I8">
        <v>135.753738</v>
      </c>
    </row>
    <row r="9" spans="1:9" x14ac:dyDescent="0.4">
      <c r="A9" t="s">
        <v>11</v>
      </c>
      <c r="B9" t="s">
        <v>527</v>
      </c>
      <c r="C9" t="str">
        <f t="shared" si="0"/>
        <v>大阪府豊能郡能勢町平通</v>
      </c>
      <c r="D9" s="2" t="str">
        <f t="shared" si="7"/>
        <v>http://geocode.csis.u-tokyo.ac.jp/cgi-bin/simple_geocode.cgi?charset=UTF8&amp;addr=%E5%A4%A7%E9%98%AA%E5%BA%9C%E8%B1%8A%E8%83%BD%E9%83%A1%E8%83%BD%E5%8B%A2%E7%94%BA%E5%B9%B3%E9%80%9A</v>
      </c>
      <c r="E9" t="str">
        <f t="shared" si="8"/>
        <v xml:space="preserve">&lt;?xml version="1.0" encoding="UTF-8" ?&gt;
&lt;results&gt;
&lt;query&gt;大阪府豊能郡能勢町平通&lt;/query&gt;
&lt;geodetic&gt;wgs1984&lt;/geodetic&gt;
&lt;iConf&gt;5&lt;/iConf&gt;
&lt;converted&gt;大阪府豊能郡能勢町平通&lt;/converted&gt;
&lt;candidate&gt;
&lt;address&gt;大阪府/豊能郡/能勢町/平通&lt;/address&gt;
&lt;longitude&gt;135.414261&lt;/longitude&gt;
&lt;latitude&gt;34.950008&lt;/latitude&gt;
&lt;iLvl&gt;5&lt;/iLvl&gt;
&lt;/candidate&gt;
&lt;/results&gt;
</v>
      </c>
      <c r="F9" cm="1">
        <f t="array" ref="F9">INDEX(_xlfn.FILTERXML(E9,"//latitude"),1)</f>
        <v>34.950007999999997</v>
      </c>
      <c r="G9" cm="1">
        <f t="array" ref="G9">INDEX(_xlfn.FILTERXML(E9,"//longitude"),1)</f>
        <v>135.41426100000001</v>
      </c>
      <c r="H9">
        <v>34.950007999999997</v>
      </c>
      <c r="I9">
        <v>135.41426100000001</v>
      </c>
    </row>
    <row r="10" spans="1:9" x14ac:dyDescent="0.4">
      <c r="A10" t="s">
        <v>20</v>
      </c>
      <c r="B10" t="s">
        <v>528</v>
      </c>
      <c r="C10" t="str">
        <f t="shared" si="0"/>
        <v>宮城県岩沼市</v>
      </c>
      <c r="D10" s="2" t="str">
        <f t="shared" si="7"/>
        <v>http://geocode.csis.u-tokyo.ac.jp/cgi-bin/simple_geocode.cgi?charset=UTF8&amp;addr=%E5%AE%AE%E5%9F%8E%E7%9C%8C%E5%B2%A9%E6%B2%BC%E5%B8%82</v>
      </c>
      <c r="E10" t="str">
        <f t="shared" si="8"/>
        <v xml:space="preserve">&lt;?xml version="1.0" encoding="UTF-8" ?&gt;
&lt;results&gt;
&lt;query&gt;宮城県岩沼市&lt;/query&gt;
&lt;geodetic&gt;wgs1984&lt;/geodetic&gt;
&lt;iConf&gt;5&lt;/iConf&gt;
&lt;converted&gt;宮城県岩沼市&lt;/converted&gt;
&lt;candidate&gt;
&lt;address&gt;宮城県/岩沼市&lt;/address&gt;
&lt;longitude&gt;140.869949&lt;/longitude&gt;
&lt;latitude&gt;38.104301&lt;/latitude&gt;
&lt;iLvl&gt;3&lt;/iLvl&gt;
&lt;/candidate&gt;
&lt;/results&gt;
</v>
      </c>
      <c r="F10" cm="1">
        <f t="array" ref="F10">INDEX(_xlfn.FILTERXML(E10,"//latitude"),1)</f>
        <v>38.104301</v>
      </c>
      <c r="G10" cm="1">
        <f t="array" ref="G10">INDEX(_xlfn.FILTERXML(E10,"//longitude"),1)</f>
        <v>140.86994899999999</v>
      </c>
      <c r="H10">
        <v>38.104301</v>
      </c>
      <c r="I10">
        <v>140.86994899999999</v>
      </c>
    </row>
    <row r="11" spans="1:9" x14ac:dyDescent="0.4">
      <c r="A11" t="s">
        <v>194</v>
      </c>
      <c r="B11" t="s">
        <v>529</v>
      </c>
      <c r="C11" t="str">
        <f t="shared" si="0"/>
        <v>沖縄県那覇市</v>
      </c>
      <c r="D11" s="2" t="str">
        <f t="shared" si="7"/>
        <v>http://geocode.csis.u-tokyo.ac.jp/cgi-bin/simple_geocode.cgi?charset=UTF8&amp;addr=%E6%B2%96%E7%B8%84%E7%9C%8C%E9%82%A3%E8%A6%87%E5%B8%82</v>
      </c>
      <c r="E11" t="str">
        <f t="shared" si="8"/>
        <v xml:space="preserve">&lt;?xml version="1.0" encoding="UTF-8" ?&gt;
&lt;results&gt;
&lt;query&gt;沖縄県那覇市&lt;/query&gt;
&lt;geodetic&gt;wgs1984&lt;/geodetic&gt;
&lt;iConf&gt;5&lt;/iConf&gt;
&lt;converted&gt;沖縄県那覇市&lt;/converted&gt;
&lt;candidate&gt;
&lt;address&gt;沖縄県/那覇市&lt;/address&gt;
&lt;longitude&gt;127.679214&lt;/longitude&gt;
&lt;latitude&gt;26.212296&lt;/latitude&gt;
&lt;iLvl&gt;3&lt;/iLvl&gt;
&lt;/candidate&gt;
&lt;/results&gt;
</v>
      </c>
      <c r="F11" cm="1">
        <f t="array" ref="F11">INDEX(_xlfn.FILTERXML(E11,"//latitude"),1)</f>
        <v>26.212295999999998</v>
      </c>
      <c r="G11" cm="1">
        <f t="array" ref="G11">INDEX(_xlfn.FILTERXML(E11,"//longitude"),1)</f>
        <v>127.679214</v>
      </c>
      <c r="H11">
        <v>26.212295999999998</v>
      </c>
      <c r="I11">
        <v>127.679214</v>
      </c>
    </row>
    <row r="12" spans="1:9" x14ac:dyDescent="0.4">
      <c r="A12" t="s">
        <v>10</v>
      </c>
      <c r="B12" t="s">
        <v>106</v>
      </c>
      <c r="C12" t="str">
        <f t="shared" si="0"/>
        <v>神奈川県横浜市青葉区藤が丘</v>
      </c>
      <c r="D12" s="2" t="str">
        <f t="shared" si="7"/>
        <v>http://geocode.csis.u-tokyo.ac.jp/cgi-bin/simple_geocode.cgi?charset=UTF8&amp;addr=%E7%A5%9E%E5%A5%88%E5%B7%9D%E7%9C%8C%E6%A8%AA%E6%B5%9C%E5%B8%82%E9%9D%92%E8%91%89%E5%8C%BA%E8%97%A4%E3%81%8C%E4%B8%98</v>
      </c>
      <c r="E12" t="str">
        <f t="shared" si="8"/>
        <v xml:space="preserve">&lt;?xml version="1.0" encoding="UTF-8" ?&gt;
&lt;results&gt;
&lt;query&gt;神奈川県横浜市青葉区藤が丘&lt;/query&gt;
&lt;geodetic&gt;wgs1984&lt;/geodetic&gt;
&lt;iConf&gt;5&lt;/iConf&gt;
&lt;converted&gt;神奈川県横浜市青葉区藤が丘&lt;/converted&gt;
&lt;candidate&gt;
&lt;address&gt;神奈川県/横浜市/青葉区/藤が丘&lt;/address&gt;
&lt;longitude&gt;139.530472&lt;/longitude&gt;
&lt;latitude&gt;35.546459&lt;/latitude&gt;
&lt;iLvl&gt;5&lt;/iLvl&gt;
&lt;/candidate&gt;
&lt;/results&gt;
</v>
      </c>
      <c r="F12" cm="1">
        <f t="array" ref="F12">INDEX(_xlfn.FILTERXML(E12,"//latitude"),1)</f>
        <v>35.546458999999999</v>
      </c>
      <c r="G12" cm="1">
        <f t="array" ref="G12">INDEX(_xlfn.FILTERXML(E12,"//longitude"),1)</f>
        <v>139.530472</v>
      </c>
      <c r="H12">
        <v>35.546458999999999</v>
      </c>
      <c r="I12">
        <v>139.530472</v>
      </c>
    </row>
    <row r="13" spans="1:9" x14ac:dyDescent="0.4">
      <c r="A13" t="s">
        <v>11</v>
      </c>
      <c r="B13" t="s">
        <v>530</v>
      </c>
      <c r="C13" t="str">
        <f t="shared" si="0"/>
        <v>大阪府箕面市桜</v>
      </c>
      <c r="D13" s="2" t="str">
        <f t="shared" si="7"/>
        <v>http://geocode.csis.u-tokyo.ac.jp/cgi-bin/simple_geocode.cgi?charset=UTF8&amp;addr=%E5%A4%A7%E9%98%AA%E5%BA%9C%E7%AE%95%E9%9D%A2%E5%B8%82%E6%A1%9C</v>
      </c>
      <c r="E13" t="str">
        <f t="shared" si="8"/>
        <v xml:space="preserve">&lt;?xml version="1.0" encoding="UTF-8" ?&gt;
&lt;results&gt;
&lt;query&gt;大阪府箕面市桜&lt;/query&gt;
&lt;geodetic&gt;wgs1984&lt;/geodetic&gt;
&lt;iConf&gt;5&lt;/iConf&gt;
&lt;converted&gt;大阪府箕面市桜&lt;/converted&gt;
&lt;candidate&gt;
&lt;address&gt;大阪府/箕面市/桜&lt;/address&gt;
&lt;longitude&gt;135.464493&lt;/longitude&gt;
&lt;latitude&gt;34.826057&lt;/latitude&gt;
&lt;iLvl&gt;5&lt;/iLvl&gt;
&lt;/candidate&gt;
&lt;/results&gt;
</v>
      </c>
      <c r="F13" cm="1">
        <f t="array" ref="F13">INDEX(_xlfn.FILTERXML(E13,"//latitude"),1)</f>
        <v>34.826056999999999</v>
      </c>
      <c r="G13" cm="1">
        <f t="array" ref="G13">INDEX(_xlfn.FILTERXML(E13,"//longitude"),1)</f>
        <v>135.464493</v>
      </c>
      <c r="H13">
        <v>34.826056999999999</v>
      </c>
      <c r="I13">
        <v>135.464493</v>
      </c>
    </row>
    <row r="14" spans="1:9" x14ac:dyDescent="0.4">
      <c r="A14" t="s">
        <v>24</v>
      </c>
      <c r="B14" t="s">
        <v>531</v>
      </c>
      <c r="C14" t="str">
        <f t="shared" si="0"/>
        <v>静岡県浜松市中央区鴨江</v>
      </c>
      <c r="D14" s="2" t="str">
        <f t="shared" si="7"/>
        <v>http://geocode.csis.u-tokyo.ac.jp/cgi-bin/simple_geocode.cgi?charset=UTF8&amp;addr=%E9%9D%99%E5%B2%A1%E7%9C%8C%E6%B5%9C%E6%9D%BE%E5%B8%82%E4%B8%AD%E5%A4%AE%E5%8C%BA%E9%B4%A8%E6%B1%9F</v>
      </c>
      <c r="E14" t="str">
        <f t="shared" si="8"/>
        <v xml:space="preserve">&lt;?xml version="1.0" encoding="UTF-8" ?&gt;
&lt;results&gt;
&lt;query&gt;静岡県浜松市中央区鴨江&lt;/query&gt;
&lt;geodetic&gt;wgs1984&lt;/geodetic&gt;
&lt;iConf&gt;5&lt;/iConf&gt;
&lt;converted&gt;静岡県浜松市中央区鴨江&lt;/converted&gt;
&lt;candidate&gt;
&lt;address&gt;静岡県/浜松市/中央区/鴨江&lt;/address&gt;
&lt;longitude&gt;137.720932&lt;/longitude&gt;
&lt;latitude&gt;34.702599&lt;/latitude&gt;
&lt;iLvl&gt;5&lt;/iLvl&gt;
&lt;/candidate&gt;
&lt;/results&gt;
</v>
      </c>
      <c r="F14" cm="1">
        <f t="array" ref="F14">INDEX(_xlfn.FILTERXML(E14,"//latitude"),1)</f>
        <v>34.702598999999999</v>
      </c>
      <c r="G14" cm="1">
        <f t="array" ref="G14">INDEX(_xlfn.FILTERXML(E14,"//longitude"),1)</f>
        <v>137.720932</v>
      </c>
      <c r="H14">
        <v>34.702598999999999</v>
      </c>
      <c r="I14">
        <v>137.720932</v>
      </c>
    </row>
    <row r="15" spans="1:9" x14ac:dyDescent="0.4">
      <c r="A15" t="s">
        <v>11</v>
      </c>
      <c r="B15" t="s">
        <v>532</v>
      </c>
      <c r="C15" t="str">
        <f t="shared" si="0"/>
        <v>大阪府箕面市桜ケ丘</v>
      </c>
      <c r="D15" s="2" t="str">
        <f t="shared" si="7"/>
        <v>http://geocode.csis.u-tokyo.ac.jp/cgi-bin/simple_geocode.cgi?charset=UTF8&amp;addr=%E5%A4%A7%E9%98%AA%E5%BA%9C%E7%AE%95%E9%9D%A2%E5%B8%82%E6%A1%9C%E3%82%B1%E4%B8%98</v>
      </c>
      <c r="E15" t="str">
        <f t="shared" si="8"/>
        <v xml:space="preserve">&lt;?xml version="1.0" encoding="UTF-8" ?&gt;
&lt;results&gt;
&lt;query&gt;大阪府箕面市桜ケ丘&lt;/query&gt;
&lt;geodetic&gt;wgs1984&lt;/geodetic&gt;
&lt;iConf&gt;5&lt;/iConf&gt;
&lt;converted&gt;大阪府箕面市桜ケ丘&lt;/converted&gt;
&lt;candidate&gt;
&lt;address&gt;大阪府/箕面市/桜ケ丘&lt;/address&gt;
&lt;longitude&gt;135.456680&lt;/longitude&gt;
&lt;latitude&gt;34.825439&lt;/latitude&gt;
&lt;iLvl&gt;5&lt;/iLvl&gt;
&lt;/candidate&gt;
&lt;/results&gt;
</v>
      </c>
      <c r="F15" cm="1">
        <f t="array" ref="F15">INDEX(_xlfn.FILTERXML(E15,"//latitude"),1)</f>
        <v>34.825439000000003</v>
      </c>
      <c r="G15" cm="1">
        <f t="array" ref="G15">INDEX(_xlfn.FILTERXML(E15,"//longitude"),1)</f>
        <v>135.45668000000001</v>
      </c>
      <c r="H15">
        <v>34.825439000000003</v>
      </c>
      <c r="I15">
        <v>135.45668000000001</v>
      </c>
    </row>
    <row r="16" spans="1:9" x14ac:dyDescent="0.4">
      <c r="A16" t="s">
        <v>82</v>
      </c>
      <c r="B16" t="s">
        <v>533</v>
      </c>
      <c r="C16" t="str">
        <f t="shared" si="0"/>
        <v>青森県八戸市根城六丁目</v>
      </c>
      <c r="D16" s="2" t="str">
        <f t="shared" si="7"/>
        <v>http://geocode.csis.u-tokyo.ac.jp/cgi-bin/simple_geocode.cgi?charset=UTF8&amp;addr=%E9%9D%92%E6%A3%AE%E7%9C%8C%E5%85%AB%E6%88%B8%E5%B8%82%E6%A0%B9%E5%9F%8E%E5%85%AD%E4%B8%81%E7%9B%AE</v>
      </c>
      <c r="E16" t="str">
        <f t="shared" si="8"/>
        <v xml:space="preserve">&lt;?xml version="1.0" encoding="UTF-8" ?&gt;
&lt;results&gt;
&lt;query&gt;青森県八戸市根城六丁目&lt;/query&gt;
&lt;geodetic&gt;wgs1984&lt;/geodetic&gt;
&lt;iConf&gt;5&lt;/iConf&gt;
&lt;converted&gt;青森県八戸市根城六丁目&lt;/converted&gt;
&lt;candidate&gt;
&lt;address&gt;青森県/八戸市/根城/六丁目&lt;/address&gt;
&lt;longitude&gt;141.469330&lt;/longitude&gt;
&lt;latitude&gt;40.504326&lt;/latitude&gt;
&lt;iLvl&gt;6&lt;/iLvl&gt;
&lt;/candidate&gt;
&lt;/results&gt;
</v>
      </c>
      <c r="F16" cm="1">
        <f t="array" ref="F16">INDEX(_xlfn.FILTERXML(E16,"//latitude"),1)</f>
        <v>40.504325999999999</v>
      </c>
      <c r="G16" cm="1">
        <f t="array" ref="G16">INDEX(_xlfn.FILTERXML(E16,"//longitude"),1)</f>
        <v>141.46933000000001</v>
      </c>
      <c r="H16">
        <v>40.504325999999999</v>
      </c>
      <c r="I16">
        <v>141.46933000000001</v>
      </c>
    </row>
    <row r="17" spans="1:9" x14ac:dyDescent="0.4">
      <c r="A17" t="s">
        <v>10</v>
      </c>
      <c r="B17" t="s">
        <v>378</v>
      </c>
      <c r="C17" t="str">
        <f t="shared" si="0"/>
        <v>神奈川県小田原市南町</v>
      </c>
      <c r="D17" s="2" t="str">
        <f t="shared" si="7"/>
        <v>http://geocode.csis.u-tokyo.ac.jp/cgi-bin/simple_geocode.cgi?charset=UTF8&amp;addr=%E7%A5%9E%E5%A5%88%E5%B7%9D%E7%9C%8C%E5%B0%8F%E7%94%B0%E5%8E%9F%E5%B8%82%E5%8D%97%E7%94%BA</v>
      </c>
      <c r="E17" t="str">
        <f t="shared" si="8"/>
        <v xml:space="preserve">&lt;?xml version="1.0" encoding="UTF-8" ?&gt;
&lt;results&gt;
&lt;query&gt;神奈川県小田原市南町&lt;/query&gt;
&lt;geodetic&gt;wgs1984&lt;/geodetic&gt;
&lt;iConf&gt;5&lt;/iConf&gt;
&lt;converted&gt;神奈川県小田原市南町&lt;/converted&gt;
&lt;candidate&gt;
&lt;address&gt;神奈川県/小田原市/南町&lt;/address&gt;
&lt;longitude&gt;139.152649&lt;/longitude&gt;
&lt;latitude&gt;35.247990&lt;/latitude&gt;
&lt;iLvl&gt;5&lt;/iLvl&gt;
&lt;/candidate&gt;
&lt;/results&gt;
</v>
      </c>
      <c r="F17" cm="1">
        <f t="array" ref="F17">INDEX(_xlfn.FILTERXML(E17,"//latitude"),1)</f>
        <v>35.247990000000001</v>
      </c>
      <c r="G17" cm="1">
        <f t="array" ref="G17">INDEX(_xlfn.FILTERXML(E17,"//longitude"),1)</f>
        <v>139.152649</v>
      </c>
      <c r="H17">
        <v>35.247990000000001</v>
      </c>
      <c r="I17">
        <v>139.152649</v>
      </c>
    </row>
    <row r="18" spans="1:9" x14ac:dyDescent="0.4">
      <c r="A18" t="s">
        <v>9</v>
      </c>
      <c r="B18" t="s">
        <v>534</v>
      </c>
      <c r="C18" t="str">
        <f t="shared" si="0"/>
        <v>東京都武蔵野市緑町</v>
      </c>
      <c r="D18" s="2" t="str">
        <f t="shared" si="7"/>
        <v>http://geocode.csis.u-tokyo.ac.jp/cgi-bin/simple_geocode.cgi?charset=UTF8&amp;addr=%E6%9D%B1%E4%BA%AC%E9%83%BD%E6%AD%A6%E8%94%B5%E9%87%8E%E5%B8%82%E7%B7%91%E7%94%BA</v>
      </c>
      <c r="E18" t="str">
        <f t="shared" si="8"/>
        <v xml:space="preserve">&lt;?xml version="1.0" encoding="UTF-8" ?&gt;
&lt;results&gt;
&lt;query&gt;東京都武蔵野市緑町&lt;/query&gt;
&lt;geodetic&gt;wgs1984&lt;/geodetic&gt;
&lt;iConf&gt;5&lt;/iConf&gt;
&lt;converted&gt;東京都武蔵野市緑町&lt;/converted&gt;
&lt;candidate&gt;
&lt;address&gt;東京都/武蔵野市/緑町&lt;/address&gt;
&lt;longitude&gt;139.560974&lt;/longitude&gt;
&lt;latitude&gt;35.714622&lt;/latitude&gt;
&lt;iLvl&gt;5&lt;/iLvl&gt;
&lt;/candidate&gt;
&lt;/results&gt;
</v>
      </c>
      <c r="F18" cm="1">
        <f t="array" ref="F18">INDEX(_xlfn.FILTERXML(E18,"//latitude"),1)</f>
        <v>35.714621999999999</v>
      </c>
      <c r="G18" cm="1">
        <f t="array" ref="G18">INDEX(_xlfn.FILTERXML(E18,"//longitude"),1)</f>
        <v>139.56097399999999</v>
      </c>
      <c r="H18">
        <v>35.714621999999999</v>
      </c>
      <c r="I18">
        <v>139.56097399999999</v>
      </c>
    </row>
    <row r="19" spans="1:9" x14ac:dyDescent="0.4">
      <c r="A19" t="s">
        <v>9</v>
      </c>
      <c r="B19" t="s">
        <v>535</v>
      </c>
      <c r="C19" t="str">
        <f t="shared" si="0"/>
        <v>東京都調布市国領町</v>
      </c>
      <c r="D19" s="2" t="str">
        <f t="shared" si="7"/>
        <v>http://geocode.csis.u-tokyo.ac.jp/cgi-bin/simple_geocode.cgi?charset=UTF8&amp;addr=%E6%9D%B1%E4%BA%AC%E9%83%BD%E8%AA%BF%E5%B8%83%E5%B8%82%E5%9B%BD%E9%A0%98%E7%94%BA</v>
      </c>
      <c r="E19" t="str">
        <f t="shared" si="8"/>
        <v xml:space="preserve">&lt;?xml version="1.0" encoding="UTF-8" ?&gt;
&lt;results&gt;
&lt;query&gt;東京都調布市国領町&lt;/query&gt;
&lt;geodetic&gt;wgs1984&lt;/geodetic&gt;
&lt;iConf&gt;5&lt;/iConf&gt;
&lt;converted&gt;東京都調布市国領町&lt;/converted&gt;
&lt;candidate&gt;
&lt;address&gt;東京都/調布市/国領町&lt;/address&gt;
&lt;longitude&gt;139.556519&lt;/longitude&gt;
&lt;latitude&gt;35.636326&lt;/latitude&gt;
&lt;iLvl&gt;5&lt;/iLvl&gt;
&lt;/candidate&gt;
&lt;/results&gt;
</v>
      </c>
      <c r="F19" cm="1">
        <f t="array" ref="F19">INDEX(_xlfn.FILTERXML(E19,"//latitude"),1)</f>
        <v>35.636325999999997</v>
      </c>
      <c r="G19" cm="1">
        <f t="array" ref="G19">INDEX(_xlfn.FILTERXML(E19,"//longitude"),1)</f>
        <v>139.55651900000001</v>
      </c>
      <c r="H19">
        <v>35.636325999999997</v>
      </c>
      <c r="I19">
        <v>139.55651900000001</v>
      </c>
    </row>
    <row r="20" spans="1:9" x14ac:dyDescent="0.4">
      <c r="A20" t="s">
        <v>13</v>
      </c>
      <c r="B20" t="s">
        <v>536</v>
      </c>
      <c r="C20" t="str">
        <f t="shared" si="0"/>
        <v>兵庫県西宮市大社町</v>
      </c>
      <c r="D20" s="2" t="str">
        <f t="shared" si="7"/>
        <v>http://geocode.csis.u-tokyo.ac.jp/cgi-bin/simple_geocode.cgi?charset=UTF8&amp;addr=%E5%85%B5%E5%BA%AB%E7%9C%8C%E8%A5%BF%E5%AE%AE%E5%B8%82%E5%A4%A7%E7%A4%BE%E7%94%BA</v>
      </c>
      <c r="E20" t="str">
        <f t="shared" si="8"/>
        <v xml:space="preserve">&lt;?xml version="1.0" encoding="UTF-8" ?&gt;
&lt;results&gt;
&lt;query&gt;兵庫県西宮市大社町&lt;/query&gt;
&lt;geodetic&gt;wgs1984&lt;/geodetic&gt;
&lt;iConf&gt;5&lt;/iConf&gt;
&lt;converted&gt;兵庫県西宮市大社町&lt;/converted&gt;
&lt;candidate&gt;
&lt;address&gt;兵庫県/西宮市/大社町&lt;/address&gt;
&lt;longitude&gt;135.340057&lt;/longitude&gt;
&lt;latitude&gt;34.752789&lt;/latitude&gt;
&lt;iLvl&gt;5&lt;/iLvl&gt;
&lt;/candidate&gt;
&lt;/results&gt;
</v>
      </c>
      <c r="F20" cm="1">
        <f t="array" ref="F20">INDEX(_xlfn.FILTERXML(E20,"//latitude"),1)</f>
        <v>34.752789</v>
      </c>
      <c r="G20" cm="1">
        <f t="array" ref="G20">INDEX(_xlfn.FILTERXML(E20,"//longitude"),1)</f>
        <v>135.340057</v>
      </c>
      <c r="H20">
        <v>34.752789</v>
      </c>
      <c r="I20">
        <v>135.340057</v>
      </c>
    </row>
    <row r="21" spans="1:9" x14ac:dyDescent="0.4">
      <c r="A21" t="s">
        <v>126</v>
      </c>
      <c r="B21" t="s">
        <v>349</v>
      </c>
      <c r="C21" t="str">
        <f t="shared" si="0"/>
        <v>鳥取県鳥取市</v>
      </c>
      <c r="D21" s="2" t="str">
        <f t="shared" si="7"/>
        <v>http://geocode.csis.u-tokyo.ac.jp/cgi-bin/simple_geocode.cgi?charset=UTF8&amp;addr=%E9%B3%A5%E5%8F%96%E7%9C%8C%E9%B3%A5%E5%8F%96%E5%B8%82</v>
      </c>
      <c r="E21" t="str">
        <f t="shared" si="8"/>
        <v xml:space="preserve">&lt;?xml version="1.0" encoding="UTF-8" ?&gt;
&lt;results&gt;
&lt;query&gt;鳥取県鳥取市&lt;/query&gt;
&lt;geodetic&gt;wgs1984&lt;/geodetic&gt;
&lt;iConf&gt;5&lt;/iConf&gt;
&lt;converted&gt;鳥取県鳥取市&lt;/converted&gt;
&lt;candidate&gt;
&lt;address&gt;鳥取県/鳥取市&lt;/address&gt;
&lt;longitude&gt;134.235092&lt;/longitude&gt;
&lt;latitude&gt;35.501133&lt;/latitude&gt;
&lt;iLvl&gt;3&lt;/iLvl&gt;
&lt;/candidate&gt;
&lt;/results&gt;
</v>
      </c>
      <c r="F21" cm="1">
        <f t="array" ref="F21">INDEX(_xlfn.FILTERXML(E21,"//latitude"),1)</f>
        <v>35.501133000000003</v>
      </c>
      <c r="G21" cm="1">
        <f t="array" ref="G21">INDEX(_xlfn.FILTERXML(E21,"//longitude"),1)</f>
        <v>134.23509200000001</v>
      </c>
      <c r="H21">
        <v>35.501133000000003</v>
      </c>
      <c r="I21">
        <v>134.23509200000001</v>
      </c>
    </row>
    <row r="22" spans="1:9" x14ac:dyDescent="0.4">
      <c r="A22" t="s">
        <v>19</v>
      </c>
      <c r="B22" t="s">
        <v>537</v>
      </c>
      <c r="C22" t="str">
        <f t="shared" si="0"/>
        <v>福岡県大牟田市天領町１丁目</v>
      </c>
      <c r="D22" s="2" t="str">
        <f t="shared" si="7"/>
        <v>http://geocode.csis.u-tokyo.ac.jp/cgi-bin/simple_geocode.cgi?charset=UTF8&amp;addr=%E7%A6%8F%E5%B2%A1%E7%9C%8C%E5%A4%A7%E7%89%9F%E7%94%B0%E5%B8%82%E5%A4%A9%E9%A0%98%E7%94%BA%EF%BC%91%E4%B8%81%E7%9B%AE</v>
      </c>
      <c r="E22" t="str">
        <f t="shared" si="8"/>
        <v xml:space="preserve">&lt;?xml version="1.0" encoding="UTF-8" ?&gt;
&lt;results&gt;
&lt;query&gt;福岡県大牟田市天領町１丁目&lt;/query&gt;
&lt;geodetic&gt;wgs1984&lt;/geodetic&gt;
&lt;iConf&gt;5&lt;/iConf&gt;
&lt;converted&gt;福岡県大牟田市天領町１丁目&lt;/converted&gt;
&lt;candidate&gt;
&lt;address&gt;福岡県/大牟田市/天領町/一丁目&lt;/address&gt;
&lt;longitude&gt;130.435364&lt;/longitude&gt;
&lt;latitude&gt;33.017662&lt;/latitude&gt;
&lt;iLvl&gt;6&lt;/iLvl&gt;
&lt;/candidate&gt;
&lt;/results&gt;
</v>
      </c>
      <c r="F22" cm="1">
        <f t="array" ref="F22">INDEX(_xlfn.FILTERXML(E22,"//latitude"),1)</f>
        <v>33.017662000000001</v>
      </c>
      <c r="G22" cm="1">
        <f t="array" ref="G22">INDEX(_xlfn.FILTERXML(E22,"//longitude"),1)</f>
        <v>130.43536399999999</v>
      </c>
      <c r="H22">
        <v>33.017662000000001</v>
      </c>
      <c r="I22">
        <v>130.43536399999999</v>
      </c>
    </row>
    <row r="23" spans="1:9" x14ac:dyDescent="0.4">
      <c r="A23" t="s">
        <v>9</v>
      </c>
      <c r="B23" t="s">
        <v>77</v>
      </c>
      <c r="C23" t="str">
        <f t="shared" si="0"/>
        <v>東京都荒川区</v>
      </c>
      <c r="D23" s="2" t="str">
        <f t="shared" si="7"/>
        <v>http://geocode.csis.u-tokyo.ac.jp/cgi-bin/simple_geocode.cgi?charset=UTF8&amp;addr=%E6%9D%B1%E4%BA%AC%E9%83%BD%E8%8D%92%E5%B7%9D%E5%8C%BA</v>
      </c>
      <c r="E23" t="str">
        <f t="shared" si="8"/>
        <v xml:space="preserve">&lt;?xml version="1.0" encoding="UTF-8" ?&gt;
&lt;results&gt;
&lt;query&gt;東京都荒川区&lt;/query&gt;
&lt;geodetic&gt;wgs1984&lt;/geodetic&gt;
&lt;iConf&gt;5&lt;/iConf&gt;
&lt;converted&gt;東京都荒川区&lt;/converted&gt;
&lt;candidate&gt;
&lt;address&gt;東京都/荒川区&lt;/address&gt;
&lt;longitude&gt;139.783371&lt;/longitude&gt;
&lt;latitude&gt;35.736084&lt;/latitude&gt;
&lt;iLvl&gt;3&lt;/iLvl&gt;
&lt;/candidate&gt;
&lt;/results&gt;
</v>
      </c>
      <c r="F23" cm="1">
        <f t="array" ref="F23">INDEX(_xlfn.FILTERXML(E23,"//latitude"),1)</f>
        <v>35.736083999999998</v>
      </c>
      <c r="G23" cm="1">
        <f t="array" ref="G23">INDEX(_xlfn.FILTERXML(E23,"//longitude"),1)</f>
        <v>139.78337099999999</v>
      </c>
      <c r="H23">
        <v>35.736083999999998</v>
      </c>
      <c r="I23">
        <v>139.78337099999999</v>
      </c>
    </row>
    <row r="24" spans="1:9" x14ac:dyDescent="0.4">
      <c r="A24" t="s">
        <v>17</v>
      </c>
      <c r="B24" t="s">
        <v>538</v>
      </c>
      <c r="C24" t="str">
        <f t="shared" si="0"/>
        <v>滋賀県守山市播磨田町</v>
      </c>
      <c r="D24" s="2" t="str">
        <f t="shared" ref="D24:D44" si="9" xml:space="preserve"> "http://geocode.csis.u-tokyo.ac.jp/cgi-bin/simple_geocode.cgi?charset=UTF8&amp;addr=" &amp; _xlfn.ENCODEURL(C24)</f>
        <v>http://geocode.csis.u-tokyo.ac.jp/cgi-bin/simple_geocode.cgi?charset=UTF8&amp;addr=%E6%BB%8B%E8%B3%80%E7%9C%8C%E5%AE%88%E5%B1%B1%E5%B8%82%E6%92%AD%E7%A3%A8%E7%94%B0%E7%94%BA</v>
      </c>
      <c r="E24" t="str">
        <f t="shared" ref="E24:E44" si="10" xml:space="preserve"> _xlfn.WEBSERVICE(D24)</f>
        <v xml:space="preserve">&lt;?xml version="1.0" encoding="UTF-8" ?&gt;
&lt;results&gt;
&lt;query&gt;滋賀県守山市播磨田町&lt;/query&gt;
&lt;geodetic&gt;wgs1984&lt;/geodetic&gt;
&lt;iConf&gt;5&lt;/iConf&gt;
&lt;converted&gt;滋賀県守山市播磨田町&lt;/converted&gt;
&lt;candidate&gt;
&lt;address&gt;滋賀県/守山市/播磨田町&lt;/address&gt;
&lt;longitude&gt;135.989166&lt;/longitude&gt;
&lt;latitude&gt;35.072407&lt;/latitude&gt;
&lt;iLvl&gt;5&lt;/iLvl&gt;
&lt;/candidate&gt;
&lt;/results&gt;
</v>
      </c>
      <c r="F24" cm="1">
        <f t="array" ref="F24">INDEX(_xlfn.FILTERXML(E24,"//latitude"),1)</f>
        <v>35.072406999999998</v>
      </c>
      <c r="G24" cm="1">
        <f t="array" ref="G24">INDEX(_xlfn.FILTERXML(E24,"//longitude"),1)</f>
        <v>135.98916600000001</v>
      </c>
      <c r="H24">
        <v>35.072406999999998</v>
      </c>
      <c r="I24">
        <v>135.98916600000001</v>
      </c>
    </row>
    <row r="25" spans="1:9" x14ac:dyDescent="0.4">
      <c r="A25" t="s">
        <v>16</v>
      </c>
      <c r="B25" t="s">
        <v>388</v>
      </c>
      <c r="C25" t="str">
        <f t="shared" si="0"/>
        <v>千葉県鴨川市</v>
      </c>
      <c r="D25" s="2" t="str">
        <f t="shared" si="9"/>
        <v>http://geocode.csis.u-tokyo.ac.jp/cgi-bin/simple_geocode.cgi?charset=UTF8&amp;addr=%E5%8D%83%E8%91%89%E7%9C%8C%E9%B4%A8%E5%B7%9D%E5%B8%82</v>
      </c>
      <c r="E25" t="str">
        <f t="shared" si="10"/>
        <v xml:space="preserve">&lt;?xml version="1.0" encoding="UTF-8" ?&gt;
&lt;results&gt;
&lt;query&gt;千葉県鴨川市&lt;/query&gt;
&lt;geodetic&gt;wgs1984&lt;/geodetic&gt;
&lt;iConf&gt;5&lt;/iConf&gt;
&lt;converted&gt;千葉県鴨川市&lt;/converted&gt;
&lt;candidate&gt;
&lt;address&gt;千葉県/鴨川市&lt;/address&gt;
&lt;longitude&gt;140.098801&lt;/longitude&gt;
&lt;latitude&gt;35.114017&lt;/latitude&gt;
&lt;iLvl&gt;3&lt;/iLvl&gt;
&lt;/candidate&gt;
&lt;/results&gt;
</v>
      </c>
      <c r="F25" cm="1">
        <f t="array" ref="F25">INDEX(_xlfn.FILTERXML(E25,"//latitude"),1)</f>
        <v>35.114016999999997</v>
      </c>
      <c r="G25" cm="1">
        <f t="array" ref="G25">INDEX(_xlfn.FILTERXML(E25,"//longitude"),1)</f>
        <v>140.09880100000001</v>
      </c>
      <c r="H25">
        <v>35.114016999999997</v>
      </c>
      <c r="I25">
        <v>140.09880100000001</v>
      </c>
    </row>
    <row r="26" spans="1:9" x14ac:dyDescent="0.4">
      <c r="A26" t="s">
        <v>281</v>
      </c>
      <c r="B26" t="s">
        <v>539</v>
      </c>
      <c r="C26" t="str">
        <f t="shared" si="0"/>
        <v>山口県下関市長府川端</v>
      </c>
      <c r="D26" s="2" t="str">
        <f t="shared" si="9"/>
        <v>http://geocode.csis.u-tokyo.ac.jp/cgi-bin/simple_geocode.cgi?charset=UTF8&amp;addr=%E5%B1%B1%E5%8F%A3%E7%9C%8C%E4%B8%8B%E9%96%A2%E5%B8%82%E9%95%B7%E5%BA%9C%E5%B7%9D%E7%AB%AF</v>
      </c>
      <c r="E26" t="str">
        <f t="shared" si="10"/>
        <v xml:space="preserve">&lt;?xml version="1.0" encoding="UTF-8" ?&gt;
&lt;results&gt;
&lt;query&gt;山口県下関市長府川端&lt;/query&gt;
&lt;geodetic&gt;wgs1984&lt;/geodetic&gt;
&lt;iConf&gt;5&lt;/iConf&gt;
&lt;converted&gt;山口県下関市長府川端&lt;/converted&gt;
&lt;candidate&gt;
&lt;address&gt;山口県/下関市/長府川端&lt;/address&gt;
&lt;longitude&gt;130.981888&lt;/longitude&gt;
&lt;latitude&gt;33.995686&lt;/latitude&gt;
&lt;iLvl&gt;5&lt;/iLvl&gt;
&lt;/candidate&gt;
&lt;/results&gt;
</v>
      </c>
      <c r="F26" cm="1">
        <f t="array" ref="F26">INDEX(_xlfn.FILTERXML(E26,"//latitude"),1)</f>
        <v>33.995685999999999</v>
      </c>
      <c r="G26" cm="1">
        <f t="array" ref="G26">INDEX(_xlfn.FILTERXML(E26,"//longitude"),1)</f>
        <v>130.981888</v>
      </c>
      <c r="H26">
        <v>33.995685999999999</v>
      </c>
      <c r="I26">
        <v>130.981888</v>
      </c>
    </row>
    <row r="27" spans="1:9" x14ac:dyDescent="0.4">
      <c r="A27" t="s">
        <v>9</v>
      </c>
      <c r="B27" t="s">
        <v>540</v>
      </c>
      <c r="C27" t="str">
        <f t="shared" si="0"/>
        <v>東京都千代田区外神田4-14-2</v>
      </c>
      <c r="D27" s="2" t="str">
        <f t="shared" si="9"/>
        <v>http://geocode.csis.u-tokyo.ac.jp/cgi-bin/simple_geocode.cgi?charset=UTF8&amp;addr=%E6%9D%B1%E4%BA%AC%E9%83%BD%E5%8D%83%E4%BB%A3%E7%94%B0%E5%8C%BA%E5%A4%96%E7%A5%9E%E7%94%B04-14-2</v>
      </c>
      <c r="E27" t="str">
        <f t="shared" si="10"/>
        <v xml:space="preserve">&lt;?xml version="1.0" encoding="UTF-8" ?&gt;
&lt;results&gt;
&lt;query&gt;東京都千代田区外神4-14-2&lt;/query&gt;
&lt;geodetic&gt;wgs1984&lt;/geodetic&gt;
&lt;iConf&gt;5&lt;/iConf&gt;
&lt;converted&gt;東京都千代田区外神田4-14-2&lt;/converted&gt;
&lt;candidate&gt;
&lt;address&gt;東京都/千代田区/外神田/四丁目/１４番/２号&lt;/address&gt;
&lt;longitude&gt;139.772064&lt;/longitude&gt;
&lt;latitude&gt;35.699837&lt;/latitude&gt;
&lt;iLvl&gt;8&lt;/iLvl&gt;
&lt;/candidate&gt;
&lt;/results&gt;
</v>
      </c>
      <c r="F27" cm="1">
        <f t="array" ref="F27">INDEX(_xlfn.FILTERXML(E27,"//latitude"),1)</f>
        <v>35.699837000000002</v>
      </c>
      <c r="G27" cm="1">
        <f t="array" ref="G27">INDEX(_xlfn.FILTERXML(E27,"//longitude"),1)</f>
        <v>139.772064</v>
      </c>
      <c r="H27">
        <v>35.699837000000002</v>
      </c>
      <c r="I27">
        <v>139.772064</v>
      </c>
    </row>
    <row r="28" spans="1:9" x14ac:dyDescent="0.4">
      <c r="A28" t="s">
        <v>18</v>
      </c>
      <c r="B28" t="s">
        <v>541</v>
      </c>
      <c r="C28" t="str">
        <f t="shared" si="0"/>
        <v>茨城県稲敷市月出里</v>
      </c>
      <c r="D28" s="2" t="str">
        <f t="shared" si="9"/>
        <v>http://geocode.csis.u-tokyo.ac.jp/cgi-bin/simple_geocode.cgi?charset=UTF8&amp;addr=%E8%8C%A8%E5%9F%8E%E7%9C%8C%E7%A8%B2%E6%95%B7%E5%B8%82%E6%9C%88%E5%87%BA%E9%87%8C</v>
      </c>
      <c r="E28" t="str">
        <f t="shared" si="10"/>
        <v xml:space="preserve">&lt;?xml version="1.0" encoding="UTF-8" ?&gt;
&lt;results&gt;
&lt;query&gt;茨城県稲敷市月出里&lt;/query&gt;
&lt;geodetic&gt;wgs1984&lt;/geodetic&gt;
&lt;iConf&gt;5&lt;/iConf&gt;
&lt;converted&gt;茨城県稲敷市月出里&lt;/converted&gt;
&lt;candidate&gt;
&lt;address&gt;茨城県/稲敷市/月出里&lt;/address&gt;
&lt;longitude&gt;140.270248&lt;/longitude&gt;
&lt;latitude&gt;35.971348&lt;/latitude&gt;
&lt;iLvl&gt;5&lt;/iLvl&gt;
&lt;/candidate&gt;
&lt;/results&gt;
</v>
      </c>
      <c r="F28" cm="1">
        <f t="array" ref="F28">INDEX(_xlfn.FILTERXML(E28,"//latitude"),1)</f>
        <v>35.971347999999999</v>
      </c>
      <c r="G28" cm="1">
        <f t="array" ref="G28">INDEX(_xlfn.FILTERXML(E28,"//longitude"),1)</f>
        <v>140.27024800000001</v>
      </c>
      <c r="H28">
        <v>35.971347999999999</v>
      </c>
      <c r="I28">
        <v>140.27024800000001</v>
      </c>
    </row>
    <row r="29" spans="1:9" x14ac:dyDescent="0.4">
      <c r="A29" t="s">
        <v>9</v>
      </c>
      <c r="B29" t="s">
        <v>542</v>
      </c>
      <c r="C29" t="str">
        <f t="shared" si="0"/>
        <v>東京都新宿区西新宿</v>
      </c>
      <c r="D29" s="2" t="str">
        <f t="shared" si="9"/>
        <v>http://geocode.csis.u-tokyo.ac.jp/cgi-bin/simple_geocode.cgi?charset=UTF8&amp;addr=%E6%9D%B1%E4%BA%AC%E9%83%BD%E6%96%B0%E5%AE%BF%E5%8C%BA%E8%A5%BF%E6%96%B0%E5%AE%BF</v>
      </c>
      <c r="E29" t="str">
        <f t="shared" si="10"/>
        <v xml:space="preserve">&lt;?xml version="1.0" encoding="UTF-8" ?&gt;
&lt;results&gt;
&lt;query&gt;東京都新宿区西新宿&lt;/query&gt;
&lt;geodetic&gt;wgs1984&lt;/geodetic&gt;
&lt;iConf&gt;5&lt;/iConf&gt;
&lt;converted&gt;東京都新宿区西新宿&lt;/converted&gt;
&lt;candidate&gt;
&lt;address&gt;東京都/新宿区/西新宿&lt;/address&gt;
&lt;longitude&gt;139.697495&lt;/longitude&gt;
&lt;latitude&gt;35.690384&lt;/latitude&gt;
&lt;iLvl&gt;5&lt;/iLvl&gt;
&lt;/candidate&gt;
&lt;/results&gt;
</v>
      </c>
      <c r="F29" cm="1">
        <f t="array" ref="F29">INDEX(_xlfn.FILTERXML(E29,"//latitude"),1)</f>
        <v>35.690384000000002</v>
      </c>
      <c r="G29" cm="1">
        <f t="array" ref="G29">INDEX(_xlfn.FILTERXML(E29,"//longitude"),1)</f>
        <v>139.697495</v>
      </c>
      <c r="H29">
        <v>35.690384000000002</v>
      </c>
      <c r="I29">
        <v>139.697495</v>
      </c>
    </row>
    <row r="30" spans="1:9" x14ac:dyDescent="0.4">
      <c r="A30" t="s">
        <v>13</v>
      </c>
      <c r="B30" t="s">
        <v>39</v>
      </c>
      <c r="C30" t="str">
        <f t="shared" si="0"/>
        <v>兵庫県神戸市北区幸陽町</v>
      </c>
      <c r="D30" s="2" t="str">
        <f t="shared" si="9"/>
        <v>http://geocode.csis.u-tokyo.ac.jp/cgi-bin/simple_geocode.cgi?charset=UTF8&amp;addr=%E5%85%B5%E5%BA%AB%E7%9C%8C%E7%A5%9E%E6%88%B8%E5%B8%82%E5%8C%97%E5%8C%BA%E5%B9%B8%E9%99%BD%E7%94%BA</v>
      </c>
      <c r="E30" t="str">
        <f t="shared" si="10"/>
        <v xml:space="preserve">&lt;?xml version="1.0" encoding="UTF-8" ?&gt;
&lt;results&gt;
&lt;query&gt;兵庫県神戸市北区幸陽町&lt;/query&gt;
&lt;geodetic&gt;wgs1984&lt;/geodetic&gt;
&lt;iConf&gt;5&lt;/iConf&gt;
&lt;converted&gt;兵庫県神戸市北区幸陽町&lt;/converted&gt;
&lt;candidate&gt;
&lt;address&gt;兵庫県/神戸市/北区/幸陽町&lt;/address&gt;
&lt;longitude&gt;135.188141&lt;/longitude&gt;
&lt;latitude&gt;34.768440&lt;/latitude&gt;
&lt;iLvl&gt;5&lt;/iLvl&gt;
&lt;/candidate&gt;
&lt;/results&gt;
</v>
      </c>
      <c r="F30" cm="1">
        <f t="array" ref="F30">INDEX(_xlfn.FILTERXML(E30,"//latitude"),1)</f>
        <v>34.768439999999998</v>
      </c>
      <c r="G30" cm="1">
        <f t="array" ref="G30">INDEX(_xlfn.FILTERXML(E30,"//longitude"),1)</f>
        <v>135.188141</v>
      </c>
      <c r="H30">
        <v>34.768439999999998</v>
      </c>
      <c r="I30">
        <v>135.188141</v>
      </c>
    </row>
    <row r="31" spans="1:9" x14ac:dyDescent="0.4">
      <c r="A31" t="s">
        <v>14</v>
      </c>
      <c r="B31" t="s">
        <v>76</v>
      </c>
      <c r="C31" t="str">
        <f t="shared" si="0"/>
        <v>長野県長野市平林</v>
      </c>
      <c r="D31" s="2" t="str">
        <f t="shared" si="9"/>
        <v>http://geocode.csis.u-tokyo.ac.jp/cgi-bin/simple_geocode.cgi?charset=UTF8&amp;addr=%E9%95%B7%E9%87%8E%E7%9C%8C%E9%95%B7%E9%87%8E%E5%B8%82%E5%B9%B3%E6%9E%97</v>
      </c>
      <c r="E31" t="str">
        <f t="shared" si="10"/>
        <v xml:space="preserve">&lt;?xml version="1.0" encoding="UTF-8" ?&gt;
&lt;results&gt;
&lt;query&gt;長野県長野市平林&lt;/query&gt;
&lt;geodetic&gt;wgs1984&lt;/geodetic&gt;
&lt;iConf&gt;5&lt;/iConf&gt;
&lt;converted&gt;長野県長野市平林&lt;/converted&gt;
&lt;candidate&gt;
&lt;address&gt;長野県/長野市/平林&lt;/address&gt;
&lt;longitude&gt;138.210388&lt;/longitude&gt;
&lt;latitude&gt;36.649807&lt;/latitude&gt;
&lt;iLvl&gt;5&lt;/iLvl&gt;
&lt;/candidate&gt;
&lt;/results&gt;
</v>
      </c>
      <c r="F31" cm="1">
        <f t="array" ref="F31">INDEX(_xlfn.FILTERXML(E31,"//latitude"),1)</f>
        <v>36.649807000000003</v>
      </c>
      <c r="G31" cm="1">
        <f t="array" ref="G31">INDEX(_xlfn.FILTERXML(E31,"//longitude"),1)</f>
        <v>138.21038799999999</v>
      </c>
      <c r="H31">
        <v>36.649807000000003</v>
      </c>
      <c r="I31">
        <v>138.21038799999999</v>
      </c>
    </row>
    <row r="32" spans="1:9" x14ac:dyDescent="0.4">
      <c r="A32" t="s">
        <v>9</v>
      </c>
      <c r="B32" t="s">
        <v>77</v>
      </c>
      <c r="C32" t="str">
        <f t="shared" si="0"/>
        <v>東京都荒川区</v>
      </c>
      <c r="D32" s="2" t="str">
        <f t="shared" si="9"/>
        <v>http://geocode.csis.u-tokyo.ac.jp/cgi-bin/simple_geocode.cgi?charset=UTF8&amp;addr=%E6%9D%B1%E4%BA%AC%E9%83%BD%E8%8D%92%E5%B7%9D%E5%8C%BA</v>
      </c>
      <c r="E32" t="str">
        <f t="shared" si="10"/>
        <v xml:space="preserve">&lt;?xml version="1.0" encoding="UTF-8" ?&gt;
&lt;results&gt;
&lt;query&gt;東京都荒川区&lt;/query&gt;
&lt;geodetic&gt;wgs1984&lt;/geodetic&gt;
&lt;iConf&gt;5&lt;/iConf&gt;
&lt;converted&gt;東京都荒川区&lt;/converted&gt;
&lt;candidate&gt;
&lt;address&gt;東京都/荒川区&lt;/address&gt;
&lt;longitude&gt;139.783371&lt;/longitude&gt;
&lt;latitude&gt;35.736084&lt;/latitude&gt;
&lt;iLvl&gt;3&lt;/iLvl&gt;
&lt;/candidate&gt;
&lt;/results&gt;
</v>
      </c>
      <c r="F32" cm="1">
        <f t="array" ref="F32">INDEX(_xlfn.FILTERXML(E32,"//latitude"),1)</f>
        <v>35.736083999999998</v>
      </c>
      <c r="G32" cm="1">
        <f t="array" ref="G32">INDEX(_xlfn.FILTERXML(E32,"//longitude"),1)</f>
        <v>139.78337099999999</v>
      </c>
      <c r="H32">
        <v>35.736083999999998</v>
      </c>
      <c r="I32">
        <v>139.78337099999999</v>
      </c>
    </row>
    <row r="33" spans="1:9" x14ac:dyDescent="0.4">
      <c r="A33" t="s">
        <v>31</v>
      </c>
      <c r="B33" t="s">
        <v>78</v>
      </c>
      <c r="C33" t="str">
        <f t="shared" si="0"/>
        <v>北海道上川郡東川町</v>
      </c>
      <c r="D33" s="2" t="str">
        <f t="shared" si="9"/>
        <v>http://geocode.csis.u-tokyo.ac.jp/cgi-bin/simple_geocode.cgi?charset=UTF8&amp;addr=%E5%8C%97%E6%B5%B7%E9%81%93%E4%B8%8A%E5%B7%9D%E9%83%A1%E6%9D%B1%E5%B7%9D%E7%94%BA</v>
      </c>
      <c r="E33" t="str">
        <f t="shared" si="10"/>
        <v xml:space="preserve">&lt;?xml version="1.0" encoding="UTF-8" ?&gt;
&lt;results&gt;
&lt;query&gt;北海道上川郡東川町&lt;/query&gt;
&lt;geodetic&gt;wgs1984&lt;/geodetic&gt;
&lt;iConf&gt;5&lt;/iConf&gt;
&lt;converted&gt;北海道上川郡東川町&lt;/converted&gt;
&lt;candidate&gt;
&lt;address&gt;北海道/上川郡/東川町&lt;/address&gt;
&lt;longitude&gt;142.510132&lt;/longitude&gt;
&lt;latitude&gt;43.698875&lt;/latitude&gt;
&lt;iLvl&gt;3&lt;/iLvl&gt;
&lt;/candidate&gt;
&lt;/results&gt;
</v>
      </c>
      <c r="F33" cm="1">
        <f t="array" ref="F33">INDEX(_xlfn.FILTERXML(E33,"//latitude"),1)</f>
        <v>43.698875000000001</v>
      </c>
      <c r="G33" cm="1">
        <f t="array" ref="G33">INDEX(_xlfn.FILTERXML(E33,"//longitude"),1)</f>
        <v>142.510132</v>
      </c>
      <c r="H33">
        <v>43.698875000000001</v>
      </c>
      <c r="I33">
        <v>142.510132</v>
      </c>
    </row>
    <row r="34" spans="1:9" x14ac:dyDescent="0.4">
      <c r="A34" t="s">
        <v>11</v>
      </c>
      <c r="B34" t="s">
        <v>79</v>
      </c>
      <c r="C34" t="str">
        <f t="shared" si="0"/>
        <v>大阪府豊中市</v>
      </c>
      <c r="D34" s="2" t="str">
        <f t="shared" si="9"/>
        <v>http://geocode.csis.u-tokyo.ac.jp/cgi-bin/simple_geocode.cgi?charset=UTF8&amp;addr=%E5%A4%A7%E9%98%AA%E5%BA%9C%E8%B1%8A%E4%B8%AD%E5%B8%82</v>
      </c>
      <c r="E34" t="str">
        <f t="shared" si="10"/>
        <v xml:space="preserve">&lt;?xml version="1.0" encoding="UTF-8" ?&gt;
&lt;results&gt;
&lt;query&gt;大阪府豊中市&lt;/query&gt;
&lt;geodetic&gt;wgs1984&lt;/geodetic&gt;
&lt;iConf&gt;5&lt;/iConf&gt;
&lt;converted&gt;大阪府豊中市&lt;/converted&gt;
&lt;candidate&gt;
&lt;address&gt;大阪府/豊中市&lt;/address&gt;
&lt;longitude&gt;135.469894&lt;/longitude&gt;
&lt;latitude&gt;34.781239&lt;/latitude&gt;
&lt;iLvl&gt;3&lt;/iLvl&gt;
&lt;/candidate&gt;
&lt;/results&gt;
</v>
      </c>
      <c r="F34" cm="1">
        <f t="array" ref="F34">INDEX(_xlfn.FILTERXML(E34,"//latitude"),1)</f>
        <v>34.781238999999999</v>
      </c>
      <c r="G34" cm="1">
        <f t="array" ref="G34">INDEX(_xlfn.FILTERXML(E34,"//longitude"),1)</f>
        <v>135.46989400000001</v>
      </c>
      <c r="H34">
        <v>34.781238999999999</v>
      </c>
      <c r="I34">
        <v>135.46989400000001</v>
      </c>
    </row>
    <row r="35" spans="1:9" x14ac:dyDescent="0.4">
      <c r="A35" t="s">
        <v>13</v>
      </c>
      <c r="B35" t="s">
        <v>80</v>
      </c>
      <c r="C35" t="str">
        <f t="shared" si="0"/>
        <v>兵庫県宝塚市すみれが丘3-6-1-112</v>
      </c>
      <c r="D35" s="2" t="str">
        <f t="shared" si="9"/>
        <v>http://geocode.csis.u-tokyo.ac.jp/cgi-bin/simple_geocode.cgi?charset=UTF8&amp;addr=%E5%85%B5%E5%BA%AB%E7%9C%8C%E5%AE%9D%E5%A1%9A%E5%B8%82%E3%81%99%E3%81%BF%E3%82%8C%E3%81%8C%E4%B8%983-6-1-112</v>
      </c>
      <c r="E35" t="str">
        <f t="shared" si="10"/>
        <v xml:space="preserve">&lt;?xml version="1.0" encoding="UTF-8" ?&gt;
&lt;results&gt;
&lt;query&gt;兵庫県宝塚市すみれが丘3-6-1-112&lt;/query&gt;
&lt;geodetic&gt;wgs1984&lt;/geodetic&gt;
&lt;iConf&gt;5&lt;/iConf&gt;
&lt;converted&gt;兵庫県宝塚市すみれが丘3-6-&lt;/converted&gt;
&lt;candidate&gt;
&lt;address&gt;兵庫県/宝塚市/すみれガ丘/三丁目/６番&lt;/address&gt;
&lt;longitude&gt;135.345108&lt;/longitude&gt;
&lt;latitude&gt;34.823956&lt;/latitude&gt;
&lt;iLvl&gt;7&lt;/iLvl&gt;
&lt;/candidate&gt;
&lt;/results&gt;
</v>
      </c>
      <c r="F35" cm="1">
        <f t="array" ref="F35">INDEX(_xlfn.FILTERXML(E35,"//latitude"),1)</f>
        <v>34.823956000000003</v>
      </c>
      <c r="G35" cm="1">
        <f t="array" ref="G35">INDEX(_xlfn.FILTERXML(E35,"//longitude"),1)</f>
        <v>135.34510800000001</v>
      </c>
      <c r="H35">
        <v>34.823956000000003</v>
      </c>
      <c r="I35">
        <v>135.34510800000001</v>
      </c>
    </row>
    <row r="36" spans="1:9" x14ac:dyDescent="0.4">
      <c r="A36" t="s">
        <v>16</v>
      </c>
      <c r="B36" t="s">
        <v>81</v>
      </c>
      <c r="C36" t="str">
        <f t="shared" si="0"/>
        <v>千葉県千葉市中央区神明町205-1</v>
      </c>
      <c r="D36" s="2" t="str">
        <f t="shared" si="9"/>
        <v>http://geocode.csis.u-tokyo.ac.jp/cgi-bin/simple_geocode.cgi?charset=UTF8&amp;addr=%E5%8D%83%E8%91%89%E7%9C%8C%E5%8D%83%E8%91%89%E5%B8%82%E4%B8%AD%E5%A4%AE%E5%8C%BA%E7%A5%9E%E6%98%8E%E7%94%BA205-1</v>
      </c>
      <c r="E36" t="str">
        <f t="shared" si="10"/>
        <v xml:space="preserve">&lt;?xml version="1.0" encoding="UTF-8" ?&gt;
&lt;results&gt;
&lt;query&gt;千葉県千葉市中央区神明町205-1&lt;/query&gt;
&lt;geodetic&gt;wgs1984&lt;/geodetic&gt;
&lt;iConf&gt;5&lt;/iConf&gt;
&lt;converted&gt;千葉県千葉市中央区神明町205-&lt;/converted&gt;
&lt;candidate&gt;
&lt;address&gt;千葉県/千葉市/中央区/神明町/２０５番地&lt;/address&gt;
&lt;longitude&gt;140.116501&lt;/longitude&gt;
&lt;latitude&gt;35.604282&lt;/latitude&gt;
&lt;iLvl&gt;7&lt;/iLvl&gt;
&lt;/candidate&gt;
&lt;/results&gt;
</v>
      </c>
      <c r="F36" cm="1">
        <f t="array" ref="F36">INDEX(_xlfn.FILTERXML(E36,"//latitude"),1)</f>
        <v>35.604281999999998</v>
      </c>
      <c r="G36" cm="1">
        <f t="array" ref="G36">INDEX(_xlfn.FILTERXML(E36,"//longitude"),1)</f>
        <v>140.116501</v>
      </c>
      <c r="H36">
        <v>35.604281999999998</v>
      </c>
      <c r="I36">
        <v>140.116501</v>
      </c>
    </row>
    <row r="37" spans="1:9" x14ac:dyDescent="0.4">
      <c r="A37" t="s">
        <v>82</v>
      </c>
      <c r="B37" t="s">
        <v>83</v>
      </c>
      <c r="C37" t="str">
        <f t="shared" si="0"/>
        <v>青森県青森市浜田</v>
      </c>
      <c r="D37" s="2" t="str">
        <f t="shared" si="9"/>
        <v>http://geocode.csis.u-tokyo.ac.jp/cgi-bin/simple_geocode.cgi?charset=UTF8&amp;addr=%E9%9D%92%E6%A3%AE%E7%9C%8C%E9%9D%92%E6%A3%AE%E5%B8%82%E6%B5%9C%E7%94%B0</v>
      </c>
      <c r="E37" t="str">
        <f t="shared" si="10"/>
        <v xml:space="preserve">&lt;?xml version="1.0" encoding="UTF-8" ?&gt;
&lt;results&gt;
&lt;query&gt;青森県青森市浜田&lt;/query&gt;
&lt;geodetic&gt;wgs1984&lt;/geodetic&gt;
&lt;iConf&gt;5&lt;/iConf&gt;
&lt;converted&gt;青森県青森市浜田&lt;/converted&gt;
&lt;candidate&gt;
&lt;address&gt;青森県/青森市/大字浜田&lt;/address&gt;
&lt;longitude&gt;140.752319&lt;/longitude&gt;
&lt;latitude&gt;40.798389&lt;/latitude&gt;
&lt;iLvl&gt;5&lt;/iLvl&gt;
&lt;/candidate&gt;
&lt;/results&gt;
</v>
      </c>
      <c r="F37" cm="1">
        <f t="array" ref="F37">INDEX(_xlfn.FILTERXML(E37,"//latitude"),1)</f>
        <v>40.798389</v>
      </c>
      <c r="G37" cm="1">
        <f t="array" ref="G37">INDEX(_xlfn.FILTERXML(E37,"//longitude"),1)</f>
        <v>140.752319</v>
      </c>
      <c r="H37">
        <v>40.798389</v>
      </c>
      <c r="I37">
        <v>140.752319</v>
      </c>
    </row>
    <row r="38" spans="1:9" x14ac:dyDescent="0.4">
      <c r="A38" t="s">
        <v>12</v>
      </c>
      <c r="B38" t="s">
        <v>84</v>
      </c>
      <c r="C38" t="str">
        <f t="shared" si="0"/>
        <v>埼玉県戸田市川岸</v>
      </c>
      <c r="D38" s="2" t="str">
        <f t="shared" si="9"/>
        <v>http://geocode.csis.u-tokyo.ac.jp/cgi-bin/simple_geocode.cgi?charset=UTF8&amp;addr=%E5%9F%BC%E7%8E%89%E7%9C%8C%E6%88%B8%E7%94%B0%E5%B8%82%E5%B7%9D%E5%B2%B8</v>
      </c>
      <c r="E38" t="str">
        <f t="shared" si="10"/>
        <v xml:space="preserve">&lt;?xml version="1.0" encoding="UTF-8" ?&gt;
&lt;results&gt;
&lt;query&gt;埼玉県戸田市川岸&lt;/query&gt;
&lt;geodetic&gt;wgs1984&lt;/geodetic&gt;
&lt;iConf&gt;5&lt;/iConf&gt;
&lt;converted&gt;埼玉県戸田市川岸&lt;/converted&gt;
&lt;candidate&gt;
&lt;address&gt;埼玉県/戸田市/川岸&lt;/address&gt;
&lt;longitude&gt;139.689407&lt;/longitude&gt;
&lt;latitude&gt;35.802563&lt;/latitude&gt;
&lt;iLvl&gt;5&lt;/iLvl&gt;
&lt;/candidate&gt;
&lt;/results&gt;
</v>
      </c>
      <c r="F38" cm="1">
        <f t="array" ref="F38">INDEX(_xlfn.FILTERXML(E38,"//latitude"),1)</f>
        <v>35.802562999999999</v>
      </c>
      <c r="G38" cm="1">
        <f t="array" ref="G38">INDEX(_xlfn.FILTERXML(E38,"//longitude"),1)</f>
        <v>139.68940699999999</v>
      </c>
      <c r="H38">
        <v>35.802562999999999</v>
      </c>
      <c r="I38">
        <v>139.68940699999999</v>
      </c>
    </row>
    <row r="39" spans="1:9" x14ac:dyDescent="0.4">
      <c r="A39" t="s">
        <v>85</v>
      </c>
      <c r="B39" t="s">
        <v>86</v>
      </c>
      <c r="C39" t="str">
        <f t="shared" si="0"/>
        <v>奈良県生駒郡三郷町</v>
      </c>
      <c r="D39" s="2" t="str">
        <f t="shared" si="9"/>
        <v>http://geocode.csis.u-tokyo.ac.jp/cgi-bin/simple_geocode.cgi?charset=UTF8&amp;addr=%E5%A5%88%E8%89%AF%E7%9C%8C%E7%94%9F%E9%A7%92%E9%83%A1%E4%B8%89%E9%83%B7%E7%94%BA</v>
      </c>
      <c r="E39" t="str">
        <f t="shared" si="10"/>
        <v xml:space="preserve">&lt;?xml version="1.0" encoding="UTF-8" ?&gt;
&lt;results&gt;
&lt;query&gt;奈良県生駒郡三郷町&lt;/query&gt;
&lt;geodetic&gt;wgs1984&lt;/geodetic&gt;
&lt;iConf&gt;5&lt;/iConf&gt;
&lt;converted&gt;奈良県生駒郡三郷町&lt;/converted&gt;
&lt;candidate&gt;
&lt;address&gt;奈良県/生駒郡/三郷町&lt;/address&gt;
&lt;longitude&gt;135.695419&lt;/longitude&gt;
&lt;latitude&gt;34.599976&lt;/latitude&gt;
&lt;iLvl&gt;3&lt;/iLvl&gt;
&lt;/candidate&gt;
&lt;/results&gt;
</v>
      </c>
      <c r="F39" cm="1">
        <f t="array" ref="F39">INDEX(_xlfn.FILTERXML(E39,"//latitude"),1)</f>
        <v>34.599975999999998</v>
      </c>
      <c r="G39" cm="1">
        <f t="array" ref="G39">INDEX(_xlfn.FILTERXML(E39,"//longitude"),1)</f>
        <v>135.69541899999999</v>
      </c>
      <c r="H39">
        <v>34.599975999999998</v>
      </c>
      <c r="I39">
        <v>135.69541899999999</v>
      </c>
    </row>
    <row r="40" spans="1:9" x14ac:dyDescent="0.4">
      <c r="A40" t="s">
        <v>9</v>
      </c>
      <c r="B40" t="s">
        <v>87</v>
      </c>
      <c r="C40" t="str">
        <f t="shared" si="0"/>
        <v>東京都中央区勝どき</v>
      </c>
      <c r="D40" s="2" t="str">
        <f t="shared" si="9"/>
        <v>http://geocode.csis.u-tokyo.ac.jp/cgi-bin/simple_geocode.cgi?charset=UTF8&amp;addr=%E6%9D%B1%E4%BA%AC%E9%83%BD%E4%B8%AD%E5%A4%AE%E5%8C%BA%E5%8B%9D%E3%81%A9%E3%81%8D</v>
      </c>
      <c r="E40" t="str">
        <f t="shared" si="10"/>
        <v xml:space="preserve">&lt;?xml version="1.0" encoding="UTF-8" ?&gt;
&lt;results&gt;
&lt;query&gt;東京都中央区勝どき&lt;/query&gt;
&lt;geodetic&gt;wgs1984&lt;/geodetic&gt;
&lt;iConf&gt;5&lt;/iConf&gt;
&lt;converted&gt;東京都中央区勝どき&lt;/converted&gt;
&lt;candidate&gt;
&lt;address&gt;東京都/中央区/勝どき&lt;/address&gt;
&lt;longitude&gt;139.776474&lt;/longitude&gt;
&lt;latitude&gt;35.660709&lt;/latitude&gt;
&lt;iLvl&gt;5&lt;/iLvl&gt;
&lt;/candidate&gt;
&lt;/results&gt;
</v>
      </c>
      <c r="F40" cm="1">
        <f t="array" ref="F40">INDEX(_xlfn.FILTERXML(E40,"//latitude"),1)</f>
        <v>35.660708999999997</v>
      </c>
      <c r="G40" cm="1">
        <f t="array" ref="G40">INDEX(_xlfn.FILTERXML(E40,"//longitude"),1)</f>
        <v>139.77647400000001</v>
      </c>
      <c r="H40">
        <v>35.660708999999997</v>
      </c>
      <c r="I40">
        <v>139.77647400000001</v>
      </c>
    </row>
    <row r="41" spans="1:9" x14ac:dyDescent="0.4">
      <c r="A41" t="s">
        <v>9</v>
      </c>
      <c r="B41" t="s">
        <v>88</v>
      </c>
      <c r="C41" t="str">
        <f t="shared" si="0"/>
        <v>東京都調布市</v>
      </c>
      <c r="D41" s="2" t="str">
        <f t="shared" si="9"/>
        <v>http://geocode.csis.u-tokyo.ac.jp/cgi-bin/simple_geocode.cgi?charset=UTF8&amp;addr=%E6%9D%B1%E4%BA%AC%E9%83%BD%E8%AA%BF%E5%B8%83%E5%B8%82</v>
      </c>
      <c r="E41" t="str">
        <f t="shared" si="10"/>
        <v xml:space="preserve">&lt;?xml version="1.0" encoding="UTF-8" ?&gt;
&lt;results&gt;
&lt;query&gt;東京都調布市&lt;/query&gt;
&lt;geodetic&gt;wgs1984&lt;/geodetic&gt;
&lt;iConf&gt;5&lt;/iConf&gt;
&lt;converted&gt;東京都調布市&lt;/converted&gt;
&lt;candidate&gt;
&lt;address&gt;東京都/調布市&lt;/address&gt;
&lt;longitude&gt;139.540680&lt;/longitude&gt;
&lt;latitude&gt;35.650627&lt;/latitude&gt;
&lt;iLvl&gt;3&lt;/iLvl&gt;
&lt;/candidate&gt;
&lt;/results&gt;
</v>
      </c>
      <c r="F41" cm="1">
        <f t="array" ref="F41">INDEX(_xlfn.FILTERXML(E41,"//latitude"),1)</f>
        <v>35.650627</v>
      </c>
      <c r="G41" cm="1">
        <f t="array" ref="G41">INDEX(_xlfn.FILTERXML(E41,"//longitude"),1)</f>
        <v>139.54068000000001</v>
      </c>
      <c r="H41">
        <v>35.650627</v>
      </c>
      <c r="I41">
        <v>139.54068000000001</v>
      </c>
    </row>
    <row r="42" spans="1:9" x14ac:dyDescent="0.4">
      <c r="A42" t="s">
        <v>10</v>
      </c>
      <c r="B42" t="s">
        <v>89</v>
      </c>
      <c r="C42" t="str">
        <f t="shared" si="0"/>
        <v>神奈川県横浜市西区平沼</v>
      </c>
      <c r="D42" s="2" t="str">
        <f t="shared" si="9"/>
        <v>http://geocode.csis.u-tokyo.ac.jp/cgi-bin/simple_geocode.cgi?charset=UTF8&amp;addr=%E7%A5%9E%E5%A5%88%E5%B7%9D%E7%9C%8C%E6%A8%AA%E6%B5%9C%E5%B8%82%E8%A5%BF%E5%8C%BA%E5%B9%B3%E6%B2%BC</v>
      </c>
      <c r="E42" t="str">
        <f t="shared" si="10"/>
        <v xml:space="preserve">&lt;?xml version="1.0" encoding="UTF-8" ?&gt;
&lt;results&gt;
&lt;query&gt;神奈川県横浜市西区平沼&lt;/query&gt;
&lt;geodetic&gt;wgs1984&lt;/geodetic&gt;
&lt;iConf&gt;5&lt;/iConf&gt;
&lt;converted&gt;神奈川県横浜市西区平沼&lt;/converted&gt;
&lt;candidate&gt;
&lt;address&gt;神奈川県/横浜市/西区/平沼&lt;/address&gt;
&lt;longitude&gt;139.619644&lt;/longitude&gt;
&lt;latitude&gt;35.460503&lt;/latitude&gt;
&lt;iLvl&gt;5&lt;/iLvl&gt;
&lt;/candidate&gt;
&lt;/results&gt;
</v>
      </c>
      <c r="F42" cm="1">
        <f t="array" ref="F42">INDEX(_xlfn.FILTERXML(E42,"//latitude"),1)</f>
        <v>35.460503000000003</v>
      </c>
      <c r="G42" cm="1">
        <f t="array" ref="G42">INDEX(_xlfn.FILTERXML(E42,"//longitude"),1)</f>
        <v>139.61964399999999</v>
      </c>
      <c r="H42">
        <v>35.460503000000003</v>
      </c>
      <c r="I42">
        <v>139.61964399999999</v>
      </c>
    </row>
    <row r="43" spans="1:9" x14ac:dyDescent="0.4">
      <c r="A43" t="s">
        <v>9</v>
      </c>
      <c r="B43" t="s">
        <v>90</v>
      </c>
      <c r="C43" t="str">
        <f t="shared" si="0"/>
        <v>東京都世田谷区上野毛</v>
      </c>
      <c r="D43" s="2" t="str">
        <f t="shared" si="9"/>
        <v>http://geocode.csis.u-tokyo.ac.jp/cgi-bin/simple_geocode.cgi?charset=UTF8&amp;addr=%E6%9D%B1%E4%BA%AC%E9%83%BD%E4%B8%96%E7%94%B0%E8%B0%B7%E5%8C%BA%E4%B8%8A%E9%87%8E%E6%AF%9B</v>
      </c>
      <c r="E43" t="str">
        <f t="shared" si="10"/>
        <v xml:space="preserve">&lt;?xml version="1.0" encoding="UTF-8" ?&gt;
&lt;results&gt;
&lt;query&gt;東京都世田谷区上野毛&lt;/query&gt;
&lt;geodetic&gt;wgs1984&lt;/geodetic&gt;
&lt;iConf&gt;5&lt;/iConf&gt;
&lt;converted&gt;東京都世田谷区上野毛&lt;/converted&gt;
&lt;candidate&gt;
&lt;address&gt;東京都/世田谷区/上野毛&lt;/address&gt;
&lt;longitude&gt;139.639618&lt;/longitude&gt;
&lt;latitude&gt;35.611210&lt;/latitude&gt;
&lt;iLvl&gt;5&lt;/iLvl&gt;
&lt;/candidate&gt;
&lt;/results&gt;
</v>
      </c>
      <c r="F43" cm="1">
        <f t="array" ref="F43">INDEX(_xlfn.FILTERXML(E43,"//latitude"),1)</f>
        <v>35.61121</v>
      </c>
      <c r="G43" cm="1">
        <f t="array" ref="G43">INDEX(_xlfn.FILTERXML(E43,"//longitude"),1)</f>
        <v>139.63961800000001</v>
      </c>
      <c r="H43">
        <v>35.61121</v>
      </c>
      <c r="I43">
        <v>139.63961800000001</v>
      </c>
    </row>
    <row r="44" spans="1:9" x14ac:dyDescent="0.4">
      <c r="A44" t="s">
        <v>91</v>
      </c>
      <c r="B44" t="s">
        <v>92</v>
      </c>
      <c r="C44" t="str">
        <f t="shared" si="0"/>
        <v>徳島県美馬市脇町字小星</v>
      </c>
      <c r="D44" s="2" t="str">
        <f t="shared" si="9"/>
        <v>http://geocode.csis.u-tokyo.ac.jp/cgi-bin/simple_geocode.cgi?charset=UTF8&amp;addr=%E5%BE%B3%E5%B3%B6%E7%9C%8C%E7%BE%8E%E9%A6%AC%E5%B8%82%E8%84%87%E7%94%BA%E5%AD%97%E5%B0%8F%E6%98%9F</v>
      </c>
      <c r="E44" t="str">
        <f t="shared" si="10"/>
        <v xml:space="preserve">&lt;?xml version="1.0" encoding="UTF-8" ?&gt;
&lt;results&gt;
&lt;query&gt;徳島県美馬市脇町字小星&lt;/query&gt;
&lt;geodetic&gt;wgs1984&lt;/geodetic&gt;
&lt;iConf&gt;5&lt;/iConf&gt;
&lt;converted&gt;徳島県美馬市脇町字小星&lt;/converted&gt;
&lt;candidate&gt;
&lt;address&gt;徳島県/美馬市/脇町/小星&lt;/address&gt;
&lt;longitude&gt;134.092636&lt;/longitude&gt;
&lt;latitude&gt;34.066154&lt;/latitude&gt;
&lt;iLvl&gt;6&lt;/iLvl&gt;
&lt;/candidate&gt;
&lt;/results&gt;
</v>
      </c>
      <c r="F44" cm="1">
        <f t="array" ref="F44">INDEX(_xlfn.FILTERXML(E44,"//latitude"),1)</f>
        <v>34.066153999999997</v>
      </c>
      <c r="G44" cm="1">
        <f t="array" ref="G44">INDEX(_xlfn.FILTERXML(E44,"//longitude"),1)</f>
        <v>134.092636</v>
      </c>
      <c r="H44">
        <v>34.066153999999997</v>
      </c>
      <c r="I44">
        <v>134.092636</v>
      </c>
    </row>
    <row r="45" spans="1:9" x14ac:dyDescent="0.4">
      <c r="A45" t="s">
        <v>9</v>
      </c>
      <c r="B45" t="s">
        <v>93</v>
      </c>
      <c r="C45" t="str">
        <f t="shared" si="0"/>
        <v>東京都豊島区西巣鴨</v>
      </c>
      <c r="D45" s="2" t="str">
        <f t="shared" ref="D45:D57" si="11" xml:space="preserve"> "http://geocode.csis.u-tokyo.ac.jp/cgi-bin/simple_geocode.cgi?charset=UTF8&amp;addr=" &amp; _xlfn.ENCODEURL(C45)</f>
        <v>http://geocode.csis.u-tokyo.ac.jp/cgi-bin/simple_geocode.cgi?charset=UTF8&amp;addr=%E6%9D%B1%E4%BA%AC%E9%83%BD%E8%B1%8A%E5%B3%B6%E5%8C%BA%E8%A5%BF%E5%B7%A3%E9%B4%A8</v>
      </c>
      <c r="E45" t="str">
        <f t="shared" ref="E45:E57" si="12" xml:space="preserve"> _xlfn.WEBSERVICE(D45)</f>
        <v xml:space="preserve">&lt;?xml version="1.0" encoding="UTF-8" ?&gt;
&lt;results&gt;
&lt;query&gt;東京都豊島区西巣鴨&lt;/query&gt;
&lt;geodetic&gt;wgs1984&lt;/geodetic&gt;
&lt;iConf&gt;5&lt;/iConf&gt;
&lt;converted&gt;東京都豊島区西巣鴨&lt;/converted&gt;
&lt;candidate&gt;
&lt;address&gt;東京都/豊島区/西巣鴨&lt;/address&gt;
&lt;longitude&gt;139.725266&lt;/longitude&gt;
&lt;latitude&gt;35.737560&lt;/latitude&gt;
&lt;iLvl&gt;5&lt;/iLvl&gt;
&lt;/candidate&gt;
&lt;/results&gt;
</v>
      </c>
      <c r="F45" cm="1">
        <f t="array" ref="F45">INDEX(_xlfn.FILTERXML(E45,"//latitude"),1)</f>
        <v>35.737560000000002</v>
      </c>
      <c r="G45" cm="1">
        <f t="array" ref="G45">INDEX(_xlfn.FILTERXML(E45,"//longitude"),1)</f>
        <v>139.725266</v>
      </c>
      <c r="H45">
        <v>35.737560000000002</v>
      </c>
      <c r="I45">
        <v>139.725266</v>
      </c>
    </row>
    <row r="46" spans="1:9" x14ac:dyDescent="0.4">
      <c r="A46" t="s">
        <v>16</v>
      </c>
      <c r="B46" t="s">
        <v>543</v>
      </c>
      <c r="C46" t="str">
        <f t="shared" si="0"/>
        <v>千葉県市川市行徳駅前</v>
      </c>
      <c r="D46" s="2" t="str">
        <f t="shared" si="11"/>
        <v>http://geocode.csis.u-tokyo.ac.jp/cgi-bin/simple_geocode.cgi?charset=UTF8&amp;addr=%E5%8D%83%E8%91%89%E7%9C%8C%E5%B8%82%E5%B7%9D%E5%B8%82%E8%A1%8C%E5%BE%B3%E9%A7%85%E5%89%8D</v>
      </c>
      <c r="E46" t="str">
        <f t="shared" si="12"/>
        <v xml:space="preserve">&lt;?xml version="1.0" encoding="UTF-8" ?&gt;
&lt;results&gt;
&lt;query&gt;千葉県市川市行徳駅前&lt;/query&gt;
&lt;geodetic&gt;wgs1984&lt;/geodetic&gt;
&lt;iConf&gt;5&lt;/iConf&gt;
&lt;converted&gt;千葉県市川市行徳駅前&lt;/converted&gt;
&lt;candidate&gt;
&lt;address&gt;千葉県/市川市/行徳駅前&lt;/address&gt;
&lt;longitude&gt;139.916290&lt;/longitude&gt;
&lt;latitude&gt;35.683418&lt;/latitude&gt;
&lt;iLvl&gt;5&lt;/iLvl&gt;
&lt;/candidate&gt;
&lt;/results&gt;
</v>
      </c>
      <c r="F46" cm="1">
        <f t="array" ref="F46">INDEX(_xlfn.FILTERXML(E46,"//latitude"),1)</f>
        <v>35.683418000000003</v>
      </c>
      <c r="G46" cm="1">
        <f t="array" ref="G46">INDEX(_xlfn.FILTERXML(E46,"//longitude"),1)</f>
        <v>139.91629</v>
      </c>
      <c r="H46">
        <v>35.683418000000003</v>
      </c>
      <c r="I46">
        <v>139.91629</v>
      </c>
    </row>
    <row r="47" spans="1:9" x14ac:dyDescent="0.4">
      <c r="A47" t="s">
        <v>30</v>
      </c>
      <c r="B47" t="s">
        <v>544</v>
      </c>
      <c r="C47" t="str">
        <f t="shared" si="0"/>
        <v>石川県小松市白江町</v>
      </c>
      <c r="D47" s="2" t="str">
        <f t="shared" si="11"/>
        <v>http://geocode.csis.u-tokyo.ac.jp/cgi-bin/simple_geocode.cgi?charset=UTF8&amp;addr=%E7%9F%B3%E5%B7%9D%E7%9C%8C%E5%B0%8F%E6%9D%BE%E5%B8%82%E7%99%BD%E6%B1%9F%E7%94%BA</v>
      </c>
      <c r="E47" t="str">
        <f t="shared" si="12"/>
        <v xml:space="preserve">&lt;?xml version="1.0" encoding="UTF-8" ?&gt;
&lt;results&gt;
&lt;query&gt;石川県小松市白江町&lt;/query&gt;
&lt;geodetic&gt;wgs1984&lt;/geodetic&gt;
&lt;iConf&gt;5&lt;/iConf&gt;
&lt;converted&gt;石川県小松市白江町&lt;/converted&gt;
&lt;candidate&gt;
&lt;address&gt;石川県/小松市/白江町&lt;/address&gt;
&lt;longitude&gt;136.472824&lt;/longitude&gt;
&lt;latitude&gt;36.408276&lt;/latitude&gt;
&lt;iLvl&gt;5&lt;/iLvl&gt;
&lt;/candidate&gt;
&lt;/results&gt;
</v>
      </c>
      <c r="F47" cm="1">
        <f t="array" ref="F47">INDEX(_xlfn.FILTERXML(E47,"//latitude"),1)</f>
        <v>36.408276000000001</v>
      </c>
      <c r="G47" cm="1">
        <f t="array" ref="G47">INDEX(_xlfn.FILTERXML(E47,"//longitude"),1)</f>
        <v>136.472824</v>
      </c>
      <c r="H47">
        <v>36.408276000000001</v>
      </c>
      <c r="I47">
        <v>136.472824</v>
      </c>
    </row>
    <row r="48" spans="1:9" x14ac:dyDescent="0.4">
      <c r="A48" t="s">
        <v>20</v>
      </c>
      <c r="B48" t="s">
        <v>545</v>
      </c>
      <c r="C48" t="str">
        <f t="shared" si="0"/>
        <v>宮城県仙台市宮城野区鶴ケ谷東三丁目</v>
      </c>
      <c r="D48" s="2" t="str">
        <f t="shared" si="11"/>
        <v>http://geocode.csis.u-tokyo.ac.jp/cgi-bin/simple_geocode.cgi?charset=UTF8&amp;addr=%E5%AE%AE%E5%9F%8E%E7%9C%8C%E4%BB%99%E5%8F%B0%E5%B8%82%E5%AE%AE%E5%9F%8E%E9%87%8E%E5%8C%BA%E9%B6%B4%E3%82%B1%E8%B0%B7%E6%9D%B1%E4%B8%89%E4%B8%81%E7%9B%AE</v>
      </c>
      <c r="E48" t="str">
        <f t="shared" si="12"/>
        <v xml:space="preserve">&lt;?xml version="1.0" encoding="UTF-8" ?&gt;
&lt;results&gt;
&lt;query&gt;宮城県仙台市宮城野区鶴ケ谷東三丁目&lt;/query&gt;
&lt;geodetic&gt;wgs1984&lt;/geodetic&gt;
&lt;iConf&gt;5&lt;/iConf&gt;
&lt;converted&gt;宮城県仙台市宮城野区鶴ケ谷東三丁目&lt;/converted&gt;
&lt;candidate&gt;
&lt;address&gt;宮城県/仙台市/宮城野区/鶴ケ谷東/三丁目&lt;/address&gt;
&lt;longitude&gt;140.928238&lt;/longitude&gt;
&lt;latitude&gt;38.294037&lt;/latitude&gt;
&lt;iLvl&gt;6&lt;/iLvl&gt;
&lt;/candidate&gt;
&lt;/results&gt;
</v>
      </c>
      <c r="F48" cm="1">
        <f t="array" ref="F48">INDEX(_xlfn.FILTERXML(E48,"//latitude"),1)</f>
        <v>38.294037000000003</v>
      </c>
      <c r="G48" cm="1">
        <f t="array" ref="G48">INDEX(_xlfn.FILTERXML(E48,"//longitude"),1)</f>
        <v>140.92823799999999</v>
      </c>
      <c r="H48">
        <v>38.294037000000003</v>
      </c>
      <c r="I48">
        <v>140.92823799999999</v>
      </c>
    </row>
    <row r="49" spans="1:9" x14ac:dyDescent="0.4">
      <c r="A49" t="s">
        <v>9</v>
      </c>
      <c r="B49" t="s">
        <v>34</v>
      </c>
      <c r="C49" t="str">
        <f t="shared" si="0"/>
        <v>東京都渋谷区代々木</v>
      </c>
      <c r="D49" s="2" t="str">
        <f t="shared" si="11"/>
        <v>http://geocode.csis.u-tokyo.ac.jp/cgi-bin/simple_geocode.cgi?charset=UTF8&amp;addr=%E6%9D%B1%E4%BA%AC%E9%83%BD%E6%B8%8B%E8%B0%B7%E5%8C%BA%E4%BB%A3%E3%80%85%E6%9C%A8</v>
      </c>
      <c r="E49" t="str">
        <f t="shared" si="12"/>
        <v xml:space="preserve">&lt;?xml version="1.0" encoding="UTF-8" ?&gt;
&lt;results&gt;
&lt;query&gt;東京都渋谷区代々木&lt;/query&gt;
&lt;geodetic&gt;wgs1984&lt;/geodetic&gt;
&lt;iConf&gt;5&lt;/iConf&gt;
&lt;converted&gt;東京都渋谷区代々木&lt;/converted&gt;
&lt;candidate&gt;
&lt;address&gt;東京都/渋谷区/代々木&lt;/address&gt;
&lt;longitude&gt;139.700043&lt;/longitude&gt;
&lt;latitude&gt;35.681885&lt;/latitude&gt;
&lt;iLvl&gt;5&lt;/iLvl&gt;
&lt;/candidate&gt;
&lt;/results&gt;
</v>
      </c>
      <c r="F49" cm="1">
        <f t="array" ref="F49">INDEX(_xlfn.FILTERXML(E49,"//latitude"),1)</f>
        <v>35.681885000000001</v>
      </c>
      <c r="G49" cm="1">
        <f t="array" ref="G49">INDEX(_xlfn.FILTERXML(E49,"//longitude"),1)</f>
        <v>139.70004299999999</v>
      </c>
      <c r="H49">
        <v>35.681885000000001</v>
      </c>
      <c r="I49">
        <v>139.70004299999999</v>
      </c>
    </row>
    <row r="50" spans="1:9" x14ac:dyDescent="0.4">
      <c r="A50" t="s">
        <v>11</v>
      </c>
      <c r="B50" t="s">
        <v>546</v>
      </c>
      <c r="C50" t="str">
        <f t="shared" si="0"/>
        <v>大阪府大阪市東淀川区下新庄 6-9-16</v>
      </c>
      <c r="D50" s="2" t="str">
        <f t="shared" si="11"/>
        <v>http://geocode.csis.u-tokyo.ac.jp/cgi-bin/simple_geocode.cgi?charset=UTF8&amp;addr=%E5%A4%A7%E9%98%AA%E5%BA%9C%E5%A4%A7%E9%98%AA%E5%B8%82%E6%9D%B1%E6%B7%80%E5%B7%9D%E5%8C%BA%E4%B8%8B%E6%96%B0%E5%BA%84%206-9-16</v>
      </c>
      <c r="E50" t="str">
        <f t="shared" si="12"/>
        <v xml:space="preserve">&lt;?xml version="1.0" encoding="UTF-8" ?&gt;
&lt;results&gt;
&lt;query&gt;大阪府大阪市東淀川区下新庄 6-9-16&lt;/query&gt;
&lt;geodetic&gt;wgs1984&lt;/geodetic&gt;
&lt;iConf&gt;5&lt;/iConf&gt;
&lt;converted&gt;大阪府大阪市東淀川区下新庄 6-9-16&lt;/converted&gt;
&lt;candidate&gt;
&lt;address&gt;大阪府/大阪市/東淀川区/下新庄/六丁目/９番/１６号&lt;/address&gt;
&lt;longitude&gt;135.527725&lt;/longitude&gt;
&lt;latitude&gt;34.748035&lt;/latitude&gt;
&lt;iLvl&gt;8&lt;/iLvl&gt;
&lt;/candidate&gt;
&lt;/results&gt;
</v>
      </c>
      <c r="F50" cm="1">
        <f t="array" ref="F50">INDEX(_xlfn.FILTERXML(E50,"//latitude"),1)</f>
        <v>34.748035000000002</v>
      </c>
      <c r="G50" cm="1">
        <f t="array" ref="G50">INDEX(_xlfn.FILTERXML(E50,"//longitude"),1)</f>
        <v>135.527725</v>
      </c>
      <c r="H50">
        <v>34.748035000000002</v>
      </c>
      <c r="I50">
        <v>135.527725</v>
      </c>
    </row>
    <row r="51" spans="1:9" x14ac:dyDescent="0.4">
      <c r="A51" t="s">
        <v>9</v>
      </c>
      <c r="B51" t="s">
        <v>547</v>
      </c>
      <c r="C51" t="str">
        <f t="shared" si="0"/>
        <v>東京都目黒区</v>
      </c>
      <c r="D51" s="2" t="str">
        <f t="shared" si="11"/>
        <v>http://geocode.csis.u-tokyo.ac.jp/cgi-bin/simple_geocode.cgi?charset=UTF8&amp;addr=%E6%9D%B1%E4%BA%AC%E9%83%BD%E7%9B%AE%E9%BB%92%E5%8C%BA</v>
      </c>
      <c r="E51" t="str">
        <f t="shared" si="12"/>
        <v xml:space="preserve">&lt;?xml version="1.0" encoding="UTF-8" ?&gt;
&lt;results&gt;
&lt;query&gt;東京都目黒区&lt;/query&gt;
&lt;geodetic&gt;wgs1984&lt;/geodetic&gt;
&lt;iConf&gt;5&lt;/iConf&gt;
&lt;converted&gt;東京都目黒区&lt;/converted&gt;
&lt;candidate&gt;
&lt;address&gt;東京都/目黒区&lt;/address&gt;
&lt;longitude&gt;139.698120&lt;/longitude&gt;
&lt;latitude&gt;35.641411&lt;/latitude&gt;
&lt;iLvl&gt;3&lt;/iLvl&gt;
&lt;/candidate&gt;
&lt;/results&gt;
</v>
      </c>
      <c r="F51" cm="1">
        <f t="array" ref="F51">INDEX(_xlfn.FILTERXML(E51,"//latitude"),1)</f>
        <v>35.641410999999998</v>
      </c>
      <c r="G51" cm="1">
        <f t="array" ref="G51">INDEX(_xlfn.FILTERXML(E51,"//longitude"),1)</f>
        <v>139.69811999999999</v>
      </c>
      <c r="H51">
        <v>35.641410999999998</v>
      </c>
      <c r="I51">
        <v>139.69811999999999</v>
      </c>
    </row>
    <row r="52" spans="1:9" x14ac:dyDescent="0.4">
      <c r="A52" t="s">
        <v>10</v>
      </c>
      <c r="B52" t="s">
        <v>98</v>
      </c>
      <c r="C52" t="str">
        <f t="shared" si="0"/>
        <v>神奈川県横浜市港北区綱島東</v>
      </c>
      <c r="D52" s="2" t="str">
        <f t="shared" si="11"/>
        <v>http://geocode.csis.u-tokyo.ac.jp/cgi-bin/simple_geocode.cgi?charset=UTF8&amp;addr=%E7%A5%9E%E5%A5%88%E5%B7%9D%E7%9C%8C%E6%A8%AA%E6%B5%9C%E5%B8%82%E6%B8%AF%E5%8C%97%E5%8C%BA%E7%B6%B1%E5%B3%B6%E6%9D%B1</v>
      </c>
      <c r="E52" t="str">
        <f t="shared" si="12"/>
        <v xml:space="preserve">&lt;?xml version="1.0" encoding="UTF-8" ?&gt;
&lt;results&gt;
&lt;query&gt;神奈川県横浜市港北区綱島東&lt;/query&gt;
&lt;geodetic&gt;wgs1984&lt;/geodetic&gt;
&lt;iConf&gt;5&lt;/iConf&gt;
&lt;converted&gt;神奈川県横浜市港北区綱島東&lt;/converted&gt;
&lt;candidate&gt;
&lt;address&gt;神奈川県/横浜市/港北区/綱島東&lt;/address&gt;
&lt;longitude&gt;139.637436&lt;/longitude&gt;
&lt;latitude&gt;35.535587&lt;/latitude&gt;
&lt;iLvl&gt;5&lt;/iLvl&gt;
&lt;/candidate&gt;
&lt;/results&gt;
</v>
      </c>
      <c r="F52" cm="1">
        <f t="array" ref="F52">INDEX(_xlfn.FILTERXML(E52,"//latitude"),1)</f>
        <v>35.535587</v>
      </c>
      <c r="G52" cm="1">
        <f t="array" ref="G52">INDEX(_xlfn.FILTERXML(E52,"//longitude"),1)</f>
        <v>139.63743600000001</v>
      </c>
      <c r="H52">
        <v>35.535587</v>
      </c>
      <c r="I52">
        <v>139.63743600000001</v>
      </c>
    </row>
    <row r="53" spans="1:9" x14ac:dyDescent="0.4">
      <c r="A53" t="s">
        <v>11</v>
      </c>
      <c r="B53" t="s">
        <v>99</v>
      </c>
      <c r="C53" t="str">
        <f t="shared" si="0"/>
        <v>大阪府交野市</v>
      </c>
      <c r="D53" s="2" t="str">
        <f t="shared" si="11"/>
        <v>http://geocode.csis.u-tokyo.ac.jp/cgi-bin/simple_geocode.cgi?charset=UTF8&amp;addr=%E5%A4%A7%E9%98%AA%E5%BA%9C%E4%BA%A4%E9%87%8E%E5%B8%82</v>
      </c>
      <c r="E53" t="str">
        <f t="shared" si="12"/>
        <v xml:space="preserve">&lt;?xml version="1.0" encoding="UTF-8" ?&gt;
&lt;results&gt;
&lt;query&gt;大阪府交野市&lt;/query&gt;
&lt;geodetic&gt;wgs1984&lt;/geodetic&gt;
&lt;iConf&gt;5&lt;/iConf&gt;
&lt;converted&gt;大阪府交野市&lt;/converted&gt;
&lt;candidate&gt;
&lt;address&gt;大阪府/交野市&lt;/address&gt;
&lt;longitude&gt;135.679977&lt;/longitude&gt;
&lt;latitude&gt;34.787956&lt;/latitude&gt;
&lt;iLvl&gt;3&lt;/iLvl&gt;
&lt;/candidate&gt;
&lt;/results&gt;
</v>
      </c>
      <c r="F53" cm="1">
        <f t="array" ref="F53">INDEX(_xlfn.FILTERXML(E53,"//latitude"),1)</f>
        <v>34.787956000000001</v>
      </c>
      <c r="G53" cm="1">
        <f t="array" ref="G53">INDEX(_xlfn.FILTERXML(E53,"//longitude"),1)</f>
        <v>135.67997700000001</v>
      </c>
      <c r="H53">
        <v>34.787956000000001</v>
      </c>
      <c r="I53">
        <v>135.67997700000001</v>
      </c>
    </row>
    <row r="54" spans="1:9" x14ac:dyDescent="0.4">
      <c r="A54" t="s">
        <v>11</v>
      </c>
      <c r="B54" t="s">
        <v>100</v>
      </c>
      <c r="C54" t="str">
        <f t="shared" si="0"/>
        <v>大阪府豊中市宮山町</v>
      </c>
      <c r="D54" s="2" t="str">
        <f t="shared" si="11"/>
        <v>http://geocode.csis.u-tokyo.ac.jp/cgi-bin/simple_geocode.cgi?charset=UTF8&amp;addr=%E5%A4%A7%E9%98%AA%E5%BA%9C%E8%B1%8A%E4%B8%AD%E5%B8%82%E5%AE%AE%E5%B1%B1%E7%94%BA</v>
      </c>
      <c r="E54" t="str">
        <f t="shared" si="12"/>
        <v xml:space="preserve">&lt;?xml version="1.0" encoding="UTF-8" ?&gt;
&lt;results&gt;
&lt;query&gt;大阪府豊中市宮山町&lt;/query&gt;
&lt;geodetic&gt;wgs1984&lt;/geodetic&gt;
&lt;iConf&gt;5&lt;/iConf&gt;
&lt;converted&gt;大阪府豊中市宮山町&lt;/converted&gt;
&lt;candidate&gt;
&lt;address&gt;大阪府/豊中市/宮山町&lt;/address&gt;
&lt;longitude&gt;135.463333&lt;/longitude&gt;
&lt;latitude&gt;34.806210&lt;/latitude&gt;
&lt;iLvl&gt;5&lt;/iLvl&gt;
&lt;/candidate&gt;
&lt;/results&gt;
</v>
      </c>
      <c r="F54" cm="1">
        <f t="array" ref="F54">INDEX(_xlfn.FILTERXML(E54,"//latitude"),1)</f>
        <v>34.80621</v>
      </c>
      <c r="G54" cm="1">
        <f t="array" ref="G54">INDEX(_xlfn.FILTERXML(E54,"//longitude"),1)</f>
        <v>135.46333300000001</v>
      </c>
      <c r="H54">
        <v>34.80621</v>
      </c>
      <c r="I54">
        <v>135.46333300000001</v>
      </c>
    </row>
    <row r="55" spans="1:9" x14ac:dyDescent="0.4">
      <c r="A55" t="s">
        <v>10</v>
      </c>
      <c r="B55" t="s">
        <v>101</v>
      </c>
      <c r="C55" t="str">
        <f t="shared" si="0"/>
        <v>神奈川県横浜市金沢区能見台</v>
      </c>
      <c r="D55" s="2" t="str">
        <f t="shared" si="11"/>
        <v>http://geocode.csis.u-tokyo.ac.jp/cgi-bin/simple_geocode.cgi?charset=UTF8&amp;addr=%E7%A5%9E%E5%A5%88%E5%B7%9D%E7%9C%8C%E6%A8%AA%E6%B5%9C%E5%B8%82%E9%87%91%E6%B2%A2%E5%8C%BA%E8%83%BD%E8%A6%8B%E5%8F%B0</v>
      </c>
      <c r="E55" t="str">
        <f t="shared" si="12"/>
        <v xml:space="preserve">&lt;?xml version="1.0" encoding="UTF-8" ?&gt;
&lt;results&gt;
&lt;query&gt;神奈川県横浜市金沢区能見台&lt;/query&gt;
&lt;geodetic&gt;wgs1984&lt;/geodetic&gt;
&lt;iConf&gt;5&lt;/iConf&gt;
&lt;converted&gt;神奈川県横浜市金沢区能見台&lt;/converted&gt;
&lt;candidate&gt;
&lt;address&gt;神奈川県/横浜市/金沢区/能見台&lt;/address&gt;
&lt;longitude&gt;139.611664&lt;/longitude&gt;
&lt;latitude&gt;35.361786&lt;/latitude&gt;
&lt;iLvl&gt;5&lt;/iLvl&gt;
&lt;/candidate&gt;
&lt;/results&gt;
</v>
      </c>
      <c r="F55" cm="1">
        <f t="array" ref="F55">INDEX(_xlfn.FILTERXML(E55,"//latitude"),1)</f>
        <v>35.361786000000002</v>
      </c>
      <c r="G55" cm="1">
        <f t="array" ref="G55">INDEX(_xlfn.FILTERXML(E55,"//longitude"),1)</f>
        <v>139.61166399999999</v>
      </c>
      <c r="H55">
        <v>35.361786000000002</v>
      </c>
      <c r="I55">
        <v>139.61166399999999</v>
      </c>
    </row>
    <row r="56" spans="1:9" x14ac:dyDescent="0.4">
      <c r="A56" t="s">
        <v>97</v>
      </c>
      <c r="B56" t="s">
        <v>102</v>
      </c>
      <c r="C56" t="str">
        <f t="shared" si="0"/>
        <v>熊本県熊本市西区高橋町</v>
      </c>
      <c r="D56" s="2" t="str">
        <f t="shared" si="11"/>
        <v>http://geocode.csis.u-tokyo.ac.jp/cgi-bin/simple_geocode.cgi?charset=UTF8&amp;addr=%E7%86%8A%E6%9C%AC%E7%9C%8C%E7%86%8A%E6%9C%AC%E5%B8%82%E8%A5%BF%E5%8C%BA%E9%AB%98%E6%A9%8B%E7%94%BA</v>
      </c>
      <c r="E56" t="str">
        <f t="shared" si="12"/>
        <v xml:space="preserve">&lt;?xml version="1.0" encoding="UTF-8" ?&gt;
&lt;results&gt;
&lt;query&gt;熊本県熊本市西区高橋町&lt;/query&gt;
&lt;geodetic&gt;wgs1984&lt;/geodetic&gt;
&lt;iConf&gt;5&lt;/iConf&gt;
&lt;converted&gt;熊本県熊本市西区高橋町&lt;/converted&gt;
&lt;candidate&gt;
&lt;address&gt;熊本県/熊本市/西区/高橋町&lt;/address&gt;
&lt;longitude&gt;130.657562&lt;/longitude&gt;
&lt;latitude&gt;32.784737&lt;/latitude&gt;
&lt;iLvl&gt;5&lt;/iLvl&gt;
&lt;/candidate&gt;
&lt;/results&gt;
</v>
      </c>
      <c r="F56" cm="1">
        <f t="array" ref="F56">INDEX(_xlfn.FILTERXML(E56,"//latitude"),1)</f>
        <v>32.784737</v>
      </c>
      <c r="G56" cm="1">
        <f t="array" ref="G56">INDEX(_xlfn.FILTERXML(E56,"//longitude"),1)</f>
        <v>130.65756200000001</v>
      </c>
      <c r="H56">
        <v>32.784737</v>
      </c>
      <c r="I56">
        <v>130.65756200000001</v>
      </c>
    </row>
    <row r="57" spans="1:9" x14ac:dyDescent="0.4">
      <c r="A57" t="s">
        <v>9</v>
      </c>
      <c r="B57" t="s">
        <v>103</v>
      </c>
      <c r="C57" t="str">
        <f t="shared" si="0"/>
        <v>東京都目黒区目黒本町3-15-2</v>
      </c>
      <c r="D57" s="2" t="str">
        <f t="shared" si="11"/>
        <v>http://geocode.csis.u-tokyo.ac.jp/cgi-bin/simple_geocode.cgi?charset=UTF8&amp;addr=%E6%9D%B1%E4%BA%AC%E9%83%BD%E7%9B%AE%E9%BB%92%E5%8C%BA%E7%9B%AE%E9%BB%92%E6%9C%AC%E7%94%BA3-15-2</v>
      </c>
      <c r="E57" t="str">
        <f t="shared" si="12"/>
        <v xml:space="preserve">&lt;?xml version="1.0" encoding="UTF-8" ?&gt;
&lt;results&gt;
&lt;query&gt;東京都目黒区目黒本町3-15-2&lt;/query&gt;
&lt;geodetic&gt;wgs1984&lt;/geodetic&gt;
&lt;iConf&gt;5&lt;/iConf&gt;
&lt;converted&gt;東京都目黒区目黒本町3-15-2&lt;/converted&gt;
&lt;candidate&gt;
&lt;address&gt;東京都/目黒区/目黒本町/三丁目/１５番/２号&lt;/address&gt;
&lt;longitude&gt;139.700775&lt;/longitude&gt;
&lt;latitude&gt;35.622406&lt;/latitude&gt;
&lt;iLvl&gt;8&lt;/iLvl&gt;
&lt;/candidate&gt;
&lt;/results&gt;
</v>
      </c>
      <c r="F57" cm="1">
        <f t="array" ref="F57">INDEX(_xlfn.FILTERXML(E57,"//latitude"),1)</f>
        <v>35.622405999999998</v>
      </c>
      <c r="G57" cm="1">
        <f t="array" ref="G57">INDEX(_xlfn.FILTERXML(E57,"//longitude"),1)</f>
        <v>139.70077499999999</v>
      </c>
      <c r="H57">
        <v>35.622405999999998</v>
      </c>
      <c r="I57">
        <v>139.70077499999999</v>
      </c>
    </row>
    <row r="58" spans="1:9" x14ac:dyDescent="0.4">
      <c r="A58" t="s">
        <v>10</v>
      </c>
      <c r="B58" t="s">
        <v>104</v>
      </c>
      <c r="C58" t="str">
        <f t="shared" si="0"/>
        <v>神奈川県綾瀬市</v>
      </c>
      <c r="D58" s="2" t="str">
        <f t="shared" ref="D58:D70" si="13" xml:space="preserve"> "http://geocode.csis.u-tokyo.ac.jp/cgi-bin/simple_geocode.cgi?charset=UTF8&amp;addr=" &amp; _xlfn.ENCODEURL(C58)</f>
        <v>http://geocode.csis.u-tokyo.ac.jp/cgi-bin/simple_geocode.cgi?charset=UTF8&amp;addr=%E7%A5%9E%E5%A5%88%E5%B7%9D%E7%9C%8C%E7%B6%BE%E7%80%AC%E5%B8%82</v>
      </c>
      <c r="E58" t="str">
        <f t="shared" ref="E58:E70" si="14" xml:space="preserve"> _xlfn.WEBSERVICE(D58)</f>
        <v xml:space="preserve">&lt;?xml version="1.0" encoding="UTF-8" ?&gt;
&lt;results&gt;
&lt;query&gt;神奈川県綾瀬市&lt;/query&gt;
&lt;geodetic&gt;wgs1984&lt;/geodetic&gt;
&lt;iConf&gt;5&lt;/iConf&gt;
&lt;converted&gt;神奈川県綾瀬市&lt;/converted&gt;
&lt;candidate&gt;
&lt;address&gt;神奈川県/綾瀬市&lt;/address&gt;
&lt;longitude&gt;139.426346&lt;/longitude&gt;
&lt;latitude&gt;35.437160&lt;/latitude&gt;
&lt;iLvl&gt;3&lt;/iLvl&gt;
&lt;/candidate&gt;
&lt;/results&gt;
</v>
      </c>
      <c r="F58" cm="1">
        <f t="array" ref="F58">INDEX(_xlfn.FILTERXML(E58,"//latitude"),1)</f>
        <v>35.437159999999999</v>
      </c>
      <c r="G58" cm="1">
        <f t="array" ref="G58">INDEX(_xlfn.FILTERXML(E58,"//longitude"),1)</f>
        <v>139.426346</v>
      </c>
      <c r="H58">
        <v>35.437159999999999</v>
      </c>
      <c r="I58">
        <v>139.426346</v>
      </c>
    </row>
    <row r="59" spans="1:9" x14ac:dyDescent="0.4">
      <c r="A59" t="s">
        <v>23</v>
      </c>
      <c r="B59" t="s">
        <v>105</v>
      </c>
      <c r="C59" t="str">
        <f t="shared" si="0"/>
        <v>京都府宇治市五ケ庄三番割</v>
      </c>
      <c r="D59" s="2" t="str">
        <f t="shared" si="13"/>
        <v>http://geocode.csis.u-tokyo.ac.jp/cgi-bin/simple_geocode.cgi?charset=UTF8&amp;addr=%E4%BA%AC%E9%83%BD%E5%BA%9C%E5%AE%87%E6%B2%BB%E5%B8%82%E4%BA%94%E3%82%B1%E5%BA%84%E4%B8%89%E7%95%AA%E5%89%B2</v>
      </c>
      <c r="E59" t="str">
        <f t="shared" si="14"/>
        <v xml:space="preserve">&lt;?xml version="1.0" encoding="UTF-8" ?&gt;
&lt;results&gt;
&lt;query&gt;京都府宇治市五ケ庄三番割&lt;/query&gt;
&lt;geodetic&gt;wgs1984&lt;/geodetic&gt;
&lt;iConf&gt;5&lt;/iConf&gt;
&lt;converted&gt;京都府宇治市五ケ庄三番割&lt;/converted&gt;
&lt;candidate&gt;
&lt;address&gt;京都府/宇治市/五ケ庄/三番割&lt;/address&gt;
&lt;longitude&gt;135.808014&lt;/longitude&gt;
&lt;latitude&gt;34.913933&lt;/latitude&gt;
&lt;iLvl&gt;6&lt;/iLvl&gt;
&lt;/candidate&gt;
&lt;/results&gt;
</v>
      </c>
      <c r="F59" cm="1">
        <f t="array" ref="F59">INDEX(_xlfn.FILTERXML(E59,"//latitude"),1)</f>
        <v>34.913933</v>
      </c>
      <c r="G59" cm="1">
        <f t="array" ref="G59">INDEX(_xlfn.FILTERXML(E59,"//longitude"),1)</f>
        <v>135.80801400000001</v>
      </c>
      <c r="H59">
        <v>34.913933</v>
      </c>
      <c r="I59">
        <v>135.80801400000001</v>
      </c>
    </row>
    <row r="60" spans="1:9" x14ac:dyDescent="0.4">
      <c r="A60" t="s">
        <v>10</v>
      </c>
      <c r="B60" t="s">
        <v>106</v>
      </c>
      <c r="C60" t="str">
        <f t="shared" si="0"/>
        <v>神奈川県横浜市青葉区藤が丘</v>
      </c>
      <c r="D60" s="2" t="str">
        <f t="shared" si="13"/>
        <v>http://geocode.csis.u-tokyo.ac.jp/cgi-bin/simple_geocode.cgi?charset=UTF8&amp;addr=%E7%A5%9E%E5%A5%88%E5%B7%9D%E7%9C%8C%E6%A8%AA%E6%B5%9C%E5%B8%82%E9%9D%92%E8%91%89%E5%8C%BA%E8%97%A4%E3%81%8C%E4%B8%98</v>
      </c>
      <c r="E60" t="str">
        <f t="shared" si="14"/>
        <v xml:space="preserve">&lt;?xml version="1.0" encoding="UTF-8" ?&gt;
&lt;results&gt;
&lt;query&gt;神奈川県横浜市青葉区藤が丘&lt;/query&gt;
&lt;geodetic&gt;wgs1984&lt;/geodetic&gt;
&lt;iConf&gt;5&lt;/iConf&gt;
&lt;converted&gt;神奈川県横浜市青葉区藤が丘&lt;/converted&gt;
&lt;candidate&gt;
&lt;address&gt;神奈川県/横浜市/青葉区/藤が丘&lt;/address&gt;
&lt;longitude&gt;139.530472&lt;/longitude&gt;
&lt;latitude&gt;35.546459&lt;/latitude&gt;
&lt;iLvl&gt;5&lt;/iLvl&gt;
&lt;/candidate&gt;
&lt;/results&gt;
</v>
      </c>
      <c r="F60" cm="1">
        <f t="array" ref="F60">INDEX(_xlfn.FILTERXML(E60,"//latitude"),1)</f>
        <v>35.546458999999999</v>
      </c>
      <c r="G60" cm="1">
        <f t="array" ref="G60">INDEX(_xlfn.FILTERXML(E60,"//longitude"),1)</f>
        <v>139.530472</v>
      </c>
      <c r="H60">
        <v>35.546458999999999</v>
      </c>
      <c r="I60">
        <v>139.530472</v>
      </c>
    </row>
    <row r="61" spans="1:9" x14ac:dyDescent="0.4">
      <c r="A61" t="s">
        <v>15</v>
      </c>
      <c r="B61" t="s">
        <v>107</v>
      </c>
      <c r="C61" t="str">
        <f t="shared" si="0"/>
        <v>愛知県一宮市</v>
      </c>
      <c r="D61" s="2" t="str">
        <f t="shared" si="13"/>
        <v>http://geocode.csis.u-tokyo.ac.jp/cgi-bin/simple_geocode.cgi?charset=UTF8&amp;addr=%E6%84%9B%E7%9F%A5%E7%9C%8C%E4%B8%80%E5%AE%AE%E5%B8%82</v>
      </c>
      <c r="E61" t="str">
        <f t="shared" si="14"/>
        <v xml:space="preserve">&lt;?xml version="1.0" encoding="UTF-8" ?&gt;
&lt;results&gt;
&lt;query&gt;愛知県一宮市&lt;/query&gt;
&lt;geodetic&gt;wgs1984&lt;/geodetic&gt;
&lt;iConf&gt;5&lt;/iConf&gt;
&lt;converted&gt;愛知県一宮市&lt;/converted&gt;
&lt;candidate&gt;
&lt;address&gt;愛知県/一宮市&lt;/address&gt;
&lt;longitude&gt;136.802338&lt;/longitude&gt;
&lt;latitude&gt;35.304012&lt;/latitude&gt;
&lt;iLvl&gt;3&lt;/iLvl&gt;
&lt;/candidate&gt;
&lt;/results&gt;
</v>
      </c>
      <c r="F61" cm="1">
        <f t="array" ref="F61">INDEX(_xlfn.FILTERXML(E61,"//latitude"),1)</f>
        <v>35.304012</v>
      </c>
      <c r="G61" cm="1">
        <f t="array" ref="G61">INDEX(_xlfn.FILTERXML(E61,"//longitude"),1)</f>
        <v>136.80233799999999</v>
      </c>
      <c r="H61">
        <v>35.304012</v>
      </c>
      <c r="I61">
        <v>136.80233799999999</v>
      </c>
    </row>
    <row r="62" spans="1:9" x14ac:dyDescent="0.4">
      <c r="A62" t="s">
        <v>15</v>
      </c>
      <c r="B62" t="s">
        <v>108</v>
      </c>
      <c r="C62" t="str">
        <f t="shared" si="0"/>
        <v>愛知県名古屋市千種区茶屋坂通</v>
      </c>
      <c r="D62" s="2" t="str">
        <f t="shared" si="13"/>
        <v>http://geocode.csis.u-tokyo.ac.jp/cgi-bin/simple_geocode.cgi?charset=UTF8&amp;addr=%E6%84%9B%E7%9F%A5%E7%9C%8C%E5%90%8D%E5%8F%A4%E5%B1%8B%E5%B8%82%E5%8D%83%E7%A8%AE%E5%8C%BA%E8%8C%B6%E5%B1%8B%E5%9D%82%E9%80%9A</v>
      </c>
      <c r="E62" t="str">
        <f t="shared" si="14"/>
        <v xml:space="preserve">&lt;?xml version="1.0" encoding="UTF-8" ?&gt;
&lt;results&gt;
&lt;query&gt;愛知県名古屋市千種区茶屋坂通&lt;/query&gt;
&lt;geodetic&gt;wgs1984&lt;/geodetic&gt;
&lt;iConf&gt;5&lt;/iConf&gt;
&lt;converted&gt;愛知県名古屋市千種区茶屋坂通&lt;/converted&gt;
&lt;candidate&gt;
&lt;address&gt;愛知県/名古屋市/千種区/茶屋坂通&lt;/address&gt;
&lt;longitude&gt;136.954285&lt;/longitude&gt;
&lt;latitude&gt;35.182724&lt;/latitude&gt;
&lt;iLvl&gt;5&lt;/iLvl&gt;
&lt;/candidate&gt;
&lt;/results&gt;
</v>
      </c>
      <c r="F62" cm="1">
        <f t="array" ref="F62">INDEX(_xlfn.FILTERXML(E62,"//latitude"),1)</f>
        <v>35.182724</v>
      </c>
      <c r="G62" cm="1">
        <f t="array" ref="G62">INDEX(_xlfn.FILTERXML(E62,"//longitude"),1)</f>
        <v>136.954285</v>
      </c>
      <c r="H62">
        <v>35.182724</v>
      </c>
      <c r="I62">
        <v>136.954285</v>
      </c>
    </row>
    <row r="63" spans="1:9" x14ac:dyDescent="0.4">
      <c r="A63" t="s">
        <v>14</v>
      </c>
      <c r="B63" t="s">
        <v>109</v>
      </c>
      <c r="C63" t="str">
        <f t="shared" si="0"/>
        <v>長野県上水内郡信濃町大字柏原</v>
      </c>
      <c r="D63" s="2" t="str">
        <f t="shared" si="13"/>
        <v>http://geocode.csis.u-tokyo.ac.jp/cgi-bin/simple_geocode.cgi?charset=UTF8&amp;addr=%E9%95%B7%E9%87%8E%E7%9C%8C%E4%B8%8A%E6%B0%B4%E5%86%85%E9%83%A1%E4%BF%A1%E6%BF%83%E7%94%BA%E5%A4%A7%E5%AD%97%E6%9F%8F%E5%8E%9F</v>
      </c>
      <c r="E63" t="str">
        <f t="shared" si="14"/>
        <v xml:space="preserve">&lt;?xml version="1.0" encoding="UTF-8" ?&gt;
&lt;results&gt;
&lt;query&gt;長野県上水内郡信濃町大字柏原&lt;/query&gt;
&lt;geodetic&gt;wgs1984&lt;/geodetic&gt;
&lt;iConf&gt;5&lt;/iConf&gt;
&lt;converted&gt;長野県上水内郡信濃町大字柏原&lt;/converted&gt;
&lt;candidate&gt;
&lt;address&gt;長野県/上水内郡/信濃町/柏原&lt;/address&gt;
&lt;longitude&gt;138.151123&lt;/longitude&gt;
&lt;latitude&gt;36.801846&lt;/latitude&gt;
&lt;iLvl&gt;5&lt;/iLvl&gt;
&lt;/candidate&gt;
&lt;/results&gt;
</v>
      </c>
      <c r="F63" cm="1">
        <f t="array" ref="F63">INDEX(_xlfn.FILTERXML(E63,"//latitude"),1)</f>
        <v>36.801845999999998</v>
      </c>
      <c r="G63" cm="1">
        <f t="array" ref="G63">INDEX(_xlfn.FILTERXML(E63,"//longitude"),1)</f>
        <v>138.15112300000001</v>
      </c>
      <c r="H63">
        <v>36.801845999999998</v>
      </c>
      <c r="I63">
        <v>138.15112300000001</v>
      </c>
    </row>
    <row r="64" spans="1:9" x14ac:dyDescent="0.4">
      <c r="A64" t="s">
        <v>28</v>
      </c>
      <c r="B64" t="s">
        <v>110</v>
      </c>
      <c r="C64" t="str">
        <f t="shared" si="0"/>
        <v>三重県鈴鹿市</v>
      </c>
      <c r="D64" s="2" t="str">
        <f t="shared" si="13"/>
        <v>http://geocode.csis.u-tokyo.ac.jp/cgi-bin/simple_geocode.cgi?charset=UTF8&amp;addr=%E4%B8%89%E9%87%8D%E7%9C%8C%E9%88%B4%E9%B9%BF%E5%B8%82</v>
      </c>
      <c r="E64" t="str">
        <f t="shared" si="14"/>
        <v xml:space="preserve">&lt;?xml version="1.0" encoding="UTF-8" ?&gt;
&lt;results&gt;
&lt;query&gt;三重県鈴鹿市&lt;/query&gt;
&lt;geodetic&gt;wgs1984&lt;/geodetic&gt;
&lt;iConf&gt;5&lt;/iConf&gt;
&lt;converted&gt;三重県鈴鹿市&lt;/converted&gt;
&lt;candidate&gt;
&lt;address&gt;三重県/鈴鹿市&lt;/address&gt;
&lt;longitude&gt;136.584183&lt;/longitude&gt;
&lt;latitude&gt;34.881866&lt;/latitude&gt;
&lt;iLvl&gt;3&lt;/iLvl&gt;
&lt;/candidate&gt;
&lt;/results&gt;
</v>
      </c>
      <c r="F64" cm="1">
        <f t="array" ref="F64">INDEX(_xlfn.FILTERXML(E64,"//latitude"),1)</f>
        <v>34.881866000000002</v>
      </c>
      <c r="G64" cm="1">
        <f t="array" ref="G64">INDEX(_xlfn.FILTERXML(E64,"//longitude"),1)</f>
        <v>136.584183</v>
      </c>
      <c r="H64">
        <v>34.881866000000002</v>
      </c>
      <c r="I64">
        <v>136.584183</v>
      </c>
    </row>
    <row r="65" spans="1:9" x14ac:dyDescent="0.4">
      <c r="A65" t="s">
        <v>11</v>
      </c>
      <c r="B65" t="s">
        <v>111</v>
      </c>
      <c r="C65" t="str">
        <f t="shared" si="0"/>
        <v>大阪府大阪市東淀川区北江口</v>
      </c>
      <c r="D65" s="2" t="str">
        <f t="shared" si="13"/>
        <v>http://geocode.csis.u-tokyo.ac.jp/cgi-bin/simple_geocode.cgi?charset=UTF8&amp;addr=%E5%A4%A7%E9%98%AA%E5%BA%9C%E5%A4%A7%E9%98%AA%E5%B8%82%E6%9D%B1%E6%B7%80%E5%B7%9D%E5%8C%BA%E5%8C%97%E6%B1%9F%E5%8F%A3</v>
      </c>
      <c r="E65" t="str">
        <f t="shared" si="14"/>
        <v xml:space="preserve">&lt;?xml version="1.0" encoding="UTF-8" ?&gt;
&lt;results&gt;
&lt;query&gt;大阪府大阪市東淀川区北江口&lt;/query&gt;
&lt;geodetic&gt;wgs1984&lt;/geodetic&gt;
&lt;iConf&gt;5&lt;/iConf&gt;
&lt;converted&gt;大阪府大阪市東淀川区北江口&lt;/converted&gt;
&lt;candidate&gt;
&lt;address&gt;大阪府/大阪市/東淀川区/北江口&lt;/address&gt;
&lt;longitude&gt;135.541489&lt;/longitude&gt;
&lt;latitude&gt;34.758991&lt;/latitude&gt;
&lt;iLvl&gt;5&lt;/iLvl&gt;
&lt;/candidate&gt;
&lt;/results&gt;
</v>
      </c>
      <c r="F65" cm="1">
        <f t="array" ref="F65">INDEX(_xlfn.FILTERXML(E65,"//latitude"),1)</f>
        <v>34.758991000000002</v>
      </c>
      <c r="G65" cm="1">
        <f t="array" ref="G65">INDEX(_xlfn.FILTERXML(E65,"//longitude"),1)</f>
        <v>135.54148900000001</v>
      </c>
      <c r="H65">
        <v>34.758991000000002</v>
      </c>
      <c r="I65">
        <v>135.54148900000001</v>
      </c>
    </row>
    <row r="66" spans="1:9" x14ac:dyDescent="0.4">
      <c r="A66" t="s">
        <v>95</v>
      </c>
      <c r="B66" t="s">
        <v>112</v>
      </c>
      <c r="C66" t="str">
        <f t="shared" si="0"/>
        <v>福島県いわき市小名浜玉川町南</v>
      </c>
      <c r="D66" s="2" t="str">
        <f t="shared" si="13"/>
        <v>http://geocode.csis.u-tokyo.ac.jp/cgi-bin/simple_geocode.cgi?charset=UTF8&amp;addr=%E7%A6%8F%E5%B3%B6%E7%9C%8C%E3%81%84%E3%82%8F%E3%81%8D%E5%B8%82%E5%B0%8F%E5%90%8D%E6%B5%9C%E7%8E%89%E5%B7%9D%E7%94%BA%E5%8D%97</v>
      </c>
      <c r="E66" t="str">
        <f t="shared" si="14"/>
        <v xml:space="preserve">&lt;?xml version="1.0" encoding="UTF-8" ?&gt;
&lt;results&gt;
&lt;query&gt;福島県いわき市小名浜玉川町南&lt;/query&gt;
&lt;geodetic&gt;wgs1984&lt;/geodetic&gt;
&lt;iConf&gt;5&lt;/iConf&gt;
&lt;converted&gt;福島県いわき市小名浜玉川町南&lt;/converted&gt;
&lt;candidate&gt;
&lt;address&gt;福島県/いわき市/小名浜玉川町/南&lt;/address&gt;
&lt;longitude&gt;140.882950&lt;/longitude&gt;
&lt;latitude&gt;36.984409&lt;/latitude&gt;
&lt;iLvl&gt;6&lt;/iLvl&gt;
&lt;/candidate&gt;
&lt;/results&gt;
</v>
      </c>
      <c r="F66" cm="1">
        <f t="array" ref="F66">INDEX(_xlfn.FILTERXML(E66,"//latitude"),1)</f>
        <v>36.984408999999999</v>
      </c>
      <c r="G66" cm="1">
        <f t="array" ref="G66">INDEX(_xlfn.FILTERXML(E66,"//longitude"),1)</f>
        <v>140.88294999999999</v>
      </c>
      <c r="H66">
        <v>36.984408999999999</v>
      </c>
      <c r="I66">
        <v>140.88294999999999</v>
      </c>
    </row>
    <row r="67" spans="1:9" x14ac:dyDescent="0.4">
      <c r="A67" t="s">
        <v>19</v>
      </c>
      <c r="B67" t="s">
        <v>113</v>
      </c>
      <c r="C67" t="str">
        <f t="shared" ref="C67:C130" si="15">+A67&amp;B67</f>
        <v>福岡県福岡市中央区小笹</v>
      </c>
      <c r="D67" s="2" t="str">
        <f t="shared" si="13"/>
        <v>http://geocode.csis.u-tokyo.ac.jp/cgi-bin/simple_geocode.cgi?charset=UTF8&amp;addr=%E7%A6%8F%E5%B2%A1%E7%9C%8C%E7%A6%8F%E5%B2%A1%E5%B8%82%E4%B8%AD%E5%A4%AE%E5%8C%BA%E5%B0%8F%E7%AC%B9</v>
      </c>
      <c r="E67" t="str">
        <f t="shared" si="14"/>
        <v xml:space="preserve">&lt;?xml version="1.0" encoding="UTF-8" ?&gt;
&lt;results&gt;
&lt;query&gt;福岡県福岡市中央区小笹&lt;/query&gt;
&lt;geodetic&gt;wgs1984&lt;/geodetic&gt;
&lt;iConf&gt;5&lt;/iConf&gt;
&lt;converted&gt;福岡県福岡市中央区小笹&lt;/converted&gt;
&lt;candidate&gt;
&lt;address&gt;福岡県/福岡市/中央区/小笹&lt;/address&gt;
&lt;longitude&gt;130.391098&lt;/longitude&gt;
&lt;latitude&gt;33.562202&lt;/latitude&gt;
&lt;iLvl&gt;5&lt;/iLvl&gt;
&lt;/candidate&gt;
&lt;/results&gt;
</v>
      </c>
      <c r="F67" cm="1">
        <f t="array" ref="F67">INDEX(_xlfn.FILTERXML(E67,"//latitude"),1)</f>
        <v>33.562201999999999</v>
      </c>
      <c r="G67" cm="1">
        <f t="array" ref="G67">INDEX(_xlfn.FILTERXML(E67,"//longitude"),1)</f>
        <v>130.391098</v>
      </c>
      <c r="H67">
        <v>33.562201999999999</v>
      </c>
      <c r="I67">
        <v>130.391098</v>
      </c>
    </row>
    <row r="68" spans="1:9" x14ac:dyDescent="0.4">
      <c r="A68" t="s">
        <v>15</v>
      </c>
      <c r="B68" t="s">
        <v>548</v>
      </c>
      <c r="C68" t="str">
        <f t="shared" si="15"/>
        <v>愛知県名古屋市中区栄5丁目</v>
      </c>
      <c r="D68" s="2" t="str">
        <f t="shared" si="13"/>
        <v>http://geocode.csis.u-tokyo.ac.jp/cgi-bin/simple_geocode.cgi?charset=UTF8&amp;addr=%E6%84%9B%E7%9F%A5%E7%9C%8C%E5%90%8D%E5%8F%A4%E5%B1%8B%E5%B8%82%E4%B8%AD%E5%8C%BA%E6%A0%845%E4%B8%81%E7%9B%AE</v>
      </c>
      <c r="E68" t="str">
        <f t="shared" si="14"/>
        <v xml:space="preserve">&lt;?xml version="1.0" encoding="UTF-8" ?&gt;
&lt;results&gt;
&lt;query&gt;愛知県名古屋市中区栄5丁目&lt;/query&gt;
&lt;geodetic&gt;wgs1984&lt;/geodetic&gt;
&lt;iConf&gt;5&lt;/iConf&gt;
&lt;converted&gt;愛知県名古屋市中区栄5丁目&lt;/converted&gt;
&lt;candidate&gt;
&lt;address&gt;愛知県/名古屋市/中区/栄/五丁目&lt;/address&gt;
&lt;longitude&gt;136.912338&lt;/longitude&gt;
&lt;latitude&gt;35.163952&lt;/latitude&gt;
&lt;iLvl&gt;6&lt;/iLvl&gt;
&lt;/candidate&gt;
&lt;/results&gt;
</v>
      </c>
      <c r="F68" cm="1">
        <f t="array" ref="F68">INDEX(_xlfn.FILTERXML(E68,"//latitude"),1)</f>
        <v>35.163952000000002</v>
      </c>
      <c r="G68" cm="1">
        <f t="array" ref="G68">INDEX(_xlfn.FILTERXML(E68,"//longitude"),1)</f>
        <v>136.91233800000001</v>
      </c>
      <c r="H68">
        <v>35.163952000000002</v>
      </c>
      <c r="I68">
        <v>136.91233800000001</v>
      </c>
    </row>
    <row r="69" spans="1:9" x14ac:dyDescent="0.4">
      <c r="A69" t="s">
        <v>28</v>
      </c>
      <c r="B69" t="s">
        <v>549</v>
      </c>
      <c r="C69" t="str">
        <f t="shared" si="15"/>
        <v>三重県名張市すずらん台西</v>
      </c>
      <c r="D69" s="2" t="str">
        <f t="shared" si="13"/>
        <v>http://geocode.csis.u-tokyo.ac.jp/cgi-bin/simple_geocode.cgi?charset=UTF8&amp;addr=%E4%B8%89%E9%87%8D%E7%9C%8C%E5%90%8D%E5%BC%B5%E5%B8%82%E3%81%99%E3%81%9A%E3%82%89%E3%82%93%E5%8F%B0%E8%A5%BF</v>
      </c>
      <c r="E69" t="str">
        <f t="shared" si="14"/>
        <v xml:space="preserve">&lt;?xml version="1.0" encoding="UTF-8" ?&gt;
&lt;results&gt;
&lt;query&gt;三重県名張市すずらん台西&lt;/query&gt;
&lt;geodetic&gt;wgs1984&lt;/geodetic&gt;
&lt;iConf&gt;4&lt;/iConf&gt;
&lt;converted&gt;三重県名張市すずらん台西&lt;/converted&gt;
&lt;candidate&gt;
&lt;address&gt;三重県/名張市/すずらん台西一番町&lt;/address&gt;
&lt;longitude&gt;136.153915&lt;/longitude&gt;
&lt;latitude&gt;34.642876&lt;/latitude&gt;
&lt;iLvl&gt;5&lt;/iLvl&gt;
&lt;/candidate&gt;
&lt;candidate&gt;
&lt;address&gt;三重県/名張市/すずらん台西二番町&lt;/address&gt;
&lt;longitude&gt;136.159790&lt;/longitude&gt;
&lt;latitude&gt;34.640068&lt;/latitude&gt;
&lt;iLvl&gt;5&lt;/iLvl&gt;
&lt;/candidate&gt;
&lt;candidate&gt;
&lt;address&gt;三重県/名張市/すずらん台西三番町&lt;/address&gt;
&lt;longitude&gt;136.157654&lt;/longitude&gt;
&lt;latitude&gt;34.637661&lt;/latitude&gt;
&lt;iLvl&gt;5&lt;/iLvl&gt;
&lt;/candidate&gt;
&lt;candidate&gt;
&lt;address&gt;三重県/名張市/すずらん台西四番町&lt;/address&gt;
&lt;longitude&gt;136.159866&lt;/longitude&gt;
&lt;latitude&gt;34.638916&lt;/latitude&gt;
&lt;iLvl&gt;5&lt;/iLvl&gt;
&lt;/candidate&gt;
&lt;/results&gt;
</v>
      </c>
      <c r="F69" cm="1">
        <f t="array" ref="F69">INDEX(_xlfn.FILTERXML(E69,"//latitude"),1)</f>
        <v>34.642876000000001</v>
      </c>
      <c r="G69" cm="1">
        <f t="array" ref="G69">INDEX(_xlfn.FILTERXML(E69,"//longitude"),1)</f>
        <v>136.15391500000001</v>
      </c>
      <c r="H69">
        <v>34.642876000000001</v>
      </c>
      <c r="I69">
        <v>136.15391500000001</v>
      </c>
    </row>
    <row r="70" spans="1:9" x14ac:dyDescent="0.4">
      <c r="A70" t="s">
        <v>11</v>
      </c>
      <c r="B70" t="s">
        <v>224</v>
      </c>
      <c r="C70" t="str">
        <f t="shared" si="15"/>
        <v>大阪府大阪市北区東天満</v>
      </c>
      <c r="D70" s="2" t="str">
        <f t="shared" si="13"/>
        <v>http://geocode.csis.u-tokyo.ac.jp/cgi-bin/simple_geocode.cgi?charset=UTF8&amp;addr=%E5%A4%A7%E9%98%AA%E5%BA%9C%E5%A4%A7%E9%98%AA%E5%B8%82%E5%8C%97%E5%8C%BA%E6%9D%B1%E5%A4%A9%E6%BA%80</v>
      </c>
      <c r="E70" t="str">
        <f t="shared" si="14"/>
        <v xml:space="preserve">&lt;?xml version="1.0" encoding="UTF-8" ?&gt;
&lt;results&gt;
&lt;query&gt;大阪府大阪市北区東天満&lt;/query&gt;
&lt;geodetic&gt;wgs1984&lt;/geodetic&gt;
&lt;iConf&gt;5&lt;/iConf&gt;
&lt;converted&gt;大阪府大阪市北区東天満&lt;/converted&gt;
&lt;candidate&gt;
&lt;address&gt;大阪府/大阪市/北区/東天満&lt;/address&gt;
&lt;longitude&gt;135.515869&lt;/longitude&gt;
&lt;latitude&gt;34.696594&lt;/latitude&gt;
&lt;iLvl&gt;5&lt;/iLvl&gt;
&lt;/candidate&gt;
&lt;/results&gt;
</v>
      </c>
      <c r="F70" cm="1">
        <f t="array" ref="F70">INDEX(_xlfn.FILTERXML(E70,"//latitude"),1)</f>
        <v>34.696593999999997</v>
      </c>
      <c r="G70" cm="1">
        <f t="array" ref="G70">INDEX(_xlfn.FILTERXML(E70,"//longitude"),1)</f>
        <v>135.51586900000001</v>
      </c>
      <c r="H70">
        <v>34.696593999999997</v>
      </c>
      <c r="I70">
        <v>135.51586900000001</v>
      </c>
    </row>
    <row r="71" spans="1:9" x14ac:dyDescent="0.4">
      <c r="A71" t="s">
        <v>10</v>
      </c>
      <c r="B71" t="s">
        <v>550</v>
      </c>
      <c r="C71" t="str">
        <f t="shared" si="15"/>
        <v>神奈川県厚木市</v>
      </c>
      <c r="D71" s="2" t="str">
        <f t="shared" ref="D71:D95" si="16" xml:space="preserve"> "http://geocode.csis.u-tokyo.ac.jp/cgi-bin/simple_geocode.cgi?charset=UTF8&amp;addr=" &amp; _xlfn.ENCODEURL(C71)</f>
        <v>http://geocode.csis.u-tokyo.ac.jp/cgi-bin/simple_geocode.cgi?charset=UTF8&amp;addr=%E7%A5%9E%E5%A5%88%E5%B7%9D%E7%9C%8C%E5%8E%9A%E6%9C%A8%E5%B8%82</v>
      </c>
      <c r="E71" t="str">
        <f t="shared" ref="E71:E95" si="17" xml:space="preserve"> _xlfn.WEBSERVICE(D71)</f>
        <v xml:space="preserve">&lt;?xml version="1.0" encoding="UTF-8" ?&gt;
&lt;results&gt;
&lt;query&gt;神奈川県厚木市&lt;/query&gt;
&lt;geodetic&gt;wgs1984&lt;/geodetic&gt;
&lt;iConf&gt;5&lt;/iConf&gt;
&lt;converted&gt;神奈川県厚木市&lt;/converted&gt;
&lt;candidate&gt;
&lt;address&gt;神奈川県/厚木市&lt;/address&gt;
&lt;longitude&gt;139.362442&lt;/longitude&gt;
&lt;latitude&gt;35.443050&lt;/latitude&gt;
&lt;iLvl&gt;3&lt;/iLvl&gt;
&lt;/candidate&gt;
&lt;/results&gt;
</v>
      </c>
      <c r="F71" cm="1">
        <f t="array" ref="F71">INDEX(_xlfn.FILTERXML(E71,"//latitude"),1)</f>
        <v>35.443049999999999</v>
      </c>
      <c r="G71" cm="1">
        <f t="array" ref="G71">INDEX(_xlfn.FILTERXML(E71,"//longitude"),1)</f>
        <v>139.36244199999999</v>
      </c>
      <c r="H71">
        <v>35.443049999999999</v>
      </c>
      <c r="I71">
        <v>139.36244199999999</v>
      </c>
    </row>
    <row r="72" spans="1:9" x14ac:dyDescent="0.4">
      <c r="A72" t="s">
        <v>11</v>
      </c>
      <c r="B72" t="s">
        <v>551</v>
      </c>
      <c r="C72" t="str">
        <f t="shared" si="15"/>
        <v>大阪府守口市外島町2-2</v>
      </c>
      <c r="D72" s="2" t="str">
        <f t="shared" si="16"/>
        <v>http://geocode.csis.u-tokyo.ac.jp/cgi-bin/simple_geocode.cgi?charset=UTF8&amp;addr=%E5%A4%A7%E9%98%AA%E5%BA%9C%E5%AE%88%E5%8F%A3%E5%B8%82%E5%A4%96%E5%B3%B6%E7%94%BA2-2</v>
      </c>
      <c r="E72" t="str">
        <f t="shared" si="17"/>
        <v xml:space="preserve">&lt;?xml version="1.0" encoding="UTF-8" ?&gt;
&lt;results&gt;
&lt;query&gt;大阪府守口市外島町2-2&lt;/query&gt;
&lt;geodetic&gt;wgs1984&lt;/geodetic&gt;
&lt;iConf&gt;5&lt;/iConf&gt;
&lt;converted&gt;大阪府守口市外島町2-2&lt;/converted&gt;
&lt;candidate&gt;
&lt;address&gt;大阪府/守口市/外島町/２番/２号&lt;/address&gt;
&lt;longitude&gt;135.561707&lt;/longitude&gt;
&lt;latitude&gt;34.741562&lt;/latitude&gt;
&lt;iLvl&gt;8&lt;/iLvl&gt;
&lt;/candidate&gt;
&lt;/results&gt;
</v>
      </c>
      <c r="F72" cm="1">
        <f t="array" ref="F72">INDEX(_xlfn.FILTERXML(E72,"//latitude"),1)</f>
        <v>34.741562000000002</v>
      </c>
      <c r="G72" cm="1">
        <f t="array" ref="G72">INDEX(_xlfn.FILTERXML(E72,"//longitude"),1)</f>
        <v>135.56170700000001</v>
      </c>
      <c r="H72">
        <v>34.741562000000002</v>
      </c>
      <c r="I72">
        <v>135.56170700000001</v>
      </c>
    </row>
    <row r="73" spans="1:9" x14ac:dyDescent="0.4">
      <c r="A73" t="s">
        <v>13</v>
      </c>
      <c r="B73" t="s">
        <v>115</v>
      </c>
      <c r="C73" t="str">
        <f t="shared" si="15"/>
        <v>兵庫県神戸市東灘区本山南町</v>
      </c>
      <c r="D73" s="2" t="str">
        <f t="shared" si="16"/>
        <v>http://geocode.csis.u-tokyo.ac.jp/cgi-bin/simple_geocode.cgi?charset=UTF8&amp;addr=%E5%85%B5%E5%BA%AB%E7%9C%8C%E7%A5%9E%E6%88%B8%E5%B8%82%E6%9D%B1%E7%81%98%E5%8C%BA%E6%9C%AC%E5%B1%B1%E5%8D%97%E7%94%BA</v>
      </c>
      <c r="E73" t="str">
        <f t="shared" si="17"/>
        <v xml:space="preserve">&lt;?xml version="1.0" encoding="UTF-8" ?&gt;
&lt;results&gt;
&lt;query&gt;兵庫県神戸市東灘区本山南町&lt;/query&gt;
&lt;geodetic&gt;wgs1984&lt;/geodetic&gt;
&lt;iConf&gt;5&lt;/iConf&gt;
&lt;converted&gt;兵庫県神戸市東灘区本山南町&lt;/converted&gt;
&lt;candidate&gt;
&lt;address&gt;兵庫県/神戸市/東灘区/本山南町&lt;/address&gt;
&lt;longitude&gt;135.287949&lt;/longitude&gt;
&lt;latitude&gt;34.723492&lt;/latitude&gt;
&lt;iLvl&gt;5&lt;/iLvl&gt;
&lt;/candidate&gt;
&lt;/results&gt;
</v>
      </c>
      <c r="F73" cm="1">
        <f t="array" ref="F73">INDEX(_xlfn.FILTERXML(E73,"//latitude"),1)</f>
        <v>34.723492</v>
      </c>
      <c r="G73" cm="1">
        <f t="array" ref="G73">INDEX(_xlfn.FILTERXML(E73,"//longitude"),1)</f>
        <v>135.287949</v>
      </c>
      <c r="H73">
        <v>34.723492</v>
      </c>
      <c r="I73">
        <v>135.287949</v>
      </c>
    </row>
    <row r="74" spans="1:9" x14ac:dyDescent="0.4">
      <c r="A74" t="s">
        <v>21</v>
      </c>
      <c r="B74" t="s">
        <v>116</v>
      </c>
      <c r="C74" t="str">
        <f t="shared" si="15"/>
        <v>栃木県河内郡上三川町</v>
      </c>
      <c r="D74" s="2" t="str">
        <f t="shared" si="16"/>
        <v>http://geocode.csis.u-tokyo.ac.jp/cgi-bin/simple_geocode.cgi?charset=UTF8&amp;addr=%E6%A0%83%E6%9C%A8%E7%9C%8C%E6%B2%B3%E5%86%85%E9%83%A1%E4%B8%8A%E4%B8%89%E5%B7%9D%E7%94%BA</v>
      </c>
      <c r="E74" t="str">
        <f t="shared" si="17"/>
        <v xml:space="preserve">&lt;?xml version="1.0" encoding="UTF-8" ?&gt;
&lt;results&gt;
&lt;query&gt;栃木県河内郡上三川町&lt;/query&gt;
&lt;geodetic&gt;wgs1984&lt;/geodetic&gt;
&lt;iConf&gt;5&lt;/iConf&gt;
&lt;converted&gt;栃木県河内郡上三川町&lt;/converted&gt;
&lt;candidate&gt;
&lt;address&gt;栃木県/河内郡/上三川町&lt;/address&gt;
&lt;longitude&gt;139.910217&lt;/longitude&gt;
&lt;latitude&gt;36.439266&lt;/latitude&gt;
&lt;iLvl&gt;3&lt;/iLvl&gt;
&lt;/candidate&gt;
&lt;/results&gt;
</v>
      </c>
      <c r="F74" cm="1">
        <f t="array" ref="F74">INDEX(_xlfn.FILTERXML(E74,"//latitude"),1)</f>
        <v>36.439266000000003</v>
      </c>
      <c r="G74" cm="1">
        <f t="array" ref="G74">INDEX(_xlfn.FILTERXML(E74,"//longitude"),1)</f>
        <v>139.91021699999999</v>
      </c>
      <c r="H74">
        <v>36.439266000000003</v>
      </c>
      <c r="I74">
        <v>139.91021699999999</v>
      </c>
    </row>
    <row r="75" spans="1:9" x14ac:dyDescent="0.4">
      <c r="A75" t="s">
        <v>20</v>
      </c>
      <c r="B75" t="s">
        <v>117</v>
      </c>
      <c r="C75" t="str">
        <f t="shared" si="15"/>
        <v>宮城県富谷市明石台</v>
      </c>
      <c r="D75" s="2" t="str">
        <f t="shared" si="16"/>
        <v>http://geocode.csis.u-tokyo.ac.jp/cgi-bin/simple_geocode.cgi?charset=UTF8&amp;addr=%E5%AE%AE%E5%9F%8E%E7%9C%8C%E5%AF%8C%E8%B0%B7%E5%B8%82%E6%98%8E%E7%9F%B3%E5%8F%B0</v>
      </c>
      <c r="E75" t="str">
        <f t="shared" si="17"/>
        <v xml:space="preserve">&lt;?xml version="1.0" encoding="UTF-8" ?&gt;
&lt;results&gt;
&lt;query&gt;宮城県富谷市明石台&lt;/query&gt;
&lt;geodetic&gt;wgs1984&lt;/geodetic&gt;
&lt;iConf&gt;5&lt;/iConf&gt;
&lt;converted&gt;宮城県富谷市明石台&lt;/converted&gt;
&lt;candidate&gt;
&lt;address&gt;宮城県/富谷市/明石台&lt;/address&gt;
&lt;longitude&gt;140.899216&lt;/longitude&gt;
&lt;latitude&gt;38.344250&lt;/latitude&gt;
&lt;iLvl&gt;5&lt;/iLvl&gt;
&lt;/candidate&gt;
&lt;/results&gt;
</v>
      </c>
      <c r="F75" cm="1">
        <f t="array" ref="F75">INDEX(_xlfn.FILTERXML(E75,"//latitude"),1)</f>
        <v>38.344250000000002</v>
      </c>
      <c r="G75" cm="1">
        <f t="array" ref="G75">INDEX(_xlfn.FILTERXML(E75,"//longitude"),1)</f>
        <v>140.899216</v>
      </c>
      <c r="H75">
        <v>38.344250000000002</v>
      </c>
      <c r="I75">
        <v>140.899216</v>
      </c>
    </row>
    <row r="76" spans="1:9" x14ac:dyDescent="0.4">
      <c r="A76" t="s">
        <v>11</v>
      </c>
      <c r="B76" t="s">
        <v>118</v>
      </c>
      <c r="C76" t="str">
        <f t="shared" si="15"/>
        <v>大阪府箕面市西小路</v>
      </c>
      <c r="D76" s="2" t="str">
        <f t="shared" si="16"/>
        <v>http://geocode.csis.u-tokyo.ac.jp/cgi-bin/simple_geocode.cgi?charset=UTF8&amp;addr=%E5%A4%A7%E9%98%AA%E5%BA%9C%E7%AE%95%E9%9D%A2%E5%B8%82%E8%A5%BF%E5%B0%8F%E8%B7%AF</v>
      </c>
      <c r="E76" t="str">
        <f t="shared" si="17"/>
        <v xml:space="preserve">&lt;?xml version="1.0" encoding="UTF-8" ?&gt;
&lt;results&gt;
&lt;query&gt;大阪府箕面市西小路&lt;/query&gt;
&lt;geodetic&gt;wgs1984&lt;/geodetic&gt;
&lt;iConf&gt;5&lt;/iConf&gt;
&lt;converted&gt;大阪府箕面市西小路&lt;/converted&gt;
&lt;candidate&gt;
&lt;address&gt;大阪府/箕面市/西小路&lt;/address&gt;
&lt;longitude&gt;135.466660&lt;/longitude&gt;
&lt;latitude&gt;34.829231&lt;/latitude&gt;
&lt;iLvl&gt;5&lt;/iLvl&gt;
&lt;/candidate&gt;
&lt;/results&gt;
</v>
      </c>
      <c r="F76" cm="1">
        <f t="array" ref="F76">INDEX(_xlfn.FILTERXML(E76,"//latitude"),1)</f>
        <v>34.829231</v>
      </c>
      <c r="G76" cm="1">
        <f t="array" ref="G76">INDEX(_xlfn.FILTERXML(E76,"//longitude"),1)</f>
        <v>135.46665999999999</v>
      </c>
      <c r="H76">
        <v>34.829231</v>
      </c>
      <c r="I76">
        <v>135.46665999999999</v>
      </c>
    </row>
    <row r="77" spans="1:9" x14ac:dyDescent="0.4">
      <c r="A77" t="s">
        <v>20</v>
      </c>
      <c r="B77" t="s">
        <v>119</v>
      </c>
      <c r="C77" t="str">
        <f t="shared" si="15"/>
        <v>宮城県多賀城市東田中2-40-29</v>
      </c>
      <c r="D77" s="2" t="str">
        <f t="shared" si="16"/>
        <v>http://geocode.csis.u-tokyo.ac.jp/cgi-bin/simple_geocode.cgi?charset=UTF8&amp;addr=%E5%AE%AE%E5%9F%8E%E7%9C%8C%E5%A4%9A%E8%B3%80%E5%9F%8E%E5%B8%82%E6%9D%B1%E7%94%B0%E4%B8%AD2-40-29</v>
      </c>
      <c r="E77" t="str">
        <f t="shared" si="17"/>
        <v xml:space="preserve">&lt;?xml version="1.0" encoding="UTF-8" ?&gt;
&lt;results&gt;
&lt;query&gt;宮城県多賀城市東田中2-40-29&lt;/query&gt;
&lt;geodetic&gt;wgs1984&lt;/geodetic&gt;
&lt;iConf&gt;5&lt;/iConf&gt;
&lt;converted&gt;宮城県多賀城市東田中2-40-29&lt;/converted&gt;
&lt;candidate&gt;
&lt;address&gt;宮城県/多賀城市/東田中/二丁目/４０番/２９号&lt;/address&gt;
&lt;longitude&gt;141.001648&lt;/longitude&gt;
&lt;latitude&gt;38.290306&lt;/latitude&gt;
&lt;iLvl&gt;8&lt;/iLvl&gt;
&lt;/candidate&gt;
&lt;/results&gt;
</v>
      </c>
      <c r="F77" cm="1">
        <f t="array" ref="F77">INDEX(_xlfn.FILTERXML(E77,"//latitude"),1)</f>
        <v>38.290306000000001</v>
      </c>
      <c r="G77" cm="1">
        <f t="array" ref="G77">INDEX(_xlfn.FILTERXML(E77,"//longitude"),1)</f>
        <v>141.00164799999999</v>
      </c>
      <c r="H77">
        <v>38.290306000000001</v>
      </c>
      <c r="I77">
        <v>141.00164799999999</v>
      </c>
    </row>
    <row r="78" spans="1:9" x14ac:dyDescent="0.4">
      <c r="A78" t="s">
        <v>17</v>
      </c>
      <c r="B78" t="s">
        <v>120</v>
      </c>
      <c r="C78" t="str">
        <f t="shared" si="15"/>
        <v>滋賀県大津市</v>
      </c>
      <c r="D78" s="2" t="str">
        <f t="shared" si="16"/>
        <v>http://geocode.csis.u-tokyo.ac.jp/cgi-bin/simple_geocode.cgi?charset=UTF8&amp;addr=%E6%BB%8B%E8%B3%80%E7%9C%8C%E5%A4%A7%E6%B4%A5%E5%B8%82</v>
      </c>
      <c r="E78" t="str">
        <f t="shared" si="17"/>
        <v xml:space="preserve">&lt;?xml version="1.0" encoding="UTF-8" ?&gt;
&lt;results&gt;
&lt;query&gt;滋賀県大津市&lt;/query&gt;
&lt;geodetic&gt;wgs1984&lt;/geodetic&gt;
&lt;iConf&gt;5&lt;/iConf&gt;
&lt;converted&gt;滋賀県大津市&lt;/converted&gt;
&lt;candidate&gt;
&lt;address&gt;滋賀県/大津市&lt;/address&gt;
&lt;longitude&gt;135.854660&lt;/longitude&gt;
&lt;latitude&gt;35.018356&lt;/latitude&gt;
&lt;iLvl&gt;3&lt;/iLvl&gt;
&lt;/candidate&gt;
&lt;/results&gt;
</v>
      </c>
      <c r="F78" cm="1">
        <f t="array" ref="F78">INDEX(_xlfn.FILTERXML(E78,"//latitude"),1)</f>
        <v>35.018355999999997</v>
      </c>
      <c r="G78" cm="1">
        <f t="array" ref="G78">INDEX(_xlfn.FILTERXML(E78,"//longitude"),1)</f>
        <v>135.85466</v>
      </c>
      <c r="H78">
        <v>35.018355999999997</v>
      </c>
      <c r="I78">
        <v>135.85466</v>
      </c>
    </row>
    <row r="79" spans="1:9" x14ac:dyDescent="0.4">
      <c r="A79" t="s">
        <v>10</v>
      </c>
      <c r="B79" t="s">
        <v>121</v>
      </c>
      <c r="C79" t="str">
        <f t="shared" si="15"/>
        <v>神奈川県横浜市神奈川区神大寺</v>
      </c>
      <c r="D79" s="2" t="str">
        <f t="shared" si="16"/>
        <v>http://geocode.csis.u-tokyo.ac.jp/cgi-bin/simple_geocode.cgi?charset=UTF8&amp;addr=%E7%A5%9E%E5%A5%88%E5%B7%9D%E7%9C%8C%E6%A8%AA%E6%B5%9C%E5%B8%82%E7%A5%9E%E5%A5%88%E5%B7%9D%E5%8C%BA%E7%A5%9E%E5%A4%A7%E5%AF%BA</v>
      </c>
      <c r="E79" t="str">
        <f t="shared" si="17"/>
        <v xml:space="preserve">&lt;?xml version="1.0" encoding="UTF-8" ?&gt;
&lt;results&gt;
&lt;query&gt;神奈川県横浜市神奈川区神大寺&lt;/query&gt;
&lt;geodetic&gt;wgs1984&lt;/geodetic&gt;
&lt;iConf&gt;5&lt;/iConf&gt;
&lt;converted&gt;神奈川県横浜市神奈川区神大寺&lt;/converted&gt;
&lt;candidate&gt;
&lt;address&gt;神奈川県/横浜市/神奈川区/神大寺&lt;/address&gt;
&lt;longitude&gt;139.614731&lt;/longitude&gt;
&lt;latitude&gt;35.484077&lt;/latitude&gt;
&lt;iLvl&gt;5&lt;/iLvl&gt;
&lt;/candidate&gt;
&lt;/results&gt;
</v>
      </c>
      <c r="F79" cm="1">
        <f t="array" ref="F79">INDEX(_xlfn.FILTERXML(E79,"//latitude"),1)</f>
        <v>35.484076999999999</v>
      </c>
      <c r="G79" cm="1">
        <f t="array" ref="G79">INDEX(_xlfn.FILTERXML(E79,"//longitude"),1)</f>
        <v>139.61473100000001</v>
      </c>
      <c r="H79">
        <v>35.484076999999999</v>
      </c>
      <c r="I79">
        <v>139.61473100000001</v>
      </c>
    </row>
    <row r="80" spans="1:9" x14ac:dyDescent="0.4">
      <c r="A80" t="s">
        <v>85</v>
      </c>
      <c r="B80" t="s">
        <v>122</v>
      </c>
      <c r="C80" t="str">
        <f t="shared" si="15"/>
        <v>奈良県生駒市西白庭台</v>
      </c>
      <c r="D80" s="2" t="str">
        <f t="shared" si="16"/>
        <v>http://geocode.csis.u-tokyo.ac.jp/cgi-bin/simple_geocode.cgi?charset=UTF8&amp;addr=%E5%A5%88%E8%89%AF%E7%9C%8C%E7%94%9F%E9%A7%92%E5%B8%82%E8%A5%BF%E7%99%BD%E5%BA%AD%E5%8F%B0</v>
      </c>
      <c r="E80" t="str">
        <f t="shared" si="17"/>
        <v xml:space="preserve">&lt;?xml version="1.0" encoding="UTF-8" ?&gt;
&lt;results&gt;
&lt;query&gt;奈良県生駒市西白庭台&lt;/query&gt;
&lt;geodetic&gt;wgs1984&lt;/geodetic&gt;
&lt;iConf&gt;5&lt;/iConf&gt;
&lt;converted&gt;奈良県生駒市西白庭台&lt;/converted&gt;
&lt;candidate&gt;
&lt;address&gt;奈良県/生駒市/西白庭台&lt;/address&gt;
&lt;longitude&gt;135.707275&lt;/longitude&gt;
&lt;latitude&gt;34.725323&lt;/latitude&gt;
&lt;iLvl&gt;5&lt;/iLvl&gt;
&lt;/candidate&gt;
&lt;/results&gt;
</v>
      </c>
      <c r="F80" cm="1">
        <f t="array" ref="F80">INDEX(_xlfn.FILTERXML(E80,"//latitude"),1)</f>
        <v>34.725323000000003</v>
      </c>
      <c r="G80" cm="1">
        <f t="array" ref="G80">INDEX(_xlfn.FILTERXML(E80,"//longitude"),1)</f>
        <v>135.70727500000001</v>
      </c>
      <c r="H80">
        <v>34.725323000000003</v>
      </c>
      <c r="I80">
        <v>135.70727500000001</v>
      </c>
    </row>
    <row r="81" spans="1:9" x14ac:dyDescent="0.4">
      <c r="A81" t="s">
        <v>10</v>
      </c>
      <c r="B81" t="s">
        <v>123</v>
      </c>
      <c r="C81" t="str">
        <f t="shared" si="15"/>
        <v>神奈川県厚木市森の里</v>
      </c>
      <c r="D81" s="2" t="str">
        <f t="shared" si="16"/>
        <v>http://geocode.csis.u-tokyo.ac.jp/cgi-bin/simple_geocode.cgi?charset=UTF8&amp;addr=%E7%A5%9E%E5%A5%88%E5%B7%9D%E7%9C%8C%E5%8E%9A%E6%9C%A8%E5%B8%82%E6%A3%AE%E3%81%AE%E9%87%8C</v>
      </c>
      <c r="E81" t="str">
        <f t="shared" si="17"/>
        <v xml:space="preserve">&lt;?xml version="1.0" encoding="UTF-8" ?&gt;
&lt;results&gt;
&lt;query&gt;神奈川県厚木市森の里&lt;/query&gt;
&lt;geodetic&gt;wgs1984&lt;/geodetic&gt;
&lt;iConf&gt;5&lt;/iConf&gt;
&lt;converted&gt;神奈川県厚木市森の里&lt;/converted&gt;
&lt;candidate&gt;
&lt;address&gt;神奈川県/厚木市/森の里&lt;/address&gt;
&lt;longitude&gt;139.308960&lt;/longitude&gt;
&lt;latitude&gt;35.441990&lt;/latitude&gt;
&lt;iLvl&gt;5&lt;/iLvl&gt;
&lt;/candidate&gt;
&lt;/results&gt;
</v>
      </c>
      <c r="F81" cm="1">
        <f t="array" ref="F81">INDEX(_xlfn.FILTERXML(E81,"//latitude"),1)</f>
        <v>35.441989999999997</v>
      </c>
      <c r="G81" cm="1">
        <f t="array" ref="G81">INDEX(_xlfn.FILTERXML(E81,"//longitude"),1)</f>
        <v>139.30896000000001</v>
      </c>
      <c r="H81">
        <v>35.441989999999997</v>
      </c>
      <c r="I81">
        <v>139.30896000000001</v>
      </c>
    </row>
    <row r="82" spans="1:9" x14ac:dyDescent="0.4">
      <c r="A82" t="s">
        <v>11</v>
      </c>
      <c r="B82" t="s">
        <v>124</v>
      </c>
      <c r="C82" t="str">
        <f t="shared" si="15"/>
        <v>大阪府吹田市江の木町</v>
      </c>
      <c r="D82" s="2" t="str">
        <f t="shared" si="16"/>
        <v>http://geocode.csis.u-tokyo.ac.jp/cgi-bin/simple_geocode.cgi?charset=UTF8&amp;addr=%E5%A4%A7%E9%98%AA%E5%BA%9C%E5%90%B9%E7%94%B0%E5%B8%82%E6%B1%9F%E3%81%AE%E6%9C%A8%E7%94%BA</v>
      </c>
      <c r="E82" t="str">
        <f t="shared" si="17"/>
        <v xml:space="preserve">&lt;?xml version="1.0" encoding="UTF-8" ?&gt;
&lt;results&gt;
&lt;query&gt;大阪府吹田市江の木町&lt;/query&gt;
&lt;geodetic&gt;wgs1984&lt;/geodetic&gt;
&lt;iConf&gt;5&lt;/iConf&gt;
&lt;converted&gt;大阪府吹田市江の木町&lt;/converted&gt;
&lt;candidate&gt;
&lt;address&gt;大阪府/吹田市/江の木町&lt;/address&gt;
&lt;longitude&gt;135.494431&lt;/longitude&gt;
&lt;latitude&gt;34.754128&lt;/latitude&gt;
&lt;iLvl&gt;5&lt;/iLvl&gt;
&lt;/candidate&gt;
&lt;/results&gt;
</v>
      </c>
      <c r="F82" cm="1">
        <f t="array" ref="F82">INDEX(_xlfn.FILTERXML(E82,"//latitude"),1)</f>
        <v>34.754128000000001</v>
      </c>
      <c r="G82" cm="1">
        <f t="array" ref="G82">INDEX(_xlfn.FILTERXML(E82,"//longitude"),1)</f>
        <v>135.49443099999999</v>
      </c>
      <c r="H82">
        <v>34.754128000000001</v>
      </c>
      <c r="I82">
        <v>135.49443099999999</v>
      </c>
    </row>
    <row r="83" spans="1:9" x14ac:dyDescent="0.4">
      <c r="A83" t="s">
        <v>23</v>
      </c>
      <c r="B83" t="s">
        <v>125</v>
      </c>
      <c r="C83" t="str">
        <f t="shared" si="15"/>
        <v>京都府京都市南区西九条大国町6-1</v>
      </c>
      <c r="D83" s="2" t="str">
        <f t="shared" si="16"/>
        <v>http://geocode.csis.u-tokyo.ac.jp/cgi-bin/simple_geocode.cgi?charset=UTF8&amp;addr=%E4%BA%AC%E9%83%BD%E5%BA%9C%E4%BA%AC%E9%83%BD%E5%B8%82%E5%8D%97%E5%8C%BA%E8%A5%BF%E4%B9%9D%E6%9D%A1%E5%A4%A7%E5%9B%BD%E7%94%BA6-1</v>
      </c>
      <c r="E83" t="str">
        <f t="shared" si="17"/>
        <v xml:space="preserve">&lt;?xml version="1.0" encoding="UTF-8" ?&gt;
&lt;results&gt;
&lt;query&gt;京都府京都市南区西九条大国町6-1&lt;/query&gt;
&lt;geodetic&gt;wgs1984&lt;/geodetic&gt;
&lt;iConf&gt;5&lt;/iConf&gt;
&lt;converted&gt;京都府京都市南区西九条大国町6-&lt;/converted&gt;
&lt;candidate&gt;
&lt;address&gt;京都府/京都市/南区/西九条大国町/６番地&lt;/address&gt;
&lt;longitude&gt;135.744781&lt;/longitude&gt;
&lt;latitude&gt;34.977970&lt;/latitude&gt;
&lt;iLvl&gt;7&lt;/iLvl&gt;
&lt;/candidate&gt;
&lt;/results&gt;
</v>
      </c>
      <c r="F83" cm="1">
        <f t="array" ref="F83">INDEX(_xlfn.FILTERXML(E83,"//latitude"),1)</f>
        <v>34.977969999999999</v>
      </c>
      <c r="G83" cm="1">
        <f t="array" ref="G83">INDEX(_xlfn.FILTERXML(E83,"//longitude"),1)</f>
        <v>135.74478099999999</v>
      </c>
      <c r="H83">
        <v>34.977969999999999</v>
      </c>
      <c r="I83">
        <v>135.74478099999999</v>
      </c>
    </row>
    <row r="84" spans="1:9" x14ac:dyDescent="0.4">
      <c r="A84" t="s">
        <v>126</v>
      </c>
      <c r="B84" t="s">
        <v>127</v>
      </c>
      <c r="C84" t="str">
        <f t="shared" si="15"/>
        <v>鳥取県鳥取市片原１丁目１１５番地</v>
      </c>
      <c r="D84" s="2" t="str">
        <f t="shared" si="16"/>
        <v>http://geocode.csis.u-tokyo.ac.jp/cgi-bin/simple_geocode.cgi?charset=UTF8&amp;addr=%E9%B3%A5%E5%8F%96%E7%9C%8C%E9%B3%A5%E5%8F%96%E5%B8%82%E7%89%87%E5%8E%9F%EF%BC%91%E4%B8%81%E7%9B%AE%EF%BC%91%EF%BC%91%EF%BC%95%E7%95%AA%E5%9C%B0</v>
      </c>
      <c r="E84" t="str">
        <f t="shared" si="17"/>
        <v xml:space="preserve">&lt;?xml version="1.0" encoding="UTF-8" ?&gt;
&lt;results&gt;
&lt;query&gt;鳥取県鳥取市片原１丁目１１５番地&lt;/query&gt;
&lt;geodetic&gt;wgs1984&lt;/geodetic&gt;
&lt;iConf&gt;5&lt;/iConf&gt;
&lt;converted&gt;鳥取県鳥取市片原１丁目１１５番地&lt;/converted&gt;
&lt;candidate&gt;
&lt;address&gt;鳥取県/鳥取市/片原/一丁目/１１５番地&lt;/address&gt;
&lt;longitude&gt;134.233749&lt;/longitude&gt;
&lt;latitude&gt;35.501629&lt;/latitude&gt;
&lt;iLvl&gt;7&lt;/iLvl&gt;
&lt;/candidate&gt;
&lt;/results&gt;
</v>
      </c>
      <c r="F84" cm="1">
        <f t="array" ref="F84">INDEX(_xlfn.FILTERXML(E84,"//latitude"),1)</f>
        <v>35.501629000000001</v>
      </c>
      <c r="G84" cm="1">
        <f t="array" ref="G84">INDEX(_xlfn.FILTERXML(E84,"//longitude"),1)</f>
        <v>134.23374899999999</v>
      </c>
      <c r="H84">
        <v>35.501629000000001</v>
      </c>
      <c r="I84">
        <v>134.23374899999999</v>
      </c>
    </row>
    <row r="85" spans="1:9" x14ac:dyDescent="0.4">
      <c r="A85" t="s">
        <v>10</v>
      </c>
      <c r="B85" t="s">
        <v>128</v>
      </c>
      <c r="C85" t="str">
        <f t="shared" si="15"/>
        <v>神奈川県川崎市麻生区東百合丘</v>
      </c>
      <c r="D85" s="2" t="str">
        <f t="shared" si="16"/>
        <v>http://geocode.csis.u-tokyo.ac.jp/cgi-bin/simple_geocode.cgi?charset=UTF8&amp;addr=%E7%A5%9E%E5%A5%88%E5%B7%9D%E7%9C%8C%E5%B7%9D%E5%B4%8E%E5%B8%82%E9%BA%BB%E7%94%9F%E5%8C%BA%E6%9D%B1%E7%99%BE%E5%90%88%E4%B8%98</v>
      </c>
      <c r="E85" t="str">
        <f t="shared" si="17"/>
        <v xml:space="preserve">&lt;?xml version="1.0" encoding="UTF-8" ?&gt;
&lt;results&gt;
&lt;query&gt;神奈川県川崎市麻生区東百合丘&lt;/query&gt;
&lt;geodetic&gt;wgs1984&lt;/geodetic&gt;
&lt;iConf&gt;5&lt;/iConf&gt;
&lt;converted&gt;神奈川県川崎市麻生区東百合丘&lt;/converted&gt;
&lt;candidate&gt;
&lt;address&gt;神奈川県/川崎市/麻生区/東百合丘&lt;/address&gt;
&lt;longitude&gt;139.527512&lt;/longitude&gt;
&lt;latitude&gt;35.602142&lt;/latitude&gt;
&lt;iLvl&gt;5&lt;/iLvl&gt;
&lt;/candidate&gt;
&lt;/results&gt;
</v>
      </c>
      <c r="F85" cm="1">
        <f t="array" ref="F85">INDEX(_xlfn.FILTERXML(E85,"//latitude"),1)</f>
        <v>35.602142000000001</v>
      </c>
      <c r="G85" cm="1">
        <f t="array" ref="G85">INDEX(_xlfn.FILTERXML(E85,"//longitude"),1)</f>
        <v>139.527512</v>
      </c>
      <c r="H85">
        <v>35.602142000000001</v>
      </c>
      <c r="I85">
        <v>139.527512</v>
      </c>
    </row>
    <row r="86" spans="1:9" x14ac:dyDescent="0.4">
      <c r="A86" t="s">
        <v>12</v>
      </c>
      <c r="B86" t="s">
        <v>129</v>
      </c>
      <c r="C86" t="str">
        <f t="shared" si="15"/>
        <v>埼玉県熊谷市本町</v>
      </c>
      <c r="D86" s="2" t="str">
        <f t="shared" si="16"/>
        <v>http://geocode.csis.u-tokyo.ac.jp/cgi-bin/simple_geocode.cgi?charset=UTF8&amp;addr=%E5%9F%BC%E7%8E%89%E7%9C%8C%E7%86%8A%E8%B0%B7%E5%B8%82%E6%9C%AC%E7%94%BA</v>
      </c>
      <c r="E86" t="str">
        <f t="shared" si="17"/>
        <v xml:space="preserve">&lt;?xml version="1.0" encoding="UTF-8" ?&gt;
&lt;results&gt;
&lt;query&gt;埼玉県熊谷市本町&lt;/query&gt;
&lt;geodetic&gt;wgs1984&lt;/geodetic&gt;
&lt;iConf&gt;5&lt;/iConf&gt;
&lt;converted&gt;埼玉県熊谷市本町&lt;/converted&gt;
&lt;candidate&gt;
&lt;address&gt;埼玉県/熊谷市/本町&lt;/address&gt;
&lt;longitude&gt;139.384460&lt;/longitude&gt;
&lt;latitude&gt;36.144768&lt;/latitude&gt;
&lt;iLvl&gt;5&lt;/iLvl&gt;
&lt;/candidate&gt;
&lt;/results&gt;
</v>
      </c>
      <c r="F86" cm="1">
        <f t="array" ref="F86">INDEX(_xlfn.FILTERXML(E86,"//latitude"),1)</f>
        <v>36.144767999999999</v>
      </c>
      <c r="G86" cm="1">
        <f t="array" ref="G86">INDEX(_xlfn.FILTERXML(E86,"//longitude"),1)</f>
        <v>139.38445999999999</v>
      </c>
      <c r="H86">
        <v>36.144767999999999</v>
      </c>
      <c r="I86">
        <v>139.38445999999999</v>
      </c>
    </row>
    <row r="87" spans="1:9" x14ac:dyDescent="0.4">
      <c r="A87" t="s">
        <v>15</v>
      </c>
      <c r="B87" t="s">
        <v>130</v>
      </c>
      <c r="C87" t="str">
        <f t="shared" si="15"/>
        <v>愛知県江南市五明町当光地</v>
      </c>
      <c r="D87" s="2" t="str">
        <f t="shared" si="16"/>
        <v>http://geocode.csis.u-tokyo.ac.jp/cgi-bin/simple_geocode.cgi?charset=UTF8&amp;addr=%E6%84%9B%E7%9F%A5%E7%9C%8C%E6%B1%9F%E5%8D%97%E5%B8%82%E4%BA%94%E6%98%8E%E7%94%BA%E5%BD%93%E5%85%89%E5%9C%B0</v>
      </c>
      <c r="E87" t="str">
        <f t="shared" si="17"/>
        <v xml:space="preserve">&lt;?xml version="1.0" encoding="UTF-8" ?&gt;
&lt;results&gt;
&lt;query&gt;愛知県江南市五明町当光地&lt;/query&gt;
&lt;geodetic&gt;wgs1984&lt;/geodetic&gt;
&lt;iConf&gt;5&lt;/iConf&gt;
&lt;converted&gt;愛知県江南市五明町当光地&lt;/converted&gt;
&lt;candidate&gt;
&lt;address&gt;愛知県/江南市/五明町当光地&lt;/address&gt;
&lt;longitude&gt;136.862885&lt;/longitude&gt;
&lt;latitude&gt;35.317513&lt;/latitude&gt;
&lt;iLvl&gt;5&lt;/iLvl&gt;
&lt;/candidate&gt;
&lt;/results&gt;
</v>
      </c>
      <c r="F87" cm="1">
        <f t="array" ref="F87">INDEX(_xlfn.FILTERXML(E87,"//latitude"),1)</f>
        <v>35.317512999999998</v>
      </c>
      <c r="G87" cm="1">
        <f t="array" ref="G87">INDEX(_xlfn.FILTERXML(E87,"//longitude"),1)</f>
        <v>136.86288500000001</v>
      </c>
      <c r="H87">
        <v>35.317512999999998</v>
      </c>
      <c r="I87">
        <v>136.86288500000001</v>
      </c>
    </row>
    <row r="88" spans="1:9" x14ac:dyDescent="0.4">
      <c r="A88" t="s">
        <v>15</v>
      </c>
      <c r="B88" t="s">
        <v>131</v>
      </c>
      <c r="C88" t="str">
        <f t="shared" si="15"/>
        <v>愛知県刈谷市松坂町</v>
      </c>
      <c r="D88" s="2" t="str">
        <f t="shared" si="16"/>
        <v>http://geocode.csis.u-tokyo.ac.jp/cgi-bin/simple_geocode.cgi?charset=UTF8&amp;addr=%E6%84%9B%E7%9F%A5%E7%9C%8C%E5%88%88%E8%B0%B7%E5%B8%82%E6%9D%BE%E5%9D%82%E7%94%BA</v>
      </c>
      <c r="E88" t="str">
        <f t="shared" si="17"/>
        <v xml:space="preserve">&lt;?xml version="1.0" encoding="UTF-8" ?&gt;
&lt;results&gt;
&lt;query&gt;愛知県刈谷市松坂町&lt;/query&gt;
&lt;geodetic&gt;wgs1984&lt;/geodetic&gt;
&lt;iConf&gt;5&lt;/iConf&gt;
&lt;converted&gt;愛知県刈谷市松坂町&lt;/converted&gt;
&lt;candidate&gt;
&lt;address&gt;愛知県/刈谷市/松坂町&lt;/address&gt;
&lt;longitude&gt;136.994446&lt;/longitude&gt;
&lt;latitude&gt;34.979610&lt;/latitude&gt;
&lt;iLvl&gt;5&lt;/iLvl&gt;
&lt;/candidate&gt;
&lt;/results&gt;
</v>
      </c>
      <c r="F88" cm="1">
        <f t="array" ref="F88">INDEX(_xlfn.FILTERXML(E88,"//latitude"),1)</f>
        <v>34.979610000000001</v>
      </c>
      <c r="G88" cm="1">
        <f t="array" ref="G88">INDEX(_xlfn.FILTERXML(E88,"//longitude"),1)</f>
        <v>136.99444600000001</v>
      </c>
      <c r="H88">
        <v>34.979610000000001</v>
      </c>
      <c r="I88">
        <v>136.99444600000001</v>
      </c>
    </row>
    <row r="89" spans="1:9" x14ac:dyDescent="0.4">
      <c r="A89" t="s">
        <v>18</v>
      </c>
      <c r="B89" t="s">
        <v>134</v>
      </c>
      <c r="C89" t="str">
        <f t="shared" si="15"/>
        <v>茨城県日立市久慈町</v>
      </c>
      <c r="D89" s="2" t="str">
        <f t="shared" si="16"/>
        <v>http://geocode.csis.u-tokyo.ac.jp/cgi-bin/simple_geocode.cgi?charset=UTF8&amp;addr=%E8%8C%A8%E5%9F%8E%E7%9C%8C%E6%97%A5%E7%AB%8B%E5%B8%82%E4%B9%85%E6%85%88%E7%94%BA</v>
      </c>
      <c r="E89" t="str">
        <f t="shared" si="17"/>
        <v xml:space="preserve">&lt;?xml version="1.0" encoding="UTF-8" ?&gt;
&lt;results&gt;
&lt;query&gt;茨城県日立市久慈町&lt;/query&gt;
&lt;geodetic&gt;wgs1984&lt;/geodetic&gt;
&lt;iConf&gt;5&lt;/iConf&gt;
&lt;converted&gt;茨城県日立市久慈町&lt;/converted&gt;
&lt;candidate&gt;
&lt;address&gt;茨城県/日立市/久慈町&lt;/address&gt;
&lt;longitude&gt;140.622589&lt;/longitude&gt;
&lt;latitude&gt;36.498386&lt;/latitude&gt;
&lt;iLvl&gt;5&lt;/iLvl&gt;
&lt;/candidate&gt;
&lt;/results&gt;
</v>
      </c>
      <c r="F89" cm="1">
        <f t="array" ref="F89">INDEX(_xlfn.FILTERXML(E89,"//latitude"),1)</f>
        <v>36.498386000000004</v>
      </c>
      <c r="G89" cm="1">
        <f t="array" ref="G89">INDEX(_xlfn.FILTERXML(E89,"//longitude"),1)</f>
        <v>140.622589</v>
      </c>
      <c r="H89">
        <v>36.498386000000004</v>
      </c>
      <c r="I89">
        <v>140.622589</v>
      </c>
    </row>
    <row r="90" spans="1:9" x14ac:dyDescent="0.4">
      <c r="A90" t="s">
        <v>26</v>
      </c>
      <c r="B90" t="s">
        <v>552</v>
      </c>
      <c r="C90" t="str">
        <f t="shared" si="15"/>
        <v>岐阜県岐阜市三田洞東1丁目</v>
      </c>
      <c r="D90" s="2" t="str">
        <f t="shared" si="16"/>
        <v>http://geocode.csis.u-tokyo.ac.jp/cgi-bin/simple_geocode.cgi?charset=UTF8&amp;addr=%E5%B2%90%E9%98%9C%E7%9C%8C%E5%B2%90%E9%98%9C%E5%B8%82%E4%B8%89%E7%94%B0%E6%B4%9E%E6%9D%B11%E4%B8%81%E7%9B%AE</v>
      </c>
      <c r="E90" t="str">
        <f t="shared" si="17"/>
        <v xml:space="preserve">&lt;?xml version="1.0" encoding="UTF-8" ?&gt;
&lt;results&gt;
&lt;query&gt;岐阜県岐阜市三田洞東1丁目&lt;/query&gt;
&lt;geodetic&gt;wgs1984&lt;/geodetic&gt;
&lt;iConf&gt;5&lt;/iConf&gt;
&lt;converted&gt;岐阜県岐阜市三田洞東1丁目&lt;/converted&gt;
&lt;candidate&gt;
&lt;address&gt;岐阜県/岐阜市/三田洞東/一丁目&lt;/address&gt;
&lt;longitude&gt;136.798538&lt;/longitude&gt;
&lt;latitude&gt;35.480442&lt;/latitude&gt;
&lt;iLvl&gt;6&lt;/iLvl&gt;
&lt;/candidate&gt;
&lt;/results&gt;
</v>
      </c>
      <c r="F90" cm="1">
        <f t="array" ref="F90">INDEX(_xlfn.FILTERXML(E90,"//latitude"),1)</f>
        <v>35.480441999999996</v>
      </c>
      <c r="G90" cm="1">
        <f t="array" ref="G90">INDEX(_xlfn.FILTERXML(E90,"//longitude"),1)</f>
        <v>136.79853800000001</v>
      </c>
      <c r="H90">
        <v>35.480441999999996</v>
      </c>
      <c r="I90">
        <v>136.79853800000001</v>
      </c>
    </row>
    <row r="91" spans="1:9" x14ac:dyDescent="0.4">
      <c r="A91" t="s">
        <v>10</v>
      </c>
      <c r="B91" t="s">
        <v>57</v>
      </c>
      <c r="C91" t="str">
        <f t="shared" si="15"/>
        <v>神奈川県海老名市</v>
      </c>
      <c r="D91" s="2" t="str">
        <f t="shared" si="16"/>
        <v>http://geocode.csis.u-tokyo.ac.jp/cgi-bin/simple_geocode.cgi?charset=UTF8&amp;addr=%E7%A5%9E%E5%A5%88%E5%B7%9D%E7%9C%8C%E6%B5%B7%E8%80%81%E5%90%8D%E5%B8%82</v>
      </c>
      <c r="E91" t="str">
        <f t="shared" si="17"/>
        <v xml:space="preserve">&lt;?xml version="1.0" encoding="UTF-8" ?&gt;
&lt;results&gt;
&lt;query&gt;神奈川県海老名市&lt;/query&gt;
&lt;geodetic&gt;wgs1984&lt;/geodetic&gt;
&lt;iConf&gt;5&lt;/iConf&gt;
&lt;converted&gt;神奈川県海老名市&lt;/converted&gt;
&lt;candidate&gt;
&lt;address&gt;神奈川県/海老名市&lt;/address&gt;
&lt;longitude&gt;139.390808&lt;/longitude&gt;
&lt;latitude&gt;35.446449&lt;/latitude&gt;
&lt;iLvl&gt;3&lt;/iLvl&gt;
&lt;/candidate&gt;
&lt;/results&gt;
</v>
      </c>
      <c r="F91" cm="1">
        <f t="array" ref="F91">INDEX(_xlfn.FILTERXML(E91,"//latitude"),1)</f>
        <v>35.446449000000001</v>
      </c>
      <c r="G91" cm="1">
        <f t="array" ref="G91">INDEX(_xlfn.FILTERXML(E91,"//longitude"),1)</f>
        <v>139.39080799999999</v>
      </c>
      <c r="H91">
        <v>35.446449000000001</v>
      </c>
      <c r="I91">
        <v>139.39080799999999</v>
      </c>
    </row>
    <row r="92" spans="1:9" x14ac:dyDescent="0.4">
      <c r="A92" t="s">
        <v>18</v>
      </c>
      <c r="B92" t="s">
        <v>135</v>
      </c>
      <c r="C92" t="str">
        <f t="shared" si="15"/>
        <v>茨城県鉾田市</v>
      </c>
      <c r="D92" s="2" t="str">
        <f t="shared" si="16"/>
        <v>http://geocode.csis.u-tokyo.ac.jp/cgi-bin/simple_geocode.cgi?charset=UTF8&amp;addr=%E8%8C%A8%E5%9F%8E%E7%9C%8C%E9%89%BE%E7%94%B0%E5%B8%82</v>
      </c>
      <c r="E92" t="str">
        <f t="shared" si="17"/>
        <v xml:space="preserve">&lt;?xml version="1.0" encoding="UTF-8" ?&gt;
&lt;results&gt;
&lt;query&gt;茨城県鉾田市&lt;/query&gt;
&lt;geodetic&gt;wgs1984&lt;/geodetic&gt;
&lt;iConf&gt;5&lt;/iConf&gt;
&lt;converted&gt;茨城県鉾田市&lt;/converted&gt;
&lt;candidate&gt;
&lt;address&gt;茨城県/鉾田市&lt;/address&gt;
&lt;longitude&gt;140.516434&lt;/longitude&gt;
&lt;latitude&gt;36.158688&lt;/latitude&gt;
&lt;iLvl&gt;3&lt;/iLvl&gt;
&lt;/candidate&gt;
&lt;/results&gt;
</v>
      </c>
      <c r="F92" cm="1">
        <f t="array" ref="F92">INDEX(_xlfn.FILTERXML(E92,"//latitude"),1)</f>
        <v>36.158687999999998</v>
      </c>
      <c r="G92" cm="1">
        <f t="array" ref="G92">INDEX(_xlfn.FILTERXML(E92,"//longitude"),1)</f>
        <v>140.516434</v>
      </c>
      <c r="H92">
        <v>36.158687999999998</v>
      </c>
      <c r="I92">
        <v>140.516434</v>
      </c>
    </row>
    <row r="93" spans="1:9" x14ac:dyDescent="0.4">
      <c r="A93" t="s">
        <v>19</v>
      </c>
      <c r="B93" t="s">
        <v>136</v>
      </c>
      <c r="C93" t="str">
        <f t="shared" si="15"/>
        <v>福岡県福岡市南区向野</v>
      </c>
      <c r="D93" s="2" t="str">
        <f t="shared" si="16"/>
        <v>http://geocode.csis.u-tokyo.ac.jp/cgi-bin/simple_geocode.cgi?charset=UTF8&amp;addr=%E7%A6%8F%E5%B2%A1%E7%9C%8C%E7%A6%8F%E5%B2%A1%E5%B8%82%E5%8D%97%E5%8C%BA%E5%90%91%E9%87%8E</v>
      </c>
      <c r="E93" t="str">
        <f t="shared" si="17"/>
        <v xml:space="preserve">&lt;?xml version="1.0" encoding="UTF-8" ?&gt;
&lt;results&gt;
&lt;query&gt;福岡県福岡市南区向野&lt;/query&gt;
&lt;geodetic&gt;wgs1984&lt;/geodetic&gt;
&lt;iConf&gt;5&lt;/iConf&gt;
&lt;converted&gt;福岡県福岡市南区向野&lt;/converted&gt;
&lt;candidate&gt;
&lt;address&gt;福岡県/福岡市/南区/向野&lt;/address&gt;
&lt;longitude&gt;130.420303&lt;/longitude&gt;
&lt;latitude&gt;33.563774&lt;/latitude&gt;
&lt;iLvl&gt;5&lt;/iLvl&gt;
&lt;/candidate&gt;
&lt;/results&gt;
</v>
      </c>
      <c r="F93" cm="1">
        <f t="array" ref="F93">INDEX(_xlfn.FILTERXML(E93,"//latitude"),1)</f>
        <v>33.563774000000002</v>
      </c>
      <c r="G93" cm="1">
        <f t="array" ref="G93">INDEX(_xlfn.FILTERXML(E93,"//longitude"),1)</f>
        <v>130.42030299999999</v>
      </c>
      <c r="H93">
        <v>33.563774000000002</v>
      </c>
      <c r="I93">
        <v>130.42030299999999</v>
      </c>
    </row>
    <row r="94" spans="1:9" x14ac:dyDescent="0.4">
      <c r="A94" t="s">
        <v>126</v>
      </c>
      <c r="B94" t="s">
        <v>137</v>
      </c>
      <c r="C94" t="str">
        <f t="shared" si="15"/>
        <v>鳥取県東伯郡湯梨浜町水下</v>
      </c>
      <c r="D94" s="2" t="str">
        <f t="shared" si="16"/>
        <v>http://geocode.csis.u-tokyo.ac.jp/cgi-bin/simple_geocode.cgi?charset=UTF8&amp;addr=%E9%B3%A5%E5%8F%96%E7%9C%8C%E6%9D%B1%E4%BC%AF%E9%83%A1%E6%B9%AF%E6%A2%A8%E6%B5%9C%E7%94%BA%E6%B0%B4%E4%B8%8B</v>
      </c>
      <c r="E94" t="str">
        <f t="shared" si="17"/>
        <v xml:space="preserve">&lt;?xml version="1.0" encoding="UTF-8" ?&gt;
&lt;results&gt;
&lt;query&gt;鳥取県東伯郡湯梨浜町水下&lt;/query&gt;
&lt;geodetic&gt;wgs1984&lt;/geodetic&gt;
&lt;iConf&gt;5&lt;/iConf&gt;
&lt;converted&gt;鳥取県東伯郡湯梨浜町水下&lt;/converted&gt;
&lt;candidate&gt;
&lt;address&gt;鳥取県/東伯郡/湯梨浜町/水下&lt;/address&gt;
&lt;longitude&gt;133.871292&lt;/longitude&gt;
&lt;latitude&gt;35.487049&lt;/latitude&gt;
&lt;iLvl&gt;5&lt;/iLvl&gt;
&lt;/candidate&gt;
&lt;/results&gt;
</v>
      </c>
      <c r="F94" cm="1">
        <f t="array" ref="F94">INDEX(_xlfn.FILTERXML(E94,"//latitude"),1)</f>
        <v>35.487048999999999</v>
      </c>
      <c r="G94" cm="1">
        <f t="array" ref="G94">INDEX(_xlfn.FILTERXML(E94,"//longitude"),1)</f>
        <v>133.87129200000001</v>
      </c>
      <c r="H94">
        <v>35.487048999999999</v>
      </c>
      <c r="I94">
        <v>133.87129200000001</v>
      </c>
    </row>
    <row r="95" spans="1:9" x14ac:dyDescent="0.4">
      <c r="A95" t="s">
        <v>9</v>
      </c>
      <c r="B95" t="s">
        <v>138</v>
      </c>
      <c r="C95" t="str">
        <f t="shared" si="15"/>
        <v>東京都世田谷区船橋</v>
      </c>
      <c r="D95" s="2" t="str">
        <f t="shared" si="16"/>
        <v>http://geocode.csis.u-tokyo.ac.jp/cgi-bin/simple_geocode.cgi?charset=UTF8&amp;addr=%E6%9D%B1%E4%BA%AC%E9%83%BD%E4%B8%96%E7%94%B0%E8%B0%B7%E5%8C%BA%E8%88%B9%E6%A9%8B</v>
      </c>
      <c r="E95" t="str">
        <f t="shared" si="17"/>
        <v xml:space="preserve">&lt;?xml version="1.0" encoding="UTF-8" ?&gt;
&lt;results&gt;
&lt;query&gt;東京都世田谷区船橋&lt;/query&gt;
&lt;geodetic&gt;wgs1984&lt;/geodetic&gt;
&lt;iConf&gt;5&lt;/iConf&gt;
&lt;converted&gt;東京都世田谷区船橋&lt;/converted&gt;
&lt;candidate&gt;
&lt;address&gt;東京都/世田谷区/船橋&lt;/address&gt;
&lt;longitude&gt;139.621780&lt;/longitude&gt;
&lt;latitude&gt;35.650036&lt;/latitude&gt;
&lt;iLvl&gt;5&lt;/iLvl&gt;
&lt;/candidate&gt;
&lt;/results&gt;
</v>
      </c>
      <c r="F95" cm="1">
        <f t="array" ref="F95">INDEX(_xlfn.FILTERXML(E95,"//latitude"),1)</f>
        <v>35.650036</v>
      </c>
      <c r="G95" cm="1">
        <f t="array" ref="G95">INDEX(_xlfn.FILTERXML(E95,"//longitude"),1)</f>
        <v>139.62178</v>
      </c>
      <c r="H95">
        <v>35.650036</v>
      </c>
      <c r="I95">
        <v>139.62178</v>
      </c>
    </row>
    <row r="96" spans="1:9" x14ac:dyDescent="0.4">
      <c r="A96" t="s">
        <v>18</v>
      </c>
      <c r="B96" t="s">
        <v>139</v>
      </c>
      <c r="C96" t="str">
        <f t="shared" si="15"/>
        <v>茨城県日立市日高町</v>
      </c>
      <c r="D96" s="2" t="str">
        <f t="shared" ref="D96:D122" si="18" xml:space="preserve"> "http://geocode.csis.u-tokyo.ac.jp/cgi-bin/simple_geocode.cgi?charset=UTF8&amp;addr=" &amp; _xlfn.ENCODEURL(C96)</f>
        <v>http://geocode.csis.u-tokyo.ac.jp/cgi-bin/simple_geocode.cgi?charset=UTF8&amp;addr=%E8%8C%A8%E5%9F%8E%E7%9C%8C%E6%97%A5%E7%AB%8B%E5%B8%82%E6%97%A5%E9%AB%98%E7%94%BA</v>
      </c>
      <c r="E96" t="str">
        <f t="shared" ref="E96:E122" si="19" xml:space="preserve"> _xlfn.WEBSERVICE(D96)</f>
        <v xml:space="preserve">&lt;?xml version="1.0" encoding="UTF-8" ?&gt;
&lt;results&gt;
&lt;query&gt;茨城県日立市日高町&lt;/query&gt;
&lt;geodetic&gt;wgs1984&lt;/geodetic&gt;
&lt;iConf&gt;5&lt;/iConf&gt;
&lt;converted&gt;茨城県日立市日高町&lt;/converted&gt;
&lt;candidate&gt;
&lt;address&gt;茨城県/日立市/日高町&lt;/address&gt;
&lt;longitude&gt;140.676132&lt;/longitude&gt;
&lt;latitude&gt;36.635757&lt;/latitude&gt;
&lt;iLvl&gt;5&lt;/iLvl&gt;
&lt;/candidate&gt;
&lt;/results&gt;
</v>
      </c>
      <c r="F96" cm="1">
        <f t="array" ref="F96">INDEX(_xlfn.FILTERXML(E96,"//latitude"),1)</f>
        <v>36.635756999999998</v>
      </c>
      <c r="G96" cm="1">
        <f t="array" ref="G96">INDEX(_xlfn.FILTERXML(E96,"//longitude"),1)</f>
        <v>140.676132</v>
      </c>
      <c r="H96">
        <v>36.635756999999998</v>
      </c>
      <c r="I96">
        <v>140.676132</v>
      </c>
    </row>
    <row r="97" spans="1:9" x14ac:dyDescent="0.4">
      <c r="A97" t="s">
        <v>140</v>
      </c>
      <c r="B97" t="s">
        <v>141</v>
      </c>
      <c r="C97" t="str">
        <f t="shared" si="15"/>
        <v>富山県富山市開</v>
      </c>
      <c r="D97" s="2" t="str">
        <f t="shared" si="18"/>
        <v>http://geocode.csis.u-tokyo.ac.jp/cgi-bin/simple_geocode.cgi?charset=UTF8&amp;addr=%E5%AF%8C%E5%B1%B1%E7%9C%8C%E5%AF%8C%E5%B1%B1%E5%B8%82%E9%96%8B</v>
      </c>
      <c r="E97" t="str">
        <f t="shared" si="19"/>
        <v xml:space="preserve">&lt;?xml version="1.0" encoding="UTF-8" ?&gt;
&lt;results&gt;
&lt;query&gt;富山県富山市開&lt;/query&gt;
&lt;geodetic&gt;wgs1984&lt;/geodetic&gt;
&lt;iConf&gt;5&lt;/iConf&gt;
&lt;converted&gt;富山県富山市開&lt;/converted&gt;
&lt;candidate&gt;
&lt;address&gt;富山県/富山市/開&lt;/address&gt;
&lt;longitude&gt;137.262161&lt;/longitude&gt;
&lt;latitude&gt;36.681458&lt;/latitude&gt;
&lt;iLvl&gt;5&lt;/iLvl&gt;
&lt;/candidate&gt;
&lt;/results&gt;
</v>
      </c>
      <c r="F97" cm="1">
        <f t="array" ref="F97">INDEX(_xlfn.FILTERXML(E97,"//latitude"),1)</f>
        <v>36.681457999999999</v>
      </c>
      <c r="G97" cm="1">
        <f t="array" ref="G97">INDEX(_xlfn.FILTERXML(E97,"//longitude"),1)</f>
        <v>137.26216099999999</v>
      </c>
      <c r="H97">
        <v>36.681457999999999</v>
      </c>
      <c r="I97">
        <v>137.26216099999999</v>
      </c>
    </row>
    <row r="98" spans="1:9" x14ac:dyDescent="0.4">
      <c r="A98" t="s">
        <v>10</v>
      </c>
      <c r="B98" t="s">
        <v>142</v>
      </c>
      <c r="C98" t="str">
        <f t="shared" si="15"/>
        <v>神奈川県川崎市中原区</v>
      </c>
      <c r="D98" s="2" t="str">
        <f t="shared" si="18"/>
        <v>http://geocode.csis.u-tokyo.ac.jp/cgi-bin/simple_geocode.cgi?charset=UTF8&amp;addr=%E7%A5%9E%E5%A5%88%E5%B7%9D%E7%9C%8C%E5%B7%9D%E5%B4%8E%E5%B8%82%E4%B8%AD%E5%8E%9F%E5%8C%BA</v>
      </c>
      <c r="E98" t="str">
        <f t="shared" si="19"/>
        <v xml:space="preserve">&lt;?xml version="1.0" encoding="UTF-8" ?&gt;
&lt;results&gt;
&lt;query&gt;神奈川県川崎市中原区&lt;/query&gt;
&lt;geodetic&gt;wgs1984&lt;/geodetic&gt;
&lt;iConf&gt;5&lt;/iConf&gt;
&lt;converted&gt;神奈川県川崎市中原区&lt;/converted&gt;
&lt;candidate&gt;
&lt;address&gt;神奈川県/川崎市/中原区&lt;/address&gt;
&lt;longitude&gt;139.655762&lt;/longitude&gt;
&lt;latitude&gt;35.576260&lt;/latitude&gt;
&lt;iLvl&gt;4&lt;/iLvl&gt;
&lt;/candidate&gt;
&lt;/results&gt;
</v>
      </c>
      <c r="F98" cm="1">
        <f t="array" ref="F98">INDEX(_xlfn.FILTERXML(E98,"//latitude"),1)</f>
        <v>35.576259999999998</v>
      </c>
      <c r="G98" cm="1">
        <f t="array" ref="G98">INDEX(_xlfn.FILTERXML(E98,"//longitude"),1)</f>
        <v>139.65576200000001</v>
      </c>
      <c r="H98">
        <v>35.576259999999998</v>
      </c>
      <c r="I98">
        <v>139.65576200000001</v>
      </c>
    </row>
    <row r="99" spans="1:9" x14ac:dyDescent="0.4">
      <c r="A99" t="s">
        <v>15</v>
      </c>
      <c r="B99" t="s">
        <v>143</v>
      </c>
      <c r="C99" t="str">
        <f t="shared" si="15"/>
        <v>愛知県名古屋市熱田区一番2丁目</v>
      </c>
      <c r="D99" s="2" t="str">
        <f t="shared" si="18"/>
        <v>http://geocode.csis.u-tokyo.ac.jp/cgi-bin/simple_geocode.cgi?charset=UTF8&amp;addr=%E6%84%9B%E7%9F%A5%E7%9C%8C%E5%90%8D%E5%8F%A4%E5%B1%8B%E5%B8%82%E7%86%B1%E7%94%B0%E5%8C%BA%E4%B8%80%E7%95%AA2%E4%B8%81%E7%9B%AE</v>
      </c>
      <c r="E99" t="str">
        <f t="shared" si="19"/>
        <v xml:space="preserve">&lt;?xml version="1.0" encoding="UTF-8" ?&gt;
&lt;results&gt;
&lt;query&gt;愛知県名古屋市熱田区一番2丁目&lt;/query&gt;
&lt;geodetic&gt;wgs1984&lt;/geodetic&gt;
&lt;iConf&gt;5&lt;/iConf&gt;
&lt;converted&gt;愛知県名古屋市熱田区一番2丁目&lt;/converted&gt;
&lt;candidate&gt;
&lt;address&gt;愛知県/名古屋市/熱田区/一番/二丁目&lt;/address&gt;
&lt;longitude&gt;136.897507&lt;/longitude&gt;
&lt;latitude&gt;35.122086&lt;/latitude&gt;
&lt;iLvl&gt;6&lt;/iLvl&gt;
&lt;/candidate&gt;
&lt;/results&gt;
</v>
      </c>
      <c r="F99" cm="1">
        <f t="array" ref="F99">INDEX(_xlfn.FILTERXML(E99,"//latitude"),1)</f>
        <v>35.122086000000003</v>
      </c>
      <c r="G99" cm="1">
        <f t="array" ref="G99">INDEX(_xlfn.FILTERXML(E99,"//longitude"),1)</f>
        <v>136.89750699999999</v>
      </c>
      <c r="H99">
        <v>35.122086000000003</v>
      </c>
      <c r="I99">
        <v>136.89750699999999</v>
      </c>
    </row>
    <row r="100" spans="1:9" x14ac:dyDescent="0.4">
      <c r="A100" t="s">
        <v>19</v>
      </c>
      <c r="B100" t="s">
        <v>144</v>
      </c>
      <c r="C100" t="str">
        <f t="shared" si="15"/>
        <v>福岡県福岡市早良区</v>
      </c>
      <c r="D100" s="2" t="str">
        <f t="shared" si="18"/>
        <v>http://geocode.csis.u-tokyo.ac.jp/cgi-bin/simple_geocode.cgi?charset=UTF8&amp;addr=%E7%A6%8F%E5%B2%A1%E7%9C%8C%E7%A6%8F%E5%B2%A1%E5%B8%82%E6%97%A9%E8%89%AF%E5%8C%BA</v>
      </c>
      <c r="E100" t="str">
        <f t="shared" si="19"/>
        <v xml:space="preserve">&lt;?xml version="1.0" encoding="UTF-8" ?&gt;
&lt;results&gt;
&lt;query&gt;福岡県福岡市早良区&lt;/query&gt;
&lt;geodetic&gt;wgs1984&lt;/geodetic&gt;
&lt;iConf&gt;5&lt;/iConf&gt;
&lt;converted&gt;福岡県福岡市早良区&lt;/converted&gt;
&lt;candidate&gt;
&lt;address&gt;福岡県/福岡市/早良区&lt;/address&gt;
&lt;longitude&gt;130.348404&lt;/longitude&gt;
&lt;latitude&gt;33.581944&lt;/latitude&gt;
&lt;iLvl&gt;4&lt;/iLvl&gt;
&lt;/candidate&gt;
&lt;/results&gt;
</v>
      </c>
      <c r="F100" cm="1">
        <f t="array" ref="F100">INDEX(_xlfn.FILTERXML(E100,"//latitude"),1)</f>
        <v>33.581944</v>
      </c>
      <c r="G100" cm="1">
        <f t="array" ref="G100">INDEX(_xlfn.FILTERXML(E100,"//longitude"),1)</f>
        <v>130.34840399999999</v>
      </c>
      <c r="H100">
        <v>33.581944</v>
      </c>
      <c r="I100">
        <v>130.34840399999999</v>
      </c>
    </row>
    <row r="101" spans="1:9" x14ac:dyDescent="0.4">
      <c r="A101" t="s">
        <v>10</v>
      </c>
      <c r="B101" t="s">
        <v>145</v>
      </c>
      <c r="C101" t="str">
        <f t="shared" si="15"/>
        <v>神奈川県横浜市港北区日吉本町</v>
      </c>
      <c r="D101" s="2" t="str">
        <f t="shared" si="18"/>
        <v>http://geocode.csis.u-tokyo.ac.jp/cgi-bin/simple_geocode.cgi?charset=UTF8&amp;addr=%E7%A5%9E%E5%A5%88%E5%B7%9D%E7%9C%8C%E6%A8%AA%E6%B5%9C%E5%B8%82%E6%B8%AF%E5%8C%97%E5%8C%BA%E6%97%A5%E5%90%89%E6%9C%AC%E7%94%BA</v>
      </c>
      <c r="E101" t="str">
        <f t="shared" si="19"/>
        <v xml:space="preserve">&lt;?xml version="1.0" encoding="UTF-8" ?&gt;
&lt;results&gt;
&lt;query&gt;神奈川県横浜市港北区日吉本町&lt;/query&gt;
&lt;geodetic&gt;wgs1984&lt;/geodetic&gt;
&lt;iConf&gt;5&lt;/iConf&gt;
&lt;converted&gt;神奈川県横浜市港北区日吉本町&lt;/converted&gt;
&lt;candidate&gt;
&lt;address&gt;神奈川県/横浜市/港北区/日吉本町&lt;/address&gt;
&lt;longitude&gt;139.644028&lt;/longitude&gt;
&lt;latitude&gt;35.553188&lt;/latitude&gt;
&lt;iLvl&gt;5&lt;/iLvl&gt;
&lt;/candidate&gt;
&lt;/results&gt;
</v>
      </c>
      <c r="F101" cm="1">
        <f t="array" ref="F101">INDEX(_xlfn.FILTERXML(E101,"//latitude"),1)</f>
        <v>35.553187999999999</v>
      </c>
      <c r="G101" cm="1">
        <f t="array" ref="G101">INDEX(_xlfn.FILTERXML(E101,"//longitude"),1)</f>
        <v>139.64402799999999</v>
      </c>
      <c r="H101">
        <v>35.553187999999999</v>
      </c>
      <c r="I101">
        <v>139.64402799999999</v>
      </c>
    </row>
    <row r="102" spans="1:9" x14ac:dyDescent="0.4">
      <c r="A102" t="s">
        <v>10</v>
      </c>
      <c r="B102" t="s">
        <v>146</v>
      </c>
      <c r="C102" t="str">
        <f t="shared" si="15"/>
        <v>神奈川県川崎市川崎区港町5-1</v>
      </c>
      <c r="D102" s="2" t="str">
        <f t="shared" si="18"/>
        <v>http://geocode.csis.u-tokyo.ac.jp/cgi-bin/simple_geocode.cgi?charset=UTF8&amp;addr=%E7%A5%9E%E5%A5%88%E5%B7%9D%E7%9C%8C%E5%B7%9D%E5%B4%8E%E5%B8%82%E5%B7%9D%E5%B4%8E%E5%8C%BA%E6%B8%AF%E7%94%BA5-1</v>
      </c>
      <c r="E102" t="str">
        <f t="shared" si="19"/>
        <v xml:space="preserve">&lt;?xml version="1.0" encoding="UTF-8" ?&gt;
&lt;results&gt;
&lt;query&gt;神奈川県川崎市川崎区港町5-1&lt;/query&gt;
&lt;geodetic&gt;wgs1984&lt;/geodetic&gt;
&lt;iConf&gt;5&lt;/iConf&gt;
&lt;converted&gt;神奈川県川崎市川崎区港町5-&lt;/converted&gt;
&lt;candidate&gt;
&lt;address&gt;神奈川県/川崎市/川崎区/港町/５番&lt;/address&gt;
&lt;longitude&gt;139.713486&lt;/longitude&gt;
&lt;latitude&gt;35.535667&lt;/latitude&gt;
&lt;iLvl&gt;7&lt;/iLvl&gt;
&lt;/candidate&gt;
&lt;/results&gt;
</v>
      </c>
      <c r="F102" cm="1">
        <f t="array" ref="F102">INDEX(_xlfn.FILTERXML(E102,"//latitude"),1)</f>
        <v>35.535666999999997</v>
      </c>
      <c r="G102" cm="1">
        <f t="array" ref="G102">INDEX(_xlfn.FILTERXML(E102,"//longitude"),1)</f>
        <v>139.71348599999999</v>
      </c>
      <c r="H102">
        <v>35.535666999999997</v>
      </c>
      <c r="I102">
        <v>139.71348599999999</v>
      </c>
    </row>
    <row r="103" spans="1:9" x14ac:dyDescent="0.4">
      <c r="A103" t="s">
        <v>9</v>
      </c>
      <c r="B103" t="s">
        <v>147</v>
      </c>
      <c r="C103" t="str">
        <f t="shared" si="15"/>
        <v>東京都足立東綾瀬</v>
      </c>
      <c r="D103" s="2" t="str">
        <f t="shared" si="18"/>
        <v>http://geocode.csis.u-tokyo.ac.jp/cgi-bin/simple_geocode.cgi?charset=UTF8&amp;addr=%E6%9D%B1%E4%BA%AC%E9%83%BD%E8%B6%B3%E7%AB%8B%E6%9D%B1%E7%B6%BE%E7%80%AC</v>
      </c>
      <c r="E103" t="str">
        <f t="shared" si="19"/>
        <v xml:space="preserve">&lt;?xml version="1.0" encoding="UTF-8" ?&gt;
&lt;results&gt;
&lt;query&gt;東京都足立東綾瀬&lt;/query&gt;
&lt;geodetic&gt;wgs1984&lt;/geodetic&gt;
&lt;iConf&gt;5&lt;/iConf&gt;
&lt;converted&gt;東京都足立&lt;/converted&gt;
&lt;candidate&gt;
&lt;address&gt;東京都/足立区&lt;/address&gt;
&lt;longitude&gt;139.804581&lt;/longitude&gt;
&lt;latitude&gt;35.774944&lt;/latitude&gt;
&lt;iLvl&gt;3&lt;/iLvl&gt;
&lt;/candidate&gt;
&lt;/results&gt;
</v>
      </c>
      <c r="F103" cm="1">
        <f t="array" ref="F103">INDEX(_xlfn.FILTERXML(E103,"//latitude"),1)</f>
        <v>35.774943999999998</v>
      </c>
      <c r="G103" cm="1">
        <f t="array" ref="G103">INDEX(_xlfn.FILTERXML(E103,"//longitude"),1)</f>
        <v>139.80458100000001</v>
      </c>
      <c r="H103">
        <v>35.774943999999998</v>
      </c>
      <c r="I103">
        <v>139.80458100000001</v>
      </c>
    </row>
    <row r="104" spans="1:9" x14ac:dyDescent="0.4">
      <c r="A104" t="s">
        <v>148</v>
      </c>
      <c r="B104" t="s">
        <v>149</v>
      </c>
      <c r="C104" t="str">
        <f t="shared" si="15"/>
        <v>愛媛県松山市</v>
      </c>
      <c r="D104" s="2" t="str">
        <f t="shared" si="18"/>
        <v>http://geocode.csis.u-tokyo.ac.jp/cgi-bin/simple_geocode.cgi?charset=UTF8&amp;addr=%E6%84%9B%E5%AA%9B%E7%9C%8C%E6%9D%BE%E5%B1%B1%E5%B8%82</v>
      </c>
      <c r="E104" t="str">
        <f t="shared" si="19"/>
        <v xml:space="preserve">&lt;?xml version="1.0" encoding="UTF-8" ?&gt;
&lt;results&gt;
&lt;query&gt;愛媛県松山市&lt;/query&gt;
&lt;geodetic&gt;wgs1984&lt;/geodetic&gt;
&lt;iConf&gt;5&lt;/iConf&gt;
&lt;converted&gt;愛媛県松山市&lt;/converted&gt;
&lt;candidate&gt;
&lt;address&gt;愛媛県/松山市&lt;/address&gt;
&lt;longitude&gt;132.765549&lt;/longitude&gt;
&lt;latitude&gt;33.839157&lt;/latitude&gt;
&lt;iLvl&gt;3&lt;/iLvl&gt;
&lt;/candidate&gt;
&lt;/results&gt;
</v>
      </c>
      <c r="F104" cm="1">
        <f t="array" ref="F104">INDEX(_xlfn.FILTERXML(E104,"//latitude"),1)</f>
        <v>33.839157</v>
      </c>
      <c r="G104" cm="1">
        <f t="array" ref="G104">INDEX(_xlfn.FILTERXML(E104,"//longitude"),1)</f>
        <v>132.76554899999999</v>
      </c>
      <c r="H104">
        <v>33.839157</v>
      </c>
      <c r="I104">
        <v>132.76554899999999</v>
      </c>
    </row>
    <row r="105" spans="1:9" x14ac:dyDescent="0.4">
      <c r="A105" t="s">
        <v>150</v>
      </c>
      <c r="B105" t="s">
        <v>151</v>
      </c>
      <c r="C105" t="str">
        <f t="shared" si="15"/>
        <v>群馬県前橋市大手町</v>
      </c>
      <c r="D105" s="2" t="str">
        <f t="shared" si="18"/>
        <v>http://geocode.csis.u-tokyo.ac.jp/cgi-bin/simple_geocode.cgi?charset=UTF8&amp;addr=%E7%BE%A4%E9%A6%AC%E7%9C%8C%E5%89%8D%E6%A9%8B%E5%B8%82%E5%A4%A7%E6%89%8B%E7%94%BA</v>
      </c>
      <c r="E105" t="str">
        <f t="shared" si="19"/>
        <v xml:space="preserve">&lt;?xml version="1.0" encoding="UTF-8" ?&gt;
&lt;results&gt;
&lt;query&gt;群馬県前橋市大手町&lt;/query&gt;
&lt;geodetic&gt;wgs1984&lt;/geodetic&gt;
&lt;iConf&gt;5&lt;/iConf&gt;
&lt;converted&gt;群馬県前橋市大手町&lt;/converted&gt;
&lt;candidate&gt;
&lt;address&gt;群馬県/前橋市/大手町&lt;/address&gt;
&lt;longitude&gt;139.060120&lt;/longitude&gt;
&lt;latitude&gt;36.390335&lt;/latitude&gt;
&lt;iLvl&gt;5&lt;/iLvl&gt;
&lt;/candidate&gt;
&lt;/results&gt;
</v>
      </c>
      <c r="F105" cm="1">
        <f t="array" ref="F105">INDEX(_xlfn.FILTERXML(E105,"//latitude"),1)</f>
        <v>36.390335</v>
      </c>
      <c r="G105" cm="1">
        <f t="array" ref="G105">INDEX(_xlfn.FILTERXML(E105,"//longitude"),1)</f>
        <v>139.06012000000001</v>
      </c>
      <c r="H105">
        <v>36.390335</v>
      </c>
      <c r="I105">
        <v>139.06012000000001</v>
      </c>
    </row>
    <row r="106" spans="1:9" x14ac:dyDescent="0.4">
      <c r="A106" t="s">
        <v>85</v>
      </c>
      <c r="B106" t="s">
        <v>152</v>
      </c>
      <c r="C106" t="str">
        <f t="shared" si="15"/>
        <v>奈良県生駒郡三郷町勢野北</v>
      </c>
      <c r="D106" s="2" t="str">
        <f t="shared" si="18"/>
        <v>http://geocode.csis.u-tokyo.ac.jp/cgi-bin/simple_geocode.cgi?charset=UTF8&amp;addr=%E5%A5%88%E8%89%AF%E7%9C%8C%E7%94%9F%E9%A7%92%E9%83%A1%E4%B8%89%E9%83%B7%E7%94%BA%E5%8B%A2%E9%87%8E%E5%8C%97</v>
      </c>
      <c r="E106" t="str">
        <f t="shared" si="19"/>
        <v xml:space="preserve">&lt;?xml version="1.0" encoding="UTF-8" ?&gt;
&lt;results&gt;
&lt;query&gt;奈良県生駒郡三郷町勢野北&lt;/query&gt;
&lt;geodetic&gt;wgs1984&lt;/geodetic&gt;
&lt;iConf&gt;5&lt;/iConf&gt;
&lt;converted&gt;奈良県生駒郡三郷町勢野北&lt;/converted&gt;
&lt;candidate&gt;
&lt;address&gt;奈良県/生駒郡/三郷町/勢野北&lt;/address&gt;
&lt;longitude&gt;135.697083&lt;/longitude&gt;
&lt;latitude&gt;34.607841&lt;/latitude&gt;
&lt;iLvl&gt;5&lt;/iLvl&gt;
&lt;/candidate&gt;
&lt;/results&gt;
</v>
      </c>
      <c r="F106" cm="1">
        <f t="array" ref="F106">INDEX(_xlfn.FILTERXML(E106,"//latitude"),1)</f>
        <v>34.607841000000001</v>
      </c>
      <c r="G106" cm="1">
        <f t="array" ref="G106">INDEX(_xlfn.FILTERXML(E106,"//longitude"),1)</f>
        <v>135.69708299999999</v>
      </c>
      <c r="H106">
        <v>34.607841000000001</v>
      </c>
      <c r="I106">
        <v>135.69708299999999</v>
      </c>
    </row>
    <row r="107" spans="1:9" x14ac:dyDescent="0.4">
      <c r="A107" t="s">
        <v>9</v>
      </c>
      <c r="B107" t="s">
        <v>75</v>
      </c>
      <c r="C107" t="str">
        <f t="shared" si="15"/>
        <v>東京都練馬区石神井町</v>
      </c>
      <c r="D107" s="2" t="str">
        <f t="shared" si="18"/>
        <v>http://geocode.csis.u-tokyo.ac.jp/cgi-bin/simple_geocode.cgi?charset=UTF8&amp;addr=%E6%9D%B1%E4%BA%AC%E9%83%BD%E7%B7%B4%E9%A6%AC%E5%8C%BA%E7%9F%B3%E7%A5%9E%E4%BA%95%E7%94%BA</v>
      </c>
      <c r="E107" t="str">
        <f t="shared" si="19"/>
        <v xml:space="preserve">&lt;?xml version="1.0" encoding="UTF-8" ?&gt;
&lt;results&gt;
&lt;query&gt;東京都練馬区石神井町&lt;/query&gt;
&lt;geodetic&gt;wgs1984&lt;/geodetic&gt;
&lt;iConf&gt;5&lt;/iConf&gt;
&lt;converted&gt;東京都練馬区石神井町&lt;/converted&gt;
&lt;candidate&gt;
&lt;address&gt;東京都/練馬区/石神井町&lt;/address&gt;
&lt;longitude&gt;139.611557&lt;/longitude&gt;
&lt;latitude&gt;35.741249&lt;/latitude&gt;
&lt;iLvl&gt;5&lt;/iLvl&gt;
&lt;/candidate&gt;
&lt;/results&gt;
</v>
      </c>
      <c r="F107" cm="1">
        <f t="array" ref="F107">INDEX(_xlfn.FILTERXML(E107,"//latitude"),1)</f>
        <v>35.741249000000003</v>
      </c>
      <c r="G107" cm="1">
        <f t="array" ref="G107">INDEX(_xlfn.FILTERXML(E107,"//longitude"),1)</f>
        <v>139.611557</v>
      </c>
      <c r="H107">
        <v>35.741249000000003</v>
      </c>
      <c r="I107">
        <v>139.611557</v>
      </c>
    </row>
    <row r="108" spans="1:9" x14ac:dyDescent="0.4">
      <c r="A108" t="s">
        <v>15</v>
      </c>
      <c r="B108" t="s">
        <v>133</v>
      </c>
      <c r="C108" t="str">
        <f t="shared" si="15"/>
        <v>愛知県名古屋市北区</v>
      </c>
      <c r="D108" s="2" t="str">
        <f t="shared" si="18"/>
        <v>http://geocode.csis.u-tokyo.ac.jp/cgi-bin/simple_geocode.cgi?charset=UTF8&amp;addr=%E6%84%9B%E7%9F%A5%E7%9C%8C%E5%90%8D%E5%8F%A4%E5%B1%8B%E5%B8%82%E5%8C%97%E5%8C%BA</v>
      </c>
      <c r="E108" t="str">
        <f t="shared" si="19"/>
        <v xml:space="preserve">&lt;?xml version="1.0" encoding="UTF-8" ?&gt;
&lt;results&gt;
&lt;query&gt;愛知県名古屋市北区&lt;/query&gt;
&lt;geodetic&gt;wgs1984&lt;/geodetic&gt;
&lt;iConf&gt;5&lt;/iConf&gt;
&lt;converted&gt;愛知県名古屋市北区&lt;/converted&gt;
&lt;candidate&gt;
&lt;address&gt;愛知県/名古屋市/北区&lt;/address&gt;
&lt;longitude&gt;136.911560&lt;/longitude&gt;
&lt;latitude&gt;35.194168&lt;/latitude&gt;
&lt;iLvl&gt;4&lt;/iLvl&gt;
&lt;/candidate&gt;
&lt;/results&gt;
</v>
      </c>
      <c r="F108" cm="1">
        <f t="array" ref="F108">INDEX(_xlfn.FILTERXML(E108,"//latitude"),1)</f>
        <v>35.194167999999998</v>
      </c>
      <c r="G108" cm="1">
        <f t="array" ref="G108">INDEX(_xlfn.FILTERXML(E108,"//longitude"),1)</f>
        <v>136.91156000000001</v>
      </c>
      <c r="H108">
        <v>35.194167999999998</v>
      </c>
      <c r="I108">
        <v>136.91156000000001</v>
      </c>
    </row>
    <row r="109" spans="1:9" x14ac:dyDescent="0.4">
      <c r="A109" t="s">
        <v>28</v>
      </c>
      <c r="B109" t="s">
        <v>110</v>
      </c>
      <c r="C109" t="str">
        <f t="shared" si="15"/>
        <v>三重県鈴鹿市</v>
      </c>
      <c r="D109" s="2" t="str">
        <f t="shared" si="18"/>
        <v>http://geocode.csis.u-tokyo.ac.jp/cgi-bin/simple_geocode.cgi?charset=UTF8&amp;addr=%E4%B8%89%E9%87%8D%E7%9C%8C%E9%88%B4%E9%B9%BF%E5%B8%82</v>
      </c>
      <c r="E109" t="str">
        <f t="shared" si="19"/>
        <v xml:space="preserve">&lt;?xml version="1.0" encoding="UTF-8" ?&gt;
&lt;results&gt;
&lt;query&gt;三重県鈴鹿市&lt;/query&gt;
&lt;geodetic&gt;wgs1984&lt;/geodetic&gt;
&lt;iConf&gt;5&lt;/iConf&gt;
&lt;converted&gt;三重県鈴鹿市&lt;/converted&gt;
&lt;candidate&gt;
&lt;address&gt;三重県/鈴鹿市&lt;/address&gt;
&lt;longitude&gt;136.584183&lt;/longitude&gt;
&lt;latitude&gt;34.881866&lt;/latitude&gt;
&lt;iLvl&gt;3&lt;/iLvl&gt;
&lt;/candidate&gt;
&lt;/results&gt;
</v>
      </c>
      <c r="F109" cm="1">
        <f t="array" ref="F109">INDEX(_xlfn.FILTERXML(E109,"//latitude"),1)</f>
        <v>34.881866000000002</v>
      </c>
      <c r="G109" cm="1">
        <f t="array" ref="G109">INDEX(_xlfn.FILTERXML(E109,"//longitude"),1)</f>
        <v>136.584183</v>
      </c>
      <c r="H109">
        <v>34.881866000000002</v>
      </c>
      <c r="I109">
        <v>136.584183</v>
      </c>
    </row>
    <row r="110" spans="1:9" x14ac:dyDescent="0.4">
      <c r="A110" t="s">
        <v>24</v>
      </c>
      <c r="B110" t="s">
        <v>153</v>
      </c>
      <c r="C110" t="str">
        <f t="shared" si="15"/>
        <v>静岡県沼津市東椎路</v>
      </c>
      <c r="D110" s="2" t="str">
        <f t="shared" si="18"/>
        <v>http://geocode.csis.u-tokyo.ac.jp/cgi-bin/simple_geocode.cgi?charset=UTF8&amp;addr=%E9%9D%99%E5%B2%A1%E7%9C%8C%E6%B2%BC%E6%B4%A5%E5%B8%82%E6%9D%B1%E6%A4%8E%E8%B7%AF</v>
      </c>
      <c r="E110" t="str">
        <f t="shared" si="19"/>
        <v xml:space="preserve">&lt;?xml version="1.0" encoding="UTF-8" ?&gt;
&lt;results&gt;
&lt;query&gt;静岡県沼津市東椎路&lt;/query&gt;
&lt;geodetic&gt;wgs1984&lt;/geodetic&gt;
&lt;iConf&gt;5&lt;/iConf&gt;
&lt;converted&gt;静岡県沼津市東椎路&lt;/converted&gt;
&lt;candidate&gt;
&lt;address&gt;静岡県/沼津市/東椎路&lt;/address&gt;
&lt;longitude&gt;138.837143&lt;/longitude&gt;
&lt;latitude&gt;35.128609&lt;/latitude&gt;
&lt;iLvl&gt;5&lt;/iLvl&gt;
&lt;/candidate&gt;
&lt;/results&gt;
</v>
      </c>
      <c r="F110" cm="1">
        <f t="array" ref="F110">INDEX(_xlfn.FILTERXML(E110,"//latitude"),1)</f>
        <v>35.128608999999997</v>
      </c>
      <c r="G110" cm="1">
        <f t="array" ref="G110">INDEX(_xlfn.FILTERXML(E110,"//longitude"),1)</f>
        <v>138.837143</v>
      </c>
      <c r="H110">
        <v>35.128608999999997</v>
      </c>
      <c r="I110">
        <v>138.837143</v>
      </c>
    </row>
    <row r="111" spans="1:9" x14ac:dyDescent="0.4">
      <c r="A111" t="s">
        <v>24</v>
      </c>
      <c r="B111" t="s">
        <v>154</v>
      </c>
      <c r="C111" t="str">
        <f t="shared" si="15"/>
        <v>静岡県静岡市駿河区西島</v>
      </c>
      <c r="D111" s="2" t="str">
        <f t="shared" si="18"/>
        <v>http://geocode.csis.u-tokyo.ac.jp/cgi-bin/simple_geocode.cgi?charset=UTF8&amp;addr=%E9%9D%99%E5%B2%A1%E7%9C%8C%E9%9D%99%E5%B2%A1%E5%B8%82%E9%A7%BF%E6%B2%B3%E5%8C%BA%E8%A5%BF%E5%B3%B6</v>
      </c>
      <c r="E111" t="str">
        <f t="shared" si="19"/>
        <v xml:space="preserve">&lt;?xml version="1.0" encoding="UTF-8" ?&gt;
&lt;results&gt;
&lt;query&gt;静岡県静岡市駿河区西島&lt;/query&gt;
&lt;geodetic&gt;wgs1984&lt;/geodetic&gt;
&lt;iConf&gt;5&lt;/iConf&gt;
&lt;converted&gt;静岡県静岡市駿河区西島&lt;/converted&gt;
&lt;candidate&gt;
&lt;address&gt;静岡県/静岡市/駿河区/西島&lt;/address&gt;
&lt;longitude&gt;138.404984&lt;/longitude&gt;
&lt;latitude&gt;34.943291&lt;/latitude&gt;
&lt;iLvl&gt;5&lt;/iLvl&gt;
&lt;/candidate&gt;
&lt;/results&gt;
</v>
      </c>
      <c r="F111" cm="1">
        <f t="array" ref="F111">INDEX(_xlfn.FILTERXML(E111,"//latitude"),1)</f>
        <v>34.943291000000002</v>
      </c>
      <c r="G111" cm="1">
        <f t="array" ref="G111">INDEX(_xlfn.FILTERXML(E111,"//longitude"),1)</f>
        <v>138.40498400000001</v>
      </c>
      <c r="H111">
        <v>34.943291000000002</v>
      </c>
      <c r="I111">
        <v>138.40498400000001</v>
      </c>
    </row>
    <row r="112" spans="1:9" x14ac:dyDescent="0.4">
      <c r="A112" t="s">
        <v>26</v>
      </c>
      <c r="B112" t="s">
        <v>155</v>
      </c>
      <c r="C112" t="str">
        <f t="shared" si="15"/>
        <v>岐阜県岐阜市</v>
      </c>
      <c r="D112" s="2" t="str">
        <f t="shared" si="18"/>
        <v>http://geocode.csis.u-tokyo.ac.jp/cgi-bin/simple_geocode.cgi?charset=UTF8&amp;addr=%E5%B2%90%E9%98%9C%E7%9C%8C%E5%B2%90%E9%98%9C%E5%B8%82</v>
      </c>
      <c r="E112" t="str">
        <f t="shared" si="19"/>
        <v xml:space="preserve">&lt;?xml version="1.0" encoding="UTF-8" ?&gt;
&lt;results&gt;
&lt;query&gt;岐阜県岐阜市&lt;/query&gt;
&lt;geodetic&gt;wgs1984&lt;/geodetic&gt;
&lt;iConf&gt;5&lt;/iConf&gt;
&lt;converted&gt;岐阜県岐阜市&lt;/converted&gt;
&lt;candidate&gt;
&lt;address&gt;岐阜県/岐阜市&lt;/address&gt;
&lt;longitude&gt;136.760651&lt;/longitude&gt;
&lt;latitude&gt;35.423302&lt;/latitude&gt;
&lt;iLvl&gt;3&lt;/iLvl&gt;
&lt;/candidate&gt;
&lt;/results&gt;
</v>
      </c>
      <c r="F112" cm="1">
        <f t="array" ref="F112">INDEX(_xlfn.FILTERXML(E112,"//latitude"),1)</f>
        <v>35.423302</v>
      </c>
      <c r="G112" cm="1">
        <f t="array" ref="G112">INDEX(_xlfn.FILTERXML(E112,"//longitude"),1)</f>
        <v>136.760651</v>
      </c>
      <c r="H112">
        <v>35.423302</v>
      </c>
      <c r="I112">
        <v>136.760651</v>
      </c>
    </row>
    <row r="113" spans="1:9" x14ac:dyDescent="0.4">
      <c r="A113" t="s">
        <v>13</v>
      </c>
      <c r="B113" t="s">
        <v>156</v>
      </c>
      <c r="C113" t="str">
        <f t="shared" si="15"/>
        <v>兵庫県荷山町</v>
      </c>
      <c r="D113" s="2" t="str">
        <f t="shared" si="18"/>
        <v>http://geocode.csis.u-tokyo.ac.jp/cgi-bin/simple_geocode.cgi?charset=UTF8&amp;addr=%E5%85%B5%E5%BA%AB%E7%9C%8C%E8%8D%B7%E5%B1%B1%E7%94%BA</v>
      </c>
      <c r="E113" t="str">
        <f t="shared" si="19"/>
        <v xml:space="preserve">&lt;?xml version="1.0" encoding="UTF-8" ?&gt;
&lt;results&gt;
&lt;query&gt;兵庫県荷山町&lt;/query&gt;
&lt;geodetic&gt;wgs1984&lt;/geodetic&gt;
&lt;iConf&gt;3&lt;/iConf&gt;
&lt;converted&gt;兵庫県&lt;/converted&gt;
&lt;candidate&gt;
&lt;address&gt;兵庫県&lt;/address&gt;
&lt;longitude&gt;135.195724&lt;/longitude&gt;
&lt;latitude&gt;34.689495&lt;/latitude&gt;
&lt;iLvl&gt;1&lt;/iLvl&gt;
&lt;/candidate&gt;
&lt;/results&gt;
</v>
      </c>
      <c r="F113" cm="1">
        <f t="array" ref="F113">INDEX(_xlfn.FILTERXML(E113,"//latitude"),1)</f>
        <v>34.689495000000001</v>
      </c>
      <c r="G113" cm="1">
        <f t="array" ref="G113">INDEX(_xlfn.FILTERXML(E113,"//longitude"),1)</f>
        <v>135.19572400000001</v>
      </c>
      <c r="H113">
        <v>34.689495000000001</v>
      </c>
      <c r="I113">
        <v>135.19572400000001</v>
      </c>
    </row>
    <row r="114" spans="1:9" x14ac:dyDescent="0.4">
      <c r="A114" t="s">
        <v>15</v>
      </c>
      <c r="B114" t="s">
        <v>157</v>
      </c>
      <c r="C114" t="str">
        <f t="shared" si="15"/>
        <v>愛知県春日井市八幡町5-1</v>
      </c>
      <c r="D114" s="2" t="str">
        <f t="shared" si="18"/>
        <v>http://geocode.csis.u-tokyo.ac.jp/cgi-bin/simple_geocode.cgi?charset=UTF8&amp;addr=%E6%84%9B%E7%9F%A5%E7%9C%8C%E6%98%A5%E6%97%A5%E4%BA%95%E5%B8%82%E5%85%AB%E5%B9%A1%E7%94%BA5-1</v>
      </c>
      <c r="E114" t="str">
        <f t="shared" si="19"/>
        <v xml:space="preserve">&lt;?xml version="1.0" encoding="UTF-8" ?&gt;
&lt;results&gt;
&lt;query&gt;愛知県春日井市八幡町5-1&lt;/query&gt;
&lt;geodetic&gt;wgs1984&lt;/geodetic&gt;
&lt;iConf&gt;5&lt;/iConf&gt;
&lt;converted&gt;愛知県春日井市八幡町5-&lt;/converted&gt;
&lt;candidate&gt;
&lt;address&gt;愛知県/春日井市/八幡町/５番地&lt;/address&gt;
&lt;longitude&gt;136.957352&lt;/longitude&gt;
&lt;latitude&gt;35.236572&lt;/latitude&gt;
&lt;iLvl&gt;7&lt;/iLvl&gt;
&lt;/candidate&gt;
&lt;/results&gt;
</v>
      </c>
      <c r="F114" cm="1">
        <f t="array" ref="F114">INDEX(_xlfn.FILTERXML(E114,"//latitude"),1)</f>
        <v>35.236572000000002</v>
      </c>
      <c r="G114" cm="1">
        <f t="array" ref="G114">INDEX(_xlfn.FILTERXML(E114,"//longitude"),1)</f>
        <v>136.95735199999999</v>
      </c>
      <c r="H114">
        <v>35.236572000000002</v>
      </c>
      <c r="I114">
        <v>136.95735199999999</v>
      </c>
    </row>
    <row r="115" spans="1:9" x14ac:dyDescent="0.4">
      <c r="A115" t="s">
        <v>10</v>
      </c>
      <c r="B115" t="s">
        <v>158</v>
      </c>
      <c r="C115" t="str">
        <f t="shared" si="15"/>
        <v>神奈川県横浜市西区浅間台</v>
      </c>
      <c r="D115" s="2" t="str">
        <f t="shared" si="18"/>
        <v>http://geocode.csis.u-tokyo.ac.jp/cgi-bin/simple_geocode.cgi?charset=UTF8&amp;addr=%E7%A5%9E%E5%A5%88%E5%B7%9D%E7%9C%8C%E6%A8%AA%E6%B5%9C%E5%B8%82%E8%A5%BF%E5%8C%BA%E6%B5%85%E9%96%93%E5%8F%B0</v>
      </c>
      <c r="E115" t="str">
        <f t="shared" si="19"/>
        <v xml:space="preserve">&lt;?xml version="1.0" encoding="UTF-8" ?&gt;
&lt;results&gt;
&lt;query&gt;神奈川県横浜市西区浅間台&lt;/query&gt;
&lt;geodetic&gt;wgs1984&lt;/geodetic&gt;
&lt;iConf&gt;5&lt;/iConf&gt;
&lt;converted&gt;神奈川県横浜市西区浅間台&lt;/converted&gt;
&lt;candidate&gt;
&lt;address&gt;神奈川県/横浜市/西区/浅間台&lt;/address&gt;
&lt;longitude&gt;139.607620&lt;/longitude&gt;
&lt;latitude&gt;35.464432&lt;/latitude&gt;
&lt;iLvl&gt;5&lt;/iLvl&gt;
&lt;/candidate&gt;
&lt;/results&gt;
</v>
      </c>
      <c r="F115" cm="1">
        <f t="array" ref="F115">INDEX(_xlfn.FILTERXML(E115,"//latitude"),1)</f>
        <v>35.464432000000002</v>
      </c>
      <c r="G115" cm="1">
        <f t="array" ref="G115">INDEX(_xlfn.FILTERXML(E115,"//longitude"),1)</f>
        <v>139.60762</v>
      </c>
      <c r="H115">
        <v>35.464432000000002</v>
      </c>
      <c r="I115">
        <v>139.60762</v>
      </c>
    </row>
    <row r="116" spans="1:9" x14ac:dyDescent="0.4">
      <c r="A116" t="s">
        <v>97</v>
      </c>
      <c r="B116" t="s">
        <v>553</v>
      </c>
      <c r="C116" t="str">
        <f t="shared" si="15"/>
        <v>熊本県熊本市東区長嶺南</v>
      </c>
      <c r="D116" s="2" t="str">
        <f t="shared" si="18"/>
        <v>http://geocode.csis.u-tokyo.ac.jp/cgi-bin/simple_geocode.cgi?charset=UTF8&amp;addr=%E7%86%8A%E6%9C%AC%E7%9C%8C%E7%86%8A%E6%9C%AC%E5%B8%82%E6%9D%B1%E5%8C%BA%E9%95%B7%E5%B6%BA%E5%8D%97</v>
      </c>
      <c r="E116" t="str">
        <f t="shared" si="19"/>
        <v xml:space="preserve">&lt;?xml version="1.0" encoding="UTF-8" ?&gt;
&lt;results&gt;
&lt;query&gt;熊本県熊本市東区長嶺南&lt;/query&gt;
&lt;geodetic&gt;wgs1984&lt;/geodetic&gt;
&lt;iConf&gt;5&lt;/iConf&gt;
&lt;converted&gt;熊本県熊本市東区長嶺南&lt;/converted&gt;
&lt;candidate&gt;
&lt;address&gt;熊本県/熊本市/東区/長嶺南&lt;/address&gt;
&lt;longitude&gt;130.764603&lt;/longitude&gt;
&lt;latitude&gt;32.810307&lt;/latitude&gt;
&lt;iLvl&gt;5&lt;/iLvl&gt;
&lt;/candidate&gt;
&lt;/results&gt;
</v>
      </c>
      <c r="F116" cm="1">
        <f t="array" ref="F116">INDEX(_xlfn.FILTERXML(E116,"//latitude"),1)</f>
        <v>32.810307000000002</v>
      </c>
      <c r="G116" cm="1">
        <f t="array" ref="G116">INDEX(_xlfn.FILTERXML(E116,"//longitude"),1)</f>
        <v>130.76460299999999</v>
      </c>
      <c r="H116">
        <v>32.810307000000002</v>
      </c>
      <c r="I116">
        <v>130.76460299999999</v>
      </c>
    </row>
    <row r="117" spans="1:9" x14ac:dyDescent="0.4">
      <c r="A117" t="s">
        <v>194</v>
      </c>
      <c r="B117" t="s">
        <v>554</v>
      </c>
      <c r="C117" t="str">
        <f t="shared" si="15"/>
        <v>沖縄県那覇市銘苅</v>
      </c>
      <c r="D117" s="2" t="str">
        <f t="shared" si="18"/>
        <v>http://geocode.csis.u-tokyo.ac.jp/cgi-bin/simple_geocode.cgi?charset=UTF8&amp;addr=%E6%B2%96%E7%B8%84%E7%9C%8C%E9%82%A3%E8%A6%87%E5%B8%82%E9%8A%98%E8%8B%85</v>
      </c>
      <c r="E117" t="str">
        <f t="shared" si="19"/>
        <v xml:space="preserve">&lt;?xml version="1.0" encoding="UTF-8" ?&gt;
&lt;results&gt;
&lt;query&gt;沖縄県那覇市銘苅&lt;/query&gt;
&lt;geodetic&gt;wgs1984&lt;/geodetic&gt;
&lt;iConf&gt;5&lt;/iConf&gt;
&lt;converted&gt;沖縄県那覇市銘苅&lt;/converted&gt;
&lt;candidate&gt;
&lt;address&gt;沖縄県/那覇市/銘苅&lt;/address&gt;
&lt;longitude&gt;127.701256&lt;/longitude&gt;
&lt;latitude&gt;26.230446&lt;/latitude&gt;
&lt;iLvl&gt;5&lt;/iLvl&gt;
&lt;/candidate&gt;
&lt;/results&gt;
</v>
      </c>
      <c r="F117" cm="1">
        <f t="array" ref="F117">INDEX(_xlfn.FILTERXML(E117,"//latitude"),1)</f>
        <v>26.230446000000001</v>
      </c>
      <c r="G117" cm="1">
        <f t="array" ref="G117">INDEX(_xlfn.FILTERXML(E117,"//longitude"),1)</f>
        <v>127.701256</v>
      </c>
      <c r="H117">
        <v>26.230446000000001</v>
      </c>
      <c r="I117">
        <v>127.701256</v>
      </c>
    </row>
    <row r="118" spans="1:9" x14ac:dyDescent="0.4">
      <c r="A118" t="s">
        <v>20</v>
      </c>
      <c r="B118" t="s">
        <v>159</v>
      </c>
      <c r="C118" t="str">
        <f t="shared" si="15"/>
        <v>宮城県東松島市赤井字有明</v>
      </c>
      <c r="D118" s="2" t="str">
        <f t="shared" si="18"/>
        <v>http://geocode.csis.u-tokyo.ac.jp/cgi-bin/simple_geocode.cgi?charset=UTF8&amp;addr=%E5%AE%AE%E5%9F%8E%E7%9C%8C%E6%9D%B1%E6%9D%BE%E5%B3%B6%E5%B8%82%E8%B5%A4%E4%BA%95%E5%AD%97%E6%9C%89%E6%98%8E</v>
      </c>
      <c r="E118" t="str">
        <f t="shared" si="19"/>
        <v xml:space="preserve">&lt;?xml version="1.0" encoding="UTF-8" ?&gt;
&lt;results&gt;
&lt;query&gt;宮城県東松島市赤井字有明&lt;/query&gt;
&lt;geodetic&gt;wgs1984&lt;/geodetic&gt;
&lt;iConf&gt;5&lt;/iConf&gt;
&lt;converted&gt;宮城県東松島市赤井字有明&lt;/converted&gt;
&lt;candidate&gt;
&lt;address&gt;宮城県/東松島市/赤井/有明&lt;/address&gt;
&lt;longitude&gt;141.242294&lt;/longitude&gt;
&lt;latitude&gt;38.436203&lt;/latitude&gt;
&lt;iLvl&gt;6&lt;/iLvl&gt;
&lt;/candidate&gt;
&lt;/results&gt;
</v>
      </c>
      <c r="F118" cm="1">
        <f t="array" ref="F118">INDEX(_xlfn.FILTERXML(E118,"//latitude"),1)</f>
        <v>38.436202999999999</v>
      </c>
      <c r="G118" cm="1">
        <f t="array" ref="G118">INDEX(_xlfn.FILTERXML(E118,"//longitude"),1)</f>
        <v>141.24229399999999</v>
      </c>
      <c r="H118">
        <v>38.436202999999999</v>
      </c>
      <c r="I118">
        <v>141.24229399999999</v>
      </c>
    </row>
    <row r="119" spans="1:9" x14ac:dyDescent="0.4">
      <c r="A119" t="s">
        <v>26</v>
      </c>
      <c r="B119" t="s">
        <v>163</v>
      </c>
      <c r="C119" t="str">
        <f t="shared" si="15"/>
        <v>岐阜県岐阜市正木</v>
      </c>
      <c r="D119" s="2" t="str">
        <f t="shared" si="18"/>
        <v>http://geocode.csis.u-tokyo.ac.jp/cgi-bin/simple_geocode.cgi?charset=UTF8&amp;addr=%E5%B2%90%E9%98%9C%E7%9C%8C%E5%B2%90%E9%98%9C%E5%B8%82%E6%AD%A3%E6%9C%A8</v>
      </c>
      <c r="E119" t="str">
        <f t="shared" si="19"/>
        <v xml:space="preserve">&lt;?xml version="1.0" encoding="UTF-8" ?&gt;
&lt;results&gt;
&lt;query&gt;岐阜県岐阜市正木&lt;/query&gt;
&lt;geodetic&gt;wgs1984&lt;/geodetic&gt;
&lt;iConf&gt;5&lt;/iConf&gt;
&lt;converted&gt;岐阜県岐阜市正木&lt;/converted&gt;
&lt;candidate&gt;
&lt;address&gt;岐阜県/岐阜市/正木&lt;/address&gt;
&lt;longitude&gt;136.743027&lt;/longitude&gt;
&lt;latitude&gt;35.454334&lt;/latitude&gt;
&lt;iLvl&gt;5&lt;/iLvl&gt;
&lt;/candidate&gt;
&lt;/results&gt;
</v>
      </c>
      <c r="F119" cm="1">
        <f t="array" ref="F119">INDEX(_xlfn.FILTERXML(E119,"//latitude"),1)</f>
        <v>35.454334000000003</v>
      </c>
      <c r="G119" cm="1">
        <f t="array" ref="G119">INDEX(_xlfn.FILTERXML(E119,"//longitude"),1)</f>
        <v>136.74302700000001</v>
      </c>
      <c r="H119">
        <v>35.454334000000003</v>
      </c>
      <c r="I119">
        <v>136.74302700000001</v>
      </c>
    </row>
    <row r="120" spans="1:9" x14ac:dyDescent="0.4">
      <c r="A120" t="s">
        <v>9</v>
      </c>
      <c r="B120" t="s">
        <v>160</v>
      </c>
      <c r="C120" t="str">
        <f t="shared" si="15"/>
        <v>東京都板橋区南町</v>
      </c>
      <c r="D120" s="2" t="str">
        <f t="shared" si="18"/>
        <v>http://geocode.csis.u-tokyo.ac.jp/cgi-bin/simple_geocode.cgi?charset=UTF8&amp;addr=%E6%9D%B1%E4%BA%AC%E9%83%BD%E6%9D%BF%E6%A9%8B%E5%8C%BA%E5%8D%97%E7%94%BA</v>
      </c>
      <c r="E120" t="str">
        <f t="shared" si="19"/>
        <v xml:space="preserve">&lt;?xml version="1.0" encoding="UTF-8" ?&gt;
&lt;results&gt;
&lt;query&gt;東京都板橋区南町&lt;/query&gt;
&lt;geodetic&gt;wgs1984&lt;/geodetic&gt;
&lt;iConf&gt;5&lt;/iConf&gt;
&lt;converted&gt;東京都板橋区南町&lt;/converted&gt;
&lt;candidate&gt;
&lt;address&gt;東京都/板橋区/南町&lt;/address&gt;
&lt;longitude&gt;139.701920&lt;/longitude&gt;
&lt;latitude&gt;35.739822&lt;/latitude&gt;
&lt;iLvl&gt;5&lt;/iLvl&gt;
&lt;/candidate&gt;
&lt;/results&gt;
</v>
      </c>
      <c r="F120" cm="1">
        <f t="array" ref="F120">INDEX(_xlfn.FILTERXML(E120,"//latitude"),1)</f>
        <v>35.739821999999997</v>
      </c>
      <c r="G120" cm="1">
        <f t="array" ref="G120">INDEX(_xlfn.FILTERXML(E120,"//longitude"),1)</f>
        <v>139.70192</v>
      </c>
      <c r="H120">
        <v>35.739821999999997</v>
      </c>
      <c r="I120">
        <v>139.70192</v>
      </c>
    </row>
    <row r="121" spans="1:9" x14ac:dyDescent="0.4">
      <c r="A121" t="s">
        <v>9</v>
      </c>
      <c r="B121" t="s">
        <v>42</v>
      </c>
      <c r="C121" t="str">
        <f t="shared" si="15"/>
        <v>東京都新宿区</v>
      </c>
      <c r="D121" s="2" t="str">
        <f t="shared" si="18"/>
        <v>http://geocode.csis.u-tokyo.ac.jp/cgi-bin/simple_geocode.cgi?charset=UTF8&amp;addr=%E6%9D%B1%E4%BA%AC%E9%83%BD%E6%96%B0%E5%AE%BF%E5%8C%BA</v>
      </c>
      <c r="E121" t="str">
        <f t="shared" si="19"/>
        <v xml:space="preserve">&lt;?xml version="1.0" encoding="UTF-8" ?&gt;
&lt;results&gt;
&lt;query&gt;東京都新宿区&lt;/query&gt;
&lt;geodetic&gt;wgs1984&lt;/geodetic&gt;
&lt;iConf&gt;5&lt;/iConf&gt;
&lt;converted&gt;東京都新宿区&lt;/converted&gt;
&lt;candidate&gt;
&lt;address&gt;東京都/新宿区&lt;/address&gt;
&lt;longitude&gt;139.703461&lt;/longitude&gt;
&lt;latitude&gt;35.693890&lt;/latitude&gt;
&lt;iLvl&gt;3&lt;/iLvl&gt;
&lt;/candidate&gt;
&lt;/results&gt;
</v>
      </c>
      <c r="F121" cm="1">
        <f t="array" ref="F121">INDEX(_xlfn.FILTERXML(E121,"//latitude"),1)</f>
        <v>35.693890000000003</v>
      </c>
      <c r="G121" cm="1">
        <f t="array" ref="G121">INDEX(_xlfn.FILTERXML(E121,"//longitude"),1)</f>
        <v>139.703461</v>
      </c>
      <c r="H121">
        <v>35.693890000000003</v>
      </c>
      <c r="I121">
        <v>139.703461</v>
      </c>
    </row>
    <row r="122" spans="1:9" x14ac:dyDescent="0.4">
      <c r="A122" t="s">
        <v>15</v>
      </c>
      <c r="B122" t="s">
        <v>555</v>
      </c>
      <c r="C122" t="str">
        <f t="shared" si="15"/>
        <v>愛知県知多郡東浦町緒川東仙台</v>
      </c>
      <c r="D122" s="2" t="str">
        <f t="shared" si="18"/>
        <v>http://geocode.csis.u-tokyo.ac.jp/cgi-bin/simple_geocode.cgi?charset=UTF8&amp;addr=%E6%84%9B%E7%9F%A5%E7%9C%8C%E7%9F%A5%E5%A4%9A%E9%83%A1%E6%9D%B1%E6%B5%A6%E7%94%BA%E7%B7%92%E5%B7%9D%E6%9D%B1%E4%BB%99%E5%8F%B0</v>
      </c>
      <c r="E122" t="str">
        <f t="shared" si="19"/>
        <v xml:space="preserve">&lt;?xml version="1.0" encoding="UTF-8" ?&gt;
&lt;results&gt;
&lt;query&gt;愛知県知多郡東浦町緒川東仙台&lt;/query&gt;
&lt;geodetic&gt;wgs1984&lt;/geodetic&gt;
&lt;iConf&gt;5&lt;/iConf&gt;
&lt;converted&gt;愛知県知多郡東浦町緒川東仙台&lt;/converted&gt;
&lt;candidate&gt;
&lt;address&gt;愛知県/知多郡/東浦町/大字緒川/東仙台&lt;/address&gt;
&lt;longitude&gt;136.925491&lt;/longitude&gt;
&lt;latitude&gt;34.958252&lt;/latitude&gt;
&lt;iLvl&gt;6&lt;/iLvl&gt;
&lt;/candidate&gt;
&lt;/results&gt;
</v>
      </c>
      <c r="F122" cm="1">
        <f t="array" ref="F122">INDEX(_xlfn.FILTERXML(E122,"//latitude"),1)</f>
        <v>34.958252000000002</v>
      </c>
      <c r="G122" cm="1">
        <f t="array" ref="G122">INDEX(_xlfn.FILTERXML(E122,"//longitude"),1)</f>
        <v>136.92549099999999</v>
      </c>
      <c r="H122">
        <v>34.958252000000002</v>
      </c>
      <c r="I122">
        <v>136.92549099999999</v>
      </c>
    </row>
    <row r="123" spans="1:9" x14ac:dyDescent="0.4">
      <c r="A123" t="s">
        <v>9</v>
      </c>
      <c r="B123" t="s">
        <v>556</v>
      </c>
      <c r="C123" t="str">
        <f t="shared" si="15"/>
        <v>東京都江東区</v>
      </c>
      <c r="D123" s="2" t="str">
        <f t="shared" ref="D123:D133" si="20" xml:space="preserve"> "http://geocode.csis.u-tokyo.ac.jp/cgi-bin/simple_geocode.cgi?charset=UTF8&amp;addr=" &amp; _xlfn.ENCODEURL(C123)</f>
        <v>http://geocode.csis.u-tokyo.ac.jp/cgi-bin/simple_geocode.cgi?charset=UTF8&amp;addr=%E6%9D%B1%E4%BA%AC%E9%83%BD%E6%B1%9F%E6%9D%B1%E5%8C%BA</v>
      </c>
      <c r="E123" t="str">
        <f t="shared" ref="E123:E132" si="21" xml:space="preserve"> _xlfn.WEBSERVICE(D123)</f>
        <v xml:space="preserve">&lt;?xml version="1.0" encoding="UTF-8" ?&gt;
&lt;results&gt;
&lt;query&gt;東京都江東区&lt;/query&gt;
&lt;geodetic&gt;wgs1984&lt;/geodetic&gt;
&lt;iConf&gt;5&lt;/iConf&gt;
&lt;converted&gt;東京都江東区&lt;/converted&gt;
&lt;candidate&gt;
&lt;address&gt;東京都/江東区&lt;/address&gt;
&lt;longitude&gt;139.817368&lt;/longitude&gt;
&lt;latitude&gt;35.672859&lt;/latitude&gt;
&lt;iLvl&gt;3&lt;/iLvl&gt;
&lt;/candidate&gt;
&lt;/results&gt;
</v>
      </c>
      <c r="F123" cm="1">
        <f t="array" ref="F123">INDEX(_xlfn.FILTERXML(E123,"//latitude"),1)</f>
        <v>35.672859000000003</v>
      </c>
      <c r="G123" cm="1">
        <f t="array" ref="G123">INDEX(_xlfn.FILTERXML(E123,"//longitude"),1)</f>
        <v>139.81736799999999</v>
      </c>
      <c r="H123">
        <v>35.672859000000003</v>
      </c>
      <c r="I123">
        <v>139.81736799999999</v>
      </c>
    </row>
    <row r="124" spans="1:9" x14ac:dyDescent="0.4">
      <c r="A124" t="s">
        <v>9</v>
      </c>
      <c r="B124" t="s">
        <v>165</v>
      </c>
      <c r="C124" t="str">
        <f t="shared" si="15"/>
        <v>東京都世田谷区桜上水</v>
      </c>
      <c r="D124" s="2" t="str">
        <f t="shared" si="20"/>
        <v>http://geocode.csis.u-tokyo.ac.jp/cgi-bin/simple_geocode.cgi?charset=UTF8&amp;addr=%E6%9D%B1%E4%BA%AC%E9%83%BD%E4%B8%96%E7%94%B0%E8%B0%B7%E5%8C%BA%E6%A1%9C%E4%B8%8A%E6%B0%B4</v>
      </c>
      <c r="E124" t="str">
        <f t="shared" si="21"/>
        <v xml:space="preserve">&lt;?xml version="1.0" encoding="UTF-8" ?&gt;
&lt;results&gt;
&lt;query&gt;東京都世田谷区桜上水&lt;/query&gt;
&lt;geodetic&gt;wgs1984&lt;/geodetic&gt;
&lt;iConf&gt;5&lt;/iConf&gt;
&lt;converted&gt;東京都世田谷区桜上水&lt;/converted&gt;
&lt;candidate&gt;
&lt;address&gt;東京都/世田谷区/桜上水&lt;/address&gt;
&lt;longitude&gt;139.631516&lt;/longitude&gt;
&lt;latitude&gt;35.658089&lt;/latitude&gt;
&lt;iLvl&gt;5&lt;/iLvl&gt;
&lt;/candidate&gt;
&lt;/results&gt;
</v>
      </c>
      <c r="F124" cm="1">
        <f t="array" ref="F124">INDEX(_xlfn.FILTERXML(E124,"//latitude"),1)</f>
        <v>35.658088999999997</v>
      </c>
      <c r="G124" cm="1">
        <f t="array" ref="G124">INDEX(_xlfn.FILTERXML(E124,"//longitude"),1)</f>
        <v>139.631516</v>
      </c>
      <c r="H124">
        <v>35.658088999999997</v>
      </c>
      <c r="I124">
        <v>139.631516</v>
      </c>
    </row>
    <row r="125" spans="1:9" x14ac:dyDescent="0.4">
      <c r="A125" t="s">
        <v>15</v>
      </c>
      <c r="B125" t="s">
        <v>548</v>
      </c>
      <c r="C125" t="str">
        <f t="shared" si="15"/>
        <v>愛知県名古屋市中区栄5丁目</v>
      </c>
      <c r="D125" s="2" t="str">
        <f t="shared" si="20"/>
        <v>http://geocode.csis.u-tokyo.ac.jp/cgi-bin/simple_geocode.cgi?charset=UTF8&amp;addr=%E6%84%9B%E7%9F%A5%E7%9C%8C%E5%90%8D%E5%8F%A4%E5%B1%8B%E5%B8%82%E4%B8%AD%E5%8C%BA%E6%A0%845%E4%B8%81%E7%9B%AE</v>
      </c>
      <c r="E125" t="str">
        <f t="shared" si="21"/>
        <v xml:space="preserve">&lt;?xml version="1.0" encoding="UTF-8" ?&gt;
&lt;results&gt;
&lt;query&gt;愛知県名古屋市中区栄5丁目&lt;/query&gt;
&lt;geodetic&gt;wgs1984&lt;/geodetic&gt;
&lt;iConf&gt;5&lt;/iConf&gt;
&lt;converted&gt;愛知県名古屋市中区栄5丁目&lt;/converted&gt;
&lt;candidate&gt;
&lt;address&gt;愛知県/名古屋市/中区/栄/五丁目&lt;/address&gt;
&lt;longitude&gt;136.912338&lt;/longitude&gt;
&lt;latitude&gt;35.163952&lt;/latitude&gt;
&lt;iLvl&gt;6&lt;/iLvl&gt;
&lt;/candidate&gt;
&lt;/results&gt;
</v>
      </c>
      <c r="F125" cm="1">
        <f t="array" ref="F125">INDEX(_xlfn.FILTERXML(E125,"//latitude"),1)</f>
        <v>35.163952000000002</v>
      </c>
      <c r="G125" cm="1">
        <f t="array" ref="G125">INDEX(_xlfn.FILTERXML(E125,"//longitude"),1)</f>
        <v>136.91233800000001</v>
      </c>
      <c r="H125">
        <v>35.163952000000002</v>
      </c>
      <c r="I125">
        <v>136.91233800000001</v>
      </c>
    </row>
    <row r="126" spans="1:9" x14ac:dyDescent="0.4">
      <c r="A126" t="s">
        <v>9</v>
      </c>
      <c r="B126" t="s">
        <v>275</v>
      </c>
      <c r="C126" t="str">
        <f t="shared" si="15"/>
        <v>東京都品川区東品川４－１３－２４</v>
      </c>
      <c r="D126" s="2" t="str">
        <f t="shared" si="20"/>
        <v>http://geocode.csis.u-tokyo.ac.jp/cgi-bin/simple_geocode.cgi?charset=UTF8&amp;addr=%E6%9D%B1%E4%BA%AC%E9%83%BD%E5%93%81%E5%B7%9D%E5%8C%BA%E6%9D%B1%E5%93%81%E5%B7%9D%EF%BC%94%EF%BC%8D%EF%BC%91%EF%BC%93%EF%BC%8D%EF%BC%92%EF%BC%94</v>
      </c>
      <c r="E126" t="str">
        <f t="shared" si="21"/>
        <v xml:space="preserve">&lt;?xml version="1.0" encoding="UTF-8" ?&gt;
&lt;results&gt;
&lt;query&gt;東京都品川区東品川４−１３−２４&lt;/query&gt;
&lt;geodetic&gt;wgs1984&lt;/geodetic&gt;
&lt;iConf&gt;5&lt;/iConf&gt;
&lt;converted&gt;東京都品川区東品川４−１３−２４&lt;/converted&gt;
&lt;candidate&gt;
&lt;address&gt;東京都/品川区/東品川/四丁目/１３番/２４号&lt;/address&gt;
&lt;longitude&gt;139.749985&lt;/longitude&gt;
&lt;latitude&gt;35.609947&lt;/latitude&gt;
&lt;iLvl&gt;8&lt;/iLvl&gt;
&lt;/candidate&gt;
&lt;/results&gt;
</v>
      </c>
      <c r="F126" cm="1">
        <f t="array" ref="F126">INDEX(_xlfn.FILTERXML(E126,"//latitude"),1)</f>
        <v>35.609946999999998</v>
      </c>
      <c r="G126" cm="1">
        <f t="array" ref="G126">INDEX(_xlfn.FILTERXML(E126,"//longitude"),1)</f>
        <v>139.74998500000001</v>
      </c>
      <c r="H126">
        <v>35.609946999999998</v>
      </c>
      <c r="I126">
        <v>139.74998500000001</v>
      </c>
    </row>
    <row r="127" spans="1:9" x14ac:dyDescent="0.4">
      <c r="A127" t="s">
        <v>140</v>
      </c>
      <c r="B127" t="s">
        <v>557</v>
      </c>
      <c r="C127" t="str">
        <f t="shared" si="15"/>
        <v>富山県魚津市友道</v>
      </c>
      <c r="D127" s="2" t="str">
        <f t="shared" si="20"/>
        <v>http://geocode.csis.u-tokyo.ac.jp/cgi-bin/simple_geocode.cgi?charset=UTF8&amp;addr=%E5%AF%8C%E5%B1%B1%E7%9C%8C%E9%AD%9A%E6%B4%A5%E5%B8%82%E5%8F%8B%E9%81%93</v>
      </c>
      <c r="E127" t="str">
        <f t="shared" si="21"/>
        <v xml:space="preserve">&lt;?xml version="1.0" encoding="UTF-8" ?&gt;
&lt;results&gt;
&lt;query&gt;富山県魚津市友道&lt;/query&gt;
&lt;geodetic&gt;wgs1984&lt;/geodetic&gt;
&lt;iConf&gt;5&lt;/iConf&gt;
&lt;converted&gt;富山県魚津市友道&lt;/converted&gt;
&lt;candidate&gt;
&lt;address&gt;富山県/魚津市/友道&lt;/address&gt;
&lt;longitude&gt;137.408218&lt;/longitude&gt;
&lt;latitude&gt;36.813107&lt;/latitude&gt;
&lt;iLvl&gt;5&lt;/iLvl&gt;
&lt;/candidate&gt;
&lt;/results&gt;
</v>
      </c>
      <c r="F127" cm="1">
        <f t="array" ref="F127">INDEX(_xlfn.FILTERXML(E127,"//latitude"),1)</f>
        <v>36.813107000000002</v>
      </c>
      <c r="G127" cm="1">
        <f t="array" ref="G127">INDEX(_xlfn.FILTERXML(E127,"//longitude"),1)</f>
        <v>137.40821800000001</v>
      </c>
      <c r="H127">
        <v>36.813107000000002</v>
      </c>
      <c r="I127">
        <v>137.40821800000001</v>
      </c>
    </row>
    <row r="128" spans="1:9" x14ac:dyDescent="0.4">
      <c r="A128" t="s">
        <v>12</v>
      </c>
      <c r="B128" t="s">
        <v>558</v>
      </c>
      <c r="C128" t="str">
        <f t="shared" si="15"/>
        <v>埼玉県さいたま市見沼区蓮沼</v>
      </c>
      <c r="D128" s="2" t="str">
        <f t="shared" si="20"/>
        <v>http://geocode.csis.u-tokyo.ac.jp/cgi-bin/simple_geocode.cgi?charset=UTF8&amp;addr=%E5%9F%BC%E7%8E%89%E7%9C%8C%E3%81%95%E3%81%84%E3%81%9F%E3%81%BE%E5%B8%82%E8%A6%8B%E6%B2%BC%E5%8C%BA%E8%93%AE%E6%B2%BC</v>
      </c>
      <c r="E128" t="str">
        <f t="shared" si="21"/>
        <v xml:space="preserve">&lt;?xml version="1.0" encoding="UTF-8" ?&gt;
&lt;results&gt;
&lt;query&gt;埼玉県さいたま市見沼区蓮沼&lt;/query&gt;
&lt;geodetic&gt;wgs1984&lt;/geodetic&gt;
&lt;iConf&gt;5&lt;/iConf&gt;
&lt;converted&gt;埼玉県さいたま市見沼区蓮沼&lt;/converted&gt;
&lt;candidate&gt;
&lt;address&gt;埼玉県/さいたま市/見沼区/蓮沼&lt;/address&gt;
&lt;longitude&gt;139.662704&lt;/longitude&gt;
&lt;latitude&gt;35.927376&lt;/latitude&gt;
&lt;iLvl&gt;5&lt;/iLvl&gt;
&lt;/candidate&gt;
&lt;/results&gt;
</v>
      </c>
      <c r="F128" cm="1">
        <f t="array" ref="F128">INDEX(_xlfn.FILTERXML(E128,"//latitude"),1)</f>
        <v>35.927376000000002</v>
      </c>
      <c r="G128" cm="1">
        <f t="array" ref="G128">INDEX(_xlfn.FILTERXML(E128,"//longitude"),1)</f>
        <v>139.66270399999999</v>
      </c>
      <c r="H128">
        <v>35.927376000000002</v>
      </c>
      <c r="I128">
        <v>139.66270399999999</v>
      </c>
    </row>
    <row r="129" spans="1:9" x14ac:dyDescent="0.4">
      <c r="A129" t="s">
        <v>23</v>
      </c>
      <c r="B129" t="s">
        <v>559</v>
      </c>
      <c r="C129" t="str">
        <f t="shared" si="15"/>
        <v>京都府向日市物集女町五ノ坪</v>
      </c>
      <c r="D129" s="2" t="str">
        <f t="shared" si="20"/>
        <v>http://geocode.csis.u-tokyo.ac.jp/cgi-bin/simple_geocode.cgi?charset=UTF8&amp;addr=%E4%BA%AC%E9%83%BD%E5%BA%9C%E5%90%91%E6%97%A5%E5%B8%82%E7%89%A9%E9%9B%86%E5%A5%B3%E7%94%BA%E4%BA%94%E3%83%8E%E5%9D%AA</v>
      </c>
      <c r="E129" t="str">
        <f t="shared" si="21"/>
        <v xml:space="preserve">&lt;?xml version="1.0" encoding="UTF-8" ?&gt;
&lt;results&gt;
&lt;query&gt;京都府向日市物集女町五ノ坪&lt;/query&gt;
&lt;geodetic&gt;wgs1984&lt;/geodetic&gt;
&lt;iConf&gt;5&lt;/iConf&gt;
&lt;converted&gt;京都府向日市物集女町五ノ坪&lt;/converted&gt;
&lt;candidate&gt;
&lt;address&gt;京都府/向日市/物集女町/五ノ坪&lt;/address&gt;
&lt;longitude&gt;135.698410&lt;/longitude&gt;
&lt;latitude&gt;34.963943&lt;/latitude&gt;
&lt;iLvl&gt;6&lt;/iLvl&gt;
&lt;/candidate&gt;
&lt;/results&gt;
</v>
      </c>
      <c r="F129" cm="1">
        <f t="array" ref="F129">INDEX(_xlfn.FILTERXML(E129,"//latitude"),1)</f>
        <v>34.963943</v>
      </c>
      <c r="G129" cm="1">
        <f t="array" ref="G129">INDEX(_xlfn.FILTERXML(E129,"//longitude"),1)</f>
        <v>135.69841</v>
      </c>
      <c r="H129">
        <v>34.963943</v>
      </c>
      <c r="I129">
        <v>135.69841</v>
      </c>
    </row>
    <row r="130" spans="1:9" x14ac:dyDescent="0.4">
      <c r="A130" t="s">
        <v>15</v>
      </c>
      <c r="B130" t="s">
        <v>170</v>
      </c>
      <c r="C130" t="str">
        <f t="shared" si="15"/>
        <v>愛知県名古屋市瑞穂区亀城町</v>
      </c>
      <c r="D130" s="2" t="str">
        <f t="shared" si="20"/>
        <v>http://geocode.csis.u-tokyo.ac.jp/cgi-bin/simple_geocode.cgi?charset=UTF8&amp;addr=%E6%84%9B%E7%9F%A5%E7%9C%8C%E5%90%8D%E5%8F%A4%E5%B1%8B%E5%B8%82%E7%91%9E%E7%A9%82%E5%8C%BA%E4%BA%80%E5%9F%8E%E7%94%BA</v>
      </c>
      <c r="E130" t="str">
        <f t="shared" si="21"/>
        <v xml:space="preserve">&lt;?xml version="1.0" encoding="UTF-8" ?&gt;
&lt;results&gt;
&lt;query&gt;愛知県名古屋市瑞穂区亀城町&lt;/query&gt;
&lt;geodetic&gt;wgs1984&lt;/geodetic&gt;
&lt;iConf&gt;5&lt;/iConf&gt;
&lt;converted&gt;愛知県名古屋市瑞穂区亀城町&lt;/converted&gt;
&lt;candidate&gt;
&lt;address&gt;愛知県/名古屋市/瑞穂区/亀城町&lt;/address&gt;
&lt;longitude&gt;136.920044&lt;/longitude&gt;
&lt;latitude&gt;35.135487&lt;/latitude&gt;
&lt;iLvl&gt;5&lt;/iLvl&gt;
&lt;/candidate&gt;
&lt;/results&gt;
</v>
      </c>
      <c r="F130" cm="1">
        <f t="array" ref="F130">INDEX(_xlfn.FILTERXML(E130,"//latitude"),1)</f>
        <v>35.135486999999998</v>
      </c>
      <c r="G130" cm="1">
        <f t="array" ref="G130">INDEX(_xlfn.FILTERXML(E130,"//longitude"),1)</f>
        <v>136.92004399999999</v>
      </c>
      <c r="H130">
        <v>35.135486999999998</v>
      </c>
      <c r="I130">
        <v>136.92004399999999</v>
      </c>
    </row>
    <row r="131" spans="1:9" x14ac:dyDescent="0.4">
      <c r="A131" t="s">
        <v>9</v>
      </c>
      <c r="B131" t="s">
        <v>171</v>
      </c>
      <c r="C131" t="str">
        <f t="shared" ref="C131:C133" si="22">+A131&amp;B131</f>
        <v>東京都目黒区鷹番</v>
      </c>
      <c r="D131" s="2" t="str">
        <f t="shared" si="20"/>
        <v>http://geocode.csis.u-tokyo.ac.jp/cgi-bin/simple_geocode.cgi?charset=UTF8&amp;addr=%E6%9D%B1%E4%BA%AC%E9%83%BD%E7%9B%AE%E9%BB%92%E5%8C%BA%E9%B7%B9%E7%95%AA</v>
      </c>
      <c r="E131" t="str">
        <f t="shared" si="21"/>
        <v xml:space="preserve">&lt;?xml version="1.0" encoding="UTF-8" ?&gt;
&lt;results&gt;
&lt;query&gt;東京都目黒区鷹番&lt;/query&gt;
&lt;geodetic&gt;wgs1984&lt;/geodetic&gt;
&lt;iConf&gt;5&lt;/iConf&gt;
&lt;converted&gt;東京都目黒区鷹番&lt;/converted&gt;
&lt;candidate&gt;
&lt;address&gt;東京都/目黒区/鷹番&lt;/address&gt;
&lt;longitude&gt;139.687408&lt;/longitude&gt;
&lt;latitude&gt;35.625717&lt;/latitude&gt;
&lt;iLvl&gt;5&lt;/iLvl&gt;
&lt;/candidate&gt;
&lt;/results&gt;
</v>
      </c>
      <c r="F131" cm="1">
        <f t="array" ref="F131">INDEX(_xlfn.FILTERXML(E131,"//latitude"),1)</f>
        <v>35.625717000000002</v>
      </c>
      <c r="G131" cm="1">
        <f t="array" ref="G131">INDEX(_xlfn.FILTERXML(E131,"//longitude"),1)</f>
        <v>139.687408</v>
      </c>
      <c r="H131">
        <v>35.625717000000002</v>
      </c>
      <c r="I131">
        <v>139.687408</v>
      </c>
    </row>
    <row r="132" spans="1:9" x14ac:dyDescent="0.4">
      <c r="A132" t="s">
        <v>9</v>
      </c>
      <c r="B132" t="s">
        <v>172</v>
      </c>
      <c r="C132" t="str">
        <f t="shared" si="22"/>
        <v>東京都日野市</v>
      </c>
      <c r="D132" s="2" t="str">
        <f t="shared" si="20"/>
        <v>http://geocode.csis.u-tokyo.ac.jp/cgi-bin/simple_geocode.cgi?charset=UTF8&amp;addr=%E6%9D%B1%E4%BA%AC%E9%83%BD%E6%97%A5%E9%87%8E%E5%B8%82</v>
      </c>
      <c r="E132" t="str">
        <f t="shared" si="21"/>
        <v xml:space="preserve">&lt;?xml version="1.0" encoding="UTF-8" ?&gt;
&lt;results&gt;
&lt;query&gt;東京都日野市&lt;/query&gt;
&lt;geodetic&gt;wgs1984&lt;/geodetic&gt;
&lt;iConf&gt;5&lt;/iConf&gt;
&lt;converted&gt;東京都日野市&lt;/converted&gt;
&lt;candidate&gt;
&lt;address&gt;東京都/日野市&lt;/address&gt;
&lt;longitude&gt;139.394974&lt;/longitude&gt;
&lt;latitude&gt;35.671349&lt;/latitude&gt;
&lt;iLvl&gt;3&lt;/iLvl&gt;
&lt;/candidate&gt;
&lt;/results&gt;
</v>
      </c>
      <c r="F132" cm="1">
        <f t="array" ref="F132">INDEX(_xlfn.FILTERXML(E132,"//latitude"),1)</f>
        <v>35.671348999999999</v>
      </c>
      <c r="G132" cm="1">
        <f t="array" ref="G132">INDEX(_xlfn.FILTERXML(E132,"//longitude"),1)</f>
        <v>139.39497399999999</v>
      </c>
      <c r="H132">
        <v>35.671348999999999</v>
      </c>
      <c r="I132">
        <v>139.39497399999999</v>
      </c>
    </row>
    <row r="133" spans="1:9" x14ac:dyDescent="0.4">
      <c r="A133" t="s">
        <v>9</v>
      </c>
      <c r="B133" t="s">
        <v>42</v>
      </c>
      <c r="C133" t="str">
        <f t="shared" si="22"/>
        <v>東京都新宿区</v>
      </c>
      <c r="D133" s="2" t="str">
        <f t="shared" si="20"/>
        <v>http://geocode.csis.u-tokyo.ac.jp/cgi-bin/simple_geocode.cgi?charset=UTF8&amp;addr=%E6%9D%B1%E4%BA%AC%E9%83%BD%E6%96%B0%E5%AE%BF%E5%8C%BA</v>
      </c>
      <c r="E133" t="str">
        <f xml:space="preserve"> _xlfn.WEBSERVICE(D133)</f>
        <v xml:space="preserve">&lt;?xml version="1.0" encoding="UTF-8" ?&gt;
&lt;results&gt;
&lt;query&gt;東京都新宿区&lt;/query&gt;
&lt;geodetic&gt;wgs1984&lt;/geodetic&gt;
&lt;iConf&gt;5&lt;/iConf&gt;
&lt;converted&gt;東京都新宿区&lt;/converted&gt;
&lt;candidate&gt;
&lt;address&gt;東京都/新宿区&lt;/address&gt;
&lt;longitude&gt;139.703461&lt;/longitude&gt;
&lt;latitude&gt;35.693890&lt;/latitude&gt;
&lt;iLvl&gt;3&lt;/iLvl&gt;
&lt;/candidate&gt;
&lt;/results&gt;
</v>
      </c>
      <c r="F133" cm="1">
        <f t="array" ref="F133">INDEX(_xlfn.FILTERXML(E133,"//latitude"),1)</f>
        <v>35.693890000000003</v>
      </c>
      <c r="G133" cm="1">
        <f t="array" ref="G133">INDEX(_xlfn.FILTERXML(E133,"//longitude"),1)</f>
        <v>139.703461</v>
      </c>
      <c r="H133">
        <v>35.693890000000003</v>
      </c>
      <c r="I133">
        <v>139.703461</v>
      </c>
    </row>
    <row r="134" spans="1:9" x14ac:dyDescent="0.4">
      <c r="A134" t="s">
        <v>9</v>
      </c>
      <c r="B134" t="s">
        <v>173</v>
      </c>
      <c r="C134" t="str">
        <f t="shared" ref="C134:C197" si="23">+A134&amp;B134</f>
        <v>東京都世田谷区北沢</v>
      </c>
      <c r="D134" s="2" t="str">
        <f t="shared" ref="D134:D197" si="24" xml:space="preserve"> "http://geocode.csis.u-tokyo.ac.jp/cgi-bin/simple_geocode.cgi?charset=UTF8&amp;addr=" &amp; _xlfn.ENCODEURL(C134)</f>
        <v>http://geocode.csis.u-tokyo.ac.jp/cgi-bin/simple_geocode.cgi?charset=UTF8&amp;addr=%E6%9D%B1%E4%BA%AC%E9%83%BD%E4%B8%96%E7%94%B0%E8%B0%B7%E5%8C%BA%E5%8C%97%E6%B2%A2</v>
      </c>
      <c r="E134" t="str">
        <f t="shared" ref="E134:E197" si="25" xml:space="preserve"> _xlfn.WEBSERVICE(D134)</f>
        <v xml:space="preserve">&lt;?xml version="1.0" encoding="UTF-8" ?&gt;
&lt;results&gt;
&lt;query&gt;東京都世田谷区北沢&lt;/query&gt;
&lt;geodetic&gt;wgs1984&lt;/geodetic&gt;
&lt;iConf&gt;5&lt;/iConf&gt;
&lt;converted&gt;東京都世田谷区北沢&lt;/converted&gt;
&lt;candidate&gt;
&lt;address&gt;東京都/世田谷区/北沢&lt;/address&gt;
&lt;longitude&gt;139.672836&lt;/longitude&gt;
&lt;latitude&gt;35.662769&lt;/latitude&gt;
&lt;iLvl&gt;5&lt;/iLvl&gt;
&lt;/candidate&gt;
&lt;/results&gt;
</v>
      </c>
      <c r="F134" cm="1">
        <f t="array" ref="F134">INDEX(_xlfn.FILTERXML(E134,"//latitude"),1)</f>
        <v>35.662768999999997</v>
      </c>
      <c r="G134" cm="1">
        <f t="array" ref="G134">INDEX(_xlfn.FILTERXML(E134,"//longitude"),1)</f>
        <v>139.67283599999999</v>
      </c>
      <c r="H134">
        <v>35.662768999999997</v>
      </c>
      <c r="I134">
        <v>139.67283599999999</v>
      </c>
    </row>
    <row r="135" spans="1:9" x14ac:dyDescent="0.4">
      <c r="A135" t="s">
        <v>18</v>
      </c>
      <c r="B135" t="s">
        <v>174</v>
      </c>
      <c r="C135" t="str">
        <f t="shared" si="23"/>
        <v>茨城県つくば市学園南</v>
      </c>
      <c r="D135" s="2" t="str">
        <f t="shared" si="24"/>
        <v>http://geocode.csis.u-tokyo.ac.jp/cgi-bin/simple_geocode.cgi?charset=UTF8&amp;addr=%E8%8C%A8%E5%9F%8E%E7%9C%8C%E3%81%A4%E3%81%8F%E3%81%B0%E5%B8%82%E5%AD%A6%E5%9C%92%E5%8D%97</v>
      </c>
      <c r="E135" t="str">
        <f t="shared" si="25"/>
        <v xml:space="preserve">&lt;?xml version="1.0" encoding="UTF-8" ?&gt;
&lt;results&gt;
&lt;query&gt;茨城県つくば市学園南&lt;/query&gt;
&lt;geodetic&gt;wgs1984&lt;/geodetic&gt;
&lt;iConf&gt;5&lt;/iConf&gt;
&lt;converted&gt;茨城県つくば市学園南&lt;/converted&gt;
&lt;candidate&gt;
&lt;address&gt;茨城県/つくば市/学園南&lt;/address&gt;
&lt;longitude&gt;140.076187&lt;/longitude&gt;
&lt;latitude&gt;36.078640&lt;/latitude&gt;
&lt;iLvl&gt;5&lt;/iLvl&gt;
&lt;/candidate&gt;
&lt;/results&gt;
</v>
      </c>
      <c r="F135" cm="1">
        <f t="array" ref="F135">INDEX(_xlfn.FILTERXML(E135,"//latitude"),1)</f>
        <v>36.07864</v>
      </c>
      <c r="G135" cm="1">
        <f t="array" ref="G135">INDEX(_xlfn.FILTERXML(E135,"//longitude"),1)</f>
        <v>140.076187</v>
      </c>
      <c r="H135">
        <v>36.07864</v>
      </c>
      <c r="I135">
        <v>140.076187</v>
      </c>
    </row>
    <row r="136" spans="1:9" x14ac:dyDescent="0.4">
      <c r="A136" t="s">
        <v>26</v>
      </c>
      <c r="B136" t="s">
        <v>175</v>
      </c>
      <c r="C136" t="str">
        <f t="shared" si="23"/>
        <v>岐阜県羽島市上中町長間</v>
      </c>
      <c r="D136" s="2" t="str">
        <f t="shared" si="24"/>
        <v>http://geocode.csis.u-tokyo.ac.jp/cgi-bin/simple_geocode.cgi?charset=UTF8&amp;addr=%E5%B2%90%E9%98%9C%E7%9C%8C%E7%BE%BD%E5%B3%B6%E5%B8%82%E4%B8%8A%E4%B8%AD%E7%94%BA%E9%95%B7%E9%96%93</v>
      </c>
      <c r="E136" t="str">
        <f t="shared" si="25"/>
        <v xml:space="preserve">&lt;?xml version="1.0" encoding="UTF-8" ?&gt;
&lt;results&gt;
&lt;query&gt;岐阜県羽島市上中町長間&lt;/query&gt;
&lt;geodetic&gt;wgs1984&lt;/geodetic&gt;
&lt;iConf&gt;5&lt;/iConf&gt;
&lt;converted&gt;岐阜県羽島市上中町長間&lt;/converted&gt;
&lt;candidate&gt;
&lt;address&gt;岐阜県/羽島市/上中町長間&lt;/address&gt;
&lt;longitude&gt;136.700821&lt;/longitude&gt;
&lt;latitude&gt;35.304909&lt;/latitude&gt;
&lt;iLvl&gt;5&lt;/iLvl&gt;
&lt;/candidate&gt;
&lt;/results&gt;
</v>
      </c>
      <c r="F136" cm="1">
        <f t="array" ref="F136">INDEX(_xlfn.FILTERXML(E136,"//latitude"),1)</f>
        <v>35.304909000000002</v>
      </c>
      <c r="G136" cm="1">
        <f t="array" ref="G136">INDEX(_xlfn.FILTERXML(E136,"//longitude"),1)</f>
        <v>136.70082099999999</v>
      </c>
      <c r="H136">
        <v>35.304909000000002</v>
      </c>
      <c r="I136">
        <v>136.70082099999999</v>
      </c>
    </row>
    <row r="137" spans="1:9" x14ac:dyDescent="0.4">
      <c r="A137" t="s">
        <v>19</v>
      </c>
      <c r="B137" t="s">
        <v>176</v>
      </c>
      <c r="C137" t="str">
        <f t="shared" si="23"/>
        <v>福岡県福岡市南区若久</v>
      </c>
      <c r="D137" s="2" t="str">
        <f t="shared" si="24"/>
        <v>http://geocode.csis.u-tokyo.ac.jp/cgi-bin/simple_geocode.cgi?charset=UTF8&amp;addr=%E7%A6%8F%E5%B2%A1%E7%9C%8C%E7%A6%8F%E5%B2%A1%E5%B8%82%E5%8D%97%E5%8C%BA%E8%8B%A5%E4%B9%85</v>
      </c>
      <c r="E137" t="str">
        <f t="shared" si="25"/>
        <v xml:space="preserve">&lt;?xml version="1.0" encoding="UTF-8" ?&gt;
&lt;results&gt;
&lt;query&gt;福岡県福岡市南区若久&lt;/query&gt;
&lt;geodetic&gt;wgs1984&lt;/geodetic&gt;
&lt;iConf&gt;5&lt;/iConf&gt;
&lt;converted&gt;福岡県福岡市南区若久&lt;/converted&gt;
&lt;candidate&gt;
&lt;address&gt;福岡県/福岡市/南区/若久&lt;/address&gt;
&lt;longitude&gt;130.413757&lt;/longitude&gt;
&lt;latitude&gt;33.555710&lt;/latitude&gt;
&lt;iLvl&gt;5&lt;/iLvl&gt;
&lt;/candidate&gt;
&lt;/results&gt;
</v>
      </c>
      <c r="F137" cm="1">
        <f t="array" ref="F137">INDEX(_xlfn.FILTERXML(E137,"//latitude"),1)</f>
        <v>33.555709999999998</v>
      </c>
      <c r="G137" cm="1">
        <f t="array" ref="G137">INDEX(_xlfn.FILTERXML(E137,"//longitude"),1)</f>
        <v>130.413757</v>
      </c>
      <c r="H137">
        <v>33.555709999999998</v>
      </c>
      <c r="I137">
        <v>130.413757</v>
      </c>
    </row>
    <row r="138" spans="1:9" x14ac:dyDescent="0.4">
      <c r="A138" t="s">
        <v>85</v>
      </c>
      <c r="B138" t="s">
        <v>177</v>
      </c>
      <c r="C138" t="str">
        <f t="shared" si="23"/>
        <v>奈良県吉野郡大淀町福神</v>
      </c>
      <c r="D138" s="2" t="str">
        <f t="shared" si="24"/>
        <v>http://geocode.csis.u-tokyo.ac.jp/cgi-bin/simple_geocode.cgi?charset=UTF8&amp;addr=%E5%A5%88%E8%89%AF%E7%9C%8C%E5%90%89%E9%87%8E%E9%83%A1%E5%A4%A7%E6%B7%80%E7%94%BA%E7%A6%8F%E7%A5%9E</v>
      </c>
      <c r="E138" t="str">
        <f t="shared" si="25"/>
        <v xml:space="preserve">&lt;?xml version="1.0" encoding="UTF-8" ?&gt;
&lt;results&gt;
&lt;query&gt;奈良県吉野郡大淀町福神&lt;/query&gt;
&lt;geodetic&gt;wgs1984&lt;/geodetic&gt;
&lt;iConf&gt;5&lt;/iConf&gt;
&lt;converted&gt;奈良県吉野郡大淀町福神&lt;/converted&gt;
&lt;candidate&gt;
&lt;address&gt;奈良県/吉野郡/大淀町/福神&lt;/address&gt;
&lt;longitude&gt;135.747253&lt;/longitude&gt;
&lt;latitude&gt;34.394787&lt;/latitude&gt;
&lt;iLvl&gt;5&lt;/iLvl&gt;
&lt;/candidate&gt;
&lt;/results&gt;
</v>
      </c>
      <c r="F138" cm="1">
        <f t="array" ref="F138">INDEX(_xlfn.FILTERXML(E138,"//latitude"),1)</f>
        <v>34.394787000000001</v>
      </c>
      <c r="G138" cm="1">
        <f t="array" ref="G138">INDEX(_xlfn.FILTERXML(E138,"//longitude"),1)</f>
        <v>135.747253</v>
      </c>
      <c r="H138">
        <v>34.394787000000001</v>
      </c>
      <c r="I138">
        <v>135.747253</v>
      </c>
    </row>
    <row r="139" spans="1:9" x14ac:dyDescent="0.4">
      <c r="A139" t="s">
        <v>18</v>
      </c>
      <c r="B139" t="s">
        <v>178</v>
      </c>
      <c r="C139" t="str">
        <f t="shared" si="23"/>
        <v>茨城県桜川市</v>
      </c>
      <c r="D139" s="2" t="str">
        <f t="shared" si="24"/>
        <v>http://geocode.csis.u-tokyo.ac.jp/cgi-bin/simple_geocode.cgi?charset=UTF8&amp;addr=%E8%8C%A8%E5%9F%8E%E7%9C%8C%E6%A1%9C%E5%B7%9D%E5%B8%82</v>
      </c>
      <c r="E139" t="str">
        <f t="shared" si="25"/>
        <v xml:space="preserve">&lt;?xml version="1.0" encoding="UTF-8" ?&gt;
&lt;results&gt;
&lt;query&gt;茨城県桜川市&lt;/query&gt;
&lt;geodetic&gt;wgs1984&lt;/geodetic&gt;
&lt;iConf&gt;5&lt;/iConf&gt;
&lt;converted&gt;茨城県桜川市&lt;/converted&gt;
&lt;candidate&gt;
&lt;address&gt;茨城県/桜川市&lt;/address&gt;
&lt;longitude&gt;140.090485&lt;/longitude&gt;
&lt;latitude&gt;36.327274&lt;/latitude&gt;
&lt;iLvl&gt;3&lt;/iLvl&gt;
&lt;/candidate&gt;
&lt;/results&gt;
</v>
      </c>
      <c r="F139" cm="1">
        <f t="array" ref="F139">INDEX(_xlfn.FILTERXML(E139,"//latitude"),1)</f>
        <v>36.327274000000003</v>
      </c>
      <c r="G139" cm="1">
        <f t="array" ref="G139">INDEX(_xlfn.FILTERXML(E139,"//longitude"),1)</f>
        <v>140.090485</v>
      </c>
      <c r="H139">
        <v>36.327274000000003</v>
      </c>
      <c r="I139">
        <v>140.090485</v>
      </c>
    </row>
    <row r="140" spans="1:9" x14ac:dyDescent="0.4">
      <c r="A140" t="s">
        <v>11</v>
      </c>
      <c r="B140" t="s">
        <v>560</v>
      </c>
      <c r="C140" t="str">
        <f t="shared" si="23"/>
        <v>大阪府大阪市住吉区南住吉</v>
      </c>
      <c r="D140" s="2" t="str">
        <f t="shared" si="24"/>
        <v>http://geocode.csis.u-tokyo.ac.jp/cgi-bin/simple_geocode.cgi?charset=UTF8&amp;addr=%E5%A4%A7%E9%98%AA%E5%BA%9C%E5%A4%A7%E9%98%AA%E5%B8%82%E4%BD%8F%E5%90%89%E5%8C%BA%E5%8D%97%E4%BD%8F%E5%90%89</v>
      </c>
      <c r="E140" t="str">
        <f t="shared" si="25"/>
        <v xml:space="preserve">&lt;?xml version="1.0" encoding="UTF-8" ?&gt;
&lt;results&gt;
&lt;query&gt;大阪府大阪市住吉区南住吉&lt;/query&gt;
&lt;geodetic&gt;wgs1984&lt;/geodetic&gt;
&lt;iConf&gt;5&lt;/iConf&gt;
&lt;converted&gt;大阪府大阪市住吉区南住吉&lt;/converted&gt;
&lt;candidate&gt;
&lt;address&gt;大阪府/大阪市/住吉区/南住吉&lt;/address&gt;
&lt;longitude&gt;135.504120&lt;/longitude&gt;
&lt;latitude&gt;34.610611&lt;/latitude&gt;
&lt;iLvl&gt;5&lt;/iLvl&gt;
&lt;/candidate&gt;
&lt;/results&gt;
</v>
      </c>
      <c r="F140" cm="1">
        <f t="array" ref="F140">INDEX(_xlfn.FILTERXML(E140,"//latitude"),1)</f>
        <v>34.610610999999999</v>
      </c>
      <c r="G140" cm="1">
        <f t="array" ref="G140">INDEX(_xlfn.FILTERXML(E140,"//longitude"),1)</f>
        <v>135.50412</v>
      </c>
      <c r="H140">
        <v>34.610610999999999</v>
      </c>
      <c r="I140">
        <v>135.50412</v>
      </c>
    </row>
    <row r="141" spans="1:9" x14ac:dyDescent="0.4">
      <c r="A141" t="s">
        <v>9</v>
      </c>
      <c r="B141" t="s">
        <v>179</v>
      </c>
      <c r="C141" t="str">
        <f t="shared" si="23"/>
        <v>東京都品川区</v>
      </c>
      <c r="D141" s="2" t="str">
        <f t="shared" si="24"/>
        <v>http://geocode.csis.u-tokyo.ac.jp/cgi-bin/simple_geocode.cgi?charset=UTF8&amp;addr=%E6%9D%B1%E4%BA%AC%E9%83%BD%E5%93%81%E5%B7%9D%E5%8C%BA</v>
      </c>
      <c r="E141" t="str">
        <f t="shared" si="25"/>
        <v xml:space="preserve">&lt;?xml version="1.0" encoding="UTF-8" ?&gt;
&lt;results&gt;
&lt;query&gt;東京都品川区&lt;/query&gt;
&lt;geodetic&gt;wgs1984&lt;/geodetic&gt;
&lt;iConf&gt;5&lt;/iConf&gt;
&lt;converted&gt;東京都品川区&lt;/converted&gt;
&lt;candidate&gt;
&lt;address&gt;東京都/品川区&lt;/address&gt;
&lt;longitude&gt;139.730255&lt;/longitude&gt;
&lt;latitude&gt;35.609066&lt;/latitude&gt;
&lt;iLvl&gt;3&lt;/iLvl&gt;
&lt;/candidate&gt;
&lt;/results&gt;
</v>
      </c>
      <c r="F141" cm="1">
        <f t="array" ref="F141">INDEX(_xlfn.FILTERXML(E141,"//latitude"),1)</f>
        <v>35.609065999999999</v>
      </c>
      <c r="G141" cm="1">
        <f t="array" ref="G141">INDEX(_xlfn.FILTERXML(E141,"//longitude"),1)</f>
        <v>139.730255</v>
      </c>
      <c r="H141">
        <v>35.609065999999999</v>
      </c>
      <c r="I141">
        <v>139.730255</v>
      </c>
    </row>
    <row r="142" spans="1:9" x14ac:dyDescent="0.4">
      <c r="A142" t="s">
        <v>19</v>
      </c>
      <c r="B142" t="s">
        <v>181</v>
      </c>
      <c r="C142" t="str">
        <f t="shared" si="23"/>
        <v>福岡県福岡市早良区百道浜</v>
      </c>
      <c r="D142" s="2" t="str">
        <f t="shared" si="24"/>
        <v>http://geocode.csis.u-tokyo.ac.jp/cgi-bin/simple_geocode.cgi?charset=UTF8&amp;addr=%E7%A6%8F%E5%B2%A1%E7%9C%8C%E7%A6%8F%E5%B2%A1%E5%B8%82%E6%97%A9%E8%89%AF%E5%8C%BA%E7%99%BE%E9%81%93%E6%B5%9C</v>
      </c>
      <c r="E142" t="str">
        <f t="shared" si="25"/>
        <v xml:space="preserve">&lt;?xml version="1.0" encoding="UTF-8" ?&gt;
&lt;results&gt;
&lt;query&gt;福岡県福岡市早良区百道浜&lt;/query&gt;
&lt;geodetic&gt;wgs1984&lt;/geodetic&gt;
&lt;iConf&gt;5&lt;/iConf&gt;
&lt;converted&gt;福岡県福岡市早良区百道浜&lt;/converted&gt;
&lt;candidate&gt;
&lt;address&gt;福岡県/福岡市/早良区/百道浜&lt;/address&gt;
&lt;longitude&gt;130.356781&lt;/longitude&gt;
&lt;latitude&gt;33.590675&lt;/latitude&gt;
&lt;iLvl&gt;5&lt;/iLvl&gt;
&lt;/candidate&gt;
&lt;/results&gt;
</v>
      </c>
      <c r="F142" cm="1">
        <f t="array" ref="F142">INDEX(_xlfn.FILTERXML(E142,"//latitude"),1)</f>
        <v>33.590674999999997</v>
      </c>
      <c r="G142" cm="1">
        <f t="array" ref="G142">INDEX(_xlfn.FILTERXML(E142,"//longitude"),1)</f>
        <v>130.35678100000001</v>
      </c>
      <c r="H142">
        <v>33.590674999999997</v>
      </c>
      <c r="I142">
        <v>130.35678100000001</v>
      </c>
    </row>
    <row r="143" spans="1:9" x14ac:dyDescent="0.4">
      <c r="A143" t="s">
        <v>9</v>
      </c>
      <c r="B143" t="s">
        <v>561</v>
      </c>
      <c r="C143" t="str">
        <f t="shared" si="23"/>
        <v>東京都豊島区目白</v>
      </c>
      <c r="D143" s="2" t="str">
        <f t="shared" si="24"/>
        <v>http://geocode.csis.u-tokyo.ac.jp/cgi-bin/simple_geocode.cgi?charset=UTF8&amp;addr=%E6%9D%B1%E4%BA%AC%E9%83%BD%E8%B1%8A%E5%B3%B6%E5%8C%BA%E7%9B%AE%E7%99%BD</v>
      </c>
      <c r="E143" t="str">
        <f t="shared" si="25"/>
        <v xml:space="preserve">&lt;?xml version="1.0" encoding="UTF-8" ?&gt;
&lt;results&gt;
&lt;query&gt;東京都豊島区目白&lt;/query&gt;
&lt;geodetic&gt;wgs1984&lt;/geodetic&gt;
&lt;iConf&gt;5&lt;/iConf&gt;
&lt;converted&gt;東京都豊島区目白&lt;/converted&gt;
&lt;candidate&gt;
&lt;address&gt;東京都/豊島区/目白&lt;/address&gt;
&lt;longitude&gt;139.709549&lt;/longitude&gt;
&lt;latitude&gt;35.718987&lt;/latitude&gt;
&lt;iLvl&gt;5&lt;/iLvl&gt;
&lt;/candidate&gt;
&lt;/results&gt;
</v>
      </c>
      <c r="F143" cm="1">
        <f t="array" ref="F143">INDEX(_xlfn.FILTERXML(E143,"//latitude"),1)</f>
        <v>35.718986999999998</v>
      </c>
      <c r="G143" cm="1">
        <f t="array" ref="G143">INDEX(_xlfn.FILTERXML(E143,"//longitude"),1)</f>
        <v>139.70954900000001</v>
      </c>
      <c r="H143">
        <v>35.718986999999998</v>
      </c>
      <c r="I143">
        <v>139.70954900000001</v>
      </c>
    </row>
    <row r="144" spans="1:9" x14ac:dyDescent="0.4">
      <c r="A144" t="s">
        <v>31</v>
      </c>
      <c r="B144" t="s">
        <v>562</v>
      </c>
      <c r="C144" t="str">
        <f t="shared" si="23"/>
        <v>北海道恵庭市</v>
      </c>
      <c r="D144" s="2" t="str">
        <f t="shared" si="24"/>
        <v>http://geocode.csis.u-tokyo.ac.jp/cgi-bin/simple_geocode.cgi?charset=UTF8&amp;addr=%E5%8C%97%E6%B5%B7%E9%81%93%E6%81%B5%E5%BA%AD%E5%B8%82</v>
      </c>
      <c r="E144" t="str">
        <f t="shared" si="25"/>
        <v xml:space="preserve">&lt;?xml version="1.0" encoding="UTF-8" ?&gt;
&lt;results&gt;
&lt;query&gt;北海道恵庭市&lt;/query&gt;
&lt;geodetic&gt;wgs1984&lt;/geodetic&gt;
&lt;iConf&gt;5&lt;/iConf&gt;
&lt;converted&gt;北海道恵庭市&lt;/converted&gt;
&lt;candidate&gt;
&lt;address&gt;北海道/恵庭市&lt;/address&gt;
&lt;longitude&gt;141.577805&lt;/longitude&gt;
&lt;latitude&gt;42.882591&lt;/latitude&gt;
&lt;iLvl&gt;3&lt;/iLvl&gt;
&lt;/candidate&gt;
&lt;/results&gt;
</v>
      </c>
      <c r="F144" cm="1">
        <f t="array" ref="F144">INDEX(_xlfn.FILTERXML(E144,"//latitude"),1)</f>
        <v>42.882590999999998</v>
      </c>
      <c r="G144" cm="1">
        <f t="array" ref="G144">INDEX(_xlfn.FILTERXML(E144,"//longitude"),1)</f>
        <v>141.57780500000001</v>
      </c>
      <c r="H144">
        <v>42.882590999999998</v>
      </c>
      <c r="I144">
        <v>141.57780500000001</v>
      </c>
    </row>
    <row r="145" spans="1:9" x14ac:dyDescent="0.4">
      <c r="A145" t="s">
        <v>18</v>
      </c>
      <c r="B145" t="s">
        <v>182</v>
      </c>
      <c r="C145" t="str">
        <f t="shared" si="23"/>
        <v>茨城県土浦市右籾</v>
      </c>
      <c r="D145" s="2" t="str">
        <f t="shared" si="24"/>
        <v>http://geocode.csis.u-tokyo.ac.jp/cgi-bin/simple_geocode.cgi?charset=UTF8&amp;addr=%E8%8C%A8%E5%9F%8E%E7%9C%8C%E5%9C%9F%E6%B5%A6%E5%B8%82%E5%8F%B3%E7%B1%BE</v>
      </c>
      <c r="E145" t="str">
        <f t="shared" si="25"/>
        <v xml:space="preserve">&lt;?xml version="1.0" encoding="UTF-8" ?&gt;
&lt;results&gt;
&lt;query&gt;茨城県土浦市右籾&lt;/query&gt;
&lt;geodetic&gt;wgs1984&lt;/geodetic&gt;
&lt;iConf&gt;5&lt;/iConf&gt;
&lt;converted&gt;茨城県土浦市右籾&lt;/converted&gt;
&lt;candidate&gt;
&lt;address&gt;茨城県/土浦市/右籾&lt;/address&gt;
&lt;longitude&gt;140.185806&lt;/longitude&gt;
&lt;latitude&gt;36.043018&lt;/latitude&gt;
&lt;iLvl&gt;5&lt;/iLvl&gt;
&lt;/candidate&gt;
&lt;/results&gt;
</v>
      </c>
      <c r="F145" cm="1">
        <f t="array" ref="F145">INDEX(_xlfn.FILTERXML(E145,"//latitude"),1)</f>
        <v>36.043018000000004</v>
      </c>
      <c r="G145" cm="1">
        <f t="array" ref="G145">INDEX(_xlfn.FILTERXML(E145,"//longitude"),1)</f>
        <v>140.18580600000001</v>
      </c>
      <c r="H145">
        <v>36.043018000000004</v>
      </c>
      <c r="I145">
        <v>140.18580600000001</v>
      </c>
    </row>
    <row r="146" spans="1:9" x14ac:dyDescent="0.4">
      <c r="A146" t="s">
        <v>13</v>
      </c>
      <c r="B146" t="s">
        <v>183</v>
      </c>
      <c r="C146" t="str">
        <f t="shared" si="23"/>
        <v>兵庫県神戸市兵庫区梅元町</v>
      </c>
      <c r="D146" s="2" t="str">
        <f t="shared" si="24"/>
        <v>http://geocode.csis.u-tokyo.ac.jp/cgi-bin/simple_geocode.cgi?charset=UTF8&amp;addr=%E5%85%B5%E5%BA%AB%E7%9C%8C%E7%A5%9E%E6%88%B8%E5%B8%82%E5%85%B5%E5%BA%AB%E5%8C%BA%E6%A2%85%E5%85%83%E7%94%BA</v>
      </c>
      <c r="E146" t="str">
        <f t="shared" si="25"/>
        <v xml:space="preserve">&lt;?xml version="1.0" encoding="UTF-8" ?&gt;
&lt;results&gt;
&lt;query&gt;兵庫県神戸市兵庫区梅元町&lt;/query&gt;
&lt;geodetic&gt;wgs1984&lt;/geodetic&gt;
&lt;iConf&gt;5&lt;/iConf&gt;
&lt;converted&gt;兵庫県神戸市兵庫区梅元町&lt;/converted&gt;
&lt;candidate&gt;
&lt;address&gt;兵庫県/神戸市/兵庫区/梅元町&lt;/address&gt;
&lt;longitude&gt;135.171799&lt;/longitude&gt;
&lt;latitude&gt;34.693077&lt;/latitude&gt;
&lt;iLvl&gt;5&lt;/iLvl&gt;
&lt;/candidate&gt;
&lt;/results&gt;
</v>
      </c>
      <c r="F146" cm="1">
        <f t="array" ref="F146">INDEX(_xlfn.FILTERXML(E146,"//latitude"),1)</f>
        <v>34.693077000000002</v>
      </c>
      <c r="G146" cm="1">
        <f t="array" ref="G146">INDEX(_xlfn.FILTERXML(E146,"//longitude"),1)</f>
        <v>135.17179899999999</v>
      </c>
      <c r="H146">
        <v>34.693077000000002</v>
      </c>
      <c r="I146">
        <v>135.17179899999999</v>
      </c>
    </row>
    <row r="147" spans="1:9" x14ac:dyDescent="0.4">
      <c r="A147" t="s">
        <v>24</v>
      </c>
      <c r="B147" t="s">
        <v>184</v>
      </c>
      <c r="C147" t="str">
        <f t="shared" si="23"/>
        <v>静岡県静岡市駿河区下川原南</v>
      </c>
      <c r="D147" s="2" t="str">
        <f t="shared" si="24"/>
        <v>http://geocode.csis.u-tokyo.ac.jp/cgi-bin/simple_geocode.cgi?charset=UTF8&amp;addr=%E9%9D%99%E5%B2%A1%E7%9C%8C%E9%9D%99%E5%B2%A1%E5%B8%82%E9%A7%BF%E6%B2%B3%E5%8C%BA%E4%B8%8B%E5%B7%9D%E5%8E%9F%E5%8D%97</v>
      </c>
      <c r="E147" t="str">
        <f t="shared" si="25"/>
        <v xml:space="preserve">&lt;?xml version="1.0" encoding="UTF-8" ?&gt;
&lt;results&gt;
&lt;query&gt;静岡県静岡市駿河区下川原南&lt;/query&gt;
&lt;geodetic&gt;wgs1984&lt;/geodetic&gt;
&lt;iConf&gt;5&lt;/iConf&gt;
&lt;converted&gt;静岡県静岡市駿河区下川原南&lt;/converted&gt;
&lt;candidate&gt;
&lt;address&gt;静岡県/静岡市/駿河区/下川原南&lt;/address&gt;
&lt;longitude&gt;138.384171&lt;/longitude&gt;
&lt;latitude&gt;34.932537&lt;/latitude&gt;
&lt;iLvl&gt;5&lt;/iLvl&gt;
&lt;/candidate&gt;
&lt;/results&gt;
</v>
      </c>
      <c r="F147" cm="1">
        <f t="array" ref="F147">INDEX(_xlfn.FILTERXML(E147,"//latitude"),1)</f>
        <v>34.932537000000004</v>
      </c>
      <c r="G147" cm="1">
        <f t="array" ref="G147">INDEX(_xlfn.FILTERXML(E147,"//longitude"),1)</f>
        <v>138.38417100000001</v>
      </c>
      <c r="H147">
        <v>34.932537000000004</v>
      </c>
      <c r="I147">
        <v>138.38417100000001</v>
      </c>
    </row>
    <row r="148" spans="1:9" x14ac:dyDescent="0.4">
      <c r="A148" t="s">
        <v>13</v>
      </c>
      <c r="B148" t="s">
        <v>185</v>
      </c>
      <c r="C148" t="str">
        <f t="shared" si="23"/>
        <v>兵庫県川西市多田1-1-1</v>
      </c>
      <c r="D148" s="2" t="str">
        <f t="shared" si="24"/>
        <v>http://geocode.csis.u-tokyo.ac.jp/cgi-bin/simple_geocode.cgi?charset=UTF8&amp;addr=%E5%85%B5%E5%BA%AB%E7%9C%8C%E5%B7%9D%E8%A5%BF%E5%B8%82%E5%A4%9A%E7%94%B01-1-1</v>
      </c>
      <c r="E148" t="str">
        <f t="shared" si="25"/>
        <v xml:space="preserve">&lt;?xml version="1.0" encoding="UTF-8" ?&gt;
&lt;results&gt;
&lt;query&gt;兵庫県川西市多田1-1-1&lt;/query&gt;
&lt;geodetic&gt;wgs1984&lt;/geodetic&gt;
&lt;iConf&gt;4&lt;/iConf&gt;
&lt;converted&gt;兵庫県川西市多田&lt;/converted&gt;
&lt;candidate&gt;
&lt;address&gt;兵庫県/川西市/多田院&lt;/address&gt;
&lt;longitude&gt;135.405258&lt;/longitude&gt;
&lt;latitude&gt;34.861889&lt;/latitude&gt;
&lt;iLvl&gt;5&lt;/iLvl&gt;
&lt;/candidate&gt;
&lt;candidate&gt;
&lt;address&gt;兵庫県/川西市/多田院西&lt;/address&gt;
&lt;longitude&gt;135.400345&lt;/longitude&gt;
&lt;latitude&gt;34.859020&lt;/latitude&gt;
&lt;iLvl&gt;5&lt;/iLvl&gt;
&lt;/candidate&gt;
&lt;candidate&gt;
&lt;address&gt;兵庫県/川西市/多田院多田所町&lt;/address&gt;
&lt;longitude&gt;135.402863&lt;/longitude&gt;
&lt;latitude&gt;34.860863&lt;/latitude&gt;
&lt;iLvl&gt;5&lt;/iLvl&gt;
&lt;/candidate&gt;
&lt;candidate&gt;
&lt;address&gt;兵庫県/川西市/多田桜木&lt;/address&gt;
&lt;longitude&gt;135.417084&lt;/longitude&gt;
&lt;latitude&gt;34.856689&lt;/latitude&gt;
&lt;iLvl&gt;5&lt;/iLvl&gt;
&lt;/candidate&gt;
&lt;/results&gt;
</v>
      </c>
      <c r="F148" cm="1">
        <f t="array" ref="F148">INDEX(_xlfn.FILTERXML(E148,"//latitude"),1)</f>
        <v>34.861888999999998</v>
      </c>
      <c r="G148" cm="1">
        <f t="array" ref="G148">INDEX(_xlfn.FILTERXML(E148,"//longitude"),1)</f>
        <v>135.405258</v>
      </c>
      <c r="H148">
        <v>34.861888999999998</v>
      </c>
      <c r="I148">
        <v>135.405258</v>
      </c>
    </row>
    <row r="149" spans="1:9" x14ac:dyDescent="0.4">
      <c r="A149" t="s">
        <v>23</v>
      </c>
      <c r="B149" t="s">
        <v>186</v>
      </c>
      <c r="C149" t="str">
        <f t="shared" si="23"/>
        <v>京都府城陽市市辺</v>
      </c>
      <c r="D149" s="2" t="str">
        <f t="shared" si="24"/>
        <v>http://geocode.csis.u-tokyo.ac.jp/cgi-bin/simple_geocode.cgi?charset=UTF8&amp;addr=%E4%BA%AC%E9%83%BD%E5%BA%9C%E5%9F%8E%E9%99%BD%E5%B8%82%E5%B8%82%E8%BE%BA</v>
      </c>
      <c r="E149" t="str">
        <f t="shared" si="25"/>
        <v xml:space="preserve">&lt;?xml version="1.0" encoding="UTF-8" ?&gt;
&lt;results&gt;
&lt;query&gt;京都府城陽市市辺&lt;/query&gt;
&lt;geodetic&gt;wgs1984&lt;/geodetic&gt;
&lt;iConf&gt;5&lt;/iConf&gt;
&lt;converted&gt;京都府城陽市市辺&lt;/converted&gt;
&lt;candidate&gt;
&lt;address&gt;京都府/城陽市/市辺&lt;/address&gt;
&lt;longitude&gt;135.821106&lt;/longitude&gt;
&lt;latitude&gt;34.828579&lt;/latitude&gt;
&lt;iLvl&gt;5&lt;/iLvl&gt;
&lt;/candidate&gt;
&lt;/results&gt;
</v>
      </c>
      <c r="F149" cm="1">
        <f t="array" ref="F149">INDEX(_xlfn.FILTERXML(E149,"//latitude"),1)</f>
        <v>34.828578999999998</v>
      </c>
      <c r="G149" cm="1">
        <f t="array" ref="G149">INDEX(_xlfn.FILTERXML(E149,"//longitude"),1)</f>
        <v>135.82110599999999</v>
      </c>
      <c r="H149">
        <v>34.828578999999998</v>
      </c>
      <c r="I149">
        <v>135.82110599999999</v>
      </c>
    </row>
    <row r="150" spans="1:9" x14ac:dyDescent="0.4">
      <c r="A150" t="s">
        <v>24</v>
      </c>
      <c r="B150" t="s">
        <v>187</v>
      </c>
      <c r="C150" t="str">
        <f t="shared" si="23"/>
        <v>静岡県袋井市豊沢</v>
      </c>
      <c r="D150" s="2" t="str">
        <f t="shared" si="24"/>
        <v>http://geocode.csis.u-tokyo.ac.jp/cgi-bin/simple_geocode.cgi?charset=UTF8&amp;addr=%E9%9D%99%E5%B2%A1%E7%9C%8C%E8%A2%8B%E4%BA%95%E5%B8%82%E8%B1%8A%E6%B2%A2</v>
      </c>
      <c r="E150" t="str">
        <f t="shared" si="25"/>
        <v xml:space="preserve">&lt;?xml version="1.0" encoding="UTF-8" ?&gt;
&lt;results&gt;
&lt;query&gt;静岡県袋井市豊沢&lt;/query&gt;
&lt;geodetic&gt;wgs1984&lt;/geodetic&gt;
&lt;iConf&gt;5&lt;/iConf&gt;
&lt;converted&gt;静岡県袋井市豊沢&lt;/converted&gt;
&lt;candidate&gt;
&lt;address&gt;静岡県/袋井市/豊沢&lt;/address&gt;
&lt;longitude&gt;137.969711&lt;/longitude&gt;
&lt;latitude&gt;34.736378&lt;/latitude&gt;
&lt;iLvl&gt;5&lt;/iLvl&gt;
&lt;/candidate&gt;
&lt;/results&gt;
</v>
      </c>
      <c r="F150" cm="1">
        <f t="array" ref="F150">INDEX(_xlfn.FILTERXML(E150,"//latitude"),1)</f>
        <v>34.736378000000002</v>
      </c>
      <c r="G150" cm="1">
        <f t="array" ref="G150">INDEX(_xlfn.FILTERXML(E150,"//longitude"),1)</f>
        <v>137.96971099999999</v>
      </c>
      <c r="H150">
        <v>34.736378000000002</v>
      </c>
      <c r="I150">
        <v>137.96971099999999</v>
      </c>
    </row>
    <row r="151" spans="1:9" x14ac:dyDescent="0.4">
      <c r="A151" t="s">
        <v>16</v>
      </c>
      <c r="B151" t="s">
        <v>188</v>
      </c>
      <c r="C151" t="str">
        <f t="shared" si="23"/>
        <v>千葉県船橋市</v>
      </c>
      <c r="D151" s="2" t="str">
        <f t="shared" si="24"/>
        <v>http://geocode.csis.u-tokyo.ac.jp/cgi-bin/simple_geocode.cgi?charset=UTF8&amp;addr=%E5%8D%83%E8%91%89%E7%9C%8C%E8%88%B9%E6%A9%8B%E5%B8%82</v>
      </c>
      <c r="E151" t="str">
        <f t="shared" si="25"/>
        <v xml:space="preserve">&lt;?xml version="1.0" encoding="UTF-8" ?&gt;
&lt;results&gt;
&lt;query&gt;千葉県船橋市&lt;/query&gt;
&lt;geodetic&gt;wgs1984&lt;/geodetic&gt;
&lt;iConf&gt;5&lt;/iConf&gt;
&lt;converted&gt;千葉県船橋市&lt;/converted&gt;
&lt;candidate&gt;
&lt;address&gt;千葉県/船橋市&lt;/address&gt;
&lt;longitude&gt;139.982620&lt;/longitude&gt;
&lt;latitude&gt;35.694710&lt;/latitude&gt;
&lt;iLvl&gt;3&lt;/iLvl&gt;
&lt;/candidate&gt;
&lt;/results&gt;
</v>
      </c>
      <c r="F151" cm="1">
        <f t="array" ref="F151">INDEX(_xlfn.FILTERXML(E151,"//latitude"),1)</f>
        <v>35.694710000000001</v>
      </c>
      <c r="G151" cm="1">
        <f t="array" ref="G151">INDEX(_xlfn.FILTERXML(E151,"//longitude"),1)</f>
        <v>139.98262</v>
      </c>
      <c r="H151">
        <v>35.694710000000001</v>
      </c>
      <c r="I151">
        <v>139.98262</v>
      </c>
    </row>
    <row r="152" spans="1:9" x14ac:dyDescent="0.4">
      <c r="A152" t="s">
        <v>10</v>
      </c>
      <c r="B152" t="s">
        <v>189</v>
      </c>
      <c r="C152" t="str">
        <f t="shared" si="23"/>
        <v>神奈川県横浜市港北区箕輪町</v>
      </c>
      <c r="D152" s="2" t="str">
        <f t="shared" si="24"/>
        <v>http://geocode.csis.u-tokyo.ac.jp/cgi-bin/simple_geocode.cgi?charset=UTF8&amp;addr=%E7%A5%9E%E5%A5%88%E5%B7%9D%E7%9C%8C%E6%A8%AA%E6%B5%9C%E5%B8%82%E6%B8%AF%E5%8C%97%E5%8C%BA%E7%AE%95%E8%BC%AA%E7%94%BA</v>
      </c>
      <c r="E152" t="str">
        <f t="shared" si="25"/>
        <v xml:space="preserve">&lt;?xml version="1.0" encoding="UTF-8" ?&gt;
&lt;results&gt;
&lt;query&gt;神奈川県横浜市港北区箕輪町&lt;/query&gt;
&lt;geodetic&gt;wgs1984&lt;/geodetic&gt;
&lt;iConf&gt;5&lt;/iConf&gt;
&lt;converted&gt;神奈川県横浜市港北区箕輪町&lt;/converted&gt;
&lt;candidate&gt;
&lt;address&gt;神奈川県/横浜市/港北区/箕輪町&lt;/address&gt;
&lt;longitude&gt;139.647491&lt;/longitude&gt;
&lt;latitude&gt;35.548882&lt;/latitude&gt;
&lt;iLvl&gt;5&lt;/iLvl&gt;
&lt;/candidate&gt;
&lt;/results&gt;
</v>
      </c>
      <c r="F152" cm="1">
        <f t="array" ref="F152">INDEX(_xlfn.FILTERXML(E152,"//latitude"),1)</f>
        <v>35.548881999999999</v>
      </c>
      <c r="G152" cm="1">
        <f t="array" ref="G152">INDEX(_xlfn.FILTERXML(E152,"//longitude"),1)</f>
        <v>139.647491</v>
      </c>
      <c r="H152">
        <v>35.548881999999999</v>
      </c>
      <c r="I152">
        <v>139.647491</v>
      </c>
    </row>
    <row r="153" spans="1:9" x14ac:dyDescent="0.4">
      <c r="A153" t="s">
        <v>29</v>
      </c>
      <c r="B153" t="s">
        <v>563</v>
      </c>
      <c r="C153" t="str">
        <f t="shared" si="23"/>
        <v>新潟県新潟市江南区東船場</v>
      </c>
      <c r="D153" s="2" t="str">
        <f t="shared" si="24"/>
        <v>http://geocode.csis.u-tokyo.ac.jp/cgi-bin/simple_geocode.cgi?charset=UTF8&amp;addr=%E6%96%B0%E6%BD%9F%E7%9C%8C%E6%96%B0%E6%BD%9F%E5%B8%82%E6%B1%9F%E5%8D%97%E5%8C%BA%E6%9D%B1%E8%88%B9%E5%A0%B4</v>
      </c>
      <c r="E153" t="str">
        <f t="shared" si="25"/>
        <v xml:space="preserve">&lt;?xml version="1.0" encoding="UTF-8" ?&gt;
&lt;results&gt;
&lt;query&gt;新潟県新潟市江南区東船場&lt;/query&gt;
&lt;geodetic&gt;wgs1984&lt;/geodetic&gt;
&lt;iConf&gt;5&lt;/iConf&gt;
&lt;converted&gt;新潟県新潟市江南区東船場&lt;/converted&gt;
&lt;candidate&gt;
&lt;address&gt;新潟県/新潟市/江南区/東船場&lt;/address&gt;
&lt;longitude&gt;139.108215&lt;/longitude&gt;
&lt;latitude&gt;37.876057&lt;/latitude&gt;
&lt;iLvl&gt;5&lt;/iLvl&gt;
&lt;/candidate&gt;
&lt;/results&gt;
</v>
      </c>
      <c r="F153" cm="1">
        <f t="array" ref="F153">INDEX(_xlfn.FILTERXML(E153,"//latitude"),1)</f>
        <v>37.876057000000003</v>
      </c>
      <c r="G153" cm="1">
        <f t="array" ref="G153">INDEX(_xlfn.FILTERXML(E153,"//longitude"),1)</f>
        <v>139.108215</v>
      </c>
      <c r="H153">
        <v>37.876057000000003</v>
      </c>
      <c r="I153">
        <v>139.108215</v>
      </c>
    </row>
    <row r="154" spans="1:9" x14ac:dyDescent="0.4">
      <c r="A154" t="s">
        <v>10</v>
      </c>
      <c r="B154" t="s">
        <v>190</v>
      </c>
      <c r="C154" t="str">
        <f t="shared" si="23"/>
        <v>神奈川県横浜市青葉区美しが丘</v>
      </c>
      <c r="D154" s="2" t="str">
        <f t="shared" si="24"/>
        <v>http://geocode.csis.u-tokyo.ac.jp/cgi-bin/simple_geocode.cgi?charset=UTF8&amp;addr=%E7%A5%9E%E5%A5%88%E5%B7%9D%E7%9C%8C%E6%A8%AA%E6%B5%9C%E5%B8%82%E9%9D%92%E8%91%89%E5%8C%BA%E7%BE%8E%E3%81%97%E3%81%8C%E4%B8%98</v>
      </c>
      <c r="E154" t="str">
        <f t="shared" si="25"/>
        <v xml:space="preserve">&lt;?xml version="1.0" encoding="UTF-8" ?&gt;
&lt;results&gt;
&lt;query&gt;神奈川県横浜市青葉区美しが丘&lt;/query&gt;
&lt;geodetic&gt;wgs1984&lt;/geodetic&gt;
&lt;iConf&gt;5&lt;/iConf&gt;
&lt;converted&gt;神奈川県横浜市青葉区美しが丘&lt;/converted&gt;
&lt;candidate&gt;
&lt;address&gt;神奈川県/横浜市/青葉区/美しが丘&lt;/address&gt;
&lt;longitude&gt;139.555374&lt;/longitude&gt;
&lt;latitude&gt;35.579971&lt;/latitude&gt;
&lt;iLvl&gt;5&lt;/iLvl&gt;
&lt;/candidate&gt;
&lt;/results&gt;
</v>
      </c>
      <c r="F154" cm="1">
        <f t="array" ref="F154">INDEX(_xlfn.FILTERXML(E154,"//latitude"),1)</f>
        <v>35.579971</v>
      </c>
      <c r="G154" cm="1">
        <f t="array" ref="G154">INDEX(_xlfn.FILTERXML(E154,"//longitude"),1)</f>
        <v>139.555374</v>
      </c>
      <c r="H154">
        <v>35.579971</v>
      </c>
      <c r="I154">
        <v>139.555374</v>
      </c>
    </row>
    <row r="155" spans="1:9" x14ac:dyDescent="0.4">
      <c r="A155" t="s">
        <v>9</v>
      </c>
      <c r="B155" t="s">
        <v>192</v>
      </c>
      <c r="C155" t="str">
        <f t="shared" si="23"/>
        <v>東京都小金井市前原町</v>
      </c>
      <c r="D155" s="2" t="str">
        <f t="shared" si="24"/>
        <v>http://geocode.csis.u-tokyo.ac.jp/cgi-bin/simple_geocode.cgi?charset=UTF8&amp;addr=%E6%9D%B1%E4%BA%AC%E9%83%BD%E5%B0%8F%E9%87%91%E4%BA%95%E5%B8%82%E5%89%8D%E5%8E%9F%E7%94%BA</v>
      </c>
      <c r="E155" t="str">
        <f t="shared" si="25"/>
        <v xml:space="preserve">&lt;?xml version="1.0" encoding="UTF-8" ?&gt;
&lt;results&gt;
&lt;query&gt;東京都小金井市前原町&lt;/query&gt;
&lt;geodetic&gt;wgs1984&lt;/geodetic&gt;
&lt;iConf&gt;5&lt;/iConf&gt;
&lt;converted&gt;東京都小金井市前原町&lt;/converted&gt;
&lt;candidate&gt;
&lt;address&gt;東京都/小金井市/前原町&lt;/address&gt;
&lt;longitude&gt;139.511551&lt;/longitude&gt;
&lt;latitude&gt;35.689369&lt;/latitude&gt;
&lt;iLvl&gt;5&lt;/iLvl&gt;
&lt;/candidate&gt;
&lt;/results&gt;
</v>
      </c>
      <c r="F155" cm="1">
        <f t="array" ref="F155">INDEX(_xlfn.FILTERXML(E155,"//latitude"),1)</f>
        <v>35.689368999999999</v>
      </c>
      <c r="G155" cm="1">
        <f t="array" ref="G155">INDEX(_xlfn.FILTERXML(E155,"//longitude"),1)</f>
        <v>139.511551</v>
      </c>
      <c r="H155">
        <v>35.689368999999999</v>
      </c>
      <c r="I155">
        <v>139.511551</v>
      </c>
    </row>
    <row r="156" spans="1:9" x14ac:dyDescent="0.4">
      <c r="A156" t="s">
        <v>11</v>
      </c>
      <c r="B156" t="s">
        <v>193</v>
      </c>
      <c r="C156" t="str">
        <f t="shared" si="23"/>
        <v>大阪府吹田市広芝町</v>
      </c>
      <c r="D156" s="2" t="str">
        <f t="shared" si="24"/>
        <v>http://geocode.csis.u-tokyo.ac.jp/cgi-bin/simple_geocode.cgi?charset=UTF8&amp;addr=%E5%A4%A7%E9%98%AA%E5%BA%9C%E5%90%B9%E7%94%B0%E5%B8%82%E5%BA%83%E8%8A%9D%E7%94%BA</v>
      </c>
      <c r="E156" t="str">
        <f t="shared" si="25"/>
        <v xml:space="preserve">&lt;?xml version="1.0" encoding="UTF-8" ?&gt;
&lt;results&gt;
&lt;query&gt;大阪府吹田市広芝町&lt;/query&gt;
&lt;geodetic&gt;wgs1984&lt;/geodetic&gt;
&lt;iConf&gt;5&lt;/iConf&gt;
&lt;converted&gt;大阪府吹田市広芝町&lt;/converted&gt;
&lt;candidate&gt;
&lt;address&gt;大阪府/吹田市/広芝町&lt;/address&gt;
&lt;longitude&gt;135.498886&lt;/longitude&gt;
&lt;latitude&gt;34.754951&lt;/latitude&gt;
&lt;iLvl&gt;5&lt;/iLvl&gt;
&lt;/candidate&gt;
&lt;/results&gt;
</v>
      </c>
      <c r="F156" cm="1">
        <f t="array" ref="F156">INDEX(_xlfn.FILTERXML(E156,"//latitude"),1)</f>
        <v>34.754950999999998</v>
      </c>
      <c r="G156" cm="1">
        <f t="array" ref="G156">INDEX(_xlfn.FILTERXML(E156,"//longitude"),1)</f>
        <v>135.498886</v>
      </c>
      <c r="H156">
        <v>34.754950999999998</v>
      </c>
      <c r="I156">
        <v>135.498886</v>
      </c>
    </row>
    <row r="157" spans="1:9" x14ac:dyDescent="0.4">
      <c r="A157" t="s">
        <v>194</v>
      </c>
      <c r="B157" t="s">
        <v>195</v>
      </c>
      <c r="C157" t="str">
        <f t="shared" si="23"/>
        <v>沖縄県国頭郡東村字有銘</v>
      </c>
      <c r="D157" s="2" t="str">
        <f t="shared" si="24"/>
        <v>http://geocode.csis.u-tokyo.ac.jp/cgi-bin/simple_geocode.cgi?charset=UTF8&amp;addr=%E6%B2%96%E7%B8%84%E7%9C%8C%E5%9B%BD%E9%A0%AD%E9%83%A1%E6%9D%B1%E6%9D%91%E5%AD%97%E6%9C%89%E9%8A%98</v>
      </c>
      <c r="E157" t="str">
        <f t="shared" si="25"/>
        <v xml:space="preserve">&lt;?xml version="1.0" encoding="UTF-8" ?&gt;
&lt;results&gt;
&lt;query&gt;沖縄県国頭郡東村字有銘&lt;/query&gt;
&lt;geodetic&gt;wgs1984&lt;/geodetic&gt;
&lt;iConf&gt;5&lt;/iConf&gt;
&lt;converted&gt;沖縄県国頭郡東村字有銘&lt;/converted&gt;
&lt;candidate&gt;
&lt;address&gt;沖縄県/国頭郡/東村/有銘&lt;/address&gt;
&lt;longitude&gt;128.119186&lt;/longitude&gt;
&lt;latitude&gt;26.603556&lt;/latitude&gt;
&lt;iLvl&gt;5&lt;/iLvl&gt;
&lt;/candidate&gt;
&lt;/results&gt;
</v>
      </c>
      <c r="F157" cm="1">
        <f t="array" ref="F157">INDEX(_xlfn.FILTERXML(E157,"//latitude"),1)</f>
        <v>26.603556000000001</v>
      </c>
      <c r="G157" cm="1">
        <f t="array" ref="G157">INDEX(_xlfn.FILTERXML(E157,"//longitude"),1)</f>
        <v>128.11918600000001</v>
      </c>
      <c r="H157">
        <v>26.603556000000001</v>
      </c>
      <c r="I157">
        <v>128.11918600000001</v>
      </c>
    </row>
    <row r="158" spans="1:9" x14ac:dyDescent="0.4">
      <c r="A158" t="s">
        <v>31</v>
      </c>
      <c r="B158" t="s">
        <v>196</v>
      </c>
      <c r="C158" t="str">
        <f t="shared" si="23"/>
        <v>北海道札幌市北区屯田2条１丁目</v>
      </c>
      <c r="D158" s="2" t="str">
        <f t="shared" si="24"/>
        <v>http://geocode.csis.u-tokyo.ac.jp/cgi-bin/simple_geocode.cgi?charset=UTF8&amp;addr=%E5%8C%97%E6%B5%B7%E9%81%93%E6%9C%AD%E5%B9%8C%E5%B8%82%E5%8C%97%E5%8C%BA%E5%B1%AF%E7%94%B02%E6%9D%A1%EF%BC%91%E4%B8%81%E7%9B%AE</v>
      </c>
      <c r="E158" t="str">
        <f t="shared" si="25"/>
        <v xml:space="preserve">&lt;?xml version="1.0" encoding="UTF-8" ?&gt;
&lt;results&gt;
&lt;query&gt;北海道札幌市北区屯田2条１丁目&lt;/query&gt;
&lt;geodetic&gt;wgs1984&lt;/geodetic&gt;
&lt;iConf&gt;5&lt;/iConf&gt;
&lt;converted&gt;北海道札幌市北区屯田2条１丁目&lt;/converted&gt;
&lt;candidate&gt;
&lt;address&gt;北海道/札幌市/北区/屯田二条/一丁目&lt;/address&gt;
&lt;longitude&gt;141.342590&lt;/longitude&gt;
&lt;latitude&gt;43.122211&lt;/latitude&gt;
&lt;iLvl&gt;6&lt;/iLvl&gt;
&lt;/candidate&gt;
&lt;/results&gt;
</v>
      </c>
      <c r="F158" cm="1">
        <f t="array" ref="F158">INDEX(_xlfn.FILTERXML(E158,"//latitude"),1)</f>
        <v>43.122211</v>
      </c>
      <c r="G158" cm="1">
        <f t="array" ref="G158">INDEX(_xlfn.FILTERXML(E158,"//longitude"),1)</f>
        <v>141.34259</v>
      </c>
      <c r="H158">
        <v>43.122211</v>
      </c>
      <c r="I158">
        <v>141.34259</v>
      </c>
    </row>
    <row r="159" spans="1:9" x14ac:dyDescent="0.4">
      <c r="A159" t="s">
        <v>10</v>
      </c>
      <c r="B159" t="s">
        <v>197</v>
      </c>
      <c r="C159" t="str">
        <f t="shared" si="23"/>
        <v>神奈川県横浜市港北区新吉田東</v>
      </c>
      <c r="D159" s="2" t="str">
        <f t="shared" si="24"/>
        <v>http://geocode.csis.u-tokyo.ac.jp/cgi-bin/simple_geocode.cgi?charset=UTF8&amp;addr=%E7%A5%9E%E5%A5%88%E5%B7%9D%E7%9C%8C%E6%A8%AA%E6%B5%9C%E5%B8%82%E6%B8%AF%E5%8C%97%E5%8C%BA%E6%96%B0%E5%90%89%E7%94%B0%E6%9D%B1</v>
      </c>
      <c r="E159" t="str">
        <f t="shared" si="25"/>
        <v xml:space="preserve">&lt;?xml version="1.0" encoding="UTF-8" ?&gt;
&lt;results&gt;
&lt;query&gt;神奈川県横浜市港北区新吉田東&lt;/query&gt;
&lt;geodetic&gt;wgs1984&lt;/geodetic&gt;
&lt;iConf&gt;5&lt;/iConf&gt;
&lt;converted&gt;神奈川県横浜市港北区新吉田東&lt;/converted&gt;
&lt;candidate&gt;
&lt;address&gt;神奈川県/横浜市/港北区/新吉田東&lt;/address&gt;
&lt;longitude&gt;139.621155&lt;/longitude&gt;
&lt;latitude&gt;35.543316&lt;/latitude&gt;
&lt;iLvl&gt;5&lt;/iLvl&gt;
&lt;/candidate&gt;
&lt;/results&gt;
</v>
      </c>
      <c r="F159" cm="1">
        <f t="array" ref="F159">INDEX(_xlfn.FILTERXML(E159,"//latitude"),1)</f>
        <v>35.543315999999997</v>
      </c>
      <c r="G159" cm="1">
        <f t="array" ref="G159">INDEX(_xlfn.FILTERXML(E159,"//longitude"),1)</f>
        <v>139.62115499999999</v>
      </c>
      <c r="H159">
        <v>35.543315999999997</v>
      </c>
      <c r="I159">
        <v>139.62115499999999</v>
      </c>
    </row>
    <row r="160" spans="1:9" x14ac:dyDescent="0.4">
      <c r="A160" t="s">
        <v>13</v>
      </c>
      <c r="B160" t="s">
        <v>198</v>
      </c>
      <c r="C160" t="str">
        <f t="shared" si="23"/>
        <v>兵庫県加古川市市平岡町</v>
      </c>
      <c r="D160" s="2" t="str">
        <f t="shared" si="24"/>
        <v>http://geocode.csis.u-tokyo.ac.jp/cgi-bin/simple_geocode.cgi?charset=UTF8&amp;addr=%E5%85%B5%E5%BA%AB%E7%9C%8C%E5%8A%A0%E5%8F%A4%E5%B7%9D%E5%B8%82%E5%B8%82%E5%B9%B3%E5%B2%A1%E7%94%BA</v>
      </c>
      <c r="E160" t="str">
        <f t="shared" si="25"/>
        <v xml:space="preserve">&lt;?xml version="1.0" encoding="UTF-8" ?&gt;
&lt;results&gt;
&lt;query&gt;兵庫県加古川市市平岡町&lt;/query&gt;
&lt;geodetic&gt;wgs1984&lt;/geodetic&gt;
&lt;iConf&gt;5&lt;/iConf&gt;
&lt;converted&gt;兵庫県加古川市&lt;/converted&gt;
&lt;candidate&gt;
&lt;address&gt;兵庫県/加古川市&lt;/address&gt;
&lt;longitude&gt;134.840897&lt;/longitude&gt;
&lt;latitude&gt;34.756618&lt;/latitude&gt;
&lt;iLvl&gt;3&lt;/iLvl&gt;
&lt;/candidate&gt;
&lt;/results&gt;
</v>
      </c>
      <c r="F160" cm="1">
        <f t="array" ref="F160">INDEX(_xlfn.FILTERXML(E160,"//latitude"),1)</f>
        <v>34.756618000000003</v>
      </c>
      <c r="G160" cm="1">
        <f t="array" ref="G160">INDEX(_xlfn.FILTERXML(E160,"//longitude"),1)</f>
        <v>134.84089700000001</v>
      </c>
      <c r="H160">
        <v>34.756618000000003</v>
      </c>
      <c r="I160">
        <v>134.84089700000001</v>
      </c>
    </row>
    <row r="161" spans="1:9" x14ac:dyDescent="0.4">
      <c r="A161" t="s">
        <v>9</v>
      </c>
      <c r="B161" t="s">
        <v>314</v>
      </c>
      <c r="C161" t="str">
        <f t="shared" si="23"/>
        <v>東京都福生市</v>
      </c>
      <c r="D161" s="2" t="str">
        <f t="shared" si="24"/>
        <v>http://geocode.csis.u-tokyo.ac.jp/cgi-bin/simple_geocode.cgi?charset=UTF8&amp;addr=%E6%9D%B1%E4%BA%AC%E9%83%BD%E7%A6%8F%E7%94%9F%E5%B8%82</v>
      </c>
      <c r="E161" t="str">
        <f t="shared" si="25"/>
        <v xml:space="preserve">&lt;?xml version="1.0" encoding="UTF-8" ?&gt;
&lt;results&gt;
&lt;query&gt;東京都福生市&lt;/query&gt;
&lt;geodetic&gt;wgs1984&lt;/geodetic&gt;
&lt;iConf&gt;5&lt;/iConf&gt;
&lt;converted&gt;東京都福生市&lt;/converted&gt;
&lt;candidate&gt;
&lt;address&gt;東京都/福生市&lt;/address&gt;
&lt;longitude&gt;139.326736&lt;/longitude&gt;
&lt;latitude&gt;35.738602&lt;/latitude&gt;
&lt;iLvl&gt;3&lt;/iLvl&gt;
&lt;/candidate&gt;
&lt;/results&gt;
</v>
      </c>
      <c r="F161" cm="1">
        <f t="array" ref="F161">INDEX(_xlfn.FILTERXML(E161,"//latitude"),1)</f>
        <v>35.738602</v>
      </c>
      <c r="G161" cm="1">
        <f t="array" ref="G161">INDEX(_xlfn.FILTERXML(E161,"//longitude"),1)</f>
        <v>139.32673600000001</v>
      </c>
      <c r="H161">
        <v>35.738602</v>
      </c>
      <c r="I161">
        <v>139.32673600000001</v>
      </c>
    </row>
    <row r="162" spans="1:9" x14ac:dyDescent="0.4">
      <c r="A162" t="s">
        <v>14</v>
      </c>
      <c r="B162" t="s">
        <v>199</v>
      </c>
      <c r="C162" t="str">
        <f t="shared" si="23"/>
        <v>長野県南箕輪村</v>
      </c>
      <c r="D162" s="2" t="str">
        <f t="shared" si="24"/>
        <v>http://geocode.csis.u-tokyo.ac.jp/cgi-bin/simple_geocode.cgi?charset=UTF8&amp;addr=%E9%95%B7%E9%87%8E%E7%9C%8C%E5%8D%97%E7%AE%95%E8%BC%AA%E6%9D%91</v>
      </c>
      <c r="E162" t="str">
        <f t="shared" si="25"/>
        <v xml:space="preserve">&lt;?xml version="1.0" encoding="UTF-8" ?&gt;
&lt;results&gt;
&lt;query&gt;長野県南箕輪村&lt;/query&gt;
&lt;geodetic&gt;wgs1984&lt;/geodetic&gt;
&lt;iConf&gt;5&lt;/iConf&gt;
&lt;converted&gt;長野県南箕輪村&lt;/converted&gt;
&lt;candidate&gt;
&lt;address&gt;長野県/南箕輪村&lt;/address&gt;
&lt;longitude&gt;137.975082&lt;/longitude&gt;
&lt;latitude&gt;35.872852&lt;/latitude&gt;
&lt;iLvl&gt;0&lt;/iLvl&gt;
&lt;/candidate&gt;
&lt;/results&gt;
</v>
      </c>
      <c r="F162" cm="1">
        <f t="array" ref="F162">INDEX(_xlfn.FILTERXML(E162,"//latitude"),1)</f>
        <v>35.872852000000002</v>
      </c>
      <c r="G162" cm="1">
        <f t="array" ref="G162">INDEX(_xlfn.FILTERXML(E162,"//longitude"),1)</f>
        <v>137.97508199999999</v>
      </c>
      <c r="H162">
        <v>35.872852000000002</v>
      </c>
      <c r="I162">
        <v>137.97508199999999</v>
      </c>
    </row>
    <row r="163" spans="1:9" x14ac:dyDescent="0.4">
      <c r="A163" t="s">
        <v>13</v>
      </c>
      <c r="B163" t="s">
        <v>200</v>
      </c>
      <c r="C163" t="str">
        <f t="shared" si="23"/>
        <v>兵庫県神戸市北区緑町</v>
      </c>
      <c r="D163" s="2" t="str">
        <f t="shared" si="24"/>
        <v>http://geocode.csis.u-tokyo.ac.jp/cgi-bin/simple_geocode.cgi?charset=UTF8&amp;addr=%E5%85%B5%E5%BA%AB%E7%9C%8C%E7%A5%9E%E6%88%B8%E5%B8%82%E5%8C%97%E5%8C%BA%E7%B7%91%E7%94%BA</v>
      </c>
      <c r="E163" t="str">
        <f t="shared" si="25"/>
        <v xml:space="preserve">&lt;?xml version="1.0" encoding="UTF-8" ?&gt;
&lt;results&gt;
&lt;query&gt;兵庫県神戸市北区緑町&lt;/query&gt;
&lt;geodetic&gt;wgs1984&lt;/geodetic&gt;
&lt;iConf&gt;5&lt;/iConf&gt;
&lt;converted&gt;兵庫県神戸市北区緑町&lt;/converted&gt;
&lt;candidate&gt;
&lt;address&gt;兵庫県/神戸市/北区/緑町&lt;/address&gt;
&lt;longitude&gt;135.153091&lt;/longitude&gt;
&lt;latitude&gt;34.746914&lt;/latitude&gt;
&lt;iLvl&gt;5&lt;/iLvl&gt;
&lt;/candidate&gt;
&lt;/results&gt;
</v>
      </c>
      <c r="F163" cm="1">
        <f t="array" ref="F163">INDEX(_xlfn.FILTERXML(E163,"//latitude"),1)</f>
        <v>34.746913999999997</v>
      </c>
      <c r="G163" cm="1">
        <f t="array" ref="G163">INDEX(_xlfn.FILTERXML(E163,"//longitude"),1)</f>
        <v>135.15309099999999</v>
      </c>
      <c r="H163">
        <v>34.746913999999997</v>
      </c>
      <c r="I163">
        <v>135.15309099999999</v>
      </c>
    </row>
    <row r="164" spans="1:9" x14ac:dyDescent="0.4">
      <c r="A164" t="s">
        <v>31</v>
      </c>
      <c r="B164" t="s">
        <v>201</v>
      </c>
      <c r="C164" t="str">
        <f t="shared" si="23"/>
        <v>北海道札幌市中央区北1条西22丁目</v>
      </c>
      <c r="D164" s="2" t="str">
        <f t="shared" si="24"/>
        <v>http://geocode.csis.u-tokyo.ac.jp/cgi-bin/simple_geocode.cgi?charset=UTF8&amp;addr=%E5%8C%97%E6%B5%B7%E9%81%93%E6%9C%AD%E5%B9%8C%E5%B8%82%E4%B8%AD%E5%A4%AE%E5%8C%BA%E5%8C%971%E6%9D%A1%E8%A5%BF22%E4%B8%81%E7%9B%AE</v>
      </c>
      <c r="E164" t="str">
        <f t="shared" si="25"/>
        <v xml:space="preserve">&lt;?xml version="1.0" encoding="UTF-8" ?&gt;
&lt;results&gt;
&lt;query&gt;北海道札幌市中央区北1条西22丁目&lt;/query&gt;
&lt;geodetic&gt;wgs1984&lt;/geodetic&gt;
&lt;iConf&gt;5&lt;/iConf&gt;
&lt;converted&gt;北海道札幌市中央区北1条西22丁目&lt;/converted&gt;
&lt;candidate&gt;
&lt;address&gt;北海道/札幌市/中央区/北一条/西二十二丁目&lt;/address&gt;
&lt;longitude&gt;141.323257&lt;/longitude&gt;
&lt;latitude&gt;43.058487&lt;/latitude&gt;
&lt;iLvl&gt;6&lt;/iLvl&gt;
&lt;/candidate&gt;
&lt;/results&gt;
</v>
      </c>
      <c r="F164" cm="1">
        <f t="array" ref="F164">INDEX(_xlfn.FILTERXML(E164,"//latitude"),1)</f>
        <v>43.058487</v>
      </c>
      <c r="G164" cm="1">
        <f t="array" ref="G164">INDEX(_xlfn.FILTERXML(E164,"//longitude"),1)</f>
        <v>141.32325700000001</v>
      </c>
      <c r="H164">
        <v>43.058487</v>
      </c>
      <c r="I164">
        <v>141.32325700000001</v>
      </c>
    </row>
    <row r="165" spans="1:9" x14ac:dyDescent="0.4">
      <c r="A165" t="s">
        <v>9</v>
      </c>
      <c r="B165" t="s">
        <v>202</v>
      </c>
      <c r="C165" t="str">
        <f t="shared" si="23"/>
        <v>東京都東京都大田区南千束</v>
      </c>
      <c r="D165" s="2" t="str">
        <f t="shared" si="24"/>
        <v>http://geocode.csis.u-tokyo.ac.jp/cgi-bin/simple_geocode.cgi?charset=UTF8&amp;addr=%E6%9D%B1%E4%BA%AC%E9%83%BD%E6%9D%B1%E4%BA%AC%E9%83%BD%E5%A4%A7%E7%94%B0%E5%8C%BA%E5%8D%97%E5%8D%83%E6%9D%9F</v>
      </c>
      <c r="E165" t="str">
        <f t="shared" si="25"/>
        <v xml:space="preserve">&lt;?xml version="1.0" encoding="UTF-8" ?&gt;
&lt;results&gt;
&lt;query&gt;東京都東京都大田区南千束&lt;/query&gt;
&lt;geodetic&gt;wgs1984&lt;/geodetic&gt;
&lt;iConf&gt;4&lt;/iConf&gt;
&lt;converted&gt;東京都東&lt;/converted&gt;
&lt;candidate&gt;
&lt;address&gt;東京都/東久留米市&lt;/address&gt;
&lt;longitude&gt;139.529678&lt;/longitude&gt;
&lt;latitude&gt;35.757992&lt;/latitude&gt;
&lt;iLvl&gt;3&lt;/iLvl&gt;
&lt;/candidate&gt;
&lt;candidate&gt;
&lt;address&gt;東京都/東久留米市&lt;/address&gt;
&lt;longitude&gt;139.529678&lt;/longitude&gt;
&lt;latitude&gt;35.757992&lt;/latitude&gt;
&lt;iLvl&gt;3&lt;/iLvl&gt;
&lt;/candidate&gt;
&lt;candidate&gt;
&lt;address&gt;東京都/東村山市&lt;/address&gt;
&lt;longitude&gt;139.468491&lt;/longitude&gt;
&lt;latitude&gt;35.754623&lt;/latitude&gt;
&lt;iLvl&gt;3&lt;/iLvl&gt;
&lt;/candidate&gt;
&lt;candidate&gt;
&lt;address&gt;東京都/東村山市&lt;/address&gt;
&lt;longitude&gt;139.468491&lt;/longitude&gt;
&lt;latitude&gt;35.754623&lt;/latitude&gt;
&lt;iLvl&gt;3&lt;/iLvl&gt;
&lt;/candidate&gt;
&lt;candidate&gt;
&lt;address&gt;東京都/東大和市&lt;/address&gt;
&lt;longitude&gt;139.426590&lt;/longitude&gt;
&lt;latitude&gt;35.745327&lt;/latitude&gt;
&lt;iLvl&gt;3&lt;/iLvl&gt;
&lt;/candidate&gt;
&lt;candidate&gt;
&lt;address&gt;東京都/東大和市&lt;/address&gt;
&lt;longitude&gt;139.426590&lt;/longitude&gt;
&lt;latitude&gt;35.745327&lt;/latitude&gt;
&lt;iLvl&gt;3&lt;/iLvl&gt;
&lt;/candidate&gt;
&lt;/results&gt;
</v>
      </c>
      <c r="F165" cm="1">
        <f t="array" ref="F165">INDEX(_xlfn.FILTERXML(E165,"//latitude"),1)</f>
        <v>35.757992000000002</v>
      </c>
      <c r="G165" cm="1">
        <f t="array" ref="G165">INDEX(_xlfn.FILTERXML(E165,"//longitude"),1)</f>
        <v>139.52967799999999</v>
      </c>
      <c r="H165">
        <v>35.757992000000002</v>
      </c>
      <c r="I165">
        <v>139.52967799999999</v>
      </c>
    </row>
    <row r="166" spans="1:9" x14ac:dyDescent="0.4">
      <c r="A166" t="s">
        <v>19</v>
      </c>
      <c r="B166" t="s">
        <v>203</v>
      </c>
      <c r="C166" t="str">
        <f t="shared" si="23"/>
        <v>福岡県福岡市東区美和台</v>
      </c>
      <c r="D166" s="2" t="str">
        <f t="shared" si="24"/>
        <v>http://geocode.csis.u-tokyo.ac.jp/cgi-bin/simple_geocode.cgi?charset=UTF8&amp;addr=%E7%A6%8F%E5%B2%A1%E7%9C%8C%E7%A6%8F%E5%B2%A1%E5%B8%82%E6%9D%B1%E5%8C%BA%E7%BE%8E%E5%92%8C%E5%8F%B0</v>
      </c>
      <c r="E166" t="str">
        <f t="shared" si="25"/>
        <v xml:space="preserve">&lt;?xml version="1.0" encoding="UTF-8" ?&gt;
&lt;results&gt;
&lt;query&gt;福岡県福岡市東区美和台&lt;/query&gt;
&lt;geodetic&gt;wgs1984&lt;/geodetic&gt;
&lt;iConf&gt;5&lt;/iConf&gt;
&lt;converted&gt;福岡県福岡市東区美和台&lt;/converted&gt;
&lt;candidate&gt;
&lt;address&gt;福岡県/福岡市/東区/美和台&lt;/address&gt;
&lt;longitude&gt;130.431839&lt;/longitude&gt;
&lt;latitude&gt;33.699001&lt;/latitude&gt;
&lt;iLvl&gt;5&lt;/iLvl&gt;
&lt;/candidate&gt;
&lt;/results&gt;
</v>
      </c>
      <c r="F166" cm="1">
        <f t="array" ref="F166">INDEX(_xlfn.FILTERXML(E166,"//latitude"),1)</f>
        <v>33.699001000000003</v>
      </c>
      <c r="G166" cm="1">
        <f t="array" ref="G166">INDEX(_xlfn.FILTERXML(E166,"//longitude"),1)</f>
        <v>130.431839</v>
      </c>
      <c r="H166">
        <v>33.699001000000003</v>
      </c>
      <c r="I166">
        <v>130.431839</v>
      </c>
    </row>
    <row r="167" spans="1:9" x14ac:dyDescent="0.4">
      <c r="A167" t="s">
        <v>24</v>
      </c>
      <c r="B167" t="s">
        <v>204</v>
      </c>
      <c r="C167" t="str">
        <f t="shared" si="23"/>
        <v>静岡県焼津市</v>
      </c>
      <c r="D167" s="2" t="str">
        <f t="shared" si="24"/>
        <v>http://geocode.csis.u-tokyo.ac.jp/cgi-bin/simple_geocode.cgi?charset=UTF8&amp;addr=%E9%9D%99%E5%B2%A1%E7%9C%8C%E7%84%BC%E6%B4%A5%E5%B8%82</v>
      </c>
      <c r="E167" t="str">
        <f t="shared" si="25"/>
        <v xml:space="preserve">&lt;?xml version="1.0" encoding="UTF-8" ?&gt;
&lt;results&gt;
&lt;query&gt;静岡県焼津市&lt;/query&gt;
&lt;geodetic&gt;wgs1984&lt;/geodetic&gt;
&lt;iConf&gt;5&lt;/iConf&gt;
&lt;converted&gt;静岡県焼津市&lt;/converted&gt;
&lt;candidate&gt;
&lt;address&gt;静岡県/焼津市&lt;/address&gt;
&lt;longitude&gt;138.323257&lt;/longitude&gt;
&lt;latitude&gt;34.866905&lt;/latitude&gt;
&lt;iLvl&gt;3&lt;/iLvl&gt;
&lt;/candidate&gt;
&lt;/results&gt;
</v>
      </c>
      <c r="F167" cm="1">
        <f t="array" ref="F167">INDEX(_xlfn.FILTERXML(E167,"//latitude"),1)</f>
        <v>34.866905000000003</v>
      </c>
      <c r="G167" cm="1">
        <f t="array" ref="G167">INDEX(_xlfn.FILTERXML(E167,"//longitude"),1)</f>
        <v>138.32325700000001</v>
      </c>
      <c r="H167">
        <v>34.866905000000003</v>
      </c>
      <c r="I167">
        <v>138.32325700000001</v>
      </c>
    </row>
    <row r="168" spans="1:9" x14ac:dyDescent="0.4">
      <c r="A168" t="s">
        <v>10</v>
      </c>
      <c r="B168" t="s">
        <v>205</v>
      </c>
      <c r="C168" t="str">
        <f t="shared" si="23"/>
        <v>神奈川県横浜市旭区四季美台</v>
      </c>
      <c r="D168" s="2" t="str">
        <f t="shared" si="24"/>
        <v>http://geocode.csis.u-tokyo.ac.jp/cgi-bin/simple_geocode.cgi?charset=UTF8&amp;addr=%E7%A5%9E%E5%A5%88%E5%B7%9D%E7%9C%8C%E6%A8%AA%E6%B5%9C%E5%B8%82%E6%97%AD%E5%8C%BA%E5%9B%9B%E5%AD%A3%E7%BE%8E%E5%8F%B0</v>
      </c>
      <c r="E168" t="str">
        <f t="shared" si="25"/>
        <v xml:space="preserve">&lt;?xml version="1.0" encoding="UTF-8" ?&gt;
&lt;results&gt;
&lt;query&gt;神奈川県横浜市旭区四季美台&lt;/query&gt;
&lt;geodetic&gt;wgs1984&lt;/geodetic&gt;
&lt;iConf&gt;5&lt;/iConf&gt;
&lt;converted&gt;神奈川県横浜市旭区四季美台&lt;/converted&gt;
&lt;candidate&gt;
&lt;address&gt;神奈川県/横浜市/旭区/四季美台&lt;/address&gt;
&lt;longitude&gt;139.538208&lt;/longitude&gt;
&lt;latitude&gt;35.472000&lt;/latitude&gt;
&lt;iLvl&gt;5&lt;/iLvl&gt;
&lt;/candidate&gt;
&lt;/results&gt;
</v>
      </c>
      <c r="F168" cm="1">
        <f t="array" ref="F168">INDEX(_xlfn.FILTERXML(E168,"//latitude"),1)</f>
        <v>35.472000000000001</v>
      </c>
      <c r="G168" cm="1">
        <f t="array" ref="G168">INDEX(_xlfn.FILTERXML(E168,"//longitude"),1)</f>
        <v>139.538208</v>
      </c>
      <c r="H168">
        <v>35.472000000000001</v>
      </c>
      <c r="I168">
        <v>139.538208</v>
      </c>
    </row>
    <row r="169" spans="1:9" x14ac:dyDescent="0.4">
      <c r="A169" t="s">
        <v>31</v>
      </c>
      <c r="B169" t="s">
        <v>206</v>
      </c>
      <c r="C169" t="str">
        <f t="shared" si="23"/>
        <v>北海道室蘭市</v>
      </c>
      <c r="D169" s="2" t="str">
        <f t="shared" si="24"/>
        <v>http://geocode.csis.u-tokyo.ac.jp/cgi-bin/simple_geocode.cgi?charset=UTF8&amp;addr=%E5%8C%97%E6%B5%B7%E9%81%93%E5%AE%A4%E8%98%AD%E5%B8%82</v>
      </c>
      <c r="E169" t="str">
        <f t="shared" si="25"/>
        <v xml:space="preserve">&lt;?xml version="1.0" encoding="UTF-8" ?&gt;
&lt;results&gt;
&lt;query&gt;北海道室蘭市&lt;/query&gt;
&lt;geodetic&gt;wgs1984&lt;/geodetic&gt;
&lt;iConf&gt;5&lt;/iConf&gt;
&lt;converted&gt;北海道室蘭市&lt;/converted&gt;
&lt;candidate&gt;
&lt;address&gt;北海道/室蘭市&lt;/address&gt;
&lt;longitude&gt;140.973785&lt;/longitude&gt;
&lt;latitude&gt;42.315205&lt;/latitude&gt;
&lt;iLvl&gt;3&lt;/iLvl&gt;
&lt;/candidate&gt;
&lt;/results&gt;
</v>
      </c>
      <c r="F169" cm="1">
        <f t="array" ref="F169">INDEX(_xlfn.FILTERXML(E169,"//latitude"),1)</f>
        <v>42.315204999999999</v>
      </c>
      <c r="G169" cm="1">
        <f t="array" ref="G169">INDEX(_xlfn.FILTERXML(E169,"//longitude"),1)</f>
        <v>140.97378499999999</v>
      </c>
      <c r="H169">
        <v>42.315204999999999</v>
      </c>
      <c r="I169">
        <v>140.97378499999999</v>
      </c>
    </row>
    <row r="170" spans="1:9" x14ac:dyDescent="0.4">
      <c r="A170" t="s">
        <v>148</v>
      </c>
      <c r="B170" t="s">
        <v>149</v>
      </c>
      <c r="C170" t="str">
        <f t="shared" si="23"/>
        <v>愛媛県松山市</v>
      </c>
      <c r="D170" s="2" t="str">
        <f t="shared" si="24"/>
        <v>http://geocode.csis.u-tokyo.ac.jp/cgi-bin/simple_geocode.cgi?charset=UTF8&amp;addr=%E6%84%9B%E5%AA%9B%E7%9C%8C%E6%9D%BE%E5%B1%B1%E5%B8%82</v>
      </c>
      <c r="E170" t="str">
        <f t="shared" si="25"/>
        <v xml:space="preserve">&lt;?xml version="1.0" encoding="UTF-8" ?&gt;
&lt;results&gt;
&lt;query&gt;愛媛県松山市&lt;/query&gt;
&lt;geodetic&gt;wgs1984&lt;/geodetic&gt;
&lt;iConf&gt;5&lt;/iConf&gt;
&lt;converted&gt;愛媛県松山市&lt;/converted&gt;
&lt;candidate&gt;
&lt;address&gt;愛媛県/松山市&lt;/address&gt;
&lt;longitude&gt;132.765549&lt;/longitude&gt;
&lt;latitude&gt;33.839157&lt;/latitude&gt;
&lt;iLvl&gt;3&lt;/iLvl&gt;
&lt;/candidate&gt;
&lt;/results&gt;
</v>
      </c>
      <c r="F170" cm="1">
        <f t="array" ref="F170">INDEX(_xlfn.FILTERXML(E170,"//latitude"),1)</f>
        <v>33.839157</v>
      </c>
      <c r="G170" cm="1">
        <f t="array" ref="G170">INDEX(_xlfn.FILTERXML(E170,"//longitude"),1)</f>
        <v>132.76554899999999</v>
      </c>
      <c r="H170">
        <v>33.839157</v>
      </c>
      <c r="I170">
        <v>132.76554899999999</v>
      </c>
    </row>
    <row r="171" spans="1:9" x14ac:dyDescent="0.4">
      <c r="A171" t="s">
        <v>9</v>
      </c>
      <c r="B171" t="s">
        <v>392</v>
      </c>
      <c r="C171" t="str">
        <f t="shared" si="23"/>
        <v>東京都墨田区石原</v>
      </c>
      <c r="D171" s="2" t="str">
        <f t="shared" si="24"/>
        <v>http://geocode.csis.u-tokyo.ac.jp/cgi-bin/simple_geocode.cgi?charset=UTF8&amp;addr=%E6%9D%B1%E4%BA%AC%E9%83%BD%E5%A2%A8%E7%94%B0%E5%8C%BA%E7%9F%B3%E5%8E%9F</v>
      </c>
      <c r="E171" t="str">
        <f t="shared" si="25"/>
        <v xml:space="preserve">&lt;?xml version="1.0" encoding="UTF-8" ?&gt;
&lt;results&gt;
&lt;query&gt;東京都墨田区石原&lt;/query&gt;
&lt;geodetic&gt;wgs1984&lt;/geodetic&gt;
&lt;iConf&gt;5&lt;/iConf&gt;
&lt;converted&gt;東京都墨田区石原&lt;/converted&gt;
&lt;candidate&gt;
&lt;address&gt;東京都/墨田区/石原&lt;/address&gt;
&lt;longitude&gt;139.798523&lt;/longitude&gt;
&lt;latitude&gt;35.700329&lt;/latitude&gt;
&lt;iLvl&gt;5&lt;/iLvl&gt;
&lt;/candidate&gt;
&lt;/results&gt;
</v>
      </c>
      <c r="F171" cm="1">
        <f t="array" ref="F171">INDEX(_xlfn.FILTERXML(E171,"//latitude"),1)</f>
        <v>35.700329000000004</v>
      </c>
      <c r="G171" cm="1">
        <f t="array" ref="G171">INDEX(_xlfn.FILTERXML(E171,"//longitude"),1)</f>
        <v>139.79852299999999</v>
      </c>
      <c r="H171" s="3">
        <v>35.700329000000004</v>
      </c>
      <c r="I171" s="3">
        <v>139.79852299999999</v>
      </c>
    </row>
    <row r="172" spans="1:9" x14ac:dyDescent="0.4">
      <c r="A172" t="s">
        <v>17</v>
      </c>
      <c r="B172" t="s">
        <v>207</v>
      </c>
      <c r="C172" t="str">
        <f t="shared" si="23"/>
        <v>滋賀県草津市</v>
      </c>
      <c r="D172" s="2" t="str">
        <f t="shared" si="24"/>
        <v>http://geocode.csis.u-tokyo.ac.jp/cgi-bin/simple_geocode.cgi?charset=UTF8&amp;addr=%E6%BB%8B%E8%B3%80%E7%9C%8C%E8%8D%89%E6%B4%A5%E5%B8%82</v>
      </c>
      <c r="E172" t="str">
        <f t="shared" si="25"/>
        <v xml:space="preserve">&lt;?xml version="1.0" encoding="UTF-8" ?&gt;
&lt;results&gt;
&lt;query&gt;滋賀県草津市&lt;/query&gt;
&lt;geodetic&gt;wgs1984&lt;/geodetic&gt;
&lt;iConf&gt;5&lt;/iConf&gt;
&lt;converted&gt;滋賀県草津市&lt;/converted&gt;
&lt;candidate&gt;
&lt;address&gt;滋賀県/草津市&lt;/address&gt;
&lt;longitude&gt;135.959991&lt;/longitude&gt;
&lt;latitude&gt;35.013123&lt;/latitude&gt;
&lt;iLvl&gt;3&lt;/iLvl&gt;
&lt;/candidate&gt;
&lt;/results&gt;
</v>
      </c>
      <c r="F172" cm="1">
        <f t="array" ref="F172">INDEX(_xlfn.FILTERXML(E172,"//latitude"),1)</f>
        <v>35.013123</v>
      </c>
      <c r="G172" cm="1">
        <f t="array" ref="G172">INDEX(_xlfn.FILTERXML(E172,"//longitude"),1)</f>
        <v>135.959991</v>
      </c>
      <c r="H172">
        <v>35.013123</v>
      </c>
      <c r="I172">
        <v>135.959991</v>
      </c>
    </row>
    <row r="173" spans="1:9" x14ac:dyDescent="0.4">
      <c r="A173" t="s">
        <v>15</v>
      </c>
      <c r="B173" t="s">
        <v>402</v>
      </c>
      <c r="C173" t="str">
        <f t="shared" si="23"/>
        <v>愛知県一宮市千秋町小山字一町畑</v>
      </c>
      <c r="D173" s="2" t="str">
        <f t="shared" si="24"/>
        <v>http://geocode.csis.u-tokyo.ac.jp/cgi-bin/simple_geocode.cgi?charset=UTF8&amp;addr=%E6%84%9B%E7%9F%A5%E7%9C%8C%E4%B8%80%E5%AE%AE%E5%B8%82%E5%8D%83%E7%A7%8B%E7%94%BA%E5%B0%8F%E5%B1%B1%E5%AD%97%E4%B8%80%E7%94%BA%E7%95%91</v>
      </c>
      <c r="E173" t="str">
        <f t="shared" si="25"/>
        <v xml:space="preserve">&lt;?xml version="1.0" encoding="UTF-8" ?&gt;
&lt;results&gt;
&lt;query&gt;愛知県一宮市千秋町小山字一町畑&lt;/query&gt;
&lt;geodetic&gt;wgs1984&lt;/geodetic&gt;
&lt;iConf&gt;5&lt;/iConf&gt;
&lt;converted&gt;愛知県一宮市千秋町小山字一町畑&lt;/converted&gt;
&lt;candidate&gt;
&lt;address&gt;愛知県/一宮市/千秋町小山/一町畑&lt;/address&gt;
&lt;longitude&gt;136.850845&lt;/longitude&gt;
&lt;latitude&gt;35.291817&lt;/latitude&gt;
&lt;iLvl&gt;6&lt;/iLvl&gt;
&lt;/candidate&gt;
&lt;/results&gt;
</v>
      </c>
      <c r="F173" cm="1">
        <f t="array" ref="F173">INDEX(_xlfn.FILTERXML(E173,"//latitude"),1)</f>
        <v>35.291817000000002</v>
      </c>
      <c r="G173" cm="1">
        <f t="array" ref="G173">INDEX(_xlfn.FILTERXML(E173,"//longitude"),1)</f>
        <v>136.85084499999999</v>
      </c>
      <c r="H173">
        <v>35.291817000000002</v>
      </c>
      <c r="I173">
        <v>136.85084499999999</v>
      </c>
    </row>
    <row r="174" spans="1:9" x14ac:dyDescent="0.4">
      <c r="A174" t="s">
        <v>148</v>
      </c>
      <c r="B174" t="s">
        <v>208</v>
      </c>
      <c r="C174" t="str">
        <f t="shared" si="23"/>
        <v>愛媛県八幡浜市</v>
      </c>
      <c r="D174" s="2" t="str">
        <f t="shared" si="24"/>
        <v>http://geocode.csis.u-tokyo.ac.jp/cgi-bin/simple_geocode.cgi?charset=UTF8&amp;addr=%E6%84%9B%E5%AA%9B%E7%9C%8C%E5%85%AB%E5%B9%A1%E6%B5%9C%E5%B8%82</v>
      </c>
      <c r="E174" t="str">
        <f t="shared" si="25"/>
        <v xml:space="preserve">&lt;?xml version="1.0" encoding="UTF-8" ?&gt;
&lt;results&gt;
&lt;query&gt;愛媛県八幡浜市&lt;/query&gt;
&lt;geodetic&gt;wgs1984&lt;/geodetic&gt;
&lt;iConf&gt;5&lt;/iConf&gt;
&lt;converted&gt;愛媛県八幡浜市&lt;/converted&gt;
&lt;candidate&gt;
&lt;address&gt;愛媛県/八幡浜市&lt;/address&gt;
&lt;longitude&gt;132.423340&lt;/longitude&gt;
&lt;latitude&gt;33.462898&lt;/latitude&gt;
&lt;iLvl&gt;3&lt;/iLvl&gt;
&lt;/candidate&gt;
&lt;/results&gt;
</v>
      </c>
      <c r="F174" cm="1">
        <f t="array" ref="F174">INDEX(_xlfn.FILTERXML(E174,"//latitude"),1)</f>
        <v>33.462898000000003</v>
      </c>
      <c r="G174" cm="1">
        <f t="array" ref="G174">INDEX(_xlfn.FILTERXML(E174,"//longitude"),1)</f>
        <v>132.42334</v>
      </c>
      <c r="H174">
        <v>33.462898000000003</v>
      </c>
      <c r="I174">
        <v>132.42334</v>
      </c>
    </row>
    <row r="175" spans="1:9" x14ac:dyDescent="0.4">
      <c r="A175" t="s">
        <v>9</v>
      </c>
      <c r="B175" t="s">
        <v>209</v>
      </c>
      <c r="C175" t="str">
        <f t="shared" si="23"/>
        <v>東京都昭島市</v>
      </c>
      <c r="D175" s="2" t="str">
        <f t="shared" si="24"/>
        <v>http://geocode.csis.u-tokyo.ac.jp/cgi-bin/simple_geocode.cgi?charset=UTF8&amp;addr=%E6%9D%B1%E4%BA%AC%E9%83%BD%E6%98%AD%E5%B3%B6%E5%B8%82</v>
      </c>
      <c r="E175" t="str">
        <f t="shared" si="25"/>
        <v xml:space="preserve">&lt;?xml version="1.0" encoding="UTF-8" ?&gt;
&lt;results&gt;
&lt;query&gt;東京都昭島市&lt;/query&gt;
&lt;geodetic&gt;wgs1984&lt;/geodetic&gt;
&lt;iConf&gt;5&lt;/iConf&gt;
&lt;converted&gt;東京都昭島市&lt;/converted&gt;
&lt;candidate&gt;
&lt;address&gt;東京都/昭島市&lt;/address&gt;
&lt;longitude&gt;139.353775&lt;/longitude&gt;
&lt;latitude&gt;35.705704&lt;/latitude&gt;
&lt;iLvl&gt;3&lt;/iLvl&gt;
&lt;/candidate&gt;
&lt;/results&gt;
</v>
      </c>
      <c r="F175" cm="1">
        <f t="array" ref="F175">INDEX(_xlfn.FILTERXML(E175,"//latitude"),1)</f>
        <v>35.705703999999997</v>
      </c>
      <c r="G175" cm="1">
        <f t="array" ref="G175">INDEX(_xlfn.FILTERXML(E175,"//longitude"),1)</f>
        <v>139.35377500000001</v>
      </c>
      <c r="H175">
        <v>35.705703999999997</v>
      </c>
      <c r="I175">
        <v>139.35377500000001</v>
      </c>
    </row>
    <row r="176" spans="1:9" x14ac:dyDescent="0.4">
      <c r="A176" t="s">
        <v>9</v>
      </c>
      <c r="B176" t="s">
        <v>405</v>
      </c>
      <c r="C176" t="str">
        <f t="shared" si="23"/>
        <v>東京都大田区南千束</v>
      </c>
      <c r="D176" s="2" t="str">
        <f t="shared" si="24"/>
        <v>http://geocode.csis.u-tokyo.ac.jp/cgi-bin/simple_geocode.cgi?charset=UTF8&amp;addr=%E6%9D%B1%E4%BA%AC%E9%83%BD%E5%A4%A7%E7%94%B0%E5%8C%BA%E5%8D%97%E5%8D%83%E6%9D%9F</v>
      </c>
      <c r="E176" t="str">
        <f t="shared" si="25"/>
        <v xml:space="preserve">&lt;?xml version="1.0" encoding="UTF-8" ?&gt;
&lt;results&gt;
&lt;query&gt;東京都大田区南千束&lt;/query&gt;
&lt;geodetic&gt;wgs1984&lt;/geodetic&gt;
&lt;iConf&gt;5&lt;/iConf&gt;
&lt;converted&gt;東京都大田区南千束&lt;/converted&gt;
&lt;candidate&gt;
&lt;address&gt;東京都/大田区/南千束&lt;/address&gt;
&lt;longitude&gt;139.694168&lt;/longitude&gt;
&lt;latitude&gt;35.603043&lt;/latitude&gt;
&lt;iLvl&gt;5&lt;/iLvl&gt;
&lt;/candidate&gt;
&lt;/results&gt;
</v>
      </c>
      <c r="F176" cm="1">
        <f t="array" ref="F176">INDEX(_xlfn.FILTERXML(E176,"//latitude"),1)</f>
        <v>35.603043</v>
      </c>
      <c r="G176" cm="1">
        <f t="array" ref="G176">INDEX(_xlfn.FILTERXML(E176,"//longitude"),1)</f>
        <v>139.69416799999999</v>
      </c>
      <c r="H176">
        <v>35.603043</v>
      </c>
      <c r="I176">
        <v>139.69416799999999</v>
      </c>
    </row>
    <row r="177" spans="1:9" x14ac:dyDescent="0.4">
      <c r="A177" t="s">
        <v>9</v>
      </c>
      <c r="B177" t="s">
        <v>210</v>
      </c>
      <c r="C177" t="str">
        <f t="shared" si="23"/>
        <v>東京都港区</v>
      </c>
      <c r="D177" s="2" t="str">
        <f t="shared" si="24"/>
        <v>http://geocode.csis.u-tokyo.ac.jp/cgi-bin/simple_geocode.cgi?charset=UTF8&amp;addr=%E6%9D%B1%E4%BA%AC%E9%83%BD%E6%B8%AF%E5%8C%BA</v>
      </c>
      <c r="E177" t="str">
        <f t="shared" si="25"/>
        <v xml:space="preserve">&lt;?xml version="1.0" encoding="UTF-8" ?&gt;
&lt;results&gt;
&lt;query&gt;東京都港区&lt;/query&gt;
&lt;geodetic&gt;wgs1984&lt;/geodetic&gt;
&lt;iConf&gt;5&lt;/iConf&gt;
&lt;converted&gt;東京都港区&lt;/converted&gt;
&lt;candidate&gt;
&lt;address&gt;東京都/港区&lt;/address&gt;
&lt;longitude&gt;139.751602&lt;/longitude&gt;
&lt;latitude&gt;35.658070&lt;/latitude&gt;
&lt;iLvl&gt;3&lt;/iLvl&gt;
&lt;/candidate&gt;
&lt;/results&gt;
</v>
      </c>
      <c r="F177" cm="1">
        <f t="array" ref="F177">INDEX(_xlfn.FILTERXML(E177,"//latitude"),1)</f>
        <v>35.658070000000002</v>
      </c>
      <c r="G177" cm="1">
        <f t="array" ref="G177">INDEX(_xlfn.FILTERXML(E177,"//longitude"),1)</f>
        <v>139.75160199999999</v>
      </c>
      <c r="H177">
        <v>35.658070000000002</v>
      </c>
      <c r="I177">
        <v>139.75160199999999</v>
      </c>
    </row>
    <row r="178" spans="1:9" x14ac:dyDescent="0.4">
      <c r="A178" t="s">
        <v>16</v>
      </c>
      <c r="B178" t="s">
        <v>69</v>
      </c>
      <c r="C178" t="str">
        <f t="shared" si="23"/>
        <v>千葉県富津市</v>
      </c>
      <c r="D178" s="2" t="str">
        <f t="shared" si="24"/>
        <v>http://geocode.csis.u-tokyo.ac.jp/cgi-bin/simple_geocode.cgi?charset=UTF8&amp;addr=%E5%8D%83%E8%91%89%E7%9C%8C%E5%AF%8C%E6%B4%A5%E5%B8%82</v>
      </c>
      <c r="E178" t="str">
        <f t="shared" si="25"/>
        <v xml:space="preserve">&lt;?xml version="1.0" encoding="UTF-8" ?&gt;
&lt;results&gt;
&lt;query&gt;千葉県富津市&lt;/query&gt;
&lt;geodetic&gt;wgs1984&lt;/geodetic&gt;
&lt;iConf&gt;5&lt;/iConf&gt;
&lt;converted&gt;千葉県富津市&lt;/converted&gt;
&lt;candidate&gt;
&lt;address&gt;千葉県/富津市&lt;/address&gt;
&lt;longitude&gt;139.857117&lt;/longitude&gt;
&lt;latitude&gt;35.304138&lt;/latitude&gt;
&lt;iLvl&gt;3&lt;/iLvl&gt;
&lt;/candidate&gt;
&lt;/results&gt;
</v>
      </c>
      <c r="F178" cm="1">
        <f t="array" ref="F178">INDEX(_xlfn.FILTERXML(E178,"//latitude"),1)</f>
        <v>35.304138000000002</v>
      </c>
      <c r="G178" cm="1">
        <f t="array" ref="G178">INDEX(_xlfn.FILTERXML(E178,"//longitude"),1)</f>
        <v>139.85711699999999</v>
      </c>
      <c r="H178">
        <v>35.304138000000002</v>
      </c>
      <c r="I178">
        <v>139.85711699999999</v>
      </c>
    </row>
    <row r="179" spans="1:9" x14ac:dyDescent="0.4">
      <c r="A179" t="s">
        <v>9</v>
      </c>
      <c r="B179" t="s">
        <v>564</v>
      </c>
      <c r="C179" t="str">
        <f t="shared" si="23"/>
        <v>東京都世田谷区等々力</v>
      </c>
      <c r="D179" s="2" t="str">
        <f t="shared" si="24"/>
        <v>http://geocode.csis.u-tokyo.ac.jp/cgi-bin/simple_geocode.cgi?charset=UTF8&amp;addr=%E6%9D%B1%E4%BA%AC%E9%83%BD%E4%B8%96%E7%94%B0%E8%B0%B7%E5%8C%BA%E7%AD%89%E3%80%85%E5%8A%9B</v>
      </c>
      <c r="E179" t="str">
        <f t="shared" si="25"/>
        <v xml:space="preserve">&lt;?xml version="1.0" encoding="UTF-8" ?&gt;
&lt;results&gt;
&lt;query&gt;東京都世田谷区等々力&lt;/query&gt;
&lt;geodetic&gt;wgs1984&lt;/geodetic&gt;
&lt;iConf&gt;5&lt;/iConf&gt;
&lt;converted&gt;東京都世田谷区等々力&lt;/converted&gt;
&lt;candidate&gt;
&lt;address&gt;東京都/世田谷区/等々力&lt;/address&gt;
&lt;longitude&gt;139.648636&lt;/longitude&gt;
&lt;latitude&gt;35.602623&lt;/latitude&gt;
&lt;iLvl&gt;5&lt;/iLvl&gt;
&lt;/candidate&gt;
&lt;/results&gt;
</v>
      </c>
      <c r="F179" cm="1">
        <f t="array" ref="F179">INDEX(_xlfn.FILTERXML(E179,"//latitude"),1)</f>
        <v>35.602623000000001</v>
      </c>
      <c r="G179" cm="1">
        <f t="array" ref="G179">INDEX(_xlfn.FILTERXML(E179,"//longitude"),1)</f>
        <v>139.64863600000001</v>
      </c>
      <c r="H179">
        <v>35.602623000000001</v>
      </c>
      <c r="I179">
        <v>139.64863600000001</v>
      </c>
    </row>
    <row r="180" spans="1:9" x14ac:dyDescent="0.4">
      <c r="A180" t="s">
        <v>16</v>
      </c>
      <c r="B180" t="s">
        <v>45</v>
      </c>
      <c r="C180" t="str">
        <f t="shared" si="23"/>
        <v>千葉県我孫子市</v>
      </c>
      <c r="D180" s="2" t="str">
        <f t="shared" si="24"/>
        <v>http://geocode.csis.u-tokyo.ac.jp/cgi-bin/simple_geocode.cgi?charset=UTF8&amp;addr=%E5%8D%83%E8%91%89%E7%9C%8C%E6%88%91%E5%AD%AB%E5%AD%90%E5%B8%82</v>
      </c>
      <c r="E180" t="str">
        <f t="shared" si="25"/>
        <v xml:space="preserve">&lt;?xml version="1.0" encoding="UTF-8" ?&gt;
&lt;results&gt;
&lt;query&gt;千葉県我孫子市&lt;/query&gt;
&lt;geodetic&gt;wgs1984&lt;/geodetic&gt;
&lt;iConf&gt;5&lt;/iConf&gt;
&lt;converted&gt;千葉県我孫子市&lt;/converted&gt;
&lt;candidate&gt;
&lt;address&gt;千葉県/我孫子市&lt;/address&gt;
&lt;longitude&gt;140.028229&lt;/longitude&gt;
&lt;latitude&gt;35.864162&lt;/latitude&gt;
&lt;iLvl&gt;3&lt;/iLvl&gt;
&lt;/candidate&gt;
&lt;/results&gt;
</v>
      </c>
      <c r="F180" cm="1">
        <f t="array" ref="F180">INDEX(_xlfn.FILTERXML(E180,"//latitude"),1)</f>
        <v>35.864162</v>
      </c>
      <c r="G180" cm="1">
        <f t="array" ref="G180">INDEX(_xlfn.FILTERXML(E180,"//longitude"),1)</f>
        <v>140.02822900000001</v>
      </c>
      <c r="H180">
        <v>35.864162</v>
      </c>
      <c r="I180">
        <v>140.02822900000001</v>
      </c>
    </row>
    <row r="181" spans="1:9" x14ac:dyDescent="0.4">
      <c r="A181" t="s">
        <v>9</v>
      </c>
      <c r="B181" t="s">
        <v>565</v>
      </c>
      <c r="C181" t="str">
        <f t="shared" si="23"/>
        <v>東京都北区滝野川</v>
      </c>
      <c r="D181" s="2" t="str">
        <f t="shared" si="24"/>
        <v>http://geocode.csis.u-tokyo.ac.jp/cgi-bin/simple_geocode.cgi?charset=UTF8&amp;addr=%E6%9D%B1%E4%BA%AC%E9%83%BD%E5%8C%97%E5%8C%BA%E6%BB%9D%E9%87%8E%E5%B7%9D</v>
      </c>
      <c r="E181" t="str">
        <f t="shared" si="25"/>
        <v xml:space="preserve">&lt;?xml version="1.0" encoding="UTF-8" ?&gt;
&lt;results&gt;
&lt;query&gt;東京都北区滝野川&lt;/query&gt;
&lt;geodetic&gt;wgs1984&lt;/geodetic&gt;
&lt;iConf&gt;5&lt;/iConf&gt;
&lt;converted&gt;東京都北区滝野川&lt;/converted&gt;
&lt;candidate&gt;
&lt;address&gt;東京都/北区/滝野川&lt;/address&gt;
&lt;longitude&gt;139.735580&lt;/longitude&gt;
&lt;latitude&gt;35.747856&lt;/latitude&gt;
&lt;iLvl&gt;5&lt;/iLvl&gt;
&lt;/candidate&gt;
&lt;/results&gt;
</v>
      </c>
      <c r="F181" cm="1">
        <f t="array" ref="F181">INDEX(_xlfn.FILTERXML(E181,"//latitude"),1)</f>
        <v>35.747855999999999</v>
      </c>
      <c r="G181" cm="1">
        <f t="array" ref="G181">INDEX(_xlfn.FILTERXML(E181,"//longitude"),1)</f>
        <v>139.73558</v>
      </c>
      <c r="H181">
        <v>35.747855999999999</v>
      </c>
      <c r="I181">
        <v>139.73558</v>
      </c>
    </row>
    <row r="182" spans="1:9" x14ac:dyDescent="0.4">
      <c r="A182" t="s">
        <v>15</v>
      </c>
      <c r="B182" t="s">
        <v>211</v>
      </c>
      <c r="C182" t="str">
        <f t="shared" si="23"/>
        <v>愛知県豊田市</v>
      </c>
      <c r="D182" s="2" t="str">
        <f t="shared" si="24"/>
        <v>http://geocode.csis.u-tokyo.ac.jp/cgi-bin/simple_geocode.cgi?charset=UTF8&amp;addr=%E6%84%9B%E7%9F%A5%E7%9C%8C%E8%B1%8A%E7%94%B0%E5%B8%82</v>
      </c>
      <c r="E182" t="str">
        <f t="shared" si="25"/>
        <v xml:space="preserve">&lt;?xml version="1.0" encoding="UTF-8" ?&gt;
&lt;results&gt;
&lt;query&gt;愛知県豊田市&lt;/query&gt;
&lt;geodetic&gt;wgs1984&lt;/geodetic&gt;
&lt;iConf&gt;5&lt;/iConf&gt;
&lt;converted&gt;愛知県豊田市&lt;/converted&gt;
&lt;candidate&gt;
&lt;address&gt;愛知県/豊田市&lt;/address&gt;
&lt;longitude&gt;137.156219&lt;/longitude&gt;
&lt;latitude&gt;35.082344&lt;/latitude&gt;
&lt;iLvl&gt;3&lt;/iLvl&gt;
&lt;/candidate&gt;
&lt;/results&gt;
</v>
      </c>
      <c r="F182" cm="1">
        <f t="array" ref="F182">INDEX(_xlfn.FILTERXML(E182,"//latitude"),1)</f>
        <v>35.082343999999999</v>
      </c>
      <c r="G182" cm="1">
        <f t="array" ref="G182">INDEX(_xlfn.FILTERXML(E182,"//longitude"),1)</f>
        <v>137.15621899999999</v>
      </c>
      <c r="H182">
        <v>35.082343999999999</v>
      </c>
      <c r="I182">
        <v>137.15621899999999</v>
      </c>
    </row>
    <row r="183" spans="1:9" x14ac:dyDescent="0.4">
      <c r="A183" t="s">
        <v>18</v>
      </c>
      <c r="B183" t="s">
        <v>46</v>
      </c>
      <c r="C183" t="str">
        <f t="shared" si="23"/>
        <v>茨城県芳賀郡益子町七井中央</v>
      </c>
      <c r="D183" s="2" t="str">
        <f t="shared" si="24"/>
        <v>http://geocode.csis.u-tokyo.ac.jp/cgi-bin/simple_geocode.cgi?charset=UTF8&amp;addr=%E8%8C%A8%E5%9F%8E%E7%9C%8C%E8%8A%B3%E8%B3%80%E9%83%A1%E7%9B%8A%E5%AD%90%E7%94%BA%E4%B8%83%E4%BA%95%E4%B8%AD%E5%A4%AE</v>
      </c>
      <c r="E183" t="str">
        <f t="shared" si="25"/>
        <v xml:space="preserve">&lt;?xml version="1.0" encoding="UTF-8" ?&gt;
&lt;results&gt;
&lt;query&gt;茨城県芳賀郡益子町七井中央&lt;/query&gt;
&lt;geodetic&gt;wgs1984&lt;/geodetic&gt;
&lt;iConf&gt;3&lt;/iConf&gt;
&lt;converted&gt;茨城県&lt;/converted&gt;
&lt;candidate&gt;
&lt;address&gt;茨城県&lt;/address&gt;
&lt;longitude&gt;140.471222&lt;/longitude&gt;
&lt;latitude&gt;36.365860&lt;/latitude&gt;
&lt;iLvl&gt;1&lt;/iLvl&gt;
&lt;/candidate&gt;
&lt;/results&gt;
</v>
      </c>
      <c r="F183" cm="1">
        <f t="array" ref="F183">INDEX(_xlfn.FILTERXML(E183,"//latitude"),1)</f>
        <v>36.365859999999998</v>
      </c>
      <c r="G183" cm="1">
        <f t="array" ref="G183">INDEX(_xlfn.FILTERXML(E183,"//longitude"),1)</f>
        <v>140.47122200000001</v>
      </c>
      <c r="H183">
        <v>36.365859999999998</v>
      </c>
      <c r="I183">
        <v>140.47122200000001</v>
      </c>
    </row>
    <row r="184" spans="1:9" x14ac:dyDescent="0.4">
      <c r="A184" t="s">
        <v>23</v>
      </c>
      <c r="B184" t="s">
        <v>64</v>
      </c>
      <c r="C184" t="str">
        <f t="shared" si="23"/>
        <v>京都府京都市西京区下津林南大般若町</v>
      </c>
      <c r="D184" s="2" t="str">
        <f t="shared" si="24"/>
        <v>http://geocode.csis.u-tokyo.ac.jp/cgi-bin/simple_geocode.cgi?charset=UTF8&amp;addr=%E4%BA%AC%E9%83%BD%E5%BA%9C%E4%BA%AC%E9%83%BD%E5%B8%82%E8%A5%BF%E4%BA%AC%E5%8C%BA%E4%B8%8B%E6%B4%A5%E6%9E%97%E5%8D%97%E5%A4%A7%E8%88%AC%E8%8B%A5%E7%94%BA</v>
      </c>
      <c r="E184" t="str">
        <f t="shared" si="25"/>
        <v xml:space="preserve">&lt;?xml version="1.0" encoding="UTF-8" ?&gt;
&lt;results&gt;
&lt;query&gt;京都府京都市西京区下津林南大般若町&lt;/query&gt;
&lt;geodetic&gt;wgs1984&lt;/geodetic&gt;
&lt;iConf&gt;5&lt;/iConf&gt;
&lt;converted&gt;京都府京都市西京区下津林南大般若町&lt;/converted&gt;
&lt;candidate&gt;
&lt;address&gt;京都府/京都市/西京区/下津林南大般若町&lt;/address&gt;
&lt;longitude&gt;135.712555&lt;/longitude&gt;
&lt;latitude&gt;34.974297&lt;/latitude&gt;
&lt;iLvl&gt;5&lt;/iLvl&gt;
&lt;/candidate&gt;
&lt;/results&gt;
</v>
      </c>
      <c r="F184" cm="1">
        <f t="array" ref="F184">INDEX(_xlfn.FILTERXML(E184,"//latitude"),1)</f>
        <v>34.974297</v>
      </c>
      <c r="G184" cm="1">
        <f t="array" ref="G184">INDEX(_xlfn.FILTERXML(E184,"//longitude"),1)</f>
        <v>135.71255500000001</v>
      </c>
      <c r="H184">
        <v>34.974297</v>
      </c>
      <c r="I184">
        <v>135.71255500000001</v>
      </c>
    </row>
    <row r="185" spans="1:9" x14ac:dyDescent="0.4">
      <c r="A185" t="s">
        <v>15</v>
      </c>
      <c r="B185" t="s">
        <v>47</v>
      </c>
      <c r="C185" t="str">
        <f t="shared" si="23"/>
        <v>愛知県常滑市西之口</v>
      </c>
      <c r="D185" s="2" t="str">
        <f t="shared" si="24"/>
        <v>http://geocode.csis.u-tokyo.ac.jp/cgi-bin/simple_geocode.cgi?charset=UTF8&amp;addr=%E6%84%9B%E7%9F%A5%E7%9C%8C%E5%B8%B8%E6%BB%91%E5%B8%82%E8%A5%BF%E4%B9%8B%E5%8F%A3</v>
      </c>
      <c r="E185" t="str">
        <f t="shared" si="25"/>
        <v xml:space="preserve">&lt;?xml version="1.0" encoding="UTF-8" ?&gt;
&lt;results&gt;
&lt;query&gt;愛知県常滑市西之口&lt;/query&gt;
&lt;geodetic&gt;wgs1984&lt;/geodetic&gt;
&lt;iConf&gt;5&lt;/iConf&gt;
&lt;converted&gt;愛知県常滑市西之口&lt;/converted&gt;
&lt;candidate&gt;
&lt;address&gt;愛知県/常滑市/西之口&lt;/address&gt;
&lt;longitude&gt;136.825302&lt;/longitude&gt;
&lt;latitude&gt;34.931282&lt;/latitude&gt;
&lt;iLvl&gt;5&lt;/iLvl&gt;
&lt;/candidate&gt;
&lt;/results&gt;
</v>
      </c>
      <c r="F185" cm="1">
        <f t="array" ref="F185">INDEX(_xlfn.FILTERXML(E185,"//latitude"),1)</f>
        <v>34.931282000000003</v>
      </c>
      <c r="G185" cm="1">
        <f t="array" ref="G185">INDEX(_xlfn.FILTERXML(E185,"//longitude"),1)</f>
        <v>136.82530199999999</v>
      </c>
      <c r="H185">
        <v>34.931282000000003</v>
      </c>
      <c r="I185">
        <v>136.82530199999999</v>
      </c>
    </row>
    <row r="186" spans="1:9" x14ac:dyDescent="0.4">
      <c r="A186" t="s">
        <v>10</v>
      </c>
      <c r="B186" t="s">
        <v>386</v>
      </c>
      <c r="C186" t="str">
        <f t="shared" si="23"/>
        <v>神奈川県鎌倉市稲村ケ崎</v>
      </c>
      <c r="D186" s="2" t="str">
        <f t="shared" si="24"/>
        <v>http://geocode.csis.u-tokyo.ac.jp/cgi-bin/simple_geocode.cgi?charset=UTF8&amp;addr=%E7%A5%9E%E5%A5%88%E5%B7%9D%E7%9C%8C%E9%8E%8C%E5%80%89%E5%B8%82%E7%A8%B2%E6%9D%91%E3%82%B1%E5%B4%8E</v>
      </c>
      <c r="E186" t="str">
        <f t="shared" si="25"/>
        <v xml:space="preserve">&lt;?xml version="1.0" encoding="UTF-8" ?&gt;
&lt;results&gt;
&lt;query&gt;神奈川県鎌倉市稲村ケ崎&lt;/query&gt;
&lt;geodetic&gt;wgs1984&lt;/geodetic&gt;
&lt;iConf&gt;5&lt;/iConf&gt;
&lt;converted&gt;神奈川県鎌倉市稲村ケ崎&lt;/converted&gt;
&lt;candidate&gt;
&lt;address&gt;神奈川県/鎌倉市/稲村ガ崎&lt;/address&gt;
&lt;longitude&gt;139.525574&lt;/longitude&gt;
&lt;latitude&gt;35.304047&lt;/latitude&gt;
&lt;iLvl&gt;5&lt;/iLvl&gt;
&lt;/candidate&gt;
&lt;/results&gt;
</v>
      </c>
      <c r="F186" cm="1">
        <f t="array" ref="F186">INDEX(_xlfn.FILTERXML(E186,"//latitude"),1)</f>
        <v>35.304046999999997</v>
      </c>
      <c r="G186" cm="1">
        <f t="array" ref="G186">INDEX(_xlfn.FILTERXML(E186,"//longitude"),1)</f>
        <v>139.52557400000001</v>
      </c>
      <c r="H186">
        <v>35.304046999999997</v>
      </c>
      <c r="I186">
        <v>139.52557400000001</v>
      </c>
    </row>
    <row r="187" spans="1:9" x14ac:dyDescent="0.4">
      <c r="A187" t="s">
        <v>9</v>
      </c>
      <c r="B187" t="s">
        <v>212</v>
      </c>
      <c r="C187" t="str">
        <f t="shared" si="23"/>
        <v>東京都荒川区荒川５丁目</v>
      </c>
      <c r="D187" s="2" t="str">
        <f t="shared" si="24"/>
        <v>http://geocode.csis.u-tokyo.ac.jp/cgi-bin/simple_geocode.cgi?charset=UTF8&amp;addr=%E6%9D%B1%E4%BA%AC%E9%83%BD%E8%8D%92%E5%B7%9D%E5%8C%BA%E8%8D%92%E5%B7%9D%EF%BC%95%E4%B8%81%E7%9B%AE</v>
      </c>
      <c r="E187" t="str">
        <f t="shared" si="25"/>
        <v xml:space="preserve">&lt;?xml version="1.0" encoding="UTF-8" ?&gt;
&lt;results&gt;
&lt;query&gt;東京都荒川区荒川５丁目&lt;/query&gt;
&lt;geodetic&gt;wgs1984&lt;/geodetic&gt;
&lt;iConf&gt;5&lt;/iConf&gt;
&lt;converted&gt;東京都荒川区荒川５丁目&lt;/converted&gt;
&lt;candidate&gt;
&lt;address&gt;東京都/荒川区/荒川/五丁目&lt;/address&gt;
&lt;longitude&gt;139.775757&lt;/longitude&gt;
&lt;latitude&gt;35.738853&lt;/latitude&gt;
&lt;iLvl&gt;6&lt;/iLvl&gt;
&lt;/candidate&gt;
&lt;/results&gt;
</v>
      </c>
      <c r="F187" cm="1">
        <f t="array" ref="F187">INDEX(_xlfn.FILTERXML(E187,"//latitude"),1)</f>
        <v>35.738852999999999</v>
      </c>
      <c r="G187" cm="1">
        <f t="array" ref="G187">INDEX(_xlfn.FILTERXML(E187,"//longitude"),1)</f>
        <v>139.775757</v>
      </c>
      <c r="H187">
        <v>35.738852999999999</v>
      </c>
      <c r="I187">
        <v>139.775757</v>
      </c>
    </row>
    <row r="188" spans="1:9" x14ac:dyDescent="0.4">
      <c r="A188" t="s">
        <v>9</v>
      </c>
      <c r="B188" t="s">
        <v>161</v>
      </c>
      <c r="C188" t="str">
        <f t="shared" si="23"/>
        <v>東京都練馬区中村南</v>
      </c>
      <c r="D188" s="2" t="str">
        <f t="shared" si="24"/>
        <v>http://geocode.csis.u-tokyo.ac.jp/cgi-bin/simple_geocode.cgi?charset=UTF8&amp;addr=%E6%9D%B1%E4%BA%AC%E9%83%BD%E7%B7%B4%E9%A6%AC%E5%8C%BA%E4%B8%AD%E6%9D%91%E5%8D%97</v>
      </c>
      <c r="E188" t="str">
        <f t="shared" si="25"/>
        <v xml:space="preserve">&lt;?xml version="1.0" encoding="UTF-8" ?&gt;
&lt;results&gt;
&lt;query&gt;東京都練馬区中村南&lt;/query&gt;
&lt;geodetic&gt;wgs1984&lt;/geodetic&gt;
&lt;iConf&gt;5&lt;/iConf&gt;
&lt;converted&gt;東京都練馬区中村南&lt;/converted&gt;
&lt;candidate&gt;
&lt;address&gt;東京都/練馬区/中村南&lt;/address&gt;
&lt;longitude&gt;139.646805&lt;/longitude&gt;
&lt;latitude&gt;35.728279&lt;/latitude&gt;
&lt;iLvl&gt;5&lt;/iLvl&gt;
&lt;/candidate&gt;
&lt;/results&gt;
</v>
      </c>
      <c r="F188" cm="1">
        <f t="array" ref="F188">INDEX(_xlfn.FILTERXML(E188,"//latitude"),1)</f>
        <v>35.728279000000001</v>
      </c>
      <c r="G188" cm="1">
        <f t="array" ref="G188">INDEX(_xlfn.FILTERXML(E188,"//longitude"),1)</f>
        <v>139.646805</v>
      </c>
      <c r="H188">
        <v>35.728279000000001</v>
      </c>
      <c r="I188">
        <v>139.646805</v>
      </c>
    </row>
    <row r="189" spans="1:9" x14ac:dyDescent="0.4">
      <c r="A189" t="s">
        <v>11</v>
      </c>
      <c r="B189" t="s">
        <v>79</v>
      </c>
      <c r="C189" t="str">
        <f t="shared" si="23"/>
        <v>大阪府豊中市</v>
      </c>
      <c r="D189" s="2" t="str">
        <f t="shared" si="24"/>
        <v>http://geocode.csis.u-tokyo.ac.jp/cgi-bin/simple_geocode.cgi?charset=UTF8&amp;addr=%E5%A4%A7%E9%98%AA%E5%BA%9C%E8%B1%8A%E4%B8%AD%E5%B8%82</v>
      </c>
      <c r="E189" t="str">
        <f t="shared" si="25"/>
        <v xml:space="preserve">&lt;?xml version="1.0" encoding="UTF-8" ?&gt;
&lt;results&gt;
&lt;query&gt;大阪府豊中市&lt;/query&gt;
&lt;geodetic&gt;wgs1984&lt;/geodetic&gt;
&lt;iConf&gt;5&lt;/iConf&gt;
&lt;converted&gt;大阪府豊中市&lt;/converted&gt;
&lt;candidate&gt;
&lt;address&gt;大阪府/豊中市&lt;/address&gt;
&lt;longitude&gt;135.469894&lt;/longitude&gt;
&lt;latitude&gt;34.781239&lt;/latitude&gt;
&lt;iLvl&gt;3&lt;/iLvl&gt;
&lt;/candidate&gt;
&lt;/results&gt;
</v>
      </c>
      <c r="F189" cm="1">
        <f t="array" ref="F189">INDEX(_xlfn.FILTERXML(E189,"//latitude"),1)</f>
        <v>34.781238999999999</v>
      </c>
      <c r="G189" cm="1">
        <f t="array" ref="G189">INDEX(_xlfn.FILTERXML(E189,"//longitude"),1)</f>
        <v>135.46989400000001</v>
      </c>
      <c r="H189">
        <v>34.781238999999999</v>
      </c>
      <c r="I189">
        <v>135.46989400000001</v>
      </c>
    </row>
    <row r="190" spans="1:9" x14ac:dyDescent="0.4">
      <c r="A190" t="s">
        <v>11</v>
      </c>
      <c r="B190" t="s">
        <v>213</v>
      </c>
      <c r="C190" t="str">
        <f t="shared" si="23"/>
        <v>大阪府箕面市箕面</v>
      </c>
      <c r="D190" s="2" t="str">
        <f t="shared" si="24"/>
        <v>http://geocode.csis.u-tokyo.ac.jp/cgi-bin/simple_geocode.cgi?charset=UTF8&amp;addr=%E5%A4%A7%E9%98%AA%E5%BA%9C%E7%AE%95%E9%9D%A2%E5%B8%82%E7%AE%95%E9%9D%A2</v>
      </c>
      <c r="E190" t="str">
        <f t="shared" si="25"/>
        <v xml:space="preserve">&lt;?xml version="1.0" encoding="UTF-8" ?&gt;
&lt;results&gt;
&lt;query&gt;大阪府箕面市箕面&lt;/query&gt;
&lt;geodetic&gt;wgs1984&lt;/geodetic&gt;
&lt;iConf&gt;5&lt;/iConf&gt;
&lt;converted&gt;大阪府箕面市箕面&lt;/converted&gt;
&lt;candidate&gt;
&lt;address&gt;大阪府/箕面市/箕面&lt;/address&gt;
&lt;longitude&gt;135.468506&lt;/longitude&gt;
&lt;latitude&gt;34.835892&lt;/latitude&gt;
&lt;iLvl&gt;5&lt;/iLvl&gt;
&lt;/candidate&gt;
&lt;/results&gt;
</v>
      </c>
      <c r="F190" cm="1">
        <f t="array" ref="F190">INDEX(_xlfn.FILTERXML(E190,"//latitude"),1)</f>
        <v>34.835892000000001</v>
      </c>
      <c r="G190" cm="1">
        <f t="array" ref="G190">INDEX(_xlfn.FILTERXML(E190,"//longitude"),1)</f>
        <v>135.46850599999999</v>
      </c>
      <c r="H190">
        <v>34.835892000000001</v>
      </c>
      <c r="I190">
        <v>135.46850599999999</v>
      </c>
    </row>
    <row r="191" spans="1:9" x14ac:dyDescent="0.4">
      <c r="A191" t="s">
        <v>9</v>
      </c>
      <c r="B191" t="s">
        <v>214</v>
      </c>
      <c r="C191" t="str">
        <f t="shared" si="23"/>
        <v>東京都杉並区成田西</v>
      </c>
      <c r="D191" s="2" t="str">
        <f t="shared" si="24"/>
        <v>http://geocode.csis.u-tokyo.ac.jp/cgi-bin/simple_geocode.cgi?charset=UTF8&amp;addr=%E6%9D%B1%E4%BA%AC%E9%83%BD%E6%9D%89%E4%B8%A6%E5%8C%BA%E6%88%90%E7%94%B0%E8%A5%BF</v>
      </c>
      <c r="E191" t="str">
        <f t="shared" si="25"/>
        <v xml:space="preserve">&lt;?xml version="1.0" encoding="UTF-8" ?&gt;
&lt;results&gt;
&lt;query&gt;東京都杉並区成田西&lt;/query&gt;
&lt;geodetic&gt;wgs1984&lt;/geodetic&gt;
&lt;iConf&gt;5&lt;/iConf&gt;
&lt;converted&gt;東京都杉並区成田西&lt;/converted&gt;
&lt;candidate&gt;
&lt;address&gt;東京都/杉並区/成田西&lt;/address&gt;
&lt;longitude&gt;139.631546&lt;/longitude&gt;
&lt;latitude&gt;35.687305&lt;/latitude&gt;
&lt;iLvl&gt;5&lt;/iLvl&gt;
&lt;/candidate&gt;
&lt;/results&gt;
</v>
      </c>
      <c r="F191" cm="1">
        <f t="array" ref="F191">INDEX(_xlfn.FILTERXML(E191,"//latitude"),1)</f>
        <v>35.687305000000002</v>
      </c>
      <c r="G191" cm="1">
        <f t="array" ref="G191">INDEX(_xlfn.FILTERXML(E191,"//longitude"),1)</f>
        <v>139.63154599999999</v>
      </c>
      <c r="H191">
        <v>35.687305000000002</v>
      </c>
      <c r="I191">
        <v>139.63154599999999</v>
      </c>
    </row>
    <row r="192" spans="1:9" x14ac:dyDescent="0.4">
      <c r="A192" t="s">
        <v>18</v>
      </c>
      <c r="B192" t="s">
        <v>215</v>
      </c>
      <c r="C192" t="str">
        <f t="shared" si="23"/>
        <v>茨城県日立市東大沼町</v>
      </c>
      <c r="D192" s="2" t="str">
        <f t="shared" si="24"/>
        <v>http://geocode.csis.u-tokyo.ac.jp/cgi-bin/simple_geocode.cgi?charset=UTF8&amp;addr=%E8%8C%A8%E5%9F%8E%E7%9C%8C%E6%97%A5%E7%AB%8B%E5%B8%82%E6%9D%B1%E5%A4%A7%E6%B2%BC%E7%94%BA</v>
      </c>
      <c r="E192" t="str">
        <f t="shared" si="25"/>
        <v xml:space="preserve">&lt;?xml version="1.0" encoding="UTF-8" ?&gt;
&lt;results&gt;
&lt;query&gt;茨城県日立市東大沼町&lt;/query&gt;
&lt;geodetic&gt;wgs1984&lt;/geodetic&gt;
&lt;iConf&gt;5&lt;/iConf&gt;
&lt;converted&gt;茨城県日立市東大沼町&lt;/converted&gt;
&lt;candidate&gt;
&lt;address&gt;茨城県/日立市/東大沼町&lt;/address&gt;
&lt;longitude&gt;140.633270&lt;/longitude&gt;
&lt;latitude&gt;36.530682&lt;/latitude&gt;
&lt;iLvl&gt;5&lt;/iLvl&gt;
&lt;/candidate&gt;
&lt;/results&gt;
</v>
      </c>
      <c r="F192" cm="1">
        <f t="array" ref="F192">INDEX(_xlfn.FILTERXML(E192,"//latitude"),1)</f>
        <v>36.530681999999999</v>
      </c>
      <c r="G192" cm="1">
        <f t="array" ref="G192">INDEX(_xlfn.FILTERXML(E192,"//longitude"),1)</f>
        <v>140.63327000000001</v>
      </c>
      <c r="H192">
        <v>36.530681999999999</v>
      </c>
      <c r="I192">
        <v>140.63327000000001</v>
      </c>
    </row>
    <row r="193" spans="1:9" x14ac:dyDescent="0.4">
      <c r="A193" t="s">
        <v>9</v>
      </c>
      <c r="B193" t="s">
        <v>48</v>
      </c>
      <c r="C193" t="str">
        <f t="shared" si="23"/>
        <v>東京都中野区本町</v>
      </c>
      <c r="D193" s="2" t="str">
        <f t="shared" si="24"/>
        <v>http://geocode.csis.u-tokyo.ac.jp/cgi-bin/simple_geocode.cgi?charset=UTF8&amp;addr=%E6%9D%B1%E4%BA%AC%E9%83%BD%E4%B8%AD%E9%87%8E%E5%8C%BA%E6%9C%AC%E7%94%BA</v>
      </c>
      <c r="E193" t="str">
        <f t="shared" si="25"/>
        <v xml:space="preserve">&lt;?xml version="1.0" encoding="UTF-8" ?&gt;
&lt;results&gt;
&lt;query&gt;東京都中野区本町&lt;/query&gt;
&lt;geodetic&gt;wgs1984&lt;/geodetic&gt;
&lt;iConf&gt;5&lt;/iConf&gt;
&lt;converted&gt;東京都中野区本町&lt;/converted&gt;
&lt;candidate&gt;
&lt;address&gt;東京都/中野区/本町&lt;/address&gt;
&lt;longitude&gt;139.684067&lt;/longitude&gt;
&lt;latitude&gt;35.694511&lt;/latitude&gt;
&lt;iLvl&gt;5&lt;/iLvl&gt;
&lt;/candidate&gt;
&lt;/results&gt;
</v>
      </c>
      <c r="F193" cm="1">
        <f t="array" ref="F193">INDEX(_xlfn.FILTERXML(E193,"//latitude"),1)</f>
        <v>35.694510999999999</v>
      </c>
      <c r="G193" cm="1">
        <f t="array" ref="G193">INDEX(_xlfn.FILTERXML(E193,"//longitude"),1)</f>
        <v>139.684067</v>
      </c>
      <c r="H193">
        <v>35.694510999999999</v>
      </c>
      <c r="I193">
        <v>139.684067</v>
      </c>
    </row>
    <row r="194" spans="1:9" x14ac:dyDescent="0.4">
      <c r="A194" t="s">
        <v>18</v>
      </c>
      <c r="B194" t="s">
        <v>216</v>
      </c>
      <c r="C194" t="str">
        <f t="shared" si="23"/>
        <v>茨城県水戸市吉沢町</v>
      </c>
      <c r="D194" s="2" t="str">
        <f t="shared" si="24"/>
        <v>http://geocode.csis.u-tokyo.ac.jp/cgi-bin/simple_geocode.cgi?charset=UTF8&amp;addr=%E8%8C%A8%E5%9F%8E%E7%9C%8C%E6%B0%B4%E6%88%B8%E5%B8%82%E5%90%89%E6%B2%A2%E7%94%BA</v>
      </c>
      <c r="E194" t="str">
        <f t="shared" si="25"/>
        <v xml:space="preserve">&lt;?xml version="1.0" encoding="UTF-8" ?&gt;
&lt;results&gt;
&lt;query&gt;茨城県水戸市吉沢町&lt;/query&gt;
&lt;geodetic&gt;wgs1984&lt;/geodetic&gt;
&lt;iConf&gt;5&lt;/iConf&gt;
&lt;converted&gt;茨城県水戸市吉沢町&lt;/converted&gt;
&lt;candidate&gt;
&lt;address&gt;茨城県/水戸市/吉沢町&lt;/address&gt;
&lt;longitude&gt;140.459686&lt;/longitude&gt;
&lt;latitude&gt;36.327759&lt;/latitude&gt;
&lt;iLvl&gt;5&lt;/iLvl&gt;
&lt;/candidate&gt;
&lt;/results&gt;
</v>
      </c>
      <c r="F194" cm="1">
        <f t="array" ref="F194">INDEX(_xlfn.FILTERXML(E194,"//latitude"),1)</f>
        <v>36.327759</v>
      </c>
      <c r="G194" cm="1">
        <f t="array" ref="G194">INDEX(_xlfn.FILTERXML(E194,"//longitude"),1)</f>
        <v>140.459686</v>
      </c>
      <c r="H194">
        <v>36.327759</v>
      </c>
      <c r="I194">
        <v>140.459686</v>
      </c>
    </row>
    <row r="195" spans="1:9" x14ac:dyDescent="0.4">
      <c r="A195" t="s">
        <v>13</v>
      </c>
      <c r="B195" t="s">
        <v>49</v>
      </c>
      <c r="C195" t="str">
        <f t="shared" si="23"/>
        <v>兵庫県川西市</v>
      </c>
      <c r="D195" s="2" t="str">
        <f t="shared" si="24"/>
        <v>http://geocode.csis.u-tokyo.ac.jp/cgi-bin/simple_geocode.cgi?charset=UTF8&amp;addr=%E5%85%B5%E5%BA%AB%E7%9C%8C%E5%B7%9D%E8%A5%BF%E5%B8%82</v>
      </c>
      <c r="E195" t="str">
        <f t="shared" si="25"/>
        <v xml:space="preserve">&lt;?xml version="1.0" encoding="UTF-8" ?&gt;
&lt;results&gt;
&lt;query&gt;兵庫県川西市&lt;/query&gt;
&lt;geodetic&gt;wgs1984&lt;/geodetic&gt;
&lt;iConf&gt;5&lt;/iConf&gt;
&lt;converted&gt;兵庫県川西市&lt;/converted&gt;
&lt;candidate&gt;
&lt;address&gt;兵庫県/川西市&lt;/address&gt;
&lt;longitude&gt;135.417221&lt;/longitude&gt;
&lt;latitude&gt;34.830132&lt;/latitude&gt;
&lt;iLvl&gt;3&lt;/iLvl&gt;
&lt;/candidate&gt;
&lt;/results&gt;
</v>
      </c>
      <c r="F195" cm="1">
        <f t="array" ref="F195">INDEX(_xlfn.FILTERXML(E195,"//latitude"),1)</f>
        <v>34.830131999999999</v>
      </c>
      <c r="G195" cm="1">
        <f t="array" ref="G195">INDEX(_xlfn.FILTERXML(E195,"//longitude"),1)</f>
        <v>135.41722100000001</v>
      </c>
      <c r="H195">
        <v>34.830131999999999</v>
      </c>
      <c r="I195">
        <v>135.41722100000001</v>
      </c>
    </row>
    <row r="196" spans="1:9" x14ac:dyDescent="0.4">
      <c r="A196" t="s">
        <v>9</v>
      </c>
      <c r="B196" t="s">
        <v>217</v>
      </c>
      <c r="C196" t="str">
        <f t="shared" si="23"/>
        <v>東京都世田谷区桜</v>
      </c>
      <c r="D196" s="2" t="str">
        <f t="shared" si="24"/>
        <v>http://geocode.csis.u-tokyo.ac.jp/cgi-bin/simple_geocode.cgi?charset=UTF8&amp;addr=%E6%9D%B1%E4%BA%AC%E9%83%BD%E4%B8%96%E7%94%B0%E8%B0%B7%E5%8C%BA%E6%A1%9C</v>
      </c>
      <c r="E196" t="str">
        <f t="shared" si="25"/>
        <v xml:space="preserve">&lt;?xml version="1.0" encoding="UTF-8" ?&gt;
&lt;results&gt;
&lt;query&gt;東京都世田谷区桜&lt;/query&gt;
&lt;geodetic&gt;wgs1984&lt;/geodetic&gt;
&lt;iConf&gt;5&lt;/iConf&gt;
&lt;converted&gt;東京都世田谷区桜&lt;/converted&gt;
&lt;candidate&gt;
&lt;address&gt;東京都/世田谷区/桜&lt;/address&gt;
&lt;longitude&gt;139.641129&lt;/longitude&gt;
&lt;latitude&gt;35.645527&lt;/latitude&gt;
&lt;iLvl&gt;5&lt;/iLvl&gt;
&lt;/candidate&gt;
&lt;/results&gt;
</v>
      </c>
      <c r="F196" cm="1">
        <f t="array" ref="F196">INDEX(_xlfn.FILTERXML(E196,"//latitude"),1)</f>
        <v>35.645527000000001</v>
      </c>
      <c r="G196" cm="1">
        <f t="array" ref="G196">INDEX(_xlfn.FILTERXML(E196,"//longitude"),1)</f>
        <v>139.64112900000001</v>
      </c>
      <c r="H196">
        <v>35.645527000000001</v>
      </c>
      <c r="I196">
        <v>139.64112900000001</v>
      </c>
    </row>
    <row r="197" spans="1:9" x14ac:dyDescent="0.4">
      <c r="A197" t="s">
        <v>13</v>
      </c>
      <c r="B197" t="s">
        <v>218</v>
      </c>
      <c r="C197" t="str">
        <f t="shared" si="23"/>
        <v>兵庫県尼崎市</v>
      </c>
      <c r="D197" s="2" t="str">
        <f t="shared" si="24"/>
        <v>http://geocode.csis.u-tokyo.ac.jp/cgi-bin/simple_geocode.cgi?charset=UTF8&amp;addr=%E5%85%B5%E5%BA%AB%E7%9C%8C%E5%B0%BC%E5%B4%8E%E5%B8%82</v>
      </c>
      <c r="E197" t="str">
        <f t="shared" si="25"/>
        <v xml:space="preserve">&lt;?xml version="1.0" encoding="UTF-8" ?&gt;
&lt;results&gt;
&lt;query&gt;兵庫県尼崎市&lt;/query&gt;
&lt;geodetic&gt;wgs1984&lt;/geodetic&gt;
&lt;iConf&gt;5&lt;/iConf&gt;
&lt;converted&gt;兵庫県尼崎市&lt;/converted&gt;
&lt;candidate&gt;
&lt;address&gt;兵庫県/尼崎市&lt;/address&gt;
&lt;longitude&gt;135.406387&lt;/longitude&gt;
&lt;latitude&gt;34.733555&lt;/latitude&gt;
&lt;iLvl&gt;3&lt;/iLvl&gt;
&lt;/candidate&gt;
&lt;/results&gt;
</v>
      </c>
      <c r="F197" cm="1">
        <f t="array" ref="F197">INDEX(_xlfn.FILTERXML(E197,"//latitude"),1)</f>
        <v>34.733555000000003</v>
      </c>
      <c r="G197" cm="1">
        <f t="array" ref="G197">INDEX(_xlfn.FILTERXML(E197,"//longitude"),1)</f>
        <v>135.406387</v>
      </c>
      <c r="H197">
        <v>34.733555000000003</v>
      </c>
      <c r="I197">
        <v>135.406387</v>
      </c>
    </row>
    <row r="198" spans="1:9" x14ac:dyDescent="0.4">
      <c r="A198" t="s">
        <v>12</v>
      </c>
      <c r="B198" t="s">
        <v>43</v>
      </c>
      <c r="C198" t="str">
        <f t="shared" ref="C198:C261" si="26">+A198&amp;B198</f>
        <v>埼玉県上尾市</v>
      </c>
      <c r="D198" s="2" t="str">
        <f t="shared" ref="D198:D261" si="27" xml:space="preserve"> "http://geocode.csis.u-tokyo.ac.jp/cgi-bin/simple_geocode.cgi?charset=UTF8&amp;addr=" &amp; _xlfn.ENCODEURL(C198)</f>
        <v>http://geocode.csis.u-tokyo.ac.jp/cgi-bin/simple_geocode.cgi?charset=UTF8&amp;addr=%E5%9F%BC%E7%8E%89%E7%9C%8C%E4%B8%8A%E5%B0%BE%E5%B8%82</v>
      </c>
      <c r="E198" t="str">
        <f t="shared" ref="E198:E261" si="28" xml:space="preserve"> _xlfn.WEBSERVICE(D198)</f>
        <v xml:space="preserve">&lt;?xml version="1.0" encoding="UTF-8" ?&gt;
&lt;results&gt;
&lt;query&gt;埼玉県上尾市&lt;/query&gt;
&lt;geodetic&gt;wgs1984&lt;/geodetic&gt;
&lt;iConf&gt;5&lt;/iConf&gt;
&lt;converted&gt;埼玉県上尾市&lt;/converted&gt;
&lt;candidate&gt;
&lt;address&gt;埼玉県/上尾市&lt;/address&gt;
&lt;longitude&gt;139.593201&lt;/longitude&gt;
&lt;latitude&gt;35.977409&lt;/latitude&gt;
&lt;iLvl&gt;3&lt;/iLvl&gt;
&lt;/candidate&gt;
&lt;/results&gt;
</v>
      </c>
      <c r="F198" cm="1">
        <f t="array" ref="F198">INDEX(_xlfn.FILTERXML(E198,"//latitude"),1)</f>
        <v>35.977409000000002</v>
      </c>
      <c r="G198" cm="1">
        <f t="array" ref="G198">INDEX(_xlfn.FILTERXML(E198,"//longitude"),1)</f>
        <v>139.59320099999999</v>
      </c>
      <c r="H198">
        <v>35.977409000000002</v>
      </c>
      <c r="I198">
        <v>139.59320099999999</v>
      </c>
    </row>
    <row r="199" spans="1:9" x14ac:dyDescent="0.4">
      <c r="A199" t="s">
        <v>16</v>
      </c>
      <c r="B199" t="s">
        <v>65</v>
      </c>
      <c r="C199" t="str">
        <f t="shared" si="26"/>
        <v>千葉県市川市市川</v>
      </c>
      <c r="D199" s="2" t="str">
        <f t="shared" si="27"/>
        <v>http://geocode.csis.u-tokyo.ac.jp/cgi-bin/simple_geocode.cgi?charset=UTF8&amp;addr=%E5%8D%83%E8%91%89%E7%9C%8C%E5%B8%82%E5%B7%9D%E5%B8%82%E5%B8%82%E5%B7%9D</v>
      </c>
      <c r="E199" t="str">
        <f t="shared" si="28"/>
        <v xml:space="preserve">&lt;?xml version="1.0" encoding="UTF-8" ?&gt;
&lt;results&gt;
&lt;query&gt;千葉県市川市市川&lt;/query&gt;
&lt;geodetic&gt;wgs1984&lt;/geodetic&gt;
&lt;iConf&gt;5&lt;/iConf&gt;
&lt;converted&gt;千葉県市川市市川&lt;/converted&gt;
&lt;candidate&gt;
&lt;address&gt;千葉県/市川市/市川&lt;/address&gt;
&lt;longitude&gt;139.909027&lt;/longitude&gt;
&lt;latitude&gt;35.731850&lt;/latitude&gt;
&lt;iLvl&gt;5&lt;/iLvl&gt;
&lt;/candidate&gt;
&lt;/results&gt;
</v>
      </c>
      <c r="F199" cm="1">
        <f t="array" ref="F199">INDEX(_xlfn.FILTERXML(E199,"//latitude"),1)</f>
        <v>35.731850000000001</v>
      </c>
      <c r="G199" cm="1">
        <f t="array" ref="G199">INDEX(_xlfn.FILTERXML(E199,"//longitude"),1)</f>
        <v>139.90902700000001</v>
      </c>
      <c r="H199">
        <v>35.731850000000001</v>
      </c>
      <c r="I199">
        <v>139.90902700000001</v>
      </c>
    </row>
    <row r="200" spans="1:9" x14ac:dyDescent="0.4">
      <c r="A200" t="s">
        <v>180</v>
      </c>
      <c r="B200" t="s">
        <v>219</v>
      </c>
      <c r="C200" t="str">
        <f t="shared" si="26"/>
        <v>山形県酒田市北新町</v>
      </c>
      <c r="D200" s="2" t="str">
        <f t="shared" si="27"/>
        <v>http://geocode.csis.u-tokyo.ac.jp/cgi-bin/simple_geocode.cgi?charset=UTF8&amp;addr=%E5%B1%B1%E5%BD%A2%E7%9C%8C%E9%85%92%E7%94%B0%E5%B8%82%E5%8C%97%E6%96%B0%E7%94%BA</v>
      </c>
      <c r="E200" t="str">
        <f t="shared" si="28"/>
        <v xml:space="preserve">&lt;?xml version="1.0" encoding="UTF-8" ?&gt;
&lt;results&gt;
&lt;query&gt;山形県酒田市北新町&lt;/query&gt;
&lt;geodetic&gt;wgs1984&lt;/geodetic&gt;
&lt;iConf&gt;5&lt;/iConf&gt;
&lt;converted&gt;山形県酒田市北新町&lt;/converted&gt;
&lt;candidate&gt;
&lt;address&gt;山形県/酒田市/北新町&lt;/address&gt;
&lt;longitude&gt;139.832001&lt;/longitude&gt;
&lt;latitude&gt;38.924011&lt;/latitude&gt;
&lt;iLvl&gt;5&lt;/iLvl&gt;
&lt;/candidate&gt;
&lt;/results&gt;
</v>
      </c>
      <c r="F200" cm="1">
        <f t="array" ref="F200">INDEX(_xlfn.FILTERXML(E200,"//latitude"),1)</f>
        <v>38.924011</v>
      </c>
      <c r="G200" cm="1">
        <f t="array" ref="G200">INDEX(_xlfn.FILTERXML(E200,"//longitude"),1)</f>
        <v>139.83200099999999</v>
      </c>
      <c r="H200">
        <v>38.924011</v>
      </c>
      <c r="I200">
        <v>139.83200099999999</v>
      </c>
    </row>
    <row r="201" spans="1:9" x14ac:dyDescent="0.4">
      <c r="A201" t="s">
        <v>27</v>
      </c>
      <c r="B201" t="s">
        <v>412</v>
      </c>
      <c r="C201" t="str">
        <f t="shared" si="26"/>
        <v>宮崎県日向市</v>
      </c>
      <c r="D201" s="2" t="str">
        <f t="shared" si="27"/>
        <v>http://geocode.csis.u-tokyo.ac.jp/cgi-bin/simple_geocode.cgi?charset=UTF8&amp;addr=%E5%AE%AE%E5%B4%8E%E7%9C%8C%E6%97%A5%E5%90%91%E5%B8%82</v>
      </c>
      <c r="E201" t="str">
        <f t="shared" si="28"/>
        <v xml:space="preserve">&lt;?xml version="1.0" encoding="UTF-8" ?&gt;
&lt;results&gt;
&lt;query&gt;宮崎県日向市&lt;/query&gt;
&lt;geodetic&gt;wgs1984&lt;/geodetic&gt;
&lt;iConf&gt;5&lt;/iConf&gt;
&lt;converted&gt;宮崎県日向市&lt;/converted&gt;
&lt;candidate&gt;
&lt;address&gt;宮崎県/日向市&lt;/address&gt;
&lt;longitude&gt;131.623962&lt;/longitude&gt;
&lt;latitude&gt;32.422947&lt;/latitude&gt;
&lt;iLvl&gt;3&lt;/iLvl&gt;
&lt;/candidate&gt;
&lt;/results&gt;
</v>
      </c>
      <c r="F201" cm="1">
        <f t="array" ref="F201">INDEX(_xlfn.FILTERXML(E201,"//latitude"),1)</f>
        <v>32.422947000000001</v>
      </c>
      <c r="G201" cm="1">
        <f t="array" ref="G201">INDEX(_xlfn.FILTERXML(E201,"//longitude"),1)</f>
        <v>131.62396200000001</v>
      </c>
      <c r="H201">
        <v>32.422947000000001</v>
      </c>
      <c r="I201">
        <v>131.62396200000001</v>
      </c>
    </row>
    <row r="202" spans="1:9" x14ac:dyDescent="0.4">
      <c r="A202" t="s">
        <v>9</v>
      </c>
      <c r="B202" t="s">
        <v>70</v>
      </c>
      <c r="C202" t="str">
        <f t="shared" si="26"/>
        <v>東京都調布市仙川町</v>
      </c>
      <c r="D202" s="2" t="str">
        <f t="shared" si="27"/>
        <v>http://geocode.csis.u-tokyo.ac.jp/cgi-bin/simple_geocode.cgi?charset=UTF8&amp;addr=%E6%9D%B1%E4%BA%AC%E9%83%BD%E8%AA%BF%E5%B8%83%E5%B8%82%E4%BB%99%E5%B7%9D%E7%94%BA</v>
      </c>
      <c r="E202" t="str">
        <f t="shared" si="28"/>
        <v xml:space="preserve">&lt;?xml version="1.0" encoding="UTF-8" ?&gt;
&lt;results&gt;
&lt;query&gt;東京都調布市仙川町&lt;/query&gt;
&lt;geodetic&gt;wgs1984&lt;/geodetic&gt;
&lt;iConf&gt;5&lt;/iConf&gt;
&lt;converted&gt;東京都調布市仙川町&lt;/converted&gt;
&lt;candidate&gt;
&lt;address&gt;東京都/調布市/仙川町&lt;/address&gt;
&lt;longitude&gt;139.585602&lt;/longitude&gt;
&lt;latitude&gt;35.660881&lt;/latitude&gt;
&lt;iLvl&gt;5&lt;/iLvl&gt;
&lt;/candidate&gt;
&lt;/results&gt;
</v>
      </c>
      <c r="F202" cm="1">
        <f t="array" ref="F202">INDEX(_xlfn.FILTERXML(E202,"//latitude"),1)</f>
        <v>35.660881000000003</v>
      </c>
      <c r="G202" cm="1">
        <f t="array" ref="G202">INDEX(_xlfn.FILTERXML(E202,"//longitude"),1)</f>
        <v>139.58560199999999</v>
      </c>
      <c r="H202">
        <v>35.660881000000003</v>
      </c>
      <c r="I202">
        <v>139.58560199999999</v>
      </c>
    </row>
    <row r="203" spans="1:9" x14ac:dyDescent="0.4">
      <c r="A203" t="s">
        <v>140</v>
      </c>
      <c r="B203" t="s">
        <v>220</v>
      </c>
      <c r="C203" t="str">
        <f t="shared" si="26"/>
        <v>富山県南砺市福光</v>
      </c>
      <c r="D203" s="2" t="str">
        <f t="shared" si="27"/>
        <v>http://geocode.csis.u-tokyo.ac.jp/cgi-bin/simple_geocode.cgi?charset=UTF8&amp;addr=%E5%AF%8C%E5%B1%B1%E7%9C%8C%E5%8D%97%E7%A0%BA%E5%B8%82%E7%A6%8F%E5%85%89</v>
      </c>
      <c r="E203" t="str">
        <f t="shared" si="28"/>
        <v xml:space="preserve">&lt;?xml version="1.0" encoding="UTF-8" ?&gt;
&lt;results&gt;
&lt;query&gt;富山県南砺市福光&lt;/query&gt;
&lt;geodetic&gt;wgs1984&lt;/geodetic&gt;
&lt;iConf&gt;5&lt;/iConf&gt;
&lt;converted&gt;富山県南砺市福光&lt;/converted&gt;
&lt;candidate&gt;
&lt;address&gt;富山県/南砺市/福光&lt;/address&gt;
&lt;longitude&gt;136.867126&lt;/longitude&gt;
&lt;latitude&gt;36.559975&lt;/latitude&gt;
&lt;iLvl&gt;5&lt;/iLvl&gt;
&lt;/candidate&gt;
&lt;/results&gt;
</v>
      </c>
      <c r="F203" cm="1">
        <f t="array" ref="F203">INDEX(_xlfn.FILTERXML(E203,"//latitude"),1)</f>
        <v>36.559975000000001</v>
      </c>
      <c r="G203" cm="1">
        <f t="array" ref="G203">INDEX(_xlfn.FILTERXML(E203,"//longitude"),1)</f>
        <v>136.86712600000001</v>
      </c>
      <c r="H203">
        <v>36.559975000000001</v>
      </c>
      <c r="I203">
        <v>136.86712600000001</v>
      </c>
    </row>
    <row r="204" spans="1:9" x14ac:dyDescent="0.4">
      <c r="A204" t="s">
        <v>11</v>
      </c>
      <c r="B204" t="s">
        <v>60</v>
      </c>
      <c r="C204" t="str">
        <f t="shared" si="26"/>
        <v>大阪府堺市北区長曽根町</v>
      </c>
      <c r="D204" s="2" t="str">
        <f t="shared" si="27"/>
        <v>http://geocode.csis.u-tokyo.ac.jp/cgi-bin/simple_geocode.cgi?charset=UTF8&amp;addr=%E5%A4%A7%E9%98%AA%E5%BA%9C%E5%A0%BA%E5%B8%82%E5%8C%97%E5%8C%BA%E9%95%B7%E6%9B%BD%E6%A0%B9%E7%94%BA</v>
      </c>
      <c r="E204" t="str">
        <f t="shared" si="28"/>
        <v xml:space="preserve">&lt;?xml version="1.0" encoding="UTF-8" ?&gt;
&lt;results&gt;
&lt;query&gt;大阪府堺市北区長曽根町&lt;/query&gt;
&lt;geodetic&gt;wgs1984&lt;/geodetic&gt;
&lt;iConf&gt;5&lt;/iConf&gt;
&lt;converted&gt;大阪府堺市北区長曽根町&lt;/converted&gt;
&lt;candidate&gt;
&lt;address&gt;大阪府/堺市/北区/長曽根町&lt;/address&gt;
&lt;longitude&gt;135.508591&lt;/longitude&gt;
&lt;latitude&gt;34.565018&lt;/latitude&gt;
&lt;iLvl&gt;5&lt;/iLvl&gt;
&lt;/candidate&gt;
&lt;/results&gt;
</v>
      </c>
      <c r="F204" cm="1">
        <f t="array" ref="F204">INDEX(_xlfn.FILTERXML(E204,"//latitude"),1)</f>
        <v>34.565018000000002</v>
      </c>
      <c r="G204" cm="1">
        <f t="array" ref="G204">INDEX(_xlfn.FILTERXML(E204,"//longitude"),1)</f>
        <v>135.508591</v>
      </c>
      <c r="H204">
        <v>34.565018000000002</v>
      </c>
      <c r="I204">
        <v>135.508591</v>
      </c>
    </row>
    <row r="205" spans="1:9" x14ac:dyDescent="0.4">
      <c r="A205" t="s">
        <v>13</v>
      </c>
      <c r="B205" t="s">
        <v>221</v>
      </c>
      <c r="C205" t="str">
        <f t="shared" si="26"/>
        <v>兵庫県芦屋市岩園町</v>
      </c>
      <c r="D205" s="2" t="str">
        <f t="shared" si="27"/>
        <v>http://geocode.csis.u-tokyo.ac.jp/cgi-bin/simple_geocode.cgi?charset=UTF8&amp;addr=%E5%85%B5%E5%BA%AB%E7%9C%8C%E8%8A%A6%E5%B1%8B%E5%B8%82%E5%B2%A9%E5%9C%92%E7%94%BA</v>
      </c>
      <c r="E205" t="str">
        <f t="shared" si="28"/>
        <v xml:space="preserve">&lt;?xml version="1.0" encoding="UTF-8" ?&gt;
&lt;results&gt;
&lt;query&gt;兵庫県芦屋市岩園町&lt;/query&gt;
&lt;geodetic&gt;wgs1984&lt;/geodetic&gt;
&lt;iConf&gt;5&lt;/iConf&gt;
&lt;converted&gt;兵庫県芦屋市岩園町&lt;/converted&gt;
&lt;candidate&gt;
&lt;address&gt;兵庫県/芦屋市/岩園町&lt;/address&gt;
&lt;longitude&gt;135.313736&lt;/longitude&gt;
&lt;latitude&gt;34.745880&lt;/latitude&gt;
&lt;iLvl&gt;5&lt;/iLvl&gt;
&lt;/candidate&gt;
&lt;/results&gt;
</v>
      </c>
      <c r="F205" cm="1">
        <f t="array" ref="F205">INDEX(_xlfn.FILTERXML(E205,"//latitude"),1)</f>
        <v>34.74588</v>
      </c>
      <c r="G205" cm="1">
        <f t="array" ref="G205">INDEX(_xlfn.FILTERXML(E205,"//longitude"),1)</f>
        <v>135.31373600000001</v>
      </c>
      <c r="H205">
        <v>34.74588</v>
      </c>
      <c r="I205">
        <v>135.31373600000001</v>
      </c>
    </row>
    <row r="206" spans="1:9" x14ac:dyDescent="0.4">
      <c r="A206" t="s">
        <v>44</v>
      </c>
      <c r="B206" t="s">
        <v>222</v>
      </c>
      <c r="C206" t="str">
        <f t="shared" si="26"/>
        <v>和歌山県和歌山市太田</v>
      </c>
      <c r="D206" s="2" t="str">
        <f t="shared" si="27"/>
        <v>http://geocode.csis.u-tokyo.ac.jp/cgi-bin/simple_geocode.cgi?charset=UTF8&amp;addr=%E5%92%8C%E6%AD%8C%E5%B1%B1%E7%9C%8C%E5%92%8C%E6%AD%8C%E5%B1%B1%E5%B8%82%E5%A4%AA%E7%94%B0</v>
      </c>
      <c r="E206" t="str">
        <f t="shared" si="28"/>
        <v xml:space="preserve">&lt;?xml version="1.0" encoding="UTF-8" ?&gt;
&lt;results&gt;
&lt;query&gt;和歌山県和歌山市太田&lt;/query&gt;
&lt;geodetic&gt;wgs1984&lt;/geodetic&gt;
&lt;iConf&gt;5&lt;/iConf&gt;
&lt;converted&gt;和歌山県和歌山市太田&lt;/converted&gt;
&lt;candidate&gt;
&lt;address&gt;和歌山県/和歌山市/太田&lt;/address&gt;
&lt;longitude&gt;135.199524&lt;/longitude&gt;
&lt;latitude&gt;34.230095&lt;/latitude&gt;
&lt;iLvl&gt;5&lt;/iLvl&gt;
&lt;/candidate&gt;
&lt;/results&gt;
</v>
      </c>
      <c r="F206" cm="1">
        <f t="array" ref="F206">INDEX(_xlfn.FILTERXML(E206,"//latitude"),1)</f>
        <v>34.230094999999999</v>
      </c>
      <c r="G206" cm="1">
        <f t="array" ref="G206">INDEX(_xlfn.FILTERXML(E206,"//longitude"),1)</f>
        <v>135.199524</v>
      </c>
      <c r="H206">
        <v>34.230094999999999</v>
      </c>
      <c r="I206">
        <v>135.199524</v>
      </c>
    </row>
    <row r="207" spans="1:9" x14ac:dyDescent="0.4">
      <c r="A207" t="s">
        <v>148</v>
      </c>
      <c r="B207" t="s">
        <v>149</v>
      </c>
      <c r="C207" t="str">
        <f t="shared" si="26"/>
        <v>愛媛県松山市</v>
      </c>
      <c r="D207" s="2" t="str">
        <f t="shared" si="27"/>
        <v>http://geocode.csis.u-tokyo.ac.jp/cgi-bin/simple_geocode.cgi?charset=UTF8&amp;addr=%E6%84%9B%E5%AA%9B%E7%9C%8C%E6%9D%BE%E5%B1%B1%E5%B8%82</v>
      </c>
      <c r="E207" t="str">
        <f t="shared" si="28"/>
        <v xml:space="preserve">&lt;?xml version="1.0" encoding="UTF-8" ?&gt;
&lt;results&gt;
&lt;query&gt;愛媛県松山市&lt;/query&gt;
&lt;geodetic&gt;wgs1984&lt;/geodetic&gt;
&lt;iConf&gt;5&lt;/iConf&gt;
&lt;converted&gt;愛媛県松山市&lt;/converted&gt;
&lt;candidate&gt;
&lt;address&gt;愛媛県/松山市&lt;/address&gt;
&lt;longitude&gt;132.765549&lt;/longitude&gt;
&lt;latitude&gt;33.839157&lt;/latitude&gt;
&lt;iLvl&gt;3&lt;/iLvl&gt;
&lt;/candidate&gt;
&lt;/results&gt;
</v>
      </c>
      <c r="F207" cm="1">
        <f t="array" ref="F207">INDEX(_xlfn.FILTERXML(E207,"//latitude"),1)</f>
        <v>33.839157</v>
      </c>
      <c r="G207" cm="1">
        <f t="array" ref="G207">INDEX(_xlfn.FILTERXML(E207,"//longitude"),1)</f>
        <v>132.76554899999999</v>
      </c>
      <c r="H207">
        <v>33.839157</v>
      </c>
      <c r="I207">
        <v>132.76554899999999</v>
      </c>
    </row>
    <row r="208" spans="1:9" x14ac:dyDescent="0.4">
      <c r="A208" t="s">
        <v>132</v>
      </c>
      <c r="B208" t="s">
        <v>223</v>
      </c>
      <c r="C208" t="str">
        <f t="shared" si="26"/>
        <v>岡山県岡山市北区西古松</v>
      </c>
      <c r="D208" s="2" t="str">
        <f t="shared" si="27"/>
        <v>http://geocode.csis.u-tokyo.ac.jp/cgi-bin/simple_geocode.cgi?charset=UTF8&amp;addr=%E5%B2%A1%E5%B1%B1%E7%9C%8C%E5%B2%A1%E5%B1%B1%E5%B8%82%E5%8C%97%E5%8C%BA%E8%A5%BF%E5%8F%A4%E6%9D%BE</v>
      </c>
      <c r="E208" t="str">
        <f t="shared" si="28"/>
        <v xml:space="preserve">&lt;?xml version="1.0" encoding="UTF-8" ?&gt;
&lt;results&gt;
&lt;query&gt;岡山県岡山市北区西古松&lt;/query&gt;
&lt;geodetic&gt;wgs1984&lt;/geodetic&gt;
&lt;iConf&gt;5&lt;/iConf&gt;
&lt;converted&gt;岡山県岡山市北区西古松&lt;/converted&gt;
&lt;candidate&gt;
&lt;address&gt;岡山県/岡山市/北区/西古松&lt;/address&gt;
&lt;longitude&gt;133.907822&lt;/longitude&gt;
&lt;latitude&gt;34.644501&lt;/latitude&gt;
&lt;iLvl&gt;5&lt;/iLvl&gt;
&lt;/candidate&gt;
&lt;/results&gt;
</v>
      </c>
      <c r="F208" cm="1">
        <f t="array" ref="F208">INDEX(_xlfn.FILTERXML(E208,"//latitude"),1)</f>
        <v>34.644500999999998</v>
      </c>
      <c r="G208" cm="1">
        <f t="array" ref="G208">INDEX(_xlfn.FILTERXML(E208,"//longitude"),1)</f>
        <v>133.90782200000001</v>
      </c>
      <c r="H208">
        <v>34.644500999999998</v>
      </c>
      <c r="I208">
        <v>133.90782200000001</v>
      </c>
    </row>
    <row r="209" spans="1:9" x14ac:dyDescent="0.4">
      <c r="A209" t="s">
        <v>16</v>
      </c>
      <c r="B209" t="s">
        <v>225</v>
      </c>
      <c r="C209" t="str">
        <f t="shared" si="26"/>
        <v>千葉県香取市</v>
      </c>
      <c r="D209" s="2" t="str">
        <f t="shared" si="27"/>
        <v>http://geocode.csis.u-tokyo.ac.jp/cgi-bin/simple_geocode.cgi?charset=UTF8&amp;addr=%E5%8D%83%E8%91%89%E7%9C%8C%E9%A6%99%E5%8F%96%E5%B8%82</v>
      </c>
      <c r="E209" t="str">
        <f t="shared" si="28"/>
        <v xml:space="preserve">&lt;?xml version="1.0" encoding="UTF-8" ?&gt;
&lt;results&gt;
&lt;query&gt;千葉県香取市&lt;/query&gt;
&lt;geodetic&gt;wgs1984&lt;/geodetic&gt;
&lt;iConf&gt;5&lt;/iConf&gt;
&lt;converted&gt;千葉県香取市&lt;/converted&gt;
&lt;candidate&gt;
&lt;address&gt;千葉県/香取市&lt;/address&gt;
&lt;longitude&gt;140.499252&lt;/longitude&gt;
&lt;latitude&gt;35.897732&lt;/latitude&gt;
&lt;iLvl&gt;3&lt;/iLvl&gt;
&lt;/candidate&gt;
&lt;/results&gt;
</v>
      </c>
      <c r="F209" cm="1">
        <f t="array" ref="F209">INDEX(_xlfn.FILTERXML(E209,"//latitude"),1)</f>
        <v>35.897731999999998</v>
      </c>
      <c r="G209" cm="1">
        <f t="array" ref="G209">INDEX(_xlfn.FILTERXML(E209,"//longitude"),1)</f>
        <v>140.49925200000001</v>
      </c>
      <c r="H209">
        <v>35.897731999999998</v>
      </c>
      <c r="I209">
        <v>140.49925200000001</v>
      </c>
    </row>
    <row r="210" spans="1:9" x14ac:dyDescent="0.4">
      <c r="A210" t="s">
        <v>24</v>
      </c>
      <c r="B210" t="s">
        <v>58</v>
      </c>
      <c r="C210" t="str">
        <f t="shared" si="26"/>
        <v>静岡県浜松市中央区大工町</v>
      </c>
      <c r="D210" s="2" t="str">
        <f t="shared" si="27"/>
        <v>http://geocode.csis.u-tokyo.ac.jp/cgi-bin/simple_geocode.cgi?charset=UTF8&amp;addr=%E9%9D%99%E5%B2%A1%E7%9C%8C%E6%B5%9C%E6%9D%BE%E5%B8%82%E4%B8%AD%E5%A4%AE%E5%8C%BA%E5%A4%A7%E5%B7%A5%E7%94%BA</v>
      </c>
      <c r="E210" t="str">
        <f t="shared" si="28"/>
        <v xml:space="preserve">&lt;?xml version="1.0" encoding="UTF-8" ?&gt;
&lt;results&gt;
&lt;query&gt;静岡県浜松市中央区大工町&lt;/query&gt;
&lt;geodetic&gt;wgs1984&lt;/geodetic&gt;
&lt;iConf&gt;5&lt;/iConf&gt;
&lt;converted&gt;静岡県浜松市中央区大工町&lt;/converted&gt;
&lt;candidate&gt;
&lt;address&gt;静岡県/浜松市/中央区/大工町&lt;/address&gt;
&lt;longitude&gt;137.727768&lt;/longitude&gt;
&lt;latitude&gt;34.704445&lt;/latitude&gt;
&lt;iLvl&gt;5&lt;/iLvl&gt;
&lt;/candidate&gt;
&lt;/results&gt;
</v>
      </c>
      <c r="F210" cm="1">
        <f t="array" ref="F210">INDEX(_xlfn.FILTERXML(E210,"//latitude"),1)</f>
        <v>34.704445</v>
      </c>
      <c r="G210" cm="1">
        <f t="array" ref="G210">INDEX(_xlfn.FILTERXML(E210,"//longitude"),1)</f>
        <v>137.727768</v>
      </c>
      <c r="H210">
        <v>34.704445</v>
      </c>
      <c r="I210">
        <v>137.727768</v>
      </c>
    </row>
    <row r="211" spans="1:9" x14ac:dyDescent="0.4">
      <c r="A211" t="s">
        <v>9</v>
      </c>
      <c r="B211" t="s">
        <v>226</v>
      </c>
      <c r="C211" t="str">
        <f t="shared" si="26"/>
        <v>東京都港区高輪</v>
      </c>
      <c r="D211" s="2" t="str">
        <f t="shared" si="27"/>
        <v>http://geocode.csis.u-tokyo.ac.jp/cgi-bin/simple_geocode.cgi?charset=UTF8&amp;addr=%E6%9D%B1%E4%BA%AC%E9%83%BD%E6%B8%AF%E5%8C%BA%E9%AB%98%E8%BC%AA</v>
      </c>
      <c r="E211" t="str">
        <f t="shared" si="28"/>
        <v xml:space="preserve">&lt;?xml version="1.0" encoding="UTF-8" ?&gt;
&lt;results&gt;
&lt;query&gt;東京都港区高輪&lt;/query&gt;
&lt;geodetic&gt;wgs1984&lt;/geodetic&gt;
&lt;iConf&gt;5&lt;/iConf&gt;
&lt;converted&gt;東京都港区高輪&lt;/converted&gt;
&lt;candidate&gt;
&lt;address&gt;東京都/港区/高輪&lt;/address&gt;
&lt;longitude&gt;139.735168&lt;/longitude&gt;
&lt;latitude&gt;35.640556&lt;/latitude&gt;
&lt;iLvl&gt;5&lt;/iLvl&gt;
&lt;/candidate&gt;
&lt;/results&gt;
</v>
      </c>
      <c r="F211" cm="1">
        <f t="array" ref="F211">INDEX(_xlfn.FILTERXML(E211,"//latitude"),1)</f>
        <v>35.640555999999997</v>
      </c>
      <c r="G211" cm="1">
        <f t="array" ref="G211">INDEX(_xlfn.FILTERXML(E211,"//longitude"),1)</f>
        <v>139.73516799999999</v>
      </c>
      <c r="H211">
        <v>35.640555999999997</v>
      </c>
      <c r="I211">
        <v>139.73516799999999</v>
      </c>
    </row>
    <row r="212" spans="1:9" x14ac:dyDescent="0.4">
      <c r="A212" t="s">
        <v>17</v>
      </c>
      <c r="B212" t="s">
        <v>227</v>
      </c>
      <c r="C212" t="str">
        <f t="shared" si="26"/>
        <v>滋賀県湖南市下田</v>
      </c>
      <c r="D212" s="2" t="str">
        <f t="shared" si="27"/>
        <v>http://geocode.csis.u-tokyo.ac.jp/cgi-bin/simple_geocode.cgi?charset=UTF8&amp;addr=%E6%BB%8B%E8%B3%80%E7%9C%8C%E6%B9%96%E5%8D%97%E5%B8%82%E4%B8%8B%E7%94%B0</v>
      </c>
      <c r="E212" t="str">
        <f t="shared" si="28"/>
        <v xml:space="preserve">&lt;?xml version="1.0" encoding="UTF-8" ?&gt;
&lt;results&gt;
&lt;query&gt;滋賀県湖南市下田&lt;/query&gt;
&lt;geodetic&gt;wgs1984&lt;/geodetic&gt;
&lt;iConf&gt;5&lt;/iConf&gt;
&lt;converted&gt;滋賀県湖南市下田&lt;/converted&gt;
&lt;candidate&gt;
&lt;address&gt;滋賀県/湖南市/下田&lt;/address&gt;
&lt;longitude&gt;136.129822&lt;/longitude&gt;
&lt;latitude&gt;35.027210&lt;/latitude&gt;
&lt;iLvl&gt;5&lt;/iLvl&gt;
&lt;/candidate&gt;
&lt;/results&gt;
</v>
      </c>
      <c r="F212" cm="1">
        <f t="array" ref="F212">INDEX(_xlfn.FILTERXML(E212,"//latitude"),1)</f>
        <v>35.027209999999997</v>
      </c>
      <c r="G212" cm="1">
        <f t="array" ref="G212">INDEX(_xlfn.FILTERXML(E212,"//longitude"),1)</f>
        <v>136.12982199999999</v>
      </c>
      <c r="H212">
        <v>35.027209999999997</v>
      </c>
      <c r="I212">
        <v>136.12982199999999</v>
      </c>
    </row>
    <row r="213" spans="1:9" x14ac:dyDescent="0.4">
      <c r="A213" t="s">
        <v>12</v>
      </c>
      <c r="B213" t="s">
        <v>56</v>
      </c>
      <c r="C213" t="str">
        <f t="shared" si="26"/>
        <v>埼玉県上尾市愛宕</v>
      </c>
      <c r="D213" s="2" t="str">
        <f t="shared" si="27"/>
        <v>http://geocode.csis.u-tokyo.ac.jp/cgi-bin/simple_geocode.cgi?charset=UTF8&amp;addr=%E5%9F%BC%E7%8E%89%E7%9C%8C%E4%B8%8A%E5%B0%BE%E5%B8%82%E6%84%9B%E5%AE%95</v>
      </c>
      <c r="E213" t="str">
        <f t="shared" si="28"/>
        <v xml:space="preserve">&lt;?xml version="1.0" encoding="UTF-8" ?&gt;
&lt;results&gt;
&lt;query&gt;埼玉県上尾市愛宕&lt;/query&gt;
&lt;geodetic&gt;wgs1984&lt;/geodetic&gt;
&lt;iConf&gt;5&lt;/iConf&gt;
&lt;converted&gt;埼玉県上尾市愛宕&lt;/converted&gt;
&lt;candidate&gt;
&lt;address&gt;埼玉県/上尾市/愛宕&lt;/address&gt;
&lt;longitude&gt;139.594437&lt;/longitude&gt;
&lt;latitude&gt;35.969353&lt;/latitude&gt;
&lt;iLvl&gt;5&lt;/iLvl&gt;
&lt;/candidate&gt;
&lt;/results&gt;
</v>
      </c>
      <c r="F213" cm="1">
        <f t="array" ref="F213">INDEX(_xlfn.FILTERXML(E213,"//latitude"),1)</f>
        <v>35.969352999999998</v>
      </c>
      <c r="G213" cm="1">
        <f t="array" ref="G213">INDEX(_xlfn.FILTERXML(E213,"//longitude"),1)</f>
        <v>139.594437</v>
      </c>
      <c r="H213">
        <v>35.969352999999998</v>
      </c>
      <c r="I213">
        <v>139.594437</v>
      </c>
    </row>
    <row r="214" spans="1:9" x14ac:dyDescent="0.4">
      <c r="A214" t="s">
        <v>10</v>
      </c>
      <c r="B214" t="s">
        <v>114</v>
      </c>
      <c r="C214" t="str">
        <f t="shared" si="26"/>
        <v>神奈川県藤沢市片瀬海岸２丁目</v>
      </c>
      <c r="D214" s="2" t="str">
        <f t="shared" si="27"/>
        <v>http://geocode.csis.u-tokyo.ac.jp/cgi-bin/simple_geocode.cgi?charset=UTF8&amp;addr=%E7%A5%9E%E5%A5%88%E5%B7%9D%E7%9C%8C%E8%97%A4%E6%B2%A2%E5%B8%82%E7%89%87%E7%80%AC%E6%B5%B7%E5%B2%B8%EF%BC%92%E4%B8%81%E7%9B%AE</v>
      </c>
      <c r="E214" t="str">
        <f t="shared" si="28"/>
        <v xml:space="preserve">&lt;?xml version="1.0" encoding="UTF-8" ?&gt;
&lt;results&gt;
&lt;query&gt;神奈川県藤沢市片瀬海岸２丁目&lt;/query&gt;
&lt;geodetic&gt;wgs1984&lt;/geodetic&gt;
&lt;iConf&gt;5&lt;/iConf&gt;
&lt;converted&gt;神奈川県藤沢市片瀬海岸２丁目&lt;/converted&gt;
&lt;candidate&gt;
&lt;address&gt;神奈川県/藤沢市/片瀬海岸/二丁目&lt;/address&gt;
&lt;longitude&gt;139.481918&lt;/longitude&gt;
&lt;latitude&gt;35.308784&lt;/latitude&gt;
&lt;iLvl&gt;6&lt;/iLvl&gt;
&lt;/candidate&gt;
&lt;/results&gt;
</v>
      </c>
      <c r="F214" cm="1">
        <f t="array" ref="F214">INDEX(_xlfn.FILTERXML(E214,"//latitude"),1)</f>
        <v>35.308784000000003</v>
      </c>
      <c r="G214" cm="1">
        <f t="array" ref="G214">INDEX(_xlfn.FILTERXML(E214,"//longitude"),1)</f>
        <v>139.48191800000001</v>
      </c>
      <c r="H214">
        <v>35.308784000000003</v>
      </c>
      <c r="I214">
        <v>139.48191800000001</v>
      </c>
    </row>
    <row r="215" spans="1:9" x14ac:dyDescent="0.4">
      <c r="A215" t="s">
        <v>21</v>
      </c>
      <c r="B215" t="s">
        <v>59</v>
      </c>
      <c r="C215" t="str">
        <f t="shared" si="26"/>
        <v>栃木県足利市県町</v>
      </c>
      <c r="D215" s="2" t="str">
        <f t="shared" si="27"/>
        <v>http://geocode.csis.u-tokyo.ac.jp/cgi-bin/simple_geocode.cgi?charset=UTF8&amp;addr=%E6%A0%83%E6%9C%A8%E7%9C%8C%E8%B6%B3%E5%88%A9%E5%B8%82%E7%9C%8C%E7%94%BA</v>
      </c>
      <c r="E215" t="str">
        <f t="shared" si="28"/>
        <v xml:space="preserve">&lt;?xml version="1.0" encoding="UTF-8" ?&gt;
&lt;results&gt;
&lt;query&gt;栃木県足利市県町&lt;/query&gt;
&lt;geodetic&gt;wgs1984&lt;/geodetic&gt;
&lt;iConf&gt;5&lt;/iConf&gt;
&lt;converted&gt;栃木県足利市県町&lt;/converted&gt;
&lt;candidate&gt;
&lt;address&gt;栃木県/足利市/県町&lt;/address&gt;
&lt;longitude&gt;139.468750&lt;/longitude&gt;
&lt;latitude&gt;36.286819&lt;/latitude&gt;
&lt;iLvl&gt;5&lt;/iLvl&gt;
&lt;/candidate&gt;
&lt;/results&gt;
</v>
      </c>
      <c r="F215" cm="1">
        <f t="array" ref="F215">INDEX(_xlfn.FILTERXML(E215,"//latitude"),1)</f>
        <v>36.286819000000001</v>
      </c>
      <c r="G215" cm="1">
        <f t="array" ref="G215">INDEX(_xlfn.FILTERXML(E215,"//longitude"),1)</f>
        <v>139.46875</v>
      </c>
      <c r="H215">
        <v>36.286819000000001</v>
      </c>
      <c r="I215">
        <v>139.46875</v>
      </c>
    </row>
    <row r="216" spans="1:9" x14ac:dyDescent="0.4">
      <c r="A216" t="s">
        <v>11</v>
      </c>
      <c r="B216" t="s">
        <v>228</v>
      </c>
      <c r="C216" t="str">
        <f t="shared" si="26"/>
        <v>大阪府大阪市中央区東心斎橋</v>
      </c>
      <c r="D216" s="2" t="str">
        <f t="shared" si="27"/>
        <v>http://geocode.csis.u-tokyo.ac.jp/cgi-bin/simple_geocode.cgi?charset=UTF8&amp;addr=%E5%A4%A7%E9%98%AA%E5%BA%9C%E5%A4%A7%E9%98%AA%E5%B8%82%E4%B8%AD%E5%A4%AE%E5%8C%BA%E6%9D%B1%E5%BF%83%E6%96%8E%E6%A9%8B</v>
      </c>
      <c r="E216" t="str">
        <f t="shared" si="28"/>
        <v xml:space="preserve">&lt;?xml version="1.0" encoding="UTF-8" ?&gt;
&lt;results&gt;
&lt;query&gt;大阪府大阪市中央区東心斎橋&lt;/query&gt;
&lt;geodetic&gt;wgs1984&lt;/geodetic&gt;
&lt;iConf&gt;5&lt;/iConf&gt;
&lt;converted&gt;大阪府大阪市中央区東心斎橋&lt;/converted&gt;
&lt;candidate&gt;
&lt;address&gt;大阪府/大阪市/中央区/東心斎橋&lt;/address&gt;
&lt;longitude&gt;135.504318&lt;/longitude&gt;
&lt;latitude&gt;34.673416&lt;/latitude&gt;
&lt;iLvl&gt;5&lt;/iLvl&gt;
&lt;/candidate&gt;
&lt;/results&gt;
</v>
      </c>
      <c r="F216" cm="1">
        <f t="array" ref="F216">INDEX(_xlfn.FILTERXML(E216,"//latitude"),1)</f>
        <v>34.673416000000003</v>
      </c>
      <c r="G216" cm="1">
        <f t="array" ref="G216">INDEX(_xlfn.FILTERXML(E216,"//longitude"),1)</f>
        <v>135.50431800000001</v>
      </c>
      <c r="H216">
        <v>34.673416000000003</v>
      </c>
      <c r="I216">
        <v>135.50431800000001</v>
      </c>
    </row>
    <row r="217" spans="1:9" x14ac:dyDescent="0.4">
      <c r="A217" t="s">
        <v>10</v>
      </c>
      <c r="B217" t="s">
        <v>50</v>
      </c>
      <c r="C217" t="str">
        <f t="shared" si="26"/>
        <v>神奈川県茅ヶ崎市松が丘</v>
      </c>
      <c r="D217" s="2" t="str">
        <f t="shared" si="27"/>
        <v>http://geocode.csis.u-tokyo.ac.jp/cgi-bin/simple_geocode.cgi?charset=UTF8&amp;addr=%E7%A5%9E%E5%A5%88%E5%B7%9D%E7%9C%8C%E8%8C%85%E3%83%B6%E5%B4%8E%E5%B8%82%E6%9D%BE%E3%81%8C%E4%B8%98</v>
      </c>
      <c r="E217" t="str">
        <f t="shared" si="28"/>
        <v xml:space="preserve">&lt;?xml version="1.0" encoding="UTF-8" ?&gt;
&lt;results&gt;
&lt;query&gt;神奈川県茅ヶ崎市松が丘&lt;/query&gt;
&lt;geodetic&gt;wgs1984&lt;/geodetic&gt;
&lt;iConf&gt;5&lt;/iConf&gt;
&lt;converted&gt;神奈川県茅ヶ崎市松が丘&lt;/converted&gt;
&lt;candidate&gt;
&lt;address&gt;神奈川県/茅ヶ崎市/松が丘&lt;/address&gt;
&lt;longitude&gt;139.421478&lt;/longitude&gt;
&lt;latitude&gt;35.327042&lt;/latitude&gt;
&lt;iLvl&gt;5&lt;/iLvl&gt;
&lt;/candidate&gt;
&lt;/results&gt;
</v>
      </c>
      <c r="F217" cm="1">
        <f t="array" ref="F217">INDEX(_xlfn.FILTERXML(E217,"//latitude"),1)</f>
        <v>35.327041999999999</v>
      </c>
      <c r="G217" cm="1">
        <f t="array" ref="G217">INDEX(_xlfn.FILTERXML(E217,"//longitude"),1)</f>
        <v>139.42147800000001</v>
      </c>
      <c r="H217">
        <v>35.327041999999999</v>
      </c>
      <c r="I217">
        <v>139.42147800000001</v>
      </c>
    </row>
    <row r="218" spans="1:9" x14ac:dyDescent="0.4">
      <c r="A218" t="s">
        <v>13</v>
      </c>
      <c r="B218" t="s">
        <v>229</v>
      </c>
      <c r="C218" t="str">
        <f t="shared" si="26"/>
        <v>兵庫県西脇市</v>
      </c>
      <c r="D218" s="2" t="str">
        <f t="shared" si="27"/>
        <v>http://geocode.csis.u-tokyo.ac.jp/cgi-bin/simple_geocode.cgi?charset=UTF8&amp;addr=%E5%85%B5%E5%BA%AB%E7%9C%8C%E8%A5%BF%E8%84%87%E5%B8%82</v>
      </c>
      <c r="E218" t="str">
        <f t="shared" si="28"/>
        <v xml:space="preserve">&lt;?xml version="1.0" encoding="UTF-8" ?&gt;
&lt;results&gt;
&lt;query&gt;兵庫県西脇市&lt;/query&gt;
&lt;geodetic&gt;wgs1984&lt;/geodetic&gt;
&lt;iConf&gt;5&lt;/iConf&gt;
&lt;converted&gt;兵庫県西脇市&lt;/converted&gt;
&lt;candidate&gt;
&lt;address&gt;兵庫県/西脇市&lt;/address&gt;
&lt;longitude&gt;134.969284&lt;/longitude&gt;
&lt;latitude&gt;34.993427&lt;/latitude&gt;
&lt;iLvl&gt;3&lt;/iLvl&gt;
&lt;/candidate&gt;
&lt;/results&gt;
</v>
      </c>
      <c r="F218" cm="1">
        <f t="array" ref="F218">INDEX(_xlfn.FILTERXML(E218,"//latitude"),1)</f>
        <v>34.993426999999997</v>
      </c>
      <c r="G218" cm="1">
        <f t="array" ref="G218">INDEX(_xlfn.FILTERXML(E218,"//longitude"),1)</f>
        <v>134.96928399999999</v>
      </c>
      <c r="H218">
        <v>34.993426999999997</v>
      </c>
      <c r="I218">
        <v>134.96928399999999</v>
      </c>
    </row>
    <row r="219" spans="1:9" x14ac:dyDescent="0.4">
      <c r="A219" t="s">
        <v>44</v>
      </c>
      <c r="B219" t="s">
        <v>230</v>
      </c>
      <c r="C219" t="str">
        <f t="shared" si="26"/>
        <v>和歌山県橋本市</v>
      </c>
      <c r="D219" s="2" t="str">
        <f t="shared" si="27"/>
        <v>http://geocode.csis.u-tokyo.ac.jp/cgi-bin/simple_geocode.cgi?charset=UTF8&amp;addr=%E5%92%8C%E6%AD%8C%E5%B1%B1%E7%9C%8C%E6%A9%8B%E6%9C%AC%E5%B8%82</v>
      </c>
      <c r="E219" t="str">
        <f t="shared" si="28"/>
        <v xml:space="preserve">&lt;?xml version="1.0" encoding="UTF-8" ?&gt;
&lt;results&gt;
&lt;query&gt;和歌山県橋本市&lt;/query&gt;
&lt;geodetic&gt;wgs1984&lt;/geodetic&gt;
&lt;iConf&gt;5&lt;/iConf&gt;
&lt;converted&gt;和歌山県橋本市&lt;/converted&gt;
&lt;candidate&gt;
&lt;address&gt;和歌山県/橋本市&lt;/address&gt;
&lt;longitude&gt;135.605209&lt;/longitude&gt;
&lt;latitude&gt;34.314877&lt;/latitude&gt;
&lt;iLvl&gt;3&lt;/iLvl&gt;
&lt;/candidate&gt;
&lt;/results&gt;
</v>
      </c>
      <c r="F219" cm="1">
        <f t="array" ref="F219">INDEX(_xlfn.FILTERXML(E219,"//latitude"),1)</f>
        <v>34.314877000000003</v>
      </c>
      <c r="G219" cm="1">
        <f t="array" ref="G219">INDEX(_xlfn.FILTERXML(E219,"//longitude"),1)</f>
        <v>135.605209</v>
      </c>
      <c r="H219">
        <v>34.314877000000003</v>
      </c>
      <c r="I219">
        <v>135.605209</v>
      </c>
    </row>
    <row r="220" spans="1:9" x14ac:dyDescent="0.4">
      <c r="A220" t="s">
        <v>10</v>
      </c>
      <c r="B220" t="s">
        <v>231</v>
      </c>
      <c r="C220" t="str">
        <f t="shared" si="26"/>
        <v>神奈川県三浦郡葉山町長柄</v>
      </c>
      <c r="D220" s="2" t="str">
        <f t="shared" si="27"/>
        <v>http://geocode.csis.u-tokyo.ac.jp/cgi-bin/simple_geocode.cgi?charset=UTF8&amp;addr=%E7%A5%9E%E5%A5%88%E5%B7%9D%E7%9C%8C%E4%B8%89%E6%B5%A6%E9%83%A1%E8%91%89%E5%B1%B1%E7%94%BA%E9%95%B7%E6%9F%84</v>
      </c>
      <c r="E220" t="str">
        <f t="shared" si="28"/>
        <v xml:space="preserve">&lt;?xml version="1.0" encoding="UTF-8" ?&gt;
&lt;results&gt;
&lt;query&gt;神奈川県三浦郡葉山町長柄&lt;/query&gt;
&lt;geodetic&gt;wgs1984&lt;/geodetic&gt;
&lt;iConf&gt;5&lt;/iConf&gt;
&lt;converted&gt;神奈川県三浦郡葉山町長柄&lt;/converted&gt;
&lt;candidate&gt;
&lt;address&gt;神奈川県/三浦郡/葉山町/長柄&lt;/address&gt;
&lt;longitude&gt;139.591141&lt;/longitude&gt;
&lt;latitude&gt;35.283695&lt;/latitude&gt;
&lt;iLvl&gt;5&lt;/iLvl&gt;
&lt;/candidate&gt;
&lt;/results&gt;
</v>
      </c>
      <c r="F220" cm="1">
        <f t="array" ref="F220">INDEX(_xlfn.FILTERXML(E220,"//latitude"),1)</f>
        <v>35.283695000000002</v>
      </c>
      <c r="G220" cm="1">
        <f t="array" ref="G220">INDEX(_xlfn.FILTERXML(E220,"//longitude"),1)</f>
        <v>139.59114099999999</v>
      </c>
      <c r="H220">
        <v>35.283695000000002</v>
      </c>
      <c r="I220">
        <v>139.59114099999999</v>
      </c>
    </row>
    <row r="221" spans="1:9" x14ac:dyDescent="0.4">
      <c r="A221" t="s">
        <v>166</v>
      </c>
      <c r="B221" t="s">
        <v>232</v>
      </c>
      <c r="C221" t="str">
        <f t="shared" si="26"/>
        <v>鹿児島県大島郡　龍郷町</v>
      </c>
      <c r="D221" s="2" t="str">
        <f t="shared" si="27"/>
        <v>http://geocode.csis.u-tokyo.ac.jp/cgi-bin/simple_geocode.cgi?charset=UTF8&amp;addr=%E9%B9%BF%E5%85%90%E5%B3%B6%E7%9C%8C%E5%A4%A7%E5%B3%B6%E9%83%A1%E3%80%80%E9%BE%8D%E9%83%B7%E7%94%BA</v>
      </c>
      <c r="E221" t="str">
        <f t="shared" si="28"/>
        <v xml:space="preserve">&lt;?xml version="1.0" encoding="UTF-8" ?&gt;
&lt;results&gt;
&lt;query&gt;鹿児島県大島郡　龍郷町&lt;/query&gt;
&lt;geodetic&gt;wgs1984&lt;/geodetic&gt;
&lt;iConf&gt;5&lt;/iConf&gt;
&lt;converted&gt;鹿児島県大島郡　龍郷町&lt;/converted&gt;
&lt;candidate&gt;
&lt;address&gt;鹿児島県/大島郡/龍郷町&lt;/address&gt;
&lt;longitude&gt;129.589355&lt;/longitude&gt;
&lt;latitude&gt;28.413300&lt;/latitude&gt;
&lt;iLvl&gt;3&lt;/iLvl&gt;
&lt;/candidate&gt;
&lt;/results&gt;
</v>
      </c>
      <c r="F221" cm="1">
        <f t="array" ref="F221">INDEX(_xlfn.FILTERXML(E221,"//latitude"),1)</f>
        <v>28.4133</v>
      </c>
      <c r="G221" cm="1">
        <f t="array" ref="G221">INDEX(_xlfn.FILTERXML(E221,"//longitude"),1)</f>
        <v>129.58935500000001</v>
      </c>
      <c r="H221">
        <v>28.4133</v>
      </c>
      <c r="I221">
        <v>129.58935500000001</v>
      </c>
    </row>
    <row r="222" spans="1:9" x14ac:dyDescent="0.4">
      <c r="A222" t="s">
        <v>10</v>
      </c>
      <c r="B222" t="s">
        <v>233</v>
      </c>
      <c r="C222" t="str">
        <f t="shared" si="26"/>
        <v>神奈川県川崎市多摩区東三田</v>
      </c>
      <c r="D222" s="2" t="str">
        <f t="shared" si="27"/>
        <v>http://geocode.csis.u-tokyo.ac.jp/cgi-bin/simple_geocode.cgi?charset=UTF8&amp;addr=%E7%A5%9E%E5%A5%88%E5%B7%9D%E7%9C%8C%E5%B7%9D%E5%B4%8E%E5%B8%82%E5%A4%9A%E6%91%A9%E5%8C%BA%E6%9D%B1%E4%B8%89%E7%94%B0</v>
      </c>
      <c r="E222" t="str">
        <f t="shared" si="28"/>
        <v xml:space="preserve">&lt;?xml version="1.0" encoding="UTF-8" ?&gt;
&lt;results&gt;
&lt;query&gt;神奈川県川崎市多摩区東三田&lt;/query&gt;
&lt;geodetic&gt;wgs1984&lt;/geodetic&gt;
&lt;iConf&gt;5&lt;/iConf&gt;
&lt;converted&gt;神奈川県川崎市多摩区東三田&lt;/converted&gt;
&lt;candidate&gt;
&lt;address&gt;神奈川県/川崎市/多摩区/東三田&lt;/address&gt;
&lt;longitude&gt;139.549011&lt;/longitude&gt;
&lt;latitude&gt;35.612652&lt;/latitude&gt;
&lt;iLvl&gt;5&lt;/iLvl&gt;
&lt;/candidate&gt;
&lt;/results&gt;
</v>
      </c>
      <c r="F222" cm="1">
        <f t="array" ref="F222">INDEX(_xlfn.FILTERXML(E222,"//latitude"),1)</f>
        <v>35.612651999999997</v>
      </c>
      <c r="G222" cm="1">
        <f t="array" ref="G222">INDEX(_xlfn.FILTERXML(E222,"//longitude"),1)</f>
        <v>139.54901100000001</v>
      </c>
      <c r="H222">
        <v>35.612651999999997</v>
      </c>
      <c r="I222">
        <v>139.54901100000001</v>
      </c>
    </row>
    <row r="223" spans="1:9" x14ac:dyDescent="0.4">
      <c r="A223" t="s">
        <v>234</v>
      </c>
      <c r="B223" t="s">
        <v>235</v>
      </c>
      <c r="C223" t="str">
        <f t="shared" si="26"/>
        <v>大分県大分市公園通り</v>
      </c>
      <c r="D223" s="2" t="str">
        <f t="shared" si="27"/>
        <v>http://geocode.csis.u-tokyo.ac.jp/cgi-bin/simple_geocode.cgi?charset=UTF8&amp;addr=%E5%A4%A7%E5%88%86%E7%9C%8C%E5%A4%A7%E5%88%86%E5%B8%82%E5%85%AC%E5%9C%92%E9%80%9A%E3%82%8A</v>
      </c>
      <c r="E223" t="str">
        <f t="shared" si="28"/>
        <v xml:space="preserve">&lt;?xml version="1.0" encoding="UTF-8" ?&gt;
&lt;results&gt;
&lt;query&gt;大分県大分市公園通り&lt;/query&gt;
&lt;geodetic&gt;wgs1984&lt;/geodetic&gt;
&lt;iConf&gt;5&lt;/iConf&gt;
&lt;converted&gt;大分県大分市公園通り&lt;/converted&gt;
&lt;candidate&gt;
&lt;address&gt;大分県/大分市/公園通り&lt;/address&gt;
&lt;longitude&gt;131.655121&lt;/longitude&gt;
&lt;latitude&gt;33.188915&lt;/latitude&gt;
&lt;iLvl&gt;5&lt;/iLvl&gt;
&lt;/candidate&gt;
&lt;/results&gt;
</v>
      </c>
      <c r="F223" cm="1">
        <f t="array" ref="F223">INDEX(_xlfn.FILTERXML(E223,"//latitude"),1)</f>
        <v>33.188915000000001</v>
      </c>
      <c r="G223" cm="1">
        <f t="array" ref="G223">INDEX(_xlfn.FILTERXML(E223,"//longitude"),1)</f>
        <v>131.65512100000001</v>
      </c>
      <c r="H223">
        <v>33.188915000000001</v>
      </c>
      <c r="I223">
        <v>131.65512100000001</v>
      </c>
    </row>
    <row r="224" spans="1:9" x14ac:dyDescent="0.4">
      <c r="A224" t="s">
        <v>82</v>
      </c>
      <c r="B224" t="s">
        <v>236</v>
      </c>
      <c r="C224" t="str">
        <f t="shared" si="26"/>
        <v>青森県青森市羽白字沢田</v>
      </c>
      <c r="D224" s="2" t="str">
        <f t="shared" si="27"/>
        <v>http://geocode.csis.u-tokyo.ac.jp/cgi-bin/simple_geocode.cgi?charset=UTF8&amp;addr=%E9%9D%92%E6%A3%AE%E7%9C%8C%E9%9D%92%E6%A3%AE%E5%B8%82%E7%BE%BD%E7%99%BD%E5%AD%97%E6%B2%A2%E7%94%B0</v>
      </c>
      <c r="E224" t="str">
        <f t="shared" si="28"/>
        <v xml:space="preserve">&lt;?xml version="1.0" encoding="UTF-8" ?&gt;
&lt;results&gt;
&lt;query&gt;青森県青森市羽白字沢田&lt;/query&gt;
&lt;geodetic&gt;wgs1984&lt;/geodetic&gt;
&lt;iConf&gt;5&lt;/iConf&gt;
&lt;converted&gt;青森県青森市羽白字沢田&lt;/converted&gt;
&lt;candidate&gt;
&lt;address&gt;青森県/青森市/大字羽白/沢田&lt;/address&gt;
&lt;longitude&gt;140.678848&lt;/longitude&gt;
&lt;latitude&gt;40.857849&lt;/latitude&gt;
&lt;iLvl&gt;6&lt;/iLvl&gt;
&lt;/candidate&gt;
&lt;/results&gt;
</v>
      </c>
      <c r="F224" cm="1">
        <f t="array" ref="F224">INDEX(_xlfn.FILTERXML(E224,"//latitude"),1)</f>
        <v>40.857849000000002</v>
      </c>
      <c r="G224" cm="1">
        <f t="array" ref="G224">INDEX(_xlfn.FILTERXML(E224,"//longitude"),1)</f>
        <v>140.67884799999999</v>
      </c>
      <c r="H224">
        <v>40.857849000000002</v>
      </c>
      <c r="I224">
        <v>140.67884799999999</v>
      </c>
    </row>
    <row r="225" spans="1:9" x14ac:dyDescent="0.4">
      <c r="A225" t="s">
        <v>14</v>
      </c>
      <c r="B225" t="s">
        <v>566</v>
      </c>
      <c r="C225" t="str">
        <f t="shared" si="26"/>
        <v>長野県下伊那郡松川町元大島</v>
      </c>
      <c r="D225" s="2" t="str">
        <f t="shared" si="27"/>
        <v>http://geocode.csis.u-tokyo.ac.jp/cgi-bin/simple_geocode.cgi?charset=UTF8&amp;addr=%E9%95%B7%E9%87%8E%E7%9C%8C%E4%B8%8B%E4%BC%8A%E9%82%A3%E9%83%A1%E6%9D%BE%E5%B7%9D%E7%94%BA%E5%85%83%E5%A4%A7%E5%B3%B6</v>
      </c>
      <c r="E225" t="str">
        <f t="shared" si="28"/>
        <v xml:space="preserve">&lt;?xml version="1.0" encoding="UTF-8" ?&gt;
&lt;results&gt;
&lt;query&gt;長野県下伊那郡松川町元大島&lt;/query&gt;
&lt;geodetic&gt;wgs1984&lt;/geodetic&gt;
&lt;iConf&gt;5&lt;/iConf&gt;
&lt;converted&gt;長野県下伊那郡松川町元大島&lt;/converted&gt;
&lt;candidate&gt;
&lt;address&gt;長野県/下伊那郡/松川町/元大島&lt;/address&gt;
&lt;longitude&gt;137.909164&lt;/longitude&gt;
&lt;latitude&gt;35.593460&lt;/latitude&gt;
&lt;iLvl&gt;5&lt;/iLvl&gt;
&lt;/candidate&gt;
&lt;/results&gt;
</v>
      </c>
      <c r="F225" cm="1">
        <f t="array" ref="F225">INDEX(_xlfn.FILTERXML(E225,"//latitude"),1)</f>
        <v>35.59346</v>
      </c>
      <c r="G225" cm="1">
        <f t="array" ref="G225">INDEX(_xlfn.FILTERXML(E225,"//longitude"),1)</f>
        <v>137.909164</v>
      </c>
      <c r="H225">
        <v>35.59346</v>
      </c>
      <c r="I225">
        <v>137.909164</v>
      </c>
    </row>
    <row r="226" spans="1:9" x14ac:dyDescent="0.4">
      <c r="A226" t="s">
        <v>14</v>
      </c>
      <c r="B226" t="s">
        <v>237</v>
      </c>
      <c r="C226" t="str">
        <f t="shared" si="26"/>
        <v>長野県須坂市大字福島</v>
      </c>
      <c r="D226" s="2" t="str">
        <f t="shared" si="27"/>
        <v>http://geocode.csis.u-tokyo.ac.jp/cgi-bin/simple_geocode.cgi?charset=UTF8&amp;addr=%E9%95%B7%E9%87%8E%E7%9C%8C%E9%A0%88%E5%9D%82%E5%B8%82%E5%A4%A7%E5%AD%97%E7%A6%8F%E5%B3%B6</v>
      </c>
      <c r="E226" t="str">
        <f t="shared" si="28"/>
        <v xml:space="preserve">&lt;?xml version="1.0" encoding="UTF-8" ?&gt;
&lt;results&gt;
&lt;query&gt;長野県須坂市大字福島&lt;/query&gt;
&lt;geodetic&gt;wgs1984&lt;/geodetic&gt;
&lt;iConf&gt;5&lt;/iConf&gt;
&lt;converted&gt;長野県須坂市大字福島&lt;/converted&gt;
&lt;candidate&gt;
&lt;address&gt;長野県/須坂市/福島&lt;/address&gt;
&lt;longitude&gt;138.265137&lt;/longitude&gt;
&lt;latitude&gt;36.646191&lt;/latitude&gt;
&lt;iLvl&gt;5&lt;/iLvl&gt;
&lt;/candidate&gt;
&lt;/results&gt;
</v>
      </c>
      <c r="F226" cm="1">
        <f t="array" ref="F226">INDEX(_xlfn.FILTERXML(E226,"//latitude"),1)</f>
        <v>36.646191000000002</v>
      </c>
      <c r="G226" cm="1">
        <f t="array" ref="G226">INDEX(_xlfn.FILTERXML(E226,"//longitude"),1)</f>
        <v>138.26513700000001</v>
      </c>
      <c r="H226">
        <v>36.646191000000002</v>
      </c>
      <c r="I226">
        <v>138.26513700000001</v>
      </c>
    </row>
    <row r="227" spans="1:9" x14ac:dyDescent="0.4">
      <c r="A227" t="s">
        <v>9</v>
      </c>
      <c r="B227" t="s">
        <v>238</v>
      </c>
      <c r="C227" t="str">
        <f t="shared" si="26"/>
        <v>東京都江戸川区西瑞江</v>
      </c>
      <c r="D227" s="2" t="str">
        <f t="shared" si="27"/>
        <v>http://geocode.csis.u-tokyo.ac.jp/cgi-bin/simple_geocode.cgi?charset=UTF8&amp;addr=%E6%9D%B1%E4%BA%AC%E9%83%BD%E6%B1%9F%E6%88%B8%E5%B7%9D%E5%8C%BA%E8%A5%BF%E7%91%9E%E6%B1%9F</v>
      </c>
      <c r="E227" t="str">
        <f t="shared" si="28"/>
        <v xml:space="preserve">&lt;?xml version="1.0" encoding="UTF-8" ?&gt;
&lt;results&gt;
&lt;query&gt;東京都江戸川区西瑞江&lt;/query&gt;
&lt;geodetic&gt;wgs1984&lt;/geodetic&gt;
&lt;iConf&gt;5&lt;/iConf&gt;
&lt;converted&gt;東京都江戸川区西瑞江&lt;/converted&gt;
&lt;candidate&gt;
&lt;address&gt;東京都/江戸川区/西瑞江&lt;/address&gt;
&lt;longitude&gt;139.890442&lt;/longitude&gt;
&lt;latitude&gt;35.688530&lt;/latitude&gt;
&lt;iLvl&gt;5&lt;/iLvl&gt;
&lt;/candidate&gt;
&lt;/results&gt;
</v>
      </c>
      <c r="F227" cm="1">
        <f t="array" ref="F227">INDEX(_xlfn.FILTERXML(E227,"//latitude"),1)</f>
        <v>35.68853</v>
      </c>
      <c r="G227" cm="1">
        <f t="array" ref="G227">INDEX(_xlfn.FILTERXML(E227,"//longitude"),1)</f>
        <v>139.89044200000001</v>
      </c>
      <c r="H227">
        <v>35.68853</v>
      </c>
      <c r="I227">
        <v>139.89044200000001</v>
      </c>
    </row>
    <row r="228" spans="1:9" x14ac:dyDescent="0.4">
      <c r="A228" t="s">
        <v>132</v>
      </c>
      <c r="B228" t="s">
        <v>567</v>
      </c>
      <c r="C228" t="str">
        <f t="shared" si="26"/>
        <v>岡山県赤磐市</v>
      </c>
      <c r="D228" s="2" t="str">
        <f t="shared" si="27"/>
        <v>http://geocode.csis.u-tokyo.ac.jp/cgi-bin/simple_geocode.cgi?charset=UTF8&amp;addr=%E5%B2%A1%E5%B1%B1%E7%9C%8C%E8%B5%A4%E7%A3%90%E5%B8%82</v>
      </c>
      <c r="E228" t="str">
        <f t="shared" si="28"/>
        <v xml:space="preserve">&lt;?xml version="1.0" encoding="UTF-8" ?&gt;
&lt;results&gt;
&lt;query&gt;岡山県赤磐市&lt;/query&gt;
&lt;geodetic&gt;wgs1984&lt;/geodetic&gt;
&lt;iConf&gt;5&lt;/iConf&gt;
&lt;converted&gt;岡山県赤磐市&lt;/converted&gt;
&lt;candidate&gt;
&lt;address&gt;岡山県/赤磐市&lt;/address&gt;
&lt;longitude&gt;134.018845&lt;/longitude&gt;
&lt;latitude&gt;34.755398&lt;/latitude&gt;
&lt;iLvl&gt;3&lt;/iLvl&gt;
&lt;/candidate&gt;
&lt;/results&gt;
</v>
      </c>
      <c r="F228" cm="1">
        <f t="array" ref="F228">INDEX(_xlfn.FILTERXML(E228,"//latitude"),1)</f>
        <v>34.755398</v>
      </c>
      <c r="G228" cm="1">
        <f t="array" ref="G228">INDEX(_xlfn.FILTERXML(E228,"//longitude"),1)</f>
        <v>134.018845</v>
      </c>
      <c r="H228">
        <v>34.755398</v>
      </c>
      <c r="I228">
        <v>134.018845</v>
      </c>
    </row>
    <row r="229" spans="1:9" x14ac:dyDescent="0.4">
      <c r="A229" t="s">
        <v>18</v>
      </c>
      <c r="B229" t="s">
        <v>134</v>
      </c>
      <c r="C229" t="str">
        <f t="shared" si="26"/>
        <v>茨城県日立市久慈町</v>
      </c>
      <c r="D229" s="2" t="str">
        <f t="shared" si="27"/>
        <v>http://geocode.csis.u-tokyo.ac.jp/cgi-bin/simple_geocode.cgi?charset=UTF8&amp;addr=%E8%8C%A8%E5%9F%8E%E7%9C%8C%E6%97%A5%E7%AB%8B%E5%B8%82%E4%B9%85%E6%85%88%E7%94%BA</v>
      </c>
      <c r="E229" t="str">
        <f t="shared" si="28"/>
        <v xml:space="preserve">&lt;?xml version="1.0" encoding="UTF-8" ?&gt;
&lt;results&gt;
&lt;query&gt;茨城県日立市久慈町&lt;/query&gt;
&lt;geodetic&gt;wgs1984&lt;/geodetic&gt;
&lt;iConf&gt;5&lt;/iConf&gt;
&lt;converted&gt;茨城県日立市久慈町&lt;/converted&gt;
&lt;candidate&gt;
&lt;address&gt;茨城県/日立市/久慈町&lt;/address&gt;
&lt;longitude&gt;140.622589&lt;/longitude&gt;
&lt;latitude&gt;36.498386&lt;/latitude&gt;
&lt;iLvl&gt;5&lt;/iLvl&gt;
&lt;/candidate&gt;
&lt;/results&gt;
</v>
      </c>
      <c r="F229" cm="1">
        <f t="array" ref="F229">INDEX(_xlfn.FILTERXML(E229,"//latitude"),1)</f>
        <v>36.498386000000004</v>
      </c>
      <c r="G229" cm="1">
        <f t="array" ref="G229">INDEX(_xlfn.FILTERXML(E229,"//longitude"),1)</f>
        <v>140.622589</v>
      </c>
      <c r="H229">
        <v>36.498386000000004</v>
      </c>
      <c r="I229">
        <v>140.622589</v>
      </c>
    </row>
    <row r="230" spans="1:9" x14ac:dyDescent="0.4">
      <c r="A230" t="s">
        <v>12</v>
      </c>
      <c r="B230" t="s">
        <v>568</v>
      </c>
      <c r="C230" t="str">
        <f t="shared" si="26"/>
        <v>埼玉県草加市氷川町</v>
      </c>
      <c r="D230" s="2" t="str">
        <f t="shared" si="27"/>
        <v>http://geocode.csis.u-tokyo.ac.jp/cgi-bin/simple_geocode.cgi?charset=UTF8&amp;addr=%E5%9F%BC%E7%8E%89%E7%9C%8C%E8%8D%89%E5%8A%A0%E5%B8%82%E6%B0%B7%E5%B7%9D%E7%94%BA</v>
      </c>
      <c r="E230" t="str">
        <f t="shared" si="28"/>
        <v xml:space="preserve">&lt;?xml version="1.0" encoding="UTF-8" ?&gt;
&lt;results&gt;
&lt;query&gt;埼玉県草加市氷川町&lt;/query&gt;
&lt;geodetic&gt;wgs1984&lt;/geodetic&gt;
&lt;iConf&gt;5&lt;/iConf&gt;
&lt;converted&gt;埼玉県草加市氷川町&lt;/converted&gt;
&lt;candidate&gt;
&lt;address&gt;埼玉県/草加市/氷川町&lt;/address&gt;
&lt;longitude&gt;139.799759&lt;/longitude&gt;
&lt;latitude&gt;35.826939&lt;/latitude&gt;
&lt;iLvl&gt;5&lt;/iLvl&gt;
&lt;/candidate&gt;
&lt;/results&gt;
</v>
      </c>
      <c r="F230" cm="1">
        <f t="array" ref="F230">INDEX(_xlfn.FILTERXML(E230,"//latitude"),1)</f>
        <v>35.826939000000003</v>
      </c>
      <c r="G230" cm="1">
        <f t="array" ref="G230">INDEX(_xlfn.FILTERXML(E230,"//longitude"),1)</f>
        <v>139.79975899999999</v>
      </c>
      <c r="H230">
        <v>35.826939000000003</v>
      </c>
      <c r="I230">
        <v>139.79975899999999</v>
      </c>
    </row>
    <row r="231" spans="1:9" x14ac:dyDescent="0.4">
      <c r="A231" t="s">
        <v>21</v>
      </c>
      <c r="B231" t="s">
        <v>239</v>
      </c>
      <c r="C231" t="str">
        <f t="shared" si="26"/>
        <v>栃木県宇都宮市</v>
      </c>
      <c r="D231" s="2" t="str">
        <f t="shared" si="27"/>
        <v>http://geocode.csis.u-tokyo.ac.jp/cgi-bin/simple_geocode.cgi?charset=UTF8&amp;addr=%E6%A0%83%E6%9C%A8%E7%9C%8C%E5%AE%87%E9%83%BD%E5%AE%AE%E5%B8%82</v>
      </c>
      <c r="E231" t="str">
        <f t="shared" si="28"/>
        <v xml:space="preserve">&lt;?xml version="1.0" encoding="UTF-8" ?&gt;
&lt;results&gt;
&lt;query&gt;栃木県宇都宮市&lt;/query&gt;
&lt;geodetic&gt;wgs1984&lt;/geodetic&gt;
&lt;iConf&gt;5&lt;/iConf&gt;
&lt;converted&gt;栃木県宇都宮市&lt;/converted&gt;
&lt;candidate&gt;
&lt;address&gt;栃木県/宇都宮市&lt;/address&gt;
&lt;longitude&gt;139.882812&lt;/longitude&gt;
&lt;latitude&gt;36.555115&lt;/latitude&gt;
&lt;iLvl&gt;3&lt;/iLvl&gt;
&lt;/candidate&gt;
&lt;/results&gt;
</v>
      </c>
      <c r="F231" cm="1">
        <f t="array" ref="F231">INDEX(_xlfn.FILTERXML(E231,"//latitude"),1)</f>
        <v>36.555115000000001</v>
      </c>
      <c r="G231" cm="1">
        <f t="array" ref="G231">INDEX(_xlfn.FILTERXML(E231,"//longitude"),1)</f>
        <v>139.882812</v>
      </c>
      <c r="H231">
        <v>36.555115000000001</v>
      </c>
      <c r="I231">
        <v>139.882812</v>
      </c>
    </row>
    <row r="232" spans="1:9" x14ac:dyDescent="0.4">
      <c r="A232" t="s">
        <v>9</v>
      </c>
      <c r="B232" t="s">
        <v>240</v>
      </c>
      <c r="C232" t="str">
        <f t="shared" si="26"/>
        <v>東京都杉並区浜田山</v>
      </c>
      <c r="D232" s="2" t="str">
        <f t="shared" si="27"/>
        <v>http://geocode.csis.u-tokyo.ac.jp/cgi-bin/simple_geocode.cgi?charset=UTF8&amp;addr=%E6%9D%B1%E4%BA%AC%E9%83%BD%E6%9D%89%E4%B8%A6%E5%8C%BA%E6%B5%9C%E7%94%B0%E5%B1%B1</v>
      </c>
      <c r="E232" t="str">
        <f t="shared" si="28"/>
        <v xml:space="preserve">&lt;?xml version="1.0" encoding="UTF-8" ?&gt;
&lt;results&gt;
&lt;query&gt;東京都杉並区浜田山&lt;/query&gt;
&lt;geodetic&gt;wgs1984&lt;/geodetic&gt;
&lt;iConf&gt;5&lt;/iConf&gt;
&lt;converted&gt;東京都杉並区浜田山&lt;/converted&gt;
&lt;candidate&gt;
&lt;address&gt;東京都/杉並区/浜田山&lt;/address&gt;
&lt;longitude&gt;139.631012&lt;/longitude&gt;
&lt;latitude&gt;35.678024&lt;/latitude&gt;
&lt;iLvl&gt;5&lt;/iLvl&gt;
&lt;/candidate&gt;
&lt;/results&gt;
</v>
      </c>
      <c r="F232" cm="1">
        <f t="array" ref="F232">INDEX(_xlfn.FILTERXML(E232,"//latitude"),1)</f>
        <v>35.678024000000001</v>
      </c>
      <c r="G232" cm="1">
        <f t="array" ref="G232">INDEX(_xlfn.FILTERXML(E232,"//longitude"),1)</f>
        <v>139.631012</v>
      </c>
      <c r="H232">
        <v>35.678024000000001</v>
      </c>
      <c r="I232">
        <v>139.631012</v>
      </c>
    </row>
    <row r="233" spans="1:9" x14ac:dyDescent="0.4">
      <c r="A233" t="s">
        <v>24</v>
      </c>
      <c r="B233" t="s">
        <v>51</v>
      </c>
      <c r="C233" t="str">
        <f t="shared" si="26"/>
        <v>静岡県浜松市浜名区新原</v>
      </c>
      <c r="D233" s="2" t="str">
        <f t="shared" si="27"/>
        <v>http://geocode.csis.u-tokyo.ac.jp/cgi-bin/simple_geocode.cgi?charset=UTF8&amp;addr=%E9%9D%99%E5%B2%A1%E7%9C%8C%E6%B5%9C%E6%9D%BE%E5%B8%82%E6%B5%9C%E5%90%8D%E5%8C%BA%E6%96%B0%E5%8E%9F</v>
      </c>
      <c r="E233" t="str">
        <f t="shared" si="28"/>
        <v xml:space="preserve">&lt;?xml version="1.0" encoding="UTF-8" ?&gt;
&lt;results&gt;
&lt;query&gt;静岡県浜松市浜名区新原&lt;/query&gt;
&lt;geodetic&gt;wgs1984&lt;/geodetic&gt;
&lt;iConf&gt;5&lt;/iConf&gt;
&lt;converted&gt;静岡県浜松市浜名区新原&lt;/converted&gt;
&lt;candidate&gt;
&lt;address&gt;静岡県/浜松市/浜名区/新原&lt;/address&gt;
&lt;longitude&gt;137.782730&lt;/longitude&gt;
&lt;latitude&gt;34.814850&lt;/latitude&gt;
&lt;iLvl&gt;5&lt;/iLvl&gt;
&lt;/candidate&gt;
&lt;/results&gt;
</v>
      </c>
      <c r="F233" cm="1">
        <f t="array" ref="F233">INDEX(_xlfn.FILTERXML(E233,"//latitude"),1)</f>
        <v>34.81485</v>
      </c>
      <c r="G233" cm="1">
        <f t="array" ref="G233">INDEX(_xlfn.FILTERXML(E233,"//longitude"),1)</f>
        <v>137.78272999999999</v>
      </c>
      <c r="H233">
        <v>34.81485</v>
      </c>
      <c r="I233">
        <v>137.78272999999999</v>
      </c>
    </row>
    <row r="234" spans="1:9" x14ac:dyDescent="0.4">
      <c r="A234" t="s">
        <v>12</v>
      </c>
      <c r="B234" t="s">
        <v>52</v>
      </c>
      <c r="C234" t="str">
        <f t="shared" si="26"/>
        <v>埼玉県北葛飾郡松伏町</v>
      </c>
      <c r="D234" s="2" t="str">
        <f t="shared" si="27"/>
        <v>http://geocode.csis.u-tokyo.ac.jp/cgi-bin/simple_geocode.cgi?charset=UTF8&amp;addr=%E5%9F%BC%E7%8E%89%E7%9C%8C%E5%8C%97%E8%91%9B%E9%A3%BE%E9%83%A1%E6%9D%BE%E4%BC%8F%E7%94%BA</v>
      </c>
      <c r="E234" t="str">
        <f t="shared" si="28"/>
        <v xml:space="preserve">&lt;?xml version="1.0" encoding="UTF-8" ?&gt;
&lt;results&gt;
&lt;query&gt;埼玉県北葛飾郡松伏町&lt;/query&gt;
&lt;geodetic&gt;wgs1984&lt;/geodetic&gt;
&lt;iConf&gt;5&lt;/iConf&gt;
&lt;converted&gt;埼玉県北葛飾郡松伏町&lt;/converted&gt;
&lt;candidate&gt;
&lt;address&gt;埼玉県/北葛飾郡/松伏町&lt;/address&gt;
&lt;longitude&gt;139.815140&lt;/longitude&gt;
&lt;latitude&gt;35.925751&lt;/latitude&gt;
&lt;iLvl&gt;3&lt;/iLvl&gt;
&lt;/candidate&gt;
&lt;/results&gt;
</v>
      </c>
      <c r="F234" cm="1">
        <f t="array" ref="F234">INDEX(_xlfn.FILTERXML(E234,"//latitude"),1)</f>
        <v>35.925750999999998</v>
      </c>
      <c r="G234" cm="1">
        <f t="array" ref="G234">INDEX(_xlfn.FILTERXML(E234,"//longitude"),1)</f>
        <v>139.81514000000001</v>
      </c>
      <c r="H234">
        <v>35.925750999999998</v>
      </c>
      <c r="I234">
        <v>139.81514000000001</v>
      </c>
    </row>
    <row r="235" spans="1:9" x14ac:dyDescent="0.4">
      <c r="A235" t="s">
        <v>13</v>
      </c>
      <c r="B235" t="s">
        <v>241</v>
      </c>
      <c r="C235" t="str">
        <f t="shared" si="26"/>
        <v>兵庫県宝塚市中筋山手4丁目</v>
      </c>
      <c r="D235" s="2" t="str">
        <f t="shared" si="27"/>
        <v>http://geocode.csis.u-tokyo.ac.jp/cgi-bin/simple_geocode.cgi?charset=UTF8&amp;addr=%E5%85%B5%E5%BA%AB%E7%9C%8C%E5%AE%9D%E5%A1%9A%E5%B8%82%E4%B8%AD%E7%AD%8B%E5%B1%B1%E6%89%8B4%E4%B8%81%E7%9B%AE</v>
      </c>
      <c r="E235" t="str">
        <f t="shared" si="28"/>
        <v xml:space="preserve">&lt;?xml version="1.0" encoding="UTF-8" ?&gt;
&lt;results&gt;
&lt;query&gt;兵庫県宝塚市中筋山手4丁目&lt;/query&gt;
&lt;geodetic&gt;wgs1984&lt;/geodetic&gt;
&lt;iConf&gt;5&lt;/iConf&gt;
&lt;converted&gt;兵庫県宝塚市中筋山手4丁目&lt;/converted&gt;
&lt;candidate&gt;
&lt;address&gt;兵庫県/宝塚市/中筋山手/四丁目&lt;/address&gt;
&lt;longitude&gt;135.375504&lt;/longitude&gt;
&lt;latitude&gt;34.822479&lt;/latitude&gt;
&lt;iLvl&gt;6&lt;/iLvl&gt;
&lt;/candidate&gt;
&lt;/results&gt;
</v>
      </c>
      <c r="F235" cm="1">
        <f t="array" ref="F235">INDEX(_xlfn.FILTERXML(E235,"//latitude"),1)</f>
        <v>34.822479000000001</v>
      </c>
      <c r="G235" cm="1">
        <f t="array" ref="G235">INDEX(_xlfn.FILTERXML(E235,"//longitude"),1)</f>
        <v>135.37550400000001</v>
      </c>
      <c r="H235">
        <v>34.822479000000001</v>
      </c>
      <c r="I235">
        <v>135.37550400000001</v>
      </c>
    </row>
    <row r="236" spans="1:9" x14ac:dyDescent="0.4">
      <c r="A236" t="s">
        <v>24</v>
      </c>
      <c r="B236" t="s">
        <v>63</v>
      </c>
      <c r="C236" t="str">
        <f t="shared" si="26"/>
        <v>静岡県浜松市中央区中田島町</v>
      </c>
      <c r="D236" s="2" t="str">
        <f t="shared" si="27"/>
        <v>http://geocode.csis.u-tokyo.ac.jp/cgi-bin/simple_geocode.cgi?charset=UTF8&amp;addr=%E9%9D%99%E5%B2%A1%E7%9C%8C%E6%B5%9C%E6%9D%BE%E5%B8%82%E4%B8%AD%E5%A4%AE%E5%8C%BA%E4%B8%AD%E7%94%B0%E5%B3%B6%E7%94%BA</v>
      </c>
      <c r="E236" t="str">
        <f t="shared" si="28"/>
        <v xml:space="preserve">&lt;?xml version="1.0" encoding="UTF-8" ?&gt;
&lt;results&gt;
&lt;query&gt;静岡県浜松市中央区中田島町&lt;/query&gt;
&lt;geodetic&gt;wgs1984&lt;/geodetic&gt;
&lt;iConf&gt;5&lt;/iConf&gt;
&lt;converted&gt;静岡県浜松市中央区中田島町&lt;/converted&gt;
&lt;candidate&gt;
&lt;address&gt;静岡県/浜松市/中央区/中田島町&lt;/address&gt;
&lt;longitude&gt;137.741867&lt;/longitude&gt;
&lt;latitude&gt;34.668755&lt;/latitude&gt;
&lt;iLvl&gt;5&lt;/iLvl&gt;
&lt;/candidate&gt;
&lt;/results&gt;
</v>
      </c>
      <c r="F236" cm="1">
        <f t="array" ref="F236">INDEX(_xlfn.FILTERXML(E236,"//latitude"),1)</f>
        <v>34.668754999999997</v>
      </c>
      <c r="G236" cm="1">
        <f t="array" ref="G236">INDEX(_xlfn.FILTERXML(E236,"//longitude"),1)</f>
        <v>137.74186700000001</v>
      </c>
      <c r="H236">
        <v>34.668754999999997</v>
      </c>
      <c r="I236">
        <v>137.74186700000001</v>
      </c>
    </row>
    <row r="237" spans="1:9" x14ac:dyDescent="0.4">
      <c r="A237" t="s">
        <v>13</v>
      </c>
      <c r="B237" t="s">
        <v>242</v>
      </c>
      <c r="C237" t="str">
        <f t="shared" si="26"/>
        <v>兵庫県芦屋市</v>
      </c>
      <c r="D237" s="2" t="str">
        <f t="shared" si="27"/>
        <v>http://geocode.csis.u-tokyo.ac.jp/cgi-bin/simple_geocode.cgi?charset=UTF8&amp;addr=%E5%85%B5%E5%BA%AB%E7%9C%8C%E8%8A%A6%E5%B1%8B%E5%B8%82</v>
      </c>
      <c r="E237" t="str">
        <f t="shared" si="28"/>
        <v xml:space="preserve">&lt;?xml version="1.0" encoding="UTF-8" ?&gt;
&lt;results&gt;
&lt;query&gt;兵庫県芦屋市&lt;/query&gt;
&lt;geodetic&gt;wgs1984&lt;/geodetic&gt;
&lt;iConf&gt;5&lt;/iConf&gt;
&lt;converted&gt;兵庫県芦屋市&lt;/converted&gt;
&lt;candidate&gt;
&lt;address&gt;兵庫県/芦屋市&lt;/address&gt;
&lt;longitude&gt;135.304184&lt;/longitude&gt;
&lt;latitude&gt;34.726521&lt;/latitude&gt;
&lt;iLvl&gt;3&lt;/iLvl&gt;
&lt;/candidate&gt;
&lt;/results&gt;
</v>
      </c>
      <c r="F237" cm="1">
        <f t="array" ref="F237">INDEX(_xlfn.FILTERXML(E237,"//latitude"),1)</f>
        <v>34.726520999999998</v>
      </c>
      <c r="G237" cm="1">
        <f t="array" ref="G237">INDEX(_xlfn.FILTERXML(E237,"//longitude"),1)</f>
        <v>135.30418399999999</v>
      </c>
      <c r="H237">
        <v>34.726520999999998</v>
      </c>
      <c r="I237">
        <v>135.30418399999999</v>
      </c>
    </row>
    <row r="238" spans="1:9" x14ac:dyDescent="0.4">
      <c r="A238" t="s">
        <v>15</v>
      </c>
      <c r="B238" t="s">
        <v>243</v>
      </c>
      <c r="C238" t="str">
        <f t="shared" si="26"/>
        <v>愛知県名古屋市中川区愛知町</v>
      </c>
      <c r="D238" s="2" t="str">
        <f t="shared" si="27"/>
        <v>http://geocode.csis.u-tokyo.ac.jp/cgi-bin/simple_geocode.cgi?charset=UTF8&amp;addr=%E6%84%9B%E7%9F%A5%E7%9C%8C%E5%90%8D%E5%8F%A4%E5%B1%8B%E5%B8%82%E4%B8%AD%E5%B7%9D%E5%8C%BA%E6%84%9B%E7%9F%A5%E7%94%BA</v>
      </c>
      <c r="E238" t="str">
        <f t="shared" si="28"/>
        <v xml:space="preserve">&lt;?xml version="1.0" encoding="UTF-8" ?&gt;
&lt;results&gt;
&lt;query&gt;愛知県名古屋市中川区愛知町&lt;/query&gt;
&lt;geodetic&gt;wgs1984&lt;/geodetic&gt;
&lt;iConf&gt;5&lt;/iConf&gt;
&lt;converted&gt;愛知県名古屋市中川区愛知町&lt;/converted&gt;
&lt;candidate&gt;
&lt;address&gt;愛知県/名古屋市/中川区/愛知町&lt;/address&gt;
&lt;longitude&gt;136.876175&lt;/longitude&gt;
&lt;latitude&gt;35.154072&lt;/latitude&gt;
&lt;iLvl&gt;5&lt;/iLvl&gt;
&lt;/candidate&gt;
&lt;/results&gt;
</v>
      </c>
      <c r="F238" cm="1">
        <f t="array" ref="F238">INDEX(_xlfn.FILTERXML(E238,"//latitude"),1)</f>
        <v>35.154071999999999</v>
      </c>
      <c r="G238" cm="1">
        <f t="array" ref="G238">INDEX(_xlfn.FILTERXML(E238,"//longitude"),1)</f>
        <v>136.87617499999999</v>
      </c>
      <c r="H238">
        <v>35.154071999999999</v>
      </c>
      <c r="I238">
        <v>136.87617499999999</v>
      </c>
    </row>
    <row r="239" spans="1:9" x14ac:dyDescent="0.4">
      <c r="A239" t="s">
        <v>9</v>
      </c>
      <c r="B239" t="s">
        <v>569</v>
      </c>
      <c r="C239" t="str">
        <f t="shared" si="26"/>
        <v>東京都世田谷区瀬田1-22-18</v>
      </c>
      <c r="D239" s="2" t="str">
        <f t="shared" si="27"/>
        <v>http://geocode.csis.u-tokyo.ac.jp/cgi-bin/simple_geocode.cgi?charset=UTF8&amp;addr=%E6%9D%B1%E4%BA%AC%E9%83%BD%E4%B8%96%E7%94%B0%E8%B0%B7%E5%8C%BA%E7%80%AC%E7%94%B01-22-18</v>
      </c>
      <c r="E239" t="str">
        <f t="shared" si="28"/>
        <v xml:space="preserve">&lt;?xml version="1.0" encoding="UTF-8" ?&gt;
&lt;results&gt;
&lt;query&gt;東京都世田谷区瀬田1-22-18&lt;/query&gt;
&lt;geodetic&gt;wgs1984&lt;/geodetic&gt;
&lt;iConf&gt;5&lt;/iConf&gt;
&lt;converted&gt;東京都世田谷区瀬田1-22-18&lt;/converted&gt;
&lt;candidate&gt;
&lt;address&gt;東京都/世田谷区/瀬田/一丁目/２２番/１８号&lt;/address&gt;
&lt;longitude&gt;139.635956&lt;/longitude&gt;
&lt;latitude&gt;35.616528&lt;/latitude&gt;
&lt;iLvl&gt;8&lt;/iLvl&gt;
&lt;/candidate&gt;
&lt;/results&gt;
</v>
      </c>
      <c r="F239" cm="1">
        <f t="array" ref="F239">INDEX(_xlfn.FILTERXML(E239,"//latitude"),1)</f>
        <v>35.616528000000002</v>
      </c>
      <c r="G239" cm="1">
        <f t="array" ref="G239">INDEX(_xlfn.FILTERXML(E239,"//longitude"),1)</f>
        <v>139.63595599999999</v>
      </c>
      <c r="H239">
        <v>35.616528000000002</v>
      </c>
      <c r="I239">
        <v>139.63595599999999</v>
      </c>
    </row>
    <row r="240" spans="1:9" x14ac:dyDescent="0.4">
      <c r="A240" t="s">
        <v>27</v>
      </c>
      <c r="B240" t="s">
        <v>61</v>
      </c>
      <c r="C240" t="str">
        <f t="shared" si="26"/>
        <v>宮崎県宮崎市広島２丁目</v>
      </c>
      <c r="D240" s="2" t="str">
        <f t="shared" si="27"/>
        <v>http://geocode.csis.u-tokyo.ac.jp/cgi-bin/simple_geocode.cgi?charset=UTF8&amp;addr=%E5%AE%AE%E5%B4%8E%E7%9C%8C%E5%AE%AE%E5%B4%8E%E5%B8%82%E5%BA%83%E5%B3%B6%EF%BC%92%E4%B8%81%E7%9B%AE</v>
      </c>
      <c r="E240" t="str">
        <f t="shared" si="28"/>
        <v xml:space="preserve">&lt;?xml version="1.0" encoding="UTF-8" ?&gt;
&lt;results&gt;
&lt;query&gt;宮崎県宮崎市広島２丁目&lt;/query&gt;
&lt;geodetic&gt;wgs1984&lt;/geodetic&gt;
&lt;iConf&gt;5&lt;/iConf&gt;
&lt;converted&gt;宮崎県宮崎市広島２丁目&lt;/converted&gt;
&lt;candidate&gt;
&lt;address&gt;宮崎県/宮崎市/広島/二丁目&lt;/address&gt;
&lt;longitude&gt;131.429016&lt;/longitude&gt;
&lt;latitude&gt;31.914478&lt;/latitude&gt;
&lt;iLvl&gt;6&lt;/iLvl&gt;
&lt;/candidate&gt;
&lt;/results&gt;
</v>
      </c>
      <c r="F240" cm="1">
        <f t="array" ref="F240">INDEX(_xlfn.FILTERXML(E240,"//latitude"),1)</f>
        <v>31.914477999999999</v>
      </c>
      <c r="G240" cm="1">
        <f t="array" ref="G240">INDEX(_xlfn.FILTERXML(E240,"//longitude"),1)</f>
        <v>131.42901599999999</v>
      </c>
      <c r="H240">
        <v>31.914477999999999</v>
      </c>
      <c r="I240">
        <v>131.42901599999999</v>
      </c>
    </row>
    <row r="241" spans="1:9" x14ac:dyDescent="0.4">
      <c r="A241" t="s">
        <v>10</v>
      </c>
      <c r="B241" t="s">
        <v>244</v>
      </c>
      <c r="C241" t="str">
        <f t="shared" si="26"/>
        <v>神奈川県横浜市青葉区つつじヶ丘</v>
      </c>
      <c r="D241" s="2" t="str">
        <f t="shared" si="27"/>
        <v>http://geocode.csis.u-tokyo.ac.jp/cgi-bin/simple_geocode.cgi?charset=UTF8&amp;addr=%E7%A5%9E%E5%A5%88%E5%B7%9D%E7%9C%8C%E6%A8%AA%E6%B5%9C%E5%B8%82%E9%9D%92%E8%91%89%E5%8C%BA%E3%81%A4%E3%81%A4%E3%81%98%E3%83%B6%E4%B8%98</v>
      </c>
      <c r="E241" t="str">
        <f t="shared" si="28"/>
        <v xml:space="preserve">&lt;?xml version="1.0" encoding="UTF-8" ?&gt;
&lt;results&gt;
&lt;query&gt;神奈川県横浜市青葉区つつじヶ丘&lt;/query&gt;
&lt;geodetic&gt;wgs1984&lt;/geodetic&gt;
&lt;iConf&gt;5&lt;/iConf&gt;
&lt;converted&gt;神奈川県横浜市青葉区つつじヶ丘&lt;/converted&gt;
&lt;candidate&gt;
&lt;address&gt;神奈川県/横浜市/青葉区/つつじが丘&lt;/address&gt;
&lt;longitude&gt;139.519623&lt;/longitude&gt;
&lt;latitude&gt;35.538448&lt;/latitude&gt;
&lt;iLvl&gt;5&lt;/iLvl&gt;
&lt;/candidate&gt;
&lt;/results&gt;
</v>
      </c>
      <c r="F241" cm="1">
        <f t="array" ref="F241">INDEX(_xlfn.FILTERXML(E241,"//latitude"),1)</f>
        <v>35.538448000000002</v>
      </c>
      <c r="G241" cm="1">
        <f t="array" ref="G241">INDEX(_xlfn.FILTERXML(E241,"//longitude"),1)</f>
        <v>139.519623</v>
      </c>
      <c r="H241">
        <v>35.538448000000002</v>
      </c>
      <c r="I241">
        <v>139.519623</v>
      </c>
    </row>
    <row r="242" spans="1:9" x14ac:dyDescent="0.4">
      <c r="A242" t="s">
        <v>28</v>
      </c>
      <c r="B242" t="s">
        <v>570</v>
      </c>
      <c r="C242" t="str">
        <f t="shared" si="26"/>
        <v>三重県鈴鹿市郡山町</v>
      </c>
      <c r="D242" s="2" t="str">
        <f t="shared" si="27"/>
        <v>http://geocode.csis.u-tokyo.ac.jp/cgi-bin/simple_geocode.cgi?charset=UTF8&amp;addr=%E4%B8%89%E9%87%8D%E7%9C%8C%E9%88%B4%E9%B9%BF%E5%B8%82%E9%83%A1%E5%B1%B1%E7%94%BA</v>
      </c>
      <c r="E242" t="str">
        <f t="shared" si="28"/>
        <v xml:space="preserve">&lt;?xml version="1.0" encoding="UTF-8" ?&gt;
&lt;results&gt;
&lt;query&gt;三重県鈴鹿市郡山町&lt;/query&gt;
&lt;geodetic&gt;wgs1984&lt;/geodetic&gt;
&lt;iConf&gt;5&lt;/iConf&gt;
&lt;converted&gt;三重県鈴鹿市郡山町&lt;/converted&gt;
&lt;candidate&gt;
&lt;address&gt;三重県/鈴鹿市/郡山町&lt;/address&gt;
&lt;longitude&gt;136.534454&lt;/longitude&gt;
&lt;latitude&gt;34.814400&lt;/latitude&gt;
&lt;iLvl&gt;5&lt;/iLvl&gt;
&lt;/candidate&gt;
&lt;/results&gt;
</v>
      </c>
      <c r="F242" cm="1">
        <f t="array" ref="F242">INDEX(_xlfn.FILTERXML(E242,"//latitude"),1)</f>
        <v>34.814399999999999</v>
      </c>
      <c r="G242" cm="1">
        <f t="array" ref="G242">INDEX(_xlfn.FILTERXML(E242,"//longitude"),1)</f>
        <v>136.53445400000001</v>
      </c>
      <c r="H242">
        <v>34.814399999999999</v>
      </c>
      <c r="I242">
        <v>136.53445400000001</v>
      </c>
    </row>
    <row r="243" spans="1:9" x14ac:dyDescent="0.4">
      <c r="A243" t="s">
        <v>23</v>
      </c>
      <c r="B243" t="s">
        <v>481</v>
      </c>
      <c r="C243" t="str">
        <f t="shared" si="26"/>
        <v>京都府京都市伏見区両替町</v>
      </c>
      <c r="D243" s="2" t="str">
        <f t="shared" si="27"/>
        <v>http://geocode.csis.u-tokyo.ac.jp/cgi-bin/simple_geocode.cgi?charset=UTF8&amp;addr=%E4%BA%AC%E9%83%BD%E5%BA%9C%E4%BA%AC%E9%83%BD%E5%B8%82%E4%BC%8F%E8%A6%8B%E5%8C%BA%E4%B8%A1%E6%9B%BF%E7%94%BA</v>
      </c>
      <c r="E243" t="str">
        <f t="shared" si="28"/>
        <v xml:space="preserve">&lt;?xml version="1.0" encoding="UTF-8" ?&gt;
&lt;results&gt;
&lt;query&gt;京都府京都市伏見区両替町&lt;/query&gt;
&lt;geodetic&gt;wgs1984&lt;/geodetic&gt;
&lt;iConf&gt;5&lt;/iConf&gt;
&lt;converted&gt;京都府京都市伏見区両替町&lt;/converted&gt;
&lt;candidate&gt;
&lt;address&gt;京都府/京都市/伏見区/両替町&lt;/address&gt;
&lt;longitude&gt;135.764008&lt;/longitude&gt;
&lt;latitude&gt;34.928463&lt;/latitude&gt;
&lt;iLvl&gt;5&lt;/iLvl&gt;
&lt;/candidate&gt;
&lt;/results&gt;
</v>
      </c>
      <c r="F243" cm="1">
        <f t="array" ref="F243">INDEX(_xlfn.FILTERXML(E243,"//latitude"),1)</f>
        <v>34.928463000000001</v>
      </c>
      <c r="G243" cm="1">
        <f t="array" ref="G243">INDEX(_xlfn.FILTERXML(E243,"//longitude"),1)</f>
        <v>135.76400799999999</v>
      </c>
      <c r="H243">
        <v>34.928463000000001</v>
      </c>
      <c r="I243">
        <v>135.76400799999999</v>
      </c>
    </row>
    <row r="244" spans="1:9" x14ac:dyDescent="0.4">
      <c r="A244" t="s">
        <v>31</v>
      </c>
      <c r="B244" t="s">
        <v>245</v>
      </c>
      <c r="C244" t="str">
        <f t="shared" si="26"/>
        <v>北海道札幌市中央区北４条西30丁目1-17</v>
      </c>
      <c r="D244" s="2" t="str">
        <f t="shared" si="27"/>
        <v>http://geocode.csis.u-tokyo.ac.jp/cgi-bin/simple_geocode.cgi?charset=UTF8&amp;addr=%E5%8C%97%E6%B5%B7%E9%81%93%E6%9C%AD%E5%B9%8C%E5%B8%82%E4%B8%AD%E5%A4%AE%E5%8C%BA%E5%8C%97%EF%BC%94%E6%9D%A1%E8%A5%BF30%E4%B8%81%E7%9B%AE1-17</v>
      </c>
      <c r="E244" t="str">
        <f t="shared" si="28"/>
        <v xml:space="preserve">&lt;?xml version="1.0" encoding="UTF-8" ?&gt;
&lt;results&gt;
&lt;query&gt;北海道札幌市中央区北４条西30丁目1-17&lt;/query&gt;
&lt;geodetic&gt;wgs1984&lt;/geodetic&gt;
&lt;iConf&gt;5&lt;/iConf&gt;
&lt;converted&gt;北海道札幌市中央区北４条西30丁目1-17&lt;/converted&gt;
&lt;candidate&gt;
&lt;address&gt;北海道/札幌市/中央区/北四条/西三十丁目/１番/１７号&lt;/address&gt;
&lt;longitude&gt;141.311142&lt;/longitude&gt;
&lt;latitude&gt;43.060173&lt;/latitude&gt;
&lt;iLvl&gt;8&lt;/iLvl&gt;
&lt;/candidate&gt;
&lt;/results&gt;
</v>
      </c>
      <c r="F244" cm="1">
        <f t="array" ref="F244">INDEX(_xlfn.FILTERXML(E244,"//latitude"),1)</f>
        <v>43.060172999999999</v>
      </c>
      <c r="G244" cm="1">
        <f t="array" ref="G244">INDEX(_xlfn.FILTERXML(E244,"//longitude"),1)</f>
        <v>141.31114199999999</v>
      </c>
      <c r="H244">
        <v>43.060172999999999</v>
      </c>
      <c r="I244">
        <v>141.31114199999999</v>
      </c>
    </row>
    <row r="245" spans="1:9" x14ac:dyDescent="0.4">
      <c r="A245" t="s">
        <v>9</v>
      </c>
      <c r="B245" t="s">
        <v>33</v>
      </c>
      <c r="C245" t="str">
        <f t="shared" si="26"/>
        <v>東京都世田谷区</v>
      </c>
      <c r="D245" s="2" t="str">
        <f t="shared" si="27"/>
        <v>http://geocode.csis.u-tokyo.ac.jp/cgi-bin/simple_geocode.cgi?charset=UTF8&amp;addr=%E6%9D%B1%E4%BA%AC%E9%83%BD%E4%B8%96%E7%94%B0%E8%B0%B7%E5%8C%BA</v>
      </c>
      <c r="E245" t="str">
        <f t="shared" si="28"/>
        <v xml:space="preserve">&lt;?xml version="1.0" encoding="UTF-8" ?&gt;
&lt;results&gt;
&lt;query&gt;東京都世田谷区&lt;/query&gt;
&lt;geodetic&gt;wgs1984&lt;/geodetic&gt;
&lt;iConf&gt;5&lt;/iConf&gt;
&lt;converted&gt;東京都世田谷区&lt;/converted&gt;
&lt;candidate&gt;
&lt;address&gt;東京都/世田谷区&lt;/address&gt;
&lt;longitude&gt;139.653214&lt;/longitude&gt;
&lt;latitude&gt;35.646481&lt;/latitude&gt;
&lt;iLvl&gt;3&lt;/iLvl&gt;
&lt;/candidate&gt;
&lt;/results&gt;
</v>
      </c>
      <c r="F245" cm="1">
        <f t="array" ref="F245">INDEX(_xlfn.FILTERXML(E245,"//latitude"),1)</f>
        <v>35.646481000000001</v>
      </c>
      <c r="G245" cm="1">
        <f t="array" ref="G245">INDEX(_xlfn.FILTERXML(E245,"//longitude"),1)</f>
        <v>139.65321399999999</v>
      </c>
      <c r="H245">
        <v>35.646481000000001</v>
      </c>
      <c r="I245">
        <v>139.65321399999999</v>
      </c>
    </row>
    <row r="246" spans="1:9" x14ac:dyDescent="0.4">
      <c r="A246" t="s">
        <v>132</v>
      </c>
      <c r="B246" t="s">
        <v>246</v>
      </c>
      <c r="C246" t="str">
        <f t="shared" si="26"/>
        <v>岡山県岡山市南区大福</v>
      </c>
      <c r="D246" s="2" t="str">
        <f t="shared" si="27"/>
        <v>http://geocode.csis.u-tokyo.ac.jp/cgi-bin/simple_geocode.cgi?charset=UTF8&amp;addr=%E5%B2%A1%E5%B1%B1%E7%9C%8C%E5%B2%A1%E5%B1%B1%E5%B8%82%E5%8D%97%E5%8C%BA%E5%A4%A7%E7%A6%8F</v>
      </c>
      <c r="E246" t="str">
        <f t="shared" si="28"/>
        <v xml:space="preserve">&lt;?xml version="1.0" encoding="UTF-8" ?&gt;
&lt;results&gt;
&lt;query&gt;岡山県岡山市南区大福&lt;/query&gt;
&lt;geodetic&gt;wgs1984&lt;/geodetic&gt;
&lt;iConf&gt;5&lt;/iConf&gt;
&lt;converted&gt;岡山県岡山市南区大福&lt;/converted&gt;
&lt;candidate&gt;
&lt;address&gt;岡山県/岡山市/南区/大福&lt;/address&gt;
&lt;longitude&gt;133.882126&lt;/longitude&gt;
&lt;latitude&gt;34.620140&lt;/latitude&gt;
&lt;iLvl&gt;5&lt;/iLvl&gt;
&lt;/candidate&gt;
&lt;/results&gt;
</v>
      </c>
      <c r="F246" cm="1">
        <f t="array" ref="F246">INDEX(_xlfn.FILTERXML(E246,"//latitude"),1)</f>
        <v>34.620139999999999</v>
      </c>
      <c r="G246" cm="1">
        <f t="array" ref="G246">INDEX(_xlfn.FILTERXML(E246,"//longitude"),1)</f>
        <v>133.882126</v>
      </c>
      <c r="H246">
        <v>34.620139999999999</v>
      </c>
      <c r="I246">
        <v>133.882126</v>
      </c>
    </row>
    <row r="247" spans="1:9" x14ac:dyDescent="0.4">
      <c r="A247" t="s">
        <v>18</v>
      </c>
      <c r="B247" t="s">
        <v>247</v>
      </c>
      <c r="C247" t="str">
        <f t="shared" si="26"/>
        <v>茨城県日立市大みか町</v>
      </c>
      <c r="D247" s="2" t="str">
        <f t="shared" si="27"/>
        <v>http://geocode.csis.u-tokyo.ac.jp/cgi-bin/simple_geocode.cgi?charset=UTF8&amp;addr=%E8%8C%A8%E5%9F%8E%E7%9C%8C%E6%97%A5%E7%AB%8B%E5%B8%82%E5%A4%A7%E3%81%BF%E3%81%8B%E7%94%BA</v>
      </c>
      <c r="E247" t="str">
        <f t="shared" si="28"/>
        <v xml:space="preserve">&lt;?xml version="1.0" encoding="UTF-8" ?&gt;
&lt;results&gt;
&lt;query&gt;茨城県日立市大みか町&lt;/query&gt;
&lt;geodetic&gt;wgs1984&lt;/geodetic&gt;
&lt;iConf&gt;5&lt;/iConf&gt;
&lt;converted&gt;茨城県日立市大みか町&lt;/converted&gt;
&lt;candidate&gt;
&lt;address&gt;茨城県/日立市/大みか町&lt;/address&gt;
&lt;longitude&gt;140.621857&lt;/longitude&gt;
&lt;latitude&gt;36.510334&lt;/latitude&gt;
&lt;iLvl&gt;5&lt;/iLvl&gt;
&lt;/candidate&gt;
&lt;/results&gt;
</v>
      </c>
      <c r="F247" cm="1">
        <f t="array" ref="F247">INDEX(_xlfn.FILTERXML(E247,"//latitude"),1)</f>
        <v>36.510334</v>
      </c>
      <c r="G247" cm="1">
        <f t="array" ref="G247">INDEX(_xlfn.FILTERXML(E247,"//longitude"),1)</f>
        <v>140.62185700000001</v>
      </c>
      <c r="H247">
        <v>36.510334</v>
      </c>
      <c r="I247">
        <v>140.62185700000001</v>
      </c>
    </row>
    <row r="248" spans="1:9" x14ac:dyDescent="0.4">
      <c r="A248" t="s">
        <v>11</v>
      </c>
      <c r="B248" t="s">
        <v>248</v>
      </c>
      <c r="C248" t="str">
        <f t="shared" si="26"/>
        <v>大阪府池田市</v>
      </c>
      <c r="D248" s="2" t="str">
        <f t="shared" si="27"/>
        <v>http://geocode.csis.u-tokyo.ac.jp/cgi-bin/simple_geocode.cgi?charset=UTF8&amp;addr=%E5%A4%A7%E9%98%AA%E5%BA%9C%E6%B1%A0%E7%94%B0%E5%B8%82</v>
      </c>
      <c r="E248" t="str">
        <f t="shared" si="28"/>
        <v xml:space="preserve">&lt;?xml version="1.0" encoding="UTF-8" ?&gt;
&lt;results&gt;
&lt;query&gt;大阪府池田市&lt;/query&gt;
&lt;geodetic&gt;wgs1984&lt;/geodetic&gt;
&lt;iConf&gt;5&lt;/iConf&gt;
&lt;converted&gt;大阪府池田市&lt;/converted&gt;
&lt;candidate&gt;
&lt;address&gt;大阪府/池田市&lt;/address&gt;
&lt;longitude&gt;135.428558&lt;/longitude&gt;
&lt;latitude&gt;34.821686&lt;/latitude&gt;
&lt;iLvl&gt;3&lt;/iLvl&gt;
&lt;/candidate&gt;
&lt;/results&gt;
</v>
      </c>
      <c r="F248" cm="1">
        <f t="array" ref="F248">INDEX(_xlfn.FILTERXML(E248,"//latitude"),1)</f>
        <v>34.821686</v>
      </c>
      <c r="G248" cm="1">
        <f t="array" ref="G248">INDEX(_xlfn.FILTERXML(E248,"//longitude"),1)</f>
        <v>135.42855800000001</v>
      </c>
      <c r="H248">
        <v>34.821686</v>
      </c>
      <c r="I248">
        <v>135.42855800000001</v>
      </c>
    </row>
    <row r="249" spans="1:9" x14ac:dyDescent="0.4">
      <c r="A249" t="s">
        <v>9</v>
      </c>
      <c r="B249" t="s">
        <v>249</v>
      </c>
      <c r="C249" t="str">
        <f t="shared" si="26"/>
        <v>東京都練馬区中村北</v>
      </c>
      <c r="D249" s="2" t="str">
        <f t="shared" si="27"/>
        <v>http://geocode.csis.u-tokyo.ac.jp/cgi-bin/simple_geocode.cgi?charset=UTF8&amp;addr=%E6%9D%B1%E4%BA%AC%E9%83%BD%E7%B7%B4%E9%A6%AC%E5%8C%BA%E4%B8%AD%E6%9D%91%E5%8C%97</v>
      </c>
      <c r="E249" t="str">
        <f t="shared" si="28"/>
        <v xml:space="preserve">&lt;?xml version="1.0" encoding="UTF-8" ?&gt;
&lt;results&gt;
&lt;query&gt;東京都練馬区中村北&lt;/query&gt;
&lt;geodetic&gt;wgs1984&lt;/geodetic&gt;
&lt;iConf&gt;5&lt;/iConf&gt;
&lt;converted&gt;東京都練馬区中村北&lt;/converted&gt;
&lt;candidate&gt;
&lt;address&gt;東京都/練馬区/中村北&lt;/address&gt;
&lt;longitude&gt;139.647247&lt;/longitude&gt;
&lt;latitude&gt;35.735836&lt;/latitude&gt;
&lt;iLvl&gt;5&lt;/iLvl&gt;
&lt;/candidate&gt;
&lt;/results&gt;
</v>
      </c>
      <c r="F249" cm="1">
        <f t="array" ref="F249">INDEX(_xlfn.FILTERXML(E249,"//latitude"),1)</f>
        <v>35.735835999999999</v>
      </c>
      <c r="G249" cm="1">
        <f t="array" ref="G249">INDEX(_xlfn.FILTERXML(E249,"//longitude"),1)</f>
        <v>139.64724699999999</v>
      </c>
      <c r="H249">
        <v>35.735835999999999</v>
      </c>
      <c r="I249">
        <v>139.64724699999999</v>
      </c>
    </row>
    <row r="250" spans="1:9" x14ac:dyDescent="0.4">
      <c r="A250" t="s">
        <v>9</v>
      </c>
      <c r="B250" t="s">
        <v>250</v>
      </c>
      <c r="C250" t="str">
        <f t="shared" si="26"/>
        <v>東京都品川区八潮</v>
      </c>
      <c r="D250" s="2" t="str">
        <f t="shared" si="27"/>
        <v>http://geocode.csis.u-tokyo.ac.jp/cgi-bin/simple_geocode.cgi?charset=UTF8&amp;addr=%E6%9D%B1%E4%BA%AC%E9%83%BD%E5%93%81%E5%B7%9D%E5%8C%BA%E5%85%AB%E6%BD%AE</v>
      </c>
      <c r="E250" t="str">
        <f t="shared" si="28"/>
        <v xml:space="preserve">&lt;?xml version="1.0" encoding="UTF-8" ?&gt;
&lt;results&gt;
&lt;query&gt;東京都品川区八潮&lt;/query&gt;
&lt;geodetic&gt;wgs1984&lt;/geodetic&gt;
&lt;iConf&gt;5&lt;/iConf&gt;
&lt;converted&gt;東京都品川区八潮&lt;/converted&gt;
&lt;candidate&gt;
&lt;address&gt;東京都/品川区/八潮&lt;/address&gt;
&lt;longitude&gt;139.753983&lt;/longitude&gt;
&lt;latitude&gt;35.611843&lt;/latitude&gt;
&lt;iLvl&gt;5&lt;/iLvl&gt;
&lt;/candidate&gt;
&lt;/results&gt;
</v>
      </c>
      <c r="F250" cm="1">
        <f t="array" ref="F250">INDEX(_xlfn.FILTERXML(E250,"//latitude"),1)</f>
        <v>35.611843</v>
      </c>
      <c r="G250" cm="1">
        <f t="array" ref="G250">INDEX(_xlfn.FILTERXML(E250,"//longitude"),1)</f>
        <v>139.75398300000001</v>
      </c>
      <c r="H250">
        <v>35.611843</v>
      </c>
      <c r="I250">
        <v>139.75398300000001</v>
      </c>
    </row>
    <row r="251" spans="1:9" x14ac:dyDescent="0.4">
      <c r="A251" t="s">
        <v>16</v>
      </c>
      <c r="B251" t="s">
        <v>571</v>
      </c>
      <c r="C251" t="str">
        <f t="shared" si="26"/>
        <v>千葉県八千代市村上</v>
      </c>
      <c r="D251" s="2" t="str">
        <f t="shared" si="27"/>
        <v>http://geocode.csis.u-tokyo.ac.jp/cgi-bin/simple_geocode.cgi?charset=UTF8&amp;addr=%E5%8D%83%E8%91%89%E7%9C%8C%E5%85%AB%E5%8D%83%E4%BB%A3%E5%B8%82%E6%9D%91%E4%B8%8A</v>
      </c>
      <c r="E251" t="str">
        <f t="shared" si="28"/>
        <v xml:space="preserve">&lt;?xml version="1.0" encoding="UTF-8" ?&gt;
&lt;results&gt;
&lt;query&gt;千葉県八千代市村上&lt;/query&gt;
&lt;geodetic&gt;wgs1984&lt;/geodetic&gt;
&lt;iConf&gt;5&lt;/iConf&gt;
&lt;converted&gt;千葉県八千代市村上&lt;/converted&gt;
&lt;candidate&gt;
&lt;address&gt;千葉県/八千代市/村上&lt;/address&gt;
&lt;longitude&gt;140.119400&lt;/longitude&gt;
&lt;latitude&gt;35.728397&lt;/latitude&gt;
&lt;iLvl&gt;5&lt;/iLvl&gt;
&lt;/candidate&gt;
&lt;/results&gt;
</v>
      </c>
      <c r="F251" cm="1">
        <f t="array" ref="F251">INDEX(_xlfn.FILTERXML(E251,"//latitude"),1)</f>
        <v>35.728397000000001</v>
      </c>
      <c r="G251" cm="1">
        <f t="array" ref="G251">INDEX(_xlfn.FILTERXML(E251,"//longitude"),1)</f>
        <v>140.11940000000001</v>
      </c>
      <c r="H251">
        <v>35.728397000000001</v>
      </c>
      <c r="I251">
        <v>140.11940000000001</v>
      </c>
    </row>
    <row r="252" spans="1:9" x14ac:dyDescent="0.4">
      <c r="A252" t="s">
        <v>9</v>
      </c>
      <c r="B252" t="s">
        <v>572</v>
      </c>
      <c r="C252" t="str">
        <f t="shared" si="26"/>
        <v>東京都目黒区南1丁目</v>
      </c>
      <c r="D252" s="2" t="str">
        <f t="shared" si="27"/>
        <v>http://geocode.csis.u-tokyo.ac.jp/cgi-bin/simple_geocode.cgi?charset=UTF8&amp;addr=%E6%9D%B1%E4%BA%AC%E9%83%BD%E7%9B%AE%E9%BB%92%E5%8C%BA%E5%8D%971%E4%B8%81%E7%9B%AE</v>
      </c>
      <c r="E252" t="str">
        <f t="shared" si="28"/>
        <v xml:space="preserve">&lt;?xml version="1.0" encoding="UTF-8" ?&gt;
&lt;results&gt;
&lt;query&gt;東京都目黒区南1丁目&lt;/query&gt;
&lt;geodetic&gt;wgs1984&lt;/geodetic&gt;
&lt;iConf&gt;5&lt;/iConf&gt;
&lt;converted&gt;東京都目黒区南1丁目&lt;/converted&gt;
&lt;candidate&gt;
&lt;address&gt;東京都/目黒区/南/一丁目&lt;/address&gt;
&lt;longitude&gt;139.689041&lt;/longitude&gt;
&lt;latitude&gt;35.614502&lt;/latitude&gt;
&lt;iLvl&gt;6&lt;/iLvl&gt;
&lt;/candidate&gt;
&lt;/results&gt;
</v>
      </c>
      <c r="F252" cm="1">
        <f t="array" ref="F252">INDEX(_xlfn.FILTERXML(E252,"//latitude"),1)</f>
        <v>35.614502000000002</v>
      </c>
      <c r="G252" cm="1">
        <f t="array" ref="G252">INDEX(_xlfn.FILTERXML(E252,"//longitude"),1)</f>
        <v>139.689041</v>
      </c>
      <c r="H252">
        <v>35.614502000000002</v>
      </c>
      <c r="I252">
        <v>139.689041</v>
      </c>
    </row>
    <row r="253" spans="1:9" x14ac:dyDescent="0.4">
      <c r="A253" t="s">
        <v>10</v>
      </c>
      <c r="B253" t="s">
        <v>251</v>
      </c>
      <c r="C253" t="str">
        <f t="shared" si="26"/>
        <v>神奈川県中郡二宮町山西</v>
      </c>
      <c r="D253" s="2" t="str">
        <f t="shared" si="27"/>
        <v>http://geocode.csis.u-tokyo.ac.jp/cgi-bin/simple_geocode.cgi?charset=UTF8&amp;addr=%E7%A5%9E%E5%A5%88%E5%B7%9D%E7%9C%8C%E4%B8%AD%E9%83%A1%E4%BA%8C%E5%AE%AE%E7%94%BA%E5%B1%B1%E8%A5%BF</v>
      </c>
      <c r="E253" t="str">
        <f t="shared" si="28"/>
        <v xml:space="preserve">&lt;?xml version="1.0" encoding="UTF-8" ?&gt;
&lt;results&gt;
&lt;query&gt;神奈川県中郡二宮町山西&lt;/query&gt;
&lt;geodetic&gt;wgs1984&lt;/geodetic&gt;
&lt;iConf&gt;5&lt;/iConf&gt;
&lt;converted&gt;神奈川県中郡二宮町山西&lt;/converted&gt;
&lt;candidate&gt;
&lt;address&gt;神奈川県/中郡/二宮町/山西&lt;/address&gt;
&lt;longitude&gt;139.248550&lt;/longitude&gt;
&lt;latitude&gt;35.295391&lt;/latitude&gt;
&lt;iLvl&gt;5&lt;/iLvl&gt;
&lt;/candidate&gt;
&lt;/results&gt;
</v>
      </c>
      <c r="F253" cm="1">
        <f t="array" ref="F253">INDEX(_xlfn.FILTERXML(E253,"//latitude"),1)</f>
        <v>35.295391000000002</v>
      </c>
      <c r="G253" cm="1">
        <f t="array" ref="G253">INDEX(_xlfn.FILTERXML(E253,"//longitude"),1)</f>
        <v>139.24854999999999</v>
      </c>
      <c r="H253">
        <v>35.295391000000002</v>
      </c>
      <c r="I253">
        <v>139.24854999999999</v>
      </c>
    </row>
    <row r="254" spans="1:9" x14ac:dyDescent="0.4">
      <c r="A254" t="s">
        <v>9</v>
      </c>
      <c r="B254" t="s">
        <v>94</v>
      </c>
      <c r="C254" t="str">
        <f t="shared" si="26"/>
        <v>東京都港区港南</v>
      </c>
      <c r="D254" s="2" t="str">
        <f t="shared" si="27"/>
        <v>http://geocode.csis.u-tokyo.ac.jp/cgi-bin/simple_geocode.cgi?charset=UTF8&amp;addr=%E6%9D%B1%E4%BA%AC%E9%83%BD%E6%B8%AF%E5%8C%BA%E6%B8%AF%E5%8D%97</v>
      </c>
      <c r="E254" t="str">
        <f t="shared" si="28"/>
        <v xml:space="preserve">&lt;?xml version="1.0" encoding="UTF-8" ?&gt;
&lt;results&gt;
&lt;query&gt;東京都港区港南&lt;/query&gt;
&lt;geodetic&gt;wgs1984&lt;/geodetic&gt;
&lt;iConf&gt;5&lt;/iConf&gt;
&lt;converted&gt;東京都港区港南&lt;/converted&gt;
&lt;candidate&gt;
&lt;address&gt;東京都/港区/港南&lt;/address&gt;
&lt;longitude&gt;139.744339&lt;/longitude&gt;
&lt;latitude&gt;35.630707&lt;/latitude&gt;
&lt;iLvl&gt;5&lt;/iLvl&gt;
&lt;/candidate&gt;
&lt;/results&gt;
</v>
      </c>
      <c r="F254" cm="1">
        <f t="array" ref="F254">INDEX(_xlfn.FILTERXML(E254,"//latitude"),1)</f>
        <v>35.630707000000001</v>
      </c>
      <c r="G254" cm="1">
        <f t="array" ref="G254">INDEX(_xlfn.FILTERXML(E254,"//longitude"),1)</f>
        <v>139.744339</v>
      </c>
      <c r="H254">
        <v>35.630707000000001</v>
      </c>
      <c r="I254">
        <v>139.744339</v>
      </c>
    </row>
    <row r="255" spans="1:9" x14ac:dyDescent="0.4">
      <c r="A255" t="s">
        <v>10</v>
      </c>
      <c r="B255" t="s">
        <v>252</v>
      </c>
      <c r="C255" t="str">
        <f t="shared" si="26"/>
        <v>神奈川県逗子市</v>
      </c>
      <c r="D255" s="2" t="str">
        <f t="shared" si="27"/>
        <v>http://geocode.csis.u-tokyo.ac.jp/cgi-bin/simple_geocode.cgi?charset=UTF8&amp;addr=%E7%A5%9E%E5%A5%88%E5%B7%9D%E7%9C%8C%E9%80%97%E5%AD%90%E5%B8%82</v>
      </c>
      <c r="E255" t="str">
        <f t="shared" si="28"/>
        <v xml:space="preserve">&lt;?xml version="1.0" encoding="UTF-8" ?&gt;
&lt;results&gt;
&lt;query&gt;神奈川県逗子市&lt;/query&gt;
&lt;geodetic&gt;wgs1984&lt;/geodetic&gt;
&lt;iConf&gt;5&lt;/iConf&gt;
&lt;converted&gt;神奈川県逗子市&lt;/converted&gt;
&lt;candidate&gt;
&lt;address&gt;神奈川県/逗子市&lt;/address&gt;
&lt;longitude&gt;139.580414&lt;/longitude&gt;
&lt;latitude&gt;35.295593&lt;/latitude&gt;
&lt;iLvl&gt;3&lt;/iLvl&gt;
&lt;/candidate&gt;
&lt;/results&gt;
</v>
      </c>
      <c r="F255" cm="1">
        <f t="array" ref="F255">INDEX(_xlfn.FILTERXML(E255,"//latitude"),1)</f>
        <v>35.295592999999997</v>
      </c>
      <c r="G255" cm="1">
        <f t="array" ref="G255">INDEX(_xlfn.FILTERXML(E255,"//longitude"),1)</f>
        <v>139.58041399999999</v>
      </c>
      <c r="H255">
        <v>35.295592999999997</v>
      </c>
      <c r="I255">
        <v>139.58041399999999</v>
      </c>
    </row>
    <row r="256" spans="1:9" x14ac:dyDescent="0.4">
      <c r="A256" t="s">
        <v>13</v>
      </c>
      <c r="B256" t="s">
        <v>253</v>
      </c>
      <c r="C256" t="str">
        <f t="shared" si="26"/>
        <v>兵庫県西宮市段上町</v>
      </c>
      <c r="D256" s="2" t="str">
        <f t="shared" si="27"/>
        <v>http://geocode.csis.u-tokyo.ac.jp/cgi-bin/simple_geocode.cgi?charset=UTF8&amp;addr=%E5%85%B5%E5%BA%AB%E7%9C%8C%E8%A5%BF%E5%AE%AE%E5%B8%82%E6%AE%B5%E4%B8%8A%E7%94%BA</v>
      </c>
      <c r="E256" t="str">
        <f t="shared" si="28"/>
        <v xml:space="preserve">&lt;?xml version="1.0" encoding="UTF-8" ?&gt;
&lt;results&gt;
&lt;query&gt;兵庫県西宮市段上町&lt;/query&gt;
&lt;geodetic&gt;wgs1984&lt;/geodetic&gt;
&lt;iConf&gt;5&lt;/iConf&gt;
&lt;converted&gt;兵庫県西宮市段上町&lt;/converted&gt;
&lt;candidate&gt;
&lt;address&gt;兵庫県/西宮市/段上町&lt;/address&gt;
&lt;longitude&gt;135.364456&lt;/longitude&gt;
&lt;latitude&gt;34.767487&lt;/latitude&gt;
&lt;iLvl&gt;5&lt;/iLvl&gt;
&lt;/candidate&gt;
&lt;/results&gt;
</v>
      </c>
      <c r="F256" cm="1">
        <f t="array" ref="F256">INDEX(_xlfn.FILTERXML(E256,"//latitude"),1)</f>
        <v>34.767487000000003</v>
      </c>
      <c r="G256" cm="1">
        <f t="array" ref="G256">INDEX(_xlfn.FILTERXML(E256,"//longitude"),1)</f>
        <v>135.36445599999999</v>
      </c>
      <c r="H256">
        <v>34.767487000000003</v>
      </c>
      <c r="I256">
        <v>135.36445599999999</v>
      </c>
    </row>
    <row r="257" spans="1:9" x14ac:dyDescent="0.4">
      <c r="A257" t="s">
        <v>180</v>
      </c>
      <c r="B257" t="s">
        <v>254</v>
      </c>
      <c r="C257" t="str">
        <f t="shared" si="26"/>
        <v>山形県山形市十日町</v>
      </c>
      <c r="D257" s="2" t="str">
        <f t="shared" si="27"/>
        <v>http://geocode.csis.u-tokyo.ac.jp/cgi-bin/simple_geocode.cgi?charset=UTF8&amp;addr=%E5%B1%B1%E5%BD%A2%E7%9C%8C%E5%B1%B1%E5%BD%A2%E5%B8%82%E5%8D%81%E6%97%A5%E7%94%BA</v>
      </c>
      <c r="E257" t="str">
        <f t="shared" si="28"/>
        <v xml:space="preserve">&lt;?xml version="1.0" encoding="UTF-8" ?&gt;
&lt;results&gt;
&lt;query&gt;山形県山形市十日町&lt;/query&gt;
&lt;geodetic&gt;wgs1984&lt;/geodetic&gt;
&lt;iConf&gt;5&lt;/iConf&gt;
&lt;converted&gt;山形県山形市十日町&lt;/converted&gt;
&lt;candidate&gt;
&lt;address&gt;山形県/山形市/十日町&lt;/address&gt;
&lt;longitude&gt;140.334793&lt;/longitude&gt;
&lt;latitude&gt;38.247795&lt;/latitude&gt;
&lt;iLvl&gt;5&lt;/iLvl&gt;
&lt;/candidate&gt;
&lt;/results&gt;
</v>
      </c>
      <c r="F257" cm="1">
        <f t="array" ref="F257">INDEX(_xlfn.FILTERXML(E257,"//latitude"),1)</f>
        <v>38.247795000000004</v>
      </c>
      <c r="G257" cm="1">
        <f t="array" ref="G257">INDEX(_xlfn.FILTERXML(E257,"//longitude"),1)</f>
        <v>140.33479299999999</v>
      </c>
      <c r="H257">
        <v>38.247795000000004</v>
      </c>
      <c r="I257">
        <v>140.33479299999999</v>
      </c>
    </row>
    <row r="258" spans="1:9" x14ac:dyDescent="0.4">
      <c r="A258" t="s">
        <v>9</v>
      </c>
      <c r="B258" t="s">
        <v>226</v>
      </c>
      <c r="C258" t="str">
        <f t="shared" si="26"/>
        <v>東京都港区高輪</v>
      </c>
      <c r="D258" s="2" t="str">
        <f t="shared" si="27"/>
        <v>http://geocode.csis.u-tokyo.ac.jp/cgi-bin/simple_geocode.cgi?charset=UTF8&amp;addr=%E6%9D%B1%E4%BA%AC%E9%83%BD%E6%B8%AF%E5%8C%BA%E9%AB%98%E8%BC%AA</v>
      </c>
      <c r="E258" t="str">
        <f t="shared" si="28"/>
        <v xml:space="preserve">&lt;?xml version="1.0" encoding="UTF-8" ?&gt;
&lt;results&gt;
&lt;query&gt;東京都港区高輪&lt;/query&gt;
&lt;geodetic&gt;wgs1984&lt;/geodetic&gt;
&lt;iConf&gt;5&lt;/iConf&gt;
&lt;converted&gt;東京都港区高輪&lt;/converted&gt;
&lt;candidate&gt;
&lt;address&gt;東京都/港区/高輪&lt;/address&gt;
&lt;longitude&gt;139.735168&lt;/longitude&gt;
&lt;latitude&gt;35.640556&lt;/latitude&gt;
&lt;iLvl&gt;5&lt;/iLvl&gt;
&lt;/candidate&gt;
&lt;/results&gt;
</v>
      </c>
      <c r="F258" cm="1">
        <f t="array" ref="F258">INDEX(_xlfn.FILTERXML(E258,"//latitude"),1)</f>
        <v>35.640555999999997</v>
      </c>
      <c r="G258" cm="1">
        <f t="array" ref="G258">INDEX(_xlfn.FILTERXML(E258,"//longitude"),1)</f>
        <v>139.73516799999999</v>
      </c>
      <c r="H258">
        <v>35.640555999999997</v>
      </c>
      <c r="I258">
        <v>139.73516799999999</v>
      </c>
    </row>
    <row r="259" spans="1:9" x14ac:dyDescent="0.4">
      <c r="A259" t="s">
        <v>23</v>
      </c>
      <c r="B259" t="s">
        <v>255</v>
      </c>
      <c r="C259" t="str">
        <f t="shared" si="26"/>
        <v>京都府京田辺市</v>
      </c>
      <c r="D259" s="2" t="str">
        <f t="shared" si="27"/>
        <v>http://geocode.csis.u-tokyo.ac.jp/cgi-bin/simple_geocode.cgi?charset=UTF8&amp;addr=%E4%BA%AC%E9%83%BD%E5%BA%9C%E4%BA%AC%E7%94%B0%E8%BE%BA%E5%B8%82</v>
      </c>
      <c r="E259" t="str">
        <f t="shared" si="28"/>
        <v xml:space="preserve">&lt;?xml version="1.0" encoding="UTF-8" ?&gt;
&lt;results&gt;
&lt;query&gt;京都府京田辺市&lt;/query&gt;
&lt;geodetic&gt;wgs1984&lt;/geodetic&gt;
&lt;iConf&gt;5&lt;/iConf&gt;
&lt;converted&gt;京都府京田辺市&lt;/converted&gt;
&lt;candidate&gt;
&lt;address&gt;京都府/京田辺市&lt;/address&gt;
&lt;longitude&gt;135.767838&lt;/longitude&gt;
&lt;latitude&gt;34.814442&lt;/latitude&gt;
&lt;iLvl&gt;3&lt;/iLvl&gt;
&lt;/candidate&gt;
&lt;/results&gt;
</v>
      </c>
      <c r="F259" cm="1">
        <f t="array" ref="F259">INDEX(_xlfn.FILTERXML(E259,"//latitude"),1)</f>
        <v>34.814442</v>
      </c>
      <c r="G259" cm="1">
        <f t="array" ref="G259">INDEX(_xlfn.FILTERXML(E259,"//longitude"),1)</f>
        <v>135.76783800000001</v>
      </c>
      <c r="H259">
        <v>34.814442</v>
      </c>
      <c r="I259">
        <v>135.76783800000001</v>
      </c>
    </row>
    <row r="260" spans="1:9" x14ac:dyDescent="0.4">
      <c r="A260" t="s">
        <v>11</v>
      </c>
      <c r="B260" t="s">
        <v>53</v>
      </c>
      <c r="C260" t="str">
        <f t="shared" si="26"/>
        <v>大阪府高槻市別所中の町</v>
      </c>
      <c r="D260" s="2" t="str">
        <f t="shared" si="27"/>
        <v>http://geocode.csis.u-tokyo.ac.jp/cgi-bin/simple_geocode.cgi?charset=UTF8&amp;addr=%E5%A4%A7%E9%98%AA%E5%BA%9C%E9%AB%98%E6%A7%BB%E5%B8%82%E5%88%A5%E6%89%80%E4%B8%AD%E3%81%AE%E7%94%BA</v>
      </c>
      <c r="E260" t="str">
        <f t="shared" si="28"/>
        <v xml:space="preserve">&lt;?xml version="1.0" encoding="UTF-8" ?&gt;
&lt;results&gt;
&lt;query&gt;大阪府高槻市別所中の町&lt;/query&gt;
&lt;geodetic&gt;wgs1984&lt;/geodetic&gt;
&lt;iConf&gt;5&lt;/iConf&gt;
&lt;converted&gt;大阪府高槻市別所中の町&lt;/converted&gt;
&lt;candidate&gt;
&lt;address&gt;大阪府/高槻市/別所中の町&lt;/address&gt;
&lt;longitude&gt;135.626862&lt;/longitude&gt;
&lt;latitude&gt;34.859146&lt;/latitude&gt;
&lt;iLvl&gt;5&lt;/iLvl&gt;
&lt;/candidate&gt;
&lt;/results&gt;
</v>
      </c>
      <c r="F260" cm="1">
        <f t="array" ref="F260">INDEX(_xlfn.FILTERXML(E260,"//latitude"),1)</f>
        <v>34.859146000000003</v>
      </c>
      <c r="G260" cm="1">
        <f t="array" ref="G260">INDEX(_xlfn.FILTERXML(E260,"//longitude"),1)</f>
        <v>135.62686199999999</v>
      </c>
      <c r="H260">
        <v>34.859146000000003</v>
      </c>
      <c r="I260">
        <v>135.62686199999999</v>
      </c>
    </row>
    <row r="261" spans="1:9" x14ac:dyDescent="0.4">
      <c r="A261" t="s">
        <v>28</v>
      </c>
      <c r="B261" t="s">
        <v>256</v>
      </c>
      <c r="C261" t="str">
        <f t="shared" si="26"/>
        <v>三重県伊勢市宮後</v>
      </c>
      <c r="D261" s="2" t="str">
        <f t="shared" si="27"/>
        <v>http://geocode.csis.u-tokyo.ac.jp/cgi-bin/simple_geocode.cgi?charset=UTF8&amp;addr=%E4%B8%89%E9%87%8D%E7%9C%8C%E4%BC%8A%E5%8B%A2%E5%B8%82%E5%AE%AE%E5%BE%8C</v>
      </c>
      <c r="E261" t="str">
        <f t="shared" si="28"/>
        <v xml:space="preserve">&lt;?xml version="1.0" encoding="UTF-8" ?&gt;
&lt;results&gt;
&lt;query&gt;三重県伊勢市宮後&lt;/query&gt;
&lt;geodetic&gt;wgs1984&lt;/geodetic&gt;
&lt;iConf&gt;5&lt;/iConf&gt;
&lt;converted&gt;三重県伊勢市宮後&lt;/converted&gt;
&lt;candidate&gt;
&lt;address&gt;三重県/伊勢市/宮後&lt;/address&gt;
&lt;longitude&gt;136.706985&lt;/longitude&gt;
&lt;latitude&gt;34.491867&lt;/latitude&gt;
&lt;iLvl&gt;5&lt;/iLvl&gt;
&lt;/candidate&gt;
&lt;/results&gt;
</v>
      </c>
      <c r="F261" cm="1">
        <f t="array" ref="F261">INDEX(_xlfn.FILTERXML(E261,"//latitude"),1)</f>
        <v>34.491866999999999</v>
      </c>
      <c r="G261" cm="1">
        <f t="array" ref="G261">INDEX(_xlfn.FILTERXML(E261,"//longitude"),1)</f>
        <v>136.706985</v>
      </c>
      <c r="H261">
        <v>34.491866999999999</v>
      </c>
      <c r="I261">
        <v>136.706985</v>
      </c>
    </row>
    <row r="262" spans="1:9" x14ac:dyDescent="0.4">
      <c r="A262" t="s">
        <v>31</v>
      </c>
      <c r="B262" t="s">
        <v>257</v>
      </c>
      <c r="C262" t="str">
        <f t="shared" ref="C262:C325" si="29">+A262&amp;B262</f>
        <v>北海道札幌市中央区南西28</v>
      </c>
      <c r="D262" s="2" t="str">
        <f t="shared" ref="D262:D325" si="30" xml:space="preserve"> "http://geocode.csis.u-tokyo.ac.jp/cgi-bin/simple_geocode.cgi?charset=UTF8&amp;addr=" &amp; _xlfn.ENCODEURL(C262)</f>
        <v>http://geocode.csis.u-tokyo.ac.jp/cgi-bin/simple_geocode.cgi?charset=UTF8&amp;addr=%E5%8C%97%E6%B5%B7%E9%81%93%E6%9C%AD%E5%B9%8C%E5%B8%82%E4%B8%AD%E5%A4%AE%E5%8C%BA%E5%8D%97%E8%A5%BF28</v>
      </c>
      <c r="E262" t="str">
        <f t="shared" ref="E262:E325" si="31" xml:space="preserve"> _xlfn.WEBSERVICE(D262)</f>
        <v xml:space="preserve">&lt;?xml version="1.0" encoding="UTF-8" ?&gt;
&lt;results&gt;
&lt;query&gt;北海道札幌市中央区南西28&lt;/query&gt;
&lt;geodetic&gt;wgs1984&lt;/geodetic&gt;
&lt;iConf&gt;4&lt;/iConf&gt;
&lt;converted&gt;北海道札幌市中央区南&lt;/converted&gt;
&lt;candidate&gt;
&lt;address&gt;北海道/札幌市/中央区/南一条&lt;/address&gt;
&lt;longitude&gt;141.356552&lt;/longitude&gt;
&lt;latitude&gt;43.059532&lt;/latitude&gt;
&lt;iLvl&gt;5&lt;/iLvl&gt;
&lt;/candidate&gt;
&lt;candidate&gt;
&lt;address&gt;北海道/札幌市/中央区/南十条&lt;/address&gt;
&lt;longitude&gt;141.357376&lt;/longitude&gt;
&lt;latitude&gt;43.047855&lt;/latitude&gt;
&lt;iLvl&gt;5&lt;/iLvl&gt;
&lt;/candidate&gt;
&lt;candidate&gt;
&lt;address&gt;北海道/札幌市/中央区/南十一条&lt;/address&gt;
&lt;longitude&gt;141.357422&lt;/longitude&gt;
&lt;latitude&gt;43.045841&lt;/latitude&gt;
&lt;iLvl&gt;5&lt;/iLvl&gt;
&lt;/candidate&gt;
&lt;candidate&gt;
&lt;address&gt;北海道/札幌市/中央区/南十二条&lt;/address&gt;
&lt;longitude&gt;141.357468&lt;/longitude&gt;
&lt;latitude&gt;43.044495&lt;/latitude&gt;
&lt;iLvl&gt;5&lt;/iLvl&gt;
&lt;/candidate&gt;
&lt;candidate&gt;
&lt;address&gt;北海道/札幌市/中央区/南十三条&lt;/address&gt;
&lt;longitude&gt;141.357376&lt;/longitude&gt;
&lt;latitude&gt;43.043217&lt;/latitude&gt;
&lt;iLvl&gt;5&lt;/iLvl&gt;
&lt;/candidate&gt;
&lt;candidate&gt;
&lt;address&gt;北海道/札幌市/中央区/南十四条&lt;/address&gt;
&lt;longitude&gt;141.357254&lt;/longitude&gt;
&lt;latitude&gt;43.041908&lt;/latitude&gt;
&lt;iLvl&gt;5&lt;/iLvl&gt;
&lt;/candidate&gt;
&lt;candidate&gt;
&lt;address&gt;北海道/札幌市/中央区/南十五条&lt;/address&gt;
&lt;longitude&gt;141.356812&lt;/longitude&gt;
&lt;latitude&gt;43.040569&lt;/latitude&gt;
&lt;iLvl&gt;5&lt;/iLvl&gt;
&lt;/candidate&gt;
&lt;candidate&gt;
&lt;address&gt;北海道/札幌市/中央区/南十六条&lt;/address&gt;
&lt;longitude&gt;141.356232&lt;/longitude&gt;
&lt;latitude&gt;43.039108&lt;/latitude&gt;
&lt;iLvl&gt;5&lt;/iLvl&gt;
&lt;/candidate&gt;
&lt;candidate&gt;
&lt;address&gt;北海道/札幌市/中央区/南十七条&lt;/address&gt;
&lt;longitude&gt;141.354828&lt;/longitude&gt;
&lt;latitude&gt;43.037685&lt;/latitude&gt;
&lt;iLvl&gt;5&lt;/iLvl&gt;
&lt;/candidate&gt;
&lt;candidate&gt;
&lt;address&gt;北海道/札幌市/中央区/南十八条&lt;/address&gt;
&lt;longitude&gt;141.354492&lt;/longitude&gt;
&lt;latitude&gt;43.036694&lt;/latitude&gt;
&lt;iLvl&gt;5&lt;/iLvl&gt;
&lt;/candidate&gt;
&lt;candidate&gt;
&lt;address&gt;北海道/札幌市/中央区/南十九条&lt;/address&gt;
&lt;longitude&gt;141.353577&lt;/longitude&gt;
&lt;latitude&gt;43.034599&lt;/latitude&gt;
&lt;iLvl&gt;5&lt;/iLvl&gt;
&lt;/candidate&gt;
&lt;candidate&gt;
&lt;address&gt;北海道/札幌市/中央区/南二条&lt;/address&gt;
&lt;longitude&gt;141.357040&lt;/longitude&gt;
&lt;latitude&gt;43.058418&lt;/latitude&gt;
&lt;iLvl&gt;5&lt;/iLvl&gt;
&lt;/candidate&gt;
&lt;candidate&gt;
&lt;address&gt;北海道/札幌市/中央区/南二十条&lt;/address&gt;
&lt;longitude&gt;141.353577&lt;/longitude&gt;
&lt;latitude&gt;43.033421&lt;/latitude&gt;
&lt;iLvl&gt;5&lt;/iLvl&gt;
&lt;/candidate&gt;
&lt;candidate&gt;
&lt;address&gt;北海道/札幌市/中央区/南二十一条&lt;/address&gt;
&lt;longitude&gt;141.353561&lt;/longitude&gt;
&lt;latitude&gt;43.031597&lt;/latitude&gt;
&lt;iLvl&gt;5&lt;/iLvl&gt;
&lt;/candidate&gt;
&lt;candidate&gt;
&lt;address&gt;北海道/札幌市/中央区/南二十二条&lt;/address&gt;
&lt;longitude&gt;141.352890&lt;/longitude&gt;
&lt;latitude&gt;43.029945&lt;/latitude&gt;
&lt;iLvl&gt;5&lt;/iLvl&gt;
&lt;/candidate&gt;
&lt;candidate&gt;
&lt;address&gt;北海道/札幌市/中央区/南二十三条&lt;/address&gt;
&lt;longitude&gt;141.351471&lt;/longitude&gt;
&lt;latitude&gt;43.029198&lt;/latitude&gt;
&lt;iLvl&gt;5&lt;/iLvl&gt;
&lt;/candidate&gt;
&lt;candidate&gt;
&lt;address&gt;北海道/札幌市/中央区/南二十四条&lt;/address&gt;
&lt;longitude&gt;141.351364&lt;/longitude&gt;
&lt;latitude&gt;43.027817&lt;/latitude&gt;
&lt;iLvl&gt;5&lt;/iLvl&gt;
&lt;/candidate&gt;
&lt;candidate&gt;
&lt;address&gt;北海道/札幌市/中央区/南十五条&lt;/address&gt;
&lt;longitude&gt;141.351196&lt;/longitude&gt;
&lt;latitude&gt;43.026455&lt;/latitude&gt;
&lt;iLvl&gt;5&lt;/iLvl&gt;
&lt;/candidate&gt;
&lt;candidate&gt;
&lt;address&gt;北海道/札幌市/中央区/南二十六条&lt;/address&gt;
&lt;longitude&gt;141.351425&lt;/longitude&gt;
&lt;latitude&gt;43.025097&lt;/latitude&gt;
&lt;iLvl&gt;5&lt;/iLvl&gt;
&lt;/candidate&gt;
&lt;candidate&gt;
&lt;address&gt;北海道/札幌市/中央区/南二十七条&lt;/address&gt;
&lt;longitude&gt;141.351807&lt;/longitude&gt;
&lt;latitude&gt;43.023880&lt;/latitude&gt;
&lt;iLvl&gt;5&lt;/iLvl&gt;
&lt;/candidate&gt;
&lt;candidate&gt;
&lt;address&gt;北海道/札幌市/中央区/南二十八条&lt;/address&gt;
&lt;longitude&gt;141.351654&lt;/longitude&gt;
&lt;latitude&gt;43.022858&lt;/latitude&gt;
&lt;iLvl&gt;5&lt;/iLvl&gt;
&lt;/candidate&gt;
&lt;candidate&gt;
&lt;address&gt;北海道/札幌市/中央区/南二十九条&lt;/address&gt;
&lt;longitude&gt;141.349838&lt;/longitude&gt;
&lt;latitude&gt;43.021805&lt;/latitude&gt;
&lt;iLvl&gt;5&lt;/iLvl&gt;
&lt;/candidate&gt;
&lt;candidate&gt;
&lt;address&gt;北海道/札幌市/中央区/南三条&lt;/address&gt;
&lt;longitude&gt;141.357330&lt;/longitude&gt;
&lt;latitude&gt;43.057274&lt;/latitude&gt;
&lt;iLvl&gt;5&lt;/iLvl&gt;
&lt;/candidate&gt;
&lt;candidate&gt;
&lt;address&gt;北海道/札幌市/中央区/南三十条&lt;/address&gt;
&lt;longitude&gt;141.348465&lt;/longitude&gt;
&lt;latitude&gt;43.019714&lt;/latitude&gt;
&lt;iLvl&gt;5&lt;/iLvl&gt;
&lt;/candidate&gt;
&lt;candidate&gt;
&lt;address&gt;北海道/札幌市/中央区/南四条&lt;/address&gt;
&lt;longitude&gt;141.357437&lt;/longitude&gt;
&lt;latitude&gt;43.056141&lt;/latitude&gt;
&lt;iLvl&gt;5&lt;/iLvl&gt;
&lt;/candidate&gt;
&lt;candidate&gt;
&lt;address&gt;北海道/札幌市/中央区/南五条&lt;/address&gt;
&lt;longitude&gt;141.357697&lt;/longitude&gt;
&lt;latitude&gt;43.055000&lt;/latitude&gt;
&lt;iLvl&gt;5&lt;/iLvl&gt;
&lt;/candidate&gt;
&lt;candidate&gt;
&lt;address&gt;北海道/札幌市/中央区/南六条&lt;/address&gt;
&lt;longitude&gt;141.358200&lt;/longitude&gt;
&lt;latitude&gt;43.053825&lt;/latitude&gt;
&lt;iLvl&gt;5&lt;/iLvl&gt;
&lt;/candidate&gt;
&lt;candidate&gt;
&lt;address&gt;北海道/札幌市/中央区/南七条&lt;/address&gt;
&lt;longitude&gt;141.358765&lt;/longitude&gt;
&lt;latitude&gt;43.052399&lt;/latitude&gt;
&lt;iLvl&gt;5&lt;/iLvl&gt;
&lt;/candidate&gt;
&lt;candidate&gt;
&lt;address&gt;北海道/札幌市/中央区/南八条&lt;/address&gt;
&lt;longitude&gt;141.358749&lt;/longitude&gt;
&lt;latitude&gt;43.050880&lt;/latitude&gt;
&lt;iLvl&gt;5&lt;/iLvl&gt;
&lt;/candidate&gt;
&lt;candidate&gt;
&lt;address&gt;北海道/札幌市/中央区/南九条&lt;/address&gt;
&lt;longitude&gt;141.358154&lt;/longitude&gt;
&lt;latitude&gt;43.049622&lt;/latitude&gt;
&lt;iLvl&gt;5&lt;/iLvl&gt;
&lt;/candidate&gt;
&lt;/results&gt;
</v>
      </c>
      <c r="F262" cm="1">
        <f t="array" ref="F262">INDEX(_xlfn.FILTERXML(E262,"//latitude"),1)</f>
        <v>43.059531999999997</v>
      </c>
      <c r="G262" cm="1">
        <f t="array" ref="G262">INDEX(_xlfn.FILTERXML(E262,"//longitude"),1)</f>
        <v>141.35655199999999</v>
      </c>
      <c r="H262">
        <v>43.059531999999997</v>
      </c>
      <c r="I262">
        <v>141.35655199999999</v>
      </c>
    </row>
    <row r="263" spans="1:9" x14ac:dyDescent="0.4">
      <c r="A263" t="s">
        <v>11</v>
      </c>
      <c r="B263" t="s">
        <v>258</v>
      </c>
      <c r="C263" t="str">
        <f t="shared" si="29"/>
        <v>大阪府茨木市新中条町</v>
      </c>
      <c r="D263" s="2" t="str">
        <f t="shared" si="30"/>
        <v>http://geocode.csis.u-tokyo.ac.jp/cgi-bin/simple_geocode.cgi?charset=UTF8&amp;addr=%E5%A4%A7%E9%98%AA%E5%BA%9C%E8%8C%A8%E6%9C%A8%E5%B8%82%E6%96%B0%E4%B8%AD%E6%9D%A1%E7%94%BA</v>
      </c>
      <c r="E263" t="str">
        <f t="shared" si="31"/>
        <v xml:space="preserve">&lt;?xml version="1.0" encoding="UTF-8" ?&gt;
&lt;results&gt;
&lt;query&gt;大阪府茨木市新中条町&lt;/query&gt;
&lt;geodetic&gt;wgs1984&lt;/geodetic&gt;
&lt;iConf&gt;5&lt;/iConf&gt;
&lt;converted&gt;大阪府茨木市新中条町&lt;/converted&gt;
&lt;candidate&gt;
&lt;address&gt;大阪府/茨木市/新中条町&lt;/address&gt;
&lt;longitude&gt;135.565826&lt;/longitude&gt;
&lt;latitude&gt;34.809502&lt;/latitude&gt;
&lt;iLvl&gt;5&lt;/iLvl&gt;
&lt;/candidate&gt;
&lt;/results&gt;
</v>
      </c>
      <c r="F263" cm="1">
        <f t="array" ref="F263">INDEX(_xlfn.FILTERXML(E263,"//latitude"),1)</f>
        <v>34.809502000000002</v>
      </c>
      <c r="G263" cm="1">
        <f t="array" ref="G263">INDEX(_xlfn.FILTERXML(E263,"//longitude"),1)</f>
        <v>135.56582599999999</v>
      </c>
      <c r="H263">
        <v>34.809502000000002</v>
      </c>
      <c r="I263">
        <v>135.56582599999999</v>
      </c>
    </row>
    <row r="264" spans="1:9" x14ac:dyDescent="0.4">
      <c r="A264" t="s">
        <v>9</v>
      </c>
      <c r="B264" t="s">
        <v>259</v>
      </c>
      <c r="C264" t="str">
        <f t="shared" si="29"/>
        <v>東京都江戸川区南篠崎町</v>
      </c>
      <c r="D264" s="2" t="str">
        <f t="shared" si="30"/>
        <v>http://geocode.csis.u-tokyo.ac.jp/cgi-bin/simple_geocode.cgi?charset=UTF8&amp;addr=%E6%9D%B1%E4%BA%AC%E9%83%BD%E6%B1%9F%E6%88%B8%E5%B7%9D%E5%8C%BA%E5%8D%97%E7%AF%A0%E5%B4%8E%E7%94%BA</v>
      </c>
      <c r="E264" t="str">
        <f t="shared" si="31"/>
        <v xml:space="preserve">&lt;?xml version="1.0" encoding="UTF-8" ?&gt;
&lt;results&gt;
&lt;query&gt;東京都江戸川区南篠崎町&lt;/query&gt;
&lt;geodetic&gt;wgs1984&lt;/geodetic&gt;
&lt;iConf&gt;5&lt;/iConf&gt;
&lt;converted&gt;東京都江戸川区南篠崎町&lt;/converted&gt;
&lt;candidate&gt;
&lt;address&gt;東京都/江戸川区/南篠崎町&lt;/address&gt;
&lt;longitude&gt;139.906204&lt;/longitude&gt;
&lt;latitude&gt;35.694817&lt;/latitude&gt;
&lt;iLvl&gt;5&lt;/iLvl&gt;
&lt;/candidate&gt;
&lt;/results&gt;
</v>
      </c>
      <c r="F264" cm="1">
        <f t="array" ref="F264">INDEX(_xlfn.FILTERXML(E264,"//latitude"),1)</f>
        <v>35.694817</v>
      </c>
      <c r="G264" cm="1">
        <f t="array" ref="G264">INDEX(_xlfn.FILTERXML(E264,"//longitude"),1)</f>
        <v>139.906204</v>
      </c>
      <c r="H264">
        <v>35.694817</v>
      </c>
      <c r="I264">
        <v>139.906204</v>
      </c>
    </row>
    <row r="265" spans="1:9" x14ac:dyDescent="0.4">
      <c r="A265" t="s">
        <v>85</v>
      </c>
      <c r="B265" t="s">
        <v>260</v>
      </c>
      <c r="C265" t="str">
        <f t="shared" si="29"/>
        <v>奈良県奈良市</v>
      </c>
      <c r="D265" s="2" t="str">
        <f t="shared" si="30"/>
        <v>http://geocode.csis.u-tokyo.ac.jp/cgi-bin/simple_geocode.cgi?charset=UTF8&amp;addr=%E5%A5%88%E8%89%AF%E7%9C%8C%E5%A5%88%E8%89%AF%E5%B8%82</v>
      </c>
      <c r="E265" t="str">
        <f t="shared" si="31"/>
        <v xml:space="preserve">&lt;?xml version="1.0" encoding="UTF-8" ?&gt;
&lt;results&gt;
&lt;query&gt;奈良県奈良市&lt;/query&gt;
&lt;geodetic&gt;wgs1984&lt;/geodetic&gt;
&lt;iConf&gt;5&lt;/iConf&gt;
&lt;converted&gt;奈良県奈良市&lt;/converted&gt;
&lt;candidate&gt;
&lt;address&gt;奈良県/奈良市&lt;/address&gt;
&lt;longitude&gt;135.804993&lt;/longitude&gt;
&lt;latitude&gt;34.685116&lt;/latitude&gt;
&lt;iLvl&gt;3&lt;/iLvl&gt;
&lt;/candidate&gt;
&lt;/results&gt;
</v>
      </c>
      <c r="F265" cm="1">
        <f t="array" ref="F265">INDEX(_xlfn.FILTERXML(E265,"//latitude"),1)</f>
        <v>34.685116000000001</v>
      </c>
      <c r="G265" cm="1">
        <f t="array" ref="G265">INDEX(_xlfn.FILTERXML(E265,"//longitude"),1)</f>
        <v>135.804993</v>
      </c>
      <c r="H265">
        <v>34.685116000000001</v>
      </c>
      <c r="I265">
        <v>135.804993</v>
      </c>
    </row>
    <row r="266" spans="1:9" x14ac:dyDescent="0.4">
      <c r="A266" t="s">
        <v>15</v>
      </c>
      <c r="B266" t="s">
        <v>261</v>
      </c>
      <c r="C266" t="str">
        <f t="shared" si="29"/>
        <v>愛知県豊明市前後町仙人塚</v>
      </c>
      <c r="D266" s="2" t="str">
        <f t="shared" si="30"/>
        <v>http://geocode.csis.u-tokyo.ac.jp/cgi-bin/simple_geocode.cgi?charset=UTF8&amp;addr=%E6%84%9B%E7%9F%A5%E7%9C%8C%E8%B1%8A%E6%98%8E%E5%B8%82%E5%89%8D%E5%BE%8C%E7%94%BA%E4%BB%99%E4%BA%BA%E5%A1%9A</v>
      </c>
      <c r="E266" t="str">
        <f t="shared" si="31"/>
        <v xml:space="preserve">&lt;?xml version="1.0" encoding="UTF-8" ?&gt;
&lt;results&gt;
&lt;query&gt;愛知県豊明市前後町仙人塚&lt;/query&gt;
&lt;geodetic&gt;wgs1984&lt;/geodetic&gt;
&lt;iConf&gt;5&lt;/iConf&gt;
&lt;converted&gt;愛知県豊明市前後町仙人塚&lt;/converted&gt;
&lt;candidate&gt;
&lt;address&gt;愛知県/豊明市/前後町/仙人塚&lt;/address&gt;
&lt;longitude&gt;136.994232&lt;/longitude&gt;
&lt;latitude&gt;35.057384&lt;/latitude&gt;
&lt;iLvl&gt;6&lt;/iLvl&gt;
&lt;/candidate&gt;
&lt;/results&gt;
</v>
      </c>
      <c r="F266" cm="1">
        <f t="array" ref="F266">INDEX(_xlfn.FILTERXML(E266,"//latitude"),1)</f>
        <v>35.057383999999999</v>
      </c>
      <c r="G266" cm="1">
        <f t="array" ref="G266">INDEX(_xlfn.FILTERXML(E266,"//longitude"),1)</f>
        <v>136.99423200000001</v>
      </c>
      <c r="H266">
        <v>35.057383999999999</v>
      </c>
      <c r="I266">
        <v>136.99423200000001</v>
      </c>
    </row>
    <row r="267" spans="1:9" x14ac:dyDescent="0.4">
      <c r="A267" t="s">
        <v>19</v>
      </c>
      <c r="B267" t="s">
        <v>262</v>
      </c>
      <c r="C267" t="str">
        <f t="shared" si="29"/>
        <v>福岡県福岡市中央区警固</v>
      </c>
      <c r="D267" s="2" t="str">
        <f t="shared" si="30"/>
        <v>http://geocode.csis.u-tokyo.ac.jp/cgi-bin/simple_geocode.cgi?charset=UTF8&amp;addr=%E7%A6%8F%E5%B2%A1%E7%9C%8C%E7%A6%8F%E5%B2%A1%E5%B8%82%E4%B8%AD%E5%A4%AE%E5%8C%BA%E8%AD%A6%E5%9B%BA</v>
      </c>
      <c r="E267" t="str">
        <f t="shared" si="31"/>
        <v xml:space="preserve">&lt;?xml version="1.0" encoding="UTF-8" ?&gt;
&lt;results&gt;
&lt;query&gt;福岡県福岡市中央区警固&lt;/query&gt;
&lt;geodetic&gt;wgs1984&lt;/geodetic&gt;
&lt;iConf&gt;5&lt;/iConf&gt;
&lt;converted&gt;福岡県福岡市中央区警固&lt;/converted&gt;
&lt;candidate&gt;
&lt;address&gt;福岡県/福岡市/中央区/警固&lt;/address&gt;
&lt;longitude&gt;130.394196&lt;/longitude&gt;
&lt;latitude&gt;33.583992&lt;/latitude&gt;
&lt;iLvl&gt;5&lt;/iLvl&gt;
&lt;/candidate&gt;
&lt;/results&gt;
</v>
      </c>
      <c r="F267" cm="1">
        <f t="array" ref="F267">INDEX(_xlfn.FILTERXML(E267,"//latitude"),1)</f>
        <v>33.583992000000002</v>
      </c>
      <c r="G267" cm="1">
        <f t="array" ref="G267">INDEX(_xlfn.FILTERXML(E267,"//longitude"),1)</f>
        <v>130.39419599999999</v>
      </c>
      <c r="H267">
        <v>33.583992000000002</v>
      </c>
      <c r="I267">
        <v>130.39419599999999</v>
      </c>
    </row>
    <row r="268" spans="1:9" x14ac:dyDescent="0.4">
      <c r="A268" t="s">
        <v>15</v>
      </c>
      <c r="B268" t="s">
        <v>263</v>
      </c>
      <c r="C268" t="str">
        <f t="shared" si="29"/>
        <v>愛知県名古屋市天白区高島</v>
      </c>
      <c r="D268" s="2" t="str">
        <f t="shared" si="30"/>
        <v>http://geocode.csis.u-tokyo.ac.jp/cgi-bin/simple_geocode.cgi?charset=UTF8&amp;addr=%E6%84%9B%E7%9F%A5%E7%9C%8C%E5%90%8D%E5%8F%A4%E5%B1%8B%E5%B8%82%E5%A4%A9%E7%99%BD%E5%8C%BA%E9%AB%98%E5%B3%B6</v>
      </c>
      <c r="E268" t="str">
        <f t="shared" si="31"/>
        <v xml:space="preserve">&lt;?xml version="1.0" encoding="UTF-8" ?&gt;
&lt;results&gt;
&lt;query&gt;愛知県名古屋市天白区高島&lt;/query&gt;
&lt;geodetic&gt;wgs1984&lt;/geodetic&gt;
&lt;iConf&gt;5&lt;/iConf&gt;
&lt;converted&gt;愛知県名古屋市天白区高島&lt;/converted&gt;
&lt;candidate&gt;
&lt;address&gt;愛知県/名古屋市/天白区/高島&lt;/address&gt;
&lt;longitude&gt;136.998108&lt;/longitude&gt;
&lt;latitude&gt;35.108009&lt;/latitude&gt;
&lt;iLvl&gt;5&lt;/iLvl&gt;
&lt;/candidate&gt;
&lt;/results&gt;
</v>
      </c>
      <c r="F268" cm="1">
        <f t="array" ref="F268">INDEX(_xlfn.FILTERXML(E268,"//latitude"),1)</f>
        <v>35.108009000000003</v>
      </c>
      <c r="G268" cm="1">
        <f t="array" ref="G268">INDEX(_xlfn.FILTERXML(E268,"//longitude"),1)</f>
        <v>136.998108</v>
      </c>
      <c r="H268">
        <v>35.108009000000003</v>
      </c>
      <c r="I268">
        <v>136.998108</v>
      </c>
    </row>
    <row r="269" spans="1:9" x14ac:dyDescent="0.4">
      <c r="A269" t="s">
        <v>9</v>
      </c>
      <c r="B269" t="s">
        <v>33</v>
      </c>
      <c r="C269" t="str">
        <f t="shared" si="29"/>
        <v>東京都世田谷区</v>
      </c>
      <c r="D269" s="2" t="str">
        <f t="shared" si="30"/>
        <v>http://geocode.csis.u-tokyo.ac.jp/cgi-bin/simple_geocode.cgi?charset=UTF8&amp;addr=%E6%9D%B1%E4%BA%AC%E9%83%BD%E4%B8%96%E7%94%B0%E8%B0%B7%E5%8C%BA</v>
      </c>
      <c r="E269" t="str">
        <f t="shared" si="31"/>
        <v xml:space="preserve">&lt;?xml version="1.0" encoding="UTF-8" ?&gt;
&lt;results&gt;
&lt;query&gt;東京都世田谷区&lt;/query&gt;
&lt;geodetic&gt;wgs1984&lt;/geodetic&gt;
&lt;iConf&gt;5&lt;/iConf&gt;
&lt;converted&gt;東京都世田谷区&lt;/converted&gt;
&lt;candidate&gt;
&lt;address&gt;東京都/世田谷区&lt;/address&gt;
&lt;longitude&gt;139.653214&lt;/longitude&gt;
&lt;latitude&gt;35.646481&lt;/latitude&gt;
&lt;iLvl&gt;3&lt;/iLvl&gt;
&lt;/candidate&gt;
&lt;/results&gt;
</v>
      </c>
      <c r="F269" cm="1">
        <f t="array" ref="F269">INDEX(_xlfn.FILTERXML(E269,"//latitude"),1)</f>
        <v>35.646481000000001</v>
      </c>
      <c r="G269" cm="1">
        <f t="array" ref="G269">INDEX(_xlfn.FILTERXML(E269,"//longitude"),1)</f>
        <v>139.65321399999999</v>
      </c>
      <c r="H269">
        <v>35.646481000000001</v>
      </c>
      <c r="I269">
        <v>139.65321399999999</v>
      </c>
    </row>
    <row r="270" spans="1:9" x14ac:dyDescent="0.4">
      <c r="A270" t="s">
        <v>10</v>
      </c>
      <c r="B270" t="s">
        <v>265</v>
      </c>
      <c r="C270" t="str">
        <f t="shared" si="29"/>
        <v>神奈川県横浜市港北区新羽町</v>
      </c>
      <c r="D270" s="2" t="str">
        <f t="shared" si="30"/>
        <v>http://geocode.csis.u-tokyo.ac.jp/cgi-bin/simple_geocode.cgi?charset=UTF8&amp;addr=%E7%A5%9E%E5%A5%88%E5%B7%9D%E7%9C%8C%E6%A8%AA%E6%B5%9C%E5%B8%82%E6%B8%AF%E5%8C%97%E5%8C%BA%E6%96%B0%E7%BE%BD%E7%94%BA</v>
      </c>
      <c r="E270" t="str">
        <f t="shared" si="31"/>
        <v xml:space="preserve">&lt;?xml version="1.0" encoding="UTF-8" ?&gt;
&lt;results&gt;
&lt;query&gt;神奈川県横浜市港北区新羽町&lt;/query&gt;
&lt;geodetic&gt;wgs1984&lt;/geodetic&gt;
&lt;iConf&gt;5&lt;/iConf&gt;
&lt;converted&gt;神奈川県横浜市港北区新羽町&lt;/converted&gt;
&lt;candidate&gt;
&lt;address&gt;神奈川県/横浜市/港北区/新羽町&lt;/address&gt;
&lt;longitude&gt;139.609344&lt;/longitude&gt;
&lt;latitude&gt;35.527622&lt;/latitude&gt;
&lt;iLvl&gt;5&lt;/iLvl&gt;
&lt;/candidate&gt;
&lt;/results&gt;
</v>
      </c>
      <c r="F270" cm="1">
        <f t="array" ref="F270">INDEX(_xlfn.FILTERXML(E270,"//latitude"),1)</f>
        <v>35.527622000000001</v>
      </c>
      <c r="G270" cm="1">
        <f t="array" ref="G270">INDEX(_xlfn.FILTERXML(E270,"//longitude"),1)</f>
        <v>139.60934399999999</v>
      </c>
      <c r="H270">
        <v>35.527622000000001</v>
      </c>
      <c r="I270">
        <v>139.60934399999999</v>
      </c>
    </row>
    <row r="271" spans="1:9" x14ac:dyDescent="0.4">
      <c r="A271" t="s">
        <v>132</v>
      </c>
      <c r="B271" t="s">
        <v>266</v>
      </c>
      <c r="C271" t="str">
        <f t="shared" si="29"/>
        <v>岡山県岡山市北区御津野々口</v>
      </c>
      <c r="D271" s="2" t="str">
        <f t="shared" si="30"/>
        <v>http://geocode.csis.u-tokyo.ac.jp/cgi-bin/simple_geocode.cgi?charset=UTF8&amp;addr=%E5%B2%A1%E5%B1%B1%E7%9C%8C%E5%B2%A1%E5%B1%B1%E5%B8%82%E5%8C%97%E5%8C%BA%E5%BE%A1%E6%B4%A5%E9%87%8E%E3%80%85%E5%8F%A3</v>
      </c>
      <c r="E271" t="str">
        <f t="shared" si="31"/>
        <v xml:space="preserve">&lt;?xml version="1.0" encoding="UTF-8" ?&gt;
&lt;results&gt;
&lt;query&gt;岡山県岡山市北区御津野々口&lt;/query&gt;
&lt;geodetic&gt;wgs1984&lt;/geodetic&gt;
&lt;iConf&gt;5&lt;/iConf&gt;
&lt;converted&gt;岡山県岡山市北区御津野々口&lt;/converted&gt;
&lt;candidate&gt;
&lt;address&gt;岡山県/岡山市/北区/御津野々口&lt;/address&gt;
&lt;longitude&gt;133.931961&lt;/longitude&gt;
&lt;latitude&gt;34.766865&lt;/latitude&gt;
&lt;iLvl&gt;5&lt;/iLvl&gt;
&lt;/candidate&gt;
&lt;/results&gt;
</v>
      </c>
      <c r="F271" cm="1">
        <f t="array" ref="F271">INDEX(_xlfn.FILTERXML(E271,"//latitude"),1)</f>
        <v>34.766865000000003</v>
      </c>
      <c r="G271" cm="1">
        <f t="array" ref="G271">INDEX(_xlfn.FILTERXML(E271,"//longitude"),1)</f>
        <v>133.931961</v>
      </c>
      <c r="H271">
        <v>34.766865000000003</v>
      </c>
      <c r="I271">
        <v>133.931961</v>
      </c>
    </row>
    <row r="272" spans="1:9" x14ac:dyDescent="0.4">
      <c r="A272" t="s">
        <v>31</v>
      </c>
      <c r="B272" t="s">
        <v>267</v>
      </c>
      <c r="C272" t="str">
        <f t="shared" si="29"/>
        <v>北海道札幌市中央区北2条西21丁目</v>
      </c>
      <c r="D272" s="2" t="str">
        <f t="shared" si="30"/>
        <v>http://geocode.csis.u-tokyo.ac.jp/cgi-bin/simple_geocode.cgi?charset=UTF8&amp;addr=%E5%8C%97%E6%B5%B7%E9%81%93%E6%9C%AD%E5%B9%8C%E5%B8%82%E4%B8%AD%E5%A4%AE%E5%8C%BA%E5%8C%972%E6%9D%A1%E8%A5%BF21%E4%B8%81%E7%9B%AE</v>
      </c>
      <c r="E272" t="str">
        <f t="shared" si="31"/>
        <v xml:space="preserve">&lt;?xml version="1.0" encoding="UTF-8" ?&gt;
&lt;results&gt;
&lt;query&gt;北海道札幌市中央区北2条西21丁目&lt;/query&gt;
&lt;geodetic&gt;wgs1984&lt;/geodetic&gt;
&lt;iConf&gt;5&lt;/iConf&gt;
&lt;converted&gt;北海道札幌市中央区北2条西21丁目&lt;/converted&gt;
&lt;candidate&gt;
&lt;address&gt;北海道/札幌市/中央区/北二条/西二十一丁目&lt;/address&gt;
&lt;longitude&gt;141.324142&lt;/longitude&gt;
&lt;latitude&gt;43.060093&lt;/latitude&gt;
&lt;iLvl&gt;6&lt;/iLvl&gt;
&lt;/candidate&gt;
&lt;/results&gt;
</v>
      </c>
      <c r="F272" cm="1">
        <f t="array" ref="F272">INDEX(_xlfn.FILTERXML(E272,"//latitude"),1)</f>
        <v>43.060093000000002</v>
      </c>
      <c r="G272" cm="1">
        <f t="array" ref="G272">INDEX(_xlfn.FILTERXML(E272,"//longitude"),1)</f>
        <v>141.32414199999999</v>
      </c>
      <c r="H272">
        <v>43.060093000000002</v>
      </c>
      <c r="I272">
        <v>141.32414199999999</v>
      </c>
    </row>
    <row r="273" spans="1:9" x14ac:dyDescent="0.4">
      <c r="A273" t="s">
        <v>9</v>
      </c>
      <c r="B273" t="s">
        <v>268</v>
      </c>
      <c r="C273" t="str">
        <f t="shared" si="29"/>
        <v>東京都足立区加平</v>
      </c>
      <c r="D273" s="2" t="str">
        <f t="shared" si="30"/>
        <v>http://geocode.csis.u-tokyo.ac.jp/cgi-bin/simple_geocode.cgi?charset=UTF8&amp;addr=%E6%9D%B1%E4%BA%AC%E9%83%BD%E8%B6%B3%E7%AB%8B%E5%8C%BA%E5%8A%A0%E5%B9%B3</v>
      </c>
      <c r="E273" t="str">
        <f t="shared" si="31"/>
        <v xml:space="preserve">&lt;?xml version="1.0" encoding="UTF-8" ?&gt;
&lt;results&gt;
&lt;query&gt;東京都足立区加平&lt;/query&gt;
&lt;geodetic&gt;wgs1984&lt;/geodetic&gt;
&lt;iConf&gt;5&lt;/iConf&gt;
&lt;converted&gt;東京都足立区加平&lt;/converted&gt;
&lt;candidate&gt;
&lt;address&gt;東京都/足立区/加平&lt;/address&gt;
&lt;longitude&gt;139.826859&lt;/longitude&gt;
&lt;latitude&gt;35.775902&lt;/latitude&gt;
&lt;iLvl&gt;5&lt;/iLvl&gt;
&lt;/candidate&gt;
&lt;/results&gt;
</v>
      </c>
      <c r="F273" cm="1">
        <f t="array" ref="F273">INDEX(_xlfn.FILTERXML(E273,"//latitude"),1)</f>
        <v>35.775902000000002</v>
      </c>
      <c r="G273" cm="1">
        <f t="array" ref="G273">INDEX(_xlfn.FILTERXML(E273,"//longitude"),1)</f>
        <v>139.82685900000001</v>
      </c>
      <c r="H273">
        <v>35.775902000000002</v>
      </c>
      <c r="I273">
        <v>139.82685900000001</v>
      </c>
    </row>
    <row r="274" spans="1:9" x14ac:dyDescent="0.4">
      <c r="A274" t="s">
        <v>11</v>
      </c>
      <c r="B274" t="s">
        <v>393</v>
      </c>
      <c r="C274" t="str">
        <f t="shared" si="29"/>
        <v>大阪府吹田市千里山東</v>
      </c>
      <c r="D274" s="2" t="str">
        <f t="shared" si="30"/>
        <v>http://geocode.csis.u-tokyo.ac.jp/cgi-bin/simple_geocode.cgi?charset=UTF8&amp;addr=%E5%A4%A7%E9%98%AA%E5%BA%9C%E5%90%B9%E7%94%B0%E5%B8%82%E5%8D%83%E9%87%8C%E5%B1%B1%E6%9D%B1</v>
      </c>
      <c r="E274" t="str">
        <f t="shared" si="31"/>
        <v xml:space="preserve">&lt;?xml version="1.0" encoding="UTF-8" ?&gt;
&lt;results&gt;
&lt;query&gt;大阪府吹田市千里山東&lt;/query&gt;
&lt;geodetic&gt;wgs1984&lt;/geodetic&gt;
&lt;iConf&gt;5&lt;/iConf&gt;
&lt;converted&gt;大阪府吹田市千里山東&lt;/converted&gt;
&lt;candidate&gt;
&lt;address&gt;大阪府/吹田市/千里山東&lt;/address&gt;
&lt;longitude&gt;135.507339&lt;/longitude&gt;
&lt;latitude&gt;34.773724&lt;/latitude&gt;
&lt;iLvl&gt;5&lt;/iLvl&gt;
&lt;/candidate&gt;
&lt;/results&gt;
</v>
      </c>
      <c r="F274" cm="1">
        <f t="array" ref="F274">INDEX(_xlfn.FILTERXML(E274,"//latitude"),1)</f>
        <v>34.773724000000001</v>
      </c>
      <c r="G274" cm="1">
        <f t="array" ref="G274">INDEX(_xlfn.FILTERXML(E274,"//longitude"),1)</f>
        <v>135.507339</v>
      </c>
      <c r="H274">
        <v>34.773724000000001</v>
      </c>
      <c r="I274">
        <v>135.507339</v>
      </c>
    </row>
    <row r="275" spans="1:9" x14ac:dyDescent="0.4">
      <c r="A275" t="s">
        <v>44</v>
      </c>
      <c r="B275" t="s">
        <v>269</v>
      </c>
      <c r="C275" t="str">
        <f t="shared" si="29"/>
        <v>和歌山県海南市</v>
      </c>
      <c r="D275" s="2" t="str">
        <f t="shared" si="30"/>
        <v>http://geocode.csis.u-tokyo.ac.jp/cgi-bin/simple_geocode.cgi?charset=UTF8&amp;addr=%E5%92%8C%E6%AD%8C%E5%B1%B1%E7%9C%8C%E6%B5%B7%E5%8D%97%E5%B8%82</v>
      </c>
      <c r="E275" t="str">
        <f t="shared" si="31"/>
        <v xml:space="preserve">&lt;?xml version="1.0" encoding="UTF-8" ?&gt;
&lt;results&gt;
&lt;query&gt;和歌山県海南市&lt;/query&gt;
&lt;geodetic&gt;wgs1984&lt;/geodetic&gt;
&lt;iConf&gt;5&lt;/iConf&gt;
&lt;converted&gt;和歌山県海南市&lt;/converted&gt;
&lt;candidate&gt;
&lt;address&gt;和歌山県/海南市&lt;/address&gt;
&lt;longitude&gt;135.209183&lt;/longitude&gt;
&lt;latitude&gt;34.155312&lt;/latitude&gt;
&lt;iLvl&gt;3&lt;/iLvl&gt;
&lt;/candidate&gt;
&lt;/results&gt;
</v>
      </c>
      <c r="F275" cm="1">
        <f t="array" ref="F275">INDEX(_xlfn.FILTERXML(E275,"//latitude"),1)</f>
        <v>34.155312000000002</v>
      </c>
      <c r="G275" cm="1">
        <f t="array" ref="G275">INDEX(_xlfn.FILTERXML(E275,"//longitude"),1)</f>
        <v>135.209183</v>
      </c>
      <c r="H275">
        <v>34.155312000000002</v>
      </c>
      <c r="I275">
        <v>135.209183</v>
      </c>
    </row>
    <row r="276" spans="1:9" x14ac:dyDescent="0.4">
      <c r="A276" t="s">
        <v>12</v>
      </c>
      <c r="B276" t="s">
        <v>573</v>
      </c>
      <c r="C276" t="str">
        <f t="shared" si="29"/>
        <v>埼玉県川口市芝中田</v>
      </c>
      <c r="D276" s="2" t="str">
        <f t="shared" si="30"/>
        <v>http://geocode.csis.u-tokyo.ac.jp/cgi-bin/simple_geocode.cgi?charset=UTF8&amp;addr=%E5%9F%BC%E7%8E%89%E7%9C%8C%E5%B7%9D%E5%8F%A3%E5%B8%82%E8%8A%9D%E4%B8%AD%E7%94%B0</v>
      </c>
      <c r="E276" t="str">
        <f t="shared" si="31"/>
        <v xml:space="preserve">&lt;?xml version="1.0" encoding="UTF-8" ?&gt;
&lt;results&gt;
&lt;query&gt;埼玉県川口市芝中田&lt;/query&gt;
&lt;geodetic&gt;wgs1984&lt;/geodetic&gt;
&lt;iConf&gt;5&lt;/iConf&gt;
&lt;converted&gt;埼玉県川口市芝中田&lt;/converted&gt;
&lt;candidate&gt;
&lt;address&gt;埼玉県/川口市/芝中田&lt;/address&gt;
&lt;longitude&gt;139.699020&lt;/longitude&gt;
&lt;latitude&gt;35.829391&lt;/latitude&gt;
&lt;iLvl&gt;5&lt;/iLvl&gt;
&lt;/candidate&gt;
&lt;/results&gt;
</v>
      </c>
      <c r="F276" cm="1">
        <f t="array" ref="F276">INDEX(_xlfn.FILTERXML(E276,"//latitude"),1)</f>
        <v>35.829391000000001</v>
      </c>
      <c r="G276" cm="1">
        <f t="array" ref="G276">INDEX(_xlfn.FILTERXML(E276,"//longitude"),1)</f>
        <v>139.69901999999999</v>
      </c>
      <c r="H276">
        <v>35.829391000000001</v>
      </c>
      <c r="I276">
        <v>139.69901999999999</v>
      </c>
    </row>
    <row r="277" spans="1:9" x14ac:dyDescent="0.4">
      <c r="A277" t="s">
        <v>9</v>
      </c>
      <c r="B277" t="s">
        <v>179</v>
      </c>
      <c r="C277" t="str">
        <f t="shared" si="29"/>
        <v>東京都品川区</v>
      </c>
      <c r="D277" s="2" t="str">
        <f t="shared" si="30"/>
        <v>http://geocode.csis.u-tokyo.ac.jp/cgi-bin/simple_geocode.cgi?charset=UTF8&amp;addr=%E6%9D%B1%E4%BA%AC%E9%83%BD%E5%93%81%E5%B7%9D%E5%8C%BA</v>
      </c>
      <c r="E277" t="str">
        <f t="shared" si="31"/>
        <v xml:space="preserve">&lt;?xml version="1.0" encoding="UTF-8" ?&gt;
&lt;results&gt;
&lt;query&gt;東京都品川区&lt;/query&gt;
&lt;geodetic&gt;wgs1984&lt;/geodetic&gt;
&lt;iConf&gt;5&lt;/iConf&gt;
&lt;converted&gt;東京都品川区&lt;/converted&gt;
&lt;candidate&gt;
&lt;address&gt;東京都/品川区&lt;/address&gt;
&lt;longitude&gt;139.730255&lt;/longitude&gt;
&lt;latitude&gt;35.609066&lt;/latitude&gt;
&lt;iLvl&gt;3&lt;/iLvl&gt;
&lt;/candidate&gt;
&lt;/results&gt;
</v>
      </c>
      <c r="F277" cm="1">
        <f t="array" ref="F277">INDEX(_xlfn.FILTERXML(E277,"//latitude"),1)</f>
        <v>35.609065999999999</v>
      </c>
      <c r="G277" cm="1">
        <f t="array" ref="G277">INDEX(_xlfn.FILTERXML(E277,"//longitude"),1)</f>
        <v>139.730255</v>
      </c>
      <c r="H277">
        <v>35.609065999999999</v>
      </c>
      <c r="I277">
        <v>139.730255</v>
      </c>
    </row>
    <row r="278" spans="1:9" x14ac:dyDescent="0.4">
      <c r="A278" t="s">
        <v>126</v>
      </c>
      <c r="B278" t="s">
        <v>270</v>
      </c>
      <c r="C278" t="str">
        <f t="shared" si="29"/>
        <v>鳥取県鳥取市西町</v>
      </c>
      <c r="D278" s="2" t="str">
        <f t="shared" si="30"/>
        <v>http://geocode.csis.u-tokyo.ac.jp/cgi-bin/simple_geocode.cgi?charset=UTF8&amp;addr=%E9%B3%A5%E5%8F%96%E7%9C%8C%E9%B3%A5%E5%8F%96%E5%B8%82%E8%A5%BF%E7%94%BA</v>
      </c>
      <c r="E278" t="str">
        <f t="shared" si="31"/>
        <v xml:space="preserve">&lt;?xml version="1.0" encoding="UTF-8" ?&gt;
&lt;results&gt;
&lt;query&gt;鳥取県鳥取市西町&lt;/query&gt;
&lt;geodetic&gt;wgs1984&lt;/geodetic&gt;
&lt;iConf&gt;5&lt;/iConf&gt;
&lt;converted&gt;鳥取県鳥取市西町&lt;/converted&gt;
&lt;candidate&gt;
&lt;address&gt;鳥取県/鳥取市/西町&lt;/address&gt;
&lt;longitude&gt;134.235413&lt;/longitude&gt;
&lt;latitude&gt;35.503563&lt;/latitude&gt;
&lt;iLvl&gt;5&lt;/iLvl&gt;
&lt;/candidate&gt;
&lt;/results&gt;
</v>
      </c>
      <c r="F278" cm="1">
        <f t="array" ref="F278">INDEX(_xlfn.FILTERXML(E278,"//latitude"),1)</f>
        <v>35.503563</v>
      </c>
      <c r="G278" cm="1">
        <f t="array" ref="G278">INDEX(_xlfn.FILTERXML(E278,"//longitude"),1)</f>
        <v>134.23541299999999</v>
      </c>
      <c r="H278">
        <v>35.503563</v>
      </c>
      <c r="I278">
        <v>134.23541299999999</v>
      </c>
    </row>
    <row r="279" spans="1:9" x14ac:dyDescent="0.4">
      <c r="A279" t="s">
        <v>9</v>
      </c>
      <c r="B279" t="s">
        <v>271</v>
      </c>
      <c r="C279" t="str">
        <f t="shared" si="29"/>
        <v>東京都大田区</v>
      </c>
      <c r="D279" s="2" t="str">
        <f t="shared" si="30"/>
        <v>http://geocode.csis.u-tokyo.ac.jp/cgi-bin/simple_geocode.cgi?charset=UTF8&amp;addr=%E6%9D%B1%E4%BA%AC%E9%83%BD%E5%A4%A7%E7%94%B0%E5%8C%BA</v>
      </c>
      <c r="E279" t="str">
        <f t="shared" si="31"/>
        <v xml:space="preserve">&lt;?xml version="1.0" encoding="UTF-8" ?&gt;
&lt;results&gt;
&lt;query&gt;東京都大田区&lt;/query&gt;
&lt;geodetic&gt;wgs1984&lt;/geodetic&gt;
&lt;iConf&gt;5&lt;/iConf&gt;
&lt;converted&gt;東京都大田区&lt;/converted&gt;
&lt;candidate&gt;
&lt;address&gt;東京都/大田区&lt;/address&gt;
&lt;longitude&gt;139.715988&lt;/longitude&gt;
&lt;latitude&gt;35.561260&lt;/latitude&gt;
&lt;iLvl&gt;3&lt;/iLvl&gt;
&lt;/candidate&gt;
&lt;/results&gt;
</v>
      </c>
      <c r="F279" cm="1">
        <f t="array" ref="F279">INDEX(_xlfn.FILTERXML(E279,"//latitude"),1)</f>
        <v>35.561259999999997</v>
      </c>
      <c r="G279" cm="1">
        <f t="array" ref="G279">INDEX(_xlfn.FILTERXML(E279,"//longitude"),1)</f>
        <v>139.71598800000001</v>
      </c>
      <c r="H279">
        <v>35.561259999999997</v>
      </c>
      <c r="I279">
        <v>139.71598800000001</v>
      </c>
    </row>
    <row r="280" spans="1:9" x14ac:dyDescent="0.4">
      <c r="A280" t="s">
        <v>13</v>
      </c>
      <c r="B280" t="s">
        <v>272</v>
      </c>
      <c r="C280" t="str">
        <f t="shared" si="29"/>
        <v>兵庫県川西市大和東</v>
      </c>
      <c r="D280" s="2" t="str">
        <f t="shared" si="30"/>
        <v>http://geocode.csis.u-tokyo.ac.jp/cgi-bin/simple_geocode.cgi?charset=UTF8&amp;addr=%E5%85%B5%E5%BA%AB%E7%9C%8C%E5%B7%9D%E8%A5%BF%E5%B8%82%E5%A4%A7%E5%92%8C%E6%9D%B1</v>
      </c>
      <c r="E280" t="str">
        <f t="shared" si="31"/>
        <v xml:space="preserve">&lt;?xml version="1.0" encoding="UTF-8" ?&gt;
&lt;results&gt;
&lt;query&gt;兵庫県川西市大和東&lt;/query&gt;
&lt;geodetic&gt;wgs1984&lt;/geodetic&gt;
&lt;iConf&gt;5&lt;/iConf&gt;
&lt;converted&gt;兵庫県川西市大和東&lt;/converted&gt;
&lt;candidate&gt;
&lt;address&gt;兵庫県/川西市/大和東&lt;/address&gt;
&lt;longitude&gt;135.421906&lt;/longitude&gt;
&lt;latitude&gt;34.884842&lt;/latitude&gt;
&lt;iLvl&gt;5&lt;/iLvl&gt;
&lt;/candidate&gt;
&lt;/results&gt;
</v>
      </c>
      <c r="F280" cm="1">
        <f t="array" ref="F280">INDEX(_xlfn.FILTERXML(E280,"//latitude"),1)</f>
        <v>34.884841999999999</v>
      </c>
      <c r="G280" cm="1">
        <f t="array" ref="G280">INDEX(_xlfn.FILTERXML(E280,"//longitude"),1)</f>
        <v>135.42190600000001</v>
      </c>
      <c r="H280">
        <v>34.884841999999999</v>
      </c>
      <c r="I280">
        <v>135.42190600000001</v>
      </c>
    </row>
    <row r="281" spans="1:9" x14ac:dyDescent="0.4">
      <c r="A281" t="s">
        <v>9</v>
      </c>
      <c r="B281" t="s">
        <v>273</v>
      </c>
      <c r="C281" t="str">
        <f t="shared" si="29"/>
        <v>東京都町田市西成瀬</v>
      </c>
      <c r="D281" s="2" t="str">
        <f t="shared" si="30"/>
        <v>http://geocode.csis.u-tokyo.ac.jp/cgi-bin/simple_geocode.cgi?charset=UTF8&amp;addr=%E6%9D%B1%E4%BA%AC%E9%83%BD%E7%94%BA%E7%94%B0%E5%B8%82%E8%A5%BF%E6%88%90%E7%80%AC</v>
      </c>
      <c r="E281" t="str">
        <f t="shared" si="31"/>
        <v xml:space="preserve">&lt;?xml version="1.0" encoding="UTF-8" ?&gt;
&lt;results&gt;
&lt;query&gt;東京都町田市西成瀬&lt;/query&gt;
&lt;geodetic&gt;wgs1984&lt;/geodetic&gt;
&lt;iConf&gt;5&lt;/iConf&gt;
&lt;converted&gt;東京都町田市西成瀬&lt;/converted&gt;
&lt;candidate&gt;
&lt;address&gt;東京都/町田市/西成瀬&lt;/address&gt;
&lt;longitude&gt;139.467178&lt;/longitude&gt;
&lt;latitude&gt;35.545387&lt;/latitude&gt;
&lt;iLvl&gt;5&lt;/iLvl&gt;
&lt;/candidate&gt;
&lt;/results&gt;
</v>
      </c>
      <c r="F281" cm="1">
        <f t="array" ref="F281">INDEX(_xlfn.FILTERXML(E281,"//latitude"),1)</f>
        <v>35.545386999999998</v>
      </c>
      <c r="G281" cm="1">
        <f t="array" ref="G281">INDEX(_xlfn.FILTERXML(E281,"//longitude"),1)</f>
        <v>139.46717799999999</v>
      </c>
      <c r="H281">
        <v>35.545386999999998</v>
      </c>
      <c r="I281">
        <v>139.46717799999999</v>
      </c>
    </row>
    <row r="282" spans="1:9" x14ac:dyDescent="0.4">
      <c r="A282" t="s">
        <v>9</v>
      </c>
      <c r="B282" t="s">
        <v>274</v>
      </c>
      <c r="C282" t="str">
        <f t="shared" si="29"/>
        <v>東京都北区</v>
      </c>
      <c r="D282" s="2" t="str">
        <f t="shared" si="30"/>
        <v>http://geocode.csis.u-tokyo.ac.jp/cgi-bin/simple_geocode.cgi?charset=UTF8&amp;addr=%E6%9D%B1%E4%BA%AC%E9%83%BD%E5%8C%97%E5%8C%BA</v>
      </c>
      <c r="E282" t="str">
        <f t="shared" si="31"/>
        <v xml:space="preserve">&lt;?xml version="1.0" encoding="UTF-8" ?&gt;
&lt;results&gt;
&lt;query&gt;東京都北区&lt;/query&gt;
&lt;geodetic&gt;wgs1984&lt;/geodetic&gt;
&lt;iConf&gt;5&lt;/iConf&gt;
&lt;converted&gt;東京都北区&lt;/converted&gt;
&lt;candidate&gt;
&lt;address&gt;東京都/北区&lt;/address&gt;
&lt;longitude&gt;139.733658&lt;/longitude&gt;
&lt;latitude&gt;35.752804&lt;/latitude&gt;
&lt;iLvl&gt;3&lt;/iLvl&gt;
&lt;/candidate&gt;
&lt;/results&gt;
</v>
      </c>
      <c r="F282" cm="1">
        <f t="array" ref="F282">INDEX(_xlfn.FILTERXML(E282,"//latitude"),1)</f>
        <v>35.752803999999998</v>
      </c>
      <c r="G282" cm="1">
        <f t="array" ref="G282">INDEX(_xlfn.FILTERXML(E282,"//longitude"),1)</f>
        <v>139.73365799999999</v>
      </c>
      <c r="H282">
        <v>35.752803999999998</v>
      </c>
      <c r="I282">
        <v>139.73365799999999</v>
      </c>
    </row>
    <row r="283" spans="1:9" x14ac:dyDescent="0.4">
      <c r="A283" t="s">
        <v>9</v>
      </c>
      <c r="B283" t="s">
        <v>384</v>
      </c>
      <c r="C283" t="str">
        <f t="shared" si="29"/>
        <v>東京都葛飾区白鳥</v>
      </c>
      <c r="D283" s="2" t="str">
        <f t="shared" si="30"/>
        <v>http://geocode.csis.u-tokyo.ac.jp/cgi-bin/simple_geocode.cgi?charset=UTF8&amp;addr=%E6%9D%B1%E4%BA%AC%E9%83%BD%E8%91%9B%E9%A3%BE%E5%8C%BA%E7%99%BD%E9%B3%A5</v>
      </c>
      <c r="E283" t="str">
        <f t="shared" si="31"/>
        <v xml:space="preserve">&lt;?xml version="1.0" encoding="UTF-8" ?&gt;
&lt;results&gt;
&lt;query&gt;東京都葛飾区白鳥&lt;/query&gt;
&lt;geodetic&gt;wgs1984&lt;/geodetic&gt;
&lt;iConf&gt;5&lt;/iConf&gt;
&lt;converted&gt;東京都葛飾区白鳥&lt;/converted&gt;
&lt;candidate&gt;
&lt;address&gt;東京都/葛飾区/白鳥&lt;/address&gt;
&lt;longitude&gt;139.842667&lt;/longitude&gt;
&lt;latitude&gt;35.745796&lt;/latitude&gt;
&lt;iLvl&gt;5&lt;/iLvl&gt;
&lt;/candidate&gt;
&lt;/results&gt;
</v>
      </c>
      <c r="F283" cm="1">
        <f t="array" ref="F283">INDEX(_xlfn.FILTERXML(E283,"//latitude"),1)</f>
        <v>35.745795999999999</v>
      </c>
      <c r="G283" cm="1">
        <f t="array" ref="G283">INDEX(_xlfn.FILTERXML(E283,"//longitude"),1)</f>
        <v>139.84266700000001</v>
      </c>
      <c r="H283">
        <v>35.745795999999999</v>
      </c>
      <c r="I283">
        <v>139.84266700000001</v>
      </c>
    </row>
    <row r="284" spans="1:9" x14ac:dyDescent="0.4">
      <c r="A284" t="s">
        <v>23</v>
      </c>
      <c r="B284" t="s">
        <v>385</v>
      </c>
      <c r="C284" t="str">
        <f t="shared" si="29"/>
        <v>京都府京都市左京区松ケ崎木ノ本町</v>
      </c>
      <c r="D284" s="2" t="str">
        <f t="shared" si="30"/>
        <v>http://geocode.csis.u-tokyo.ac.jp/cgi-bin/simple_geocode.cgi?charset=UTF8&amp;addr=%E4%BA%AC%E9%83%BD%E5%BA%9C%E4%BA%AC%E9%83%BD%E5%B8%82%E5%B7%A6%E4%BA%AC%E5%8C%BA%E6%9D%BE%E3%82%B1%E5%B4%8E%E6%9C%A8%E3%83%8E%E6%9C%AC%E7%94%BA</v>
      </c>
      <c r="E284" t="str">
        <f t="shared" si="31"/>
        <v xml:space="preserve">&lt;?xml version="1.0" encoding="UTF-8" ?&gt;
&lt;results&gt;
&lt;query&gt;京都府京都市左京区松ケ崎木ノ本町&lt;/query&gt;
&lt;geodetic&gt;wgs1984&lt;/geodetic&gt;
&lt;iConf&gt;5&lt;/iConf&gt;
&lt;converted&gt;京都府京都市左京区松ケ崎木ノ本町&lt;/converted&gt;
&lt;candidate&gt;
&lt;address&gt;京都府/京都市/左京区/松ケ崎木ノ本町&lt;/address&gt;
&lt;longitude&gt;135.780899&lt;/longitude&gt;
&lt;latitude&gt;35.051128&lt;/latitude&gt;
&lt;iLvl&gt;5&lt;/iLvl&gt;
&lt;/candidate&gt;
&lt;/results&gt;
</v>
      </c>
      <c r="F284" cm="1">
        <f t="array" ref="F284">INDEX(_xlfn.FILTERXML(E284,"//latitude"),1)</f>
        <v>35.051127999999999</v>
      </c>
      <c r="G284" cm="1">
        <f t="array" ref="G284">INDEX(_xlfn.FILTERXML(E284,"//longitude"),1)</f>
        <v>135.78089900000001</v>
      </c>
      <c r="H284">
        <v>35.051127999999999</v>
      </c>
      <c r="I284">
        <v>135.78089900000001</v>
      </c>
    </row>
    <row r="285" spans="1:9" x14ac:dyDescent="0.4">
      <c r="A285" t="s">
        <v>15</v>
      </c>
      <c r="B285" t="s">
        <v>276</v>
      </c>
      <c r="C285" t="str">
        <f t="shared" si="29"/>
        <v>愛知県小牧市上末</v>
      </c>
      <c r="D285" s="2" t="str">
        <f t="shared" si="30"/>
        <v>http://geocode.csis.u-tokyo.ac.jp/cgi-bin/simple_geocode.cgi?charset=UTF8&amp;addr=%E6%84%9B%E7%9F%A5%E7%9C%8C%E5%B0%8F%E7%89%A7%E5%B8%82%E4%B8%8A%E6%9C%AB</v>
      </c>
      <c r="E285" t="str">
        <f t="shared" si="31"/>
        <v xml:space="preserve">&lt;?xml version="1.0" encoding="UTF-8" ?&gt;
&lt;results&gt;
&lt;query&gt;愛知県小牧市上末&lt;/query&gt;
&lt;geodetic&gt;wgs1984&lt;/geodetic&gt;
&lt;iConf&gt;5&lt;/iConf&gt;
&lt;converted&gt;愛知県小牧市上末&lt;/converted&gt;
&lt;candidate&gt;
&lt;address&gt;愛知県/小牧市/上末&lt;/address&gt;
&lt;longitude&gt;136.966278&lt;/longitude&gt;
&lt;latitude&gt;35.297157&lt;/latitude&gt;
&lt;iLvl&gt;5&lt;/iLvl&gt;
&lt;/candidate&gt;
&lt;/results&gt;
</v>
      </c>
      <c r="F285" cm="1">
        <f t="array" ref="F285">INDEX(_xlfn.FILTERXML(E285,"//latitude"),1)</f>
        <v>35.297156999999999</v>
      </c>
      <c r="G285" cm="1">
        <f t="array" ref="G285">INDEX(_xlfn.FILTERXML(E285,"//longitude"),1)</f>
        <v>136.96627799999999</v>
      </c>
      <c r="H285">
        <v>35.297156999999999</v>
      </c>
      <c r="I285">
        <v>136.96627799999999</v>
      </c>
    </row>
    <row r="286" spans="1:9" x14ac:dyDescent="0.4">
      <c r="A286" t="s">
        <v>31</v>
      </c>
      <c r="B286" t="s">
        <v>277</v>
      </c>
      <c r="C286" t="str">
        <f t="shared" si="29"/>
        <v>北海道札幌市厚別区厚別中央2条6丁目</v>
      </c>
      <c r="D286" s="2" t="str">
        <f t="shared" si="30"/>
        <v>http://geocode.csis.u-tokyo.ac.jp/cgi-bin/simple_geocode.cgi?charset=UTF8&amp;addr=%E5%8C%97%E6%B5%B7%E9%81%93%E6%9C%AD%E5%B9%8C%E5%B8%82%E5%8E%9A%E5%88%A5%E5%8C%BA%E5%8E%9A%E5%88%A5%E4%B8%AD%E5%A4%AE2%E6%9D%A16%E4%B8%81%E7%9B%AE</v>
      </c>
      <c r="E286" t="str">
        <f t="shared" si="31"/>
        <v xml:space="preserve">&lt;?xml version="1.0" encoding="UTF-8" ?&gt;
&lt;results&gt;
&lt;query&gt;北海道札幌市厚別区厚別中央2条6丁目&lt;/query&gt;
&lt;geodetic&gt;wgs1984&lt;/geodetic&gt;
&lt;iConf&gt;5&lt;/iConf&gt;
&lt;converted&gt;北海道札幌市厚別区厚別中央2条6丁目&lt;/converted&gt;
&lt;candidate&gt;
&lt;address&gt;北海道/札幌市/厚別区/厚別中央二条/六丁目&lt;/address&gt;
&lt;longitude&gt;141.475616&lt;/longitude&gt;
&lt;latitude&gt;43.041698&lt;/latitude&gt;
&lt;iLvl&gt;6&lt;/iLvl&gt;
&lt;/candidate&gt;
&lt;/results&gt;
</v>
      </c>
      <c r="F286" cm="1">
        <f t="array" ref="F286">INDEX(_xlfn.FILTERXML(E286,"//latitude"),1)</f>
        <v>43.041697999999997</v>
      </c>
      <c r="G286" cm="1">
        <f t="array" ref="G286">INDEX(_xlfn.FILTERXML(E286,"//longitude"),1)</f>
        <v>141.475616</v>
      </c>
      <c r="H286">
        <v>43.041697999999997</v>
      </c>
      <c r="I286">
        <v>141.475616</v>
      </c>
    </row>
    <row r="287" spans="1:9" x14ac:dyDescent="0.4">
      <c r="A287" t="s">
        <v>19</v>
      </c>
      <c r="B287" t="s">
        <v>278</v>
      </c>
      <c r="C287" t="str">
        <f t="shared" si="29"/>
        <v>福岡県福岡市博多区住吉4丁目</v>
      </c>
      <c r="D287" s="2" t="str">
        <f t="shared" si="30"/>
        <v>http://geocode.csis.u-tokyo.ac.jp/cgi-bin/simple_geocode.cgi?charset=UTF8&amp;addr=%E7%A6%8F%E5%B2%A1%E7%9C%8C%E7%A6%8F%E5%B2%A1%E5%B8%82%E5%8D%9A%E5%A4%9A%E5%8C%BA%E4%BD%8F%E5%90%894%E4%B8%81%E7%9B%AE</v>
      </c>
      <c r="E287" t="str">
        <f t="shared" si="31"/>
        <v xml:space="preserve">&lt;?xml version="1.0" encoding="UTF-8" ?&gt;
&lt;results&gt;
&lt;query&gt;福岡県福岡市博多区住吉4丁目&lt;/query&gt;
&lt;geodetic&gt;wgs1984&lt;/geodetic&gt;
&lt;iConf&gt;5&lt;/iConf&gt;
&lt;converted&gt;福岡県福岡市博多区住吉4丁目&lt;/converted&gt;
&lt;candidate&gt;
&lt;address&gt;福岡県/福岡市/博多区/住吉/四丁目&lt;/address&gt;
&lt;longitude&gt;130.412872&lt;/longitude&gt;
&lt;latitude&gt;33.583351&lt;/latitude&gt;
&lt;iLvl&gt;6&lt;/iLvl&gt;
&lt;/candidate&gt;
&lt;/results&gt;
</v>
      </c>
      <c r="F287" cm="1">
        <f t="array" ref="F287">INDEX(_xlfn.FILTERXML(E287,"//latitude"),1)</f>
        <v>33.583351</v>
      </c>
      <c r="G287" cm="1">
        <f t="array" ref="G287">INDEX(_xlfn.FILTERXML(E287,"//longitude"),1)</f>
        <v>130.41287199999999</v>
      </c>
      <c r="H287">
        <v>33.583351</v>
      </c>
      <c r="I287">
        <v>130.41287199999999</v>
      </c>
    </row>
    <row r="288" spans="1:9" x14ac:dyDescent="0.4">
      <c r="A288" t="s">
        <v>12</v>
      </c>
      <c r="B288" t="s">
        <v>279</v>
      </c>
      <c r="C288" t="str">
        <f t="shared" si="29"/>
        <v>埼玉県川越市山田</v>
      </c>
      <c r="D288" s="2" t="str">
        <f t="shared" si="30"/>
        <v>http://geocode.csis.u-tokyo.ac.jp/cgi-bin/simple_geocode.cgi?charset=UTF8&amp;addr=%E5%9F%BC%E7%8E%89%E7%9C%8C%E5%B7%9D%E8%B6%8A%E5%B8%82%E5%B1%B1%E7%94%B0</v>
      </c>
      <c r="E288" t="str">
        <f t="shared" si="31"/>
        <v xml:space="preserve">&lt;?xml version="1.0" encoding="UTF-8" ?&gt;
&lt;results&gt;
&lt;query&gt;埼玉県川越市山田&lt;/query&gt;
&lt;geodetic&gt;wgs1984&lt;/geodetic&gt;
&lt;iConf&gt;5&lt;/iConf&gt;
&lt;converted&gt;埼玉県川越市山田&lt;/converted&gt;
&lt;candidate&gt;
&lt;address&gt;埼玉県/川越市/山田&lt;/address&gt;
&lt;longitude&gt;139.477859&lt;/longitude&gt;
&lt;latitude&gt;35.944225&lt;/latitude&gt;
&lt;iLvl&gt;5&lt;/iLvl&gt;
&lt;/candidate&gt;
&lt;/results&gt;
</v>
      </c>
      <c r="F288" cm="1">
        <f t="array" ref="F288">INDEX(_xlfn.FILTERXML(E288,"//latitude"),1)</f>
        <v>35.944225000000003</v>
      </c>
      <c r="G288" cm="1">
        <f t="array" ref="G288">INDEX(_xlfn.FILTERXML(E288,"//longitude"),1)</f>
        <v>139.477859</v>
      </c>
      <c r="H288">
        <v>35.944225000000003</v>
      </c>
      <c r="I288">
        <v>139.477859</v>
      </c>
    </row>
    <row r="289" spans="1:9" x14ac:dyDescent="0.4">
      <c r="A289" t="s">
        <v>9</v>
      </c>
      <c r="B289" t="s">
        <v>54</v>
      </c>
      <c r="C289" t="str">
        <f t="shared" si="29"/>
        <v>東京都中央区佃</v>
      </c>
      <c r="D289" s="2" t="str">
        <f t="shared" si="30"/>
        <v>http://geocode.csis.u-tokyo.ac.jp/cgi-bin/simple_geocode.cgi?charset=UTF8&amp;addr=%E6%9D%B1%E4%BA%AC%E9%83%BD%E4%B8%AD%E5%A4%AE%E5%8C%BA%E4%BD%83</v>
      </c>
      <c r="E289" t="str">
        <f t="shared" si="31"/>
        <v xml:space="preserve">&lt;?xml version="1.0" encoding="UTF-8" ?&gt;
&lt;results&gt;
&lt;query&gt;東京都中央区佃&lt;/query&gt;
&lt;geodetic&gt;wgs1984&lt;/geodetic&gt;
&lt;iConf&gt;5&lt;/iConf&gt;
&lt;converted&gt;東京都中央区佃&lt;/converted&gt;
&lt;candidate&gt;
&lt;address&gt;東京都/中央区/佃&lt;/address&gt;
&lt;longitude&gt;139.783356&lt;/longitude&gt;
&lt;latitude&gt;35.668865&lt;/latitude&gt;
&lt;iLvl&gt;5&lt;/iLvl&gt;
&lt;/candidate&gt;
&lt;/results&gt;
</v>
      </c>
      <c r="F289" cm="1">
        <f t="array" ref="F289">INDEX(_xlfn.FILTERXML(E289,"//latitude"),1)</f>
        <v>35.668864999999997</v>
      </c>
      <c r="G289" cm="1">
        <f t="array" ref="G289">INDEX(_xlfn.FILTERXML(E289,"//longitude"),1)</f>
        <v>139.783356</v>
      </c>
      <c r="H289">
        <v>35.668864999999997</v>
      </c>
      <c r="I289">
        <v>139.783356</v>
      </c>
    </row>
    <row r="290" spans="1:9" x14ac:dyDescent="0.4">
      <c r="A290" t="s">
        <v>9</v>
      </c>
      <c r="B290" t="s">
        <v>280</v>
      </c>
      <c r="C290" t="str">
        <f t="shared" si="29"/>
        <v>東京都江戸川区</v>
      </c>
      <c r="D290" s="2" t="str">
        <f t="shared" si="30"/>
        <v>http://geocode.csis.u-tokyo.ac.jp/cgi-bin/simple_geocode.cgi?charset=UTF8&amp;addr=%E6%9D%B1%E4%BA%AC%E9%83%BD%E6%B1%9F%E6%88%B8%E5%B7%9D%E5%8C%BA</v>
      </c>
      <c r="E290" t="str">
        <f t="shared" si="31"/>
        <v xml:space="preserve">&lt;?xml version="1.0" encoding="UTF-8" ?&gt;
&lt;results&gt;
&lt;query&gt;東京都江戸川区&lt;/query&gt;
&lt;geodetic&gt;wgs1984&lt;/geodetic&gt;
&lt;iConf&gt;5&lt;/iConf&gt;
&lt;converted&gt;東京都江戸川区&lt;/converted&gt;
&lt;candidate&gt;
&lt;address&gt;東京都/江戸川区&lt;/address&gt;
&lt;longitude&gt;139.868317&lt;/longitude&gt;
&lt;latitude&gt;35.706650&lt;/latitude&gt;
&lt;iLvl&gt;3&lt;/iLvl&gt;
&lt;/candidate&gt;
&lt;/results&gt;
</v>
      </c>
      <c r="F290" cm="1">
        <f t="array" ref="F290">INDEX(_xlfn.FILTERXML(E290,"//latitude"),1)</f>
        <v>35.706650000000003</v>
      </c>
      <c r="G290" cm="1">
        <f t="array" ref="G290">INDEX(_xlfn.FILTERXML(E290,"//longitude"),1)</f>
        <v>139.86831699999999</v>
      </c>
      <c r="H290">
        <v>35.706650000000003</v>
      </c>
      <c r="I290">
        <v>139.86831699999999</v>
      </c>
    </row>
    <row r="291" spans="1:9" x14ac:dyDescent="0.4">
      <c r="A291" t="s">
        <v>281</v>
      </c>
      <c r="B291" t="s">
        <v>282</v>
      </c>
      <c r="C291" t="str">
        <f t="shared" si="29"/>
        <v>山口県長門市三隅下</v>
      </c>
      <c r="D291" s="2" t="str">
        <f t="shared" si="30"/>
        <v>http://geocode.csis.u-tokyo.ac.jp/cgi-bin/simple_geocode.cgi?charset=UTF8&amp;addr=%E5%B1%B1%E5%8F%A3%E7%9C%8C%E9%95%B7%E9%96%80%E5%B8%82%E4%B8%89%E9%9A%85%E4%B8%8B</v>
      </c>
      <c r="E291" t="str">
        <f t="shared" si="31"/>
        <v xml:space="preserve">&lt;?xml version="1.0" encoding="UTF-8" ?&gt;
&lt;results&gt;
&lt;query&gt;山口県長門市三隅下&lt;/query&gt;
&lt;geodetic&gt;wgs1984&lt;/geodetic&gt;
&lt;iConf&gt;5&lt;/iConf&gt;
&lt;converted&gt;山口県長門市三隅下&lt;/converted&gt;
&lt;candidate&gt;
&lt;address&gt;山口県/長門市/三隅下&lt;/address&gt;
&lt;longitude&gt;131.223495&lt;/longitude&gt;
&lt;latitude&gt;34.363853&lt;/latitude&gt;
&lt;iLvl&gt;5&lt;/iLvl&gt;
&lt;/candidate&gt;
&lt;/results&gt;
</v>
      </c>
      <c r="F291" cm="1">
        <f t="array" ref="F291">INDEX(_xlfn.FILTERXML(E291,"//latitude"),1)</f>
        <v>34.363852999999999</v>
      </c>
      <c r="G291" cm="1">
        <f t="array" ref="G291">INDEX(_xlfn.FILTERXML(E291,"//longitude"),1)</f>
        <v>131.22349500000001</v>
      </c>
      <c r="H291">
        <v>34.363852999999999</v>
      </c>
      <c r="I291">
        <v>131.22349500000001</v>
      </c>
    </row>
    <row r="292" spans="1:9" x14ac:dyDescent="0.4">
      <c r="A292" t="s">
        <v>15</v>
      </c>
      <c r="B292" t="s">
        <v>574</v>
      </c>
      <c r="C292" t="str">
        <f t="shared" si="29"/>
        <v>愛知県名古屋市中川区</v>
      </c>
      <c r="D292" s="2" t="str">
        <f t="shared" si="30"/>
        <v>http://geocode.csis.u-tokyo.ac.jp/cgi-bin/simple_geocode.cgi?charset=UTF8&amp;addr=%E6%84%9B%E7%9F%A5%E7%9C%8C%E5%90%8D%E5%8F%A4%E5%B1%8B%E5%B8%82%E4%B8%AD%E5%B7%9D%E5%8C%BA</v>
      </c>
      <c r="E292" t="str">
        <f t="shared" si="31"/>
        <v xml:space="preserve">&lt;?xml version="1.0" encoding="UTF-8" ?&gt;
&lt;results&gt;
&lt;query&gt;愛知県名古屋市中川区&lt;/query&gt;
&lt;geodetic&gt;wgs1984&lt;/geodetic&gt;
&lt;iConf&gt;5&lt;/iConf&gt;
&lt;converted&gt;愛知県名古屋市中川区&lt;/converted&gt;
&lt;candidate&gt;
&lt;address&gt;愛知県/名古屋市/中川区&lt;/address&gt;
&lt;longitude&gt;136.854813&lt;/longitude&gt;
&lt;latitude&gt;35.141541&lt;/latitude&gt;
&lt;iLvl&gt;4&lt;/iLvl&gt;
&lt;/candidate&gt;
&lt;/results&gt;
</v>
      </c>
      <c r="F292" cm="1">
        <f t="array" ref="F292">INDEX(_xlfn.FILTERXML(E292,"//latitude"),1)</f>
        <v>35.141540999999997</v>
      </c>
      <c r="G292" cm="1">
        <f t="array" ref="G292">INDEX(_xlfn.FILTERXML(E292,"//longitude"),1)</f>
        <v>136.85481300000001</v>
      </c>
      <c r="H292">
        <v>35.141540999999997</v>
      </c>
      <c r="I292">
        <v>136.85481300000001</v>
      </c>
    </row>
    <row r="293" spans="1:9" x14ac:dyDescent="0.4">
      <c r="A293" t="s">
        <v>19</v>
      </c>
      <c r="B293" t="s">
        <v>283</v>
      </c>
      <c r="C293" t="str">
        <f t="shared" si="29"/>
        <v>福岡県みやま市高田町濃施</v>
      </c>
      <c r="D293" s="2" t="str">
        <f t="shared" si="30"/>
        <v>http://geocode.csis.u-tokyo.ac.jp/cgi-bin/simple_geocode.cgi?charset=UTF8&amp;addr=%E7%A6%8F%E5%B2%A1%E7%9C%8C%E3%81%BF%E3%82%84%E3%81%BE%E5%B8%82%E9%AB%98%E7%94%B0%E7%94%BA%E6%BF%83%E6%96%BD</v>
      </c>
      <c r="E293" t="str">
        <f t="shared" si="31"/>
        <v xml:space="preserve">&lt;?xml version="1.0" encoding="UTF-8" ?&gt;
&lt;results&gt;
&lt;query&gt;福岡県みやま市高田町濃施&lt;/query&gt;
&lt;geodetic&gt;wgs1984&lt;/geodetic&gt;
&lt;iConf&gt;5&lt;/iConf&gt;
&lt;converted&gt;福岡県みやま市高田町濃施&lt;/converted&gt;
&lt;candidate&gt;
&lt;address&gt;福岡県/みやま市/高田町濃施&lt;/address&gt;
&lt;longitude&gt;130.458633&lt;/longitude&gt;
&lt;latitude&gt;33.100605&lt;/latitude&gt;
&lt;iLvl&gt;5&lt;/iLvl&gt;
&lt;/candidate&gt;
&lt;/results&gt;
</v>
      </c>
      <c r="F293" cm="1">
        <f t="array" ref="F293">INDEX(_xlfn.FILTERXML(E293,"//latitude"),1)</f>
        <v>33.100605000000002</v>
      </c>
      <c r="G293" cm="1">
        <f t="array" ref="G293">INDEX(_xlfn.FILTERXML(E293,"//longitude"),1)</f>
        <v>130.45863299999999</v>
      </c>
      <c r="H293" s="3">
        <v>33.100605000000002</v>
      </c>
      <c r="I293" s="3">
        <v>130.45863299999999</v>
      </c>
    </row>
    <row r="294" spans="1:9" x14ac:dyDescent="0.4">
      <c r="A294" t="s">
        <v>284</v>
      </c>
      <c r="B294" t="s">
        <v>285</v>
      </c>
      <c r="C294" t="str">
        <f t="shared" si="29"/>
        <v>岩手県花巻市</v>
      </c>
      <c r="D294" s="2" t="str">
        <f t="shared" si="30"/>
        <v>http://geocode.csis.u-tokyo.ac.jp/cgi-bin/simple_geocode.cgi?charset=UTF8&amp;addr=%E5%B2%A9%E6%89%8B%E7%9C%8C%E8%8A%B1%E5%B7%BB%E5%B8%82</v>
      </c>
      <c r="E294" t="str">
        <f t="shared" si="31"/>
        <v xml:space="preserve">&lt;?xml version="1.0" encoding="UTF-8" ?&gt;
&lt;results&gt;
&lt;query&gt;岩手県花巻市&lt;/query&gt;
&lt;geodetic&gt;wgs1984&lt;/geodetic&gt;
&lt;iConf&gt;5&lt;/iConf&gt;
&lt;converted&gt;岩手県花巻市&lt;/converted&gt;
&lt;candidate&gt;
&lt;address&gt;岩手県/花巻市&lt;/address&gt;
&lt;longitude&gt;141.116852&lt;/longitude&gt;
&lt;latitude&gt;39.388611&lt;/latitude&gt;
&lt;iLvl&gt;3&lt;/iLvl&gt;
&lt;/candidate&gt;
&lt;/results&gt;
</v>
      </c>
      <c r="F294" cm="1">
        <f t="array" ref="F294">INDEX(_xlfn.FILTERXML(E294,"//latitude"),1)</f>
        <v>39.388610999999997</v>
      </c>
      <c r="G294" cm="1">
        <f t="array" ref="G294">INDEX(_xlfn.FILTERXML(E294,"//longitude"),1)</f>
        <v>141.11685199999999</v>
      </c>
      <c r="H294">
        <v>39.388610999999997</v>
      </c>
      <c r="I294">
        <v>141.11685199999999</v>
      </c>
    </row>
    <row r="295" spans="1:9" x14ac:dyDescent="0.4">
      <c r="A295" t="s">
        <v>28</v>
      </c>
      <c r="B295" t="s">
        <v>286</v>
      </c>
      <c r="C295" t="str">
        <f t="shared" si="29"/>
        <v>三重県津市柳山津興</v>
      </c>
      <c r="D295" s="2" t="str">
        <f t="shared" si="30"/>
        <v>http://geocode.csis.u-tokyo.ac.jp/cgi-bin/simple_geocode.cgi?charset=UTF8&amp;addr=%E4%B8%89%E9%87%8D%E7%9C%8C%E6%B4%A5%E5%B8%82%E6%9F%B3%E5%B1%B1%E6%B4%A5%E8%88%88</v>
      </c>
      <c r="E295" t="str">
        <f t="shared" si="31"/>
        <v xml:space="preserve">&lt;?xml version="1.0" encoding="UTF-8" ?&gt;
&lt;results&gt;
&lt;query&gt;三重県津市柳山津興&lt;/query&gt;
&lt;geodetic&gt;wgs1984&lt;/geodetic&gt;
&lt;iConf&gt;5&lt;/iConf&gt;
&lt;converted&gt;三重県津市柳山津興&lt;/converted&gt;
&lt;candidate&gt;
&lt;address&gt;三重県/津市/柳山津興&lt;/address&gt;
&lt;longitude&gt;136.517731&lt;/longitude&gt;
&lt;latitude&gt;34.707767&lt;/latitude&gt;
&lt;iLvl&gt;5&lt;/iLvl&gt;
&lt;/candidate&gt;
&lt;/results&gt;
</v>
      </c>
      <c r="F295" cm="1">
        <f t="array" ref="F295">INDEX(_xlfn.FILTERXML(E295,"//latitude"),1)</f>
        <v>34.707766999999997</v>
      </c>
      <c r="G295" cm="1">
        <f t="array" ref="G295">INDEX(_xlfn.FILTERXML(E295,"//longitude"),1)</f>
        <v>136.517731</v>
      </c>
      <c r="H295">
        <v>34.707766999999997</v>
      </c>
      <c r="I295">
        <v>136.517731</v>
      </c>
    </row>
    <row r="296" spans="1:9" x14ac:dyDescent="0.4">
      <c r="A296" t="s">
        <v>15</v>
      </c>
      <c r="B296" t="s">
        <v>287</v>
      </c>
      <c r="C296" t="str">
        <f t="shared" si="29"/>
        <v>愛知県名古屋市中川区二女子町</v>
      </c>
      <c r="D296" s="2" t="str">
        <f t="shared" si="30"/>
        <v>http://geocode.csis.u-tokyo.ac.jp/cgi-bin/simple_geocode.cgi?charset=UTF8&amp;addr=%E6%84%9B%E7%9F%A5%E7%9C%8C%E5%90%8D%E5%8F%A4%E5%B1%8B%E5%B8%82%E4%B8%AD%E5%B7%9D%E5%8C%BA%E4%BA%8C%E5%A5%B3%E5%AD%90%E7%94%BA</v>
      </c>
      <c r="E296" t="str">
        <f t="shared" si="31"/>
        <v xml:space="preserve">&lt;?xml version="1.0" encoding="UTF-8" ?&gt;
&lt;results&gt;
&lt;query&gt;愛知県名古屋市中川区二女子町&lt;/query&gt;
&lt;geodetic&gt;wgs1984&lt;/geodetic&gt;
&lt;iConf&gt;5&lt;/iConf&gt;
&lt;converted&gt;愛知県名古屋市中川区二女子町&lt;/converted&gt;
&lt;candidate&gt;
&lt;address&gt;愛知県/名古屋市/中川区/二女子町&lt;/address&gt;
&lt;longitude&gt;136.879990&lt;/longitude&gt;
&lt;latitude&gt;35.146191&lt;/latitude&gt;
&lt;iLvl&gt;5&lt;/iLvl&gt;
&lt;/candidate&gt;
&lt;/results&gt;
</v>
      </c>
      <c r="F296" cm="1">
        <f t="array" ref="F296">INDEX(_xlfn.FILTERXML(E296,"//latitude"),1)</f>
        <v>35.146191000000002</v>
      </c>
      <c r="G296" cm="1">
        <f t="array" ref="G296">INDEX(_xlfn.FILTERXML(E296,"//longitude"),1)</f>
        <v>136.87998999999999</v>
      </c>
      <c r="H296">
        <v>35.146191000000002</v>
      </c>
      <c r="I296">
        <v>136.87998999999999</v>
      </c>
    </row>
    <row r="297" spans="1:9" x14ac:dyDescent="0.4">
      <c r="A297" t="s">
        <v>11</v>
      </c>
      <c r="B297" t="s">
        <v>288</v>
      </c>
      <c r="C297" t="str">
        <f t="shared" si="29"/>
        <v>大阪府吹田市桃山台</v>
      </c>
      <c r="D297" s="2" t="str">
        <f t="shared" si="30"/>
        <v>http://geocode.csis.u-tokyo.ac.jp/cgi-bin/simple_geocode.cgi?charset=UTF8&amp;addr=%E5%A4%A7%E9%98%AA%E5%BA%9C%E5%90%B9%E7%94%B0%E5%B8%82%E6%A1%83%E5%B1%B1%E5%8F%B0</v>
      </c>
      <c r="E297" t="str">
        <f t="shared" si="31"/>
        <v xml:space="preserve">&lt;?xml version="1.0" encoding="UTF-8" ?&gt;
&lt;results&gt;
&lt;query&gt;大阪府吹田市桃山台&lt;/query&gt;
&lt;geodetic&gt;wgs1984&lt;/geodetic&gt;
&lt;iConf&gt;5&lt;/iConf&gt;
&lt;converted&gt;大阪府吹田市桃山台&lt;/converted&gt;
&lt;candidate&gt;
&lt;address&gt;大阪府/吹田市/桃山台&lt;/address&gt;
&lt;longitude&gt;135.505402&lt;/longitude&gt;
&lt;latitude&gt;34.791454&lt;/latitude&gt;
&lt;iLvl&gt;5&lt;/iLvl&gt;
&lt;/candidate&gt;
&lt;/results&gt;
</v>
      </c>
      <c r="F297" cm="1">
        <f t="array" ref="F297">INDEX(_xlfn.FILTERXML(E297,"//latitude"),1)</f>
        <v>34.791454000000002</v>
      </c>
      <c r="G297" cm="1">
        <f t="array" ref="G297">INDEX(_xlfn.FILTERXML(E297,"//longitude"),1)</f>
        <v>135.505402</v>
      </c>
      <c r="H297">
        <v>34.791454000000002</v>
      </c>
      <c r="I297">
        <v>135.505402</v>
      </c>
    </row>
    <row r="298" spans="1:9" x14ac:dyDescent="0.4">
      <c r="A298" t="s">
        <v>9</v>
      </c>
      <c r="B298" t="s">
        <v>33</v>
      </c>
      <c r="C298" t="str">
        <f t="shared" si="29"/>
        <v>東京都世田谷区</v>
      </c>
      <c r="D298" s="2" t="str">
        <f t="shared" si="30"/>
        <v>http://geocode.csis.u-tokyo.ac.jp/cgi-bin/simple_geocode.cgi?charset=UTF8&amp;addr=%E6%9D%B1%E4%BA%AC%E9%83%BD%E4%B8%96%E7%94%B0%E8%B0%B7%E5%8C%BA</v>
      </c>
      <c r="E298" t="str">
        <f t="shared" si="31"/>
        <v xml:space="preserve">&lt;?xml version="1.0" encoding="UTF-8" ?&gt;
&lt;results&gt;
&lt;query&gt;東京都世田谷区&lt;/query&gt;
&lt;geodetic&gt;wgs1984&lt;/geodetic&gt;
&lt;iConf&gt;5&lt;/iConf&gt;
&lt;converted&gt;東京都世田谷区&lt;/converted&gt;
&lt;candidate&gt;
&lt;address&gt;東京都/世田谷区&lt;/address&gt;
&lt;longitude&gt;139.653214&lt;/longitude&gt;
&lt;latitude&gt;35.646481&lt;/latitude&gt;
&lt;iLvl&gt;3&lt;/iLvl&gt;
&lt;/candidate&gt;
&lt;/results&gt;
</v>
      </c>
      <c r="F298" cm="1">
        <f t="array" ref="F298">INDEX(_xlfn.FILTERXML(E298,"//latitude"),1)</f>
        <v>35.646481000000001</v>
      </c>
      <c r="G298" cm="1">
        <f t="array" ref="G298">INDEX(_xlfn.FILTERXML(E298,"//longitude"),1)</f>
        <v>139.65321399999999</v>
      </c>
      <c r="H298">
        <v>35.646481000000001</v>
      </c>
      <c r="I298">
        <v>139.65321399999999</v>
      </c>
    </row>
    <row r="299" spans="1:9" x14ac:dyDescent="0.4">
      <c r="A299" t="s">
        <v>12</v>
      </c>
      <c r="B299" t="s">
        <v>43</v>
      </c>
      <c r="C299" t="str">
        <f t="shared" si="29"/>
        <v>埼玉県上尾市</v>
      </c>
      <c r="D299" s="2" t="str">
        <f t="shared" si="30"/>
        <v>http://geocode.csis.u-tokyo.ac.jp/cgi-bin/simple_geocode.cgi?charset=UTF8&amp;addr=%E5%9F%BC%E7%8E%89%E7%9C%8C%E4%B8%8A%E5%B0%BE%E5%B8%82</v>
      </c>
      <c r="E299" t="str">
        <f t="shared" si="31"/>
        <v xml:space="preserve">&lt;?xml version="1.0" encoding="UTF-8" ?&gt;
&lt;results&gt;
&lt;query&gt;埼玉県上尾市&lt;/query&gt;
&lt;geodetic&gt;wgs1984&lt;/geodetic&gt;
&lt;iConf&gt;5&lt;/iConf&gt;
&lt;converted&gt;埼玉県上尾市&lt;/converted&gt;
&lt;candidate&gt;
&lt;address&gt;埼玉県/上尾市&lt;/address&gt;
&lt;longitude&gt;139.593201&lt;/longitude&gt;
&lt;latitude&gt;35.977409&lt;/latitude&gt;
&lt;iLvl&gt;3&lt;/iLvl&gt;
&lt;/candidate&gt;
&lt;/results&gt;
</v>
      </c>
      <c r="F299" cm="1">
        <f t="array" ref="F299">INDEX(_xlfn.FILTERXML(E299,"//latitude"),1)</f>
        <v>35.977409000000002</v>
      </c>
      <c r="G299" cm="1">
        <f t="array" ref="G299">INDEX(_xlfn.FILTERXML(E299,"//longitude"),1)</f>
        <v>139.59320099999999</v>
      </c>
      <c r="H299">
        <v>35.977409000000002</v>
      </c>
      <c r="I299">
        <v>139.59320099999999</v>
      </c>
    </row>
    <row r="300" spans="1:9" x14ac:dyDescent="0.4">
      <c r="A300" t="s">
        <v>9</v>
      </c>
      <c r="B300" t="s">
        <v>289</v>
      </c>
      <c r="C300" t="str">
        <f t="shared" si="29"/>
        <v>東京都三鷹市</v>
      </c>
      <c r="D300" s="2" t="str">
        <f t="shared" si="30"/>
        <v>http://geocode.csis.u-tokyo.ac.jp/cgi-bin/simple_geocode.cgi?charset=UTF8&amp;addr=%E6%9D%B1%E4%BA%AC%E9%83%BD%E4%B8%89%E9%B7%B9%E5%B8%82</v>
      </c>
      <c r="E300" t="str">
        <f t="shared" si="31"/>
        <v xml:space="preserve">&lt;?xml version="1.0" encoding="UTF-8" ?&gt;
&lt;results&gt;
&lt;query&gt;東京都三鷹市&lt;/query&gt;
&lt;geodetic&gt;wgs1984&lt;/geodetic&gt;
&lt;iConf&gt;5&lt;/iConf&gt;
&lt;converted&gt;東京都三鷹市&lt;/converted&gt;
&lt;candidate&gt;
&lt;address&gt;東京都/三鷹市&lt;/address&gt;
&lt;longitude&gt;139.559875&lt;/longitude&gt;
&lt;latitude&gt;35.683308&lt;/latitude&gt;
&lt;iLvl&gt;3&lt;/iLvl&gt;
&lt;/candidate&gt;
&lt;/results&gt;
</v>
      </c>
      <c r="F300" cm="1">
        <f t="array" ref="F300">INDEX(_xlfn.FILTERXML(E300,"//latitude"),1)</f>
        <v>35.683307999999997</v>
      </c>
      <c r="G300" cm="1">
        <f t="array" ref="G300">INDEX(_xlfn.FILTERXML(E300,"//longitude"),1)</f>
        <v>139.55987500000001</v>
      </c>
      <c r="H300">
        <v>35.683307999999997</v>
      </c>
      <c r="I300">
        <v>139.55987500000001</v>
      </c>
    </row>
    <row r="301" spans="1:9" x14ac:dyDescent="0.4">
      <c r="A301" t="s">
        <v>30</v>
      </c>
      <c r="B301" t="s">
        <v>290</v>
      </c>
      <c r="C301" t="str">
        <f t="shared" si="29"/>
        <v>石川県加賀市</v>
      </c>
      <c r="D301" s="2" t="str">
        <f t="shared" si="30"/>
        <v>http://geocode.csis.u-tokyo.ac.jp/cgi-bin/simple_geocode.cgi?charset=UTF8&amp;addr=%E7%9F%B3%E5%B7%9D%E7%9C%8C%E5%8A%A0%E8%B3%80%E5%B8%82</v>
      </c>
      <c r="E301" t="str">
        <f t="shared" si="31"/>
        <v xml:space="preserve">&lt;?xml version="1.0" encoding="UTF-8" ?&gt;
&lt;results&gt;
&lt;query&gt;石川県加賀市&lt;/query&gt;
&lt;geodetic&gt;wgs1984&lt;/geodetic&gt;
&lt;iConf&gt;5&lt;/iConf&gt;
&lt;converted&gt;石川県加賀市&lt;/converted&gt;
&lt;candidate&gt;
&lt;address&gt;石川県/加賀市&lt;/address&gt;
&lt;longitude&gt;136.314682&lt;/longitude&gt;
&lt;latitude&gt;36.302670&lt;/latitude&gt;
&lt;iLvl&gt;3&lt;/iLvl&gt;
&lt;/candidate&gt;
&lt;/results&gt;
</v>
      </c>
      <c r="F301" cm="1">
        <f t="array" ref="F301">INDEX(_xlfn.FILTERXML(E301,"//latitude"),1)</f>
        <v>36.302669999999999</v>
      </c>
      <c r="G301" cm="1">
        <f t="array" ref="G301">INDEX(_xlfn.FILTERXML(E301,"//longitude"),1)</f>
        <v>136.314682</v>
      </c>
      <c r="H301">
        <v>36.302669999999999</v>
      </c>
      <c r="I301">
        <v>136.314682</v>
      </c>
    </row>
    <row r="302" spans="1:9" x14ac:dyDescent="0.4">
      <c r="A302" t="s">
        <v>28</v>
      </c>
      <c r="B302" t="s">
        <v>291</v>
      </c>
      <c r="C302" t="str">
        <f t="shared" si="29"/>
        <v>三重県鈴鹿市岸岡町</v>
      </c>
      <c r="D302" s="2" t="str">
        <f t="shared" si="30"/>
        <v>http://geocode.csis.u-tokyo.ac.jp/cgi-bin/simple_geocode.cgi?charset=UTF8&amp;addr=%E4%B8%89%E9%87%8D%E7%9C%8C%E9%88%B4%E9%B9%BF%E5%B8%82%E5%B2%B8%E5%B2%A1%E7%94%BA</v>
      </c>
      <c r="E302" t="str">
        <f t="shared" si="31"/>
        <v xml:space="preserve">&lt;?xml version="1.0" encoding="UTF-8" ?&gt;
&lt;results&gt;
&lt;query&gt;三重県鈴鹿市岸岡町&lt;/query&gt;
&lt;geodetic&gt;wgs1984&lt;/geodetic&gt;
&lt;iConf&gt;5&lt;/iConf&gt;
&lt;converted&gt;三重県鈴鹿市岸岡町&lt;/converted&gt;
&lt;candidate&gt;
&lt;address&gt;三重県/鈴鹿市/岸岡町&lt;/address&gt;
&lt;longitude&gt;136.602402&lt;/longitude&gt;
&lt;latitude&gt;34.854336&lt;/latitude&gt;
&lt;iLvl&gt;5&lt;/iLvl&gt;
&lt;/candidate&gt;
&lt;/results&gt;
</v>
      </c>
      <c r="F302" cm="1">
        <f t="array" ref="F302">INDEX(_xlfn.FILTERXML(E302,"//latitude"),1)</f>
        <v>34.854336000000004</v>
      </c>
      <c r="G302" cm="1">
        <f t="array" ref="G302">INDEX(_xlfn.FILTERXML(E302,"//longitude"),1)</f>
        <v>136.60240200000001</v>
      </c>
      <c r="H302">
        <v>34.854336000000004</v>
      </c>
      <c r="I302">
        <v>136.60240200000001</v>
      </c>
    </row>
    <row r="303" spans="1:9" x14ac:dyDescent="0.4">
      <c r="A303" t="s">
        <v>15</v>
      </c>
      <c r="B303" t="s">
        <v>292</v>
      </c>
      <c r="C303" t="str">
        <f t="shared" si="29"/>
        <v>愛知県名古屋市中川区万場</v>
      </c>
      <c r="D303" s="2" t="str">
        <f t="shared" si="30"/>
        <v>http://geocode.csis.u-tokyo.ac.jp/cgi-bin/simple_geocode.cgi?charset=UTF8&amp;addr=%E6%84%9B%E7%9F%A5%E7%9C%8C%E5%90%8D%E5%8F%A4%E5%B1%8B%E5%B8%82%E4%B8%AD%E5%B7%9D%E5%8C%BA%E4%B8%87%E5%A0%B4</v>
      </c>
      <c r="E303" t="str">
        <f t="shared" si="31"/>
        <v xml:space="preserve">&lt;?xml version="1.0" encoding="UTF-8" ?&gt;
&lt;results&gt;
&lt;query&gt;愛知県名古屋市中川区万場&lt;/query&gt;
&lt;geodetic&gt;wgs1984&lt;/geodetic&gt;
&lt;iConf&gt;5&lt;/iConf&gt;
&lt;converted&gt;愛知県名古屋市中川区万場&lt;/converted&gt;
&lt;candidate&gt;
&lt;address&gt;愛知県/名古屋市/中川区/万場&lt;/address&gt;
&lt;longitude&gt;136.834610&lt;/longitude&gt;
&lt;latitude&gt;35.156281&lt;/latitude&gt;
&lt;iLvl&gt;5&lt;/iLvl&gt;
&lt;/candidate&gt;
&lt;/results&gt;
</v>
      </c>
      <c r="F303" cm="1">
        <f t="array" ref="F303">INDEX(_xlfn.FILTERXML(E303,"//latitude"),1)</f>
        <v>35.156281</v>
      </c>
      <c r="G303" cm="1">
        <f t="array" ref="G303">INDEX(_xlfn.FILTERXML(E303,"//longitude"),1)</f>
        <v>136.83461</v>
      </c>
      <c r="H303">
        <v>35.156281</v>
      </c>
      <c r="I303">
        <v>136.83461</v>
      </c>
    </row>
    <row r="304" spans="1:9" x14ac:dyDescent="0.4">
      <c r="A304" t="s">
        <v>17</v>
      </c>
      <c r="B304" t="s">
        <v>293</v>
      </c>
      <c r="C304" t="str">
        <f t="shared" si="29"/>
        <v>滋賀県高島市鴨</v>
      </c>
      <c r="D304" s="2" t="str">
        <f t="shared" si="30"/>
        <v>http://geocode.csis.u-tokyo.ac.jp/cgi-bin/simple_geocode.cgi?charset=UTF8&amp;addr=%E6%BB%8B%E8%B3%80%E7%9C%8C%E9%AB%98%E5%B3%B6%E5%B8%82%E9%B4%A8</v>
      </c>
      <c r="E304" t="str">
        <f t="shared" si="31"/>
        <v xml:space="preserve">&lt;?xml version="1.0" encoding="UTF-8" ?&gt;
&lt;results&gt;
&lt;query&gt;滋賀県高島市鴨&lt;/query&gt;
&lt;geodetic&gt;wgs1984&lt;/geodetic&gt;
&lt;iConf&gt;5&lt;/iConf&gt;
&lt;converted&gt;滋賀県高島市鴨&lt;/converted&gt;
&lt;candidate&gt;
&lt;address&gt;滋賀県/高島市/鴨&lt;/address&gt;
&lt;longitude&gt;136.018127&lt;/longitude&gt;
&lt;latitude&gt;35.313828&lt;/latitude&gt;
&lt;iLvl&gt;5&lt;/iLvl&gt;
&lt;/candidate&gt;
&lt;/results&gt;
</v>
      </c>
      <c r="F304" cm="1">
        <f t="array" ref="F304">INDEX(_xlfn.FILTERXML(E304,"//latitude"),1)</f>
        <v>35.313828000000001</v>
      </c>
      <c r="G304" cm="1">
        <f t="array" ref="G304">INDEX(_xlfn.FILTERXML(E304,"//longitude"),1)</f>
        <v>136.01812699999999</v>
      </c>
      <c r="H304">
        <v>35.313828000000001</v>
      </c>
      <c r="I304">
        <v>136.01812699999999</v>
      </c>
    </row>
    <row r="305" spans="1:9" x14ac:dyDescent="0.4">
      <c r="A305" t="s">
        <v>13</v>
      </c>
      <c r="B305" t="s">
        <v>294</v>
      </c>
      <c r="C305" t="str">
        <f t="shared" si="29"/>
        <v>兵庫県西宮市名塩南台</v>
      </c>
      <c r="D305" s="2" t="str">
        <f t="shared" si="30"/>
        <v>http://geocode.csis.u-tokyo.ac.jp/cgi-bin/simple_geocode.cgi?charset=UTF8&amp;addr=%E5%85%B5%E5%BA%AB%E7%9C%8C%E8%A5%BF%E5%AE%AE%E5%B8%82%E5%90%8D%E5%A1%A9%E5%8D%97%E5%8F%B0</v>
      </c>
      <c r="E305" t="str">
        <f t="shared" si="31"/>
        <v xml:space="preserve">&lt;?xml version="1.0" encoding="UTF-8" ?&gt;
&lt;results&gt;
&lt;query&gt;兵庫県西宮市名塩南台&lt;/query&gt;
&lt;geodetic&gt;wgs1984&lt;/geodetic&gt;
&lt;iConf&gt;5&lt;/iConf&gt;
&lt;converted&gt;兵庫県西宮市名塩南台&lt;/converted&gt;
&lt;candidate&gt;
&lt;address&gt;兵庫県/西宮市/名塩南台&lt;/address&gt;
&lt;longitude&gt;135.300842&lt;/longitude&gt;
&lt;latitude&gt;34.825428&lt;/latitude&gt;
&lt;iLvl&gt;5&lt;/iLvl&gt;
&lt;/candidate&gt;
&lt;/results&gt;
</v>
      </c>
      <c r="F305" cm="1">
        <f t="array" ref="F305">INDEX(_xlfn.FILTERXML(E305,"//latitude"),1)</f>
        <v>34.825428000000002</v>
      </c>
      <c r="G305" cm="1">
        <f t="array" ref="G305">INDEX(_xlfn.FILTERXML(E305,"//longitude"),1)</f>
        <v>135.30084199999999</v>
      </c>
      <c r="H305">
        <v>34.825428000000002</v>
      </c>
      <c r="I305">
        <v>135.30084199999999</v>
      </c>
    </row>
    <row r="306" spans="1:9" x14ac:dyDescent="0.4">
      <c r="A306" t="s">
        <v>16</v>
      </c>
      <c r="B306" t="s">
        <v>295</v>
      </c>
      <c r="C306" t="str">
        <f t="shared" si="29"/>
        <v>千葉県印西市</v>
      </c>
      <c r="D306" s="2" t="str">
        <f t="shared" si="30"/>
        <v>http://geocode.csis.u-tokyo.ac.jp/cgi-bin/simple_geocode.cgi?charset=UTF8&amp;addr=%E5%8D%83%E8%91%89%E7%9C%8C%E5%8D%B0%E8%A5%BF%E5%B8%82</v>
      </c>
      <c r="E306" t="str">
        <f t="shared" si="31"/>
        <v xml:space="preserve">&lt;?xml version="1.0" encoding="UTF-8" ?&gt;
&lt;results&gt;
&lt;query&gt;千葉県印西市&lt;/query&gt;
&lt;geodetic&gt;wgs1984&lt;/geodetic&gt;
&lt;iConf&gt;5&lt;/iConf&gt;
&lt;converted&gt;千葉県印西市&lt;/converted&gt;
&lt;candidate&gt;
&lt;address&gt;千葉県/印西市&lt;/address&gt;
&lt;longitude&gt;140.145767&lt;/longitude&gt;
&lt;latitude&gt;35.832333&lt;/latitude&gt;
&lt;iLvl&gt;3&lt;/iLvl&gt;
&lt;/candidate&gt;
&lt;/results&gt;
</v>
      </c>
      <c r="F306" cm="1">
        <f t="array" ref="F306">INDEX(_xlfn.FILTERXML(E306,"//latitude"),1)</f>
        <v>35.832332999999998</v>
      </c>
      <c r="G306" cm="1">
        <f t="array" ref="G306">INDEX(_xlfn.FILTERXML(E306,"//longitude"),1)</f>
        <v>140.14576700000001</v>
      </c>
      <c r="H306">
        <v>35.832332999999998</v>
      </c>
      <c r="I306">
        <v>140.14576700000001</v>
      </c>
    </row>
    <row r="307" spans="1:9" x14ac:dyDescent="0.4">
      <c r="A307" t="s">
        <v>10</v>
      </c>
      <c r="B307" t="s">
        <v>296</v>
      </c>
      <c r="C307" t="str">
        <f t="shared" si="29"/>
        <v>神奈川県川崎市宮前区宮崎</v>
      </c>
      <c r="D307" s="2" t="str">
        <f t="shared" si="30"/>
        <v>http://geocode.csis.u-tokyo.ac.jp/cgi-bin/simple_geocode.cgi?charset=UTF8&amp;addr=%E7%A5%9E%E5%A5%88%E5%B7%9D%E7%9C%8C%E5%B7%9D%E5%B4%8E%E5%B8%82%E5%AE%AE%E5%89%8D%E5%8C%BA%E5%AE%AE%E5%B4%8E</v>
      </c>
      <c r="E307" t="str">
        <f t="shared" si="31"/>
        <v xml:space="preserve">&lt;?xml version="1.0" encoding="UTF-8" ?&gt;
&lt;results&gt;
&lt;query&gt;神奈川県川崎市宮前区宮崎&lt;/query&gt;
&lt;geodetic&gt;wgs1984&lt;/geodetic&gt;
&lt;iConf&gt;5&lt;/iConf&gt;
&lt;converted&gt;神奈川県川崎市宮前区宮崎&lt;/converted&gt;
&lt;candidate&gt;
&lt;address&gt;神奈川県/川崎市/宮前区/宮崎&lt;/address&gt;
&lt;longitude&gt;139.593445&lt;/longitude&gt;
&lt;latitude&gt;35.584751&lt;/latitude&gt;
&lt;iLvl&gt;5&lt;/iLvl&gt;
&lt;/candidate&gt;
&lt;/results&gt;
</v>
      </c>
      <c r="F307" cm="1">
        <f t="array" ref="F307">INDEX(_xlfn.FILTERXML(E307,"//latitude"),1)</f>
        <v>35.584750999999997</v>
      </c>
      <c r="G307" cm="1">
        <f t="array" ref="G307">INDEX(_xlfn.FILTERXML(E307,"//longitude"),1)</f>
        <v>139.593445</v>
      </c>
      <c r="H307">
        <v>35.584750999999997</v>
      </c>
      <c r="I307">
        <v>139.593445</v>
      </c>
    </row>
    <row r="308" spans="1:9" x14ac:dyDescent="0.4">
      <c r="A308" t="s">
        <v>148</v>
      </c>
      <c r="B308" t="s">
        <v>297</v>
      </c>
      <c r="C308" t="str">
        <f t="shared" si="29"/>
        <v>愛媛県西条市</v>
      </c>
      <c r="D308" s="2" t="str">
        <f t="shared" si="30"/>
        <v>http://geocode.csis.u-tokyo.ac.jp/cgi-bin/simple_geocode.cgi?charset=UTF8&amp;addr=%E6%84%9B%E5%AA%9B%E7%9C%8C%E8%A5%BF%E6%9D%A1%E5%B8%82</v>
      </c>
      <c r="E308" t="str">
        <f t="shared" si="31"/>
        <v xml:space="preserve">&lt;?xml version="1.0" encoding="UTF-8" ?&gt;
&lt;results&gt;
&lt;query&gt;愛媛県西条市&lt;/query&gt;
&lt;geodetic&gt;wgs1984&lt;/geodetic&gt;
&lt;iConf&gt;5&lt;/iConf&gt;
&lt;converted&gt;愛媛県西条市&lt;/converted&gt;
&lt;candidate&gt;
&lt;address&gt;愛媛県/西条市&lt;/address&gt;
&lt;longitude&gt;133.181183&lt;/longitude&gt;
&lt;latitude&gt;33.919617&lt;/latitude&gt;
&lt;iLvl&gt;3&lt;/iLvl&gt;
&lt;/candidate&gt;
&lt;/results&gt;
</v>
      </c>
      <c r="F308" cm="1">
        <f t="array" ref="F308">INDEX(_xlfn.FILTERXML(E308,"//latitude"),1)</f>
        <v>33.919617000000002</v>
      </c>
      <c r="G308" cm="1">
        <f t="array" ref="G308">INDEX(_xlfn.FILTERXML(E308,"//longitude"),1)</f>
        <v>133.181183</v>
      </c>
      <c r="H308">
        <v>33.919617000000002</v>
      </c>
      <c r="I308">
        <v>133.181183</v>
      </c>
    </row>
    <row r="309" spans="1:9" x14ac:dyDescent="0.4">
      <c r="A309" t="s">
        <v>13</v>
      </c>
      <c r="B309" t="s">
        <v>298</v>
      </c>
      <c r="C309" t="str">
        <f t="shared" si="29"/>
        <v>兵庫県宝塚市中山桜台</v>
      </c>
      <c r="D309" s="2" t="str">
        <f t="shared" si="30"/>
        <v>http://geocode.csis.u-tokyo.ac.jp/cgi-bin/simple_geocode.cgi?charset=UTF8&amp;addr=%E5%85%B5%E5%BA%AB%E7%9C%8C%E5%AE%9D%E5%A1%9A%E5%B8%82%E4%B8%AD%E5%B1%B1%E6%A1%9C%E5%8F%B0</v>
      </c>
      <c r="E309" t="str">
        <f t="shared" si="31"/>
        <v xml:space="preserve">&lt;?xml version="1.0" encoding="UTF-8" ?&gt;
&lt;results&gt;
&lt;query&gt;兵庫県宝塚市中山桜台&lt;/query&gt;
&lt;geodetic&gt;wgs1984&lt;/geodetic&gt;
&lt;iConf&gt;5&lt;/iConf&gt;
&lt;converted&gt;兵庫県宝塚市中山桜台&lt;/converted&gt;
&lt;candidate&gt;
&lt;address&gt;兵庫県/宝塚市/中山桜台&lt;/address&gt;
&lt;longitude&gt;135.367432&lt;/longitude&gt;
&lt;latitude&gt;34.829857&lt;/latitude&gt;
&lt;iLvl&gt;5&lt;/iLvl&gt;
&lt;/candidate&gt;
&lt;/results&gt;
</v>
      </c>
      <c r="F309" cm="1">
        <f t="array" ref="F309">INDEX(_xlfn.FILTERXML(E309,"//latitude"),1)</f>
        <v>34.829856999999997</v>
      </c>
      <c r="G309" cm="1">
        <f t="array" ref="G309">INDEX(_xlfn.FILTERXML(E309,"//longitude"),1)</f>
        <v>135.36743200000001</v>
      </c>
      <c r="H309">
        <v>34.829856999999997</v>
      </c>
      <c r="I309">
        <v>135.36743200000001</v>
      </c>
    </row>
    <row r="310" spans="1:9" x14ac:dyDescent="0.4">
      <c r="A310" t="s">
        <v>13</v>
      </c>
      <c r="B310" t="s">
        <v>299</v>
      </c>
      <c r="C310" t="str">
        <f t="shared" si="29"/>
        <v>兵庫県神戸市長田区</v>
      </c>
      <c r="D310" s="2" t="str">
        <f t="shared" si="30"/>
        <v>http://geocode.csis.u-tokyo.ac.jp/cgi-bin/simple_geocode.cgi?charset=UTF8&amp;addr=%E5%85%B5%E5%BA%AB%E7%9C%8C%E7%A5%9E%E6%88%B8%E5%B8%82%E9%95%B7%E7%94%B0%E5%8C%BA</v>
      </c>
      <c r="E310" t="str">
        <f t="shared" si="31"/>
        <v xml:space="preserve">&lt;?xml version="1.0" encoding="UTF-8" ?&gt;
&lt;results&gt;
&lt;query&gt;兵庫県神戸市長田区&lt;/query&gt;
&lt;geodetic&gt;wgs1984&lt;/geodetic&gt;
&lt;iConf&gt;5&lt;/iConf&gt;
&lt;converted&gt;兵庫県神戸市長田区&lt;/converted&gt;
&lt;candidate&gt;
&lt;address&gt;兵庫県/神戸市/長田区&lt;/address&gt;
&lt;longitude&gt;135.150848&lt;/longitude&gt;
&lt;latitude&gt;34.665688&lt;/latitude&gt;
&lt;iLvl&gt;4&lt;/iLvl&gt;
&lt;/candidate&gt;
&lt;/results&gt;
</v>
      </c>
      <c r="F310" cm="1">
        <f t="array" ref="F310">INDEX(_xlfn.FILTERXML(E310,"//latitude"),1)</f>
        <v>34.665688000000003</v>
      </c>
      <c r="G310" cm="1">
        <f t="array" ref="G310">INDEX(_xlfn.FILTERXML(E310,"//longitude"),1)</f>
        <v>135.150848</v>
      </c>
      <c r="H310">
        <v>34.665688000000003</v>
      </c>
      <c r="I310">
        <v>135.150848</v>
      </c>
    </row>
    <row r="311" spans="1:9" x14ac:dyDescent="0.4">
      <c r="A311" t="s">
        <v>13</v>
      </c>
      <c r="B311" t="s">
        <v>300</v>
      </c>
      <c r="C311" t="str">
        <f t="shared" si="29"/>
        <v>兵庫県神戸市須磨区多井畑南町</v>
      </c>
      <c r="D311" s="2" t="str">
        <f t="shared" si="30"/>
        <v>http://geocode.csis.u-tokyo.ac.jp/cgi-bin/simple_geocode.cgi?charset=UTF8&amp;addr=%E5%85%B5%E5%BA%AB%E7%9C%8C%E7%A5%9E%E6%88%B8%E5%B8%82%E9%A0%88%E7%A3%A8%E5%8C%BA%E5%A4%9A%E4%BA%95%E7%95%91%E5%8D%97%E7%94%BA</v>
      </c>
      <c r="E311" t="str">
        <f t="shared" si="31"/>
        <v xml:space="preserve">&lt;?xml version="1.0" encoding="UTF-8" ?&gt;
&lt;results&gt;
&lt;query&gt;兵庫県神戸市須磨区多井畑南町&lt;/query&gt;
&lt;geodetic&gt;wgs1984&lt;/geodetic&gt;
&lt;iConf&gt;5&lt;/iConf&gt;
&lt;converted&gt;兵庫県神戸市須磨区多井畑南町&lt;/converted&gt;
&lt;candidate&gt;
&lt;address&gt;兵庫県/神戸市/須磨区/多井畑南町&lt;/address&gt;
&lt;longitude&gt;135.094360&lt;/longitude&gt;
&lt;latitude&gt;34.657131&lt;/latitude&gt;
&lt;iLvl&gt;5&lt;/iLvl&gt;
&lt;/candidate&gt;
&lt;/results&gt;
</v>
      </c>
      <c r="F311" cm="1">
        <f t="array" ref="F311">INDEX(_xlfn.FILTERXML(E311,"//latitude"),1)</f>
        <v>34.657131</v>
      </c>
      <c r="G311" cm="1">
        <f t="array" ref="G311">INDEX(_xlfn.FILTERXML(E311,"//longitude"),1)</f>
        <v>135.09435999999999</v>
      </c>
      <c r="H311">
        <v>34.657131</v>
      </c>
      <c r="I311">
        <v>135.09435999999999</v>
      </c>
    </row>
    <row r="312" spans="1:9" x14ac:dyDescent="0.4">
      <c r="A312" t="s">
        <v>11</v>
      </c>
      <c r="B312" t="s">
        <v>301</v>
      </c>
      <c r="C312" t="str">
        <f t="shared" si="29"/>
        <v>大阪府守口市橋波東之町</v>
      </c>
      <c r="D312" s="2" t="str">
        <f t="shared" si="30"/>
        <v>http://geocode.csis.u-tokyo.ac.jp/cgi-bin/simple_geocode.cgi?charset=UTF8&amp;addr=%E5%A4%A7%E9%98%AA%E5%BA%9C%E5%AE%88%E5%8F%A3%E5%B8%82%E6%A9%8B%E6%B3%A2%E6%9D%B1%E4%B9%8B%E7%94%BA</v>
      </c>
      <c r="E312" t="str">
        <f t="shared" si="31"/>
        <v xml:space="preserve">&lt;?xml version="1.0" encoding="UTF-8" ?&gt;
&lt;results&gt;
&lt;query&gt;大阪府守口市橋波東之町&lt;/query&gt;
&lt;geodetic&gt;wgs1984&lt;/geodetic&gt;
&lt;iConf&gt;5&lt;/iConf&gt;
&lt;converted&gt;大阪府守口市橋波東之町&lt;/converted&gt;
&lt;candidate&gt;
&lt;address&gt;大阪府/守口市/橋波東之町&lt;/address&gt;
&lt;longitude&gt;135.575104&lt;/longitude&gt;
&lt;latitude&gt;34.736809&lt;/latitude&gt;
&lt;iLvl&gt;5&lt;/iLvl&gt;
&lt;/candidate&gt;
&lt;/results&gt;
</v>
      </c>
      <c r="F312" cm="1">
        <f t="array" ref="F312">INDEX(_xlfn.FILTERXML(E312,"//latitude"),1)</f>
        <v>34.736809000000001</v>
      </c>
      <c r="G312" cm="1">
        <f t="array" ref="G312">INDEX(_xlfn.FILTERXML(E312,"//longitude"),1)</f>
        <v>135.57510400000001</v>
      </c>
      <c r="H312">
        <v>34.736809000000001</v>
      </c>
      <c r="I312">
        <v>135.57510400000001</v>
      </c>
    </row>
    <row r="313" spans="1:9" x14ac:dyDescent="0.4">
      <c r="A313" t="s">
        <v>23</v>
      </c>
      <c r="B313" t="s">
        <v>302</v>
      </c>
      <c r="C313" t="str">
        <f t="shared" si="29"/>
        <v>京都府伏見区深草石橋町</v>
      </c>
      <c r="D313" s="2" t="str">
        <f t="shared" si="30"/>
        <v>http://geocode.csis.u-tokyo.ac.jp/cgi-bin/simple_geocode.cgi?charset=UTF8&amp;addr=%E4%BA%AC%E9%83%BD%E5%BA%9C%E4%BC%8F%E8%A6%8B%E5%8C%BA%E6%B7%B1%E8%8D%89%E7%9F%B3%E6%A9%8B%E7%94%BA</v>
      </c>
      <c r="E313" t="str">
        <f t="shared" si="31"/>
        <v xml:space="preserve">&lt;?xml version="1.0" encoding="UTF-8" ?&gt;
&lt;results&gt;
&lt;query&gt;京都府伏見区深草石橋町&lt;/query&gt;
&lt;geodetic&gt;wgs1984&lt;/geodetic&gt;
&lt;iConf&gt;5&lt;/iConf&gt;
&lt;converted&gt;京都府伏見区深草石橋町&lt;/converted&gt;
&lt;candidate&gt;
&lt;address&gt;京都府/京都市/伏見区/深草石橋町&lt;/address&gt;
&lt;longitude&gt;135.771469&lt;/longitude&gt;
&lt;latitude&gt;34.948200&lt;/latitude&gt;
&lt;iLvl&gt;5&lt;/iLvl&gt;
&lt;/candidate&gt;
&lt;/results&gt;
</v>
      </c>
      <c r="F313" cm="1">
        <f t="array" ref="F313">INDEX(_xlfn.FILTERXML(E313,"//latitude"),1)</f>
        <v>34.9482</v>
      </c>
      <c r="G313" cm="1">
        <f t="array" ref="G313">INDEX(_xlfn.FILTERXML(E313,"//longitude"),1)</f>
        <v>135.771469</v>
      </c>
      <c r="H313">
        <v>34.9482</v>
      </c>
      <c r="I313">
        <v>135.771469</v>
      </c>
    </row>
    <row r="314" spans="1:9" x14ac:dyDescent="0.4">
      <c r="A314" t="s">
        <v>15</v>
      </c>
      <c r="B314" t="s">
        <v>303</v>
      </c>
      <c r="C314" t="str">
        <f t="shared" si="29"/>
        <v>愛知県名古屋市千種区田代本通2-22</v>
      </c>
      <c r="D314" s="2" t="str">
        <f t="shared" si="30"/>
        <v>http://geocode.csis.u-tokyo.ac.jp/cgi-bin/simple_geocode.cgi?charset=UTF8&amp;addr=%E6%84%9B%E7%9F%A5%E7%9C%8C%E5%90%8D%E5%8F%A4%E5%B1%8B%E5%B8%82%E5%8D%83%E7%A8%AE%E5%8C%BA%E7%94%B0%E4%BB%A3%E6%9C%AC%E9%80%9A2-22</v>
      </c>
      <c r="E314" t="str">
        <f t="shared" si="31"/>
        <v xml:space="preserve">&lt;?xml version="1.0" encoding="UTF-8" ?&gt;
&lt;results&gt;
&lt;query&gt;愛知県名古屋市千種区田代本通2-22&lt;/query&gt;
&lt;geodetic&gt;wgs1984&lt;/geodetic&gt;
&lt;iConf&gt;5&lt;/iConf&gt;
&lt;converted&gt;愛知県名古屋市千種区田代本通2-22&lt;/converted&gt;
&lt;candidate&gt;
&lt;address&gt;愛知県/名古屋市/千種区/田代本通/二丁目/２２番地&lt;/address&gt;
&lt;longitude&gt;136.956009&lt;/longitude&gt;
&lt;latitude&gt;35.163071&lt;/latitude&gt;
&lt;iLvl&gt;7&lt;/iLvl&gt;
&lt;/candidate&gt;
&lt;/results&gt;
</v>
      </c>
      <c r="F314" cm="1">
        <f t="array" ref="F314">INDEX(_xlfn.FILTERXML(E314,"//latitude"),1)</f>
        <v>35.163071000000002</v>
      </c>
      <c r="G314" cm="1">
        <f t="array" ref="G314">INDEX(_xlfn.FILTERXML(E314,"//longitude"),1)</f>
        <v>136.95600899999999</v>
      </c>
      <c r="H314">
        <v>35.163071000000002</v>
      </c>
      <c r="I314">
        <v>136.95600899999999</v>
      </c>
    </row>
    <row r="315" spans="1:9" x14ac:dyDescent="0.4">
      <c r="A315" t="s">
        <v>14</v>
      </c>
      <c r="B315" t="s">
        <v>304</v>
      </c>
      <c r="C315" t="str">
        <f t="shared" si="29"/>
        <v>長野県松本市</v>
      </c>
      <c r="D315" s="2" t="str">
        <f t="shared" si="30"/>
        <v>http://geocode.csis.u-tokyo.ac.jp/cgi-bin/simple_geocode.cgi?charset=UTF8&amp;addr=%E9%95%B7%E9%87%8E%E7%9C%8C%E6%9D%BE%E6%9C%AC%E5%B8%82</v>
      </c>
      <c r="E315" t="str">
        <f t="shared" si="31"/>
        <v xml:space="preserve">&lt;?xml version="1.0" encoding="UTF-8" ?&gt;
&lt;results&gt;
&lt;query&gt;長野県松本市&lt;/query&gt;
&lt;geodetic&gt;wgs1984&lt;/geodetic&gt;
&lt;iConf&gt;5&lt;/iConf&gt;
&lt;converted&gt;長野県松本市&lt;/converted&gt;
&lt;candidate&gt;
&lt;address&gt;長野県/松本市&lt;/address&gt;
&lt;longitude&gt;137.971985&lt;/longitude&gt;
&lt;latitude&gt;36.238094&lt;/latitude&gt;
&lt;iLvl&gt;3&lt;/iLvl&gt;
&lt;/candidate&gt;
&lt;/results&gt;
</v>
      </c>
      <c r="F315" cm="1">
        <f t="array" ref="F315">INDEX(_xlfn.FILTERXML(E315,"//latitude"),1)</f>
        <v>36.238093999999997</v>
      </c>
      <c r="G315" cm="1">
        <f t="array" ref="G315">INDEX(_xlfn.FILTERXML(E315,"//longitude"),1)</f>
        <v>137.97198499999999</v>
      </c>
      <c r="H315">
        <v>36.238093999999997</v>
      </c>
      <c r="I315">
        <v>137.97198499999999</v>
      </c>
    </row>
    <row r="316" spans="1:9" x14ac:dyDescent="0.4">
      <c r="A316" t="s">
        <v>15</v>
      </c>
      <c r="B316" t="s">
        <v>305</v>
      </c>
      <c r="C316" t="str">
        <f t="shared" si="29"/>
        <v>愛知県新城市庭野松本</v>
      </c>
      <c r="D316" s="2" t="str">
        <f t="shared" si="30"/>
        <v>http://geocode.csis.u-tokyo.ac.jp/cgi-bin/simple_geocode.cgi?charset=UTF8&amp;addr=%E6%84%9B%E7%9F%A5%E7%9C%8C%E6%96%B0%E5%9F%8E%E5%B8%82%E5%BA%AD%E9%87%8E%E6%9D%BE%E6%9C%AC</v>
      </c>
      <c r="E316" t="str">
        <f t="shared" si="31"/>
        <v xml:space="preserve">&lt;?xml version="1.0" encoding="UTF-8" ?&gt;
&lt;results&gt;
&lt;query&gt;愛知県新城市庭野松本&lt;/query&gt;
&lt;geodetic&gt;wgs1984&lt;/geodetic&gt;
&lt;iConf&gt;5&lt;/iConf&gt;
&lt;converted&gt;愛知県新城市庭野松本&lt;/converted&gt;
&lt;candidate&gt;
&lt;address&gt;愛知県/新城市/庭野/松本&lt;/address&gt;
&lt;longitude&gt;137.502197&lt;/longitude&gt;
&lt;latitude&gt;34.894299&lt;/latitude&gt;
&lt;iLvl&gt;6&lt;/iLvl&gt;
&lt;/candidate&gt;
&lt;/results&gt;
</v>
      </c>
      <c r="F316" cm="1">
        <f t="array" ref="F316">INDEX(_xlfn.FILTERXML(E316,"//latitude"),1)</f>
        <v>34.894298999999997</v>
      </c>
      <c r="G316" cm="1">
        <f t="array" ref="G316">INDEX(_xlfn.FILTERXML(E316,"//longitude"),1)</f>
        <v>137.502197</v>
      </c>
      <c r="H316">
        <v>34.894298999999997</v>
      </c>
      <c r="I316">
        <v>137.502197</v>
      </c>
    </row>
    <row r="317" spans="1:9" x14ac:dyDescent="0.4">
      <c r="A317" t="s">
        <v>13</v>
      </c>
      <c r="B317" t="s">
        <v>306</v>
      </c>
      <c r="C317" t="str">
        <f t="shared" si="29"/>
        <v>兵庫県姫路市林田町下伊勢</v>
      </c>
      <c r="D317" s="2" t="str">
        <f t="shared" si="30"/>
        <v>http://geocode.csis.u-tokyo.ac.jp/cgi-bin/simple_geocode.cgi?charset=UTF8&amp;addr=%E5%85%B5%E5%BA%AB%E7%9C%8C%E5%A7%AB%E8%B7%AF%E5%B8%82%E6%9E%97%E7%94%B0%E7%94%BA%E4%B8%8B%E4%BC%8A%E5%8B%A2</v>
      </c>
      <c r="E317" t="str">
        <f t="shared" si="31"/>
        <v xml:space="preserve">&lt;?xml version="1.0" encoding="UTF-8" ?&gt;
&lt;results&gt;
&lt;query&gt;兵庫県姫路市林田町下伊勢&lt;/query&gt;
&lt;geodetic&gt;wgs1984&lt;/geodetic&gt;
&lt;iConf&gt;5&lt;/iConf&gt;
&lt;converted&gt;兵庫県姫路市林田町下伊勢&lt;/converted&gt;
&lt;candidate&gt;
&lt;address&gt;兵庫県/姫路市/林田町下伊勢&lt;/address&gt;
&lt;longitude&gt;134.606918&lt;/longitude&gt;
&lt;latitude&gt;34.890865&lt;/latitude&gt;
&lt;iLvl&gt;5&lt;/iLvl&gt;
&lt;/candidate&gt;
&lt;/results&gt;
</v>
      </c>
      <c r="F317" cm="1">
        <f t="array" ref="F317">INDEX(_xlfn.FILTERXML(E317,"//latitude"),1)</f>
        <v>34.890864999999998</v>
      </c>
      <c r="G317" cm="1">
        <f t="array" ref="G317">INDEX(_xlfn.FILTERXML(E317,"//longitude"),1)</f>
        <v>134.60691800000001</v>
      </c>
      <c r="H317">
        <v>34.890864999999998</v>
      </c>
      <c r="I317">
        <v>134.60691800000001</v>
      </c>
    </row>
    <row r="318" spans="1:9" x14ac:dyDescent="0.4">
      <c r="A318" t="s">
        <v>24</v>
      </c>
      <c r="B318" t="s">
        <v>307</v>
      </c>
      <c r="C318" t="str">
        <f t="shared" si="29"/>
        <v>静岡県浜松市中区神田町</v>
      </c>
      <c r="D318" s="2" t="str">
        <f t="shared" si="30"/>
        <v>http://geocode.csis.u-tokyo.ac.jp/cgi-bin/simple_geocode.cgi?charset=UTF8&amp;addr=%E9%9D%99%E5%B2%A1%E7%9C%8C%E6%B5%9C%E6%9D%BE%E5%B8%82%E4%B8%AD%E5%8C%BA%E7%A5%9E%E7%94%B0%E7%94%BA</v>
      </c>
      <c r="E318" t="str">
        <f t="shared" si="31"/>
        <v xml:space="preserve">&lt;?xml version="1.0" encoding="UTF-8" ?&gt;
&lt;results&gt;
&lt;query&gt;静岡県浜松市中区神田町&lt;/query&gt;
&lt;geodetic&gt;wgs1984&lt;/geodetic&gt;
&lt;iConf&gt;5&lt;/iConf&gt;
&lt;converted&gt;静岡県浜松市中区&lt;/converted&gt;
&lt;candidate&gt;
&lt;address&gt;静岡県/浜松市/中区&lt;/address&gt;
&lt;longitude&gt;137.726120&lt;/longitude&gt;
&lt;latitude&gt;34.710865&lt;/latitude&gt;
&lt;iLvl&gt;4&lt;/iLvl&gt;
&lt;/candidate&gt;
&lt;/results&gt;
</v>
      </c>
      <c r="F318" cm="1">
        <f t="array" ref="F318">INDEX(_xlfn.FILTERXML(E318,"//latitude"),1)</f>
        <v>34.710864999999998</v>
      </c>
      <c r="G318" cm="1">
        <f t="array" ref="G318">INDEX(_xlfn.FILTERXML(E318,"//longitude"),1)</f>
        <v>137.72612000000001</v>
      </c>
      <c r="H318">
        <v>34.710864999999998</v>
      </c>
      <c r="I318">
        <v>137.72612000000001</v>
      </c>
    </row>
    <row r="319" spans="1:9" x14ac:dyDescent="0.4">
      <c r="A319" t="s">
        <v>9</v>
      </c>
      <c r="B319" t="s">
        <v>308</v>
      </c>
      <c r="C319" t="str">
        <f t="shared" si="29"/>
        <v>東京都中央区晴海</v>
      </c>
      <c r="D319" s="2" t="str">
        <f t="shared" si="30"/>
        <v>http://geocode.csis.u-tokyo.ac.jp/cgi-bin/simple_geocode.cgi?charset=UTF8&amp;addr=%E6%9D%B1%E4%BA%AC%E9%83%BD%E4%B8%AD%E5%A4%AE%E5%8C%BA%E6%99%B4%E6%B5%B7</v>
      </c>
      <c r="E319" t="str">
        <f t="shared" si="31"/>
        <v xml:space="preserve">&lt;?xml version="1.0" encoding="UTF-8" ?&gt;
&lt;results&gt;
&lt;query&gt;東京都中央区晴海&lt;/query&gt;
&lt;geodetic&gt;wgs1984&lt;/geodetic&gt;
&lt;iConf&gt;5&lt;/iConf&gt;
&lt;converted&gt;東京都中央区晴海&lt;/converted&gt;
&lt;candidate&gt;
&lt;address&gt;東京都/中央区/晴海&lt;/address&gt;
&lt;longitude&gt;139.786163&lt;/longitude&gt;
&lt;latitude&gt;35.659523&lt;/latitude&gt;
&lt;iLvl&gt;5&lt;/iLvl&gt;
&lt;/candidate&gt;
&lt;/results&gt;
</v>
      </c>
      <c r="F319" cm="1">
        <f t="array" ref="F319">INDEX(_xlfn.FILTERXML(E319,"//latitude"),1)</f>
        <v>35.659523</v>
      </c>
      <c r="G319" cm="1">
        <f t="array" ref="G319">INDEX(_xlfn.FILTERXML(E319,"//longitude"),1)</f>
        <v>139.78616299999999</v>
      </c>
      <c r="H319">
        <v>35.659523</v>
      </c>
      <c r="I319">
        <v>139.78616299999999</v>
      </c>
    </row>
    <row r="320" spans="1:9" x14ac:dyDescent="0.4">
      <c r="A320" t="s">
        <v>16</v>
      </c>
      <c r="B320" t="s">
        <v>309</v>
      </c>
      <c r="C320" t="str">
        <f t="shared" si="29"/>
        <v>千葉県野田市花井</v>
      </c>
      <c r="D320" s="2" t="str">
        <f t="shared" si="30"/>
        <v>http://geocode.csis.u-tokyo.ac.jp/cgi-bin/simple_geocode.cgi?charset=UTF8&amp;addr=%E5%8D%83%E8%91%89%E7%9C%8C%E9%87%8E%E7%94%B0%E5%B8%82%E8%8A%B1%E4%BA%95</v>
      </c>
      <c r="E320" t="str">
        <f t="shared" si="31"/>
        <v xml:space="preserve">&lt;?xml version="1.0" encoding="UTF-8" ?&gt;
&lt;results&gt;
&lt;query&gt;千葉県野田市花井&lt;/query&gt;
&lt;geodetic&gt;wgs1984&lt;/geodetic&gt;
&lt;iConf&gt;5&lt;/iConf&gt;
&lt;converted&gt;千葉県野田市花井&lt;/converted&gt;
&lt;candidate&gt;
&lt;address&gt;千葉県/野田市/花井&lt;/address&gt;
&lt;longitude&gt;139.881866&lt;/longitude&gt;
&lt;latitude&gt;35.946056&lt;/latitude&gt;
&lt;iLvl&gt;5&lt;/iLvl&gt;
&lt;/candidate&gt;
&lt;/results&gt;
</v>
      </c>
      <c r="F320" cm="1">
        <f t="array" ref="F320">INDEX(_xlfn.FILTERXML(E320,"//latitude"),1)</f>
        <v>35.946055999999999</v>
      </c>
      <c r="G320" cm="1">
        <f t="array" ref="G320">INDEX(_xlfn.FILTERXML(E320,"//longitude"),1)</f>
        <v>139.881866</v>
      </c>
      <c r="H320">
        <v>35.946055999999999</v>
      </c>
      <c r="I320">
        <v>139.881866</v>
      </c>
    </row>
    <row r="321" spans="1:9" x14ac:dyDescent="0.4">
      <c r="A321" t="s">
        <v>13</v>
      </c>
      <c r="B321" t="s">
        <v>310</v>
      </c>
      <c r="C321" t="str">
        <f t="shared" si="29"/>
        <v>兵庫県西宮市津門宝津町</v>
      </c>
      <c r="D321" s="2" t="str">
        <f t="shared" si="30"/>
        <v>http://geocode.csis.u-tokyo.ac.jp/cgi-bin/simple_geocode.cgi?charset=UTF8&amp;addr=%E5%85%B5%E5%BA%AB%E7%9C%8C%E8%A5%BF%E5%AE%AE%E5%B8%82%E6%B4%A5%E9%96%80%E5%AE%9D%E6%B4%A5%E7%94%BA</v>
      </c>
      <c r="E321" t="str">
        <f t="shared" si="31"/>
        <v xml:space="preserve">&lt;?xml version="1.0" encoding="UTF-8" ?&gt;
&lt;results&gt;
&lt;query&gt;兵庫県西宮市津門宝津町&lt;/query&gt;
&lt;geodetic&gt;wgs1984&lt;/geodetic&gt;
&lt;iConf&gt;5&lt;/iConf&gt;
&lt;converted&gt;兵庫県西宮市津門宝津町&lt;/converted&gt;
&lt;candidate&gt;
&lt;address&gt;兵庫県/西宮市/津門宝津町&lt;/address&gt;
&lt;longitude&gt;135.350876&lt;/longitude&gt;
&lt;latitude&gt;34.732800&lt;/latitude&gt;
&lt;iLvl&gt;5&lt;/iLvl&gt;
&lt;/candidate&gt;
&lt;/results&gt;
</v>
      </c>
      <c r="F321" cm="1">
        <f t="array" ref="F321">INDEX(_xlfn.FILTERXML(E321,"//latitude"),1)</f>
        <v>34.732799999999997</v>
      </c>
      <c r="G321" cm="1">
        <f t="array" ref="G321">INDEX(_xlfn.FILTERXML(E321,"//longitude"),1)</f>
        <v>135.350876</v>
      </c>
      <c r="H321">
        <v>34.732799999999997</v>
      </c>
      <c r="I321">
        <v>135.350876</v>
      </c>
    </row>
    <row r="322" spans="1:9" x14ac:dyDescent="0.4">
      <c r="A322" t="s">
        <v>9</v>
      </c>
      <c r="B322" t="s">
        <v>311</v>
      </c>
      <c r="C322" t="str">
        <f t="shared" si="29"/>
        <v>東京都世田谷区粕谷</v>
      </c>
      <c r="D322" s="2" t="str">
        <f t="shared" si="30"/>
        <v>http://geocode.csis.u-tokyo.ac.jp/cgi-bin/simple_geocode.cgi?charset=UTF8&amp;addr=%E6%9D%B1%E4%BA%AC%E9%83%BD%E4%B8%96%E7%94%B0%E8%B0%B7%E5%8C%BA%E7%B2%95%E8%B0%B7</v>
      </c>
      <c r="E322" t="str">
        <f t="shared" si="31"/>
        <v xml:space="preserve">&lt;?xml version="1.0" encoding="UTF-8" ?&gt;
&lt;results&gt;
&lt;query&gt;東京都世田谷区粕谷&lt;/query&gt;
&lt;geodetic&gt;wgs1984&lt;/geodetic&gt;
&lt;iConf&gt;5&lt;/iConf&gt;
&lt;converted&gt;東京都世田谷区粕谷&lt;/converted&gt;
&lt;candidate&gt;
&lt;address&gt;東京都/世田谷区/粕谷&lt;/address&gt;
&lt;longitude&gt;139.611145&lt;/longitude&gt;
&lt;latitude&gt;35.661037&lt;/latitude&gt;
&lt;iLvl&gt;5&lt;/iLvl&gt;
&lt;/candidate&gt;
&lt;/results&gt;
</v>
      </c>
      <c r="F322" cm="1">
        <f t="array" ref="F322">INDEX(_xlfn.FILTERXML(E322,"//latitude"),1)</f>
        <v>35.661037</v>
      </c>
      <c r="G322" cm="1">
        <f t="array" ref="G322">INDEX(_xlfn.FILTERXML(E322,"//longitude"),1)</f>
        <v>139.61114499999999</v>
      </c>
      <c r="H322">
        <v>35.661037</v>
      </c>
      <c r="I322">
        <v>139.61114499999999</v>
      </c>
    </row>
    <row r="323" spans="1:9" x14ac:dyDescent="0.4">
      <c r="A323" t="s">
        <v>20</v>
      </c>
      <c r="B323" t="s">
        <v>312</v>
      </c>
      <c r="C323" t="str">
        <f t="shared" si="29"/>
        <v>宮城県仙台市</v>
      </c>
      <c r="D323" s="2" t="str">
        <f t="shared" si="30"/>
        <v>http://geocode.csis.u-tokyo.ac.jp/cgi-bin/simple_geocode.cgi?charset=UTF8&amp;addr=%E5%AE%AE%E5%9F%8E%E7%9C%8C%E4%BB%99%E5%8F%B0%E5%B8%82</v>
      </c>
      <c r="E323" t="str">
        <f t="shared" si="31"/>
        <v xml:space="preserve">&lt;?xml version="1.0" encoding="UTF-8" ?&gt;
&lt;results&gt;
&lt;query&gt;宮城県仙台市&lt;/query&gt;
&lt;geodetic&gt;wgs1984&lt;/geodetic&gt;
&lt;iConf&gt;5&lt;/iConf&gt;
&lt;converted&gt;宮城県仙台市&lt;/converted&gt;
&lt;candidate&gt;
&lt;address&gt;宮城県/仙台市&lt;/address&gt;
&lt;longitude&gt;140.869614&lt;/longitude&gt;
&lt;latitude&gt;38.268009&lt;/latitude&gt;
&lt;iLvl&gt;3&lt;/iLvl&gt;
&lt;/candidate&gt;
&lt;/results&gt;
</v>
      </c>
      <c r="F323" cm="1">
        <f t="array" ref="F323">INDEX(_xlfn.FILTERXML(E323,"//latitude"),1)</f>
        <v>38.268008999999999</v>
      </c>
      <c r="G323" cm="1">
        <f t="array" ref="G323">INDEX(_xlfn.FILTERXML(E323,"//longitude"),1)</f>
        <v>140.86961400000001</v>
      </c>
      <c r="H323">
        <v>38.268008999999999</v>
      </c>
      <c r="I323">
        <v>140.86961400000001</v>
      </c>
    </row>
    <row r="324" spans="1:9" x14ac:dyDescent="0.4">
      <c r="A324" t="s">
        <v>10</v>
      </c>
      <c r="B324" t="s">
        <v>313</v>
      </c>
      <c r="C324" t="str">
        <f t="shared" si="29"/>
        <v>神奈川県横浜市青葉区</v>
      </c>
      <c r="D324" s="2" t="str">
        <f t="shared" si="30"/>
        <v>http://geocode.csis.u-tokyo.ac.jp/cgi-bin/simple_geocode.cgi?charset=UTF8&amp;addr=%E7%A5%9E%E5%A5%88%E5%B7%9D%E7%9C%8C%E6%A8%AA%E6%B5%9C%E5%B8%82%E9%9D%92%E8%91%89%E5%8C%BA</v>
      </c>
      <c r="E324" t="str">
        <f t="shared" si="31"/>
        <v xml:space="preserve">&lt;?xml version="1.0" encoding="UTF-8" ?&gt;
&lt;results&gt;
&lt;query&gt;神奈川県横浜市青葉区&lt;/query&gt;
&lt;geodetic&gt;wgs1984&lt;/geodetic&gt;
&lt;iConf&gt;5&lt;/iConf&gt;
&lt;converted&gt;神奈川県横浜市青葉区&lt;/converted&gt;
&lt;candidate&gt;
&lt;address&gt;神奈川県/横浜市/青葉区&lt;/address&gt;
&lt;longitude&gt;139.537094&lt;/longitude&gt;
&lt;latitude&gt;35.552830&lt;/latitude&gt;
&lt;iLvl&gt;4&lt;/iLvl&gt;
&lt;/candidate&gt;
&lt;/results&gt;
</v>
      </c>
      <c r="F324" cm="1">
        <f t="array" ref="F324">INDEX(_xlfn.FILTERXML(E324,"//latitude"),1)</f>
        <v>35.55283</v>
      </c>
      <c r="G324" cm="1">
        <f t="array" ref="G324">INDEX(_xlfn.FILTERXML(E324,"//longitude"),1)</f>
        <v>139.537094</v>
      </c>
      <c r="H324">
        <v>35.55283</v>
      </c>
      <c r="I324">
        <v>139.537094</v>
      </c>
    </row>
    <row r="325" spans="1:9" x14ac:dyDescent="0.4">
      <c r="A325" t="s">
        <v>9</v>
      </c>
      <c r="B325" t="s">
        <v>314</v>
      </c>
      <c r="C325" t="str">
        <f t="shared" si="29"/>
        <v>東京都福生市</v>
      </c>
      <c r="D325" s="2" t="str">
        <f t="shared" si="30"/>
        <v>http://geocode.csis.u-tokyo.ac.jp/cgi-bin/simple_geocode.cgi?charset=UTF8&amp;addr=%E6%9D%B1%E4%BA%AC%E9%83%BD%E7%A6%8F%E7%94%9F%E5%B8%82</v>
      </c>
      <c r="E325" t="str">
        <f t="shared" si="31"/>
        <v xml:space="preserve">&lt;?xml version="1.0" encoding="UTF-8" ?&gt;
&lt;results&gt;
&lt;query&gt;東京都福生市&lt;/query&gt;
&lt;geodetic&gt;wgs1984&lt;/geodetic&gt;
&lt;iConf&gt;5&lt;/iConf&gt;
&lt;converted&gt;東京都福生市&lt;/converted&gt;
&lt;candidate&gt;
&lt;address&gt;東京都/福生市&lt;/address&gt;
&lt;longitude&gt;139.326736&lt;/longitude&gt;
&lt;latitude&gt;35.738602&lt;/latitude&gt;
&lt;iLvl&gt;3&lt;/iLvl&gt;
&lt;/candidate&gt;
&lt;/results&gt;
</v>
      </c>
      <c r="F325" cm="1">
        <f t="array" ref="F325">INDEX(_xlfn.FILTERXML(E325,"//latitude"),1)</f>
        <v>35.738602</v>
      </c>
      <c r="G325" cm="1">
        <f t="array" ref="G325">INDEX(_xlfn.FILTERXML(E325,"//longitude"),1)</f>
        <v>139.32673600000001</v>
      </c>
      <c r="H325">
        <v>35.738602</v>
      </c>
      <c r="I325">
        <v>139.32673600000001</v>
      </c>
    </row>
    <row r="326" spans="1:9" x14ac:dyDescent="0.4">
      <c r="A326" t="s">
        <v>164</v>
      </c>
      <c r="B326" t="s">
        <v>315</v>
      </c>
      <c r="C326" t="str">
        <f t="shared" ref="C326:C389" si="32">+A326&amp;B326</f>
        <v>広島県広島市中区富士見町9-15-1301</v>
      </c>
      <c r="D326" s="2" t="str">
        <f t="shared" ref="D326:D389" si="33" xml:space="preserve"> "http://geocode.csis.u-tokyo.ac.jp/cgi-bin/simple_geocode.cgi?charset=UTF8&amp;addr=" &amp; _xlfn.ENCODEURL(C326)</f>
        <v>http://geocode.csis.u-tokyo.ac.jp/cgi-bin/simple_geocode.cgi?charset=UTF8&amp;addr=%E5%BA%83%E5%B3%B6%E7%9C%8C%E5%BA%83%E5%B3%B6%E5%B8%82%E4%B8%AD%E5%8C%BA%E5%AF%8C%E5%A3%AB%E8%A6%8B%E7%94%BA9-15-1301</v>
      </c>
      <c r="E326" t="str">
        <f t="shared" ref="E326:E389" si="34" xml:space="preserve"> _xlfn.WEBSERVICE(D326)</f>
        <v xml:space="preserve">&lt;?xml version="1.0" encoding="UTF-8" ?&gt;
&lt;results&gt;
&lt;query&gt;広島県広島市中区富士見町9-15-1301&lt;/query&gt;
&lt;geodetic&gt;wgs1984&lt;/geodetic&gt;
&lt;iConf&gt;5&lt;/iConf&gt;
&lt;converted&gt;広島県広島市中区富士見町9-15-&lt;/converted&gt;
&lt;candidate&gt;
&lt;address&gt;広島県/広島市/中区/富士見町/９番/１５号&lt;/address&gt;
&lt;longitude&gt;132.461502&lt;/longitude&gt;
&lt;latitude&gt;34.386654&lt;/latitude&gt;
&lt;iLvl&gt;8&lt;/iLvl&gt;
&lt;/candidate&gt;
&lt;/results&gt;
</v>
      </c>
      <c r="F326" cm="1">
        <f t="array" ref="F326">INDEX(_xlfn.FILTERXML(E326,"//latitude"),1)</f>
        <v>34.386654</v>
      </c>
      <c r="G326" cm="1">
        <f t="array" ref="G326">INDEX(_xlfn.FILTERXML(E326,"//longitude"),1)</f>
        <v>132.461502</v>
      </c>
      <c r="H326">
        <v>34.386654</v>
      </c>
      <c r="I326">
        <v>132.461502</v>
      </c>
    </row>
    <row r="327" spans="1:9" x14ac:dyDescent="0.4">
      <c r="A327" t="s">
        <v>9</v>
      </c>
      <c r="B327" t="s">
        <v>316</v>
      </c>
      <c r="C327" t="str">
        <f t="shared" si="32"/>
        <v>東京都千代田区富士見</v>
      </c>
      <c r="D327" s="2" t="str">
        <f t="shared" si="33"/>
        <v>http://geocode.csis.u-tokyo.ac.jp/cgi-bin/simple_geocode.cgi?charset=UTF8&amp;addr=%E6%9D%B1%E4%BA%AC%E9%83%BD%E5%8D%83%E4%BB%A3%E7%94%B0%E5%8C%BA%E5%AF%8C%E5%A3%AB%E8%A6%8B</v>
      </c>
      <c r="E327" t="str">
        <f t="shared" si="34"/>
        <v xml:space="preserve">&lt;?xml version="1.0" encoding="UTF-8" ?&gt;
&lt;results&gt;
&lt;query&gt;東京都千代田区富士見&lt;/query&gt;
&lt;geodetic&gt;wgs1984&lt;/geodetic&gt;
&lt;iConf&gt;5&lt;/iConf&gt;
&lt;converted&gt;東京都千代田区富士見&lt;/converted&gt;
&lt;candidate&gt;
&lt;address&gt;東京都/千代田区/富士見&lt;/address&gt;
&lt;longitude&gt;139.746979&lt;/longitude&gt;
&lt;latitude&gt;35.697872&lt;/latitude&gt;
&lt;iLvl&gt;5&lt;/iLvl&gt;
&lt;/candidate&gt;
&lt;/results&gt;
</v>
      </c>
      <c r="F327" cm="1">
        <f t="array" ref="F327">INDEX(_xlfn.FILTERXML(E327,"//latitude"),1)</f>
        <v>35.697871999999997</v>
      </c>
      <c r="G327" cm="1">
        <f t="array" ref="G327">INDEX(_xlfn.FILTERXML(E327,"//longitude"),1)</f>
        <v>139.74697900000001</v>
      </c>
      <c r="H327">
        <v>35.697871999999997</v>
      </c>
      <c r="I327">
        <v>139.74697900000001</v>
      </c>
    </row>
    <row r="328" spans="1:9" x14ac:dyDescent="0.4">
      <c r="A328" t="s">
        <v>9</v>
      </c>
      <c r="B328" t="s">
        <v>96</v>
      </c>
      <c r="C328" t="str">
        <f t="shared" si="32"/>
        <v>東京都荒川区南千住</v>
      </c>
      <c r="D328" s="2" t="str">
        <f t="shared" si="33"/>
        <v>http://geocode.csis.u-tokyo.ac.jp/cgi-bin/simple_geocode.cgi?charset=UTF8&amp;addr=%E6%9D%B1%E4%BA%AC%E9%83%BD%E8%8D%92%E5%B7%9D%E5%8C%BA%E5%8D%97%E5%8D%83%E4%BD%8F</v>
      </c>
      <c r="E328" t="str">
        <f t="shared" si="34"/>
        <v xml:space="preserve">&lt;?xml version="1.0" encoding="UTF-8" ?&gt;
&lt;results&gt;
&lt;query&gt;東京都荒川区南千住&lt;/query&gt;
&lt;geodetic&gt;wgs1984&lt;/geodetic&gt;
&lt;iConf&gt;5&lt;/iConf&gt;
&lt;converted&gt;東京都荒川区南千住&lt;/converted&gt;
&lt;candidate&gt;
&lt;address&gt;東京都/荒川区/南千住&lt;/address&gt;
&lt;longitude&gt;139.791092&lt;/longitude&gt;
&lt;latitude&gt;35.733543&lt;/latitude&gt;
&lt;iLvl&gt;5&lt;/iLvl&gt;
&lt;/candidate&gt;
&lt;/results&gt;
</v>
      </c>
      <c r="F328" cm="1">
        <f t="array" ref="F328">INDEX(_xlfn.FILTERXML(E328,"//latitude"),1)</f>
        <v>35.733542999999997</v>
      </c>
      <c r="G328" cm="1">
        <f t="array" ref="G328">INDEX(_xlfn.FILTERXML(E328,"//longitude"),1)</f>
        <v>139.79109199999999</v>
      </c>
      <c r="H328">
        <v>35.733542999999997</v>
      </c>
      <c r="I328">
        <v>139.79109199999999</v>
      </c>
    </row>
    <row r="329" spans="1:9" x14ac:dyDescent="0.4">
      <c r="A329" t="s">
        <v>15</v>
      </c>
      <c r="B329" t="s">
        <v>317</v>
      </c>
      <c r="C329" t="str">
        <f t="shared" si="32"/>
        <v>愛知県犬山市大字羽黒字堂ヶ洞</v>
      </c>
      <c r="D329" s="2" t="str">
        <f t="shared" si="33"/>
        <v>http://geocode.csis.u-tokyo.ac.jp/cgi-bin/simple_geocode.cgi?charset=UTF8&amp;addr=%E6%84%9B%E7%9F%A5%E7%9C%8C%E7%8A%AC%E5%B1%B1%E5%B8%82%E5%A4%A7%E5%AD%97%E7%BE%BD%E9%BB%92%E5%AD%97%E5%A0%82%E3%83%B6%E6%B4%9E</v>
      </c>
      <c r="E329" t="str">
        <f t="shared" si="34"/>
        <v xml:space="preserve">&lt;?xml version="1.0" encoding="UTF-8" ?&gt;
&lt;results&gt;
&lt;query&gt;愛知県犬山市大字羽黒字堂ヶ洞&lt;/query&gt;
&lt;geodetic&gt;wgs1984&lt;/geodetic&gt;
&lt;iConf&gt;4&lt;/iConf&gt;
&lt;converted&gt;愛知県犬山市大字羽黒字堂ヶ&lt;/converted&gt;
&lt;candidate&gt;
&lt;address&gt;愛知県/犬山市/大字羽黒/堂ケ洞&lt;/address&gt;
&lt;longitude&gt;136.970428&lt;/longitude&gt;
&lt;latitude&gt;35.350983&lt;/latitude&gt;
&lt;iLvl&gt;6&lt;/iLvl&gt;
&lt;/candidate&gt;
&lt;candidate&gt;
&lt;address&gt;愛知県/犬山市/羽黒堂前&lt;/address&gt;
&lt;longitude&gt;136.943649&lt;/longitude&gt;
&lt;latitude&gt;35.355225&lt;/latitude&gt;
&lt;iLvl&gt;5&lt;/iLvl&gt;
&lt;/candidate&gt;
&lt;/results&gt;
</v>
      </c>
      <c r="F329" cm="1">
        <f t="array" ref="F329">INDEX(_xlfn.FILTERXML(E329,"//latitude"),1)</f>
        <v>35.350982999999999</v>
      </c>
      <c r="G329" cm="1">
        <f t="array" ref="G329">INDEX(_xlfn.FILTERXML(E329,"//longitude"),1)</f>
        <v>136.970428</v>
      </c>
      <c r="H329">
        <v>35.350982999999999</v>
      </c>
      <c r="I329">
        <v>136.970428</v>
      </c>
    </row>
    <row r="330" spans="1:9" x14ac:dyDescent="0.4">
      <c r="A330" t="s">
        <v>318</v>
      </c>
      <c r="B330" t="s">
        <v>319</v>
      </c>
      <c r="C330" t="str">
        <f t="shared" si="32"/>
        <v>福井県小浜市水取</v>
      </c>
      <c r="D330" s="2" t="str">
        <f t="shared" si="33"/>
        <v>http://geocode.csis.u-tokyo.ac.jp/cgi-bin/simple_geocode.cgi?charset=UTF8&amp;addr=%E7%A6%8F%E4%BA%95%E7%9C%8C%E5%B0%8F%E6%B5%9C%E5%B8%82%E6%B0%B4%E5%8F%96</v>
      </c>
      <c r="E330" t="str">
        <f t="shared" si="34"/>
        <v xml:space="preserve">&lt;?xml version="1.0" encoding="UTF-8" ?&gt;
&lt;results&gt;
&lt;query&gt;福井県小浜市水取&lt;/query&gt;
&lt;geodetic&gt;wgs1984&lt;/geodetic&gt;
&lt;iConf&gt;5&lt;/iConf&gt;
&lt;converted&gt;福井県小浜市水取&lt;/converted&gt;
&lt;candidate&gt;
&lt;address&gt;福井県/小浜市/水取&lt;/address&gt;
&lt;longitude&gt;135.750610&lt;/longitude&gt;
&lt;latitude&gt;35.504501&lt;/latitude&gt;
&lt;iLvl&gt;5&lt;/iLvl&gt;
&lt;/candidate&gt;
&lt;/results&gt;
</v>
      </c>
      <c r="F330" cm="1">
        <f t="array" ref="F330">INDEX(_xlfn.FILTERXML(E330,"//latitude"),1)</f>
        <v>35.504500999999998</v>
      </c>
      <c r="G330" cm="1">
        <f t="array" ref="G330">INDEX(_xlfn.FILTERXML(E330,"//longitude"),1)</f>
        <v>135.75060999999999</v>
      </c>
      <c r="H330">
        <v>35.504500999999998</v>
      </c>
      <c r="I330">
        <v>135.75060999999999</v>
      </c>
    </row>
    <row r="331" spans="1:9" x14ac:dyDescent="0.4">
      <c r="A331" t="s">
        <v>15</v>
      </c>
      <c r="B331" t="s">
        <v>169</v>
      </c>
      <c r="C331" t="str">
        <f t="shared" si="32"/>
        <v>愛知県東海市荒尾町</v>
      </c>
      <c r="D331" s="2" t="str">
        <f t="shared" si="33"/>
        <v>http://geocode.csis.u-tokyo.ac.jp/cgi-bin/simple_geocode.cgi?charset=UTF8&amp;addr=%E6%84%9B%E7%9F%A5%E7%9C%8C%E6%9D%B1%E6%B5%B7%E5%B8%82%E8%8D%92%E5%B0%BE%E7%94%BA</v>
      </c>
      <c r="E331" t="str">
        <f t="shared" si="34"/>
        <v xml:space="preserve">&lt;?xml version="1.0" encoding="UTF-8" ?&gt;
&lt;results&gt;
&lt;query&gt;愛知県東海市荒尾町&lt;/query&gt;
&lt;geodetic&gt;wgs1984&lt;/geodetic&gt;
&lt;iConf&gt;5&lt;/iConf&gt;
&lt;converted&gt;愛知県東海市荒尾町&lt;/converted&gt;
&lt;candidate&gt;
&lt;address&gt;愛知県/東海市/荒尾町&lt;/address&gt;
&lt;longitude&gt;136.917496&lt;/longitude&gt;
&lt;latitude&gt;35.034973&lt;/latitude&gt;
&lt;iLvl&gt;5&lt;/iLvl&gt;
&lt;/candidate&gt;
&lt;/results&gt;
</v>
      </c>
      <c r="F331" cm="1">
        <f t="array" ref="F331">INDEX(_xlfn.FILTERXML(E331,"//latitude"),1)</f>
        <v>35.034973000000001</v>
      </c>
      <c r="G331" cm="1">
        <f t="array" ref="G331">INDEX(_xlfn.FILTERXML(E331,"//longitude"),1)</f>
        <v>136.917496</v>
      </c>
      <c r="H331">
        <v>35.034973000000001</v>
      </c>
      <c r="I331">
        <v>136.917496</v>
      </c>
    </row>
    <row r="332" spans="1:9" x14ac:dyDescent="0.4">
      <c r="A332" t="s">
        <v>13</v>
      </c>
      <c r="B332" t="s">
        <v>320</v>
      </c>
      <c r="C332" t="str">
        <f t="shared" si="32"/>
        <v>兵庫県神戸市垂水区東舞子町</v>
      </c>
      <c r="D332" s="2" t="str">
        <f t="shared" si="33"/>
        <v>http://geocode.csis.u-tokyo.ac.jp/cgi-bin/simple_geocode.cgi?charset=UTF8&amp;addr=%E5%85%B5%E5%BA%AB%E7%9C%8C%E7%A5%9E%E6%88%B8%E5%B8%82%E5%9E%82%E6%B0%B4%E5%8C%BA%E6%9D%B1%E8%88%9E%E5%AD%90%E7%94%BA</v>
      </c>
      <c r="E332" t="str">
        <f t="shared" si="34"/>
        <v xml:space="preserve">&lt;?xml version="1.0" encoding="UTF-8" ?&gt;
&lt;results&gt;
&lt;query&gt;兵庫県神戸市垂水区東舞子町&lt;/query&gt;
&lt;geodetic&gt;wgs1984&lt;/geodetic&gt;
&lt;iConf&gt;5&lt;/iConf&gt;
&lt;converted&gt;兵庫県神戸市垂水区東舞子町&lt;/converted&gt;
&lt;candidate&gt;
&lt;address&gt;兵庫県/神戸市/垂水区/東舞子町&lt;/address&gt;
&lt;longitude&gt;135.036224&lt;/longitude&gt;
&lt;latitude&gt;34.632259&lt;/latitude&gt;
&lt;iLvl&gt;5&lt;/iLvl&gt;
&lt;/candidate&gt;
&lt;/results&gt;
</v>
      </c>
      <c r="F332" cm="1">
        <f t="array" ref="F332">INDEX(_xlfn.FILTERXML(E332,"//latitude"),1)</f>
        <v>34.632258999999998</v>
      </c>
      <c r="G332" cm="1">
        <f t="array" ref="G332">INDEX(_xlfn.FILTERXML(E332,"//longitude"),1)</f>
        <v>135.036224</v>
      </c>
      <c r="H332">
        <v>34.632258999999998</v>
      </c>
      <c r="I332">
        <v>135.036224</v>
      </c>
    </row>
    <row r="333" spans="1:9" x14ac:dyDescent="0.4">
      <c r="A333" t="s">
        <v>10</v>
      </c>
      <c r="B333" t="s">
        <v>321</v>
      </c>
      <c r="C333" t="str">
        <f t="shared" si="32"/>
        <v>神奈川県川崎市麻生区王禅寺西</v>
      </c>
      <c r="D333" s="2" t="str">
        <f t="shared" si="33"/>
        <v>http://geocode.csis.u-tokyo.ac.jp/cgi-bin/simple_geocode.cgi?charset=UTF8&amp;addr=%E7%A5%9E%E5%A5%88%E5%B7%9D%E7%9C%8C%E5%B7%9D%E5%B4%8E%E5%B8%82%E9%BA%BB%E7%94%9F%E5%8C%BA%E7%8E%8B%E7%A6%85%E5%AF%BA%E8%A5%BF</v>
      </c>
      <c r="E333" t="str">
        <f t="shared" si="34"/>
        <v xml:space="preserve">&lt;?xml version="1.0" encoding="UTF-8" ?&gt;
&lt;results&gt;
&lt;query&gt;神奈川県川崎市麻生区王禅寺西&lt;/query&gt;
&lt;geodetic&gt;wgs1984&lt;/geodetic&gt;
&lt;iConf&gt;5&lt;/iConf&gt;
&lt;converted&gt;神奈川県川崎市麻生区王禅寺西&lt;/converted&gt;
&lt;candidate&gt;
&lt;address&gt;神奈川県/川崎市/麻生区/王禅寺西&lt;/address&gt;
&lt;longitude&gt;139.513916&lt;/longitude&gt;
&lt;latitude&gt;35.599411&lt;/latitude&gt;
&lt;iLvl&gt;5&lt;/iLvl&gt;
&lt;/candidate&gt;
&lt;/results&gt;
</v>
      </c>
      <c r="F333" cm="1">
        <f t="array" ref="F333">INDEX(_xlfn.FILTERXML(E333,"//latitude"),1)</f>
        <v>35.599411000000003</v>
      </c>
      <c r="G333" cm="1">
        <f t="array" ref="G333">INDEX(_xlfn.FILTERXML(E333,"//longitude"),1)</f>
        <v>139.51391599999999</v>
      </c>
      <c r="H333">
        <v>35.599411000000003</v>
      </c>
      <c r="I333">
        <v>139.51391599999999</v>
      </c>
    </row>
    <row r="334" spans="1:9" x14ac:dyDescent="0.4">
      <c r="A334" t="s">
        <v>16</v>
      </c>
      <c r="B334" t="s">
        <v>322</v>
      </c>
      <c r="C334" t="str">
        <f t="shared" si="32"/>
        <v>千葉県船橋市三咲</v>
      </c>
      <c r="D334" s="2" t="str">
        <f t="shared" si="33"/>
        <v>http://geocode.csis.u-tokyo.ac.jp/cgi-bin/simple_geocode.cgi?charset=UTF8&amp;addr=%E5%8D%83%E8%91%89%E7%9C%8C%E8%88%B9%E6%A9%8B%E5%B8%82%E4%B8%89%E5%92%B2</v>
      </c>
      <c r="E334" t="str">
        <f t="shared" si="34"/>
        <v xml:space="preserve">&lt;?xml version="1.0" encoding="UTF-8" ?&gt;
&lt;results&gt;
&lt;query&gt;千葉県船橋市三咲&lt;/query&gt;
&lt;geodetic&gt;wgs1984&lt;/geodetic&gt;
&lt;iConf&gt;5&lt;/iConf&gt;
&lt;converted&gt;千葉県船橋市三咲&lt;/converted&gt;
&lt;candidate&gt;
&lt;address&gt;千葉県/船橋市/三咲&lt;/address&gt;
&lt;longitude&gt;140.028259&lt;/longitude&gt;
&lt;latitude&gt;35.744293&lt;/latitude&gt;
&lt;iLvl&gt;5&lt;/iLvl&gt;
&lt;/candidate&gt;
&lt;/results&gt;
</v>
      </c>
      <c r="F334" cm="1">
        <f t="array" ref="F334">INDEX(_xlfn.FILTERXML(E334,"//latitude"),1)</f>
        <v>35.744292999999999</v>
      </c>
      <c r="G334" cm="1">
        <f t="array" ref="G334">INDEX(_xlfn.FILTERXML(E334,"//longitude"),1)</f>
        <v>140.02825899999999</v>
      </c>
      <c r="H334">
        <v>35.744292999999999</v>
      </c>
      <c r="I334">
        <v>140.02825899999999</v>
      </c>
    </row>
    <row r="335" spans="1:9" x14ac:dyDescent="0.4">
      <c r="A335" t="s">
        <v>10</v>
      </c>
      <c r="B335" t="s">
        <v>323</v>
      </c>
      <c r="C335" t="str">
        <f t="shared" si="32"/>
        <v>神奈川県横浜市青葉区青葉台1-2-1</v>
      </c>
      <c r="D335" s="2" t="str">
        <f t="shared" si="33"/>
        <v>http://geocode.csis.u-tokyo.ac.jp/cgi-bin/simple_geocode.cgi?charset=UTF8&amp;addr=%E7%A5%9E%E5%A5%88%E5%B7%9D%E7%9C%8C%E6%A8%AA%E6%B5%9C%E5%B8%82%E9%9D%92%E8%91%89%E5%8C%BA%E9%9D%92%E8%91%89%E5%8F%B01-2-1</v>
      </c>
      <c r="E335" t="str">
        <f t="shared" si="34"/>
        <v xml:space="preserve">&lt;?xml version="1.0" encoding="UTF-8" ?&gt;
&lt;results&gt;
&lt;query&gt;神奈川県横浜市青葉区青葉台1-2-1&lt;/query&gt;
&lt;geodetic&gt;wgs1984&lt;/geodetic&gt;
&lt;iConf&gt;5&lt;/iConf&gt;
&lt;converted&gt;神奈川県横浜市青葉区青葉台1-2-&lt;/converted&gt;
&lt;candidate&gt;
&lt;address&gt;神奈川県/横浜市/青葉区/青葉台/一丁目/２番&lt;/address&gt;
&lt;longitude&gt;139.519180&lt;/longitude&gt;
&lt;latitude&gt;35.542919&lt;/latitude&gt;
&lt;iLvl&gt;7&lt;/iLvl&gt;
&lt;/candidate&gt;
&lt;/results&gt;
</v>
      </c>
      <c r="F335" cm="1">
        <f t="array" ref="F335">INDEX(_xlfn.FILTERXML(E335,"//latitude"),1)</f>
        <v>35.542918999999998</v>
      </c>
      <c r="G335" cm="1">
        <f t="array" ref="G335">INDEX(_xlfn.FILTERXML(E335,"//longitude"),1)</f>
        <v>139.51918000000001</v>
      </c>
      <c r="H335">
        <v>35.542918999999998</v>
      </c>
      <c r="I335">
        <v>139.51918000000001</v>
      </c>
    </row>
    <row r="336" spans="1:9" x14ac:dyDescent="0.4">
      <c r="A336" t="s">
        <v>140</v>
      </c>
      <c r="B336" t="s">
        <v>324</v>
      </c>
      <c r="C336" t="str">
        <f t="shared" si="32"/>
        <v>富山県富山市婦中町砂子田</v>
      </c>
      <c r="D336" s="2" t="str">
        <f t="shared" si="33"/>
        <v>http://geocode.csis.u-tokyo.ac.jp/cgi-bin/simple_geocode.cgi?charset=UTF8&amp;addr=%E5%AF%8C%E5%B1%B1%E7%9C%8C%E5%AF%8C%E5%B1%B1%E5%B8%82%E5%A9%A6%E4%B8%AD%E7%94%BA%E7%A0%82%E5%AD%90%E7%94%B0</v>
      </c>
      <c r="E336" t="str">
        <f t="shared" si="34"/>
        <v xml:space="preserve">&lt;?xml version="1.0" encoding="UTF-8" ?&gt;
&lt;results&gt;
&lt;query&gt;富山県富山市婦中町砂子田&lt;/query&gt;
&lt;geodetic&gt;wgs1984&lt;/geodetic&gt;
&lt;iConf&gt;5&lt;/iConf&gt;
&lt;converted&gt;富山県富山市婦中町砂子田&lt;/converted&gt;
&lt;candidate&gt;
&lt;address&gt;富山県/富山市/婦中町砂子田&lt;/address&gt;
&lt;longitude&gt;137.162979&lt;/longitude&gt;
&lt;latitude&gt;36.653057&lt;/latitude&gt;
&lt;iLvl&gt;5&lt;/iLvl&gt;
&lt;/candidate&gt;
&lt;/results&gt;
</v>
      </c>
      <c r="F336" cm="1">
        <f t="array" ref="F336">INDEX(_xlfn.FILTERXML(E336,"//latitude"),1)</f>
        <v>36.653056999999997</v>
      </c>
      <c r="G336" cm="1">
        <f t="array" ref="G336">INDEX(_xlfn.FILTERXML(E336,"//longitude"),1)</f>
        <v>137.16297900000001</v>
      </c>
      <c r="H336">
        <v>36.653056999999997</v>
      </c>
      <c r="I336">
        <v>137.16297900000001</v>
      </c>
    </row>
    <row r="337" spans="1:9" x14ac:dyDescent="0.4">
      <c r="A337" t="s">
        <v>16</v>
      </c>
      <c r="B337" t="s">
        <v>325</v>
      </c>
      <c r="C337" t="str">
        <f t="shared" si="32"/>
        <v>千葉県船橋市金杉台</v>
      </c>
      <c r="D337" s="2" t="str">
        <f t="shared" si="33"/>
        <v>http://geocode.csis.u-tokyo.ac.jp/cgi-bin/simple_geocode.cgi?charset=UTF8&amp;addr=%E5%8D%83%E8%91%89%E7%9C%8C%E8%88%B9%E6%A9%8B%E5%B8%82%E9%87%91%E6%9D%89%E5%8F%B0</v>
      </c>
      <c r="E337" t="str">
        <f t="shared" si="34"/>
        <v xml:space="preserve">&lt;?xml version="1.0" encoding="UTF-8" ?&gt;
&lt;results&gt;
&lt;query&gt;千葉県船橋市金杉台&lt;/query&gt;
&lt;geodetic&gt;wgs1984&lt;/geodetic&gt;
&lt;iConf&gt;5&lt;/iConf&gt;
&lt;converted&gt;千葉県船橋市金杉台&lt;/converted&gt;
&lt;candidate&gt;
&lt;address&gt;千葉県/船橋市/金杉台&lt;/address&gt;
&lt;longitude&gt;140.010513&lt;/longitude&gt;
&lt;latitude&gt;35.736229&lt;/latitude&gt;
&lt;iLvl&gt;5&lt;/iLvl&gt;
&lt;/candidate&gt;
&lt;/results&gt;
</v>
      </c>
      <c r="F337" cm="1">
        <f t="array" ref="F337">INDEX(_xlfn.FILTERXML(E337,"//latitude"),1)</f>
        <v>35.736229000000002</v>
      </c>
      <c r="G337" cm="1">
        <f t="array" ref="G337">INDEX(_xlfn.FILTERXML(E337,"//longitude"),1)</f>
        <v>140.010513</v>
      </c>
      <c r="H337">
        <v>35.736229000000002</v>
      </c>
      <c r="I337">
        <v>140.010513</v>
      </c>
    </row>
    <row r="338" spans="1:9" x14ac:dyDescent="0.4">
      <c r="A338" t="s">
        <v>14</v>
      </c>
      <c r="B338" t="s">
        <v>326</v>
      </c>
      <c r="C338" t="str">
        <f t="shared" si="32"/>
        <v>長野県松本市島内</v>
      </c>
      <c r="D338" s="2" t="str">
        <f t="shared" si="33"/>
        <v>http://geocode.csis.u-tokyo.ac.jp/cgi-bin/simple_geocode.cgi?charset=UTF8&amp;addr=%E9%95%B7%E9%87%8E%E7%9C%8C%E6%9D%BE%E6%9C%AC%E5%B8%82%E5%B3%B6%E5%86%85</v>
      </c>
      <c r="E338" t="str">
        <f t="shared" si="34"/>
        <v xml:space="preserve">&lt;?xml version="1.0" encoding="UTF-8" ?&gt;
&lt;results&gt;
&lt;query&gt;長野県松本市島内&lt;/query&gt;
&lt;geodetic&gt;wgs1984&lt;/geodetic&gt;
&lt;iConf&gt;5&lt;/iConf&gt;
&lt;converted&gt;長野県松本市島内&lt;/converted&gt;
&lt;candidate&gt;
&lt;address&gt;長野県/松本市/島内&lt;/address&gt;
&lt;longitude&gt;137.940994&lt;/longitude&gt;
&lt;latitude&gt;36.260956&lt;/latitude&gt;
&lt;iLvl&gt;5&lt;/iLvl&gt;
&lt;/candidate&gt;
&lt;/results&gt;
</v>
      </c>
      <c r="F338" cm="1">
        <f t="array" ref="F338">INDEX(_xlfn.FILTERXML(E338,"//latitude"),1)</f>
        <v>36.260956</v>
      </c>
      <c r="G338" cm="1">
        <f t="array" ref="G338">INDEX(_xlfn.FILTERXML(E338,"//longitude"),1)</f>
        <v>137.94099399999999</v>
      </c>
      <c r="H338">
        <v>36.260956</v>
      </c>
      <c r="I338">
        <v>137.94099399999999</v>
      </c>
    </row>
    <row r="339" spans="1:9" x14ac:dyDescent="0.4">
      <c r="A339" t="s">
        <v>10</v>
      </c>
      <c r="B339" t="s">
        <v>168</v>
      </c>
      <c r="C339" t="str">
        <f t="shared" si="32"/>
        <v>神奈川県横浜市南区永田東</v>
      </c>
      <c r="D339" s="2" t="str">
        <f t="shared" si="33"/>
        <v>http://geocode.csis.u-tokyo.ac.jp/cgi-bin/simple_geocode.cgi?charset=UTF8&amp;addr=%E7%A5%9E%E5%A5%88%E5%B7%9D%E7%9C%8C%E6%A8%AA%E6%B5%9C%E5%B8%82%E5%8D%97%E5%8C%BA%E6%B0%B8%E7%94%B0%E6%9D%B1</v>
      </c>
      <c r="E339" t="str">
        <f t="shared" si="34"/>
        <v xml:space="preserve">&lt;?xml version="1.0" encoding="UTF-8" ?&gt;
&lt;results&gt;
&lt;query&gt;神奈川県横浜市南区永田東&lt;/query&gt;
&lt;geodetic&gt;wgs1984&lt;/geodetic&gt;
&lt;iConf&gt;5&lt;/iConf&gt;
&lt;converted&gt;神奈川県横浜市南区永田東&lt;/converted&gt;
&lt;candidate&gt;
&lt;address&gt;神奈川県/横浜市/南区/永田東&lt;/address&gt;
&lt;longitude&gt;139.597382&lt;/longitude&gt;
&lt;latitude&gt;35.433525&lt;/latitude&gt;
&lt;iLvl&gt;5&lt;/iLvl&gt;
&lt;/candidate&gt;
&lt;/results&gt;
</v>
      </c>
      <c r="F339" cm="1">
        <f t="array" ref="F339">INDEX(_xlfn.FILTERXML(E339,"//latitude"),1)</f>
        <v>35.433525000000003</v>
      </c>
      <c r="G339" cm="1">
        <f t="array" ref="G339">INDEX(_xlfn.FILTERXML(E339,"//longitude"),1)</f>
        <v>139.59738200000001</v>
      </c>
      <c r="H339">
        <v>35.433525000000003</v>
      </c>
      <c r="I339">
        <v>139.59738200000001</v>
      </c>
    </row>
    <row r="340" spans="1:9" x14ac:dyDescent="0.4">
      <c r="A340" t="s">
        <v>31</v>
      </c>
      <c r="B340" t="s">
        <v>328</v>
      </c>
      <c r="C340" t="str">
        <f t="shared" si="32"/>
        <v>北海道札幌市中央区北六条西12丁目</v>
      </c>
      <c r="D340" s="2" t="str">
        <f t="shared" si="33"/>
        <v>http://geocode.csis.u-tokyo.ac.jp/cgi-bin/simple_geocode.cgi?charset=UTF8&amp;addr=%E5%8C%97%E6%B5%B7%E9%81%93%E6%9C%AD%E5%B9%8C%E5%B8%82%E4%B8%AD%E5%A4%AE%E5%8C%BA%E5%8C%97%E5%85%AD%E6%9D%A1%E8%A5%BF12%E4%B8%81%E7%9B%AE</v>
      </c>
      <c r="E340" t="str">
        <f t="shared" si="34"/>
        <v xml:space="preserve">&lt;?xml version="1.0" encoding="UTF-8" ?&gt;
&lt;results&gt;
&lt;query&gt;北海道札幌市中央区北六条西12丁目&lt;/query&gt;
&lt;geodetic&gt;wgs1984&lt;/geodetic&gt;
&lt;iConf&gt;5&lt;/iConf&gt;
&lt;converted&gt;北海道札幌市中央区北六条西12丁目&lt;/converted&gt;
&lt;candidate&gt;
&lt;address&gt;北海道/札幌市/中央区/北六条/西十二丁目&lt;/address&gt;
&lt;longitude&gt;141.336823&lt;/longitude&gt;
&lt;latitude&gt;43.066650&lt;/latitude&gt;
&lt;iLvl&gt;6&lt;/iLvl&gt;
&lt;/candidate&gt;
&lt;/results&gt;
</v>
      </c>
      <c r="F340" cm="1">
        <f t="array" ref="F340">INDEX(_xlfn.FILTERXML(E340,"//latitude"),1)</f>
        <v>43.066650000000003</v>
      </c>
      <c r="G340" cm="1">
        <f t="array" ref="G340">INDEX(_xlfn.FILTERXML(E340,"//longitude"),1)</f>
        <v>141.33682300000001</v>
      </c>
      <c r="H340">
        <v>43.066650000000003</v>
      </c>
      <c r="I340">
        <v>141.33682300000001</v>
      </c>
    </row>
    <row r="341" spans="1:9" x14ac:dyDescent="0.4">
      <c r="A341" t="s">
        <v>9</v>
      </c>
      <c r="B341" t="s">
        <v>329</v>
      </c>
      <c r="C341" t="str">
        <f t="shared" si="32"/>
        <v>東京都港区三田５ー2－22</v>
      </c>
      <c r="D341" s="2" t="str">
        <f t="shared" si="33"/>
        <v>http://geocode.csis.u-tokyo.ac.jp/cgi-bin/simple_geocode.cgi?charset=UTF8&amp;addr=%E6%9D%B1%E4%BA%AC%E9%83%BD%E6%B8%AF%E5%8C%BA%E4%B8%89%E7%94%B0%EF%BC%95%E3%83%BC2%EF%BC%8D22</v>
      </c>
      <c r="E341" t="str">
        <f t="shared" si="34"/>
        <v xml:space="preserve">&lt;?xml version="1.0" encoding="UTF-8" ?&gt;
&lt;results&gt;
&lt;query&gt;東京都港区三田５ー2−22&lt;/query&gt;
&lt;geodetic&gt;wgs1984&lt;/geodetic&gt;
&lt;iConf&gt;5&lt;/iConf&gt;
&lt;converted&gt;東京都港区三田５ー2−&lt;/converted&gt;
&lt;candidate&gt;
&lt;address&gt;東京都/港区/三田/五丁目/２番&lt;/address&gt;
&lt;longitude&gt;139.737732&lt;/longitude&gt;
&lt;latitude&gt;35.647598&lt;/latitude&gt;
&lt;iLvl&gt;7&lt;/iLvl&gt;
&lt;/candidate&gt;
&lt;/results&gt;
</v>
      </c>
      <c r="F341" cm="1">
        <f t="array" ref="F341">INDEX(_xlfn.FILTERXML(E341,"//latitude"),1)</f>
        <v>35.647598000000002</v>
      </c>
      <c r="G341" cm="1">
        <f t="array" ref="G341">INDEX(_xlfn.FILTERXML(E341,"//longitude"),1)</f>
        <v>139.73773199999999</v>
      </c>
      <c r="H341">
        <v>35.647598000000002</v>
      </c>
      <c r="I341">
        <v>139.73773199999999</v>
      </c>
    </row>
    <row r="342" spans="1:9" x14ac:dyDescent="0.4">
      <c r="A342" t="s">
        <v>9</v>
      </c>
      <c r="B342" t="s">
        <v>330</v>
      </c>
      <c r="C342" t="str">
        <f t="shared" si="32"/>
        <v>東京都板橋区徳丸</v>
      </c>
      <c r="D342" s="2" t="str">
        <f t="shared" si="33"/>
        <v>http://geocode.csis.u-tokyo.ac.jp/cgi-bin/simple_geocode.cgi?charset=UTF8&amp;addr=%E6%9D%B1%E4%BA%AC%E9%83%BD%E6%9D%BF%E6%A9%8B%E5%8C%BA%E5%BE%B3%E4%B8%B8</v>
      </c>
      <c r="E342" t="str">
        <f t="shared" si="34"/>
        <v xml:space="preserve">&lt;?xml version="1.0" encoding="UTF-8" ?&gt;
&lt;results&gt;
&lt;query&gt;東京都板橋区徳丸&lt;/query&gt;
&lt;geodetic&gt;wgs1984&lt;/geodetic&gt;
&lt;iConf&gt;5&lt;/iConf&gt;
&lt;converted&gt;東京都板橋区徳丸&lt;/converted&gt;
&lt;candidate&gt;
&lt;address&gt;東京都/板橋区/徳丸&lt;/address&gt;
&lt;longitude&gt;139.665512&lt;/longitude&gt;
&lt;latitude&gt;35.771675&lt;/latitude&gt;
&lt;iLvl&gt;5&lt;/iLvl&gt;
&lt;/candidate&gt;
&lt;/results&gt;
</v>
      </c>
      <c r="F342" cm="1">
        <f t="array" ref="F342">INDEX(_xlfn.FILTERXML(E342,"//latitude"),1)</f>
        <v>35.771675000000002</v>
      </c>
      <c r="G342" cm="1">
        <f t="array" ref="G342">INDEX(_xlfn.FILTERXML(E342,"//longitude"),1)</f>
        <v>139.66551200000001</v>
      </c>
      <c r="H342">
        <v>35.771675000000002</v>
      </c>
      <c r="I342">
        <v>139.66551200000001</v>
      </c>
    </row>
    <row r="343" spans="1:9" x14ac:dyDescent="0.4">
      <c r="A343" t="s">
        <v>11</v>
      </c>
      <c r="B343" t="s">
        <v>331</v>
      </c>
      <c r="C343" t="str">
        <f t="shared" si="32"/>
        <v>大阪府吹田市</v>
      </c>
      <c r="D343" s="2" t="str">
        <f t="shared" si="33"/>
        <v>http://geocode.csis.u-tokyo.ac.jp/cgi-bin/simple_geocode.cgi?charset=UTF8&amp;addr=%E5%A4%A7%E9%98%AA%E5%BA%9C%E5%90%B9%E7%94%B0%E5%B8%82</v>
      </c>
      <c r="E343" t="str">
        <f t="shared" si="34"/>
        <v xml:space="preserve">&lt;?xml version="1.0" encoding="UTF-8" ?&gt;
&lt;results&gt;
&lt;query&gt;大阪府吹田市&lt;/query&gt;
&lt;geodetic&gt;wgs1984&lt;/geodetic&gt;
&lt;iConf&gt;5&lt;/iConf&gt;
&lt;converted&gt;大阪府吹田市&lt;/converted&gt;
&lt;candidate&gt;
&lt;address&gt;大阪府/吹田市&lt;/address&gt;
&lt;longitude&gt;135.516800&lt;/longitude&gt;
&lt;latitude&gt;34.759403&lt;/latitude&gt;
&lt;iLvl&gt;3&lt;/iLvl&gt;
&lt;/candidate&gt;
&lt;/results&gt;
</v>
      </c>
      <c r="F343" cm="1">
        <f t="array" ref="F343">INDEX(_xlfn.FILTERXML(E343,"//latitude"),1)</f>
        <v>34.759402999999999</v>
      </c>
      <c r="G343" cm="1">
        <f t="array" ref="G343">INDEX(_xlfn.FILTERXML(E343,"//longitude"),1)</f>
        <v>135.51679999999999</v>
      </c>
      <c r="H343">
        <v>34.759402999999999</v>
      </c>
      <c r="I343">
        <v>135.51679999999999</v>
      </c>
    </row>
    <row r="344" spans="1:9" x14ac:dyDescent="0.4">
      <c r="A344" t="s">
        <v>11</v>
      </c>
      <c r="B344" t="s">
        <v>332</v>
      </c>
      <c r="C344" t="str">
        <f t="shared" si="32"/>
        <v>大阪府岸和田市並松町</v>
      </c>
      <c r="D344" s="2" t="str">
        <f t="shared" si="33"/>
        <v>http://geocode.csis.u-tokyo.ac.jp/cgi-bin/simple_geocode.cgi?charset=UTF8&amp;addr=%E5%A4%A7%E9%98%AA%E5%BA%9C%E5%B2%B8%E5%92%8C%E7%94%B0%E5%B8%82%E4%B8%A6%E6%9D%BE%E7%94%BA</v>
      </c>
      <c r="E344" t="str">
        <f t="shared" si="34"/>
        <v xml:space="preserve">&lt;?xml version="1.0" encoding="UTF-8" ?&gt;
&lt;results&gt;
&lt;query&gt;大阪府岸和田市並松町&lt;/query&gt;
&lt;geodetic&gt;wgs1984&lt;/geodetic&gt;
&lt;iConf&gt;5&lt;/iConf&gt;
&lt;converted&gt;大阪府岸和田市並松町&lt;/converted&gt;
&lt;candidate&gt;
&lt;address&gt;大阪府/岸和田市/並松町&lt;/address&gt;
&lt;longitude&gt;135.375198&lt;/longitude&gt;
&lt;latitude&gt;34.467651&lt;/latitude&gt;
&lt;iLvl&gt;5&lt;/iLvl&gt;
&lt;/candidate&gt;
&lt;/results&gt;
</v>
      </c>
      <c r="F344" cm="1">
        <f t="array" ref="F344">INDEX(_xlfn.FILTERXML(E344,"//latitude"),1)</f>
        <v>34.467650999999996</v>
      </c>
      <c r="G344" cm="1">
        <f t="array" ref="G344">INDEX(_xlfn.FILTERXML(E344,"//longitude"),1)</f>
        <v>135.37519800000001</v>
      </c>
      <c r="H344">
        <v>34.467650999999996</v>
      </c>
      <c r="I344">
        <v>135.37519800000001</v>
      </c>
    </row>
    <row r="345" spans="1:9" x14ac:dyDescent="0.4">
      <c r="A345" t="s">
        <v>13</v>
      </c>
      <c r="B345" t="s">
        <v>333</v>
      </c>
      <c r="C345" t="str">
        <f t="shared" si="32"/>
        <v>兵庫県西宮市津門大塚町</v>
      </c>
      <c r="D345" s="2" t="str">
        <f t="shared" si="33"/>
        <v>http://geocode.csis.u-tokyo.ac.jp/cgi-bin/simple_geocode.cgi?charset=UTF8&amp;addr=%E5%85%B5%E5%BA%AB%E7%9C%8C%E8%A5%BF%E5%AE%AE%E5%B8%82%E6%B4%A5%E9%96%80%E5%A4%A7%E5%A1%9A%E7%94%BA</v>
      </c>
      <c r="E345" t="str">
        <f t="shared" si="34"/>
        <v xml:space="preserve">&lt;?xml version="1.0" encoding="UTF-8" ?&gt;
&lt;results&gt;
&lt;query&gt;兵庫県西宮市津門大塚町&lt;/query&gt;
&lt;geodetic&gt;wgs1984&lt;/geodetic&gt;
&lt;iConf&gt;5&lt;/iConf&gt;
&lt;converted&gt;兵庫県西宮市津門大塚町&lt;/converted&gt;
&lt;candidate&gt;
&lt;address&gt;兵庫県/西宮市/津門大塚町&lt;/address&gt;
&lt;longitude&gt;135.354736&lt;/longitude&gt;
&lt;latitude&gt;34.737488&lt;/latitude&gt;
&lt;iLvl&gt;5&lt;/iLvl&gt;
&lt;/candidate&gt;
&lt;/results&gt;
</v>
      </c>
      <c r="F345" cm="1">
        <f t="array" ref="F345">INDEX(_xlfn.FILTERXML(E345,"//latitude"),1)</f>
        <v>34.737487999999999</v>
      </c>
      <c r="G345" cm="1">
        <f t="array" ref="G345">INDEX(_xlfn.FILTERXML(E345,"//longitude"),1)</f>
        <v>135.354736</v>
      </c>
      <c r="H345">
        <v>34.737487999999999</v>
      </c>
      <c r="I345">
        <v>135.354736</v>
      </c>
    </row>
    <row r="346" spans="1:9" x14ac:dyDescent="0.4">
      <c r="A346" t="s">
        <v>30</v>
      </c>
      <c r="B346" t="s">
        <v>334</v>
      </c>
      <c r="C346" t="str">
        <f t="shared" si="32"/>
        <v>石川県金沢市小坂町</v>
      </c>
      <c r="D346" s="2" t="str">
        <f t="shared" si="33"/>
        <v>http://geocode.csis.u-tokyo.ac.jp/cgi-bin/simple_geocode.cgi?charset=UTF8&amp;addr=%E7%9F%B3%E5%B7%9D%E7%9C%8C%E9%87%91%E6%B2%A2%E5%B8%82%E5%B0%8F%E5%9D%82%E7%94%BA</v>
      </c>
      <c r="E346" t="str">
        <f t="shared" si="34"/>
        <v xml:space="preserve">&lt;?xml version="1.0" encoding="UTF-8" ?&gt;
&lt;results&gt;
&lt;query&gt;石川県金沢市小坂町&lt;/query&gt;
&lt;geodetic&gt;wgs1984&lt;/geodetic&gt;
&lt;iConf&gt;5&lt;/iConf&gt;
&lt;converted&gt;石川県金沢市小坂町&lt;/converted&gt;
&lt;candidate&gt;
&lt;address&gt;石川県/金沢市/小坂町&lt;/address&gt;
&lt;longitude&gt;136.678253&lt;/longitude&gt;
&lt;latitude&gt;36.590164&lt;/latitude&gt;
&lt;iLvl&gt;5&lt;/iLvl&gt;
&lt;/candidate&gt;
&lt;/results&gt;
</v>
      </c>
      <c r="F346" cm="1">
        <f t="array" ref="F346">INDEX(_xlfn.FILTERXML(E346,"//latitude"),1)</f>
        <v>36.590164000000001</v>
      </c>
      <c r="G346" cm="1">
        <f t="array" ref="G346">INDEX(_xlfn.FILTERXML(E346,"//longitude"),1)</f>
        <v>136.67825300000001</v>
      </c>
      <c r="H346">
        <v>36.590164000000001</v>
      </c>
      <c r="I346">
        <v>136.67825300000001</v>
      </c>
    </row>
    <row r="347" spans="1:9" x14ac:dyDescent="0.4">
      <c r="A347" t="s">
        <v>11</v>
      </c>
      <c r="B347" t="s">
        <v>335</v>
      </c>
      <c r="C347" t="str">
        <f t="shared" si="32"/>
        <v>大阪府大阪市天王寺区北河堀町</v>
      </c>
      <c r="D347" s="2" t="str">
        <f t="shared" si="33"/>
        <v>http://geocode.csis.u-tokyo.ac.jp/cgi-bin/simple_geocode.cgi?charset=UTF8&amp;addr=%E5%A4%A7%E9%98%AA%E5%BA%9C%E5%A4%A7%E9%98%AA%E5%B8%82%E5%A4%A9%E7%8E%8B%E5%AF%BA%E5%8C%BA%E5%8C%97%E6%B2%B3%E5%A0%80%E7%94%BA</v>
      </c>
      <c r="E347" t="str">
        <f t="shared" si="34"/>
        <v xml:space="preserve">&lt;?xml version="1.0" encoding="UTF-8" ?&gt;
&lt;results&gt;
&lt;query&gt;大阪府大阪市天王寺区北河堀町&lt;/query&gt;
&lt;geodetic&gt;wgs1984&lt;/geodetic&gt;
&lt;iConf&gt;5&lt;/iConf&gt;
&lt;converted&gt;大阪府大阪市天王寺区北河堀町&lt;/converted&gt;
&lt;candidate&gt;
&lt;address&gt;大阪府/大阪市/天王寺区/北河堀町&lt;/address&gt;
&lt;longitude&gt;135.517761&lt;/longitude&gt;
&lt;latitude&gt;34.649937&lt;/latitude&gt;
&lt;iLvl&gt;5&lt;/iLvl&gt;
&lt;/candidate&gt;
&lt;/results&gt;
</v>
      </c>
      <c r="F347" cm="1">
        <f t="array" ref="F347">INDEX(_xlfn.FILTERXML(E347,"//latitude"),1)</f>
        <v>34.649937000000001</v>
      </c>
      <c r="G347" cm="1">
        <f t="array" ref="G347">INDEX(_xlfn.FILTERXML(E347,"//longitude"),1)</f>
        <v>135.51776100000001</v>
      </c>
      <c r="H347">
        <v>34.649937000000001</v>
      </c>
      <c r="I347">
        <v>135.51776100000001</v>
      </c>
    </row>
    <row r="348" spans="1:9" x14ac:dyDescent="0.4">
      <c r="A348" t="s">
        <v>30</v>
      </c>
      <c r="B348" t="s">
        <v>336</v>
      </c>
      <c r="C348" t="str">
        <f t="shared" si="32"/>
        <v>石川県金沢市</v>
      </c>
      <c r="D348" s="2" t="str">
        <f t="shared" si="33"/>
        <v>http://geocode.csis.u-tokyo.ac.jp/cgi-bin/simple_geocode.cgi?charset=UTF8&amp;addr=%E7%9F%B3%E5%B7%9D%E7%9C%8C%E9%87%91%E6%B2%A2%E5%B8%82</v>
      </c>
      <c r="E348" t="str">
        <f t="shared" si="34"/>
        <v xml:space="preserve">&lt;?xml version="1.0" encoding="UTF-8" ?&gt;
&lt;results&gt;
&lt;query&gt;石川県金沢市&lt;/query&gt;
&lt;geodetic&gt;wgs1984&lt;/geodetic&gt;
&lt;iConf&gt;5&lt;/iConf&gt;
&lt;converted&gt;石川県金沢市&lt;/converted&gt;
&lt;candidate&gt;
&lt;address&gt;石川県/金沢市&lt;/address&gt;
&lt;longitude&gt;136.656631&lt;/longitude&gt;
&lt;latitude&gt;36.561050&lt;/latitude&gt;
&lt;iLvl&gt;3&lt;/iLvl&gt;
&lt;/candidate&gt;
&lt;/results&gt;
</v>
      </c>
      <c r="F348" cm="1">
        <f t="array" ref="F348">INDEX(_xlfn.FILTERXML(E348,"//latitude"),1)</f>
        <v>36.561050000000002</v>
      </c>
      <c r="G348" cm="1">
        <f t="array" ref="G348">INDEX(_xlfn.FILTERXML(E348,"//longitude"),1)</f>
        <v>136.656631</v>
      </c>
      <c r="H348">
        <v>36.561050000000002</v>
      </c>
      <c r="I348">
        <v>136.656631</v>
      </c>
    </row>
    <row r="349" spans="1:9" x14ac:dyDescent="0.4">
      <c r="A349" t="s">
        <v>10</v>
      </c>
      <c r="B349" t="s">
        <v>337</v>
      </c>
      <c r="C349" t="str">
        <f t="shared" si="32"/>
        <v>神奈川県横浜市青葉区奈良町1566-123</v>
      </c>
      <c r="D349" s="2" t="str">
        <f t="shared" si="33"/>
        <v>http://geocode.csis.u-tokyo.ac.jp/cgi-bin/simple_geocode.cgi?charset=UTF8&amp;addr=%E7%A5%9E%E5%A5%88%E5%B7%9D%E7%9C%8C%E6%A8%AA%E6%B5%9C%E5%B8%82%E9%9D%92%E8%91%89%E5%8C%BA%E5%A5%88%E8%89%AF%E7%94%BA1566-123</v>
      </c>
      <c r="E349" t="str">
        <f t="shared" si="34"/>
        <v xml:space="preserve">&lt;?xml version="1.0" encoding="UTF-8" ?&gt;
&lt;results&gt;
&lt;query&gt;神奈川県横浜市青葉区奈良町1566-123&lt;/query&gt;
&lt;geodetic&gt;wgs1984&lt;/geodetic&gt;
&lt;iConf&gt;5&lt;/iConf&gt;
&lt;converted&gt;神奈川県横浜市青葉区奈良町1566-&lt;/converted&gt;
&lt;candidate&gt;
&lt;address&gt;神奈川県/横浜市/青葉区/奈良町/１５６６番地&lt;/address&gt;
&lt;longitude&gt;139.476746&lt;/longitude&gt;
&lt;latitude&gt;35.564983&lt;/latitude&gt;
&lt;iLvl&gt;7&lt;/iLvl&gt;
&lt;/candidate&gt;
&lt;/results&gt;
</v>
      </c>
      <c r="F349" cm="1">
        <f t="array" ref="F349">INDEX(_xlfn.FILTERXML(E349,"//latitude"),1)</f>
        <v>35.564982999999998</v>
      </c>
      <c r="G349" cm="1">
        <f t="array" ref="G349">INDEX(_xlfn.FILTERXML(E349,"//longitude"),1)</f>
        <v>139.47674599999999</v>
      </c>
      <c r="H349">
        <v>35.564982999999998</v>
      </c>
      <c r="I349">
        <v>139.47674599999999</v>
      </c>
    </row>
    <row r="350" spans="1:9" x14ac:dyDescent="0.4">
      <c r="A350" t="s">
        <v>31</v>
      </c>
      <c r="B350" t="s">
        <v>338</v>
      </c>
      <c r="C350" t="str">
        <f t="shared" si="32"/>
        <v>北海道伊達市元町</v>
      </c>
      <c r="D350" s="2" t="str">
        <f t="shared" si="33"/>
        <v>http://geocode.csis.u-tokyo.ac.jp/cgi-bin/simple_geocode.cgi?charset=UTF8&amp;addr=%E5%8C%97%E6%B5%B7%E9%81%93%E4%BC%8A%E9%81%94%E5%B8%82%E5%85%83%E7%94%BA</v>
      </c>
      <c r="E350" t="str">
        <f t="shared" si="34"/>
        <v xml:space="preserve">&lt;?xml version="1.0" encoding="UTF-8" ?&gt;
&lt;results&gt;
&lt;query&gt;北海道伊達市元町&lt;/query&gt;
&lt;geodetic&gt;wgs1984&lt;/geodetic&gt;
&lt;iConf&gt;5&lt;/iConf&gt;
&lt;converted&gt;北海道伊達市元町&lt;/converted&gt;
&lt;candidate&gt;
&lt;address&gt;北海道/伊達市/元町&lt;/address&gt;
&lt;longitude&gt;140.869675&lt;/longitude&gt;
&lt;latitude&gt;42.468700&lt;/latitude&gt;
&lt;iLvl&gt;5&lt;/iLvl&gt;
&lt;/candidate&gt;
&lt;/results&gt;
</v>
      </c>
      <c r="F350" cm="1">
        <f t="array" ref="F350">INDEX(_xlfn.FILTERXML(E350,"//latitude"),1)</f>
        <v>42.468699999999998</v>
      </c>
      <c r="G350" cm="1">
        <f t="array" ref="G350">INDEX(_xlfn.FILTERXML(E350,"//longitude"),1)</f>
        <v>140.869675</v>
      </c>
      <c r="H350">
        <v>42.468699999999998</v>
      </c>
      <c r="I350">
        <v>140.869675</v>
      </c>
    </row>
    <row r="351" spans="1:9" x14ac:dyDescent="0.4">
      <c r="A351" t="s">
        <v>9</v>
      </c>
      <c r="B351" t="s">
        <v>339</v>
      </c>
      <c r="C351" t="str">
        <f t="shared" si="32"/>
        <v>東京都練馬区早宮</v>
      </c>
      <c r="D351" s="2" t="str">
        <f t="shared" si="33"/>
        <v>http://geocode.csis.u-tokyo.ac.jp/cgi-bin/simple_geocode.cgi?charset=UTF8&amp;addr=%E6%9D%B1%E4%BA%AC%E9%83%BD%E7%B7%B4%E9%A6%AC%E5%8C%BA%E6%97%A9%E5%AE%AE</v>
      </c>
      <c r="E351" t="str">
        <f t="shared" si="34"/>
        <v xml:space="preserve">&lt;?xml version="1.0" encoding="UTF-8" ?&gt;
&lt;results&gt;
&lt;query&gt;東京都練馬区早宮&lt;/query&gt;
&lt;geodetic&gt;wgs1984&lt;/geodetic&gt;
&lt;iConf&gt;5&lt;/iConf&gt;
&lt;converted&gt;東京都練馬区早宮&lt;/converted&gt;
&lt;candidate&gt;
&lt;address&gt;東京都/練馬区/早宮&lt;/address&gt;
&lt;longitude&gt;139.658859&lt;/longitude&gt;
&lt;latitude&gt;35.751560&lt;/latitude&gt;
&lt;iLvl&gt;5&lt;/iLvl&gt;
&lt;/candidate&gt;
&lt;/results&gt;
</v>
      </c>
      <c r="F351" cm="1">
        <f t="array" ref="F351">INDEX(_xlfn.FILTERXML(E351,"//latitude"),1)</f>
        <v>35.751559999999998</v>
      </c>
      <c r="G351" cm="1">
        <f t="array" ref="G351">INDEX(_xlfn.FILTERXML(E351,"//longitude"),1)</f>
        <v>139.65885900000001</v>
      </c>
      <c r="H351">
        <v>35.751559999999998</v>
      </c>
      <c r="I351">
        <v>139.65885900000001</v>
      </c>
    </row>
    <row r="352" spans="1:9" x14ac:dyDescent="0.4">
      <c r="A352" t="s">
        <v>10</v>
      </c>
      <c r="B352" t="s">
        <v>340</v>
      </c>
      <c r="C352" t="str">
        <f t="shared" si="32"/>
        <v>神奈川県横浜市南区蒔田町</v>
      </c>
      <c r="D352" s="2" t="str">
        <f t="shared" si="33"/>
        <v>http://geocode.csis.u-tokyo.ac.jp/cgi-bin/simple_geocode.cgi?charset=UTF8&amp;addr=%E7%A5%9E%E5%A5%88%E5%B7%9D%E7%9C%8C%E6%A8%AA%E6%B5%9C%E5%B8%82%E5%8D%97%E5%8C%BA%E8%92%94%E7%94%B0%E7%94%BA</v>
      </c>
      <c r="E352" t="str">
        <f t="shared" si="34"/>
        <v xml:space="preserve">&lt;?xml version="1.0" encoding="UTF-8" ?&gt;
&lt;results&gt;
&lt;query&gt;神奈川県横浜市南区蒔田町&lt;/query&gt;
&lt;geodetic&gt;wgs1984&lt;/geodetic&gt;
&lt;iConf&gt;5&lt;/iConf&gt;
&lt;converted&gt;神奈川県横浜市南区蒔田町&lt;/converted&gt;
&lt;candidate&gt;
&lt;address&gt;神奈川県/横浜市/南区/蒔田町&lt;/address&gt;
&lt;longitude&gt;139.611603&lt;/longitude&gt;
&lt;latitude&gt;35.425949&lt;/latitude&gt;
&lt;iLvl&gt;5&lt;/iLvl&gt;
&lt;/candidate&gt;
&lt;/results&gt;
</v>
      </c>
      <c r="F352" cm="1">
        <f t="array" ref="F352">INDEX(_xlfn.FILTERXML(E352,"//latitude"),1)</f>
        <v>35.425949000000003</v>
      </c>
      <c r="G352" cm="1">
        <f t="array" ref="G352">INDEX(_xlfn.FILTERXML(E352,"//longitude"),1)</f>
        <v>139.611603</v>
      </c>
      <c r="H352">
        <v>35.425949000000003</v>
      </c>
      <c r="I352">
        <v>139.611603</v>
      </c>
    </row>
    <row r="353" spans="1:9" x14ac:dyDescent="0.4">
      <c r="A353" t="s">
        <v>30</v>
      </c>
      <c r="B353" t="s">
        <v>341</v>
      </c>
      <c r="C353" t="str">
        <f t="shared" si="32"/>
        <v>石川県金沢市泉が丘２－９－１７</v>
      </c>
      <c r="D353" s="2" t="str">
        <f t="shared" si="33"/>
        <v>http://geocode.csis.u-tokyo.ac.jp/cgi-bin/simple_geocode.cgi?charset=UTF8&amp;addr=%E7%9F%B3%E5%B7%9D%E7%9C%8C%E9%87%91%E6%B2%A2%E5%B8%82%E6%B3%89%E3%81%8C%E4%B8%98%EF%BC%92%EF%BC%8D%EF%BC%99%EF%BC%8D%EF%BC%91%EF%BC%97</v>
      </c>
      <c r="E353" t="str">
        <f t="shared" si="34"/>
        <v xml:space="preserve">&lt;?xml version="1.0" encoding="UTF-8" ?&gt;
&lt;results&gt;
&lt;query&gt;石川県金沢市泉が丘２−９−１７&lt;/query&gt;
&lt;geodetic&gt;wgs1984&lt;/geodetic&gt;
&lt;iConf&gt;5&lt;/iConf&gt;
&lt;converted&gt;石川県金沢市泉が丘２−９−１７&lt;/converted&gt;
&lt;candidate&gt;
&lt;address&gt;石川県/金沢市/泉が丘/二丁目/９番/１７号&lt;/address&gt;
&lt;longitude&gt;136.646545&lt;/longitude&gt;
&lt;latitude&gt;36.542999&lt;/latitude&gt;
&lt;iLvl&gt;8&lt;/iLvl&gt;
&lt;/candidate&gt;
&lt;/results&gt;
</v>
      </c>
      <c r="F353" cm="1">
        <f t="array" ref="F353">INDEX(_xlfn.FILTERXML(E353,"//latitude"),1)</f>
        <v>36.542999000000002</v>
      </c>
      <c r="G353" cm="1">
        <f t="array" ref="G353">INDEX(_xlfn.FILTERXML(E353,"//longitude"),1)</f>
        <v>136.646545</v>
      </c>
      <c r="H353">
        <v>36.542999000000002</v>
      </c>
      <c r="I353">
        <v>136.646545</v>
      </c>
    </row>
    <row r="354" spans="1:9" x14ac:dyDescent="0.4">
      <c r="A354" t="s">
        <v>11</v>
      </c>
      <c r="B354" t="s">
        <v>342</v>
      </c>
      <c r="C354" t="str">
        <f t="shared" si="32"/>
        <v>大阪府堺市西区浜寺石津町中</v>
      </c>
      <c r="D354" s="2" t="str">
        <f t="shared" si="33"/>
        <v>http://geocode.csis.u-tokyo.ac.jp/cgi-bin/simple_geocode.cgi?charset=UTF8&amp;addr=%E5%A4%A7%E9%98%AA%E5%BA%9C%E5%A0%BA%E5%B8%82%E8%A5%BF%E5%8C%BA%E6%B5%9C%E5%AF%BA%E7%9F%B3%E6%B4%A5%E7%94%BA%E4%B8%AD</v>
      </c>
      <c r="E354" t="str">
        <f t="shared" si="34"/>
        <v xml:space="preserve">&lt;?xml version="1.0" encoding="UTF-8" ?&gt;
&lt;results&gt;
&lt;query&gt;大阪府堺市西区浜寺石津町中&lt;/query&gt;
&lt;geodetic&gt;wgs1984&lt;/geodetic&gt;
&lt;iConf&gt;4&lt;/iConf&gt;
&lt;converted&gt;大阪府堺市西区浜寺石津町中&lt;/converted&gt;
&lt;candidate&gt;
&lt;address&gt;大阪府/堺市/西区/浜寺石津町中一丁&lt;/address&gt;
&lt;longitude&gt;135.457138&lt;/longitude&gt;
&lt;latitude&gt;34.561989&lt;/latitude&gt;
&lt;iLvl&gt;5&lt;/iLvl&gt;
&lt;/candidate&gt;
&lt;candidate&gt;
&lt;address&gt;大阪府/堺市/西区/浜寺石津町中二丁&lt;/address&gt;
&lt;longitude&gt;135.456223&lt;/longitude&gt;
&lt;latitude&gt;34.560085&lt;/latitude&gt;
&lt;iLvl&gt;5&lt;/iLvl&gt;
&lt;/candidate&gt;
&lt;candidate&gt;
&lt;address&gt;大阪府/堺市/西区/浜寺石津町中三丁&lt;/address&gt;
&lt;longitude&gt;135.455399&lt;/longitude&gt;
&lt;latitude&gt;34.558159&lt;/latitude&gt;
&lt;iLvl&gt;5&lt;/iLvl&gt;
&lt;/candidate&gt;
&lt;candidate&gt;
&lt;address&gt;大阪府/堺市/西区/浜寺石津町中四丁&lt;/address&gt;
&lt;longitude&gt;135.452911&lt;/longitude&gt;
&lt;latitude&gt;34.556763&lt;/latitude&gt;
&lt;iLvl&gt;5&lt;/iLvl&gt;
&lt;/candidate&gt;
&lt;candidate&gt;
&lt;address&gt;大阪府/堺市/西区/浜寺石津町中五丁&lt;/address&gt;
&lt;longitude&gt;135.452164&lt;/longitude&gt;
&lt;latitude&gt;34.554344&lt;/latitude&gt;
&lt;iLvl&gt;5&lt;/iLvl&gt;
&lt;/candidate&gt;
&lt;/results&gt;
</v>
      </c>
      <c r="F354" cm="1">
        <f t="array" ref="F354">INDEX(_xlfn.FILTERXML(E354,"//latitude"),1)</f>
        <v>34.561988999999997</v>
      </c>
      <c r="G354" cm="1">
        <f t="array" ref="G354">INDEX(_xlfn.FILTERXML(E354,"//longitude"),1)</f>
        <v>135.45713799999999</v>
      </c>
      <c r="H354">
        <v>34.561988999999997</v>
      </c>
      <c r="I354">
        <v>135.45713799999999</v>
      </c>
    </row>
    <row r="355" spans="1:9" x14ac:dyDescent="0.4">
      <c r="A355" t="s">
        <v>85</v>
      </c>
      <c r="B355" t="s">
        <v>343</v>
      </c>
      <c r="C355" t="str">
        <f t="shared" si="32"/>
        <v>奈良県高市郡高取町丹生谷</v>
      </c>
      <c r="D355" s="2" t="str">
        <f t="shared" si="33"/>
        <v>http://geocode.csis.u-tokyo.ac.jp/cgi-bin/simple_geocode.cgi?charset=UTF8&amp;addr=%E5%A5%88%E8%89%AF%E7%9C%8C%E9%AB%98%E5%B8%82%E9%83%A1%E9%AB%98%E5%8F%96%E7%94%BA%E4%B8%B9%E7%94%9F%E8%B0%B7</v>
      </c>
      <c r="E355" t="str">
        <f t="shared" si="34"/>
        <v xml:space="preserve">&lt;?xml version="1.0" encoding="UTF-8" ?&gt;
&lt;results&gt;
&lt;query&gt;奈良県高市郡高取町丹生谷&lt;/query&gt;
&lt;geodetic&gt;wgs1984&lt;/geodetic&gt;
&lt;iConf&gt;5&lt;/iConf&gt;
&lt;converted&gt;奈良県高市郡高取町丹生谷&lt;/converted&gt;
&lt;candidate&gt;
&lt;address&gt;奈良県/高市郡/高取町/丹生谷&lt;/address&gt;
&lt;longitude&gt;135.766632&lt;/longitude&gt;
&lt;latitude&gt;34.428516&lt;/latitude&gt;
&lt;iLvl&gt;5&lt;/iLvl&gt;
&lt;/candidate&gt;
&lt;/results&gt;
</v>
      </c>
      <c r="F355" cm="1">
        <f t="array" ref="F355">INDEX(_xlfn.FILTERXML(E355,"//latitude"),1)</f>
        <v>34.428516000000002</v>
      </c>
      <c r="G355" cm="1">
        <f t="array" ref="G355">INDEX(_xlfn.FILTERXML(E355,"//longitude"),1)</f>
        <v>135.76663199999999</v>
      </c>
      <c r="H355">
        <v>34.428516000000002</v>
      </c>
      <c r="I355">
        <v>135.76663199999999</v>
      </c>
    </row>
    <row r="356" spans="1:9" x14ac:dyDescent="0.4">
      <c r="A356" t="s">
        <v>11</v>
      </c>
      <c r="B356" t="s">
        <v>344</v>
      </c>
      <c r="C356" t="str">
        <f t="shared" si="32"/>
        <v>大阪府大阪市北区</v>
      </c>
      <c r="D356" s="2" t="str">
        <f t="shared" si="33"/>
        <v>http://geocode.csis.u-tokyo.ac.jp/cgi-bin/simple_geocode.cgi?charset=UTF8&amp;addr=%E5%A4%A7%E9%98%AA%E5%BA%9C%E5%A4%A7%E9%98%AA%E5%B8%82%E5%8C%97%E5%8C%BA</v>
      </c>
      <c r="E356" t="str">
        <f t="shared" si="34"/>
        <v xml:space="preserve">&lt;?xml version="1.0" encoding="UTF-8" ?&gt;
&lt;results&gt;
&lt;query&gt;大阪府大阪市北区&lt;/query&gt;
&lt;geodetic&gt;wgs1984&lt;/geodetic&gt;
&lt;iConf&gt;5&lt;/iConf&gt;
&lt;converted&gt;大阪府大阪市北区&lt;/converted&gt;
&lt;candidate&gt;
&lt;address&gt;大阪府/大阪市/北区&lt;/address&gt;
&lt;longitude&gt;135.497513&lt;/longitude&gt;
&lt;latitude&gt;34.700562&lt;/latitude&gt;
&lt;iLvl&gt;4&lt;/iLvl&gt;
&lt;/candidate&gt;
&lt;/results&gt;
</v>
      </c>
      <c r="F356" cm="1">
        <f t="array" ref="F356">INDEX(_xlfn.FILTERXML(E356,"//latitude"),1)</f>
        <v>34.700561999999998</v>
      </c>
      <c r="G356" cm="1">
        <f t="array" ref="G356">INDEX(_xlfn.FILTERXML(E356,"//longitude"),1)</f>
        <v>135.497513</v>
      </c>
      <c r="H356">
        <v>34.700561999999998</v>
      </c>
      <c r="I356">
        <v>135.497513</v>
      </c>
    </row>
    <row r="357" spans="1:9" x14ac:dyDescent="0.4">
      <c r="A357" t="s">
        <v>9</v>
      </c>
      <c r="B357" t="s">
        <v>33</v>
      </c>
      <c r="C357" t="str">
        <f t="shared" si="32"/>
        <v>東京都世田谷区</v>
      </c>
      <c r="D357" s="2" t="str">
        <f t="shared" si="33"/>
        <v>http://geocode.csis.u-tokyo.ac.jp/cgi-bin/simple_geocode.cgi?charset=UTF8&amp;addr=%E6%9D%B1%E4%BA%AC%E9%83%BD%E4%B8%96%E7%94%B0%E8%B0%B7%E5%8C%BA</v>
      </c>
      <c r="E357" t="str">
        <f t="shared" si="34"/>
        <v xml:space="preserve">&lt;?xml version="1.0" encoding="UTF-8" ?&gt;
&lt;results&gt;
&lt;query&gt;東京都世田谷区&lt;/query&gt;
&lt;geodetic&gt;wgs1984&lt;/geodetic&gt;
&lt;iConf&gt;5&lt;/iConf&gt;
&lt;converted&gt;東京都世田谷区&lt;/converted&gt;
&lt;candidate&gt;
&lt;address&gt;東京都/世田谷区&lt;/address&gt;
&lt;longitude&gt;139.653214&lt;/longitude&gt;
&lt;latitude&gt;35.646481&lt;/latitude&gt;
&lt;iLvl&gt;3&lt;/iLvl&gt;
&lt;/candidate&gt;
&lt;/results&gt;
</v>
      </c>
      <c r="F357" cm="1">
        <f t="array" ref="F357">INDEX(_xlfn.FILTERXML(E357,"//latitude"),1)</f>
        <v>35.646481000000001</v>
      </c>
      <c r="G357" cm="1">
        <f t="array" ref="G357">INDEX(_xlfn.FILTERXML(E357,"//longitude"),1)</f>
        <v>139.65321399999999</v>
      </c>
      <c r="H357">
        <v>35.646481000000001</v>
      </c>
      <c r="I357">
        <v>139.65321399999999</v>
      </c>
    </row>
    <row r="358" spans="1:9" x14ac:dyDescent="0.4">
      <c r="A358" t="s">
        <v>9</v>
      </c>
      <c r="B358" t="s">
        <v>345</v>
      </c>
      <c r="C358" t="str">
        <f t="shared" si="32"/>
        <v>東京都千代田区麹町1丁目</v>
      </c>
      <c r="D358" s="2" t="str">
        <f t="shared" si="33"/>
        <v>http://geocode.csis.u-tokyo.ac.jp/cgi-bin/simple_geocode.cgi?charset=UTF8&amp;addr=%E6%9D%B1%E4%BA%AC%E9%83%BD%E5%8D%83%E4%BB%A3%E7%94%B0%E5%8C%BA%E9%BA%B9%E7%94%BA1%E4%B8%81%E7%9B%AE</v>
      </c>
      <c r="E358" t="str">
        <f t="shared" si="34"/>
        <v xml:space="preserve">&lt;?xml version="1.0" encoding="UTF-8" ?&gt;
&lt;results&gt;
&lt;query&gt;東京都千代田区麹町1丁目&lt;/query&gt;
&lt;geodetic&gt;wgs1984&lt;/geodetic&gt;
&lt;iConf&gt;5&lt;/iConf&gt;
&lt;converted&gt;東京都千代田区麹町1丁目&lt;/converted&gt;
&lt;candidate&gt;
&lt;address&gt;東京都/千代田区/麹町/一丁目&lt;/address&gt;
&lt;longitude&gt;139.742920&lt;/longitude&gt;
&lt;latitude&gt;35.684448&lt;/latitude&gt;
&lt;iLvl&gt;6&lt;/iLvl&gt;
&lt;/candidate&gt;
&lt;/results&gt;
</v>
      </c>
      <c r="F358" cm="1">
        <f t="array" ref="F358">INDEX(_xlfn.FILTERXML(E358,"//latitude"),1)</f>
        <v>35.684448000000003</v>
      </c>
      <c r="G358" cm="1">
        <f t="array" ref="G358">INDEX(_xlfn.FILTERXML(E358,"//longitude"),1)</f>
        <v>139.74292</v>
      </c>
      <c r="H358">
        <v>35.684448000000003</v>
      </c>
      <c r="I358">
        <v>139.74292</v>
      </c>
    </row>
    <row r="359" spans="1:9" x14ac:dyDescent="0.4">
      <c r="A359" t="s">
        <v>150</v>
      </c>
      <c r="B359" t="s">
        <v>346</v>
      </c>
      <c r="C359" t="str">
        <f t="shared" si="32"/>
        <v>群馬県安中市古屋</v>
      </c>
      <c r="D359" s="2" t="str">
        <f t="shared" si="33"/>
        <v>http://geocode.csis.u-tokyo.ac.jp/cgi-bin/simple_geocode.cgi?charset=UTF8&amp;addr=%E7%BE%A4%E9%A6%AC%E7%9C%8C%E5%AE%89%E4%B8%AD%E5%B8%82%E5%8F%A4%E5%B1%8B</v>
      </c>
      <c r="E359" t="str">
        <f t="shared" si="34"/>
        <v xml:space="preserve">&lt;?xml version="1.0" encoding="UTF-8" ?&gt;
&lt;results&gt;
&lt;query&gt;群馬県安中市古屋&lt;/query&gt;
&lt;geodetic&gt;wgs1984&lt;/geodetic&gt;
&lt;iConf&gt;5&lt;/iConf&gt;
&lt;converted&gt;群馬県安中市古屋&lt;/converted&gt;
&lt;candidate&gt;
&lt;address&gt;群馬県/安中市/古屋&lt;/address&gt;
&lt;longitude&gt;138.869675&lt;/longitude&gt;
&lt;latitude&gt;36.325642&lt;/latitude&gt;
&lt;iLvl&gt;5&lt;/iLvl&gt;
&lt;/candidate&gt;
&lt;/results&gt;
</v>
      </c>
      <c r="F359" cm="1">
        <f t="array" ref="F359">INDEX(_xlfn.FILTERXML(E359,"//latitude"),1)</f>
        <v>36.325642000000002</v>
      </c>
      <c r="G359" cm="1">
        <f t="array" ref="G359">INDEX(_xlfn.FILTERXML(E359,"//longitude"),1)</f>
        <v>138.869675</v>
      </c>
      <c r="H359">
        <v>36.325642000000002</v>
      </c>
      <c r="I359">
        <v>138.869675</v>
      </c>
    </row>
    <row r="360" spans="1:9" x14ac:dyDescent="0.4">
      <c r="A360" t="s">
        <v>16</v>
      </c>
      <c r="B360" t="s">
        <v>347</v>
      </c>
      <c r="C360" t="str">
        <f t="shared" si="32"/>
        <v>千葉県習志野市津田沼</v>
      </c>
      <c r="D360" s="2" t="str">
        <f t="shared" si="33"/>
        <v>http://geocode.csis.u-tokyo.ac.jp/cgi-bin/simple_geocode.cgi?charset=UTF8&amp;addr=%E5%8D%83%E8%91%89%E7%9C%8C%E7%BF%92%E5%BF%97%E9%87%8E%E5%B8%82%E6%B4%A5%E7%94%B0%E6%B2%BC</v>
      </c>
      <c r="E360" t="str">
        <f t="shared" si="34"/>
        <v xml:space="preserve">&lt;?xml version="1.0" encoding="UTF-8" ?&gt;
&lt;results&gt;
&lt;query&gt;千葉県習志野市津田沼&lt;/query&gt;
&lt;geodetic&gt;wgs1984&lt;/geodetic&gt;
&lt;iConf&gt;5&lt;/iConf&gt;
&lt;converted&gt;千葉県習志野市津田沼&lt;/converted&gt;
&lt;candidate&gt;
&lt;address&gt;千葉県/習志野市/津田沼&lt;/address&gt;
&lt;longitude&gt;140.024994&lt;/longitude&gt;
&lt;latitude&gt;35.689049&lt;/latitude&gt;
&lt;iLvl&gt;5&lt;/iLvl&gt;
&lt;/candidate&gt;
&lt;/results&gt;
</v>
      </c>
      <c r="F360" cm="1">
        <f t="array" ref="F360">INDEX(_xlfn.FILTERXML(E360,"//latitude"),1)</f>
        <v>35.689048999999997</v>
      </c>
      <c r="G360" cm="1">
        <f t="array" ref="G360">INDEX(_xlfn.FILTERXML(E360,"//longitude"),1)</f>
        <v>140.02499399999999</v>
      </c>
      <c r="H360">
        <v>35.689048999999997</v>
      </c>
      <c r="I360">
        <v>140.02499399999999</v>
      </c>
    </row>
    <row r="361" spans="1:9" x14ac:dyDescent="0.4">
      <c r="A361" t="s">
        <v>9</v>
      </c>
      <c r="B361" t="s">
        <v>348</v>
      </c>
      <c r="C361" t="str">
        <f t="shared" si="32"/>
        <v>東京都渋谷区桜丘町</v>
      </c>
      <c r="D361" s="2" t="str">
        <f t="shared" si="33"/>
        <v>http://geocode.csis.u-tokyo.ac.jp/cgi-bin/simple_geocode.cgi?charset=UTF8&amp;addr=%E6%9D%B1%E4%BA%AC%E9%83%BD%E6%B8%8B%E8%B0%B7%E5%8C%BA%E6%A1%9C%E4%B8%98%E7%94%BA</v>
      </c>
      <c r="E361" t="str">
        <f t="shared" si="34"/>
        <v xml:space="preserve">&lt;?xml version="1.0" encoding="UTF-8" ?&gt;
&lt;results&gt;
&lt;query&gt;東京都渋谷区桜丘町&lt;/query&gt;
&lt;geodetic&gt;wgs1984&lt;/geodetic&gt;
&lt;iConf&gt;5&lt;/iConf&gt;
&lt;converted&gt;東京都渋谷区桜丘町&lt;/converted&gt;
&lt;candidate&gt;
&lt;address&gt;東京都/渋谷区/桜丘町&lt;/address&gt;
&lt;longitude&gt;139.700638&lt;/longitude&gt;
&lt;latitude&gt;35.655643&lt;/latitude&gt;
&lt;iLvl&gt;5&lt;/iLvl&gt;
&lt;/candidate&gt;
&lt;/results&gt;
</v>
      </c>
      <c r="F361" cm="1">
        <f t="array" ref="F361">INDEX(_xlfn.FILTERXML(E361,"//latitude"),1)</f>
        <v>35.655642999999998</v>
      </c>
      <c r="G361" cm="1">
        <f t="array" ref="G361">INDEX(_xlfn.FILTERXML(E361,"//longitude"),1)</f>
        <v>139.700638</v>
      </c>
      <c r="H361">
        <v>35.655642999999998</v>
      </c>
      <c r="I361">
        <v>139.700638</v>
      </c>
    </row>
    <row r="362" spans="1:9" x14ac:dyDescent="0.4">
      <c r="A362" t="s">
        <v>126</v>
      </c>
      <c r="B362" t="s">
        <v>349</v>
      </c>
      <c r="C362" t="str">
        <f t="shared" si="32"/>
        <v>鳥取県鳥取市</v>
      </c>
      <c r="D362" s="2" t="str">
        <f t="shared" si="33"/>
        <v>http://geocode.csis.u-tokyo.ac.jp/cgi-bin/simple_geocode.cgi?charset=UTF8&amp;addr=%E9%B3%A5%E5%8F%96%E7%9C%8C%E9%B3%A5%E5%8F%96%E5%B8%82</v>
      </c>
      <c r="E362" t="str">
        <f t="shared" si="34"/>
        <v xml:space="preserve">&lt;?xml version="1.0" encoding="UTF-8" ?&gt;
&lt;results&gt;
&lt;query&gt;鳥取県鳥取市&lt;/query&gt;
&lt;geodetic&gt;wgs1984&lt;/geodetic&gt;
&lt;iConf&gt;5&lt;/iConf&gt;
&lt;converted&gt;鳥取県鳥取市&lt;/converted&gt;
&lt;candidate&gt;
&lt;address&gt;鳥取県/鳥取市&lt;/address&gt;
&lt;longitude&gt;134.235092&lt;/longitude&gt;
&lt;latitude&gt;35.501133&lt;/latitude&gt;
&lt;iLvl&gt;3&lt;/iLvl&gt;
&lt;/candidate&gt;
&lt;/results&gt;
</v>
      </c>
      <c r="F362" cm="1">
        <f t="array" ref="F362">INDEX(_xlfn.FILTERXML(E362,"//latitude"),1)</f>
        <v>35.501133000000003</v>
      </c>
      <c r="G362" cm="1">
        <f t="array" ref="G362">INDEX(_xlfn.FILTERXML(E362,"//longitude"),1)</f>
        <v>134.23509200000001</v>
      </c>
      <c r="H362">
        <v>35.501133000000003</v>
      </c>
      <c r="I362">
        <v>134.23509200000001</v>
      </c>
    </row>
    <row r="363" spans="1:9" x14ac:dyDescent="0.4">
      <c r="A363" t="s">
        <v>16</v>
      </c>
      <c r="B363" t="s">
        <v>350</v>
      </c>
      <c r="C363" t="str">
        <f t="shared" si="32"/>
        <v>千葉県市川市東菅野</v>
      </c>
      <c r="D363" s="2" t="str">
        <f t="shared" si="33"/>
        <v>http://geocode.csis.u-tokyo.ac.jp/cgi-bin/simple_geocode.cgi?charset=UTF8&amp;addr=%E5%8D%83%E8%91%89%E7%9C%8C%E5%B8%82%E5%B7%9D%E5%B8%82%E6%9D%B1%E8%8F%85%E9%87%8E</v>
      </c>
      <c r="E363" t="str">
        <f t="shared" si="34"/>
        <v xml:space="preserve">&lt;?xml version="1.0" encoding="UTF-8" ?&gt;
&lt;results&gt;
&lt;query&gt;千葉県市川市東菅野&lt;/query&gt;
&lt;geodetic&gt;wgs1984&lt;/geodetic&gt;
&lt;iConf&gt;5&lt;/iConf&gt;
&lt;converted&gt;千葉県市川市東菅野&lt;/converted&gt;
&lt;candidate&gt;
&lt;address&gt;千葉県/市川市/東菅野&lt;/address&gt;
&lt;longitude&gt;139.930893&lt;/longitude&gt;
&lt;latitude&gt;35.728287&lt;/latitude&gt;
&lt;iLvl&gt;5&lt;/iLvl&gt;
&lt;/candidate&gt;
&lt;/results&gt;
</v>
      </c>
      <c r="F363" cm="1">
        <f t="array" ref="F363">INDEX(_xlfn.FILTERXML(E363,"//latitude"),1)</f>
        <v>35.728287000000002</v>
      </c>
      <c r="G363" cm="1">
        <f t="array" ref="G363">INDEX(_xlfn.FILTERXML(E363,"//longitude"),1)</f>
        <v>139.930893</v>
      </c>
      <c r="H363">
        <v>35.728287000000002</v>
      </c>
      <c r="I363">
        <v>139.930893</v>
      </c>
    </row>
    <row r="364" spans="1:9" x14ac:dyDescent="0.4">
      <c r="A364" t="s">
        <v>13</v>
      </c>
      <c r="B364" t="s">
        <v>351</v>
      </c>
      <c r="C364" t="str">
        <f t="shared" si="32"/>
        <v>兵庫県明石市大久保町</v>
      </c>
      <c r="D364" s="2" t="str">
        <f t="shared" si="33"/>
        <v>http://geocode.csis.u-tokyo.ac.jp/cgi-bin/simple_geocode.cgi?charset=UTF8&amp;addr=%E5%85%B5%E5%BA%AB%E7%9C%8C%E6%98%8E%E7%9F%B3%E5%B8%82%E5%A4%A7%E4%B9%85%E4%BF%9D%E7%94%BA</v>
      </c>
      <c r="E364" t="str">
        <f t="shared" si="34"/>
        <v xml:space="preserve">&lt;?xml version="1.0" encoding="UTF-8" ?&gt;
&lt;results&gt;
&lt;query&gt;兵庫県明石市大久保町&lt;/query&gt;
&lt;geodetic&gt;wgs1984&lt;/geodetic&gt;
&lt;iConf&gt;5&lt;/iConf&gt;
&lt;converted&gt;兵庫県明石市大久保町&lt;/converted&gt;
&lt;candidate&gt;
&lt;address&gt;兵庫県/明石市/大久保町&lt;/address&gt;
&lt;longitude&gt;134.933960&lt;/longitude&gt;
&lt;latitude&gt;34.684349&lt;/latitude&gt;
&lt;iLvl&gt;0&lt;/iLvl&gt;
&lt;/candidate&gt;
&lt;/results&gt;
</v>
      </c>
      <c r="F364" cm="1">
        <f t="array" ref="F364">INDEX(_xlfn.FILTERXML(E364,"//latitude"),1)</f>
        <v>34.684348999999997</v>
      </c>
      <c r="G364" cm="1">
        <f t="array" ref="G364">INDEX(_xlfn.FILTERXML(E364,"//longitude"),1)</f>
        <v>134.93396000000001</v>
      </c>
      <c r="H364">
        <v>34.684348999999997</v>
      </c>
      <c r="I364">
        <v>134.93396000000001</v>
      </c>
    </row>
    <row r="365" spans="1:9" x14ac:dyDescent="0.4">
      <c r="A365" t="s">
        <v>9</v>
      </c>
      <c r="B365" t="s">
        <v>352</v>
      </c>
      <c r="C365" t="str">
        <f t="shared" si="32"/>
        <v>東京都江戸川区東葛西6</v>
      </c>
      <c r="D365" s="2" t="str">
        <f t="shared" si="33"/>
        <v>http://geocode.csis.u-tokyo.ac.jp/cgi-bin/simple_geocode.cgi?charset=UTF8&amp;addr=%E6%9D%B1%E4%BA%AC%E9%83%BD%E6%B1%9F%E6%88%B8%E5%B7%9D%E5%8C%BA%E6%9D%B1%E8%91%9B%E8%A5%BF6</v>
      </c>
      <c r="E365" t="str">
        <f t="shared" si="34"/>
        <v xml:space="preserve">&lt;?xml version="1.0" encoding="UTF-8" ?&gt;
&lt;results&gt;
&lt;query&gt;東京都江戸川区東葛西6&lt;/query&gt;
&lt;geodetic&gt;wgs1984&lt;/geodetic&gt;
&lt;iConf&gt;5&lt;/iConf&gt;
&lt;converted&gt;東京都江戸川区東葛西6&lt;/converted&gt;
&lt;candidate&gt;
&lt;address&gt;東京都/江戸川区/東葛西/六丁目&lt;/address&gt;
&lt;longitude&gt;139.877365&lt;/longitude&gt;
&lt;latitude&gt;35.661366&lt;/latitude&gt;
&lt;iLvl&gt;6&lt;/iLvl&gt;
&lt;/candidate&gt;
&lt;/results&gt;
</v>
      </c>
      <c r="F365" cm="1">
        <f t="array" ref="F365">INDEX(_xlfn.FILTERXML(E365,"//latitude"),1)</f>
        <v>35.661366000000001</v>
      </c>
      <c r="G365" cm="1">
        <f t="array" ref="G365">INDEX(_xlfn.FILTERXML(E365,"//longitude"),1)</f>
        <v>139.877365</v>
      </c>
      <c r="H365">
        <v>35.661366000000001</v>
      </c>
      <c r="I365">
        <v>139.877365</v>
      </c>
    </row>
    <row r="366" spans="1:9" x14ac:dyDescent="0.4">
      <c r="A366" t="s">
        <v>15</v>
      </c>
      <c r="B366" t="s">
        <v>353</v>
      </c>
      <c r="C366" t="str">
        <f t="shared" si="32"/>
        <v>愛知県知多郡南知多町</v>
      </c>
      <c r="D366" s="2" t="str">
        <f t="shared" si="33"/>
        <v>http://geocode.csis.u-tokyo.ac.jp/cgi-bin/simple_geocode.cgi?charset=UTF8&amp;addr=%E6%84%9B%E7%9F%A5%E7%9C%8C%E7%9F%A5%E5%A4%9A%E9%83%A1%E5%8D%97%E7%9F%A5%E5%A4%9A%E7%94%BA</v>
      </c>
      <c r="E366" t="str">
        <f t="shared" si="34"/>
        <v xml:space="preserve">&lt;?xml version="1.0" encoding="UTF-8" ?&gt;
&lt;results&gt;
&lt;query&gt;愛知県知多郡南知多町&lt;/query&gt;
&lt;geodetic&gt;wgs1984&lt;/geodetic&gt;
&lt;iConf&gt;5&lt;/iConf&gt;
&lt;converted&gt;愛知県知多郡南知多町&lt;/converted&gt;
&lt;candidate&gt;
&lt;address&gt;愛知県/知多郡/南知多町&lt;/address&gt;
&lt;longitude&gt;136.929932&lt;/longitude&gt;
&lt;latitude&gt;34.715168&lt;/latitude&gt;
&lt;iLvl&gt;3&lt;/iLvl&gt;
&lt;/candidate&gt;
&lt;/results&gt;
</v>
      </c>
      <c r="F366" cm="1">
        <f t="array" ref="F366">INDEX(_xlfn.FILTERXML(E366,"//latitude"),1)</f>
        <v>34.715167999999998</v>
      </c>
      <c r="G366" cm="1">
        <f t="array" ref="G366">INDEX(_xlfn.FILTERXML(E366,"//longitude"),1)</f>
        <v>136.92993200000001</v>
      </c>
      <c r="H366">
        <v>34.715167999999998</v>
      </c>
      <c r="I366">
        <v>136.92993200000001</v>
      </c>
    </row>
    <row r="367" spans="1:9" x14ac:dyDescent="0.4">
      <c r="A367" t="s">
        <v>10</v>
      </c>
      <c r="B367" t="s">
        <v>354</v>
      </c>
      <c r="C367" t="str">
        <f t="shared" si="32"/>
        <v>神奈川県横浜市青葉区新石川</v>
      </c>
      <c r="D367" s="2" t="str">
        <f t="shared" si="33"/>
        <v>http://geocode.csis.u-tokyo.ac.jp/cgi-bin/simple_geocode.cgi?charset=UTF8&amp;addr=%E7%A5%9E%E5%A5%88%E5%B7%9D%E7%9C%8C%E6%A8%AA%E6%B5%9C%E5%B8%82%E9%9D%92%E8%91%89%E5%8C%BA%E6%96%B0%E7%9F%B3%E5%B7%9D</v>
      </c>
      <c r="E367" t="str">
        <f t="shared" si="34"/>
        <v xml:space="preserve">&lt;?xml version="1.0" encoding="UTF-8" ?&gt;
&lt;results&gt;
&lt;query&gt;神奈川県横浜市青葉区新石川&lt;/query&gt;
&lt;geodetic&gt;wgs1984&lt;/geodetic&gt;
&lt;iConf&gt;5&lt;/iConf&gt;
&lt;converted&gt;神奈川県横浜市青葉区新石川&lt;/converted&gt;
&lt;candidate&gt;
&lt;address&gt;神奈川県/横浜市/青葉区/新石川&lt;/address&gt;
&lt;longitude&gt;139.557877&lt;/longitude&gt;
&lt;latitude&gt;35.567936&lt;/latitude&gt;
&lt;iLvl&gt;5&lt;/iLvl&gt;
&lt;/candidate&gt;
&lt;/results&gt;
</v>
      </c>
      <c r="F367" cm="1">
        <f t="array" ref="F367">INDEX(_xlfn.FILTERXML(E367,"//latitude"),1)</f>
        <v>35.567936000000003</v>
      </c>
      <c r="G367" cm="1">
        <f t="array" ref="G367">INDEX(_xlfn.FILTERXML(E367,"//longitude"),1)</f>
        <v>139.55787699999999</v>
      </c>
      <c r="H367">
        <v>35.567936000000003</v>
      </c>
      <c r="I367">
        <v>139.55787699999999</v>
      </c>
    </row>
    <row r="368" spans="1:9" x14ac:dyDescent="0.4">
      <c r="A368" t="s">
        <v>10</v>
      </c>
      <c r="B368" t="s">
        <v>355</v>
      </c>
      <c r="C368" t="str">
        <f t="shared" si="32"/>
        <v>神奈川県川崎市高津区溝口</v>
      </c>
      <c r="D368" s="2" t="str">
        <f t="shared" si="33"/>
        <v>http://geocode.csis.u-tokyo.ac.jp/cgi-bin/simple_geocode.cgi?charset=UTF8&amp;addr=%E7%A5%9E%E5%A5%88%E5%B7%9D%E7%9C%8C%E5%B7%9D%E5%B4%8E%E5%B8%82%E9%AB%98%E6%B4%A5%E5%8C%BA%E6%BA%9D%E5%8F%A3</v>
      </c>
      <c r="E368" t="str">
        <f t="shared" si="34"/>
        <v xml:space="preserve">&lt;?xml version="1.0" encoding="UTF-8" ?&gt;
&lt;results&gt;
&lt;query&gt;神奈川県川崎市高津区溝口&lt;/query&gt;
&lt;geodetic&gt;wgs1984&lt;/geodetic&gt;
&lt;iConf&gt;5&lt;/iConf&gt;
&lt;converted&gt;神奈川県川崎市高津区溝口&lt;/converted&gt;
&lt;candidate&gt;
&lt;address&gt;神奈川県/川崎市/高津区/溝口&lt;/address&gt;
&lt;longitude&gt;139.613205&lt;/longitude&gt;
&lt;latitude&gt;35.599800&lt;/latitude&gt;
&lt;iLvl&gt;5&lt;/iLvl&gt;
&lt;/candidate&gt;
&lt;/results&gt;
</v>
      </c>
      <c r="F368" cm="1">
        <f t="array" ref="F368">INDEX(_xlfn.FILTERXML(E368,"//latitude"),1)</f>
        <v>35.599800000000002</v>
      </c>
      <c r="G368" cm="1">
        <f t="array" ref="G368">INDEX(_xlfn.FILTERXML(E368,"//longitude"),1)</f>
        <v>139.61320499999999</v>
      </c>
      <c r="H368">
        <v>35.599800000000002</v>
      </c>
      <c r="I368">
        <v>139.61320499999999</v>
      </c>
    </row>
    <row r="369" spans="1:9" x14ac:dyDescent="0.4">
      <c r="A369" t="s">
        <v>9</v>
      </c>
      <c r="B369" t="s">
        <v>356</v>
      </c>
      <c r="C369" t="str">
        <f t="shared" si="32"/>
        <v>東京都世田谷区松原</v>
      </c>
      <c r="D369" s="2" t="str">
        <f t="shared" si="33"/>
        <v>http://geocode.csis.u-tokyo.ac.jp/cgi-bin/simple_geocode.cgi?charset=UTF8&amp;addr=%E6%9D%B1%E4%BA%AC%E9%83%BD%E4%B8%96%E7%94%B0%E8%B0%B7%E5%8C%BA%E6%9D%BE%E5%8E%9F</v>
      </c>
      <c r="E369" t="str">
        <f t="shared" si="34"/>
        <v xml:space="preserve">&lt;?xml version="1.0" encoding="UTF-8" ?&gt;
&lt;results&gt;
&lt;query&gt;東京都世田谷区松原&lt;/query&gt;
&lt;geodetic&gt;wgs1984&lt;/geodetic&gt;
&lt;iConf&gt;5&lt;/iConf&gt;
&lt;converted&gt;東京都世田谷区松原&lt;/converted&gt;
&lt;candidate&gt;
&lt;address&gt;東京都/世田谷区/松原&lt;/address&gt;
&lt;longitude&gt;139.653305&lt;/longitude&gt;
&lt;latitude&gt;35.668163&lt;/latitude&gt;
&lt;iLvl&gt;5&lt;/iLvl&gt;
&lt;/candidate&gt;
&lt;/results&gt;
</v>
      </c>
      <c r="F369" cm="1">
        <f t="array" ref="F369">INDEX(_xlfn.FILTERXML(E369,"//latitude"),1)</f>
        <v>35.668163</v>
      </c>
      <c r="G369" cm="1">
        <f t="array" ref="G369">INDEX(_xlfn.FILTERXML(E369,"//longitude"),1)</f>
        <v>139.65330499999999</v>
      </c>
      <c r="H369">
        <v>35.668163</v>
      </c>
      <c r="I369">
        <v>139.65330499999999</v>
      </c>
    </row>
    <row r="370" spans="1:9" x14ac:dyDescent="0.4">
      <c r="A370" t="s">
        <v>15</v>
      </c>
      <c r="B370" t="s">
        <v>357</v>
      </c>
      <c r="C370" t="str">
        <f t="shared" si="32"/>
        <v>愛知県稲沢市祖父江町山崎中屋敷</v>
      </c>
      <c r="D370" s="2" t="str">
        <f t="shared" si="33"/>
        <v>http://geocode.csis.u-tokyo.ac.jp/cgi-bin/simple_geocode.cgi?charset=UTF8&amp;addr=%E6%84%9B%E7%9F%A5%E7%9C%8C%E7%A8%B2%E6%B2%A2%E5%B8%82%E7%A5%96%E7%88%B6%E6%B1%9F%E7%94%BA%E5%B1%B1%E5%B4%8E%E4%B8%AD%E5%B1%8B%E6%95%B7</v>
      </c>
      <c r="E370" t="str">
        <f t="shared" si="34"/>
        <v xml:space="preserve">&lt;?xml version="1.0" encoding="UTF-8" ?&gt;
&lt;results&gt;
&lt;query&gt;愛知県稲沢市祖父江町山崎中屋敷&lt;/query&gt;
&lt;geodetic&gt;wgs1984&lt;/geodetic&gt;
&lt;iConf&gt;5&lt;/iConf&gt;
&lt;converted&gt;愛知県稲沢市祖父江町山崎中屋敷&lt;/converted&gt;
&lt;candidate&gt;
&lt;address&gt;愛知県/稲沢市/祖父江町山崎/中屋敷&lt;/address&gt;
&lt;longitude&gt;136.735535&lt;/longitude&gt;
&lt;latitude&gt;35.258278&lt;/latitude&gt;
&lt;iLvl&gt;6&lt;/iLvl&gt;
&lt;/candidate&gt;
&lt;/results&gt;
</v>
      </c>
      <c r="F370" cm="1">
        <f t="array" ref="F370">INDEX(_xlfn.FILTERXML(E370,"//latitude"),1)</f>
        <v>35.258277999999997</v>
      </c>
      <c r="G370" cm="1">
        <f t="array" ref="G370">INDEX(_xlfn.FILTERXML(E370,"//longitude"),1)</f>
        <v>136.735535</v>
      </c>
      <c r="H370">
        <v>35.258277999999997</v>
      </c>
      <c r="I370">
        <v>136.735535</v>
      </c>
    </row>
    <row r="371" spans="1:9" x14ac:dyDescent="0.4">
      <c r="A371" t="s">
        <v>13</v>
      </c>
      <c r="B371" t="s">
        <v>358</v>
      </c>
      <c r="C371" t="str">
        <f t="shared" si="32"/>
        <v>兵庫県加古川市加古川町稲屋</v>
      </c>
      <c r="D371" s="2" t="str">
        <f t="shared" si="33"/>
        <v>http://geocode.csis.u-tokyo.ac.jp/cgi-bin/simple_geocode.cgi?charset=UTF8&amp;addr=%E5%85%B5%E5%BA%AB%E7%9C%8C%E5%8A%A0%E5%8F%A4%E5%B7%9D%E5%B8%82%E5%8A%A0%E5%8F%A4%E5%B7%9D%E7%94%BA%E7%A8%B2%E5%B1%8B</v>
      </c>
      <c r="E371" t="str">
        <f t="shared" si="34"/>
        <v xml:space="preserve">&lt;?xml version="1.0" encoding="UTF-8" ?&gt;
&lt;results&gt;
&lt;query&gt;兵庫県加古川市加古川町稲屋&lt;/query&gt;
&lt;geodetic&gt;wgs1984&lt;/geodetic&gt;
&lt;iConf&gt;5&lt;/iConf&gt;
&lt;converted&gt;兵庫県加古川市加古川町稲屋&lt;/converted&gt;
&lt;candidate&gt;
&lt;address&gt;兵庫県/加古川市/加古川町稲屋&lt;/address&gt;
&lt;longitude&gt;134.813049&lt;/longitude&gt;
&lt;latitude&gt;34.756199&lt;/latitude&gt;
&lt;iLvl&gt;5&lt;/iLvl&gt;
&lt;/candidate&gt;
&lt;/results&gt;
</v>
      </c>
      <c r="F371" cm="1">
        <f t="array" ref="F371">INDEX(_xlfn.FILTERXML(E371,"//latitude"),1)</f>
        <v>34.756199000000002</v>
      </c>
      <c r="G371" cm="1">
        <f t="array" ref="G371">INDEX(_xlfn.FILTERXML(E371,"//longitude"),1)</f>
        <v>134.81304900000001</v>
      </c>
      <c r="H371">
        <v>34.756199000000002</v>
      </c>
      <c r="I371">
        <v>134.81304900000001</v>
      </c>
    </row>
    <row r="372" spans="1:9" x14ac:dyDescent="0.4">
      <c r="A372" t="s">
        <v>32</v>
      </c>
      <c r="B372" t="s">
        <v>575</v>
      </c>
      <c r="C372" t="str">
        <f t="shared" si="32"/>
        <v>秋田県由利本荘市石脇字竜巻</v>
      </c>
      <c r="D372" s="2" t="str">
        <f t="shared" si="33"/>
        <v>http://geocode.csis.u-tokyo.ac.jp/cgi-bin/simple_geocode.cgi?charset=UTF8&amp;addr=%E7%A7%8B%E7%94%B0%E7%9C%8C%E7%94%B1%E5%88%A9%E6%9C%AC%E8%8D%98%E5%B8%82%E7%9F%B3%E8%84%87%E5%AD%97%E7%AB%9C%E5%B7%BB</v>
      </c>
      <c r="E372" t="str">
        <f t="shared" si="34"/>
        <v xml:space="preserve">&lt;?xml version="1.0" encoding="UTF-8" ?&gt;
&lt;results&gt;
&lt;query&gt;秋田県由利本荘市石脇字竜巻&lt;/query&gt;
&lt;geodetic&gt;wgs1984&lt;/geodetic&gt;
&lt;iConf&gt;5&lt;/iConf&gt;
&lt;converted&gt;秋田県由利本荘市石脇字竜巻&lt;/converted&gt;
&lt;candidate&gt;
&lt;address&gt;秋田県/由利本荘市/石脇/竜巻&lt;/address&gt;
&lt;longitude&gt;140.034576&lt;/longitude&gt;
&lt;latitude&gt;39.401054&lt;/latitude&gt;
&lt;iLvl&gt;6&lt;/iLvl&gt;
&lt;/candidate&gt;
&lt;/results&gt;
</v>
      </c>
      <c r="F372" cm="1">
        <f t="array" ref="F372">INDEX(_xlfn.FILTERXML(E372,"//latitude"),1)</f>
        <v>39.401054000000002</v>
      </c>
      <c r="G372" cm="1">
        <f t="array" ref="G372">INDEX(_xlfn.FILTERXML(E372,"//longitude"),1)</f>
        <v>140.03457599999999</v>
      </c>
      <c r="H372">
        <v>39.401054000000002</v>
      </c>
      <c r="I372">
        <v>140.03457599999999</v>
      </c>
    </row>
    <row r="373" spans="1:9" x14ac:dyDescent="0.4">
      <c r="A373" t="s">
        <v>23</v>
      </c>
      <c r="B373" t="s">
        <v>359</v>
      </c>
      <c r="C373" t="str">
        <f t="shared" si="32"/>
        <v>京都府八幡市男山金振</v>
      </c>
      <c r="D373" s="2" t="str">
        <f t="shared" si="33"/>
        <v>http://geocode.csis.u-tokyo.ac.jp/cgi-bin/simple_geocode.cgi?charset=UTF8&amp;addr=%E4%BA%AC%E9%83%BD%E5%BA%9C%E5%85%AB%E5%B9%A1%E5%B8%82%E7%94%B7%E5%B1%B1%E9%87%91%E6%8C%AF</v>
      </c>
      <c r="E373" t="str">
        <f t="shared" si="34"/>
        <v xml:space="preserve">&lt;?xml version="1.0" encoding="UTF-8" ?&gt;
&lt;results&gt;
&lt;query&gt;京都府八幡市男山金振&lt;/query&gt;
&lt;geodetic&gt;wgs1984&lt;/geodetic&gt;
&lt;iConf&gt;5&lt;/iConf&gt;
&lt;converted&gt;京都府八幡市男山金振&lt;/converted&gt;
&lt;candidate&gt;
&lt;address&gt;京都府/八幡市/男山金振&lt;/address&gt;
&lt;longitude&gt;135.692780&lt;/longitude&gt;
&lt;latitude&gt;34.857452&lt;/latitude&gt;
&lt;iLvl&gt;5&lt;/iLvl&gt;
&lt;/candidate&gt;
&lt;/results&gt;
</v>
      </c>
      <c r="F373" cm="1">
        <f t="array" ref="F373">INDEX(_xlfn.FILTERXML(E373,"//latitude"),1)</f>
        <v>34.857452000000002</v>
      </c>
      <c r="G373" cm="1">
        <f t="array" ref="G373">INDEX(_xlfn.FILTERXML(E373,"//longitude"),1)</f>
        <v>135.69278</v>
      </c>
      <c r="H373">
        <v>34.857452000000002</v>
      </c>
      <c r="I373">
        <v>135.69278</v>
      </c>
    </row>
    <row r="374" spans="1:9" x14ac:dyDescent="0.4">
      <c r="A374" t="s">
        <v>15</v>
      </c>
      <c r="B374" t="s">
        <v>360</v>
      </c>
      <c r="C374" t="str">
        <f t="shared" si="32"/>
        <v>愛知県名古屋市中川区富永３丁目</v>
      </c>
      <c r="D374" s="2" t="str">
        <f t="shared" si="33"/>
        <v>http://geocode.csis.u-tokyo.ac.jp/cgi-bin/simple_geocode.cgi?charset=UTF8&amp;addr=%E6%84%9B%E7%9F%A5%E7%9C%8C%E5%90%8D%E5%8F%A4%E5%B1%8B%E5%B8%82%E4%B8%AD%E5%B7%9D%E5%8C%BA%E5%AF%8C%E6%B0%B8%EF%BC%93%E4%B8%81%E7%9B%AE</v>
      </c>
      <c r="E374" t="str">
        <f t="shared" si="34"/>
        <v xml:space="preserve">&lt;?xml version="1.0" encoding="UTF-8" ?&gt;
&lt;results&gt;
&lt;query&gt;愛知県名古屋市中川区富永３丁目&lt;/query&gt;
&lt;geodetic&gt;wgs1984&lt;/geodetic&gt;
&lt;iConf&gt;5&lt;/iConf&gt;
&lt;converted&gt;愛知県名古屋市中川区富永３丁目&lt;/converted&gt;
&lt;candidate&gt;
&lt;address&gt;愛知県/名古屋市/中川区/富永/三丁目&lt;/address&gt;
&lt;longitude&gt;136.807602&lt;/longitude&gt;
&lt;latitude&gt;35.122887&lt;/latitude&gt;
&lt;iLvl&gt;6&lt;/iLvl&gt;
&lt;/candidate&gt;
&lt;/results&gt;
</v>
      </c>
      <c r="F374" cm="1">
        <f t="array" ref="F374">INDEX(_xlfn.FILTERXML(E374,"//latitude"),1)</f>
        <v>35.122886999999999</v>
      </c>
      <c r="G374" cm="1">
        <f t="array" ref="G374">INDEX(_xlfn.FILTERXML(E374,"//longitude"),1)</f>
        <v>136.807602</v>
      </c>
      <c r="H374">
        <v>35.122886999999999</v>
      </c>
      <c r="I374">
        <v>136.807602</v>
      </c>
    </row>
    <row r="375" spans="1:9" x14ac:dyDescent="0.4">
      <c r="A375" t="s">
        <v>9</v>
      </c>
      <c r="B375" t="s">
        <v>361</v>
      </c>
      <c r="C375" t="str">
        <f t="shared" si="32"/>
        <v>東京都東大和市狭山</v>
      </c>
      <c r="D375" s="2" t="str">
        <f t="shared" si="33"/>
        <v>http://geocode.csis.u-tokyo.ac.jp/cgi-bin/simple_geocode.cgi?charset=UTF8&amp;addr=%E6%9D%B1%E4%BA%AC%E9%83%BD%E6%9D%B1%E5%A4%A7%E5%92%8C%E5%B8%82%E7%8B%AD%E5%B1%B1</v>
      </c>
      <c r="E375" t="str">
        <f t="shared" si="34"/>
        <v xml:space="preserve">&lt;?xml version="1.0" encoding="UTF-8" ?&gt;
&lt;results&gt;
&lt;query&gt;東京都東大和市狭山&lt;/query&gt;
&lt;geodetic&gt;wgs1984&lt;/geodetic&gt;
&lt;iConf&gt;5&lt;/iConf&gt;
&lt;converted&gt;東京都東大和市狭山&lt;/converted&gt;
&lt;candidate&gt;
&lt;address&gt;東京都/東大和市/狭山&lt;/address&gt;
&lt;longitude&gt;139.436981&lt;/longitude&gt;
&lt;latitude&gt;35.759354&lt;/latitude&gt;
&lt;iLvl&gt;5&lt;/iLvl&gt;
&lt;/candidate&gt;
&lt;/results&gt;
</v>
      </c>
      <c r="F375" cm="1">
        <f t="array" ref="F375">INDEX(_xlfn.FILTERXML(E375,"//latitude"),1)</f>
        <v>35.759354000000002</v>
      </c>
      <c r="G375" cm="1">
        <f t="array" ref="G375">INDEX(_xlfn.FILTERXML(E375,"//longitude"),1)</f>
        <v>139.436981</v>
      </c>
      <c r="H375">
        <v>35.759354000000002</v>
      </c>
      <c r="I375">
        <v>139.436981</v>
      </c>
    </row>
    <row r="376" spans="1:9" x14ac:dyDescent="0.4">
      <c r="A376" t="s">
        <v>28</v>
      </c>
      <c r="B376" t="s">
        <v>362</v>
      </c>
      <c r="C376" t="str">
        <f t="shared" si="32"/>
        <v>三重県四日市市室山町</v>
      </c>
      <c r="D376" s="2" t="str">
        <f t="shared" si="33"/>
        <v>http://geocode.csis.u-tokyo.ac.jp/cgi-bin/simple_geocode.cgi?charset=UTF8&amp;addr=%E4%B8%89%E9%87%8D%E7%9C%8C%E5%9B%9B%E6%97%A5%E5%B8%82%E5%B8%82%E5%AE%A4%E5%B1%B1%E7%94%BA</v>
      </c>
      <c r="E376" t="str">
        <f t="shared" si="34"/>
        <v xml:space="preserve">&lt;?xml version="1.0" encoding="UTF-8" ?&gt;
&lt;results&gt;
&lt;query&gt;三重県四日市市室山町&lt;/query&gt;
&lt;geodetic&gt;wgs1984&lt;/geodetic&gt;
&lt;iConf&gt;5&lt;/iConf&gt;
&lt;converted&gt;三重県四日市市室山町&lt;/converted&gt;
&lt;candidate&gt;
&lt;address&gt;三重県/四日市市/室山町&lt;/address&gt;
&lt;longitude&gt;136.578094&lt;/longitude&gt;
&lt;latitude&gt;34.955994&lt;/latitude&gt;
&lt;iLvl&gt;5&lt;/iLvl&gt;
&lt;/candidate&gt;
&lt;/results&gt;
</v>
      </c>
      <c r="F376" cm="1">
        <f t="array" ref="F376">INDEX(_xlfn.FILTERXML(E376,"//latitude"),1)</f>
        <v>34.955993999999997</v>
      </c>
      <c r="G376" cm="1">
        <f t="array" ref="G376">INDEX(_xlfn.FILTERXML(E376,"//longitude"),1)</f>
        <v>136.57809399999999</v>
      </c>
      <c r="H376">
        <v>34.955993999999997</v>
      </c>
      <c r="I376">
        <v>136.57809399999999</v>
      </c>
    </row>
    <row r="377" spans="1:9" x14ac:dyDescent="0.4">
      <c r="A377" t="s">
        <v>10</v>
      </c>
      <c r="B377" t="s">
        <v>363</v>
      </c>
      <c r="C377" t="str">
        <f t="shared" si="32"/>
        <v>神奈川県相模原市緑区橋本3-22-10</v>
      </c>
      <c r="D377" s="2" t="str">
        <f t="shared" si="33"/>
        <v>http://geocode.csis.u-tokyo.ac.jp/cgi-bin/simple_geocode.cgi?charset=UTF8&amp;addr=%E7%A5%9E%E5%A5%88%E5%B7%9D%E7%9C%8C%E7%9B%B8%E6%A8%A1%E5%8E%9F%E5%B8%82%E7%B7%91%E5%8C%BA%E6%A9%8B%E6%9C%AC3-22-10</v>
      </c>
      <c r="E377" t="str">
        <f t="shared" si="34"/>
        <v xml:space="preserve">&lt;?xml version="1.0" encoding="UTF-8" ?&gt;
&lt;results&gt;
&lt;query&gt;神奈川県相模原市緑区橋本3-22-10&lt;/query&gt;
&lt;geodetic&gt;wgs1984&lt;/geodetic&gt;
&lt;iConf&gt;5&lt;/iConf&gt;
&lt;converted&gt;神奈川県相模原市緑区橋本3-22-10&lt;/converted&gt;
&lt;candidate&gt;
&lt;address&gt;神奈川県/相模原市/緑区/橋本/三丁目/２２番/１０号&lt;/address&gt;
&lt;longitude&gt;139.347748&lt;/longitude&gt;
&lt;latitude&gt;35.597111&lt;/latitude&gt;
&lt;iLvl&gt;8&lt;/iLvl&gt;
&lt;/candidate&gt;
&lt;/results&gt;
</v>
      </c>
      <c r="F377" cm="1">
        <f t="array" ref="F377">INDEX(_xlfn.FILTERXML(E377,"//latitude"),1)</f>
        <v>35.597110999999998</v>
      </c>
      <c r="G377" cm="1">
        <f t="array" ref="G377">INDEX(_xlfn.FILTERXML(E377,"//longitude"),1)</f>
        <v>139.347748</v>
      </c>
      <c r="H377">
        <v>35.597110999999998</v>
      </c>
      <c r="I377">
        <v>139.347748</v>
      </c>
    </row>
    <row r="378" spans="1:9" x14ac:dyDescent="0.4">
      <c r="A378" t="s">
        <v>13</v>
      </c>
      <c r="B378" t="s">
        <v>364</v>
      </c>
      <c r="C378" t="str">
        <f t="shared" si="32"/>
        <v>兵庫県神戸市西区玉津町西河原</v>
      </c>
      <c r="D378" s="2" t="str">
        <f t="shared" si="33"/>
        <v>http://geocode.csis.u-tokyo.ac.jp/cgi-bin/simple_geocode.cgi?charset=UTF8&amp;addr=%E5%85%B5%E5%BA%AB%E7%9C%8C%E7%A5%9E%E6%88%B8%E5%B8%82%E8%A5%BF%E5%8C%BA%E7%8E%89%E6%B4%A5%E7%94%BA%E8%A5%BF%E6%B2%B3%E5%8E%9F</v>
      </c>
      <c r="E378" t="str">
        <f t="shared" si="34"/>
        <v xml:space="preserve">&lt;?xml version="1.0" encoding="UTF-8" ?&gt;
&lt;results&gt;
&lt;query&gt;兵庫県神戸市西区玉津町西河原&lt;/query&gt;
&lt;geodetic&gt;wgs1984&lt;/geodetic&gt;
&lt;iConf&gt;5&lt;/iConf&gt;
&lt;converted&gt;兵庫県神戸市西区玉津町西河原&lt;/converted&gt;
&lt;candidate&gt;
&lt;address&gt;兵庫県/神戸市/西区/玉津町西河原&lt;/address&gt;
&lt;longitude&gt;134.988235&lt;/longitude&gt;
&lt;latitude&gt;34.665680&lt;/latitude&gt;
&lt;iLvl&gt;5&lt;/iLvl&gt;
&lt;/candidate&gt;
&lt;/results&gt;
</v>
      </c>
      <c r="F378" cm="1">
        <f t="array" ref="F378">INDEX(_xlfn.FILTERXML(E378,"//latitude"),1)</f>
        <v>34.665680000000002</v>
      </c>
      <c r="G378" cm="1">
        <f t="array" ref="G378">INDEX(_xlfn.FILTERXML(E378,"//longitude"),1)</f>
        <v>134.988235</v>
      </c>
      <c r="H378">
        <v>34.665680000000002</v>
      </c>
      <c r="I378">
        <v>134.988235</v>
      </c>
    </row>
    <row r="379" spans="1:9" x14ac:dyDescent="0.4">
      <c r="A379" t="s">
        <v>9</v>
      </c>
      <c r="B379" t="s">
        <v>365</v>
      </c>
      <c r="C379" t="str">
        <f t="shared" si="32"/>
        <v>東京都清瀬市上清戸</v>
      </c>
      <c r="D379" s="2" t="str">
        <f t="shared" si="33"/>
        <v>http://geocode.csis.u-tokyo.ac.jp/cgi-bin/simple_geocode.cgi?charset=UTF8&amp;addr=%E6%9D%B1%E4%BA%AC%E9%83%BD%E6%B8%85%E7%80%AC%E5%B8%82%E4%B8%8A%E6%B8%85%E6%88%B8</v>
      </c>
      <c r="E379" t="str">
        <f t="shared" si="34"/>
        <v xml:space="preserve">&lt;?xml version="1.0" encoding="UTF-8" ?&gt;
&lt;results&gt;
&lt;query&gt;東京都清瀬市上清戸&lt;/query&gt;
&lt;geodetic&gt;wgs1984&lt;/geodetic&gt;
&lt;iConf&gt;5&lt;/iConf&gt;
&lt;converted&gt;東京都清瀬市上清戸&lt;/converted&gt;
&lt;candidate&gt;
&lt;address&gt;東京都/清瀬市/上清戸&lt;/address&gt;
&lt;longitude&gt;139.523361&lt;/longitude&gt;
&lt;latitude&gt;35.775158&lt;/latitude&gt;
&lt;iLvl&gt;5&lt;/iLvl&gt;
&lt;/candidate&gt;
&lt;/results&gt;
</v>
      </c>
      <c r="F379" cm="1">
        <f t="array" ref="F379">INDEX(_xlfn.FILTERXML(E379,"//latitude"),1)</f>
        <v>35.775157999999998</v>
      </c>
      <c r="G379" cm="1">
        <f t="array" ref="G379">INDEX(_xlfn.FILTERXML(E379,"//longitude"),1)</f>
        <v>139.52336099999999</v>
      </c>
      <c r="H379">
        <v>35.775157999999998</v>
      </c>
      <c r="I379">
        <v>139.52336099999999</v>
      </c>
    </row>
    <row r="380" spans="1:9" x14ac:dyDescent="0.4">
      <c r="A380" t="s">
        <v>11</v>
      </c>
      <c r="B380" t="s">
        <v>366</v>
      </c>
      <c r="C380" t="str">
        <f t="shared" si="32"/>
        <v>大阪府高槻市上土室</v>
      </c>
      <c r="D380" s="2" t="str">
        <f t="shared" si="33"/>
        <v>http://geocode.csis.u-tokyo.ac.jp/cgi-bin/simple_geocode.cgi?charset=UTF8&amp;addr=%E5%A4%A7%E9%98%AA%E5%BA%9C%E9%AB%98%E6%A7%BB%E5%B8%82%E4%B8%8A%E5%9C%9F%E5%AE%A4</v>
      </c>
      <c r="E380" t="str">
        <f t="shared" si="34"/>
        <v xml:space="preserve">&lt;?xml version="1.0" encoding="UTF-8" ?&gt;
&lt;results&gt;
&lt;query&gt;大阪府高槻市上土室&lt;/query&gt;
&lt;geodetic&gt;wgs1984&lt;/geodetic&gt;
&lt;iConf&gt;5&lt;/iConf&gt;
&lt;converted&gt;大阪府高槻市上土室&lt;/converted&gt;
&lt;candidate&gt;
&lt;address&gt;大阪府/高槻市/上土室&lt;/address&gt;
&lt;longitude&gt;135.581467&lt;/longitude&gt;
&lt;latitude&gt;34.852943&lt;/latitude&gt;
&lt;iLvl&gt;5&lt;/iLvl&gt;
&lt;/candidate&gt;
&lt;/results&gt;
</v>
      </c>
      <c r="F380" cm="1">
        <f t="array" ref="F380">INDEX(_xlfn.FILTERXML(E380,"//latitude"),1)</f>
        <v>34.852943000000003</v>
      </c>
      <c r="G380" cm="1">
        <f t="array" ref="G380">INDEX(_xlfn.FILTERXML(E380,"//longitude"),1)</f>
        <v>135.581467</v>
      </c>
      <c r="H380">
        <v>34.852943000000003</v>
      </c>
      <c r="I380">
        <v>135.581467</v>
      </c>
    </row>
    <row r="381" spans="1:9" x14ac:dyDescent="0.4">
      <c r="A381" t="s">
        <v>12</v>
      </c>
      <c r="B381" t="s">
        <v>55</v>
      </c>
      <c r="C381" t="str">
        <f t="shared" si="32"/>
        <v>埼玉県新座市</v>
      </c>
      <c r="D381" s="2" t="str">
        <f t="shared" si="33"/>
        <v>http://geocode.csis.u-tokyo.ac.jp/cgi-bin/simple_geocode.cgi?charset=UTF8&amp;addr=%E5%9F%BC%E7%8E%89%E7%9C%8C%E6%96%B0%E5%BA%A7%E5%B8%82</v>
      </c>
      <c r="E381" t="str">
        <f t="shared" si="34"/>
        <v xml:space="preserve">&lt;?xml version="1.0" encoding="UTF-8" ?&gt;
&lt;results&gt;
&lt;query&gt;埼玉県新座市&lt;/query&gt;
&lt;geodetic&gt;wgs1984&lt;/geodetic&gt;
&lt;iConf&gt;5&lt;/iConf&gt;
&lt;converted&gt;埼玉県新座市&lt;/converted&gt;
&lt;candidate&gt;
&lt;address&gt;埼玉県/新座市&lt;/address&gt;
&lt;longitude&gt;139.565323&lt;/longitude&gt;
&lt;latitude&gt;35.793495&lt;/latitude&gt;
&lt;iLvl&gt;3&lt;/iLvl&gt;
&lt;/candidate&gt;
&lt;/results&gt;
</v>
      </c>
      <c r="F381" cm="1">
        <f t="array" ref="F381">INDEX(_xlfn.FILTERXML(E381,"//latitude"),1)</f>
        <v>35.793495</v>
      </c>
      <c r="G381" cm="1">
        <f t="array" ref="G381">INDEX(_xlfn.FILTERXML(E381,"//longitude"),1)</f>
        <v>139.56532300000001</v>
      </c>
      <c r="H381" s="3">
        <v>35.793495</v>
      </c>
      <c r="I381" s="3">
        <v>139.56532300000001</v>
      </c>
    </row>
    <row r="382" spans="1:9" x14ac:dyDescent="0.4">
      <c r="A382" t="s">
        <v>10</v>
      </c>
      <c r="B382" t="s">
        <v>367</v>
      </c>
      <c r="C382" t="str">
        <f t="shared" si="32"/>
        <v>神奈川県横浜市金沢区柴町391</v>
      </c>
      <c r="D382" s="2" t="str">
        <f t="shared" si="33"/>
        <v>http://geocode.csis.u-tokyo.ac.jp/cgi-bin/simple_geocode.cgi?charset=UTF8&amp;addr=%E7%A5%9E%E5%A5%88%E5%B7%9D%E7%9C%8C%E6%A8%AA%E6%B5%9C%E5%B8%82%E9%87%91%E6%B2%A2%E5%8C%BA%E6%9F%B4%E7%94%BA391</v>
      </c>
      <c r="E382" t="str">
        <f t="shared" si="34"/>
        <v xml:space="preserve">&lt;?xml version="1.0" encoding="UTF-8" ?&gt;
&lt;results&gt;
&lt;query&gt;神奈川県横浜市金沢区柴町391&lt;/query&gt;
&lt;geodetic&gt;wgs1984&lt;/geodetic&gt;
&lt;iConf&gt;5&lt;/iConf&gt;
&lt;converted&gt;神奈川県横浜市金沢区柴町391&lt;/converted&gt;
&lt;candidate&gt;
&lt;address&gt;神奈川県/横浜市/金沢区/柴町/３９１番地&lt;/address&gt;
&lt;longitude&gt;139.633530&lt;/longitude&gt;
&lt;latitude&gt;35.340927&lt;/latitude&gt;
&lt;iLvl&gt;7&lt;/iLvl&gt;
&lt;/candidate&gt;
&lt;/results&gt;
</v>
      </c>
      <c r="F382" cm="1">
        <f t="array" ref="F382">INDEX(_xlfn.FILTERXML(E382,"//latitude"),1)</f>
        <v>35.340927000000001</v>
      </c>
      <c r="G382" cm="1">
        <f t="array" ref="G382">INDEX(_xlfn.FILTERXML(E382,"//longitude"),1)</f>
        <v>139.63353000000001</v>
      </c>
      <c r="H382">
        <v>35.340927000000001</v>
      </c>
      <c r="I382">
        <v>139.63353000000001</v>
      </c>
    </row>
    <row r="383" spans="1:9" x14ac:dyDescent="0.4">
      <c r="A383" t="s">
        <v>10</v>
      </c>
      <c r="B383" t="s">
        <v>368</v>
      </c>
      <c r="C383" t="str">
        <f t="shared" si="32"/>
        <v>神奈川県横浜市港北区仲手原</v>
      </c>
      <c r="D383" s="2" t="str">
        <f t="shared" si="33"/>
        <v>http://geocode.csis.u-tokyo.ac.jp/cgi-bin/simple_geocode.cgi?charset=UTF8&amp;addr=%E7%A5%9E%E5%A5%88%E5%B7%9D%E7%9C%8C%E6%A8%AA%E6%B5%9C%E5%B8%82%E6%B8%AF%E5%8C%97%E5%8C%BA%E4%BB%B2%E6%89%8B%E5%8E%9F</v>
      </c>
      <c r="E383" t="str">
        <f t="shared" si="34"/>
        <v xml:space="preserve">&lt;?xml version="1.0" encoding="UTF-8" ?&gt;
&lt;results&gt;
&lt;query&gt;神奈川県横浜市港北区仲手原&lt;/query&gt;
&lt;geodetic&gt;wgs1984&lt;/geodetic&gt;
&lt;iConf&gt;5&lt;/iConf&gt;
&lt;converted&gt;神奈川県横浜市港北区仲手原&lt;/converted&gt;
&lt;candidate&gt;
&lt;address&gt;神奈川県/横浜市/港北区/仲手原&lt;/address&gt;
&lt;longitude&gt;139.634933&lt;/longitude&gt;
&lt;latitude&gt;35.495403&lt;/latitude&gt;
&lt;iLvl&gt;5&lt;/iLvl&gt;
&lt;/candidate&gt;
&lt;/results&gt;
</v>
      </c>
      <c r="F383" cm="1">
        <f t="array" ref="F383">INDEX(_xlfn.FILTERXML(E383,"//latitude"),1)</f>
        <v>35.495403000000003</v>
      </c>
      <c r="G383" cm="1">
        <f t="array" ref="G383">INDEX(_xlfn.FILTERXML(E383,"//longitude"),1)</f>
        <v>139.63493299999999</v>
      </c>
      <c r="H383">
        <v>35.495403000000003</v>
      </c>
      <c r="I383">
        <v>139.63493299999999</v>
      </c>
    </row>
    <row r="384" spans="1:9" x14ac:dyDescent="0.4">
      <c r="A384" t="s">
        <v>21</v>
      </c>
      <c r="B384" t="s">
        <v>369</v>
      </c>
      <c r="C384" t="str">
        <f t="shared" si="32"/>
        <v>栃木県宇都宮市砥上町</v>
      </c>
      <c r="D384" s="2" t="str">
        <f t="shared" si="33"/>
        <v>http://geocode.csis.u-tokyo.ac.jp/cgi-bin/simple_geocode.cgi?charset=UTF8&amp;addr=%E6%A0%83%E6%9C%A8%E7%9C%8C%E5%AE%87%E9%83%BD%E5%AE%AE%E5%B8%82%E7%A0%A5%E4%B8%8A%E7%94%BA</v>
      </c>
      <c r="E384" t="str">
        <f t="shared" si="34"/>
        <v xml:space="preserve">&lt;?xml version="1.0" encoding="UTF-8" ?&gt;
&lt;results&gt;
&lt;query&gt;栃木県宇都宮市砥上町&lt;/query&gt;
&lt;geodetic&gt;wgs1984&lt;/geodetic&gt;
&lt;iConf&gt;5&lt;/iConf&gt;
&lt;converted&gt;栃木県宇都宮市砥上町&lt;/converted&gt;
&lt;candidate&gt;
&lt;address&gt;栃木県/宇都宮市/砥上町&lt;/address&gt;
&lt;longitude&gt;139.838959&lt;/longitude&gt;
&lt;latitude&gt;36.551773&lt;/latitude&gt;
&lt;iLvl&gt;5&lt;/iLvl&gt;
&lt;/candidate&gt;
&lt;/results&gt;
</v>
      </c>
      <c r="F384" cm="1">
        <f t="array" ref="F384">INDEX(_xlfn.FILTERXML(E384,"//latitude"),1)</f>
        <v>36.551772999999997</v>
      </c>
      <c r="G384" cm="1">
        <f t="array" ref="G384">INDEX(_xlfn.FILTERXML(E384,"//longitude"),1)</f>
        <v>139.83895899999999</v>
      </c>
      <c r="H384">
        <v>36.551772999999997</v>
      </c>
      <c r="I384">
        <v>139.83895899999999</v>
      </c>
    </row>
    <row r="385" spans="1:9" x14ac:dyDescent="0.4">
      <c r="A385" t="s">
        <v>31</v>
      </c>
      <c r="B385" t="s">
        <v>370</v>
      </c>
      <c r="C385" t="str">
        <f t="shared" si="32"/>
        <v>北海道札幌市南区澄川4条</v>
      </c>
      <c r="D385" s="2" t="str">
        <f t="shared" si="33"/>
        <v>http://geocode.csis.u-tokyo.ac.jp/cgi-bin/simple_geocode.cgi?charset=UTF8&amp;addr=%E5%8C%97%E6%B5%B7%E9%81%93%E6%9C%AD%E5%B9%8C%E5%B8%82%E5%8D%97%E5%8C%BA%E6%BE%84%E5%B7%9D4%E6%9D%A1</v>
      </c>
      <c r="E385" t="str">
        <f t="shared" si="34"/>
        <v xml:space="preserve">&lt;?xml version="1.0" encoding="UTF-8" ?&gt;
&lt;results&gt;
&lt;query&gt;北海道札幌市南区澄川4条&lt;/query&gt;
&lt;geodetic&gt;wgs1984&lt;/geodetic&gt;
&lt;iConf&gt;5&lt;/iConf&gt;
&lt;converted&gt;北海道札幌市南区澄川4条&lt;/converted&gt;
&lt;candidate&gt;
&lt;address&gt;北海道/札幌市/南区/澄川四条&lt;/address&gt;
&lt;longitude&gt;141.368713&lt;/longitude&gt;
&lt;latitude&gt;43.018364&lt;/latitude&gt;
&lt;iLvl&gt;5&lt;/iLvl&gt;
&lt;/candidate&gt;
&lt;/results&gt;
</v>
      </c>
      <c r="F385" cm="1">
        <f t="array" ref="F385">INDEX(_xlfn.FILTERXML(E385,"//latitude"),1)</f>
        <v>43.018363999999998</v>
      </c>
      <c r="G385" cm="1">
        <f t="array" ref="G385">INDEX(_xlfn.FILTERXML(E385,"//longitude"),1)</f>
        <v>141.36871300000001</v>
      </c>
      <c r="H385">
        <v>43.018363999999998</v>
      </c>
      <c r="I385">
        <v>141.36871300000001</v>
      </c>
    </row>
    <row r="386" spans="1:9" x14ac:dyDescent="0.4">
      <c r="A386" t="s">
        <v>26</v>
      </c>
      <c r="B386" t="s">
        <v>576</v>
      </c>
      <c r="C386" t="str">
        <f t="shared" si="32"/>
        <v>岐阜県岐阜市江崎南</v>
      </c>
      <c r="D386" s="2" t="str">
        <f t="shared" si="33"/>
        <v>http://geocode.csis.u-tokyo.ac.jp/cgi-bin/simple_geocode.cgi?charset=UTF8&amp;addr=%E5%B2%90%E9%98%9C%E7%9C%8C%E5%B2%90%E9%98%9C%E5%B8%82%E6%B1%9F%E5%B4%8E%E5%8D%97</v>
      </c>
      <c r="E386" t="str">
        <f t="shared" si="34"/>
        <v xml:space="preserve">&lt;?xml version="1.0" encoding="UTF-8" ?&gt;
&lt;results&gt;
&lt;query&gt;岐阜県岐阜市江崎南&lt;/query&gt;
&lt;geodetic&gt;wgs1984&lt;/geodetic&gt;
&lt;iConf&gt;5&lt;/iConf&gt;
&lt;converted&gt;岐阜県岐阜市江崎南&lt;/converted&gt;
&lt;candidate&gt;
&lt;address&gt;岐阜県/岐阜市/江崎南&lt;/address&gt;
&lt;longitude&gt;136.705780&lt;/longitude&gt;
&lt;latitude&gt;35.402096&lt;/latitude&gt;
&lt;iLvl&gt;5&lt;/iLvl&gt;
&lt;/candidate&gt;
&lt;/results&gt;
</v>
      </c>
      <c r="F386" cm="1">
        <f t="array" ref="F386">INDEX(_xlfn.FILTERXML(E386,"//latitude"),1)</f>
        <v>35.402096</v>
      </c>
      <c r="G386" cm="1">
        <f t="array" ref="G386">INDEX(_xlfn.FILTERXML(E386,"//longitude"),1)</f>
        <v>136.70578</v>
      </c>
      <c r="H386">
        <v>35.402096</v>
      </c>
      <c r="I386">
        <v>136.70578</v>
      </c>
    </row>
    <row r="387" spans="1:9" x14ac:dyDescent="0.4">
      <c r="A387" t="s">
        <v>194</v>
      </c>
      <c r="B387" t="s">
        <v>371</v>
      </c>
      <c r="C387" t="str">
        <f t="shared" si="32"/>
        <v>沖縄県中頭郡読谷村喜名</v>
      </c>
      <c r="D387" s="2" t="str">
        <f t="shared" si="33"/>
        <v>http://geocode.csis.u-tokyo.ac.jp/cgi-bin/simple_geocode.cgi?charset=UTF8&amp;addr=%E6%B2%96%E7%B8%84%E7%9C%8C%E4%B8%AD%E9%A0%AD%E9%83%A1%E8%AA%AD%E8%B0%B7%E6%9D%91%E5%96%9C%E5%90%8D</v>
      </c>
      <c r="E387" t="str">
        <f t="shared" si="34"/>
        <v xml:space="preserve">&lt;?xml version="1.0" encoding="UTF-8" ?&gt;
&lt;results&gt;
&lt;query&gt;沖縄県中頭郡読谷村喜名&lt;/query&gt;
&lt;geodetic&gt;wgs1984&lt;/geodetic&gt;
&lt;iConf&gt;5&lt;/iConf&gt;
&lt;converted&gt;沖縄県中頭郡読谷村喜名&lt;/converted&gt;
&lt;candidate&gt;
&lt;address&gt;沖縄県/中頭郡/読谷村/喜名&lt;/address&gt;
&lt;longitude&gt;127.766891&lt;/longitude&gt;
&lt;latitude&gt;26.401009&lt;/latitude&gt;
&lt;iLvl&gt;5&lt;/iLvl&gt;
&lt;/candidate&gt;
&lt;/results&gt;
</v>
      </c>
      <c r="F387" cm="1">
        <f t="array" ref="F387">INDEX(_xlfn.FILTERXML(E387,"//latitude"),1)</f>
        <v>26.401008999999998</v>
      </c>
      <c r="G387" cm="1">
        <f t="array" ref="G387">INDEX(_xlfn.FILTERXML(E387,"//longitude"),1)</f>
        <v>127.766891</v>
      </c>
      <c r="H387">
        <v>26.401008999999998</v>
      </c>
      <c r="I387">
        <v>127.766891</v>
      </c>
    </row>
    <row r="388" spans="1:9" x14ac:dyDescent="0.4">
      <c r="A388" t="s">
        <v>372</v>
      </c>
      <c r="B388" t="s">
        <v>373</v>
      </c>
      <c r="C388" t="str">
        <f t="shared" si="32"/>
        <v>高知県吾川郡いの町</v>
      </c>
      <c r="D388" s="2" t="str">
        <f t="shared" si="33"/>
        <v>http://geocode.csis.u-tokyo.ac.jp/cgi-bin/simple_geocode.cgi?charset=UTF8&amp;addr=%E9%AB%98%E7%9F%A5%E7%9C%8C%E5%90%BE%E5%B7%9D%E9%83%A1%E3%81%84%E3%81%AE%E7%94%BA</v>
      </c>
      <c r="E388" t="str">
        <f t="shared" si="34"/>
        <v xml:space="preserve">&lt;?xml version="1.0" encoding="UTF-8" ?&gt;
&lt;results&gt;
&lt;query&gt;高知県吾川郡いの町&lt;/query&gt;
&lt;geodetic&gt;wgs1984&lt;/geodetic&gt;
&lt;iConf&gt;5&lt;/iConf&gt;
&lt;converted&gt;高知県吾川郡いの町&lt;/converted&gt;
&lt;candidate&gt;
&lt;address&gt;高知県/吾川郡/いの町&lt;/address&gt;
&lt;longitude&gt;133.427582&lt;/longitude&gt;
&lt;latitude&gt;33.548691&lt;/latitude&gt;
&lt;iLvl&gt;3&lt;/iLvl&gt;
&lt;/candidate&gt;
&lt;/results&gt;
</v>
      </c>
      <c r="F388" cm="1">
        <f t="array" ref="F388">INDEX(_xlfn.FILTERXML(E388,"//latitude"),1)</f>
        <v>33.548690999999998</v>
      </c>
      <c r="G388" cm="1">
        <f t="array" ref="G388">INDEX(_xlfn.FILTERXML(E388,"//longitude"),1)</f>
        <v>133.427582</v>
      </c>
      <c r="H388">
        <v>33.548690999999998</v>
      </c>
      <c r="I388">
        <v>133.427582</v>
      </c>
    </row>
    <row r="389" spans="1:9" x14ac:dyDescent="0.4">
      <c r="A389" t="s">
        <v>13</v>
      </c>
      <c r="B389" t="s">
        <v>374</v>
      </c>
      <c r="C389" t="str">
        <f t="shared" si="32"/>
        <v>兵庫県三田市</v>
      </c>
      <c r="D389" s="2" t="str">
        <f t="shared" si="33"/>
        <v>http://geocode.csis.u-tokyo.ac.jp/cgi-bin/simple_geocode.cgi?charset=UTF8&amp;addr=%E5%85%B5%E5%BA%AB%E7%9C%8C%E4%B8%89%E7%94%B0%E5%B8%82</v>
      </c>
      <c r="E389" t="str">
        <f t="shared" si="34"/>
        <v xml:space="preserve">&lt;?xml version="1.0" encoding="UTF-8" ?&gt;
&lt;results&gt;
&lt;query&gt;兵庫県三田市&lt;/query&gt;
&lt;geodetic&gt;wgs1984&lt;/geodetic&gt;
&lt;iConf&gt;5&lt;/iConf&gt;
&lt;converted&gt;兵庫県三田市&lt;/converted&gt;
&lt;candidate&gt;
&lt;address&gt;兵庫県/三田市&lt;/address&gt;
&lt;longitude&gt;135.225296&lt;/longitude&gt;
&lt;latitude&gt;34.889671&lt;/latitude&gt;
&lt;iLvl&gt;3&lt;/iLvl&gt;
&lt;/candidate&gt;
&lt;/results&gt;
</v>
      </c>
      <c r="F389" cm="1">
        <f t="array" ref="F389">INDEX(_xlfn.FILTERXML(E389,"//latitude"),1)</f>
        <v>34.889671</v>
      </c>
      <c r="G389" cm="1">
        <f t="array" ref="G389">INDEX(_xlfn.FILTERXML(E389,"//longitude"),1)</f>
        <v>135.22529599999999</v>
      </c>
      <c r="H389">
        <v>34.889671</v>
      </c>
      <c r="I389">
        <v>135.22529599999999</v>
      </c>
    </row>
    <row r="390" spans="1:9" x14ac:dyDescent="0.4">
      <c r="A390" t="s">
        <v>95</v>
      </c>
      <c r="B390" t="s">
        <v>375</v>
      </c>
      <c r="C390" t="str">
        <f t="shared" ref="C390:C453" si="35">+A390&amp;B390</f>
        <v>福島県南相馬市原町区馬場字薬師前</v>
      </c>
      <c r="D390" s="2" t="str">
        <f t="shared" ref="D390:D453" si="36" xml:space="preserve"> "http://geocode.csis.u-tokyo.ac.jp/cgi-bin/simple_geocode.cgi?charset=UTF8&amp;addr=" &amp; _xlfn.ENCODEURL(C390)</f>
        <v>http://geocode.csis.u-tokyo.ac.jp/cgi-bin/simple_geocode.cgi?charset=UTF8&amp;addr=%E7%A6%8F%E5%B3%B6%E7%9C%8C%E5%8D%97%E7%9B%B8%E9%A6%AC%E5%B8%82%E5%8E%9F%E7%94%BA%E5%8C%BA%E9%A6%AC%E5%A0%B4%E5%AD%97%E8%96%AC%E5%B8%AB%E5%89%8D</v>
      </c>
      <c r="E390" t="str">
        <f t="shared" ref="E390:E453" si="37" xml:space="preserve"> _xlfn.WEBSERVICE(D390)</f>
        <v xml:space="preserve">&lt;?xml version="1.0" encoding="UTF-8" ?&gt;
&lt;results&gt;
&lt;query&gt;福島県南相馬市原町区馬場字薬師前&lt;/query&gt;
&lt;geodetic&gt;wgs1984&lt;/geodetic&gt;
&lt;iConf&gt;5&lt;/iConf&gt;
&lt;converted&gt;福島県南相馬市原町区馬場字薬師前&lt;/converted&gt;
&lt;candidate&gt;
&lt;address&gt;福島県/南相馬市/原町区馬場/薬師前&lt;/address&gt;
&lt;longitude&gt;140.912247&lt;/longitude&gt;
&lt;latitude&gt;37.601231&lt;/latitude&gt;
&lt;iLvl&gt;6&lt;/iLvl&gt;
&lt;/candidate&gt;
&lt;/results&gt;
</v>
      </c>
      <c r="F390" cm="1">
        <f t="array" ref="F390">INDEX(_xlfn.FILTERXML(E390,"//latitude"),1)</f>
        <v>37.601230999999999</v>
      </c>
      <c r="G390" cm="1">
        <f t="array" ref="G390">INDEX(_xlfn.FILTERXML(E390,"//longitude"),1)</f>
        <v>140.91224700000001</v>
      </c>
      <c r="H390">
        <v>37.601230999999999</v>
      </c>
      <c r="I390">
        <v>140.91224700000001</v>
      </c>
    </row>
    <row r="391" spans="1:9" x14ac:dyDescent="0.4">
      <c r="A391" t="s">
        <v>31</v>
      </c>
      <c r="B391" t="s">
        <v>328</v>
      </c>
      <c r="C391" t="str">
        <f t="shared" si="35"/>
        <v>北海道札幌市中央区北六条西12丁目</v>
      </c>
      <c r="D391" s="2" t="str">
        <f t="shared" si="36"/>
        <v>http://geocode.csis.u-tokyo.ac.jp/cgi-bin/simple_geocode.cgi?charset=UTF8&amp;addr=%E5%8C%97%E6%B5%B7%E9%81%93%E6%9C%AD%E5%B9%8C%E5%B8%82%E4%B8%AD%E5%A4%AE%E5%8C%BA%E5%8C%97%E5%85%AD%E6%9D%A1%E8%A5%BF12%E4%B8%81%E7%9B%AE</v>
      </c>
      <c r="E391" t="str">
        <f t="shared" si="37"/>
        <v xml:space="preserve">&lt;?xml version="1.0" encoding="UTF-8" ?&gt;
&lt;results&gt;
&lt;query&gt;北海道札幌市中央区北六条西12丁目&lt;/query&gt;
&lt;geodetic&gt;wgs1984&lt;/geodetic&gt;
&lt;iConf&gt;5&lt;/iConf&gt;
&lt;converted&gt;北海道札幌市中央区北六条西12丁目&lt;/converted&gt;
&lt;candidate&gt;
&lt;address&gt;北海道/札幌市/中央区/北六条/西十二丁目&lt;/address&gt;
&lt;longitude&gt;141.336823&lt;/longitude&gt;
&lt;latitude&gt;43.066650&lt;/latitude&gt;
&lt;iLvl&gt;6&lt;/iLvl&gt;
&lt;/candidate&gt;
&lt;/results&gt;
</v>
      </c>
      <c r="F391" cm="1">
        <f t="array" ref="F391">INDEX(_xlfn.FILTERXML(E391,"//latitude"),1)</f>
        <v>43.066650000000003</v>
      </c>
      <c r="G391" cm="1">
        <f t="array" ref="G391">INDEX(_xlfn.FILTERXML(E391,"//longitude"),1)</f>
        <v>141.33682300000001</v>
      </c>
      <c r="H391">
        <v>43.066650000000003</v>
      </c>
      <c r="I391">
        <v>141.33682300000001</v>
      </c>
    </row>
    <row r="392" spans="1:9" x14ac:dyDescent="0.4">
      <c r="A392" t="s">
        <v>12</v>
      </c>
      <c r="B392" t="s">
        <v>376</v>
      </c>
      <c r="C392" t="str">
        <f t="shared" si="35"/>
        <v>埼玉県さいたま市大宮区</v>
      </c>
      <c r="D392" s="2" t="str">
        <f t="shared" si="36"/>
        <v>http://geocode.csis.u-tokyo.ac.jp/cgi-bin/simple_geocode.cgi?charset=UTF8&amp;addr=%E5%9F%BC%E7%8E%89%E7%9C%8C%E3%81%95%E3%81%84%E3%81%9F%E3%81%BE%E5%B8%82%E5%A4%A7%E5%AE%AE%E5%8C%BA</v>
      </c>
      <c r="E392" t="str">
        <f t="shared" si="37"/>
        <v xml:space="preserve">&lt;?xml version="1.0" encoding="UTF-8" ?&gt;
&lt;results&gt;
&lt;query&gt;埼玉県さいたま市大宮区&lt;/query&gt;
&lt;geodetic&gt;wgs1984&lt;/geodetic&gt;
&lt;iConf&gt;5&lt;/iConf&gt;
&lt;converted&gt;埼玉県さいたま市大宮区&lt;/converted&gt;
&lt;candidate&gt;
&lt;address&gt;埼玉県/さいたま市/大宮区&lt;/address&gt;
&lt;longitude&gt;139.628723&lt;/longitude&gt;
&lt;latitude&gt;35.906483&lt;/latitude&gt;
&lt;iLvl&gt;4&lt;/iLvl&gt;
&lt;/candidate&gt;
&lt;/results&gt;
</v>
      </c>
      <c r="F392" cm="1">
        <f t="array" ref="F392">INDEX(_xlfn.FILTERXML(E392,"//latitude"),1)</f>
        <v>35.906483000000001</v>
      </c>
      <c r="G392" cm="1">
        <f t="array" ref="G392">INDEX(_xlfn.FILTERXML(E392,"//longitude"),1)</f>
        <v>139.62872300000001</v>
      </c>
      <c r="H392">
        <v>35.906483000000001</v>
      </c>
      <c r="I392">
        <v>139.62872300000001</v>
      </c>
    </row>
    <row r="393" spans="1:9" x14ac:dyDescent="0.4">
      <c r="A393" t="s">
        <v>10</v>
      </c>
      <c r="B393" t="s">
        <v>377</v>
      </c>
      <c r="C393" t="str">
        <f t="shared" si="35"/>
        <v>神奈川県Yokohama</v>
      </c>
      <c r="D393" s="2" t="str">
        <f t="shared" si="36"/>
        <v>http://geocode.csis.u-tokyo.ac.jp/cgi-bin/simple_geocode.cgi?charset=UTF8&amp;addr=%E7%A5%9E%E5%A5%88%E5%B7%9D%E7%9C%8CYokohama</v>
      </c>
      <c r="E393" t="str">
        <f t="shared" si="37"/>
        <v xml:space="preserve">&lt;?xml version="1.0" encoding="UTF-8" ?&gt;
&lt;results&gt;
&lt;query&gt;神奈川県Yokohama&lt;/query&gt;
&lt;geodetic&gt;wgs1984&lt;/geodetic&gt;
&lt;iConf&gt;3&lt;/iConf&gt;
&lt;converted&gt;神奈川県&lt;/converted&gt;
&lt;candidate&gt;
&lt;address&gt;神奈川県&lt;/address&gt;
&lt;longitude&gt;139.637955&lt;/longitude&gt;
&lt;latitude&gt;35.444035&lt;/latitude&gt;
&lt;iLvl&gt;1&lt;/iLvl&gt;
&lt;/candidate&gt;
&lt;/results&gt;
</v>
      </c>
      <c r="F393" cm="1">
        <f t="array" ref="F393">INDEX(_xlfn.FILTERXML(E393,"//latitude"),1)</f>
        <v>35.444035</v>
      </c>
      <c r="G393" cm="1">
        <f t="array" ref="G393">INDEX(_xlfn.FILTERXML(E393,"//longitude"),1)</f>
        <v>139.63795500000001</v>
      </c>
      <c r="H393">
        <v>35.444035</v>
      </c>
      <c r="I393">
        <v>139.63795500000001</v>
      </c>
    </row>
    <row r="394" spans="1:9" x14ac:dyDescent="0.4">
      <c r="A394" t="s">
        <v>10</v>
      </c>
      <c r="B394" t="s">
        <v>378</v>
      </c>
      <c r="C394" t="str">
        <f t="shared" si="35"/>
        <v>神奈川県小田原市南町</v>
      </c>
      <c r="D394" s="2" t="str">
        <f t="shared" si="36"/>
        <v>http://geocode.csis.u-tokyo.ac.jp/cgi-bin/simple_geocode.cgi?charset=UTF8&amp;addr=%E7%A5%9E%E5%A5%88%E5%B7%9D%E7%9C%8C%E5%B0%8F%E7%94%B0%E5%8E%9F%E5%B8%82%E5%8D%97%E7%94%BA</v>
      </c>
      <c r="E394" t="str">
        <f t="shared" si="37"/>
        <v xml:space="preserve">&lt;?xml version="1.0" encoding="UTF-8" ?&gt;
&lt;results&gt;
&lt;query&gt;神奈川県小田原市南町&lt;/query&gt;
&lt;geodetic&gt;wgs1984&lt;/geodetic&gt;
&lt;iConf&gt;5&lt;/iConf&gt;
&lt;converted&gt;神奈川県小田原市南町&lt;/converted&gt;
&lt;candidate&gt;
&lt;address&gt;神奈川県/小田原市/南町&lt;/address&gt;
&lt;longitude&gt;139.152649&lt;/longitude&gt;
&lt;latitude&gt;35.247990&lt;/latitude&gt;
&lt;iLvl&gt;5&lt;/iLvl&gt;
&lt;/candidate&gt;
&lt;/results&gt;
</v>
      </c>
      <c r="F394" cm="1">
        <f t="array" ref="F394">INDEX(_xlfn.FILTERXML(E394,"//latitude"),1)</f>
        <v>35.247990000000001</v>
      </c>
      <c r="G394" cm="1">
        <f t="array" ref="G394">INDEX(_xlfn.FILTERXML(E394,"//longitude"),1)</f>
        <v>139.152649</v>
      </c>
      <c r="H394">
        <v>35.247990000000001</v>
      </c>
      <c r="I394">
        <v>139.152649</v>
      </c>
    </row>
    <row r="395" spans="1:9" x14ac:dyDescent="0.4">
      <c r="A395" t="s">
        <v>10</v>
      </c>
      <c r="B395" t="s">
        <v>379</v>
      </c>
      <c r="C395" t="str">
        <f t="shared" si="35"/>
        <v>神奈川県大和市</v>
      </c>
      <c r="D395" s="2" t="str">
        <f t="shared" si="36"/>
        <v>http://geocode.csis.u-tokyo.ac.jp/cgi-bin/simple_geocode.cgi?charset=UTF8&amp;addr=%E7%A5%9E%E5%A5%88%E5%B7%9D%E7%9C%8C%E5%A4%A7%E5%92%8C%E5%B8%82</v>
      </c>
      <c r="E395" t="str">
        <f t="shared" si="37"/>
        <v xml:space="preserve">&lt;?xml version="1.0" encoding="UTF-8" ?&gt;
&lt;results&gt;
&lt;query&gt;神奈川県大和市&lt;/query&gt;
&lt;geodetic&gt;wgs1984&lt;/geodetic&gt;
&lt;iConf&gt;5&lt;/iConf&gt;
&lt;converted&gt;神奈川県大和市&lt;/converted&gt;
&lt;candidate&gt;
&lt;address&gt;神奈川県/大和市&lt;/address&gt;
&lt;longitude&gt;139.457947&lt;/longitude&gt;
&lt;latitude&gt;35.487514&lt;/latitude&gt;
&lt;iLvl&gt;3&lt;/iLvl&gt;
&lt;/candidate&gt;
&lt;/results&gt;
</v>
      </c>
      <c r="F395" cm="1">
        <f t="array" ref="F395">INDEX(_xlfn.FILTERXML(E395,"//latitude"),1)</f>
        <v>35.487513999999997</v>
      </c>
      <c r="G395" cm="1">
        <f t="array" ref="G395">INDEX(_xlfn.FILTERXML(E395,"//longitude"),1)</f>
        <v>139.45794699999999</v>
      </c>
      <c r="H395">
        <v>35.487513999999997</v>
      </c>
      <c r="I395">
        <v>139.45794699999999</v>
      </c>
    </row>
    <row r="396" spans="1:9" x14ac:dyDescent="0.4">
      <c r="A396" t="s">
        <v>23</v>
      </c>
      <c r="B396" t="s">
        <v>380</v>
      </c>
      <c r="C396" t="str">
        <f t="shared" si="35"/>
        <v>京都府京都市東山区五条橋東</v>
      </c>
      <c r="D396" s="2" t="str">
        <f t="shared" si="36"/>
        <v>http://geocode.csis.u-tokyo.ac.jp/cgi-bin/simple_geocode.cgi?charset=UTF8&amp;addr=%E4%BA%AC%E9%83%BD%E5%BA%9C%E4%BA%AC%E9%83%BD%E5%B8%82%E6%9D%B1%E5%B1%B1%E5%8C%BA%E4%BA%94%E6%9D%A1%E6%A9%8B%E6%9D%B1</v>
      </c>
      <c r="E396" t="str">
        <f t="shared" si="37"/>
        <v xml:space="preserve">&lt;?xml version="1.0" encoding="UTF-8" ?&gt;
&lt;results&gt;
&lt;query&gt;京都府京都市東山区五条橋東&lt;/query&gt;
&lt;geodetic&gt;wgs1984&lt;/geodetic&gt;
&lt;iConf&gt;5&lt;/iConf&gt;
&lt;converted&gt;京都京都市東山区五条橋東&lt;/converted&gt;
&lt;candidate&gt;
&lt;address&gt;京都府/京都市/東山区/五条橋東&lt;/address&gt;
&lt;longitude&gt;135.771057&lt;/longitude&gt;
&lt;latitude&gt;34.995384&lt;/latitude&gt;
&lt;iLvl&gt;5&lt;/iLvl&gt;
&lt;/candidate&gt;
&lt;/results&gt;
</v>
      </c>
      <c r="F396" cm="1">
        <f t="array" ref="F396">INDEX(_xlfn.FILTERXML(E396,"//latitude"),1)</f>
        <v>34.995384000000001</v>
      </c>
      <c r="G396" cm="1">
        <f t="array" ref="G396">INDEX(_xlfn.FILTERXML(E396,"//longitude"),1)</f>
        <v>135.77105700000001</v>
      </c>
      <c r="H396">
        <v>34.995384000000001</v>
      </c>
      <c r="I396">
        <v>135.77105700000001</v>
      </c>
    </row>
    <row r="397" spans="1:9" x14ac:dyDescent="0.4">
      <c r="A397" t="s">
        <v>15</v>
      </c>
      <c r="B397" t="s">
        <v>381</v>
      </c>
      <c r="C397" t="str">
        <f t="shared" si="35"/>
        <v>愛知県岡崎市保母町字下屋敷</v>
      </c>
      <c r="D397" s="2" t="str">
        <f t="shared" si="36"/>
        <v>http://geocode.csis.u-tokyo.ac.jp/cgi-bin/simple_geocode.cgi?charset=UTF8&amp;addr=%E6%84%9B%E7%9F%A5%E7%9C%8C%E5%B2%A1%E5%B4%8E%E5%B8%82%E4%BF%9D%E6%AF%8D%E7%94%BA%E5%AD%97%E4%B8%8B%E5%B1%8B%E6%95%B7</v>
      </c>
      <c r="E397" t="str">
        <f t="shared" si="37"/>
        <v xml:space="preserve">&lt;?xml version="1.0" encoding="UTF-8" ?&gt;
&lt;results&gt;
&lt;query&gt;愛知県岡崎市保母町字下屋敷&lt;/query&gt;
&lt;geodetic&gt;wgs1984&lt;/geodetic&gt;
&lt;iConf&gt;5&lt;/iConf&gt;
&lt;converted&gt;愛知県岡崎市保母町字下屋敷&lt;/converted&gt;
&lt;candidate&gt;
&lt;address&gt;愛知県/岡崎市/保母町/下屋敷&lt;/address&gt;
&lt;longitude&gt;137.218307&lt;/longitude&gt;
&lt;latitude&gt;34.931366&lt;/latitude&gt;
&lt;iLvl&gt;6&lt;/iLvl&gt;
&lt;/candidate&gt;
&lt;/results&gt;
</v>
      </c>
      <c r="F397" cm="1">
        <f t="array" ref="F397">INDEX(_xlfn.FILTERXML(E397,"//latitude"),1)</f>
        <v>34.931365999999997</v>
      </c>
      <c r="G397" cm="1">
        <f t="array" ref="G397">INDEX(_xlfn.FILTERXML(E397,"//longitude"),1)</f>
        <v>137.21830700000001</v>
      </c>
      <c r="H397">
        <v>34.931365999999997</v>
      </c>
      <c r="I397">
        <v>137.21830700000001</v>
      </c>
    </row>
    <row r="398" spans="1:9" x14ac:dyDescent="0.4">
      <c r="A398" t="s">
        <v>10</v>
      </c>
      <c r="B398" t="s">
        <v>382</v>
      </c>
      <c r="C398" t="str">
        <f t="shared" si="35"/>
        <v>神奈川県藤沢市辻堂新町</v>
      </c>
      <c r="D398" s="2" t="str">
        <f t="shared" si="36"/>
        <v>http://geocode.csis.u-tokyo.ac.jp/cgi-bin/simple_geocode.cgi?charset=UTF8&amp;addr=%E7%A5%9E%E5%A5%88%E5%B7%9D%E7%9C%8C%E8%97%A4%E6%B2%A2%E5%B8%82%E8%BE%BB%E5%A0%82%E6%96%B0%E7%94%BA</v>
      </c>
      <c r="E398" t="str">
        <f t="shared" si="37"/>
        <v xml:space="preserve">&lt;?xml version="1.0" encoding="UTF-8" ?&gt;
&lt;results&gt;
&lt;query&gt;神奈川県藤沢市辻堂新町&lt;/query&gt;
&lt;geodetic&gt;wgs1984&lt;/geodetic&gt;
&lt;iConf&gt;5&lt;/iConf&gt;
&lt;converted&gt;神奈川県藤沢市辻堂新町&lt;/converted&gt;
&lt;candidate&gt;
&lt;address&gt;神奈川県/藤沢市/辻堂新町&lt;/address&gt;
&lt;longitude&gt;139.451096&lt;/longitude&gt;
&lt;latitude&gt;35.339306&lt;/latitude&gt;
&lt;iLvl&gt;5&lt;/iLvl&gt;
&lt;/candidate&gt;
&lt;/results&gt;
</v>
      </c>
      <c r="F398" cm="1">
        <f t="array" ref="F398">INDEX(_xlfn.FILTERXML(E398,"//latitude"),1)</f>
        <v>35.339306000000001</v>
      </c>
      <c r="G398" cm="1">
        <f t="array" ref="G398">INDEX(_xlfn.FILTERXML(E398,"//longitude"),1)</f>
        <v>139.45109600000001</v>
      </c>
      <c r="H398">
        <v>35.339306000000001</v>
      </c>
      <c r="I398">
        <v>139.45109600000001</v>
      </c>
    </row>
    <row r="399" spans="1:9" x14ac:dyDescent="0.4">
      <c r="A399" t="s">
        <v>12</v>
      </c>
      <c r="B399" t="s">
        <v>558</v>
      </c>
      <c r="C399" t="str">
        <f t="shared" si="35"/>
        <v>埼玉県さいたま市見沼区蓮沼</v>
      </c>
      <c r="D399" s="2" t="str">
        <f t="shared" si="36"/>
        <v>http://geocode.csis.u-tokyo.ac.jp/cgi-bin/simple_geocode.cgi?charset=UTF8&amp;addr=%E5%9F%BC%E7%8E%89%E7%9C%8C%E3%81%95%E3%81%84%E3%81%9F%E3%81%BE%E5%B8%82%E8%A6%8B%E6%B2%BC%E5%8C%BA%E8%93%AE%E6%B2%BC</v>
      </c>
      <c r="E399" t="str">
        <f t="shared" si="37"/>
        <v xml:space="preserve">&lt;?xml version="1.0" encoding="UTF-8" ?&gt;
&lt;results&gt;
&lt;query&gt;埼玉県さいたま市見沼区蓮沼&lt;/query&gt;
&lt;geodetic&gt;wgs1984&lt;/geodetic&gt;
&lt;iConf&gt;5&lt;/iConf&gt;
&lt;converted&gt;埼玉県さいたま市見沼区蓮沼&lt;/converted&gt;
&lt;candidate&gt;
&lt;address&gt;埼玉県/さいたま市/見沼区/蓮沼&lt;/address&gt;
&lt;longitude&gt;139.662704&lt;/longitude&gt;
&lt;latitude&gt;35.927376&lt;/latitude&gt;
&lt;iLvl&gt;5&lt;/iLvl&gt;
&lt;/candidate&gt;
&lt;/results&gt;
</v>
      </c>
      <c r="F399" cm="1">
        <f t="array" ref="F399">INDEX(_xlfn.FILTERXML(E399,"//latitude"),1)</f>
        <v>35.927376000000002</v>
      </c>
      <c r="G399" cm="1">
        <f t="array" ref="G399">INDEX(_xlfn.FILTERXML(E399,"//longitude"),1)</f>
        <v>139.66270399999999</v>
      </c>
      <c r="H399">
        <v>35.927376000000002</v>
      </c>
      <c r="I399">
        <v>139.66270399999999</v>
      </c>
    </row>
    <row r="400" spans="1:9" x14ac:dyDescent="0.4">
      <c r="A400" t="s">
        <v>15</v>
      </c>
      <c r="B400" t="s">
        <v>383</v>
      </c>
      <c r="C400" t="str">
        <f t="shared" si="35"/>
        <v>愛知県日進市梅森町新田</v>
      </c>
      <c r="D400" s="2" t="str">
        <f t="shared" si="36"/>
        <v>http://geocode.csis.u-tokyo.ac.jp/cgi-bin/simple_geocode.cgi?charset=UTF8&amp;addr=%E6%84%9B%E7%9F%A5%E7%9C%8C%E6%97%A5%E9%80%B2%E5%B8%82%E6%A2%85%E6%A3%AE%E7%94%BA%E6%96%B0%E7%94%B0</v>
      </c>
      <c r="E400" t="str">
        <f t="shared" si="37"/>
        <v xml:space="preserve">&lt;?xml version="1.0" encoding="UTF-8" ?&gt;
&lt;results&gt;
&lt;query&gt;愛知県日進市梅森町新田&lt;/query&gt;
&lt;geodetic&gt;wgs1984&lt;/geodetic&gt;
&lt;iConf&gt;5&lt;/iConf&gt;
&lt;converted&gt;愛知県日進市梅森町新田&lt;/converted&gt;
&lt;candidate&gt;
&lt;address&gt;愛知県/日進市/梅森町/新田&lt;/address&gt;
&lt;longitude&gt;137.018494&lt;/longitude&gt;
&lt;latitude&gt;35.134468&lt;/latitude&gt;
&lt;iLvl&gt;6&lt;/iLvl&gt;
&lt;/candidate&gt;
&lt;/results&gt;
</v>
      </c>
      <c r="F400" cm="1">
        <f t="array" ref="F400">INDEX(_xlfn.FILTERXML(E400,"//latitude"),1)</f>
        <v>35.134467999999998</v>
      </c>
      <c r="G400" cm="1">
        <f t="array" ref="G400">INDEX(_xlfn.FILTERXML(E400,"//longitude"),1)</f>
        <v>137.018494</v>
      </c>
      <c r="H400">
        <v>35.134467999999998</v>
      </c>
      <c r="I400">
        <v>137.018494</v>
      </c>
    </row>
    <row r="401" spans="1:9" x14ac:dyDescent="0.4">
      <c r="A401" t="s">
        <v>9</v>
      </c>
      <c r="B401" t="s">
        <v>413</v>
      </c>
      <c r="C401" t="str">
        <f t="shared" si="35"/>
        <v>東京都町田市小山ヶ丘</v>
      </c>
      <c r="D401" s="2" t="str">
        <f t="shared" si="36"/>
        <v>http://geocode.csis.u-tokyo.ac.jp/cgi-bin/simple_geocode.cgi?charset=UTF8&amp;addr=%E6%9D%B1%E4%BA%AC%E9%83%BD%E7%94%BA%E7%94%B0%E5%B8%82%E5%B0%8F%E5%B1%B1%E3%83%B6%E4%B8%98</v>
      </c>
      <c r="E401" t="str">
        <f t="shared" si="37"/>
        <v xml:space="preserve">&lt;?xml version="1.0" encoding="UTF-8" ?&gt;
&lt;results&gt;
&lt;query&gt;東京都町田市小山ヶ丘&lt;/query&gt;
&lt;geodetic&gt;wgs1984&lt;/geodetic&gt;
&lt;iConf&gt;5&lt;/iConf&gt;
&lt;converted&gt;東京都町田市小山ヶ丘&lt;/converted&gt;
&lt;candidate&gt;
&lt;address&gt;東京都/町田市/小山ヶ丘&lt;/address&gt;
&lt;longitude&gt;139.384827&lt;/longitude&gt;
&lt;latitude&gt;35.597061&lt;/latitude&gt;
&lt;iLvl&gt;5&lt;/iLvl&gt;
&lt;/candidate&gt;
&lt;/results&gt;
</v>
      </c>
      <c r="F401" cm="1">
        <f t="array" ref="F401">INDEX(_xlfn.FILTERXML(E401,"//latitude"),1)</f>
        <v>35.597060999999997</v>
      </c>
      <c r="G401" cm="1">
        <f t="array" ref="G401">INDEX(_xlfn.FILTERXML(E401,"//longitude"),1)</f>
        <v>139.384827</v>
      </c>
      <c r="H401">
        <v>35.597060999999997</v>
      </c>
      <c r="I401">
        <v>139.384827</v>
      </c>
    </row>
    <row r="402" spans="1:9" x14ac:dyDescent="0.4">
      <c r="A402" t="s">
        <v>15</v>
      </c>
      <c r="B402" t="s">
        <v>577</v>
      </c>
      <c r="C402" t="str">
        <f t="shared" si="35"/>
        <v>愛知県名古屋市中区大須4-6-15</v>
      </c>
      <c r="D402" s="2" t="str">
        <f t="shared" si="36"/>
        <v>http://geocode.csis.u-tokyo.ac.jp/cgi-bin/simple_geocode.cgi?charset=UTF8&amp;addr=%E6%84%9B%E7%9F%A5%E7%9C%8C%E5%90%8D%E5%8F%A4%E5%B1%8B%E5%B8%82%E4%B8%AD%E5%8C%BA%E5%A4%A7%E9%A0%884-6-15</v>
      </c>
      <c r="E402" t="str">
        <f t="shared" si="37"/>
        <v xml:space="preserve">&lt;?xml version="1.0" encoding="UTF-8" ?&gt;
&lt;results&gt;
&lt;query&gt;愛知県名古屋市中区大須4-6-15&lt;/query&gt;
&lt;geodetic&gt;wgs1984&lt;/geodetic&gt;
&lt;iConf&gt;5&lt;/iConf&gt;
&lt;converted&gt;愛知県名古屋市中区大須4-6-15&lt;/converted&gt;
&lt;candidate&gt;
&lt;address&gt;愛知県/名古屋市/中区/大須/四丁目/６番/１５号&lt;/address&gt;
&lt;longitude&gt;136.909439&lt;/longitude&gt;
&lt;latitude&gt;35.158493&lt;/latitude&gt;
&lt;iLvl&gt;8&lt;/iLvl&gt;
&lt;/candidate&gt;
&lt;/results&gt;
</v>
      </c>
      <c r="F402" cm="1">
        <f t="array" ref="F402">INDEX(_xlfn.FILTERXML(E402,"//latitude"),1)</f>
        <v>35.158493</v>
      </c>
      <c r="G402" cm="1">
        <f t="array" ref="G402">INDEX(_xlfn.FILTERXML(E402,"//longitude"),1)</f>
        <v>136.90943899999999</v>
      </c>
      <c r="H402">
        <v>35.158493</v>
      </c>
      <c r="I402">
        <v>136.90943899999999</v>
      </c>
    </row>
    <row r="403" spans="1:9" x14ac:dyDescent="0.4">
      <c r="A403" t="s">
        <v>11</v>
      </c>
      <c r="B403" t="s">
        <v>432</v>
      </c>
      <c r="C403" t="str">
        <f t="shared" si="35"/>
        <v>大阪府富田林市</v>
      </c>
      <c r="D403" s="2" t="str">
        <f t="shared" si="36"/>
        <v>http://geocode.csis.u-tokyo.ac.jp/cgi-bin/simple_geocode.cgi?charset=UTF8&amp;addr=%E5%A4%A7%E9%98%AA%E5%BA%9C%E5%AF%8C%E7%94%B0%E6%9E%97%E5%B8%82</v>
      </c>
      <c r="E403" t="str">
        <f t="shared" si="37"/>
        <v xml:space="preserve">&lt;?xml version="1.0" encoding="UTF-8" ?&gt;
&lt;results&gt;
&lt;query&gt;大阪府富田林市&lt;/query&gt;
&lt;geodetic&gt;wgs1984&lt;/geodetic&gt;
&lt;iConf&gt;5&lt;/iConf&gt;
&lt;converted&gt;大阪府富田林市&lt;/converted&gt;
&lt;candidate&gt;
&lt;address&gt;大阪府/富田林市&lt;/address&gt;
&lt;longitude&gt;135.597275&lt;/longitude&gt;
&lt;latitude&gt;34.499676&lt;/latitude&gt;
&lt;iLvl&gt;3&lt;/iLvl&gt;
&lt;/candidate&gt;
&lt;/results&gt;
</v>
      </c>
      <c r="F403" cm="1">
        <f t="array" ref="F403">INDEX(_xlfn.FILTERXML(E403,"//latitude"),1)</f>
        <v>34.499676000000001</v>
      </c>
      <c r="G403" cm="1">
        <f t="array" ref="G403">INDEX(_xlfn.FILTERXML(E403,"//longitude"),1)</f>
        <v>135.597275</v>
      </c>
      <c r="H403" s="3">
        <v>34.499676000000001</v>
      </c>
      <c r="I403" s="3">
        <v>135.597275</v>
      </c>
    </row>
    <row r="404" spans="1:9" x14ac:dyDescent="0.4">
      <c r="A404" t="s">
        <v>126</v>
      </c>
      <c r="B404" t="s">
        <v>578</v>
      </c>
      <c r="C404" t="str">
        <f t="shared" si="35"/>
        <v>鳥取県米子市米原</v>
      </c>
      <c r="D404" s="2" t="str">
        <f t="shared" si="36"/>
        <v>http://geocode.csis.u-tokyo.ac.jp/cgi-bin/simple_geocode.cgi?charset=UTF8&amp;addr=%E9%B3%A5%E5%8F%96%E7%9C%8C%E7%B1%B3%E5%AD%90%E5%B8%82%E7%B1%B3%E5%8E%9F</v>
      </c>
      <c r="E404" t="str">
        <f t="shared" si="37"/>
        <v xml:space="preserve">&lt;?xml version="1.0" encoding="UTF-8" ?&gt;
&lt;results&gt;
&lt;query&gt;鳥取県米子市米原&lt;/query&gt;
&lt;geodetic&gt;wgs1984&lt;/geodetic&gt;
&lt;iConf&gt;5&lt;/iConf&gt;
&lt;converted&gt;鳥取県米子市米原&lt;/converted&gt;
&lt;candidate&gt;
&lt;address&gt;鳥取県/米子市/米原&lt;/address&gt;
&lt;longitude&gt;133.330872&lt;/longitude&gt;
&lt;latitude&gt;35.439590&lt;/latitude&gt;
&lt;iLvl&gt;5&lt;/iLvl&gt;
&lt;/candidate&gt;
&lt;/results&gt;
</v>
      </c>
      <c r="F404" cm="1">
        <f t="array" ref="F404">INDEX(_xlfn.FILTERXML(E404,"//latitude"),1)</f>
        <v>35.439590000000003</v>
      </c>
      <c r="G404" cm="1">
        <f t="array" ref="G404">INDEX(_xlfn.FILTERXML(E404,"//longitude"),1)</f>
        <v>133.330872</v>
      </c>
      <c r="H404">
        <v>35.439590000000003</v>
      </c>
      <c r="I404">
        <v>133.330872</v>
      </c>
    </row>
    <row r="405" spans="1:9" x14ac:dyDescent="0.4">
      <c r="A405" t="s">
        <v>15</v>
      </c>
      <c r="B405" t="s">
        <v>387</v>
      </c>
      <c r="C405" t="str">
        <f t="shared" si="35"/>
        <v>愛知県名古屋市中川区高畑</v>
      </c>
      <c r="D405" s="2" t="str">
        <f t="shared" si="36"/>
        <v>http://geocode.csis.u-tokyo.ac.jp/cgi-bin/simple_geocode.cgi?charset=UTF8&amp;addr=%E6%84%9B%E7%9F%A5%E7%9C%8C%E5%90%8D%E5%8F%A4%E5%B1%8B%E5%B8%82%E4%B8%AD%E5%B7%9D%E5%8C%BA%E9%AB%98%E7%95%91</v>
      </c>
      <c r="E405" t="str">
        <f t="shared" si="37"/>
        <v xml:space="preserve">&lt;?xml version="1.0" encoding="UTF-8" ?&gt;
&lt;results&gt;
&lt;query&gt;愛知県名古屋市中川区高畑&lt;/query&gt;
&lt;geodetic&gt;wgs1984&lt;/geodetic&gt;
&lt;iConf&gt;5&lt;/iConf&gt;
&lt;converted&gt;愛知県名古屋市中川区高畑&lt;/converted&gt;
&lt;candidate&gt;
&lt;address&gt;愛知県/名古屋市/中川区/高畑&lt;/address&gt;
&lt;longitude&gt;136.855118&lt;/longitude&gt;
&lt;latitude&gt;35.141880&lt;/latitude&gt;
&lt;iLvl&gt;5&lt;/iLvl&gt;
&lt;/candidate&gt;
&lt;/results&gt;
</v>
      </c>
      <c r="F405" cm="1">
        <f t="array" ref="F405">INDEX(_xlfn.FILTERXML(E405,"//latitude"),1)</f>
        <v>35.14188</v>
      </c>
      <c r="G405" cm="1">
        <f t="array" ref="G405">INDEX(_xlfn.FILTERXML(E405,"//longitude"),1)</f>
        <v>136.855118</v>
      </c>
      <c r="H405">
        <v>35.14188</v>
      </c>
      <c r="I405">
        <v>136.855118</v>
      </c>
    </row>
    <row r="406" spans="1:9" x14ac:dyDescent="0.4">
      <c r="A406" t="s">
        <v>16</v>
      </c>
      <c r="B406" t="s">
        <v>388</v>
      </c>
      <c r="C406" t="str">
        <f t="shared" si="35"/>
        <v>千葉県鴨川市</v>
      </c>
      <c r="D406" s="2" t="str">
        <f t="shared" si="36"/>
        <v>http://geocode.csis.u-tokyo.ac.jp/cgi-bin/simple_geocode.cgi?charset=UTF8&amp;addr=%E5%8D%83%E8%91%89%E7%9C%8C%E9%B4%A8%E5%B7%9D%E5%B8%82</v>
      </c>
      <c r="E406" t="str">
        <f t="shared" si="37"/>
        <v xml:space="preserve">&lt;?xml version="1.0" encoding="UTF-8" ?&gt;
&lt;results&gt;
&lt;query&gt;千葉県鴨川市&lt;/query&gt;
&lt;geodetic&gt;wgs1984&lt;/geodetic&gt;
&lt;iConf&gt;5&lt;/iConf&gt;
&lt;converted&gt;千葉県鴨川市&lt;/converted&gt;
&lt;candidate&gt;
&lt;address&gt;千葉県/鴨川市&lt;/address&gt;
&lt;longitude&gt;140.098801&lt;/longitude&gt;
&lt;latitude&gt;35.114017&lt;/latitude&gt;
&lt;iLvl&gt;3&lt;/iLvl&gt;
&lt;/candidate&gt;
&lt;/results&gt;
</v>
      </c>
      <c r="F406" cm="1">
        <f t="array" ref="F406">INDEX(_xlfn.FILTERXML(E406,"//latitude"),1)</f>
        <v>35.114016999999997</v>
      </c>
      <c r="G406" cm="1">
        <f t="array" ref="G406">INDEX(_xlfn.FILTERXML(E406,"//longitude"),1)</f>
        <v>140.09880100000001</v>
      </c>
      <c r="H406">
        <v>35.114016999999997</v>
      </c>
      <c r="I406">
        <v>140.09880100000001</v>
      </c>
    </row>
    <row r="407" spans="1:9" x14ac:dyDescent="0.4">
      <c r="A407" t="s">
        <v>22</v>
      </c>
      <c r="B407" t="s">
        <v>389</v>
      </c>
      <c r="C407" t="str">
        <f t="shared" si="35"/>
        <v>香川県善通寺市下吉田町</v>
      </c>
      <c r="D407" s="2" t="str">
        <f t="shared" si="36"/>
        <v>http://geocode.csis.u-tokyo.ac.jp/cgi-bin/simple_geocode.cgi?charset=UTF8&amp;addr=%E9%A6%99%E5%B7%9D%E7%9C%8C%E5%96%84%E9%80%9A%E5%AF%BA%E5%B8%82%E4%B8%8B%E5%90%89%E7%94%B0%E7%94%BA</v>
      </c>
      <c r="E407" t="str">
        <f t="shared" si="37"/>
        <v xml:space="preserve">&lt;?xml version="1.0" encoding="UTF-8" ?&gt;
&lt;results&gt;
&lt;query&gt;香川県善通寺市下吉田町&lt;/query&gt;
&lt;geodetic&gt;wgs1984&lt;/geodetic&gt;
&lt;iConf&gt;5&lt;/iConf&gt;
&lt;converted&gt;香川県善通寺市下吉田町&lt;/converted&gt;
&lt;candidate&gt;
&lt;address&gt;香川県/善通寺市/下吉田町&lt;/address&gt;
&lt;longitude&gt;133.775330&lt;/longitude&gt;
&lt;latitude&gt;34.240044&lt;/latitude&gt;
&lt;iLvl&gt;5&lt;/iLvl&gt;
&lt;/candidate&gt;
&lt;/results&gt;
</v>
      </c>
      <c r="F407" cm="1">
        <f t="array" ref="F407">INDEX(_xlfn.FILTERXML(E407,"//latitude"),1)</f>
        <v>34.240043999999997</v>
      </c>
      <c r="G407" cm="1">
        <f t="array" ref="G407">INDEX(_xlfn.FILTERXML(E407,"//longitude"),1)</f>
        <v>133.77533</v>
      </c>
      <c r="H407">
        <v>34.240043999999997</v>
      </c>
      <c r="I407">
        <v>133.77533</v>
      </c>
    </row>
    <row r="408" spans="1:9" x14ac:dyDescent="0.4">
      <c r="A408" t="s">
        <v>24</v>
      </c>
      <c r="B408" t="s">
        <v>390</v>
      </c>
      <c r="C408" t="str">
        <f t="shared" si="35"/>
        <v>静岡県浜松市中央区上西町</v>
      </c>
      <c r="D408" s="2" t="str">
        <f t="shared" si="36"/>
        <v>http://geocode.csis.u-tokyo.ac.jp/cgi-bin/simple_geocode.cgi?charset=UTF8&amp;addr=%E9%9D%99%E5%B2%A1%E7%9C%8C%E6%B5%9C%E6%9D%BE%E5%B8%82%E4%B8%AD%E5%A4%AE%E5%8C%BA%E4%B8%8A%E8%A5%BF%E7%94%BA</v>
      </c>
      <c r="E408" t="str">
        <f t="shared" si="37"/>
        <v xml:space="preserve">&lt;?xml version="1.0" encoding="UTF-8" ?&gt;
&lt;results&gt;
&lt;query&gt;静岡県浜松市中央区上西町&lt;/query&gt;
&lt;geodetic&gt;wgs1984&lt;/geodetic&gt;
&lt;iConf&gt;5&lt;/iConf&gt;
&lt;converted&gt;静岡県浜松市中央区上西町&lt;/converted&gt;
&lt;candidate&gt;
&lt;address&gt;静岡県/浜松市/中央区/上西町&lt;/address&gt;
&lt;longitude&gt;137.758957&lt;/longitude&gt;
&lt;latitude&gt;34.723351&lt;/latitude&gt;
&lt;iLvl&gt;5&lt;/iLvl&gt;
&lt;/candidate&gt;
&lt;/results&gt;
</v>
      </c>
      <c r="F408" cm="1">
        <f t="array" ref="F408">INDEX(_xlfn.FILTERXML(E408,"//latitude"),1)</f>
        <v>34.723351000000001</v>
      </c>
      <c r="G408" cm="1">
        <f t="array" ref="G408">INDEX(_xlfn.FILTERXML(E408,"//longitude"),1)</f>
        <v>137.75895700000001</v>
      </c>
      <c r="H408">
        <v>34.723351000000001</v>
      </c>
      <c r="I408">
        <v>137.75895700000001</v>
      </c>
    </row>
    <row r="409" spans="1:9" x14ac:dyDescent="0.4">
      <c r="A409" t="s">
        <v>85</v>
      </c>
      <c r="B409" t="s">
        <v>401</v>
      </c>
      <c r="C409" t="str">
        <f t="shared" si="35"/>
        <v>奈良県北葛城郡広陵町馬見北</v>
      </c>
      <c r="D409" s="2" t="str">
        <f t="shared" si="36"/>
        <v>http://geocode.csis.u-tokyo.ac.jp/cgi-bin/simple_geocode.cgi?charset=UTF8&amp;addr=%E5%A5%88%E8%89%AF%E7%9C%8C%E5%8C%97%E8%91%9B%E5%9F%8E%E9%83%A1%E5%BA%83%E9%99%B5%E7%94%BA%E9%A6%AC%E8%A6%8B%E5%8C%97</v>
      </c>
      <c r="E409" t="str">
        <f t="shared" si="37"/>
        <v xml:space="preserve">&lt;?xml version="1.0" encoding="UTF-8" ?&gt;
&lt;results&gt;
&lt;query&gt;奈良県北葛城郡広陵町馬見北&lt;/query&gt;
&lt;geodetic&gt;wgs1984&lt;/geodetic&gt;
&lt;iConf&gt;5&lt;/iConf&gt;
&lt;converted&gt;奈良県北葛城郡広陵町馬見北&lt;/converted&gt;
&lt;candidate&gt;
&lt;address&gt;奈良県/北葛城郡/広陵町/馬見北&lt;/address&gt;
&lt;longitude&gt;135.733444&lt;/longitude&gt;
&lt;latitude&gt;34.553246&lt;/latitude&gt;
&lt;iLvl&gt;5&lt;/iLvl&gt;
&lt;/candidate&gt;
&lt;/results&gt;
</v>
      </c>
      <c r="F409" cm="1">
        <f t="array" ref="F409">INDEX(_xlfn.FILTERXML(E409,"//latitude"),1)</f>
        <v>34.553246000000001</v>
      </c>
      <c r="G409" cm="1">
        <f t="array" ref="G409">INDEX(_xlfn.FILTERXML(E409,"//longitude"),1)</f>
        <v>135.73344399999999</v>
      </c>
      <c r="H409">
        <v>34.553246000000001</v>
      </c>
      <c r="I409">
        <v>135.73344399999999</v>
      </c>
    </row>
    <row r="410" spans="1:9" x14ac:dyDescent="0.4">
      <c r="A410" t="s">
        <v>132</v>
      </c>
      <c r="B410" t="s">
        <v>579</v>
      </c>
      <c r="C410" t="str">
        <f t="shared" si="35"/>
        <v>岡山県倉敷市西阿知町</v>
      </c>
      <c r="D410" s="2" t="str">
        <f t="shared" si="36"/>
        <v>http://geocode.csis.u-tokyo.ac.jp/cgi-bin/simple_geocode.cgi?charset=UTF8&amp;addr=%E5%B2%A1%E5%B1%B1%E7%9C%8C%E5%80%89%E6%95%B7%E5%B8%82%E8%A5%BF%E9%98%BF%E7%9F%A5%E7%94%BA</v>
      </c>
      <c r="E410" t="str">
        <f t="shared" si="37"/>
        <v xml:space="preserve">&lt;?xml version="1.0" encoding="UTF-8" ?&gt;
&lt;results&gt;
&lt;query&gt;岡山県倉敷市西阿知町&lt;/query&gt;
&lt;geodetic&gt;wgs1984&lt;/geodetic&gt;
&lt;iConf&gt;5&lt;/iConf&gt;
&lt;converted&gt;岡山県倉敷市西阿知町&lt;/converted&gt;
&lt;candidate&gt;
&lt;address&gt;岡山県/倉敷市/西阿知町&lt;/address&gt;
&lt;longitude&gt;133.731934&lt;/longitude&gt;
&lt;latitude&gt;34.589951&lt;/latitude&gt;
&lt;iLvl&gt;5&lt;/iLvl&gt;
&lt;/candidate&gt;
&lt;/results&gt;
</v>
      </c>
      <c r="F410" cm="1">
        <f t="array" ref="F410">INDEX(_xlfn.FILTERXML(E410,"//latitude"),1)</f>
        <v>34.589950999999999</v>
      </c>
      <c r="G410" cm="1">
        <f t="array" ref="G410">INDEX(_xlfn.FILTERXML(E410,"//longitude"),1)</f>
        <v>133.731934</v>
      </c>
      <c r="H410">
        <v>34.589950999999999</v>
      </c>
      <c r="I410">
        <v>133.731934</v>
      </c>
    </row>
    <row r="411" spans="1:9" x14ac:dyDescent="0.4">
      <c r="A411" t="s">
        <v>31</v>
      </c>
      <c r="B411" t="s">
        <v>580</v>
      </c>
      <c r="C411" t="str">
        <f t="shared" si="35"/>
        <v>北海道北見市西三輪</v>
      </c>
      <c r="D411" s="2" t="str">
        <f t="shared" si="36"/>
        <v>http://geocode.csis.u-tokyo.ac.jp/cgi-bin/simple_geocode.cgi?charset=UTF8&amp;addr=%E5%8C%97%E6%B5%B7%E9%81%93%E5%8C%97%E8%A6%8B%E5%B8%82%E8%A5%BF%E4%B8%89%E8%BC%AA</v>
      </c>
      <c r="E411" t="str">
        <f t="shared" si="37"/>
        <v xml:space="preserve">&lt;?xml version="1.0" encoding="UTF-8" ?&gt;
&lt;results&gt;
&lt;query&gt;北海道北見市西三輪&lt;/query&gt;
&lt;geodetic&gt;wgs1984&lt;/geodetic&gt;
&lt;iConf&gt;5&lt;/iConf&gt;
&lt;converted&gt;北海道北見市西三輪&lt;/converted&gt;
&lt;candidate&gt;
&lt;address&gt;北海道/北見市/西三輪&lt;/address&gt;
&lt;longitude&gt;143.839523&lt;/longitude&gt;
&lt;latitude&gt;43.798744&lt;/latitude&gt;
&lt;iLvl&gt;5&lt;/iLvl&gt;
&lt;/candidate&gt;
&lt;/results&gt;
</v>
      </c>
      <c r="F411" cm="1">
        <f t="array" ref="F411">INDEX(_xlfn.FILTERXML(E411,"//latitude"),1)</f>
        <v>43.798743999999999</v>
      </c>
      <c r="G411" cm="1">
        <f t="array" ref="G411">INDEX(_xlfn.FILTERXML(E411,"//longitude"),1)</f>
        <v>143.83952300000001</v>
      </c>
      <c r="H411">
        <v>43.798743999999999</v>
      </c>
      <c r="I411">
        <v>143.83952300000001</v>
      </c>
    </row>
    <row r="412" spans="1:9" x14ac:dyDescent="0.4">
      <c r="A412" t="s">
        <v>15</v>
      </c>
      <c r="B412" t="s">
        <v>581</v>
      </c>
      <c r="C412" t="str">
        <f t="shared" si="35"/>
        <v>愛知県瀬戸市北脇町</v>
      </c>
      <c r="D412" s="2" t="str">
        <f t="shared" si="36"/>
        <v>http://geocode.csis.u-tokyo.ac.jp/cgi-bin/simple_geocode.cgi?charset=UTF8&amp;addr=%E6%84%9B%E7%9F%A5%E7%9C%8C%E7%80%AC%E6%88%B8%E5%B8%82%E5%8C%97%E8%84%87%E7%94%BA</v>
      </c>
      <c r="E412" t="str">
        <f t="shared" si="37"/>
        <v xml:space="preserve">&lt;?xml version="1.0" encoding="UTF-8" ?&gt;
&lt;results&gt;
&lt;query&gt;愛知県瀬戸市北脇町&lt;/query&gt;
&lt;geodetic&gt;wgs1984&lt;/geodetic&gt;
&lt;iConf&gt;5&lt;/iConf&gt;
&lt;converted&gt;愛知県瀬戸市北脇町&lt;/converted&gt;
&lt;candidate&gt;
&lt;address&gt;愛知県/瀬戸市/北脇町&lt;/address&gt;
&lt;longitude&gt;137.072495&lt;/longitude&gt;
&lt;latitude&gt;35.223370&lt;/latitude&gt;
&lt;iLvl&gt;5&lt;/iLvl&gt;
&lt;/candidate&gt;
&lt;/results&gt;
</v>
      </c>
      <c r="F412" cm="1">
        <f t="array" ref="F412">INDEX(_xlfn.FILTERXML(E412,"//latitude"),1)</f>
        <v>35.223370000000003</v>
      </c>
      <c r="G412" cm="1">
        <f t="array" ref="G412">INDEX(_xlfn.FILTERXML(E412,"//longitude"),1)</f>
        <v>137.072495</v>
      </c>
      <c r="H412">
        <v>35.223370000000003</v>
      </c>
      <c r="I412">
        <v>137.072495</v>
      </c>
    </row>
    <row r="413" spans="1:9" x14ac:dyDescent="0.4">
      <c r="A413" t="s">
        <v>11</v>
      </c>
      <c r="B413" t="s">
        <v>398</v>
      </c>
      <c r="C413" t="str">
        <f t="shared" si="35"/>
        <v>大阪府堺市堺区綾之町西</v>
      </c>
      <c r="D413" s="2" t="str">
        <f t="shared" si="36"/>
        <v>http://geocode.csis.u-tokyo.ac.jp/cgi-bin/simple_geocode.cgi?charset=UTF8&amp;addr=%E5%A4%A7%E9%98%AA%E5%BA%9C%E5%A0%BA%E5%B8%82%E5%A0%BA%E5%8C%BA%E7%B6%BE%E4%B9%8B%E7%94%BA%E8%A5%BF</v>
      </c>
      <c r="E413" t="str">
        <f t="shared" si="37"/>
        <v xml:space="preserve">&lt;?xml version="1.0" encoding="UTF-8" ?&gt;
&lt;results&gt;
&lt;query&gt;大阪府堺市堺区綾之町西&lt;/query&gt;
&lt;geodetic&gt;wgs1984&lt;/geodetic&gt;
&lt;iConf&gt;4&lt;/iConf&gt;
&lt;converted&gt;大阪府堺市堺区綾之町西&lt;/converted&gt;
&lt;candidate&gt;
&lt;address&gt;大阪府/堺市/堺区/綾之町西一丁&lt;/address&gt;
&lt;longitude&gt;135.482544&lt;/longitude&gt;
&lt;latitude&gt;34.588470&lt;/latitude&gt;
&lt;iLvl&gt;5&lt;/iLvl&gt;
&lt;/candidate&gt;
&lt;candidate&gt;
&lt;address&gt;大阪府/堺市/堺区/綾之町西二丁&lt;/address&gt;
&lt;longitude&gt;135.481506&lt;/longitude&gt;
&lt;latitude&gt;34.588932&lt;/latitude&gt;
&lt;iLvl&gt;5&lt;/iLvl&gt;
&lt;/candidate&gt;
&lt;candidate&gt;
&lt;address&gt;大阪府/堺市/堺区/綾之町西三丁&lt;/address&gt;
&lt;longitude&gt;135.480804&lt;/longitude&gt;
&lt;latitude&gt;34.589367&lt;/latitude&gt;
&lt;iLvl&gt;5&lt;/iLvl&gt;
&lt;/candidate&gt;
&lt;/results&gt;
</v>
      </c>
      <c r="F413" cm="1">
        <f t="array" ref="F413">INDEX(_xlfn.FILTERXML(E413,"//latitude"),1)</f>
        <v>34.588470000000001</v>
      </c>
      <c r="G413" cm="1">
        <f t="array" ref="G413">INDEX(_xlfn.FILTERXML(E413,"//longitude"),1)</f>
        <v>135.48254399999999</v>
      </c>
      <c r="H413">
        <v>34.588470000000001</v>
      </c>
      <c r="I413">
        <v>135.48254399999999</v>
      </c>
    </row>
    <row r="414" spans="1:9" x14ac:dyDescent="0.4">
      <c r="A414" t="s">
        <v>15</v>
      </c>
      <c r="B414" t="s">
        <v>582</v>
      </c>
      <c r="C414" t="str">
        <f t="shared" si="35"/>
        <v>愛知県額田郡幸田町大字菱池字細井</v>
      </c>
      <c r="D414" s="2" t="str">
        <f t="shared" si="36"/>
        <v>http://geocode.csis.u-tokyo.ac.jp/cgi-bin/simple_geocode.cgi?charset=UTF8&amp;addr=%E6%84%9B%E7%9F%A5%E7%9C%8C%E9%A1%8D%E7%94%B0%E9%83%A1%E5%B9%B8%E7%94%B0%E7%94%BA%E5%A4%A7%E5%AD%97%E8%8F%B1%E6%B1%A0%E5%AD%97%E7%B4%B0%E4%BA%95</v>
      </c>
      <c r="E414" t="str">
        <f t="shared" si="37"/>
        <v xml:space="preserve">&lt;?xml version="1.0" encoding="UTF-8" ?&gt;
&lt;results&gt;
&lt;query&gt;愛知県額田郡幸田町大字菱池字細井&lt;/query&gt;
&lt;geodetic&gt;wgs1984&lt;/geodetic&gt;
&lt;iConf&gt;5&lt;/iConf&gt;
&lt;converted&gt;愛知県額田郡幸田町大字菱池字細井&lt;/converted&gt;
&lt;candidate&gt;
&lt;address&gt;愛知県/額田郡/幸田町/大字菱池/細井&lt;/address&gt;
&lt;longitude&gt;137.168304&lt;/longitude&gt;
&lt;latitude&gt;34.877945&lt;/latitude&gt;
&lt;iLvl&gt;6&lt;/iLvl&gt;
&lt;/candidate&gt;
&lt;/results&gt;
</v>
      </c>
      <c r="F414" cm="1">
        <f t="array" ref="F414">INDEX(_xlfn.FILTERXML(E414,"//latitude"),1)</f>
        <v>34.877944999999997</v>
      </c>
      <c r="G414" cm="1">
        <f t="array" ref="G414">INDEX(_xlfn.FILTERXML(E414,"//longitude"),1)</f>
        <v>137.16830400000001</v>
      </c>
      <c r="H414">
        <v>34.877944999999997</v>
      </c>
      <c r="I414">
        <v>137.16830400000001</v>
      </c>
    </row>
    <row r="415" spans="1:9" x14ac:dyDescent="0.4">
      <c r="A415" t="s">
        <v>31</v>
      </c>
      <c r="B415" t="s">
        <v>583</v>
      </c>
      <c r="C415" t="str">
        <f t="shared" si="35"/>
        <v>北海道虻田郡ニセコ町字中央通</v>
      </c>
      <c r="D415" s="2" t="str">
        <f t="shared" si="36"/>
        <v>http://geocode.csis.u-tokyo.ac.jp/cgi-bin/simple_geocode.cgi?charset=UTF8&amp;addr=%E5%8C%97%E6%B5%B7%E9%81%93%E8%99%BB%E7%94%B0%E9%83%A1%E3%83%8B%E3%82%BB%E3%82%B3%E7%94%BA%E5%AD%97%E4%B8%AD%E5%A4%AE%E9%80%9A</v>
      </c>
      <c r="E415" t="str">
        <f t="shared" si="37"/>
        <v xml:space="preserve">&lt;?xml version="1.0" encoding="UTF-8" ?&gt;
&lt;results&gt;
&lt;query&gt;北海道虻田郡ニセコ町字中央通&lt;/query&gt;
&lt;geodetic&gt;wgs1984&lt;/geodetic&gt;
&lt;iConf&gt;5&lt;/iConf&gt;
&lt;converted&gt;北海道虻田郡ニセコ町字中央通&lt;/converted&gt;
&lt;candidate&gt;
&lt;address&gt;北海道/虻田郡/ニセコ町/中央通&lt;/address&gt;
&lt;longitude&gt;140.685760&lt;/longitude&gt;
&lt;latitude&gt;42.808098&lt;/latitude&gt;
&lt;iLvl&gt;5&lt;/iLvl&gt;
&lt;/candidate&gt;
&lt;/results&gt;
</v>
      </c>
      <c r="F415" cm="1">
        <f t="array" ref="F415">INDEX(_xlfn.FILTERXML(E415,"//latitude"),1)</f>
        <v>42.808098000000001</v>
      </c>
      <c r="G415" cm="1">
        <f t="array" ref="G415">INDEX(_xlfn.FILTERXML(E415,"//longitude"),1)</f>
        <v>140.68575999999999</v>
      </c>
      <c r="H415">
        <v>42.808098000000001</v>
      </c>
      <c r="I415">
        <v>140.68575999999999</v>
      </c>
    </row>
    <row r="416" spans="1:9" x14ac:dyDescent="0.4">
      <c r="A416" t="s">
        <v>9</v>
      </c>
      <c r="B416" t="s">
        <v>584</v>
      </c>
      <c r="C416" t="str">
        <f t="shared" si="35"/>
        <v>東京都東山</v>
      </c>
      <c r="D416" s="2" t="str">
        <f t="shared" si="36"/>
        <v>http://geocode.csis.u-tokyo.ac.jp/cgi-bin/simple_geocode.cgi?charset=UTF8&amp;addr=%E6%9D%B1%E4%BA%AC%E9%83%BD%E6%9D%B1%E5%B1%B1</v>
      </c>
      <c r="E416" t="str">
        <f t="shared" si="37"/>
        <v xml:space="preserve">&lt;?xml version="1.0" encoding="UTF-8" ?&gt;
&lt;results&gt;
&lt;query&gt;東京都東山&lt;/query&gt;
&lt;geodetic&gt;wgs1984&lt;/geodetic&gt;
&lt;iConf&gt;4&lt;/iConf&gt;
&lt;converted&gt;東京都東&lt;/converted&gt;
&lt;candidate&gt;
&lt;address&gt;東京都/東久留米市&lt;/address&gt;
&lt;longitude&gt;139.529678&lt;/longitude&gt;
&lt;latitude&gt;35.757992&lt;/latitude&gt;
&lt;iLvl&gt;3&lt;/iLvl&gt;
&lt;/candidate&gt;
&lt;candidate&gt;
&lt;address&gt;東京都/東久留米市&lt;/address&gt;
&lt;longitude&gt;139.529678&lt;/longitude&gt;
&lt;latitude&gt;35.757992&lt;/latitude&gt;
&lt;iLvl&gt;3&lt;/iLvl&gt;
&lt;/candidate&gt;
&lt;candidate&gt;
&lt;address&gt;東京都/東村山市&lt;/address&gt;
&lt;longitude&gt;139.468491&lt;/longitude&gt;
&lt;latitude&gt;35.754623&lt;/latitude&gt;
&lt;iLvl&gt;3&lt;/iLvl&gt;
&lt;/candidate&gt;
&lt;candidate&gt;
&lt;address&gt;東京都/東村山市&lt;/address&gt;
&lt;longitude&gt;139.468491&lt;/longitude&gt;
&lt;latitude&gt;35.754623&lt;/latitude&gt;
&lt;iLvl&gt;3&lt;/iLvl&gt;
&lt;/candidate&gt;
&lt;candidate&gt;
&lt;address&gt;東京都/東大和市&lt;/address&gt;
&lt;longitude&gt;139.426590&lt;/longitude&gt;
&lt;latitude&gt;35.745327&lt;/latitude&gt;
&lt;iLvl&gt;3&lt;/iLvl&gt;
&lt;/candidate&gt;
&lt;candidate&gt;
&lt;address&gt;東京都/東大和市&lt;/address&gt;
&lt;longitude&gt;139.426590&lt;/longitude&gt;
&lt;latitude&gt;35.745327&lt;/latitude&gt;
&lt;iLvl&gt;3&lt;/iLvl&gt;
&lt;/candidate&gt;
&lt;/results&gt;
</v>
      </c>
      <c r="F416" cm="1">
        <f t="array" ref="F416">INDEX(_xlfn.FILTERXML(E416,"//latitude"),1)</f>
        <v>35.757992000000002</v>
      </c>
      <c r="G416" cm="1">
        <f t="array" ref="G416">INDEX(_xlfn.FILTERXML(E416,"//longitude"),1)</f>
        <v>139.52967799999999</v>
      </c>
      <c r="H416">
        <v>35.757992000000002</v>
      </c>
      <c r="I416">
        <v>139.52967799999999</v>
      </c>
    </row>
    <row r="417" spans="1:9" x14ac:dyDescent="0.4">
      <c r="A417" t="s">
        <v>10</v>
      </c>
      <c r="B417" t="s">
        <v>585</v>
      </c>
      <c r="C417" t="str">
        <f t="shared" si="35"/>
        <v>神奈川県横浜市保土ヶ谷区鎌谷町</v>
      </c>
      <c r="D417" s="2" t="str">
        <f t="shared" si="36"/>
        <v>http://geocode.csis.u-tokyo.ac.jp/cgi-bin/simple_geocode.cgi?charset=UTF8&amp;addr=%E7%A5%9E%E5%A5%88%E5%B7%9D%E7%9C%8C%E6%A8%AA%E6%B5%9C%E5%B8%82%E4%BF%9D%E5%9C%9F%E3%83%B6%E8%B0%B7%E5%8C%BA%E9%8E%8C%E8%B0%B7%E7%94%BA</v>
      </c>
      <c r="E417" t="str">
        <f t="shared" si="37"/>
        <v xml:space="preserve">&lt;?xml version="1.0" encoding="UTF-8" ?&gt;
&lt;results&gt;
&lt;query&gt;神奈川県横浜市保土ヶ谷区鎌谷町&lt;/query&gt;
&lt;geodetic&gt;wgs1984&lt;/geodetic&gt;
&lt;iConf&gt;5&lt;/iConf&gt;
&lt;converted&gt;神奈川県横浜市保土ヶ谷区鎌谷町&lt;/converted&gt;
&lt;candidate&gt;
&lt;address&gt;神奈川県/横浜市/保土ケ谷区/鎌谷町&lt;/address&gt;
&lt;longitude&gt;139.602280&lt;/longitude&gt;
&lt;latitude&gt;35.464840&lt;/latitude&gt;
&lt;iLvl&gt;5&lt;/iLvl&gt;
&lt;/candidate&gt;
&lt;/results&gt;
</v>
      </c>
      <c r="F417" cm="1">
        <f t="array" ref="F417">INDEX(_xlfn.FILTERXML(E417,"//latitude"),1)</f>
        <v>35.464840000000002</v>
      </c>
      <c r="G417" cm="1">
        <f t="array" ref="G417">INDEX(_xlfn.FILTERXML(E417,"//longitude"),1)</f>
        <v>139.60228000000001</v>
      </c>
      <c r="H417">
        <v>35.464840000000002</v>
      </c>
      <c r="I417">
        <v>139.60228000000001</v>
      </c>
    </row>
    <row r="418" spans="1:9" x14ac:dyDescent="0.4">
      <c r="A418" t="s">
        <v>13</v>
      </c>
      <c r="B418" t="s">
        <v>586</v>
      </c>
      <c r="C418" t="str">
        <f t="shared" si="35"/>
        <v>兵庫県神戸市兵庫区湊川町10丁目</v>
      </c>
      <c r="D418" s="2" t="str">
        <f t="shared" si="36"/>
        <v>http://geocode.csis.u-tokyo.ac.jp/cgi-bin/simple_geocode.cgi?charset=UTF8&amp;addr=%E5%85%B5%E5%BA%AB%E7%9C%8C%E7%A5%9E%E6%88%B8%E5%B8%82%E5%85%B5%E5%BA%AB%E5%8C%BA%E6%B9%8A%E5%B7%9D%E7%94%BA10%E4%B8%81%E7%9B%AE</v>
      </c>
      <c r="E418" t="str">
        <f t="shared" si="37"/>
        <v xml:space="preserve">&lt;?xml version="1.0" encoding="UTF-8" ?&gt;
&lt;results&gt;
&lt;query&gt;兵庫県神戸市兵庫区湊川町10丁目&lt;/query&gt;
&lt;geodetic&gt;wgs1984&lt;/geodetic&gt;
&lt;iConf&gt;5&lt;/iConf&gt;
&lt;converted&gt;兵庫県神戸市兵庫区湊川町10丁目&lt;/converted&gt;
&lt;candidate&gt;
&lt;address&gt;兵庫県/神戸市/兵庫区/湊川町/十丁目&lt;/address&gt;
&lt;longitude&gt;135.155624&lt;/longitude&gt;
&lt;latitude&gt;34.679104&lt;/latitude&gt;
&lt;iLvl&gt;6&lt;/iLvl&gt;
&lt;/candidate&gt;
&lt;/results&gt;
</v>
      </c>
      <c r="F418" cm="1">
        <f t="array" ref="F418">INDEX(_xlfn.FILTERXML(E418,"//latitude"),1)</f>
        <v>34.679104000000002</v>
      </c>
      <c r="G418" cm="1">
        <f t="array" ref="G418">INDEX(_xlfn.FILTERXML(E418,"//longitude"),1)</f>
        <v>135.15562399999999</v>
      </c>
      <c r="H418">
        <v>34.679104000000002</v>
      </c>
      <c r="I418">
        <v>135.15562399999999</v>
      </c>
    </row>
    <row r="419" spans="1:9" x14ac:dyDescent="0.4">
      <c r="A419" t="s">
        <v>10</v>
      </c>
      <c r="B419" t="s">
        <v>142</v>
      </c>
      <c r="C419" t="str">
        <f t="shared" si="35"/>
        <v>神奈川県川崎市中原区</v>
      </c>
      <c r="D419" s="2" t="str">
        <f t="shared" si="36"/>
        <v>http://geocode.csis.u-tokyo.ac.jp/cgi-bin/simple_geocode.cgi?charset=UTF8&amp;addr=%E7%A5%9E%E5%A5%88%E5%B7%9D%E7%9C%8C%E5%B7%9D%E5%B4%8E%E5%B8%82%E4%B8%AD%E5%8E%9F%E5%8C%BA</v>
      </c>
      <c r="E419" t="str">
        <f t="shared" si="37"/>
        <v xml:space="preserve">&lt;?xml version="1.0" encoding="UTF-8" ?&gt;
&lt;results&gt;
&lt;query&gt;神奈川県川崎市中原区&lt;/query&gt;
&lt;geodetic&gt;wgs1984&lt;/geodetic&gt;
&lt;iConf&gt;5&lt;/iConf&gt;
&lt;converted&gt;神奈川県川崎市中原区&lt;/converted&gt;
&lt;candidate&gt;
&lt;address&gt;神奈川県/川崎市/中原区&lt;/address&gt;
&lt;longitude&gt;139.655762&lt;/longitude&gt;
&lt;latitude&gt;35.576260&lt;/latitude&gt;
&lt;iLvl&gt;4&lt;/iLvl&gt;
&lt;/candidate&gt;
&lt;/results&gt;
</v>
      </c>
      <c r="F419" cm="1">
        <f t="array" ref="F419">INDEX(_xlfn.FILTERXML(E419,"//latitude"),1)</f>
        <v>35.576259999999998</v>
      </c>
      <c r="G419" cm="1">
        <f t="array" ref="G419">INDEX(_xlfn.FILTERXML(E419,"//longitude"),1)</f>
        <v>139.65576200000001</v>
      </c>
      <c r="H419">
        <v>35.576259999999998</v>
      </c>
      <c r="I419">
        <v>139.65576200000001</v>
      </c>
    </row>
    <row r="420" spans="1:9" x14ac:dyDescent="0.4">
      <c r="A420" t="s">
        <v>194</v>
      </c>
      <c r="B420" t="s">
        <v>587</v>
      </c>
      <c r="C420" t="str">
        <f t="shared" si="35"/>
        <v>沖縄県石垣市平得</v>
      </c>
      <c r="D420" s="2" t="str">
        <f t="shared" si="36"/>
        <v>http://geocode.csis.u-tokyo.ac.jp/cgi-bin/simple_geocode.cgi?charset=UTF8&amp;addr=%E6%B2%96%E7%B8%84%E7%9C%8C%E7%9F%B3%E5%9E%A3%E5%B8%82%E5%B9%B3%E5%BE%97</v>
      </c>
      <c r="E420" t="str">
        <f t="shared" si="37"/>
        <v xml:space="preserve">&lt;?xml version="1.0" encoding="UTF-8" ?&gt;
&lt;results&gt;
&lt;query&gt;沖縄県石垣平得&lt;/query&gt;
&lt;geodetic&gt;wgs1984&lt;/geodetic&gt;
&lt;iConf&gt;5&lt;/iConf&gt;
&lt;converted&gt;沖縄県石垣市平得&lt;/converted&gt;
&lt;candidate&gt;
&lt;address&gt;沖縄県/石垣市/平得&lt;/address&gt;
&lt;longitude&gt;124.186134&lt;/longitude&gt;
&lt;latitude&gt;24.381550&lt;/latitude&gt;
&lt;iLvl&gt;5&lt;/iLvl&gt;
&lt;/candidate&gt;
&lt;/results&gt;
</v>
      </c>
      <c r="F420" cm="1">
        <f t="array" ref="F420">INDEX(_xlfn.FILTERXML(E420,"//latitude"),1)</f>
        <v>24.381550000000001</v>
      </c>
      <c r="G420" cm="1">
        <f t="array" ref="G420">INDEX(_xlfn.FILTERXML(E420,"//longitude"),1)</f>
        <v>124.186134</v>
      </c>
      <c r="H420">
        <v>24.381550000000001</v>
      </c>
      <c r="I420">
        <v>124.186134</v>
      </c>
    </row>
    <row r="421" spans="1:9" x14ac:dyDescent="0.4">
      <c r="A421" t="s">
        <v>12</v>
      </c>
      <c r="B421" t="s">
        <v>588</v>
      </c>
      <c r="C421" t="str">
        <f t="shared" si="35"/>
        <v>埼玉県入間市扇台</v>
      </c>
      <c r="D421" s="2" t="str">
        <f t="shared" si="36"/>
        <v>http://geocode.csis.u-tokyo.ac.jp/cgi-bin/simple_geocode.cgi?charset=UTF8&amp;addr=%E5%9F%BC%E7%8E%89%E7%9C%8C%E5%85%A5%E9%96%93%E5%B8%82%E6%89%87%E5%8F%B0</v>
      </c>
      <c r="E421" t="str">
        <f t="shared" si="37"/>
        <v xml:space="preserve">&lt;?xml version="1.0" encoding="UTF-8" ?&gt;
&lt;results&gt;
&lt;query&gt;埼玉県入間市扇台&lt;/query&gt;
&lt;geodetic&gt;wgs1984&lt;/geodetic&gt;
&lt;iConf&gt;5&lt;/iConf&gt;
&lt;converted&gt;埼玉県入間市扇台&lt;/converted&gt;
&lt;candidate&gt;
&lt;address&gt;埼玉県/入間市/扇台&lt;/address&gt;
&lt;longitude&gt;139.392960&lt;/longitude&gt;
&lt;latitude&gt;35.831600&lt;/latitude&gt;
&lt;iLvl&gt;5&lt;/iLvl&gt;
&lt;/candidate&gt;
&lt;/results&gt;
</v>
      </c>
      <c r="F421" cm="1">
        <f t="array" ref="F421">INDEX(_xlfn.FILTERXML(E421,"//latitude"),1)</f>
        <v>35.831600000000002</v>
      </c>
      <c r="G421" cm="1">
        <f t="array" ref="G421">INDEX(_xlfn.FILTERXML(E421,"//longitude"),1)</f>
        <v>139.39295999999999</v>
      </c>
      <c r="H421">
        <v>35.831600000000002</v>
      </c>
      <c r="I421">
        <v>139.39295999999999</v>
      </c>
    </row>
    <row r="422" spans="1:9" x14ac:dyDescent="0.4">
      <c r="A422" t="s">
        <v>15</v>
      </c>
      <c r="B422" t="s">
        <v>589</v>
      </c>
      <c r="C422" t="str">
        <f t="shared" si="35"/>
        <v>愛知県日進市五色園</v>
      </c>
      <c r="D422" s="2" t="str">
        <f t="shared" si="36"/>
        <v>http://geocode.csis.u-tokyo.ac.jp/cgi-bin/simple_geocode.cgi?charset=UTF8&amp;addr=%E6%84%9B%E7%9F%A5%E7%9C%8C%E6%97%A5%E9%80%B2%E5%B8%82%E4%BA%94%E8%89%B2%E5%9C%92</v>
      </c>
      <c r="E422" t="str">
        <f t="shared" si="37"/>
        <v xml:space="preserve">&lt;?xml version="1.0" encoding="UTF-8" ?&gt;
&lt;results&gt;
&lt;query&gt;愛知県日進市五色園&lt;/query&gt;
&lt;geodetic&gt;wgs1984&lt;/geodetic&gt;
&lt;iConf&gt;5&lt;/iConf&gt;
&lt;converted&gt;愛知県日進市五色園&lt;/converted&gt;
&lt;candidate&gt;
&lt;address&gt;愛知県/日進市/五色園&lt;/address&gt;
&lt;longitude&gt;137.069183&lt;/longitude&gt;
&lt;latitude&gt;35.151539&lt;/latitude&gt;
&lt;iLvl&gt;5&lt;/iLvl&gt;
&lt;/candidate&gt;
&lt;/results&gt;
</v>
      </c>
      <c r="F422" cm="1">
        <f t="array" ref="F422">INDEX(_xlfn.FILTERXML(E422,"//latitude"),1)</f>
        <v>35.151539</v>
      </c>
      <c r="G422" cm="1">
        <f t="array" ref="G422">INDEX(_xlfn.FILTERXML(E422,"//longitude"),1)</f>
        <v>137.06918300000001</v>
      </c>
      <c r="H422">
        <v>35.151539</v>
      </c>
      <c r="I422">
        <v>137.06918300000001</v>
      </c>
    </row>
    <row r="423" spans="1:9" x14ac:dyDescent="0.4">
      <c r="A423" t="s">
        <v>9</v>
      </c>
      <c r="B423" t="s">
        <v>33</v>
      </c>
      <c r="C423" t="str">
        <f t="shared" si="35"/>
        <v>東京都世田谷区</v>
      </c>
      <c r="D423" s="2" t="str">
        <f t="shared" si="36"/>
        <v>http://geocode.csis.u-tokyo.ac.jp/cgi-bin/simple_geocode.cgi?charset=UTF8&amp;addr=%E6%9D%B1%E4%BA%AC%E9%83%BD%E4%B8%96%E7%94%B0%E8%B0%B7%E5%8C%BA</v>
      </c>
      <c r="E423" t="str">
        <f t="shared" si="37"/>
        <v xml:space="preserve">&lt;?xml version="1.0" encoding="UTF-8" ?&gt;
&lt;results&gt;
&lt;query&gt;東京都世田谷区&lt;/query&gt;
&lt;geodetic&gt;wgs1984&lt;/geodetic&gt;
&lt;iConf&gt;5&lt;/iConf&gt;
&lt;converted&gt;東京都世田谷区&lt;/converted&gt;
&lt;candidate&gt;
&lt;address&gt;東京都/世田谷区&lt;/address&gt;
&lt;longitude&gt;139.653214&lt;/longitude&gt;
&lt;latitude&gt;35.646481&lt;/latitude&gt;
&lt;iLvl&gt;3&lt;/iLvl&gt;
&lt;/candidate&gt;
&lt;/results&gt;
</v>
      </c>
      <c r="F423" cm="1">
        <f t="array" ref="F423">INDEX(_xlfn.FILTERXML(E423,"//latitude"),1)</f>
        <v>35.646481000000001</v>
      </c>
      <c r="G423" cm="1">
        <f t="array" ref="G423">INDEX(_xlfn.FILTERXML(E423,"//longitude"),1)</f>
        <v>139.65321399999999</v>
      </c>
      <c r="H423">
        <v>35.646481000000001</v>
      </c>
      <c r="I423">
        <v>139.65321399999999</v>
      </c>
    </row>
    <row r="424" spans="1:9" x14ac:dyDescent="0.4">
      <c r="A424" t="s">
        <v>16</v>
      </c>
      <c r="B424" t="s">
        <v>394</v>
      </c>
      <c r="C424" t="str">
        <f t="shared" si="35"/>
        <v>千葉県習志野市</v>
      </c>
      <c r="D424" s="2" t="str">
        <f t="shared" si="36"/>
        <v>http://geocode.csis.u-tokyo.ac.jp/cgi-bin/simple_geocode.cgi?charset=UTF8&amp;addr=%E5%8D%83%E8%91%89%E7%9C%8C%E7%BF%92%E5%BF%97%E9%87%8E%E5%B8%82</v>
      </c>
      <c r="E424" t="str">
        <f t="shared" si="37"/>
        <v xml:space="preserve">&lt;?xml version="1.0" encoding="UTF-8" ?&gt;
&lt;results&gt;
&lt;query&gt;千葉県習志野市&lt;/query&gt;
&lt;geodetic&gt;wgs1984&lt;/geodetic&gt;
&lt;iConf&gt;5&lt;/iConf&gt;
&lt;converted&gt;千葉県習志野市&lt;/converted&gt;
&lt;candidate&gt;
&lt;address&gt;千葉県/習志野市&lt;/address&gt;
&lt;longitude&gt;140.024384&lt;/longitude&gt;
&lt;latitude&gt;35.682934&lt;/latitude&gt;
&lt;iLvl&gt;3&lt;/iLvl&gt;
&lt;/candidate&gt;
&lt;/results&gt;
</v>
      </c>
      <c r="F424" cm="1">
        <f t="array" ref="F424">INDEX(_xlfn.FILTERXML(E424,"//latitude"),1)</f>
        <v>35.682934000000003</v>
      </c>
      <c r="G424" cm="1">
        <f t="array" ref="G424">INDEX(_xlfn.FILTERXML(E424,"//longitude"),1)</f>
        <v>140.024384</v>
      </c>
      <c r="H424">
        <v>35.682934000000003</v>
      </c>
      <c r="I424">
        <v>140.024384</v>
      </c>
    </row>
    <row r="425" spans="1:9" x14ac:dyDescent="0.4">
      <c r="A425" t="s">
        <v>284</v>
      </c>
      <c r="B425" t="s">
        <v>590</v>
      </c>
      <c r="C425" t="str">
        <f t="shared" si="35"/>
        <v>岩手県奥州市水沢羽田町字室ノ木</v>
      </c>
      <c r="D425" s="2" t="str">
        <f t="shared" si="36"/>
        <v>http://geocode.csis.u-tokyo.ac.jp/cgi-bin/simple_geocode.cgi?charset=UTF8&amp;addr=%E5%B2%A9%E6%89%8B%E7%9C%8C%E5%A5%A5%E5%B7%9E%E5%B8%82%E6%B0%B4%E6%B2%A2%E7%BE%BD%E7%94%B0%E7%94%BA%E5%AD%97%E5%AE%A4%E3%83%8E%E6%9C%A8</v>
      </c>
      <c r="E425" t="str">
        <f t="shared" si="37"/>
        <v xml:space="preserve">&lt;?xml version="1.0" encoding="UTF-8" ?&gt;
&lt;results&gt;
&lt;query&gt;岩手県奥州市水沢羽田町字室ノ木&lt;/query&gt;
&lt;geodetic&gt;wgs1984&lt;/geodetic&gt;
&lt;iConf&gt;5&lt;/iConf&gt;
&lt;converted&gt;岩手県奥州市水沢羽田町字室ノ木&lt;/converted&gt;
&lt;candidate&gt;
&lt;address&gt;岩手県/奥州市/水沢羽田町/室ノ木&lt;/address&gt;
&lt;longitude&gt;141.180161&lt;/longitude&gt;
&lt;latitude&gt;39.140652&lt;/latitude&gt;
&lt;iLvl&gt;6&lt;/iLvl&gt;
&lt;/candidate&gt;
&lt;/results&gt;
</v>
      </c>
      <c r="F425" cm="1">
        <f t="array" ref="F425">INDEX(_xlfn.FILTERXML(E425,"//latitude"),1)</f>
        <v>39.140652000000003</v>
      </c>
      <c r="G425" cm="1">
        <f t="array" ref="G425">INDEX(_xlfn.FILTERXML(E425,"//longitude"),1)</f>
        <v>141.180161</v>
      </c>
      <c r="H425">
        <v>39.140652000000003</v>
      </c>
      <c r="I425">
        <v>141.180161</v>
      </c>
    </row>
    <row r="426" spans="1:9" x14ac:dyDescent="0.4">
      <c r="A426" t="s">
        <v>11</v>
      </c>
      <c r="B426" t="s">
        <v>591</v>
      </c>
      <c r="C426" t="str">
        <f t="shared" si="35"/>
        <v>大阪府東大阪市高井田元町2丁目</v>
      </c>
      <c r="D426" s="2" t="str">
        <f t="shared" si="36"/>
        <v>http://geocode.csis.u-tokyo.ac.jp/cgi-bin/simple_geocode.cgi?charset=UTF8&amp;addr=%E5%A4%A7%E9%98%AA%E5%BA%9C%E6%9D%B1%E5%A4%A7%E9%98%AA%E5%B8%82%E9%AB%98%E4%BA%95%E7%94%B0%E5%85%83%E7%94%BA2%E4%B8%81%E7%9B%AE</v>
      </c>
      <c r="E426" t="str">
        <f t="shared" si="37"/>
        <v xml:space="preserve">&lt;?xml version="1.0" encoding="UTF-8" ?&gt;
&lt;results&gt;
&lt;query&gt;大阪府東大阪市高井田元町2丁目&lt;/query&gt;
&lt;geodetic&gt;wgs1984&lt;/geodetic&gt;
&lt;iConf&gt;5&lt;/iConf&gt;
&lt;converted&gt;大阪府東大阪市高井田元町2丁目&lt;/converted&gt;
&lt;candidate&gt;
&lt;address&gt;大阪府/東大阪市/高井田元町/二丁目&lt;/address&gt;
&lt;longitude&gt;135.575806&lt;/longitude&gt;
&lt;latitude&gt;34.666599&lt;/latitude&gt;
&lt;iLvl&gt;6&lt;/iLvl&gt;
&lt;/candidate&gt;
&lt;/results&gt;
</v>
      </c>
      <c r="F426" cm="1">
        <f t="array" ref="F426">INDEX(_xlfn.FILTERXML(E426,"//latitude"),1)</f>
        <v>34.666598999999998</v>
      </c>
      <c r="G426" cm="1">
        <f t="array" ref="G426">INDEX(_xlfn.FILTERXML(E426,"//longitude"),1)</f>
        <v>135.575806</v>
      </c>
      <c r="H426">
        <v>34.666598999999998</v>
      </c>
      <c r="I426">
        <v>135.575806</v>
      </c>
    </row>
    <row r="427" spans="1:9" x14ac:dyDescent="0.4">
      <c r="A427" t="s">
        <v>23</v>
      </c>
      <c r="B427" t="s">
        <v>592</v>
      </c>
      <c r="C427" t="str">
        <f t="shared" si="35"/>
        <v>京都府長岡京市神足木寺町</v>
      </c>
      <c r="D427" s="2" t="str">
        <f t="shared" si="36"/>
        <v>http://geocode.csis.u-tokyo.ac.jp/cgi-bin/simple_geocode.cgi?charset=UTF8&amp;addr=%E4%BA%AC%E9%83%BD%E5%BA%9C%E9%95%B7%E5%B2%A1%E4%BA%AC%E5%B8%82%E7%A5%9E%E8%B6%B3%E6%9C%A8%E5%AF%BA%E7%94%BA</v>
      </c>
      <c r="E427" t="str">
        <f t="shared" si="37"/>
        <v xml:space="preserve">&lt;?xml version="1.0" encoding="UTF-8" ?&gt;
&lt;results&gt;
&lt;query&gt;京都府長岡京市神足木寺町&lt;/query&gt;
&lt;geodetic&gt;wgs1984&lt;/geodetic&gt;
&lt;iConf&gt;5&lt;/iConf&gt;
&lt;converted&gt;京都府長岡京市神足木寺町&lt;/converted&gt;
&lt;candidate&gt;
&lt;address&gt;京都府/長岡京市/神足/木寺町&lt;/address&gt;
&lt;longitude&gt;135.705185&lt;/longitude&gt;
&lt;latitude&gt;34.918755&lt;/latitude&gt;
&lt;iLvl&gt;6&lt;/iLvl&gt;
&lt;/candidate&gt;
&lt;/results&gt;
</v>
      </c>
      <c r="F427" cm="1">
        <f t="array" ref="F427">INDEX(_xlfn.FILTERXML(E427,"//latitude"),1)</f>
        <v>34.918754999999997</v>
      </c>
      <c r="G427" cm="1">
        <f t="array" ref="G427">INDEX(_xlfn.FILTERXML(E427,"//longitude"),1)</f>
        <v>135.705185</v>
      </c>
      <c r="H427">
        <v>34.918754999999997</v>
      </c>
      <c r="I427">
        <v>135.705185</v>
      </c>
    </row>
    <row r="428" spans="1:9" x14ac:dyDescent="0.4">
      <c r="A428" t="s">
        <v>16</v>
      </c>
      <c r="B428" t="s">
        <v>593</v>
      </c>
      <c r="C428" t="str">
        <f t="shared" si="35"/>
        <v>千葉県柏市永楽台</v>
      </c>
      <c r="D428" s="2" t="str">
        <f t="shared" si="36"/>
        <v>http://geocode.csis.u-tokyo.ac.jp/cgi-bin/simple_geocode.cgi?charset=UTF8&amp;addr=%E5%8D%83%E8%91%89%E7%9C%8C%E6%9F%8F%E5%B8%82%E6%B0%B8%E6%A5%BD%E5%8F%B0</v>
      </c>
      <c r="E428" t="str">
        <f t="shared" si="37"/>
        <v xml:space="preserve">&lt;?xml version="1.0" encoding="UTF-8" ?&gt;
&lt;results&gt;
&lt;query&gt;千葉県柏市永楽台&lt;/query&gt;
&lt;geodetic&gt;wgs1984&lt;/geodetic&gt;
&lt;iConf&gt;5&lt;/iConf&gt;
&lt;converted&gt;千葉県柏市永楽台&lt;/converted&gt;
&lt;candidate&gt;
&lt;address&gt;千葉県/柏市/永楽台&lt;/address&gt;
&lt;longitude&gt;139.968948&lt;/longitude&gt;
&lt;latitude&gt;35.844578&lt;/latitude&gt;
&lt;iLvl&gt;5&lt;/iLvl&gt;
&lt;/candidate&gt;
&lt;/results&gt;
</v>
      </c>
      <c r="F428" cm="1">
        <f t="array" ref="F428">INDEX(_xlfn.FILTERXML(E428,"//latitude"),1)</f>
        <v>35.844577999999998</v>
      </c>
      <c r="G428" cm="1">
        <f t="array" ref="G428">INDEX(_xlfn.FILTERXML(E428,"//longitude"),1)</f>
        <v>139.96894800000001</v>
      </c>
      <c r="H428">
        <v>35.844577999999998</v>
      </c>
      <c r="I428">
        <v>139.96894800000001</v>
      </c>
    </row>
    <row r="429" spans="1:9" x14ac:dyDescent="0.4">
      <c r="A429" t="s">
        <v>164</v>
      </c>
      <c r="B429" t="s">
        <v>594</v>
      </c>
      <c r="C429" t="str">
        <f t="shared" si="35"/>
        <v>広島県広島市安佐北区あさひが丘</v>
      </c>
      <c r="D429" s="2" t="str">
        <f t="shared" si="36"/>
        <v>http://geocode.csis.u-tokyo.ac.jp/cgi-bin/simple_geocode.cgi?charset=UTF8&amp;addr=%E5%BA%83%E5%B3%B6%E7%9C%8C%E5%BA%83%E5%B3%B6%E5%B8%82%E5%AE%89%E4%BD%90%E5%8C%97%E5%8C%BA%E3%81%82%E3%81%95%E3%81%B2%E3%81%8C%E4%B8%98</v>
      </c>
      <c r="E429" t="str">
        <f t="shared" si="37"/>
        <v xml:space="preserve">&lt;?xml version="1.0" encoding="UTF-8" ?&gt;
&lt;results&gt;
&lt;query&gt;広島県広島市安佐北区あさひが丘&lt;/query&gt;
&lt;geodetic&gt;wgs1984&lt;/geodetic&gt;
&lt;iConf&gt;5&lt;/iConf&gt;
&lt;converted&gt;広島県広島市安佐北区あさひが丘&lt;/converted&gt;
&lt;candidate&gt;
&lt;address&gt;広島県/広島市/安佐北区/あさひが丘&lt;/address&gt;
&lt;longitude&gt;132.440414&lt;/longitude&gt;
&lt;latitude&gt;34.504936&lt;/latitude&gt;
&lt;iLvl&gt;5&lt;/iLvl&gt;
&lt;/candidate&gt;
&lt;/results&gt;
</v>
      </c>
      <c r="F429" cm="1">
        <f t="array" ref="F429">INDEX(_xlfn.FILTERXML(E429,"//latitude"),1)</f>
        <v>34.504936000000001</v>
      </c>
      <c r="G429" cm="1">
        <f t="array" ref="G429">INDEX(_xlfn.FILTERXML(E429,"//longitude"),1)</f>
        <v>132.440414</v>
      </c>
      <c r="H429">
        <v>34.504936000000001</v>
      </c>
      <c r="I429">
        <v>132.440414</v>
      </c>
    </row>
    <row r="430" spans="1:9" x14ac:dyDescent="0.4">
      <c r="A430" t="s">
        <v>148</v>
      </c>
      <c r="B430" t="s">
        <v>595</v>
      </c>
      <c r="C430" t="str">
        <f t="shared" si="35"/>
        <v>愛媛県今治市鯉池町１丁目</v>
      </c>
      <c r="D430" s="2" t="str">
        <f t="shared" si="36"/>
        <v>http://geocode.csis.u-tokyo.ac.jp/cgi-bin/simple_geocode.cgi?charset=UTF8&amp;addr=%E6%84%9B%E5%AA%9B%E7%9C%8C%E4%BB%8A%E6%B2%BB%E5%B8%82%E9%AF%89%E6%B1%A0%E7%94%BA%EF%BC%91%E4%B8%81%E7%9B%AE</v>
      </c>
      <c r="E430" t="str">
        <f t="shared" si="37"/>
        <v xml:space="preserve">&lt;?xml version="1.0" encoding="UTF-8" ?&gt;
&lt;results&gt;
&lt;query&gt;愛媛県今治市鯉池町１丁目&lt;/query&gt;
&lt;geodetic&gt;wgs1984&lt;/geodetic&gt;
&lt;iConf&gt;5&lt;/iConf&gt;
&lt;converted&gt;愛媛県今治市鯉池町１丁目&lt;/converted&gt;
&lt;candidate&gt;
&lt;address&gt;愛媛県/今治市/鯉池町/一丁目&lt;/address&gt;
&lt;longitude&gt;132.987640&lt;/longitude&gt;
&lt;latitude&gt;34.052944&lt;/latitude&gt;
&lt;iLvl&gt;6&lt;/iLvl&gt;
&lt;/candidate&gt;
&lt;/results&gt;
</v>
      </c>
      <c r="F430" cm="1">
        <f t="array" ref="F430">INDEX(_xlfn.FILTERXML(E430,"//latitude"),1)</f>
        <v>34.052943999999997</v>
      </c>
      <c r="G430" cm="1">
        <f t="array" ref="G430">INDEX(_xlfn.FILTERXML(E430,"//longitude"),1)</f>
        <v>132.98764</v>
      </c>
      <c r="H430">
        <v>34.052943999999997</v>
      </c>
      <c r="I430">
        <v>132.98764</v>
      </c>
    </row>
    <row r="431" spans="1:9" x14ac:dyDescent="0.4">
      <c r="A431" t="s">
        <v>16</v>
      </c>
      <c r="B431" t="s">
        <v>596</v>
      </c>
      <c r="C431" t="str">
        <f t="shared" si="35"/>
        <v>千葉県千葉市美浜区打瀬</v>
      </c>
      <c r="D431" s="2" t="str">
        <f t="shared" si="36"/>
        <v>http://geocode.csis.u-tokyo.ac.jp/cgi-bin/simple_geocode.cgi?charset=UTF8&amp;addr=%E5%8D%83%E8%91%89%E7%9C%8C%E5%8D%83%E8%91%89%E5%B8%82%E7%BE%8E%E6%B5%9C%E5%8C%BA%E6%89%93%E7%80%AC</v>
      </c>
      <c r="E431" t="str">
        <f t="shared" si="37"/>
        <v xml:space="preserve">&lt;?xml version="1.0" encoding="UTF-8" ?&gt;
&lt;results&gt;
&lt;query&gt;千葉県千葉市美浜区打瀬&lt;/query&gt;
&lt;geodetic&gt;wgs1984&lt;/geodetic&gt;
&lt;iConf&gt;5&lt;/iConf&gt;
&lt;converted&gt;千葉県千葉市美浜区打瀬&lt;/converted&gt;
&lt;candidate&gt;
&lt;address&gt;千葉県/千葉市/美浜区/打瀬&lt;/address&gt;
&lt;longitude&gt;140.049652&lt;/longitude&gt;
&lt;latitude&gt;35.641865&lt;/latitude&gt;
&lt;iLvl&gt;5&lt;/iLvl&gt;
&lt;/candidate&gt;
&lt;/results&gt;
</v>
      </c>
      <c r="F431" cm="1">
        <f t="array" ref="F431">INDEX(_xlfn.FILTERXML(E431,"//latitude"),1)</f>
        <v>35.641865000000003</v>
      </c>
      <c r="G431" cm="1">
        <f t="array" ref="G431">INDEX(_xlfn.FILTERXML(E431,"//longitude"),1)</f>
        <v>140.04965200000001</v>
      </c>
      <c r="H431">
        <v>35.641865000000003</v>
      </c>
      <c r="I431">
        <v>140.04965200000001</v>
      </c>
    </row>
    <row r="432" spans="1:9" x14ac:dyDescent="0.4">
      <c r="A432" t="s">
        <v>126</v>
      </c>
      <c r="B432" t="s">
        <v>597</v>
      </c>
      <c r="C432" t="str">
        <f t="shared" si="35"/>
        <v>鳥取県鳥取市気高町</v>
      </c>
      <c r="D432" s="2" t="str">
        <f t="shared" si="36"/>
        <v>http://geocode.csis.u-tokyo.ac.jp/cgi-bin/simple_geocode.cgi?charset=UTF8&amp;addr=%E9%B3%A5%E5%8F%96%E7%9C%8C%E9%B3%A5%E5%8F%96%E5%B8%82%E6%B0%97%E9%AB%98%E7%94%BA</v>
      </c>
      <c r="E432" t="str">
        <f t="shared" si="37"/>
        <v xml:space="preserve">&lt;?xml version="1.0" encoding="UTF-8" ?&gt;
&lt;results&gt;
&lt;query&gt;鳥取県鳥取市気高町&lt;/query&gt;
&lt;geodetic&gt;wgs1984&lt;/geodetic&gt;
&lt;iConf&gt;4&lt;/iConf&gt;
&lt;converted&gt;鳥取県鳥取市気高町&lt;/converted&gt;
&lt;candidate&gt;
&lt;address&gt;鳥取県/鳥取市/気高町二本木&lt;/address&gt;
&lt;longitude&gt;134.067795&lt;/longitude&gt;
&lt;latitude&gt;35.491932&lt;/latitude&gt;
&lt;iLvl&gt;5&lt;/iLvl&gt;
&lt;/candidate&gt;
&lt;candidate&gt;
&lt;address&gt;鳥取県/鳥取市/気高町八束水&lt;/address&gt;
&lt;longitude&gt;134.025314&lt;/longitude&gt;
&lt;latitude&gt;35.512955&lt;/latitude&gt;
&lt;iLvl&gt;5&lt;/iLvl&gt;
&lt;/candidate&gt;
&lt;candidate&gt;
&lt;address&gt;鳥取県/鳥取市/気高町八幡&lt;/address&gt;
&lt;longitude&gt;134.042175&lt;/longitude&gt;
&lt;latitude&gt;35.508247&lt;/latitude&gt;
&lt;iLvl&gt;5&lt;/iLvl&gt;
&lt;/candidate&gt;
&lt;candidate&gt;
&lt;address&gt;鳥取県/鳥取市/気高町奥沢見&lt;/address&gt;
&lt;longitude&gt;134.093658&lt;/longitude&gt;
&lt;latitude&gt;35.507984&lt;/latitude&gt;
&lt;iLvl&gt;5&lt;/iLvl&gt;
&lt;/candidate&gt;
&lt;candidate&gt;
&lt;address&gt;鳥取県/鳥取市/気高町下原&lt;/address&gt;
&lt;longitude&gt;134.031891&lt;/longitude&gt;
&lt;latitude&gt;35.506344&lt;/latitude&gt;
&lt;iLvl&gt;5&lt;/iLvl&gt;
&lt;/candidate&gt;
&lt;candidate&gt;
&lt;address&gt;鳥取県/鳥取市/気高町下光元&lt;/address&gt;
&lt;longitude&gt;134.087173&lt;/longitude&gt;
&lt;latitude&gt;35.488171&lt;/latitude&gt;
&lt;iLvl&gt;5&lt;/iLvl&gt;
&lt;/candidate&gt;
&lt;candidate&gt;
&lt;address&gt;鳥取県/鳥取市/気高町下坂本&lt;/address&gt;
&lt;longitude&gt;134.072433&lt;/longitude&gt;
&lt;latitude&gt;35.504475&lt;/latitude&gt;
&lt;iLvl&gt;5&lt;/iLvl&gt;
&lt;/candidate&gt;
&lt;candidate&gt;
&lt;address&gt;鳥取県/鳥取市/気高町下石&lt;/address&gt;
&lt;longitude&gt;134.044678&lt;/longitude&gt;
&lt;latitude&gt;35.466091&lt;/latitude&gt;
&lt;iLvl&gt;5&lt;/iLvl&gt;
&lt;/candidate&gt;
&lt;candidate&gt;
&lt;address&gt;鳥取県/鳥取市/気高町会下&lt;/address&gt;
&lt;longitude&gt;134.031982&lt;/longitude&gt;
&lt;latitude&gt;35.499950&lt;/latitude&gt;
&lt;iLvl&gt;5&lt;/iLvl&gt;
&lt;/candidate&gt;
&lt;candidate&gt;
&lt;address&gt;鳥取県/鳥取市/気高町郡家&lt;/address&gt;
&lt;longitude&gt;134.040665&lt;/longitude&gt;
&lt;latitude&gt;35.493801&lt;/latitude&gt;
&lt;iLvl&gt;5&lt;/iLvl&gt;
&lt;/candidate&gt;
&lt;candidate&gt;
&lt;address&gt;鳥取県/鳥取市/気高町高江&lt;/address&gt;
&lt;longitude&gt;134.041855&lt;/longitude&gt;
&lt;latitude&gt;35.500217&lt;/latitude&gt;
&lt;iLvl&gt;5&lt;/iLvl&gt;
&lt;/candidate&gt;
&lt;candidate&gt;
&lt;address&gt;鳥取県/鳥取市/気高町山宮&lt;/address&gt;
&lt;longitude&gt;134.036316&lt;/longitude&gt;
&lt;latitude&gt;35.479805&lt;/latitude&gt;
&lt;iLvl&gt;5&lt;/iLvl&gt;
&lt;/candidate&gt;
&lt;candidate&gt;
&lt;address&gt;鳥取県/鳥取市/気高町酒津&lt;/address&gt;
&lt;longitude&gt;134.088196&lt;/longitude&gt;
&lt;latitude&gt;35.522125&lt;/latitude&gt;
&lt;iLvl&gt;5&lt;/iLvl&gt;
&lt;/candidate&gt;
&lt;candidate&gt;
&lt;address&gt;鳥取県/鳥取市/気高町重高&lt;/address&gt;
&lt;longitude&gt;134.066910&lt;/longitude&gt;
&lt;latitude&gt;35.486721&lt;/latitude&gt;
&lt;iLvl&gt;5&lt;/iLvl&gt;
&lt;/candidate&gt;
&lt;candidate&gt;
&lt;address&gt;鳥取県/鳥取市/気高町宿&lt;/address&gt;
&lt;longitude&gt;134.062180&lt;/longitude&gt;
&lt;latitude&gt;35.472233&lt;/latitude&gt;
&lt;iLvl&gt;5&lt;/iLvl&gt;
&lt;/candidate&gt;
&lt;candidate&gt;
&lt;address&gt;鳥取県/鳥取市/気高町勝見&lt;/address&gt;
&lt;longitude&gt;134.050629&lt;/longitude&gt;
&lt;latitude&gt;35.504845&lt;/latitude&gt;
&lt;iLvl&gt;5&lt;/iLvl&gt;
&lt;/candidate&gt;
&lt;candidate&gt;
&lt;address&gt;鳥取県/鳥取市/気高町上原&lt;/address&gt;
&lt;longitude&gt;134.040085&lt;/longitude&gt;
&lt;latitude&gt;35.471539&lt;/latitude&gt;
&lt;iLvl&gt;5&lt;/iLvl&gt;
&lt;/candidate&gt;
&lt;candidate&gt;
&lt;address&gt;鳥取県/鳥取市/気高町上光&lt;/address&gt;
&lt;longitude&gt;134.077896&lt;/longitude&gt;
&lt;latitude&gt;35.479919&lt;/latitude&gt;
&lt;iLvl&gt;5&lt;/iLvl&gt;
&lt;/candidate&gt;
&lt;candidate&gt;
&lt;address&gt;鳥取県/鳥取市/気高町常松&lt;/address&gt;
&lt;longitude&gt;134.082474&lt;/longitude&gt;
&lt;latitude&gt;35.503098&lt;/latitude&gt;
&lt;iLvl&gt;5&lt;/iLvl&gt;
&lt;/candidate&gt;
&lt;candidate&gt;
&lt;address&gt;鳥取県/鳥取市/気高町新町&lt;/address&gt;
&lt;longitude&gt;134.044662&lt;/longitude&gt;
&lt;latitude&gt;35.511803&lt;/latitude&gt;
&lt;iLvl&gt;5&lt;/iLvl&gt;
&lt;/candidate&gt;
&lt;candidate&gt;
&lt;address&gt;鳥取県/鳥取市/気高町殿&lt;/address&gt;
&lt;longitude&gt;134.036240&lt;/longitude&gt;
&lt;latitude&gt;35.455597&lt;/latitude&gt;
&lt;iLvl&gt;5&lt;/iLvl&gt;
&lt;/candidate&gt;
&lt;candidate&gt;
&lt;address&gt;鳥取県/鳥取市/気高町土居&lt;/address&gt;
&lt;longitude&gt;134.065491&lt;/longitude&gt;
&lt;latitude&gt;35.480469&lt;/latitude&gt;
&lt;iLvl&gt;5&lt;/iLvl&gt;
&lt;/candidate&gt;
&lt;candidate&gt;
&lt;address&gt;鳥取県/鳥取市/気高町日光&lt;/address&gt;
&lt;longitude&gt;134.063644&lt;/longitude&gt;
&lt;latitude&gt;35.506462&lt;/latitude&gt;
&lt;iLvl&gt;5&lt;/iLvl&gt;
&lt;/candidate&gt;
&lt;candidate&gt;
&lt;address&gt;鳥取県/鳥取市/気高町飯里&lt;/address&gt;
&lt;longitude&gt;134.037766&lt;/longitude&gt;
&lt;latitude&gt;35.465805&lt;/latitude&gt;
&lt;iLvl&gt;5&lt;/iLvl&gt;
&lt;/candidate&gt;
&lt;candidate&gt;
&lt;address&gt;鳥取県/鳥取市/気高町浜村&lt;/address&gt;
&lt;longitude&gt;134.055298&lt;/longitude&gt;
&lt;latitude&gt;35.512417&lt;/latitude&gt;
&lt;iLvl&gt;5&lt;/iLvl&gt;
&lt;/candidate&gt;
&lt;candidate&gt;
&lt;address&gt;鳥取県/鳥取市/気高町冨吉&lt;/address&gt;
&lt;longitude&gt;134.081268&lt;/longitude&gt;
&lt;latitude&gt;35.508121&lt;/latitude&gt;
&lt;iLvl&gt;5&lt;/iLvl&gt;
&lt;/candidate&gt;
&lt;candidate&gt;
&lt;address&gt;鳥取県/鳥取市/気高町宝木&lt;/address&gt;
&lt;longitude&gt;134.084061&lt;/longitude&gt;
&lt;latitude&gt;35.514999&lt;/latitude&gt;
&lt;iLvl&gt;5&lt;/iLvl&gt;
&lt;/candidate&gt;
&lt;candidate&gt;
&lt;address&gt;鳥取県/鳥取市/気高町北浜&lt;/address&gt;
&lt;longitude&gt;134.045013&lt;/longitude&gt;
&lt;latitude&gt;35.515640&lt;/latitude&gt;
&lt;iLvl&gt;5&lt;/iLvl&gt;
&lt;/candidate&gt;
&lt;candidate&gt;
&lt;address&gt;鳥取県/鳥取市/気高町睦逢&lt;/address&gt;
&lt;longitude&gt;134.032013&lt;/longitude&gt;
&lt;latitude&gt;35.490231&lt;/latitude&gt;
&lt;iLvl&gt;5&lt;/iLvl&gt;
&lt;/candidate&gt;
&lt;/results&gt;
</v>
      </c>
      <c r="F432" cm="1">
        <f t="array" ref="F432">INDEX(_xlfn.FILTERXML(E432,"//latitude"),1)</f>
        <v>35.491931999999998</v>
      </c>
      <c r="G432" cm="1">
        <f t="array" ref="G432">INDEX(_xlfn.FILTERXML(E432,"//longitude"),1)</f>
        <v>134.06779499999999</v>
      </c>
      <c r="H432">
        <v>35.491931999999998</v>
      </c>
      <c r="I432">
        <v>134.06779499999999</v>
      </c>
    </row>
    <row r="433" spans="1:9" x14ac:dyDescent="0.4">
      <c r="A433" t="s">
        <v>12</v>
      </c>
      <c r="B433" t="s">
        <v>598</v>
      </c>
      <c r="C433" t="str">
        <f t="shared" si="35"/>
        <v>埼玉県東松山市</v>
      </c>
      <c r="D433" s="2" t="str">
        <f t="shared" si="36"/>
        <v>http://geocode.csis.u-tokyo.ac.jp/cgi-bin/simple_geocode.cgi?charset=UTF8&amp;addr=%E5%9F%BC%E7%8E%89%E7%9C%8C%E6%9D%B1%E6%9D%BE%E5%B1%B1%E5%B8%82</v>
      </c>
      <c r="E433" t="str">
        <f t="shared" si="37"/>
        <v xml:space="preserve">&lt;?xml version="1.0" encoding="UTF-8" ?&gt;
&lt;results&gt;
&lt;query&gt;埼玉県東松山市&lt;/query&gt;
&lt;geodetic&gt;wgs1984&lt;/geodetic&gt;
&lt;iConf&gt;5&lt;/iConf&gt;
&lt;converted&gt;埼玉県東松山市&lt;/converted&gt;
&lt;candidate&gt;
&lt;address&gt;埼玉県/東松山市&lt;/address&gt;
&lt;longitude&gt;139.399948&lt;/longitude&gt;
&lt;latitude&gt;36.042164&lt;/latitude&gt;
&lt;iLvl&gt;3&lt;/iLvl&gt;
&lt;/candidate&gt;
&lt;/results&gt;
</v>
      </c>
      <c r="F433" cm="1">
        <f t="array" ref="F433">INDEX(_xlfn.FILTERXML(E433,"//latitude"),1)</f>
        <v>36.042164</v>
      </c>
      <c r="G433" cm="1">
        <f t="array" ref="G433">INDEX(_xlfn.FILTERXML(E433,"//longitude"),1)</f>
        <v>139.39994799999999</v>
      </c>
      <c r="H433">
        <v>36.042164</v>
      </c>
      <c r="I433">
        <v>139.39994799999999</v>
      </c>
    </row>
    <row r="434" spans="1:9" x14ac:dyDescent="0.4">
      <c r="A434" t="s">
        <v>11</v>
      </c>
      <c r="B434" t="s">
        <v>599</v>
      </c>
      <c r="C434" t="str">
        <f t="shared" si="35"/>
        <v>大阪府大阪市港区三先</v>
      </c>
      <c r="D434" s="2" t="str">
        <f t="shared" si="36"/>
        <v>http://geocode.csis.u-tokyo.ac.jp/cgi-bin/simple_geocode.cgi?charset=UTF8&amp;addr=%E5%A4%A7%E9%98%AA%E5%BA%9C%E5%A4%A7%E9%98%AA%E5%B8%82%E6%B8%AF%E5%8C%BA%E4%B8%89%E5%85%88</v>
      </c>
      <c r="E434" t="str">
        <f t="shared" si="37"/>
        <v xml:space="preserve">&lt;?xml version="1.0" encoding="UTF-8" ?&gt;
&lt;results&gt;
&lt;query&gt;大阪府大阪市港区三先&lt;/query&gt;
&lt;geodetic&gt;wgs1984&lt;/geodetic&gt;
&lt;iConf&gt;5&lt;/iConf&gt;
&lt;converted&gt;大阪府大阪市港区三先&lt;/converted&gt;
&lt;candidate&gt;
&lt;address&gt;大阪府/大阪市/港区/三先&lt;/address&gt;
&lt;longitude&gt;135.455338&lt;/longitude&gt;
&lt;latitude&gt;34.660412&lt;/latitude&gt;
&lt;iLvl&gt;5&lt;/iLvl&gt;
&lt;/candidate&gt;
&lt;/results&gt;
</v>
      </c>
      <c r="F434" cm="1">
        <f t="array" ref="F434">INDEX(_xlfn.FILTERXML(E434,"//latitude"),1)</f>
        <v>34.660412000000001</v>
      </c>
      <c r="G434" cm="1">
        <f t="array" ref="G434">INDEX(_xlfn.FILTERXML(E434,"//longitude"),1)</f>
        <v>135.45533800000001</v>
      </c>
      <c r="H434">
        <v>34.660412000000001</v>
      </c>
      <c r="I434">
        <v>135.45533800000001</v>
      </c>
    </row>
    <row r="435" spans="1:9" x14ac:dyDescent="0.4">
      <c r="A435" t="s">
        <v>194</v>
      </c>
      <c r="B435" t="s">
        <v>600</v>
      </c>
      <c r="C435" t="str">
        <f t="shared" si="35"/>
        <v>沖縄県宜野湾市大山</v>
      </c>
      <c r="D435" s="2" t="str">
        <f t="shared" si="36"/>
        <v>http://geocode.csis.u-tokyo.ac.jp/cgi-bin/simple_geocode.cgi?charset=UTF8&amp;addr=%E6%B2%96%E7%B8%84%E7%9C%8C%E5%AE%9C%E9%87%8E%E6%B9%BE%E5%B8%82%E5%A4%A7%E5%B1%B1</v>
      </c>
      <c r="E435" t="str">
        <f t="shared" si="37"/>
        <v xml:space="preserve">&lt;?xml version="1.0" encoding="UTF-8" ?&gt;
&lt;results&gt;
&lt;query&gt;沖縄県宜野湾市大山&lt;/query&gt;
&lt;geodetic&gt;wgs1984&lt;/geodetic&gt;
&lt;iConf&gt;5&lt;/iConf&gt;
&lt;converted&gt;沖縄県宜野湾市大山&lt;/converted&gt;
&lt;candidate&gt;
&lt;address&gt;沖縄県/宜野湾市/大山&lt;/address&gt;
&lt;longitude&gt;127.751480&lt;/longitude&gt;
&lt;latitude&gt;26.280647&lt;/latitude&gt;
&lt;iLvl&gt;5&lt;/iLvl&gt;
&lt;/candidate&gt;
&lt;/results&gt;
</v>
      </c>
      <c r="F435" cm="1">
        <f t="array" ref="F435">INDEX(_xlfn.FILTERXML(E435,"//latitude"),1)</f>
        <v>26.280646999999998</v>
      </c>
      <c r="G435" cm="1">
        <f t="array" ref="G435">INDEX(_xlfn.FILTERXML(E435,"//longitude"),1)</f>
        <v>127.75148</v>
      </c>
      <c r="H435">
        <v>26.280646999999998</v>
      </c>
      <c r="I435">
        <v>127.75148</v>
      </c>
    </row>
    <row r="436" spans="1:9" x14ac:dyDescent="0.4">
      <c r="A436" t="s">
        <v>12</v>
      </c>
      <c r="B436" t="s">
        <v>601</v>
      </c>
      <c r="C436" t="str">
        <f t="shared" si="35"/>
        <v>埼玉県鴻巣市吹上</v>
      </c>
      <c r="D436" s="2" t="str">
        <f t="shared" si="36"/>
        <v>http://geocode.csis.u-tokyo.ac.jp/cgi-bin/simple_geocode.cgi?charset=UTF8&amp;addr=%E5%9F%BC%E7%8E%89%E7%9C%8C%E9%B4%BB%E5%B7%A3%E5%B8%82%E5%90%B9%E4%B8%8A</v>
      </c>
      <c r="E436" t="str">
        <f t="shared" si="37"/>
        <v xml:space="preserve">&lt;?xml version="1.0" encoding="UTF-8" ?&gt;
&lt;results&gt;
&lt;query&gt;埼玉県鴻巣市吹上&lt;/query&gt;
&lt;geodetic&gt;wgs1984&lt;/geodetic&gt;
&lt;iConf&gt;5&lt;/iConf&gt;
&lt;converted&gt;埼玉県鴻巣市吹上&lt;/converted&gt;
&lt;candidate&gt;
&lt;address&gt;埼玉県/鴻巣市/吹上&lt;/address&gt;
&lt;longitude&gt;139.454712&lt;/longitude&gt;
&lt;latitude&gt;36.093285&lt;/latitude&gt;
&lt;iLvl&gt;5&lt;/iLvl&gt;
&lt;/candidate&gt;
&lt;/results&gt;
</v>
      </c>
      <c r="F436" cm="1">
        <f t="array" ref="F436">INDEX(_xlfn.FILTERXML(E436,"//latitude"),1)</f>
        <v>36.093285000000002</v>
      </c>
      <c r="G436" cm="1">
        <f t="array" ref="G436">INDEX(_xlfn.FILTERXML(E436,"//longitude"),1)</f>
        <v>139.454712</v>
      </c>
      <c r="H436">
        <v>36.093285000000002</v>
      </c>
      <c r="I436">
        <v>139.454712</v>
      </c>
    </row>
    <row r="437" spans="1:9" x14ac:dyDescent="0.4">
      <c r="A437" t="s">
        <v>284</v>
      </c>
      <c r="B437" t="s">
        <v>602</v>
      </c>
      <c r="C437" t="str">
        <f t="shared" si="35"/>
        <v>岩手県下閉伊郡山田町飯岡</v>
      </c>
      <c r="D437" s="2" t="str">
        <f t="shared" si="36"/>
        <v>http://geocode.csis.u-tokyo.ac.jp/cgi-bin/simple_geocode.cgi?charset=UTF8&amp;addr=%E5%B2%A9%E6%89%8B%E7%9C%8C%E4%B8%8B%E9%96%89%E4%BC%8A%E9%83%A1%E5%B1%B1%E7%94%B0%E7%94%BA%E9%A3%AF%E5%B2%A1</v>
      </c>
      <c r="E437" t="str">
        <f t="shared" si="37"/>
        <v xml:space="preserve">&lt;?xml version="1.0" encoding="UTF-8" ?&gt;
&lt;results&gt;
&lt;query&gt;岩手県下閉伊郡山田町飯岡&lt;/query&gt;
&lt;geodetic&gt;wgs1984&lt;/geodetic&gt;
&lt;iConf&gt;5&lt;/iConf&gt;
&lt;converted&gt;岩手県下閉伊郡山田町飯岡&lt;/converted&gt;
&lt;candidate&gt;
&lt;address&gt;岩手県/下閉伊郡/山田町/飯岡&lt;/address&gt;
&lt;longitude&gt;141.938141&lt;/longitude&gt;
&lt;latitude&gt;39.460197&lt;/latitude&gt;
&lt;iLvl&gt;5&lt;/iLvl&gt;
&lt;/candidate&gt;
&lt;/results&gt;
</v>
      </c>
      <c r="F437" cm="1">
        <f t="array" ref="F437">INDEX(_xlfn.FILTERXML(E437,"//latitude"),1)</f>
        <v>39.460197000000001</v>
      </c>
      <c r="G437" cm="1">
        <f t="array" ref="G437">INDEX(_xlfn.FILTERXML(E437,"//longitude"),1)</f>
        <v>141.938141</v>
      </c>
      <c r="H437">
        <v>39.460197000000001</v>
      </c>
      <c r="I437">
        <v>141.938141</v>
      </c>
    </row>
    <row r="438" spans="1:9" x14ac:dyDescent="0.4">
      <c r="A438" t="s">
        <v>15</v>
      </c>
      <c r="B438" t="s">
        <v>574</v>
      </c>
      <c r="C438" t="str">
        <f t="shared" si="35"/>
        <v>愛知県名古屋市中川区</v>
      </c>
      <c r="D438" s="2" t="str">
        <f t="shared" si="36"/>
        <v>http://geocode.csis.u-tokyo.ac.jp/cgi-bin/simple_geocode.cgi?charset=UTF8&amp;addr=%E6%84%9B%E7%9F%A5%E7%9C%8C%E5%90%8D%E5%8F%A4%E5%B1%8B%E5%B8%82%E4%B8%AD%E5%B7%9D%E5%8C%BA</v>
      </c>
      <c r="E438" t="str">
        <f t="shared" si="37"/>
        <v xml:space="preserve">&lt;?xml version="1.0" encoding="UTF-8" ?&gt;
&lt;results&gt;
&lt;query&gt;愛知県名古屋市中川区&lt;/query&gt;
&lt;geodetic&gt;wgs1984&lt;/geodetic&gt;
&lt;iConf&gt;5&lt;/iConf&gt;
&lt;converted&gt;愛知県名古屋市中川区&lt;/converted&gt;
&lt;candidate&gt;
&lt;address&gt;愛知県/名古屋市/中川区&lt;/address&gt;
&lt;longitude&gt;136.854813&lt;/longitude&gt;
&lt;latitude&gt;35.141541&lt;/latitude&gt;
&lt;iLvl&gt;4&lt;/iLvl&gt;
&lt;/candidate&gt;
&lt;/results&gt;
</v>
      </c>
      <c r="F438" cm="1">
        <f t="array" ref="F438">INDEX(_xlfn.FILTERXML(E438,"//latitude"),1)</f>
        <v>35.141540999999997</v>
      </c>
      <c r="G438" cm="1">
        <f t="array" ref="G438">INDEX(_xlfn.FILTERXML(E438,"//longitude"),1)</f>
        <v>136.85481300000001</v>
      </c>
      <c r="H438">
        <v>35.141540999999997</v>
      </c>
      <c r="I438">
        <v>136.85481300000001</v>
      </c>
    </row>
    <row r="439" spans="1:9" x14ac:dyDescent="0.4">
      <c r="A439" t="s">
        <v>95</v>
      </c>
      <c r="B439" t="s">
        <v>603</v>
      </c>
      <c r="C439" t="str">
        <f t="shared" si="35"/>
        <v>福島県石川郡石川町大字谷沢字京賀の内</v>
      </c>
      <c r="D439" s="2" t="str">
        <f t="shared" si="36"/>
        <v>http://geocode.csis.u-tokyo.ac.jp/cgi-bin/simple_geocode.cgi?charset=UTF8&amp;addr=%E7%A6%8F%E5%B3%B6%E7%9C%8C%E7%9F%B3%E5%B7%9D%E9%83%A1%E7%9F%B3%E5%B7%9D%E7%94%BA%E5%A4%A7%E5%AD%97%E8%B0%B7%E6%B2%A2%E5%AD%97%E4%BA%AC%E8%B3%80%E3%81%AE%E5%86%85</v>
      </c>
      <c r="E439" t="str">
        <f t="shared" si="37"/>
        <v xml:space="preserve">&lt;?xml version="1.0" encoding="UTF-8" ?&gt;
&lt;results&gt;
&lt;query&gt;福島県石川郡石川町大字谷沢字京賀の内&lt;/query&gt;
&lt;geodetic&gt;wgs1984&lt;/geodetic&gt;
&lt;iConf&gt;5&lt;/iConf&gt;
&lt;converted&gt;福島県石川郡石川町大字谷沢字&lt;/converted&gt;
&lt;candidate&gt;
&lt;address&gt;福島県/石川郡/石川町/大字谷沢&lt;/address&gt;
&lt;longitude&gt;140.492172&lt;/longitude&gt;
&lt;latitude&gt;37.121735&lt;/latitude&gt;
&lt;iLvl&gt;5&lt;/iLvl&gt;
&lt;/candidate&gt;
&lt;/results&gt;
</v>
      </c>
      <c r="F439" cm="1">
        <f t="array" ref="F439">INDEX(_xlfn.FILTERXML(E439,"//latitude"),1)</f>
        <v>37.121735000000001</v>
      </c>
      <c r="G439" cm="1">
        <f t="array" ref="G439">INDEX(_xlfn.FILTERXML(E439,"//longitude"),1)</f>
        <v>140.49217200000001</v>
      </c>
      <c r="H439">
        <v>37.121735000000001</v>
      </c>
      <c r="I439">
        <v>140.49217200000001</v>
      </c>
    </row>
    <row r="440" spans="1:9" x14ac:dyDescent="0.4">
      <c r="A440" t="s">
        <v>140</v>
      </c>
      <c r="B440" t="s">
        <v>604</v>
      </c>
      <c r="C440" t="str">
        <f t="shared" si="35"/>
        <v>富山県下新川郡入善町</v>
      </c>
      <c r="D440" s="2" t="str">
        <f t="shared" si="36"/>
        <v>http://geocode.csis.u-tokyo.ac.jp/cgi-bin/simple_geocode.cgi?charset=UTF8&amp;addr=%E5%AF%8C%E5%B1%B1%E7%9C%8C%E4%B8%8B%E6%96%B0%E5%B7%9D%E9%83%A1%E5%85%A5%E5%96%84%E7%94%BA</v>
      </c>
      <c r="E440" t="str">
        <f t="shared" si="37"/>
        <v xml:space="preserve">&lt;?xml version="1.0" encoding="UTF-8" ?&gt;
&lt;results&gt;
&lt;query&gt;富山県下新川郡入善町&lt;/query&gt;
&lt;geodetic&gt;wgs1984&lt;/geodetic&gt;
&lt;iConf&gt;5&lt;/iConf&gt;
&lt;converted&gt;富山県下新川郡入善町&lt;/converted&gt;
&lt;candidate&gt;
&lt;address&gt;富山県/下新川郡/入善町&lt;/address&gt;
&lt;longitude&gt;137.502121&lt;/longitude&gt;
&lt;latitude&gt;36.933578&lt;/latitude&gt;
&lt;iLvl&gt;3&lt;/iLvl&gt;
&lt;/candidate&gt;
&lt;/results&gt;
</v>
      </c>
      <c r="F440" cm="1">
        <f t="array" ref="F440">INDEX(_xlfn.FILTERXML(E440,"//latitude"),1)</f>
        <v>36.933577999999997</v>
      </c>
      <c r="G440" cm="1">
        <f t="array" ref="G440">INDEX(_xlfn.FILTERXML(E440,"//longitude"),1)</f>
        <v>137.50212099999999</v>
      </c>
      <c r="H440">
        <v>36.933577999999997</v>
      </c>
      <c r="I440">
        <v>137.50212099999999</v>
      </c>
    </row>
    <row r="441" spans="1:9" x14ac:dyDescent="0.4">
      <c r="A441" t="s">
        <v>24</v>
      </c>
      <c r="B441" t="s">
        <v>605</v>
      </c>
      <c r="C441" t="str">
        <f t="shared" si="35"/>
        <v>静岡県沼津市</v>
      </c>
      <c r="D441" s="2" t="str">
        <f t="shared" si="36"/>
        <v>http://geocode.csis.u-tokyo.ac.jp/cgi-bin/simple_geocode.cgi?charset=UTF8&amp;addr=%E9%9D%99%E5%B2%A1%E7%9C%8C%E6%B2%BC%E6%B4%A5%E5%B8%82</v>
      </c>
      <c r="E441" t="str">
        <f t="shared" si="37"/>
        <v xml:space="preserve">&lt;?xml version="1.0" encoding="UTF-8" ?&gt;
&lt;results&gt;
&lt;query&gt;静岡県沼津市&lt;/query&gt;
&lt;geodetic&gt;wgs1984&lt;/geodetic&gt;
&lt;iConf&gt;5&lt;/iConf&gt;
&lt;converted&gt;静岡県沼津市&lt;/converted&gt;
&lt;candidate&gt;
&lt;address&gt;静岡県/沼津市&lt;/address&gt;
&lt;longitude&gt;138.863342&lt;/longitude&gt;
&lt;latitude&gt;35.095722&lt;/latitude&gt;
&lt;iLvl&gt;3&lt;/iLvl&gt;
&lt;/candidate&gt;
&lt;/results&gt;
</v>
      </c>
      <c r="F441" cm="1">
        <f t="array" ref="F441">INDEX(_xlfn.FILTERXML(E441,"//latitude"),1)</f>
        <v>35.095722000000002</v>
      </c>
      <c r="G441" cm="1">
        <f t="array" ref="G441">INDEX(_xlfn.FILTERXML(E441,"//longitude"),1)</f>
        <v>138.86334199999999</v>
      </c>
      <c r="H441">
        <v>35.095722000000002</v>
      </c>
      <c r="I441">
        <v>138.86334199999999</v>
      </c>
    </row>
    <row r="442" spans="1:9" x14ac:dyDescent="0.4">
      <c r="A442" t="s">
        <v>19</v>
      </c>
      <c r="B442" t="s">
        <v>606</v>
      </c>
      <c r="C442" t="str">
        <f t="shared" si="35"/>
        <v>福岡県福津市日蒔野</v>
      </c>
      <c r="D442" s="2" t="str">
        <f t="shared" si="36"/>
        <v>http://geocode.csis.u-tokyo.ac.jp/cgi-bin/simple_geocode.cgi?charset=UTF8&amp;addr=%E7%A6%8F%E5%B2%A1%E7%9C%8C%E7%A6%8F%E6%B4%A5%E5%B8%82%E6%97%A5%E8%92%94%E9%87%8E</v>
      </c>
      <c r="E442" t="str">
        <f t="shared" si="37"/>
        <v xml:space="preserve">&lt;?xml version="1.0" encoding="UTF-8" ?&gt;
&lt;results&gt;
&lt;query&gt;福岡県福津市日蒔野&lt;/query&gt;
&lt;geodetic&gt;wgs1984&lt;/geodetic&gt;
&lt;iConf&gt;5&lt;/iConf&gt;
&lt;converted&gt;福岡県福津市日蒔野&lt;/converted&gt;
&lt;candidate&gt;
&lt;address&gt;福岡県/福津市/日蒔野&lt;/address&gt;
&lt;longitude&gt;130.489716&lt;/longitude&gt;
&lt;latitude&gt;33.762524&lt;/latitude&gt;
&lt;iLvl&gt;5&lt;/iLvl&gt;
&lt;/candidate&gt;
&lt;/results&gt;
</v>
      </c>
      <c r="F442" cm="1">
        <f t="array" ref="F442">INDEX(_xlfn.FILTERXML(E442,"//latitude"),1)</f>
        <v>33.762523999999999</v>
      </c>
      <c r="G442" cm="1">
        <f t="array" ref="G442">INDEX(_xlfn.FILTERXML(E442,"//longitude"),1)</f>
        <v>130.48971599999999</v>
      </c>
      <c r="H442">
        <v>33.762523999999999</v>
      </c>
      <c r="I442">
        <v>130.48971599999999</v>
      </c>
    </row>
    <row r="443" spans="1:9" x14ac:dyDescent="0.4">
      <c r="A443" t="s">
        <v>11</v>
      </c>
      <c r="B443" t="s">
        <v>79</v>
      </c>
      <c r="C443" t="str">
        <f t="shared" si="35"/>
        <v>大阪府豊中市</v>
      </c>
      <c r="D443" s="2" t="str">
        <f t="shared" si="36"/>
        <v>http://geocode.csis.u-tokyo.ac.jp/cgi-bin/simple_geocode.cgi?charset=UTF8&amp;addr=%E5%A4%A7%E9%98%AA%E5%BA%9C%E8%B1%8A%E4%B8%AD%E5%B8%82</v>
      </c>
      <c r="E443" t="str">
        <f t="shared" si="37"/>
        <v xml:space="preserve">&lt;?xml version="1.0" encoding="UTF-8" ?&gt;
&lt;results&gt;
&lt;query&gt;大阪府豊中市&lt;/query&gt;
&lt;geodetic&gt;wgs1984&lt;/geodetic&gt;
&lt;iConf&gt;5&lt;/iConf&gt;
&lt;converted&gt;大阪府豊中市&lt;/converted&gt;
&lt;candidate&gt;
&lt;address&gt;大阪府/豊中市&lt;/address&gt;
&lt;longitude&gt;135.469894&lt;/longitude&gt;
&lt;latitude&gt;34.781239&lt;/latitude&gt;
&lt;iLvl&gt;3&lt;/iLvl&gt;
&lt;/candidate&gt;
&lt;/results&gt;
</v>
      </c>
      <c r="F443" cm="1">
        <f t="array" ref="F443">INDEX(_xlfn.FILTERXML(E443,"//latitude"),1)</f>
        <v>34.781238999999999</v>
      </c>
      <c r="G443" cm="1">
        <f t="array" ref="G443">INDEX(_xlfn.FILTERXML(E443,"//longitude"),1)</f>
        <v>135.46989400000001</v>
      </c>
      <c r="H443">
        <v>34.781238999999999</v>
      </c>
      <c r="I443">
        <v>135.46989400000001</v>
      </c>
    </row>
    <row r="444" spans="1:9" x14ac:dyDescent="0.4">
      <c r="A444" t="s">
        <v>9</v>
      </c>
      <c r="B444" t="s">
        <v>607</v>
      </c>
      <c r="C444" t="str">
        <f t="shared" si="35"/>
        <v>東京都中野区</v>
      </c>
      <c r="D444" s="2" t="str">
        <f t="shared" si="36"/>
        <v>http://geocode.csis.u-tokyo.ac.jp/cgi-bin/simple_geocode.cgi?charset=UTF8&amp;addr=%E6%9D%B1%E4%BA%AC%E9%83%BD%E4%B8%AD%E9%87%8E%E5%8C%BA</v>
      </c>
      <c r="E444" t="str">
        <f t="shared" si="37"/>
        <v xml:space="preserve">&lt;?xml version="1.0" encoding="UTF-8" ?&gt;
&lt;results&gt;
&lt;query&gt;東京都中野区&lt;/query&gt;
&lt;geodetic&gt;wgs1984&lt;/geodetic&gt;
&lt;iConf&gt;5&lt;/iConf&gt;
&lt;converted&gt;東京都中野区&lt;/converted&gt;
&lt;candidate&gt;
&lt;address&gt;東京都/中野区&lt;/address&gt;
&lt;longitude&gt;139.663742&lt;/longitude&gt;
&lt;latitude&gt;35.707268&lt;/latitude&gt;
&lt;iLvl&gt;3&lt;/iLvl&gt;
&lt;/candidate&gt;
&lt;/results&gt;
</v>
      </c>
      <c r="F444" cm="1">
        <f t="array" ref="F444">INDEX(_xlfn.FILTERXML(E444,"//latitude"),1)</f>
        <v>35.707267999999999</v>
      </c>
      <c r="G444" cm="1">
        <f t="array" ref="G444">INDEX(_xlfn.FILTERXML(E444,"//longitude"),1)</f>
        <v>139.66374200000001</v>
      </c>
      <c r="H444">
        <v>35.707267999999999</v>
      </c>
      <c r="I444">
        <v>139.66374200000001</v>
      </c>
    </row>
    <row r="445" spans="1:9" x14ac:dyDescent="0.4">
      <c r="A445" t="s">
        <v>16</v>
      </c>
      <c r="B445" t="s">
        <v>608</v>
      </c>
      <c r="C445" t="str">
        <f t="shared" si="35"/>
        <v>千葉県佐倉市染井野</v>
      </c>
      <c r="D445" s="2" t="str">
        <f t="shared" si="36"/>
        <v>http://geocode.csis.u-tokyo.ac.jp/cgi-bin/simple_geocode.cgi?charset=UTF8&amp;addr=%E5%8D%83%E8%91%89%E7%9C%8C%E4%BD%90%E5%80%89%E5%B8%82%E6%9F%93%E4%BA%95%E9%87%8E</v>
      </c>
      <c r="E445" t="str">
        <f t="shared" si="37"/>
        <v xml:space="preserve">&lt;?xml version="1.0" encoding="UTF-8" ?&gt;
&lt;results&gt;
&lt;query&gt;千葉県佐倉市染井野&lt;/query&gt;
&lt;geodetic&gt;wgs1984&lt;/geodetic&gt;
&lt;iConf&gt;5&lt;/iConf&gt;
&lt;converted&gt;千葉県佐倉市染井野&lt;/converted&gt;
&lt;candidate&gt;
&lt;address&gt;千葉県/佐倉市/染井野&lt;/address&gt;
&lt;longitude&gt;140.197617&lt;/longitude&gt;
&lt;latitude&gt;35.722649&lt;/latitude&gt;
&lt;iLvl&gt;5&lt;/iLvl&gt;
&lt;/candidate&gt;
&lt;/results&gt;
</v>
      </c>
      <c r="F445" cm="1">
        <f t="array" ref="F445">INDEX(_xlfn.FILTERXML(E445,"//latitude"),1)</f>
        <v>35.722648999999997</v>
      </c>
      <c r="G445" cm="1">
        <f t="array" ref="G445">INDEX(_xlfn.FILTERXML(E445,"//longitude"),1)</f>
        <v>140.19761700000001</v>
      </c>
      <c r="H445">
        <v>35.722648999999997</v>
      </c>
      <c r="I445">
        <v>140.19761700000001</v>
      </c>
    </row>
    <row r="446" spans="1:9" x14ac:dyDescent="0.4">
      <c r="A446" t="s">
        <v>9</v>
      </c>
      <c r="B446" t="s">
        <v>609</v>
      </c>
      <c r="C446" t="str">
        <f t="shared" si="35"/>
        <v>東京都台東区浅草</v>
      </c>
      <c r="D446" s="2" t="str">
        <f t="shared" si="36"/>
        <v>http://geocode.csis.u-tokyo.ac.jp/cgi-bin/simple_geocode.cgi?charset=UTF8&amp;addr=%E6%9D%B1%E4%BA%AC%E9%83%BD%E5%8F%B0%E6%9D%B1%E5%8C%BA%E6%B5%85%E8%8D%89</v>
      </c>
      <c r="E446" t="str">
        <f t="shared" si="37"/>
        <v xml:space="preserve">&lt;?xml version="1.0" encoding="UTF-8" ?&gt;
&lt;results&gt;
&lt;query&gt;東京都台東区浅草&lt;/query&gt;
&lt;geodetic&gt;wgs1984&lt;/geodetic&gt;
&lt;iConf&gt;5&lt;/iConf&gt;
&lt;converted&gt;東京都台東区浅草&lt;/converted&gt;
&lt;candidate&gt;
&lt;address&gt;東京都/台東区/浅草&lt;/address&gt;
&lt;longitude&gt;139.794907&lt;/longitude&gt;
&lt;latitude&gt;35.712280&lt;/latitude&gt;
&lt;iLvl&gt;5&lt;/iLvl&gt;
&lt;/candidate&gt;
&lt;/results&gt;
</v>
      </c>
      <c r="F446" cm="1">
        <f t="array" ref="F446">INDEX(_xlfn.FILTERXML(E446,"//latitude"),1)</f>
        <v>35.71228</v>
      </c>
      <c r="G446" cm="1">
        <f t="array" ref="G446">INDEX(_xlfn.FILTERXML(E446,"//longitude"),1)</f>
        <v>139.79490699999999</v>
      </c>
      <c r="H446">
        <v>35.71228</v>
      </c>
      <c r="I446">
        <v>139.79490699999999</v>
      </c>
    </row>
    <row r="447" spans="1:9" x14ac:dyDescent="0.4">
      <c r="A447" t="s">
        <v>126</v>
      </c>
      <c r="B447" t="s">
        <v>610</v>
      </c>
      <c r="C447" t="str">
        <f t="shared" si="35"/>
        <v>鳥取県鳥取市正蓮寺</v>
      </c>
      <c r="D447" s="2" t="str">
        <f t="shared" si="36"/>
        <v>http://geocode.csis.u-tokyo.ac.jp/cgi-bin/simple_geocode.cgi?charset=UTF8&amp;addr=%E9%B3%A5%E5%8F%96%E7%9C%8C%E9%B3%A5%E5%8F%96%E5%B8%82%E6%AD%A3%E8%93%AE%E5%AF%BA</v>
      </c>
      <c r="E447" t="str">
        <f t="shared" si="37"/>
        <v xml:space="preserve">&lt;?xml version="1.0" encoding="UTF-8" ?&gt;
&lt;results&gt;
&lt;query&gt;鳥取県鳥取市正蓮寺&lt;/query&gt;
&lt;geodetic&gt;wgs1984&lt;/geodetic&gt;
&lt;iConf&gt;5&lt;/iConf&gt;
&lt;converted&gt;鳥取県鳥取市正蓮寺&lt;/converted&gt;
&lt;candidate&gt;
&lt;address&gt;鳥取県/鳥取市/正蓮寺&lt;/address&gt;
&lt;longitude&gt;134.243256&lt;/longitude&gt;
&lt;latitude&gt;35.472347&lt;/latitude&gt;
&lt;iLvl&gt;5&lt;/iLvl&gt;
&lt;/candidate&gt;
&lt;/results&gt;
</v>
      </c>
      <c r="F447" cm="1">
        <f t="array" ref="F447">INDEX(_xlfn.FILTERXML(E447,"//latitude"),1)</f>
        <v>35.472346999999999</v>
      </c>
      <c r="G447" cm="1">
        <f t="array" ref="G447">INDEX(_xlfn.FILTERXML(E447,"//longitude"),1)</f>
        <v>134.243256</v>
      </c>
      <c r="H447">
        <v>35.472346999999999</v>
      </c>
      <c r="I447">
        <v>134.243256</v>
      </c>
    </row>
    <row r="448" spans="1:9" x14ac:dyDescent="0.4">
      <c r="A448" t="s">
        <v>10</v>
      </c>
      <c r="B448" t="s">
        <v>611</v>
      </c>
      <c r="C448" t="str">
        <f t="shared" si="35"/>
        <v>神奈川県横浜市瀬谷区瀬谷5丁目</v>
      </c>
      <c r="D448" s="2" t="str">
        <f t="shared" si="36"/>
        <v>http://geocode.csis.u-tokyo.ac.jp/cgi-bin/simple_geocode.cgi?charset=UTF8&amp;addr=%E7%A5%9E%E5%A5%88%E5%B7%9D%E7%9C%8C%E6%A8%AA%E6%B5%9C%E5%B8%82%E7%80%AC%E8%B0%B7%E5%8C%BA%E7%80%AC%E8%B0%B75%E4%B8%81%E7%9B%AE</v>
      </c>
      <c r="E448" t="str">
        <f t="shared" si="37"/>
        <v xml:space="preserve">&lt;?xml version="1.0" encoding="UTF-8" ?&gt;
&lt;results&gt;
&lt;query&gt;神奈川県横浜市瀬谷区瀬谷5丁目&lt;/query&gt;
&lt;geodetic&gt;wgs1984&lt;/geodetic&gt;
&lt;iConf&gt;5&lt;/iConf&gt;
&lt;converted&gt;神奈川県横浜市瀬谷区瀬谷5丁目&lt;/converted&gt;
&lt;candidate&gt;
&lt;address&gt;神奈川県/横浜市/瀬谷区/瀬谷/五丁目&lt;/address&gt;
&lt;longitude&gt;139.478165&lt;/longitude&gt;
&lt;latitude&gt;35.467766&lt;/latitude&gt;
&lt;iLvl&gt;6&lt;/iLvl&gt;
&lt;/candidate&gt;
&lt;/results&gt;
</v>
      </c>
      <c r="F448" cm="1">
        <f t="array" ref="F448">INDEX(_xlfn.FILTERXML(E448,"//latitude"),1)</f>
        <v>35.467765999999997</v>
      </c>
      <c r="G448" cm="1">
        <f t="array" ref="G448">INDEX(_xlfn.FILTERXML(E448,"//longitude"),1)</f>
        <v>139.47816499999999</v>
      </c>
      <c r="H448">
        <v>35.467765999999997</v>
      </c>
      <c r="I448">
        <v>139.47816499999999</v>
      </c>
    </row>
    <row r="449" spans="1:9" x14ac:dyDescent="0.4">
      <c r="A449" t="s">
        <v>24</v>
      </c>
      <c r="B449" t="s">
        <v>612</v>
      </c>
      <c r="C449" t="str">
        <f t="shared" si="35"/>
        <v>静岡県浜松市中央区</v>
      </c>
      <c r="D449" s="2" t="str">
        <f t="shared" si="36"/>
        <v>http://geocode.csis.u-tokyo.ac.jp/cgi-bin/simple_geocode.cgi?charset=UTF8&amp;addr=%E9%9D%99%E5%B2%A1%E7%9C%8C%E6%B5%9C%E6%9D%BE%E5%B8%82%E4%B8%AD%E5%A4%AE%E5%8C%BA</v>
      </c>
      <c r="E449" t="str">
        <f t="shared" si="37"/>
        <v xml:space="preserve">&lt;?xml version="1.0" encoding="UTF-8" ?&gt;
&lt;results&gt;
&lt;query&gt;静岡県浜松市中央区&lt;/query&gt;
&lt;geodetic&gt;wgs1984&lt;/geodetic&gt;
&lt;iConf&gt;5&lt;/iConf&gt;
&lt;converted&gt;静岡県浜松市中央区&lt;/converted&gt;
&lt;candidate&gt;
&lt;address&gt;静岡県/浜松市/中央区&lt;/address&gt;
&lt;longitude&gt;137.746826&lt;/longitude&gt;
&lt;latitude&gt;34.708038&lt;/latitude&gt;
&lt;iLvl&gt;4&lt;/iLvl&gt;
&lt;/candidate&gt;
&lt;/results&gt;
</v>
      </c>
      <c r="F449" cm="1">
        <f t="array" ref="F449">INDEX(_xlfn.FILTERXML(E449,"//latitude"),1)</f>
        <v>34.708038000000002</v>
      </c>
      <c r="G449" cm="1">
        <f t="array" ref="G449">INDEX(_xlfn.FILTERXML(E449,"//longitude"),1)</f>
        <v>137.746826</v>
      </c>
      <c r="H449">
        <v>34.708038000000002</v>
      </c>
      <c r="I449">
        <v>137.746826</v>
      </c>
    </row>
    <row r="450" spans="1:9" x14ac:dyDescent="0.4">
      <c r="A450" t="s">
        <v>20</v>
      </c>
      <c r="B450" t="s">
        <v>407</v>
      </c>
      <c r="C450" t="str">
        <f t="shared" si="35"/>
        <v>宮城県柴田郡大河原町南桜町</v>
      </c>
      <c r="D450" s="2" t="str">
        <f t="shared" si="36"/>
        <v>http://geocode.csis.u-tokyo.ac.jp/cgi-bin/simple_geocode.cgi?charset=UTF8&amp;addr=%E5%AE%AE%E5%9F%8E%E7%9C%8C%E6%9F%B4%E7%94%B0%E9%83%A1%E5%A4%A7%E6%B2%B3%E5%8E%9F%E7%94%BA%E5%8D%97%E6%A1%9C%E7%94%BA</v>
      </c>
      <c r="E450" t="str">
        <f t="shared" si="37"/>
        <v xml:space="preserve">&lt;?xml version="1.0" encoding="UTF-8" ?&gt;
&lt;results&gt;
&lt;query&gt;宮城県柴田郡大河原町南桜町&lt;/query&gt;
&lt;geodetic&gt;wgs1984&lt;/geodetic&gt;
&lt;iConf&gt;5&lt;/iConf&gt;
&lt;converted&gt;宮城県柴田郡大河原町南桜町&lt;/converted&gt;
&lt;candidate&gt;
&lt;address&gt;宮城県/柴田郡/大河原町/南桜町&lt;/address&gt;
&lt;longitude&gt;140.743546&lt;/longitude&gt;
&lt;latitude&gt;38.058060&lt;/latitude&gt;
&lt;iLvl&gt;5&lt;/iLvl&gt;
&lt;/candidate&gt;
&lt;/results&gt;
</v>
      </c>
      <c r="F450" cm="1">
        <f t="array" ref="F450">INDEX(_xlfn.FILTERXML(E450,"//latitude"),1)</f>
        <v>38.058059999999998</v>
      </c>
      <c r="G450" cm="1">
        <f t="array" ref="G450">INDEX(_xlfn.FILTERXML(E450,"//longitude"),1)</f>
        <v>140.74354600000001</v>
      </c>
      <c r="H450">
        <v>38.058059999999998</v>
      </c>
      <c r="I450">
        <v>140.74354600000001</v>
      </c>
    </row>
    <row r="451" spans="1:9" x14ac:dyDescent="0.4">
      <c r="A451" t="s">
        <v>15</v>
      </c>
      <c r="B451" t="s">
        <v>408</v>
      </c>
      <c r="C451" t="str">
        <f t="shared" si="35"/>
        <v>愛知県名古屋市東区</v>
      </c>
      <c r="D451" s="2" t="str">
        <f t="shared" si="36"/>
        <v>http://geocode.csis.u-tokyo.ac.jp/cgi-bin/simple_geocode.cgi?charset=UTF8&amp;addr=%E6%84%9B%E7%9F%A5%E7%9C%8C%E5%90%8D%E5%8F%A4%E5%B1%8B%E5%B8%82%E6%9D%B1%E5%8C%BA</v>
      </c>
      <c r="E451" t="str">
        <f t="shared" si="37"/>
        <v xml:space="preserve">&lt;?xml version="1.0" encoding="UTF-8" ?&gt;
&lt;results&gt;
&lt;query&gt;愛知県名古屋市東区&lt;/query&gt;
&lt;geodetic&gt;wgs1984&lt;/geodetic&gt;
&lt;iConf&gt;5&lt;/iConf&gt;
&lt;converted&gt;愛知県名古屋市東区&lt;/converted&gt;
&lt;candidate&gt;
&lt;address&gt;愛知県/名古屋市/東区&lt;/address&gt;
&lt;longitude&gt;136.926041&lt;/longitude&gt;
&lt;latitude&gt;35.179314&lt;/latitude&gt;
&lt;iLvl&gt;4&lt;/iLvl&gt;
&lt;/candidate&gt;
&lt;/results&gt;
</v>
      </c>
      <c r="F451" cm="1">
        <f t="array" ref="F451">INDEX(_xlfn.FILTERXML(E451,"//latitude"),1)</f>
        <v>35.179313999999998</v>
      </c>
      <c r="G451" cm="1">
        <f t="array" ref="G451">INDEX(_xlfn.FILTERXML(E451,"//longitude"),1)</f>
        <v>136.926041</v>
      </c>
      <c r="H451">
        <v>35.179313999999998</v>
      </c>
      <c r="I451">
        <v>136.926041</v>
      </c>
    </row>
    <row r="452" spans="1:9" x14ac:dyDescent="0.4">
      <c r="A452" t="s">
        <v>10</v>
      </c>
      <c r="B452" t="s">
        <v>613</v>
      </c>
      <c r="C452" t="str">
        <f t="shared" si="35"/>
        <v>神奈川県川崎市幸区古市場</v>
      </c>
      <c r="D452" s="2" t="str">
        <f t="shared" si="36"/>
        <v>http://geocode.csis.u-tokyo.ac.jp/cgi-bin/simple_geocode.cgi?charset=UTF8&amp;addr=%E7%A5%9E%E5%A5%88%E5%B7%9D%E7%9C%8C%E5%B7%9D%E5%B4%8E%E5%B8%82%E5%B9%B8%E5%8C%BA%E5%8F%A4%E5%B8%82%E5%A0%B4</v>
      </c>
      <c r="E452" t="str">
        <f t="shared" si="37"/>
        <v xml:space="preserve">&lt;?xml version="1.0" encoding="UTF-8" ?&gt;
&lt;results&gt;
&lt;query&gt;神奈川県川崎市幸区古市場&lt;/query&gt;
&lt;geodetic&gt;wgs1984&lt;/geodetic&gt;
&lt;iConf&gt;5&lt;/iConf&gt;
&lt;converted&gt;神奈川県川崎市幸区古市場&lt;/converted&gt;
&lt;candidate&gt;
&lt;address&gt;神奈川県/川崎市/幸区/古市場&lt;/address&gt;
&lt;longitude&gt;139.689621&lt;/longitude&gt;
&lt;latitude&gt;35.555904&lt;/latitude&gt;
&lt;iLvl&gt;5&lt;/iLvl&gt;
&lt;/candidate&gt;
&lt;/results&gt;
</v>
      </c>
      <c r="F452" cm="1">
        <f t="array" ref="F452">INDEX(_xlfn.FILTERXML(E452,"//latitude"),1)</f>
        <v>35.555903999999998</v>
      </c>
      <c r="G452" cm="1">
        <f t="array" ref="G452">INDEX(_xlfn.FILTERXML(E452,"//longitude"),1)</f>
        <v>139.68962099999999</v>
      </c>
      <c r="H452">
        <v>35.555903999999998</v>
      </c>
      <c r="I452">
        <v>139.68962099999999</v>
      </c>
    </row>
    <row r="453" spans="1:9" x14ac:dyDescent="0.4">
      <c r="A453" t="s">
        <v>9</v>
      </c>
      <c r="B453" t="s">
        <v>448</v>
      </c>
      <c r="C453" t="str">
        <f t="shared" si="35"/>
        <v>東京都町田市</v>
      </c>
      <c r="D453" s="2" t="str">
        <f t="shared" si="36"/>
        <v>http://geocode.csis.u-tokyo.ac.jp/cgi-bin/simple_geocode.cgi?charset=UTF8&amp;addr=%E6%9D%B1%E4%BA%AC%E9%83%BD%E7%94%BA%E7%94%B0%E5%B8%82</v>
      </c>
      <c r="E453" t="str">
        <f t="shared" si="37"/>
        <v xml:space="preserve">&lt;?xml version="1.0" encoding="UTF-8" ?&gt;
&lt;results&gt;
&lt;query&gt;東京都町田市&lt;/query&gt;
&lt;geodetic&gt;wgs1984&lt;/geodetic&gt;
&lt;iConf&gt;5&lt;/iConf&gt;
&lt;converted&gt;東京都町田市&lt;/converted&gt;
&lt;candidate&gt;
&lt;address&gt;東京都/町田市&lt;/address&gt;
&lt;longitude&gt;139.438522&lt;/longitude&gt;
&lt;latitude&gt;35.546558&lt;/latitude&gt;
&lt;iLvl&gt;3&lt;/iLvl&gt;
&lt;/candidate&gt;
&lt;/results&gt;
</v>
      </c>
      <c r="F453" cm="1">
        <f t="array" ref="F453">INDEX(_xlfn.FILTERXML(E453,"//latitude"),1)</f>
        <v>35.546557999999997</v>
      </c>
      <c r="G453" cm="1">
        <f t="array" ref="G453">INDEX(_xlfn.FILTERXML(E453,"//longitude"),1)</f>
        <v>139.43852200000001</v>
      </c>
      <c r="H453">
        <v>35.546557999999997</v>
      </c>
      <c r="I453">
        <v>139.43852200000001</v>
      </c>
    </row>
    <row r="454" spans="1:9" x14ac:dyDescent="0.4">
      <c r="A454" t="s">
        <v>11</v>
      </c>
      <c r="B454" t="s">
        <v>614</v>
      </c>
      <c r="C454" t="str">
        <f t="shared" ref="C454:C517" si="38">+A454&amp;B454</f>
        <v>大阪府寝屋川市</v>
      </c>
      <c r="D454" s="2" t="str">
        <f t="shared" ref="D454:D517" si="39" xml:space="preserve"> "http://geocode.csis.u-tokyo.ac.jp/cgi-bin/simple_geocode.cgi?charset=UTF8&amp;addr=" &amp; _xlfn.ENCODEURL(C454)</f>
        <v>http://geocode.csis.u-tokyo.ac.jp/cgi-bin/simple_geocode.cgi?charset=UTF8&amp;addr=%E5%A4%A7%E9%98%AA%E5%BA%9C%E5%AF%9D%E5%B1%8B%E5%B7%9D%E5%B8%82</v>
      </c>
      <c r="E454" t="str">
        <f t="shared" ref="E454:E517" si="40" xml:space="preserve"> _xlfn.WEBSERVICE(D454)</f>
        <v xml:space="preserve">&lt;?xml version="1.0" encoding="UTF-8" ?&gt;
&lt;results&gt;
&lt;query&gt;大阪府寝屋川市&lt;/query&gt;
&lt;geodetic&gt;wgs1984&lt;/geodetic&gt;
&lt;iConf&gt;5&lt;/iConf&gt;
&lt;converted&gt;大阪府寝屋川市&lt;/converted&gt;
&lt;candidate&gt;
&lt;address&gt;大阪府/寝屋川市&lt;/address&gt;
&lt;longitude&gt;135.628006&lt;/longitude&gt;
&lt;latitude&gt;34.766079&lt;/latitude&gt;
&lt;iLvl&gt;3&lt;/iLvl&gt;
&lt;/candidate&gt;
&lt;/results&gt;
</v>
      </c>
      <c r="F454" cm="1">
        <f t="array" ref="F454">INDEX(_xlfn.FILTERXML(E454,"//latitude"),1)</f>
        <v>34.766078999999998</v>
      </c>
      <c r="G454" cm="1">
        <f t="array" ref="G454">INDEX(_xlfn.FILTERXML(E454,"//longitude"),1)</f>
        <v>135.628006</v>
      </c>
      <c r="H454">
        <v>34.766078999999998</v>
      </c>
      <c r="I454">
        <v>135.628006</v>
      </c>
    </row>
    <row r="455" spans="1:9" x14ac:dyDescent="0.4">
      <c r="A455" t="s">
        <v>11</v>
      </c>
      <c r="B455" t="s">
        <v>615</v>
      </c>
      <c r="C455" t="str">
        <f t="shared" si="38"/>
        <v>大阪府大阪市東淀川区豊里</v>
      </c>
      <c r="D455" s="2" t="str">
        <f t="shared" si="39"/>
        <v>http://geocode.csis.u-tokyo.ac.jp/cgi-bin/simple_geocode.cgi?charset=UTF8&amp;addr=%E5%A4%A7%E9%98%AA%E5%BA%9C%E5%A4%A7%E9%98%AA%E5%B8%82%E6%9D%B1%E6%B7%80%E5%B7%9D%E5%8C%BA%E8%B1%8A%E9%87%8C</v>
      </c>
      <c r="E455" t="str">
        <f t="shared" si="40"/>
        <v xml:space="preserve">&lt;?xml version="1.0" encoding="UTF-8" ?&gt;
&lt;results&gt;
&lt;query&gt;大阪府大阪市東淀川区豊里&lt;/query&gt;
&lt;geodetic&gt;wgs1984&lt;/geodetic&gt;
&lt;iConf&gt;5&lt;/iConf&gt;
&lt;converted&gt;大阪府大阪市東淀川区豊里&lt;/converted&gt;
&lt;candidate&gt;
&lt;address&gt;大阪府/大阪市/東淀川区/豊里&lt;/address&gt;
&lt;longitude&gt;135.535980&lt;/longitude&gt;
&lt;latitude&gt;34.736919&lt;/latitude&gt;
&lt;iLvl&gt;5&lt;/iLvl&gt;
&lt;/candidate&gt;
&lt;/results&gt;
</v>
      </c>
      <c r="F455" cm="1">
        <f t="array" ref="F455">INDEX(_xlfn.FILTERXML(E455,"//latitude"),1)</f>
        <v>34.736919</v>
      </c>
      <c r="G455" cm="1">
        <f t="array" ref="G455">INDEX(_xlfn.FILTERXML(E455,"//longitude"),1)</f>
        <v>135.53598</v>
      </c>
      <c r="H455">
        <v>34.736919</v>
      </c>
      <c r="I455">
        <v>135.53598</v>
      </c>
    </row>
    <row r="456" spans="1:9" x14ac:dyDescent="0.4">
      <c r="A456" t="s">
        <v>12</v>
      </c>
      <c r="B456" t="s">
        <v>616</v>
      </c>
      <c r="C456" t="str">
        <f t="shared" si="38"/>
        <v>埼玉県戸田市新曽</v>
      </c>
      <c r="D456" s="2" t="str">
        <f t="shared" si="39"/>
        <v>http://geocode.csis.u-tokyo.ac.jp/cgi-bin/simple_geocode.cgi?charset=UTF8&amp;addr=%E5%9F%BC%E7%8E%89%E7%9C%8C%E6%88%B8%E7%94%B0%E5%B8%82%E6%96%B0%E6%9B%BD</v>
      </c>
      <c r="E456" t="str">
        <f t="shared" si="40"/>
        <v xml:space="preserve">&lt;?xml version="1.0" encoding="UTF-8" ?&gt;
&lt;results&gt;
&lt;query&gt;埼玉県戸田市新曽&lt;/query&gt;
&lt;geodetic&gt;wgs1984&lt;/geodetic&gt;
&lt;iConf&gt;5&lt;/iConf&gt;
&lt;converted&gt;埼玉県戸田市新曽&lt;/converted&gt;
&lt;candidate&gt;
&lt;address&gt;埼玉県/戸田市/新曽&lt;/address&gt;
&lt;longitude&gt;139.665710&lt;/longitude&gt;
&lt;latitude&gt;35.820206&lt;/latitude&gt;
&lt;iLvl&gt;5&lt;/iLvl&gt;
&lt;/candidate&gt;
&lt;/results&gt;
</v>
      </c>
      <c r="F456" cm="1">
        <f t="array" ref="F456">INDEX(_xlfn.FILTERXML(E456,"//latitude"),1)</f>
        <v>35.820205999999999</v>
      </c>
      <c r="G456" cm="1">
        <f t="array" ref="G456">INDEX(_xlfn.FILTERXML(E456,"//longitude"),1)</f>
        <v>139.66570999999999</v>
      </c>
      <c r="H456">
        <v>35.820205999999999</v>
      </c>
      <c r="I456">
        <v>139.66570999999999</v>
      </c>
    </row>
    <row r="457" spans="1:9" x14ac:dyDescent="0.4">
      <c r="A457" t="s">
        <v>9</v>
      </c>
      <c r="B457" t="s">
        <v>617</v>
      </c>
      <c r="C457" t="str">
        <f t="shared" si="38"/>
        <v>東京都世田谷区赤堤</v>
      </c>
      <c r="D457" s="2" t="str">
        <f t="shared" si="39"/>
        <v>http://geocode.csis.u-tokyo.ac.jp/cgi-bin/simple_geocode.cgi?charset=UTF8&amp;addr=%E6%9D%B1%E4%BA%AC%E9%83%BD%E4%B8%96%E7%94%B0%E8%B0%B7%E5%8C%BA%E8%B5%A4%E5%A0%A4</v>
      </c>
      <c r="E457" t="str">
        <f t="shared" si="40"/>
        <v xml:space="preserve">&lt;?xml version="1.0" encoding="UTF-8" ?&gt;
&lt;results&gt;
&lt;query&gt;東京都世田谷区赤堤&lt;/query&gt;
&lt;geodetic&gt;wgs1984&lt;/geodetic&gt;
&lt;iConf&gt;5&lt;/iConf&gt;
&lt;converted&gt;東京都世田谷区赤堤&lt;/converted&gt;
&lt;candidate&gt;
&lt;address&gt;東京都/世田谷区/赤堤&lt;/address&gt;
&lt;longitude&gt;139.641525&lt;/longitude&gt;
&lt;latitude&gt;35.655247&lt;/latitude&gt;
&lt;iLvl&gt;5&lt;/iLvl&gt;
&lt;/candidate&gt;
&lt;/results&gt;
</v>
      </c>
      <c r="F457" cm="1">
        <f t="array" ref="F457">INDEX(_xlfn.FILTERXML(E457,"//latitude"),1)</f>
        <v>35.655247000000003</v>
      </c>
      <c r="G457" cm="1">
        <f t="array" ref="G457">INDEX(_xlfn.FILTERXML(E457,"//longitude"),1)</f>
        <v>139.641525</v>
      </c>
      <c r="H457">
        <v>35.655247000000003</v>
      </c>
      <c r="I457">
        <v>139.641525</v>
      </c>
    </row>
    <row r="458" spans="1:9" x14ac:dyDescent="0.4">
      <c r="A458" t="s">
        <v>9</v>
      </c>
      <c r="B458" t="s">
        <v>618</v>
      </c>
      <c r="C458" t="str">
        <f t="shared" si="38"/>
        <v>東京都西東京市</v>
      </c>
      <c r="D458" s="2" t="str">
        <f t="shared" si="39"/>
        <v>http://geocode.csis.u-tokyo.ac.jp/cgi-bin/simple_geocode.cgi?charset=UTF8&amp;addr=%E6%9D%B1%E4%BA%AC%E9%83%BD%E8%A5%BF%E6%9D%B1%E4%BA%AC%E5%B8%82</v>
      </c>
      <c r="E458" t="str">
        <f t="shared" si="40"/>
        <v xml:space="preserve">&lt;?xml version="1.0" encoding="UTF-8" ?&gt;
&lt;results&gt;
&lt;query&gt;東京都西東京市&lt;/query&gt;
&lt;geodetic&gt;wgs1984&lt;/geodetic&gt;
&lt;iConf&gt;5&lt;/iConf&gt;
&lt;converted&gt;東京都西東京市&lt;/converted&gt;
&lt;candidate&gt;
&lt;address&gt;東京都/西東京市&lt;/address&gt;
&lt;longitude&gt;139.538162&lt;/longitude&gt;
&lt;latitude&gt;35.725498&lt;/latitude&gt;
&lt;iLvl&gt;3&lt;/iLvl&gt;
&lt;/candidate&gt;
&lt;/results&gt;
</v>
      </c>
      <c r="F458" cm="1">
        <f t="array" ref="F458">INDEX(_xlfn.FILTERXML(E458,"//latitude"),1)</f>
        <v>35.725498000000002</v>
      </c>
      <c r="G458" cm="1">
        <f t="array" ref="G458">INDEX(_xlfn.FILTERXML(E458,"//longitude"),1)</f>
        <v>139.538162</v>
      </c>
      <c r="H458">
        <v>35.725498000000002</v>
      </c>
      <c r="I458">
        <v>139.538162</v>
      </c>
    </row>
    <row r="459" spans="1:9" x14ac:dyDescent="0.4">
      <c r="A459" t="s">
        <v>15</v>
      </c>
      <c r="B459" t="s">
        <v>619</v>
      </c>
      <c r="C459" t="str">
        <f t="shared" si="38"/>
        <v>愛知県半田市青山</v>
      </c>
      <c r="D459" s="2" t="str">
        <f t="shared" si="39"/>
        <v>http://geocode.csis.u-tokyo.ac.jp/cgi-bin/simple_geocode.cgi?charset=UTF8&amp;addr=%E6%84%9B%E7%9F%A5%E7%9C%8C%E5%8D%8A%E7%94%B0%E5%B8%82%E9%9D%92%E5%B1%B1</v>
      </c>
      <c r="E459" t="str">
        <f t="shared" si="40"/>
        <v xml:space="preserve">&lt;?xml version="1.0" encoding="UTF-8" ?&gt;
&lt;results&gt;
&lt;query&gt;愛知県半田市青山&lt;/query&gt;
&lt;geodetic&gt;wgs1984&lt;/geodetic&gt;
&lt;iConf&gt;5&lt;/iConf&gt;
&lt;converted&gt;愛知県半田市青山&lt;/converted&gt;
&lt;candidate&gt;
&lt;address&gt;愛知県/半田市/青山&lt;/address&gt;
&lt;longitude&gt;136.916122&lt;/longitude&gt;
&lt;latitude&gt;34.878094&lt;/latitude&gt;
&lt;iLvl&gt;5&lt;/iLvl&gt;
&lt;/candidate&gt;
&lt;/results&gt;
</v>
      </c>
      <c r="F459" cm="1">
        <f t="array" ref="F459">INDEX(_xlfn.FILTERXML(E459,"//latitude"),1)</f>
        <v>34.878093999999997</v>
      </c>
      <c r="G459" cm="1">
        <f t="array" ref="G459">INDEX(_xlfn.FILTERXML(E459,"//longitude"),1)</f>
        <v>136.916122</v>
      </c>
      <c r="H459">
        <v>34.878093999999997</v>
      </c>
      <c r="I459">
        <v>136.916122</v>
      </c>
    </row>
    <row r="460" spans="1:9" x14ac:dyDescent="0.4">
      <c r="A460" t="s">
        <v>13</v>
      </c>
      <c r="B460" t="s">
        <v>620</v>
      </c>
      <c r="C460" t="str">
        <f t="shared" si="38"/>
        <v>兵庫県神戸市垂水区美山台</v>
      </c>
      <c r="D460" s="2" t="str">
        <f t="shared" si="39"/>
        <v>http://geocode.csis.u-tokyo.ac.jp/cgi-bin/simple_geocode.cgi?charset=UTF8&amp;addr=%E5%85%B5%E5%BA%AB%E7%9C%8C%E7%A5%9E%E6%88%B8%E5%B8%82%E5%9E%82%E6%B0%B4%E5%8C%BA%E7%BE%8E%E5%B1%B1%E5%8F%B0</v>
      </c>
      <c r="E460" t="str">
        <f t="shared" si="40"/>
        <v xml:space="preserve">&lt;?xml version="1.0" encoding="UTF-8" ?&gt;
&lt;results&gt;
&lt;query&gt;兵庫県神戸市垂水区美山台&lt;/query&gt;
&lt;geodetic&gt;wgs1984&lt;/geodetic&gt;
&lt;iConf&gt;5&lt;/iConf&gt;
&lt;converted&gt;兵庫県神戸市垂水区美山台&lt;/converted&gt;
&lt;candidate&gt;
&lt;address&gt;兵庫県/神戸市/垂水区/美山台&lt;/address&gt;
&lt;longitude&gt;135.070877&lt;/longitude&gt;
&lt;latitude&gt;34.638603&lt;/latitude&gt;
&lt;iLvl&gt;5&lt;/iLvl&gt;
&lt;/candidate&gt;
&lt;/results&gt;
</v>
      </c>
      <c r="F460" cm="1">
        <f t="array" ref="F460">INDEX(_xlfn.FILTERXML(E460,"//latitude"),1)</f>
        <v>34.638603000000003</v>
      </c>
      <c r="G460" cm="1">
        <f t="array" ref="G460">INDEX(_xlfn.FILTERXML(E460,"//longitude"),1)</f>
        <v>135.070877</v>
      </c>
      <c r="H460">
        <v>34.638603000000003</v>
      </c>
      <c r="I460">
        <v>135.070877</v>
      </c>
    </row>
    <row r="461" spans="1:9" x14ac:dyDescent="0.4">
      <c r="A461" t="s">
        <v>19</v>
      </c>
      <c r="B461" t="s">
        <v>621</v>
      </c>
      <c r="C461" t="str">
        <f t="shared" si="38"/>
        <v>福岡県福岡市中央区今泉2丁目3－3－41</v>
      </c>
      <c r="D461" s="2" t="str">
        <f t="shared" si="39"/>
        <v>http://geocode.csis.u-tokyo.ac.jp/cgi-bin/simple_geocode.cgi?charset=UTF8&amp;addr=%E7%A6%8F%E5%B2%A1%E7%9C%8C%E7%A6%8F%E5%B2%A1%E5%B8%82%E4%B8%AD%E5%A4%AE%E5%8C%BA%E4%BB%8A%E6%B3%892%E4%B8%81%E7%9B%AE3%EF%BC%8D3%EF%BC%8D41</v>
      </c>
      <c r="E461" t="str">
        <f t="shared" si="40"/>
        <v xml:space="preserve">&lt;?xml version="1.0" encoding="UTF-8" ?&gt;
&lt;results&gt;
&lt;query&gt;福岡県福岡市中央区今泉2丁目3−3−41&lt;/query&gt;
&lt;geodetic&gt;wgs1984&lt;/geodetic&gt;
&lt;iConf&gt;5&lt;/iConf&gt;
&lt;converted&gt;福岡県福岡市中央区今泉2丁目3−3−&lt;/converted&gt;
&lt;candidate&gt;
&lt;address&gt;福岡県/福岡市/中央区/今泉/二丁目/３番/３号&lt;/address&gt;
&lt;longitude&gt;130.397736&lt;/longitude&gt;
&lt;latitude&gt;33.582691&lt;/latitude&gt;
&lt;iLvl&gt;8&lt;/iLvl&gt;
&lt;/candidate&gt;
&lt;/results&gt;
</v>
      </c>
      <c r="F461" cm="1">
        <f t="array" ref="F461">INDEX(_xlfn.FILTERXML(E461,"//latitude"),1)</f>
        <v>33.582690999999997</v>
      </c>
      <c r="G461" cm="1">
        <f t="array" ref="G461">INDEX(_xlfn.FILTERXML(E461,"//longitude"),1)</f>
        <v>130.39773600000001</v>
      </c>
      <c r="H461">
        <v>33.582690999999997</v>
      </c>
      <c r="I461">
        <v>130.39773600000001</v>
      </c>
    </row>
    <row r="462" spans="1:9" x14ac:dyDescent="0.4">
      <c r="A462" t="s">
        <v>11</v>
      </c>
      <c r="B462" t="s">
        <v>622</v>
      </c>
      <c r="C462" t="str">
        <f t="shared" si="38"/>
        <v>大阪府八尾市山本町</v>
      </c>
      <c r="D462" s="2" t="str">
        <f t="shared" si="39"/>
        <v>http://geocode.csis.u-tokyo.ac.jp/cgi-bin/simple_geocode.cgi?charset=UTF8&amp;addr=%E5%A4%A7%E9%98%AA%E5%BA%9C%E5%85%AB%E5%B0%BE%E5%B8%82%E5%B1%B1%E6%9C%AC%E7%94%BA</v>
      </c>
      <c r="E462" t="str">
        <f t="shared" si="40"/>
        <v xml:space="preserve">&lt;?xml version="1.0" encoding="UTF-8" ?&gt;
&lt;results&gt;
&lt;query&gt;大阪府八尾市山本町&lt;/query&gt;
&lt;geodetic&gt;wgs1984&lt;/geodetic&gt;
&lt;iConf&gt;5&lt;/iConf&gt;
&lt;converted&gt;大阪府八尾市山本町&lt;/converted&gt;
&lt;candidate&gt;
&lt;address&gt;大阪府/八尾市/山本町&lt;/address&gt;
&lt;longitude&gt;135.619659&lt;/longitude&gt;
&lt;latitude&gt;34.628090&lt;/latitude&gt;
&lt;iLvl&gt;5&lt;/iLvl&gt;
&lt;/candidate&gt;
&lt;/results&gt;
</v>
      </c>
      <c r="F462" cm="1">
        <f t="array" ref="F462">INDEX(_xlfn.FILTERXML(E462,"//latitude"),1)</f>
        <v>34.62809</v>
      </c>
      <c r="G462" cm="1">
        <f t="array" ref="G462">INDEX(_xlfn.FILTERXML(E462,"//longitude"),1)</f>
        <v>135.61965900000001</v>
      </c>
      <c r="H462">
        <v>34.62809</v>
      </c>
      <c r="I462">
        <v>135.61965900000001</v>
      </c>
    </row>
    <row r="463" spans="1:9" x14ac:dyDescent="0.4">
      <c r="A463" t="s">
        <v>14</v>
      </c>
      <c r="B463" t="s">
        <v>623</v>
      </c>
      <c r="C463" t="str">
        <f t="shared" si="38"/>
        <v>長野県岡谷市湊</v>
      </c>
      <c r="D463" s="2" t="str">
        <f t="shared" si="39"/>
        <v>http://geocode.csis.u-tokyo.ac.jp/cgi-bin/simple_geocode.cgi?charset=UTF8&amp;addr=%E9%95%B7%E9%87%8E%E7%9C%8C%E5%B2%A1%E8%B0%B7%E5%B8%82%E6%B9%8A</v>
      </c>
      <c r="E463" t="str">
        <f t="shared" si="40"/>
        <v xml:space="preserve">&lt;?xml version="1.0" encoding="UTF-8" ?&gt;
&lt;results&gt;
&lt;query&gt;長野県岡谷市湊&lt;/query&gt;
&lt;geodetic&gt;wgs1984&lt;/geodetic&gt;
&lt;iConf&gt;5&lt;/iConf&gt;
&lt;converted&gt;長野県岡谷市湊&lt;/converted&gt;
&lt;candidate&gt;
&lt;address&gt;長野県/岡谷市/湊&lt;/address&gt;
&lt;longitude&gt;138.054718&lt;/longitude&gt;
&lt;latitude&gt;36.030910&lt;/latitude&gt;
&lt;iLvl&gt;5&lt;/iLvl&gt;
&lt;/candidate&gt;
&lt;/results&gt;
</v>
      </c>
      <c r="F463" cm="1">
        <f t="array" ref="F463">INDEX(_xlfn.FILTERXML(E463,"//latitude"),1)</f>
        <v>36.030909999999999</v>
      </c>
      <c r="G463" cm="1">
        <f t="array" ref="G463">INDEX(_xlfn.FILTERXML(E463,"//longitude"),1)</f>
        <v>138.05471800000001</v>
      </c>
      <c r="H463">
        <v>36.030909999999999</v>
      </c>
      <c r="I463">
        <v>138.05471800000001</v>
      </c>
    </row>
    <row r="464" spans="1:9" x14ac:dyDescent="0.4">
      <c r="A464" t="s">
        <v>16</v>
      </c>
      <c r="B464" t="s">
        <v>624</v>
      </c>
      <c r="C464" t="str">
        <f t="shared" si="38"/>
        <v>千葉県浦安市堀江一丁目</v>
      </c>
      <c r="D464" s="2" t="str">
        <f t="shared" si="39"/>
        <v>http://geocode.csis.u-tokyo.ac.jp/cgi-bin/simple_geocode.cgi?charset=UTF8&amp;addr=%E5%8D%83%E8%91%89%E7%9C%8C%E6%B5%A6%E5%AE%89%E5%B8%82%E5%A0%80%E6%B1%9F%E4%B8%80%E4%B8%81%E7%9B%AE</v>
      </c>
      <c r="E464" t="str">
        <f t="shared" si="40"/>
        <v xml:space="preserve">&lt;?xml version="1.0" encoding="UTF-8" ?&gt;
&lt;results&gt;
&lt;query&gt;千葉県浦安市堀江一丁目&lt;/query&gt;
&lt;geodetic&gt;wgs1984&lt;/geodetic&gt;
&lt;iConf&gt;5&lt;/iConf&gt;
&lt;converted&gt;千葉県浦安市堀江一丁目&lt;/converted&gt;
&lt;candidate&gt;
&lt;address&gt;千葉県/浦安市/堀江/一丁目&lt;/address&gt;
&lt;longitude&gt;139.897842&lt;/longitude&gt;
&lt;latitude&gt;35.655540&lt;/latitude&gt;
&lt;iLvl&gt;6&lt;/iLvl&gt;
&lt;/candidate&gt;
&lt;/results&gt;
</v>
      </c>
      <c r="F464" cm="1">
        <f t="array" ref="F464">INDEX(_xlfn.FILTERXML(E464,"//latitude"),1)</f>
        <v>35.655540000000002</v>
      </c>
      <c r="G464" cm="1">
        <f t="array" ref="G464">INDEX(_xlfn.FILTERXML(E464,"//longitude"),1)</f>
        <v>139.897842</v>
      </c>
      <c r="H464">
        <v>35.655540000000002</v>
      </c>
      <c r="I464">
        <v>139.897842</v>
      </c>
    </row>
    <row r="465" spans="1:9" x14ac:dyDescent="0.4">
      <c r="A465" t="s">
        <v>28</v>
      </c>
      <c r="B465" t="s">
        <v>625</v>
      </c>
      <c r="C465" t="str">
        <f t="shared" si="38"/>
        <v>三重県鈴鹿市山辺町</v>
      </c>
      <c r="D465" s="2" t="str">
        <f t="shared" si="39"/>
        <v>http://geocode.csis.u-tokyo.ac.jp/cgi-bin/simple_geocode.cgi?charset=UTF8&amp;addr=%E4%B8%89%E9%87%8D%E7%9C%8C%E9%88%B4%E9%B9%BF%E5%B8%82%E5%B1%B1%E8%BE%BA%E7%94%BA</v>
      </c>
      <c r="E465" t="str">
        <f t="shared" si="40"/>
        <v xml:space="preserve">&lt;?xml version="1.0" encoding="UTF-8" ?&gt;
&lt;results&gt;
&lt;query&gt;三重県鈴鹿市山辺町&lt;/query&gt;
&lt;geodetic&gt;wgs1984&lt;/geodetic&gt;
&lt;iConf&gt;5&lt;/iConf&gt;
&lt;converted&gt;三重県鈴鹿市山辺町&lt;/converted&gt;
&lt;candidate&gt;
&lt;address&gt;三重県/鈴鹿市/山辺町&lt;/address&gt;
&lt;longitude&gt;136.563766&lt;/longitude&gt;
&lt;latitude&gt;34.897884&lt;/latitude&gt;
&lt;iLvl&gt;5&lt;/iLvl&gt;
&lt;/candidate&gt;
&lt;/results&gt;
</v>
      </c>
      <c r="F465" cm="1">
        <f t="array" ref="F465">INDEX(_xlfn.FILTERXML(E465,"//latitude"),1)</f>
        <v>34.897883999999998</v>
      </c>
      <c r="G465" cm="1">
        <f t="array" ref="G465">INDEX(_xlfn.FILTERXML(E465,"//longitude"),1)</f>
        <v>136.56376599999999</v>
      </c>
      <c r="H465">
        <v>34.897883999999998</v>
      </c>
      <c r="I465">
        <v>136.56376599999999</v>
      </c>
    </row>
    <row r="466" spans="1:9" x14ac:dyDescent="0.4">
      <c r="A466" t="s">
        <v>11</v>
      </c>
      <c r="B466" t="s">
        <v>626</v>
      </c>
      <c r="C466" t="str">
        <f t="shared" si="38"/>
        <v>大阪府大阪市住之江区粉浜西</v>
      </c>
      <c r="D466" s="2" t="str">
        <f t="shared" si="39"/>
        <v>http://geocode.csis.u-tokyo.ac.jp/cgi-bin/simple_geocode.cgi?charset=UTF8&amp;addr=%E5%A4%A7%E9%98%AA%E5%BA%9C%E5%A4%A7%E9%98%AA%E5%B8%82%E4%BD%8F%E4%B9%8B%E6%B1%9F%E5%8C%BA%E7%B2%89%E6%B5%9C%E8%A5%BF</v>
      </c>
      <c r="E466" t="str">
        <f t="shared" si="40"/>
        <v xml:space="preserve">&lt;?xml version="1.0" encoding="UTF-8" ?&gt;
&lt;results&gt;
&lt;query&gt;大阪府大阪市住之江区粉浜西&lt;/query&gt;
&lt;geodetic&gt;wgs1984&lt;/geodetic&gt;
&lt;iConf&gt;5&lt;/iConf&gt;
&lt;converted&gt;大阪府大阪市住之江区粉浜西&lt;/converted&gt;
&lt;candidate&gt;
&lt;address&gt;大阪府/大阪市/住之江区/粉浜西&lt;/address&gt;
&lt;longitude&gt;135.488266&lt;/longitude&gt;
&lt;latitude&gt;34.621494&lt;/latitude&gt;
&lt;iLvl&gt;5&lt;/iLvl&gt;
&lt;/candidate&gt;
&lt;/results&gt;
</v>
      </c>
      <c r="F466" cm="1">
        <f t="array" ref="F466">INDEX(_xlfn.FILTERXML(E466,"//latitude"),1)</f>
        <v>34.621493999999998</v>
      </c>
      <c r="G466" cm="1">
        <f t="array" ref="G466">INDEX(_xlfn.FILTERXML(E466,"//longitude"),1)</f>
        <v>135.48826600000001</v>
      </c>
      <c r="H466">
        <v>34.621493999999998</v>
      </c>
      <c r="I466">
        <v>135.48826600000001</v>
      </c>
    </row>
    <row r="467" spans="1:9" x14ac:dyDescent="0.4">
      <c r="A467" t="s">
        <v>9</v>
      </c>
      <c r="B467" t="s">
        <v>627</v>
      </c>
      <c r="C467" t="str">
        <f t="shared" si="38"/>
        <v>東京都大田区東六郷3丁目26-8</v>
      </c>
      <c r="D467" s="2" t="str">
        <f t="shared" si="39"/>
        <v>http://geocode.csis.u-tokyo.ac.jp/cgi-bin/simple_geocode.cgi?charset=UTF8&amp;addr=%E6%9D%B1%E4%BA%AC%E9%83%BD%E5%A4%A7%E7%94%B0%E5%8C%BA%E6%9D%B1%E5%85%AD%E9%83%B73%E4%B8%81%E7%9B%AE26-8</v>
      </c>
      <c r="E467" t="str">
        <f t="shared" si="40"/>
        <v xml:space="preserve">&lt;?xml version="1.0" encoding="UTF-8" ?&gt;
&lt;results&gt;
&lt;query&gt;東京都大田区東六郷3丁目26-8&lt;/query&gt;
&lt;geodetic&gt;wgs1984&lt;/geodetic&gt;
&lt;iConf&gt;5&lt;/iConf&gt;
&lt;converted&gt;東京都大田区東六郷3丁目26-8&lt;/converted&gt;
&lt;candidate&gt;
&lt;address&gt;東京都/大田区/東六郷/三丁目/２６番/８号&lt;/address&gt;
&lt;longitude&gt;139.711639&lt;/longitude&gt;
&lt;latitude&gt;35.540909&lt;/latitude&gt;
&lt;iLvl&gt;8&lt;/iLvl&gt;
&lt;/candidate&gt;
&lt;/results&gt;
</v>
      </c>
      <c r="F467" cm="1">
        <f t="array" ref="F467">INDEX(_xlfn.FILTERXML(E467,"//latitude"),1)</f>
        <v>35.540908999999999</v>
      </c>
      <c r="G467" cm="1">
        <f t="array" ref="G467">INDEX(_xlfn.FILTERXML(E467,"//longitude"),1)</f>
        <v>139.71163899999999</v>
      </c>
      <c r="H467">
        <v>35.540908999999999</v>
      </c>
      <c r="I467">
        <v>139.71163899999999</v>
      </c>
    </row>
    <row r="468" spans="1:9" x14ac:dyDescent="0.4">
      <c r="A468" t="s">
        <v>16</v>
      </c>
      <c r="B468" t="s">
        <v>628</v>
      </c>
      <c r="C468" t="str">
        <f t="shared" si="38"/>
        <v>千葉県千葉市</v>
      </c>
      <c r="D468" s="2" t="str">
        <f t="shared" si="39"/>
        <v>http://geocode.csis.u-tokyo.ac.jp/cgi-bin/simple_geocode.cgi?charset=UTF8&amp;addr=%E5%8D%83%E8%91%89%E7%9C%8C%E5%8D%83%E8%91%89%E5%B8%82</v>
      </c>
      <c r="E468" t="str">
        <f t="shared" si="40"/>
        <v xml:space="preserve">&lt;?xml version="1.0" encoding="UTF-8" ?&gt;
&lt;results&gt;
&lt;query&gt;千葉県千葉市&lt;/query&gt;
&lt;geodetic&gt;wgs1984&lt;/geodetic&gt;
&lt;iConf&gt;5&lt;/iConf&gt;
&lt;converted&gt;千葉県千葉市&lt;/converted&gt;
&lt;candidate&gt;
&lt;address&gt;千葉県/千葉市&lt;/address&gt;
&lt;longitude&gt;140.106384&lt;/longitude&gt;
&lt;latitude&gt;35.607330&lt;/latitude&gt;
&lt;iLvl&gt;3&lt;/iLvl&gt;
&lt;/candidate&gt;
&lt;/results&gt;
</v>
      </c>
      <c r="F468" cm="1">
        <f t="array" ref="F468">INDEX(_xlfn.FILTERXML(E468,"//latitude"),1)</f>
        <v>35.607329999999997</v>
      </c>
      <c r="G468" cm="1">
        <f t="array" ref="G468">INDEX(_xlfn.FILTERXML(E468,"//longitude"),1)</f>
        <v>140.10638399999999</v>
      </c>
      <c r="H468">
        <v>35.607329999999997</v>
      </c>
      <c r="I468">
        <v>140.10638399999999</v>
      </c>
    </row>
    <row r="469" spans="1:9" x14ac:dyDescent="0.4">
      <c r="A469" t="s">
        <v>15</v>
      </c>
      <c r="B469" t="s">
        <v>629</v>
      </c>
      <c r="C469" t="str">
        <f t="shared" si="38"/>
        <v>愛知県江南市北山町西</v>
      </c>
      <c r="D469" s="2" t="str">
        <f t="shared" si="39"/>
        <v>http://geocode.csis.u-tokyo.ac.jp/cgi-bin/simple_geocode.cgi?charset=UTF8&amp;addr=%E6%84%9B%E7%9F%A5%E7%9C%8C%E6%B1%9F%E5%8D%97%E5%B8%82%E5%8C%97%E5%B1%B1%E7%94%BA%E8%A5%BF</v>
      </c>
      <c r="E469" t="str">
        <f t="shared" si="40"/>
        <v xml:space="preserve">&lt;?xml version="1.0" encoding="UTF-8" ?&gt;
&lt;results&gt;
&lt;query&gt;愛知県江南市北山町西&lt;/query&gt;
&lt;geodetic&gt;wgs1984&lt;/geodetic&gt;
&lt;iConf&gt;5&lt;/iConf&gt;
&lt;converted&gt;愛知県江南市北山町西&lt;/converted&gt;
&lt;candidate&gt;
&lt;address&gt;愛知県/江南市/北山町西&lt;/address&gt;
&lt;longitude&gt;136.875519&lt;/longitude&gt;
&lt;latitude&gt;35.318962&lt;/latitude&gt;
&lt;iLvl&gt;5&lt;/iLvl&gt;
&lt;/candidate&gt;
&lt;/results&gt;
</v>
      </c>
      <c r="F469" cm="1">
        <f t="array" ref="F469">INDEX(_xlfn.FILTERXML(E469,"//latitude"),1)</f>
        <v>35.318961999999999</v>
      </c>
      <c r="G469" cm="1">
        <f t="array" ref="G469">INDEX(_xlfn.FILTERXML(E469,"//longitude"),1)</f>
        <v>136.875519</v>
      </c>
      <c r="H469">
        <v>35.318961999999999</v>
      </c>
      <c r="I469">
        <v>136.875519</v>
      </c>
    </row>
    <row r="470" spans="1:9" x14ac:dyDescent="0.4">
      <c r="A470" t="s">
        <v>16</v>
      </c>
      <c r="B470" t="s">
        <v>630</v>
      </c>
      <c r="C470" t="str">
        <f t="shared" si="38"/>
        <v>千葉県鎌ケ谷市西佐津間</v>
      </c>
      <c r="D470" s="2" t="str">
        <f t="shared" si="39"/>
        <v>http://geocode.csis.u-tokyo.ac.jp/cgi-bin/simple_geocode.cgi?charset=UTF8&amp;addr=%E5%8D%83%E8%91%89%E7%9C%8C%E9%8E%8C%E3%82%B1%E8%B0%B7%E5%B8%82%E8%A5%BF%E4%BD%90%E6%B4%A5%E9%96%93</v>
      </c>
      <c r="E470" t="str">
        <f t="shared" si="40"/>
        <v xml:space="preserve">&lt;?xml version="1.0" encoding="UTF-8" ?&gt;
&lt;results&gt;
&lt;query&gt;千葉県鎌ケ谷市西佐津間&lt;/query&gt;
&lt;geodetic&gt;wgs1984&lt;/geodetic&gt;
&lt;iConf&gt;5&lt;/iConf&gt;
&lt;converted&gt;千葉県鎌ケ谷市西佐津間&lt;/converted&gt;
&lt;candidate&gt;
&lt;address&gt;千葉県/鎌ケ谷市/西佐津間&lt;/address&gt;
&lt;longitude&gt;140.000259&lt;/longitude&gt;
&lt;latitude&gt;35.799671&lt;/latitude&gt;
&lt;iLvl&gt;5&lt;/iLvl&gt;
&lt;/candidate&gt;
&lt;/results&gt;
</v>
      </c>
      <c r="F470" cm="1">
        <f t="array" ref="F470">INDEX(_xlfn.FILTERXML(E470,"//latitude"),1)</f>
        <v>35.799670999999996</v>
      </c>
      <c r="G470" cm="1">
        <f t="array" ref="G470">INDEX(_xlfn.FILTERXML(E470,"//longitude"),1)</f>
        <v>140.000259</v>
      </c>
      <c r="H470">
        <v>35.799670999999996</v>
      </c>
      <c r="I470">
        <v>140.000259</v>
      </c>
    </row>
    <row r="471" spans="1:9" x14ac:dyDescent="0.4">
      <c r="A471" t="s">
        <v>132</v>
      </c>
      <c r="B471" t="s">
        <v>631</v>
      </c>
      <c r="C471" t="str">
        <f t="shared" si="38"/>
        <v>岡山県倉敷市老松町</v>
      </c>
      <c r="D471" s="2" t="str">
        <f t="shared" si="39"/>
        <v>http://geocode.csis.u-tokyo.ac.jp/cgi-bin/simple_geocode.cgi?charset=UTF8&amp;addr=%E5%B2%A1%E5%B1%B1%E7%9C%8C%E5%80%89%E6%95%B7%E5%B8%82%E8%80%81%E6%9D%BE%E7%94%BA</v>
      </c>
      <c r="E471" t="str">
        <f t="shared" si="40"/>
        <v xml:space="preserve">&lt;?xml version="1.0" encoding="UTF-8" ?&gt;
&lt;results&gt;
&lt;query&gt;岡山県倉敷市老松町&lt;/query&gt;
&lt;geodetic&gt;wgs1984&lt;/geodetic&gt;
&lt;iConf&gt;5&lt;/iConf&gt;
&lt;converted&gt;岡山県倉敷市老松町&lt;/converted&gt;
&lt;candidate&gt;
&lt;address&gt;岡山県/倉敷市/老松町&lt;/address&gt;
&lt;longitude&gt;133.757980&lt;/longitude&gt;
&lt;latitude&gt;34.597862&lt;/latitude&gt;
&lt;iLvl&gt;5&lt;/iLvl&gt;
&lt;/candidate&gt;
&lt;/results&gt;
</v>
      </c>
      <c r="F471" cm="1">
        <f t="array" ref="F471">INDEX(_xlfn.FILTERXML(E471,"//latitude"),1)</f>
        <v>34.597861999999999</v>
      </c>
      <c r="G471" cm="1">
        <f t="array" ref="G471">INDEX(_xlfn.FILTERXML(E471,"//longitude"),1)</f>
        <v>133.75798</v>
      </c>
      <c r="H471">
        <v>34.597861999999999</v>
      </c>
      <c r="I471">
        <v>133.75798</v>
      </c>
    </row>
    <row r="472" spans="1:9" x14ac:dyDescent="0.4">
      <c r="A472" t="s">
        <v>10</v>
      </c>
      <c r="B472" t="s">
        <v>101</v>
      </c>
      <c r="C472" t="str">
        <f t="shared" si="38"/>
        <v>神奈川県横浜市金沢区能見台</v>
      </c>
      <c r="D472" s="2" t="str">
        <f t="shared" si="39"/>
        <v>http://geocode.csis.u-tokyo.ac.jp/cgi-bin/simple_geocode.cgi?charset=UTF8&amp;addr=%E7%A5%9E%E5%A5%88%E5%B7%9D%E7%9C%8C%E6%A8%AA%E6%B5%9C%E5%B8%82%E9%87%91%E6%B2%A2%E5%8C%BA%E8%83%BD%E8%A6%8B%E5%8F%B0</v>
      </c>
      <c r="E472" t="str">
        <f t="shared" si="40"/>
        <v xml:space="preserve">&lt;?xml version="1.0" encoding="UTF-8" ?&gt;
&lt;results&gt;
&lt;query&gt;神奈川県横浜市金沢区能見台&lt;/query&gt;
&lt;geodetic&gt;wgs1984&lt;/geodetic&gt;
&lt;iConf&gt;5&lt;/iConf&gt;
&lt;converted&gt;神奈川県横浜市金沢区能見台&lt;/converted&gt;
&lt;candidate&gt;
&lt;address&gt;神奈川県/横浜市/金沢区/能見台&lt;/address&gt;
&lt;longitude&gt;139.611664&lt;/longitude&gt;
&lt;latitude&gt;35.361786&lt;/latitude&gt;
&lt;iLvl&gt;5&lt;/iLvl&gt;
&lt;/candidate&gt;
&lt;/results&gt;
</v>
      </c>
      <c r="F472" cm="1">
        <f t="array" ref="F472">INDEX(_xlfn.FILTERXML(E472,"//latitude"),1)</f>
        <v>35.361786000000002</v>
      </c>
      <c r="G472" cm="1">
        <f t="array" ref="G472">INDEX(_xlfn.FILTERXML(E472,"//longitude"),1)</f>
        <v>139.61166399999999</v>
      </c>
      <c r="H472">
        <v>35.361786000000002</v>
      </c>
      <c r="I472">
        <v>139.61166399999999</v>
      </c>
    </row>
    <row r="473" spans="1:9" x14ac:dyDescent="0.4">
      <c r="A473" t="s">
        <v>10</v>
      </c>
      <c r="B473" t="s">
        <v>632</v>
      </c>
      <c r="C473" t="str">
        <f t="shared" si="38"/>
        <v>神奈川県横浜市緑区長津田三丁目</v>
      </c>
      <c r="D473" s="2" t="str">
        <f t="shared" si="39"/>
        <v>http://geocode.csis.u-tokyo.ac.jp/cgi-bin/simple_geocode.cgi?charset=UTF8&amp;addr=%E7%A5%9E%E5%A5%88%E5%B7%9D%E7%9C%8C%E6%A8%AA%E6%B5%9C%E5%B8%82%E7%B7%91%E5%8C%BA%E9%95%B7%E6%B4%A5%E7%94%B0%E4%B8%89%E4%B8%81%E7%9B%AE</v>
      </c>
      <c r="E473" t="str">
        <f t="shared" si="40"/>
        <v xml:space="preserve">&lt;?xml version="1.0" encoding="UTF-8" ?&gt;
&lt;results&gt;
&lt;query&gt;神奈川県横浜市緑区長津田三丁目&lt;/query&gt;
&lt;geodetic&gt;wgs1984&lt;/geodetic&gt;
&lt;iConf&gt;5&lt;/iConf&gt;
&lt;converted&gt;神奈川県横浜市緑区長津田三丁目&lt;/converted&gt;
&lt;candidate&gt;
&lt;address&gt;神奈川県/横浜市/緑区/長津田/三丁目&lt;/address&gt;
&lt;longitude&gt;139.495850&lt;/longitude&gt;
&lt;latitude&gt;35.536465&lt;/latitude&gt;
&lt;iLvl&gt;6&lt;/iLvl&gt;
&lt;/candidate&gt;
&lt;/results&gt;
</v>
      </c>
      <c r="F473" cm="1">
        <f t="array" ref="F473">INDEX(_xlfn.FILTERXML(E473,"//latitude"),1)</f>
        <v>35.536465</v>
      </c>
      <c r="G473" cm="1">
        <f t="array" ref="G473">INDEX(_xlfn.FILTERXML(E473,"//longitude"),1)</f>
        <v>139.49584999999999</v>
      </c>
      <c r="H473">
        <v>35.536465</v>
      </c>
      <c r="I473">
        <v>139.49584999999999</v>
      </c>
    </row>
    <row r="474" spans="1:9" x14ac:dyDescent="0.4">
      <c r="A474" t="s">
        <v>44</v>
      </c>
      <c r="B474" t="s">
        <v>633</v>
      </c>
      <c r="C474" t="str">
        <f t="shared" si="38"/>
        <v>和歌山県橋本市橋本</v>
      </c>
      <c r="D474" s="2" t="str">
        <f t="shared" si="39"/>
        <v>http://geocode.csis.u-tokyo.ac.jp/cgi-bin/simple_geocode.cgi?charset=UTF8&amp;addr=%E5%92%8C%E6%AD%8C%E5%B1%B1%E7%9C%8C%E6%A9%8B%E6%9C%AC%E5%B8%82%E6%A9%8B%E6%9C%AC</v>
      </c>
      <c r="E474" t="str">
        <f t="shared" si="40"/>
        <v xml:space="preserve">&lt;?xml version="1.0" encoding="UTF-8" ?&gt;
&lt;results&gt;
&lt;query&gt;和歌山県橋本市橋本&lt;/query&gt;
&lt;geodetic&gt;wgs1984&lt;/geodetic&gt;
&lt;iConf&gt;5&lt;/iConf&gt;
&lt;converted&gt;和歌山県橋本市橋本&lt;/converted&gt;
&lt;candidate&gt;
&lt;address&gt;和歌山県/橋本市/橋本&lt;/address&gt;
&lt;longitude&gt;135.615784&lt;/longitude&gt;
&lt;latitude&gt;34.321644&lt;/latitude&gt;
&lt;iLvl&gt;5&lt;/iLvl&gt;
&lt;/candidate&gt;
&lt;/results&gt;
</v>
      </c>
      <c r="F474" cm="1">
        <f t="array" ref="F474">INDEX(_xlfn.FILTERXML(E474,"//latitude"),1)</f>
        <v>34.321643999999999</v>
      </c>
      <c r="G474" cm="1">
        <f t="array" ref="G474">INDEX(_xlfn.FILTERXML(E474,"//longitude"),1)</f>
        <v>135.61578399999999</v>
      </c>
      <c r="H474">
        <v>34.321643999999999</v>
      </c>
      <c r="I474">
        <v>135.61578399999999</v>
      </c>
    </row>
    <row r="475" spans="1:9" x14ac:dyDescent="0.4">
      <c r="A475" t="s">
        <v>44</v>
      </c>
      <c r="B475" t="s">
        <v>633</v>
      </c>
      <c r="C475" t="str">
        <f t="shared" si="38"/>
        <v>和歌山県橋本市橋本</v>
      </c>
      <c r="D475" s="2" t="str">
        <f t="shared" si="39"/>
        <v>http://geocode.csis.u-tokyo.ac.jp/cgi-bin/simple_geocode.cgi?charset=UTF8&amp;addr=%E5%92%8C%E6%AD%8C%E5%B1%B1%E7%9C%8C%E6%A9%8B%E6%9C%AC%E5%B8%82%E6%A9%8B%E6%9C%AC</v>
      </c>
      <c r="E475" t="str">
        <f t="shared" si="40"/>
        <v xml:space="preserve">&lt;?xml version="1.0" encoding="UTF-8" ?&gt;
&lt;results&gt;
&lt;query&gt;和歌山県橋本市橋本&lt;/query&gt;
&lt;geodetic&gt;wgs1984&lt;/geodetic&gt;
&lt;iConf&gt;5&lt;/iConf&gt;
&lt;converted&gt;和歌山県橋本市橋本&lt;/converted&gt;
&lt;candidate&gt;
&lt;address&gt;和歌山県/橋本市/橋本&lt;/address&gt;
&lt;longitude&gt;135.615784&lt;/longitude&gt;
&lt;latitude&gt;34.321644&lt;/latitude&gt;
&lt;iLvl&gt;5&lt;/iLvl&gt;
&lt;/candidate&gt;
&lt;/results&gt;
</v>
      </c>
      <c r="F475" cm="1">
        <f t="array" ref="F475">INDEX(_xlfn.FILTERXML(E475,"//latitude"),1)</f>
        <v>34.321643999999999</v>
      </c>
      <c r="G475" cm="1">
        <f t="array" ref="G475">INDEX(_xlfn.FILTERXML(E475,"//longitude"),1)</f>
        <v>135.61578399999999</v>
      </c>
      <c r="H475">
        <v>34.321643999999999</v>
      </c>
      <c r="I475">
        <v>135.61578399999999</v>
      </c>
    </row>
    <row r="476" spans="1:9" x14ac:dyDescent="0.4">
      <c r="A476" t="s">
        <v>17</v>
      </c>
      <c r="B476" t="s">
        <v>410</v>
      </c>
      <c r="C476" t="str">
        <f t="shared" si="38"/>
        <v>滋賀県甲賀市水口町貴生川</v>
      </c>
      <c r="D476" s="2" t="str">
        <f t="shared" si="39"/>
        <v>http://geocode.csis.u-tokyo.ac.jp/cgi-bin/simple_geocode.cgi?charset=UTF8&amp;addr=%E6%BB%8B%E8%B3%80%E7%9C%8C%E7%94%B2%E8%B3%80%E5%B8%82%E6%B0%B4%E5%8F%A3%E7%94%BA%E8%B2%B4%E7%94%9F%E5%B7%9D</v>
      </c>
      <c r="E476" t="str">
        <f t="shared" si="40"/>
        <v xml:space="preserve">&lt;?xml version="1.0" encoding="UTF-8" ?&gt;
&lt;results&gt;
&lt;query&gt;滋賀県甲賀市水口町貴生川&lt;/query&gt;
&lt;geodetic&gt;wgs1984&lt;/geodetic&gt;
&lt;iConf&gt;5&lt;/iConf&gt;
&lt;converted&gt;滋賀県甲賀市水口町貴生川&lt;/converted&gt;
&lt;candidate&gt;
&lt;address&gt;滋賀県/甲賀市/水口町貴生川&lt;/address&gt;
&lt;longitude&gt;136.147110&lt;/longitude&gt;
&lt;latitude&gt;34.955788&lt;/latitude&gt;
&lt;iLvl&gt;5&lt;/iLvl&gt;
&lt;/candidate&gt;
&lt;/results&gt;
</v>
      </c>
      <c r="F476" cm="1">
        <f t="array" ref="F476">INDEX(_xlfn.FILTERXML(E476,"//latitude"),1)</f>
        <v>34.955787999999998</v>
      </c>
      <c r="G476" cm="1">
        <f t="array" ref="G476">INDEX(_xlfn.FILTERXML(E476,"//longitude"),1)</f>
        <v>136.14711</v>
      </c>
      <c r="H476">
        <v>34.955787999999998</v>
      </c>
      <c r="I476">
        <v>136.14711</v>
      </c>
    </row>
    <row r="477" spans="1:9" x14ac:dyDescent="0.4">
      <c r="A477" t="s">
        <v>281</v>
      </c>
      <c r="B477" t="s">
        <v>411</v>
      </c>
      <c r="C477" t="str">
        <f t="shared" si="38"/>
        <v>山口県防府市</v>
      </c>
      <c r="D477" s="2" t="str">
        <f t="shared" si="39"/>
        <v>http://geocode.csis.u-tokyo.ac.jp/cgi-bin/simple_geocode.cgi?charset=UTF8&amp;addr=%E5%B1%B1%E5%8F%A3%E7%9C%8C%E9%98%B2%E5%BA%9C%E5%B8%82</v>
      </c>
      <c r="E477" t="str">
        <f t="shared" si="40"/>
        <v xml:space="preserve">&lt;?xml version="1.0" encoding="UTF-8" ?&gt;
&lt;results&gt;
&lt;query&gt;山口県防府市&lt;/query&gt;
&lt;geodetic&gt;wgs1984&lt;/geodetic&gt;
&lt;iConf&gt;5&lt;/iConf&gt;
&lt;converted&gt;山口県防府市&lt;/converted&gt;
&lt;candidate&gt;
&lt;address&gt;山口県/防府市&lt;/address&gt;
&lt;longitude&gt;131.562622&lt;/longitude&gt;
&lt;latitude&gt;34.051758&lt;/latitude&gt;
&lt;iLvl&gt;3&lt;/iLvl&gt;
&lt;/candidate&gt;
&lt;/results&gt;
</v>
      </c>
      <c r="F477" cm="1">
        <f t="array" ref="F477">INDEX(_xlfn.FILTERXML(E477,"//latitude"),1)</f>
        <v>34.051758</v>
      </c>
      <c r="G477" cm="1">
        <f t="array" ref="G477">INDEX(_xlfn.FILTERXML(E477,"//longitude"),1)</f>
        <v>131.562622</v>
      </c>
      <c r="H477">
        <v>34.051758</v>
      </c>
      <c r="I477">
        <v>131.562622</v>
      </c>
    </row>
    <row r="478" spans="1:9" x14ac:dyDescent="0.4">
      <c r="A478" t="s">
        <v>19</v>
      </c>
      <c r="B478" t="s">
        <v>634</v>
      </c>
      <c r="C478" t="str">
        <f t="shared" si="38"/>
        <v>福岡県太宰府市</v>
      </c>
      <c r="D478" s="2" t="str">
        <f t="shared" si="39"/>
        <v>http://geocode.csis.u-tokyo.ac.jp/cgi-bin/simple_geocode.cgi?charset=UTF8&amp;addr=%E7%A6%8F%E5%B2%A1%E7%9C%8C%E5%A4%AA%E5%AE%B0%E5%BA%9C%E5%B8%82</v>
      </c>
      <c r="E478" t="str">
        <f t="shared" si="40"/>
        <v xml:space="preserve">&lt;?xml version="1.0" encoding="UTF-8" ?&gt;
&lt;results&gt;
&lt;query&gt;福岡県太宰府市&lt;/query&gt;
&lt;geodetic&gt;wgs1984&lt;/geodetic&gt;
&lt;iConf&gt;5&lt;/iConf&gt;
&lt;converted&gt;福岡県太宰府市&lt;/converted&gt;
&lt;candidate&gt;
&lt;address&gt;福岡県/太宰府市&lt;/address&gt;
&lt;longitude&gt;130.523880&lt;/longitude&gt;
&lt;latitude&gt;33.512836&lt;/latitude&gt;
&lt;iLvl&gt;3&lt;/iLvl&gt;
&lt;/candidate&gt;
&lt;/results&gt;
</v>
      </c>
      <c r="F478" cm="1">
        <f t="array" ref="F478">INDEX(_xlfn.FILTERXML(E478,"//latitude"),1)</f>
        <v>33.512836</v>
      </c>
      <c r="G478" cm="1">
        <f t="array" ref="G478">INDEX(_xlfn.FILTERXML(E478,"//longitude"),1)</f>
        <v>130.52387999999999</v>
      </c>
      <c r="H478">
        <v>33.512836</v>
      </c>
      <c r="I478">
        <v>130.52387999999999</v>
      </c>
    </row>
    <row r="479" spans="1:9" x14ac:dyDescent="0.4">
      <c r="A479" t="s">
        <v>19</v>
      </c>
      <c r="B479" t="s">
        <v>635</v>
      </c>
      <c r="C479" t="str">
        <f t="shared" si="38"/>
        <v>福岡県福岡市西区今宿</v>
      </c>
      <c r="D479" s="2" t="str">
        <f t="shared" si="39"/>
        <v>http://geocode.csis.u-tokyo.ac.jp/cgi-bin/simple_geocode.cgi?charset=UTF8&amp;addr=%E7%A6%8F%E5%B2%A1%E7%9C%8C%E7%A6%8F%E5%B2%A1%E5%B8%82%E8%A5%BF%E5%8C%BA%E4%BB%8A%E5%AE%BF</v>
      </c>
      <c r="E479" t="str">
        <f t="shared" si="40"/>
        <v xml:space="preserve">&lt;?xml version="1.0" encoding="UTF-8" ?&gt;
&lt;results&gt;
&lt;query&gt;福岡県福岡市西区今宿&lt;/query&gt;
&lt;geodetic&gt;wgs1984&lt;/geodetic&gt;
&lt;iConf&gt;5&lt;/iConf&gt;
&lt;converted&gt;福岡県福岡市西区今宿&lt;/converted&gt;
&lt;candidate&gt;
&lt;address&gt;福岡県/福岡市/西区/今宿&lt;/address&gt;
&lt;longitude&gt;130.271805&lt;/longitude&gt;
&lt;latitude&gt;33.582241&lt;/latitude&gt;
&lt;iLvl&gt;5&lt;/iLvl&gt;
&lt;/candidate&gt;
&lt;/results&gt;
</v>
      </c>
      <c r="F479" cm="1">
        <f t="array" ref="F479">INDEX(_xlfn.FILTERXML(E479,"//latitude"),1)</f>
        <v>33.582241000000003</v>
      </c>
      <c r="G479" cm="1">
        <f t="array" ref="G479">INDEX(_xlfn.FILTERXML(E479,"//longitude"),1)</f>
        <v>130.271805</v>
      </c>
      <c r="H479">
        <v>33.582241000000003</v>
      </c>
      <c r="I479">
        <v>130.271805</v>
      </c>
    </row>
    <row r="480" spans="1:9" x14ac:dyDescent="0.4">
      <c r="A480" t="s">
        <v>15</v>
      </c>
      <c r="B480" t="s">
        <v>636</v>
      </c>
      <c r="C480" t="str">
        <f t="shared" si="38"/>
        <v>愛知県名古屋市千種区唐山町</v>
      </c>
      <c r="D480" s="2" t="str">
        <f t="shared" si="39"/>
        <v>http://geocode.csis.u-tokyo.ac.jp/cgi-bin/simple_geocode.cgi?charset=UTF8&amp;addr=%E6%84%9B%E7%9F%A5%E7%9C%8C%E5%90%8D%E5%8F%A4%E5%B1%8B%E5%B8%82%E5%8D%83%E7%A8%AE%E5%8C%BA%E5%94%90%E5%B1%B1%E7%94%BA</v>
      </c>
      <c r="E480" t="str">
        <f t="shared" si="40"/>
        <v xml:space="preserve">&lt;?xml version="1.0" encoding="UTF-8" ?&gt;
&lt;results&gt;
&lt;query&gt;愛知県名古屋市千種区唐山町&lt;/query&gt;
&lt;geodetic&gt;wgs1984&lt;/geodetic&gt;
&lt;iConf&gt;5&lt;/iConf&gt;
&lt;converted&gt;愛知県名古屋市千種区唐山町&lt;/converted&gt;
&lt;candidate&gt;
&lt;address&gt;愛知県/名古屋市/千種区/唐山町&lt;/address&gt;
&lt;longitude&gt;136.968567&lt;/longitude&gt;
&lt;latitude&gt;35.160133&lt;/latitude&gt;
&lt;iLvl&gt;5&lt;/iLvl&gt;
&lt;/candidate&gt;
&lt;/results&gt;
</v>
      </c>
      <c r="F480" cm="1">
        <f t="array" ref="F480">INDEX(_xlfn.FILTERXML(E480,"//latitude"),1)</f>
        <v>35.160133000000002</v>
      </c>
      <c r="G480" cm="1">
        <f t="array" ref="G480">INDEX(_xlfn.FILTERXML(E480,"//longitude"),1)</f>
        <v>136.96856700000001</v>
      </c>
      <c r="H480">
        <v>35.160133000000002</v>
      </c>
      <c r="I480">
        <v>136.96856700000001</v>
      </c>
    </row>
    <row r="481" spans="1:9" x14ac:dyDescent="0.4">
      <c r="A481" t="s">
        <v>24</v>
      </c>
      <c r="B481" t="s">
        <v>637</v>
      </c>
      <c r="C481" t="str">
        <f t="shared" si="38"/>
        <v>静岡県富士市今泉2丁目</v>
      </c>
      <c r="D481" s="2" t="str">
        <f t="shared" si="39"/>
        <v>http://geocode.csis.u-tokyo.ac.jp/cgi-bin/simple_geocode.cgi?charset=UTF8&amp;addr=%E9%9D%99%E5%B2%A1%E7%9C%8C%E5%AF%8C%E5%A3%AB%E5%B8%82%E4%BB%8A%E6%B3%892%E4%B8%81%E7%9B%AE</v>
      </c>
      <c r="E481" t="str">
        <f t="shared" si="40"/>
        <v xml:space="preserve">&lt;?xml version="1.0" encoding="UTF-8" ?&gt;
&lt;results&gt;
&lt;query&gt;静岡県富士市今泉2丁目&lt;/query&gt;
&lt;geodetic&gt;wgs1984&lt;/geodetic&gt;
&lt;iConf&gt;5&lt;/iConf&gt;
&lt;converted&gt;静岡県富士市今泉2丁目&lt;/converted&gt;
&lt;candidate&gt;
&lt;address&gt;静岡県/富士市/今泉/二丁目&lt;/address&gt;
&lt;longitude&gt;138.693481&lt;/longitude&gt;
&lt;latitude&gt;35.164326&lt;/latitude&gt;
&lt;iLvl&gt;6&lt;/iLvl&gt;
&lt;/candidate&gt;
&lt;/results&gt;
</v>
      </c>
      <c r="F481" cm="1">
        <f t="array" ref="F481">INDEX(_xlfn.FILTERXML(E481,"//latitude"),1)</f>
        <v>35.164326000000003</v>
      </c>
      <c r="G481" cm="1">
        <f t="array" ref="G481">INDEX(_xlfn.FILTERXML(E481,"//longitude"),1)</f>
        <v>138.69348099999999</v>
      </c>
      <c r="H481" s="3">
        <v>35.164326000000003</v>
      </c>
      <c r="I481" s="3">
        <v>138.69348099999999</v>
      </c>
    </row>
    <row r="482" spans="1:9" x14ac:dyDescent="0.4">
      <c r="A482" t="s">
        <v>11</v>
      </c>
      <c r="B482" t="s">
        <v>638</v>
      </c>
      <c r="C482" t="str">
        <f t="shared" si="38"/>
        <v>大阪府吹田市津雲台</v>
      </c>
      <c r="D482" s="2" t="str">
        <f t="shared" si="39"/>
        <v>http://geocode.csis.u-tokyo.ac.jp/cgi-bin/simple_geocode.cgi?charset=UTF8&amp;addr=%E5%A4%A7%E9%98%AA%E5%BA%9C%E5%90%B9%E7%94%B0%E5%B8%82%E6%B4%A5%E9%9B%B2%E5%8F%B0</v>
      </c>
      <c r="E482" t="str">
        <f t="shared" si="40"/>
        <v xml:space="preserve">&lt;?xml version="1.0" encoding="UTF-8" ?&gt;
&lt;results&gt;
&lt;query&gt;大阪府吹田市津雲台&lt;/query&gt;
&lt;geodetic&gt;wgs1984&lt;/geodetic&gt;
&lt;iConf&gt;5&lt;/iConf&gt;
&lt;converted&gt;大阪府吹田市津雲台&lt;/converted&gt;
&lt;candidate&gt;
&lt;address&gt;大阪府/吹田市/津雲台&lt;/address&gt;
&lt;longitude&gt;135.509140&lt;/longitude&gt;
&lt;latitude&gt;34.795395&lt;/latitude&gt;
&lt;iLvl&gt;5&lt;/iLvl&gt;
&lt;/candidate&gt;
&lt;/results&gt;
</v>
      </c>
      <c r="F482" cm="1">
        <f t="array" ref="F482">INDEX(_xlfn.FILTERXML(E482,"//latitude"),1)</f>
        <v>34.795394999999999</v>
      </c>
      <c r="G482" cm="1">
        <f t="array" ref="G482">INDEX(_xlfn.FILTERXML(E482,"//longitude"),1)</f>
        <v>135.50914</v>
      </c>
      <c r="H482">
        <v>34.795394999999999</v>
      </c>
      <c r="I482">
        <v>135.50914</v>
      </c>
    </row>
    <row r="483" spans="1:9" x14ac:dyDescent="0.4">
      <c r="A483" t="s">
        <v>10</v>
      </c>
      <c r="B483" t="s">
        <v>639</v>
      </c>
      <c r="C483" t="str">
        <f t="shared" si="38"/>
        <v>神奈川県横須賀市平成町</v>
      </c>
      <c r="D483" s="2" t="str">
        <f t="shared" si="39"/>
        <v>http://geocode.csis.u-tokyo.ac.jp/cgi-bin/simple_geocode.cgi?charset=UTF8&amp;addr=%E7%A5%9E%E5%A5%88%E5%B7%9D%E7%9C%8C%E6%A8%AA%E9%A0%88%E8%B3%80%E5%B8%82%E5%B9%B3%E6%88%90%E7%94%BA</v>
      </c>
      <c r="E483" t="str">
        <f t="shared" si="40"/>
        <v xml:space="preserve">&lt;?xml version="1.0" encoding="UTF-8" ?&gt;
&lt;results&gt;
&lt;query&gt;神奈川県横須賀市平成町&lt;/query&gt;
&lt;geodetic&gt;wgs1984&lt;/geodetic&gt;
&lt;iConf&gt;5&lt;/iConf&gt;
&lt;converted&gt;神奈川県横須賀市平成町&lt;/converted&gt;
&lt;candidate&gt;
&lt;address&gt;神奈川県/横須賀市/平成町&lt;/address&gt;
&lt;longitude&gt;139.681732&lt;/longitude&gt;
&lt;latitude&gt;35.272095&lt;/latitude&gt;
&lt;iLvl&gt;5&lt;/iLvl&gt;
&lt;/candidate&gt;
&lt;/results&gt;
</v>
      </c>
      <c r="F483" cm="1">
        <f t="array" ref="F483">INDEX(_xlfn.FILTERXML(E483,"//latitude"),1)</f>
        <v>35.272095</v>
      </c>
      <c r="G483" cm="1">
        <f t="array" ref="G483">INDEX(_xlfn.FILTERXML(E483,"//longitude"),1)</f>
        <v>139.68173200000001</v>
      </c>
      <c r="H483">
        <v>35.272095</v>
      </c>
      <c r="I483">
        <v>139.68173200000001</v>
      </c>
    </row>
    <row r="484" spans="1:9" x14ac:dyDescent="0.4">
      <c r="A484" t="s">
        <v>14</v>
      </c>
      <c r="B484" t="s">
        <v>640</v>
      </c>
      <c r="C484" t="str">
        <f t="shared" si="38"/>
        <v>長野県諏訪市中洲</v>
      </c>
      <c r="D484" s="2" t="str">
        <f t="shared" si="39"/>
        <v>http://geocode.csis.u-tokyo.ac.jp/cgi-bin/simple_geocode.cgi?charset=UTF8&amp;addr=%E9%95%B7%E9%87%8E%E7%9C%8C%E8%AB%8F%E8%A8%AA%E5%B8%82%E4%B8%AD%E6%B4%B2</v>
      </c>
      <c r="E484" t="str">
        <f t="shared" si="40"/>
        <v xml:space="preserve">&lt;?xml version="1.0" encoding="UTF-8" ?&gt;
&lt;results&gt;
&lt;query&gt;長野県諏訪市中洲&lt;/query&gt;
&lt;geodetic&gt;wgs1984&lt;/geodetic&gt;
&lt;iConf&gt;5&lt;/iConf&gt;
&lt;converted&gt;長野県諏訪市中洲&lt;/converted&gt;
&lt;candidate&gt;
&lt;address&gt;長野県/諏訪市/大字中洲&lt;/address&gt;
&lt;longitude&gt;138.117081&lt;/longitude&gt;
&lt;latitude&gt;35.995308&lt;/latitude&gt;
&lt;iLvl&gt;5&lt;/iLvl&gt;
&lt;/candidate&gt;
&lt;/results&gt;
</v>
      </c>
      <c r="F484" cm="1">
        <f t="array" ref="F484">INDEX(_xlfn.FILTERXML(E484,"//latitude"),1)</f>
        <v>35.995308000000001</v>
      </c>
      <c r="G484" cm="1">
        <f t="array" ref="G484">INDEX(_xlfn.FILTERXML(E484,"//longitude"),1)</f>
        <v>138.11708100000001</v>
      </c>
      <c r="H484">
        <v>35.995308000000001</v>
      </c>
      <c r="I484">
        <v>138.11708100000001</v>
      </c>
    </row>
    <row r="485" spans="1:9" x14ac:dyDescent="0.4">
      <c r="A485" t="s">
        <v>25</v>
      </c>
      <c r="B485" t="s">
        <v>641</v>
      </c>
      <c r="C485" t="str">
        <f t="shared" si="38"/>
        <v>佐賀県小城市三日月町堀江</v>
      </c>
      <c r="D485" s="2" t="str">
        <f t="shared" si="39"/>
        <v>http://geocode.csis.u-tokyo.ac.jp/cgi-bin/simple_geocode.cgi?charset=UTF8&amp;addr=%E4%BD%90%E8%B3%80%E7%9C%8C%E5%B0%8F%E5%9F%8E%E5%B8%82%E4%B8%89%E6%97%A5%E6%9C%88%E7%94%BA%E5%A0%80%E6%B1%9F</v>
      </c>
      <c r="E485" t="str">
        <f t="shared" si="40"/>
        <v xml:space="preserve">&lt;?xml version="1.0" encoding="UTF-8" ?&gt;
&lt;results&gt;
&lt;query&gt;佐賀県小城市三日月町堀江&lt;/query&gt;
&lt;geodetic&gt;wgs1984&lt;/geodetic&gt;
&lt;iConf&gt;5&lt;/iConf&gt;
&lt;converted&gt;佐賀県小城市三日月町堀江&lt;/converted&gt;
&lt;candidate&gt;
&lt;address&gt;佐賀県/小城市/三日月町堀江&lt;/address&gt;
&lt;longitude&gt;130.236176&lt;/longitude&gt;
&lt;latitude&gt;33.270069&lt;/latitude&gt;
&lt;iLvl&gt;5&lt;/iLvl&gt;
&lt;/candidate&gt;
&lt;/results&gt;
</v>
      </c>
      <c r="F485" cm="1">
        <f t="array" ref="F485">INDEX(_xlfn.FILTERXML(E485,"//latitude"),1)</f>
        <v>33.270068999999999</v>
      </c>
      <c r="G485" cm="1">
        <f t="array" ref="G485">INDEX(_xlfn.FILTERXML(E485,"//longitude"),1)</f>
        <v>130.236176</v>
      </c>
      <c r="H485">
        <v>33.270068999999999</v>
      </c>
      <c r="I485">
        <v>130.236176</v>
      </c>
    </row>
    <row r="486" spans="1:9" x14ac:dyDescent="0.4">
      <c r="A486" t="s">
        <v>17</v>
      </c>
      <c r="B486" t="s">
        <v>642</v>
      </c>
      <c r="C486" t="str">
        <f t="shared" si="38"/>
        <v>滋賀県甲賀市甲賀町小佐治</v>
      </c>
      <c r="D486" s="2" t="str">
        <f t="shared" si="39"/>
        <v>http://geocode.csis.u-tokyo.ac.jp/cgi-bin/simple_geocode.cgi?charset=UTF8&amp;addr=%E6%BB%8B%E8%B3%80%E7%9C%8C%E7%94%B2%E8%B3%80%E5%B8%82%E7%94%B2%E8%B3%80%E7%94%BA%E5%B0%8F%E4%BD%90%E6%B2%BB</v>
      </c>
      <c r="E486" t="str">
        <f t="shared" si="40"/>
        <v xml:space="preserve">&lt;?xml version="1.0" encoding="UTF-8" ?&gt;
&lt;results&gt;
&lt;query&gt;滋賀県甲賀市甲賀町小佐治&lt;/query&gt;
&lt;geodetic&gt;wgs1984&lt;/geodetic&gt;
&lt;iConf&gt;5&lt;/iConf&gt;
&lt;converted&gt;滋賀県甲賀市甲賀町小佐治&lt;/converted&gt;
&lt;candidate&gt;
&lt;address&gt;滋賀県/甲賀市/甲賀町小佐治&lt;/address&gt;
&lt;longitude&gt;136.225128&lt;/longitude&gt;
&lt;latitude&gt;34.932888&lt;/latitude&gt;
&lt;iLvl&gt;5&lt;/iLvl&gt;
&lt;/candidate&gt;
&lt;/results&gt;
</v>
      </c>
      <c r="F486" cm="1">
        <f t="array" ref="F486">INDEX(_xlfn.FILTERXML(E486,"//latitude"),1)</f>
        <v>34.932887999999998</v>
      </c>
      <c r="G486" cm="1">
        <f t="array" ref="G486">INDEX(_xlfn.FILTERXML(E486,"//longitude"),1)</f>
        <v>136.22512800000001</v>
      </c>
      <c r="H486">
        <v>34.932887999999998</v>
      </c>
      <c r="I486">
        <v>136.22512800000001</v>
      </c>
    </row>
    <row r="487" spans="1:9" x14ac:dyDescent="0.4">
      <c r="A487" t="s">
        <v>10</v>
      </c>
      <c r="B487" t="s">
        <v>643</v>
      </c>
      <c r="C487" t="str">
        <f t="shared" si="38"/>
        <v>神奈川県横浜市都筑区荏田南</v>
      </c>
      <c r="D487" s="2" t="str">
        <f t="shared" si="39"/>
        <v>http://geocode.csis.u-tokyo.ac.jp/cgi-bin/simple_geocode.cgi?charset=UTF8&amp;addr=%E7%A5%9E%E5%A5%88%E5%B7%9D%E7%9C%8C%E6%A8%AA%E6%B5%9C%E5%B8%82%E9%83%BD%E7%AD%91%E5%8C%BA%E8%8D%8F%E7%94%B0%E5%8D%97</v>
      </c>
      <c r="E487" t="str">
        <f t="shared" si="40"/>
        <v xml:space="preserve">&lt;?xml version="1.0" encoding="UTF-8" ?&gt;
&lt;results&gt;
&lt;query&gt;神奈川県横浜市都筑区荏田南&lt;/query&gt;
&lt;geodetic&gt;wgs1984&lt;/geodetic&gt;
&lt;iConf&gt;5&lt;/iConf&gt;
&lt;converted&gt;神奈川県横浜市都筑区荏田南&lt;/converted&gt;
&lt;candidate&gt;
&lt;address&gt;神奈川県/横浜市/都筑区/荏田南&lt;/address&gt;
&lt;longitude&gt;139.560120&lt;/longitude&gt;
&lt;latitude&gt;35.541790&lt;/latitude&gt;
&lt;iLvl&gt;5&lt;/iLvl&gt;
&lt;/candidate&gt;
&lt;/results&gt;
</v>
      </c>
      <c r="F487" cm="1">
        <f t="array" ref="F487">INDEX(_xlfn.FILTERXML(E487,"//latitude"),1)</f>
        <v>35.541789999999999</v>
      </c>
      <c r="G487" cm="1">
        <f t="array" ref="G487">INDEX(_xlfn.FILTERXML(E487,"//longitude"),1)</f>
        <v>139.56012000000001</v>
      </c>
      <c r="H487">
        <v>35.541789999999999</v>
      </c>
      <c r="I487">
        <v>139.56012000000001</v>
      </c>
    </row>
    <row r="488" spans="1:9" x14ac:dyDescent="0.4">
      <c r="A488" t="s">
        <v>26</v>
      </c>
      <c r="B488" t="s">
        <v>644</v>
      </c>
      <c r="C488" t="str">
        <f t="shared" si="38"/>
        <v>岐阜県大垣市</v>
      </c>
      <c r="D488" s="2" t="str">
        <f t="shared" si="39"/>
        <v>http://geocode.csis.u-tokyo.ac.jp/cgi-bin/simple_geocode.cgi?charset=UTF8&amp;addr=%E5%B2%90%E9%98%9C%E7%9C%8C%E5%A4%A7%E5%9E%A3%E5%B8%82</v>
      </c>
      <c r="E488" t="str">
        <f t="shared" si="40"/>
        <v xml:space="preserve">&lt;?xml version="1.0" encoding="UTF-8" ?&gt;
&lt;results&gt;
&lt;query&gt;岐阜県大垣市&lt;/query&gt;
&lt;geodetic&gt;wgs1984&lt;/geodetic&gt;
&lt;iConf&gt;5&lt;/iConf&gt;
&lt;converted&gt;岐阜県大垣市&lt;/converted&gt;
&lt;candidate&gt;
&lt;address&gt;岐阜県/大垣市&lt;/address&gt;
&lt;longitude&gt;136.612747&lt;/longitude&gt;
&lt;latitude&gt;35.359364&lt;/latitude&gt;
&lt;iLvl&gt;3&lt;/iLvl&gt;
&lt;/candidate&gt;
&lt;/results&gt;
</v>
      </c>
      <c r="F488" cm="1">
        <f t="array" ref="F488">INDEX(_xlfn.FILTERXML(E488,"//latitude"),1)</f>
        <v>35.359363999999999</v>
      </c>
      <c r="G488" cm="1">
        <f t="array" ref="G488">INDEX(_xlfn.FILTERXML(E488,"//longitude"),1)</f>
        <v>136.61274700000001</v>
      </c>
      <c r="H488">
        <v>35.359363999999999</v>
      </c>
      <c r="I488">
        <v>136.61274700000001</v>
      </c>
    </row>
    <row r="489" spans="1:9" x14ac:dyDescent="0.4">
      <c r="A489" t="s">
        <v>9</v>
      </c>
      <c r="B489" t="s">
        <v>645</v>
      </c>
      <c r="C489" t="str">
        <f t="shared" si="38"/>
        <v>東京都国立市</v>
      </c>
      <c r="D489" s="2" t="str">
        <f t="shared" si="39"/>
        <v>http://geocode.csis.u-tokyo.ac.jp/cgi-bin/simple_geocode.cgi?charset=UTF8&amp;addr=%E6%9D%B1%E4%BA%AC%E9%83%BD%E5%9B%BD%E7%AB%8B%E5%B8%82</v>
      </c>
      <c r="E489" t="str">
        <f t="shared" si="40"/>
        <v xml:space="preserve">&lt;?xml version="1.0" encoding="UTF-8" ?&gt;
&lt;results&gt;
&lt;query&gt;東京都国立市&lt;/query&gt;
&lt;geodetic&gt;wgs1984&lt;/geodetic&gt;
&lt;iConf&gt;5&lt;/iConf&gt;
&lt;converted&gt;東京都国立市&lt;/converted&gt;
&lt;candidate&gt;
&lt;address&gt;東京都/国立市&lt;/address&gt;
&lt;longitude&gt;139.441360&lt;/longitude&gt;
&lt;latitude&gt;35.683910&lt;/latitude&gt;
&lt;iLvl&gt;3&lt;/iLvl&gt;
&lt;/candidate&gt;
&lt;/results&gt;
</v>
      </c>
      <c r="F489" cm="1">
        <f t="array" ref="F489">INDEX(_xlfn.FILTERXML(E489,"//latitude"),1)</f>
        <v>35.683909999999997</v>
      </c>
      <c r="G489" cm="1">
        <f t="array" ref="G489">INDEX(_xlfn.FILTERXML(E489,"//longitude"),1)</f>
        <v>139.44136</v>
      </c>
      <c r="H489">
        <v>35.683909999999997</v>
      </c>
      <c r="I489">
        <v>139.44136</v>
      </c>
    </row>
    <row r="490" spans="1:9" x14ac:dyDescent="0.4">
      <c r="A490" t="s">
        <v>13</v>
      </c>
      <c r="B490" t="s">
        <v>646</v>
      </c>
      <c r="C490" t="str">
        <f t="shared" si="38"/>
        <v>兵庫県姫路市広畑区城山町</v>
      </c>
      <c r="D490" s="2" t="str">
        <f t="shared" si="39"/>
        <v>http://geocode.csis.u-tokyo.ac.jp/cgi-bin/simple_geocode.cgi?charset=UTF8&amp;addr=%E5%85%B5%E5%BA%AB%E7%9C%8C%E5%A7%AB%E8%B7%AF%E5%B8%82%E5%BA%83%E7%95%91%E5%8C%BA%E5%9F%8E%E5%B1%B1%E7%94%BA</v>
      </c>
      <c r="E490" t="str">
        <f t="shared" si="40"/>
        <v xml:space="preserve">&lt;?xml version="1.0" encoding="UTF-8" ?&gt;
&lt;results&gt;
&lt;query&gt;兵庫県姫路市広畑区城山町&lt;/query&gt;
&lt;geodetic&gt;wgs1984&lt;/geodetic&gt;
&lt;iConf&gt;5&lt;/iConf&gt;
&lt;converted&gt;兵庫県姫路市広畑区城山町&lt;/converted&gt;
&lt;candidate&gt;
&lt;address&gt;兵庫県/姫路市/広畑区城山町&lt;/address&gt;
&lt;longitude&gt;134.637161&lt;/longitude&gt;
&lt;latitude&gt;34.828152&lt;/latitude&gt;
&lt;iLvl&gt;5&lt;/iLvl&gt;
&lt;/candidate&gt;
&lt;/results&gt;
</v>
      </c>
      <c r="F490" cm="1">
        <f t="array" ref="F490">INDEX(_xlfn.FILTERXML(E490,"//latitude"),1)</f>
        <v>34.828152000000003</v>
      </c>
      <c r="G490" cm="1">
        <f t="array" ref="G490">INDEX(_xlfn.FILTERXML(E490,"//longitude"),1)</f>
        <v>134.63716099999999</v>
      </c>
      <c r="H490">
        <v>34.828152000000003</v>
      </c>
      <c r="I490">
        <v>134.63716099999999</v>
      </c>
    </row>
    <row r="491" spans="1:9" x14ac:dyDescent="0.4">
      <c r="A491" t="s">
        <v>9</v>
      </c>
      <c r="B491" t="s">
        <v>240</v>
      </c>
      <c r="C491" t="str">
        <f t="shared" si="38"/>
        <v>東京都杉並区浜田山</v>
      </c>
      <c r="D491" s="2" t="str">
        <f t="shared" si="39"/>
        <v>http://geocode.csis.u-tokyo.ac.jp/cgi-bin/simple_geocode.cgi?charset=UTF8&amp;addr=%E6%9D%B1%E4%BA%AC%E9%83%BD%E6%9D%89%E4%B8%A6%E5%8C%BA%E6%B5%9C%E7%94%B0%E5%B1%B1</v>
      </c>
      <c r="E491" t="str">
        <f t="shared" si="40"/>
        <v xml:space="preserve">&lt;?xml version="1.0" encoding="UTF-8" ?&gt;
&lt;results&gt;
&lt;query&gt;東京都杉並区浜田山&lt;/query&gt;
&lt;geodetic&gt;wgs1984&lt;/geodetic&gt;
&lt;iConf&gt;5&lt;/iConf&gt;
&lt;converted&gt;東京都杉並区浜田山&lt;/converted&gt;
&lt;candidate&gt;
&lt;address&gt;東京都/杉並区/浜田山&lt;/address&gt;
&lt;longitude&gt;139.631012&lt;/longitude&gt;
&lt;latitude&gt;35.678024&lt;/latitude&gt;
&lt;iLvl&gt;5&lt;/iLvl&gt;
&lt;/candidate&gt;
&lt;/results&gt;
</v>
      </c>
      <c r="F491" cm="1">
        <f t="array" ref="F491">INDEX(_xlfn.FILTERXML(E491,"//latitude"),1)</f>
        <v>35.678024000000001</v>
      </c>
      <c r="G491" cm="1">
        <f t="array" ref="G491">INDEX(_xlfn.FILTERXML(E491,"//longitude"),1)</f>
        <v>139.631012</v>
      </c>
      <c r="H491">
        <v>35.678024000000001</v>
      </c>
      <c r="I491">
        <v>139.631012</v>
      </c>
    </row>
    <row r="492" spans="1:9" x14ac:dyDescent="0.4">
      <c r="A492" t="s">
        <v>24</v>
      </c>
      <c r="B492" t="s">
        <v>647</v>
      </c>
      <c r="C492" t="str">
        <f t="shared" si="38"/>
        <v>静岡県田方郡函南町桑原</v>
      </c>
      <c r="D492" s="2" t="str">
        <f t="shared" si="39"/>
        <v>http://geocode.csis.u-tokyo.ac.jp/cgi-bin/simple_geocode.cgi?charset=UTF8&amp;addr=%E9%9D%99%E5%B2%A1%E7%9C%8C%E7%94%B0%E6%96%B9%E9%83%A1%E5%87%BD%E5%8D%97%E7%94%BA%E6%A1%91%E5%8E%9F</v>
      </c>
      <c r="E492" t="str">
        <f t="shared" si="40"/>
        <v xml:space="preserve">&lt;?xml version="1.0" encoding="UTF-8" ?&gt;
&lt;results&gt;
&lt;query&gt;静岡県田方郡函南町桑原&lt;/query&gt;
&lt;geodetic&gt;wgs1984&lt;/geodetic&gt;
&lt;iConf&gt;5&lt;/iConf&gt;
&lt;converted&gt;静岡県田方郡函南町桑原&lt;/converted&gt;
&lt;candidate&gt;
&lt;address&gt;静岡県/田方郡/函南町/桑原&lt;/address&gt;
&lt;longitude&gt;139.011520&lt;/longitude&gt;
&lt;latitude&gt;35.145588&lt;/latitude&gt;
&lt;iLvl&gt;5&lt;/iLvl&gt;
&lt;/candidate&gt;
&lt;/results&gt;
</v>
      </c>
      <c r="F492" cm="1">
        <f t="array" ref="F492">INDEX(_xlfn.FILTERXML(E492,"//latitude"),1)</f>
        <v>35.145587999999996</v>
      </c>
      <c r="G492" cm="1">
        <f t="array" ref="G492">INDEX(_xlfn.FILTERXML(E492,"//longitude"),1)</f>
        <v>139.01151999999999</v>
      </c>
      <c r="H492">
        <v>35.145587999999996</v>
      </c>
      <c r="I492">
        <v>139.01151999999999</v>
      </c>
    </row>
    <row r="493" spans="1:9" x14ac:dyDescent="0.4">
      <c r="A493" t="s">
        <v>12</v>
      </c>
      <c r="B493" t="s">
        <v>648</v>
      </c>
      <c r="C493" t="str">
        <f t="shared" si="38"/>
        <v>埼玉県狭山市</v>
      </c>
      <c r="D493" s="2" t="str">
        <f t="shared" si="39"/>
        <v>http://geocode.csis.u-tokyo.ac.jp/cgi-bin/simple_geocode.cgi?charset=UTF8&amp;addr=%E5%9F%BC%E7%8E%89%E7%9C%8C%E7%8B%AD%E5%B1%B1%E5%B8%82</v>
      </c>
      <c r="E493" t="str">
        <f t="shared" si="40"/>
        <v xml:space="preserve">&lt;?xml version="1.0" encoding="UTF-8" ?&gt;
&lt;results&gt;
&lt;query&gt;埼玉県狭山市&lt;/query&gt;
&lt;geodetic&gt;wgs1984&lt;/geodetic&gt;
&lt;iConf&gt;5&lt;/iConf&gt;
&lt;converted&gt;埼玉県狭山市&lt;/converted&gt;
&lt;candidate&gt;
&lt;address&gt;埼玉県/狭山市&lt;/address&gt;
&lt;longitude&gt;139.412231&lt;/longitude&gt;
&lt;latitude&gt;35.852905&lt;/latitude&gt;
&lt;iLvl&gt;3&lt;/iLvl&gt;
&lt;/candidate&gt;
&lt;/results&gt;
</v>
      </c>
      <c r="F493" cm="1">
        <f t="array" ref="F493">INDEX(_xlfn.FILTERXML(E493,"//latitude"),1)</f>
        <v>35.852905</v>
      </c>
      <c r="G493" cm="1">
        <f t="array" ref="G493">INDEX(_xlfn.FILTERXML(E493,"//longitude"),1)</f>
        <v>139.41223099999999</v>
      </c>
      <c r="H493">
        <v>35.852905</v>
      </c>
      <c r="I493">
        <v>139.41223099999999</v>
      </c>
    </row>
    <row r="494" spans="1:9" x14ac:dyDescent="0.4">
      <c r="A494" t="s">
        <v>140</v>
      </c>
      <c r="B494" t="s">
        <v>649</v>
      </c>
      <c r="C494" t="str">
        <f t="shared" si="38"/>
        <v>富山県高岡市手洗野</v>
      </c>
      <c r="D494" s="2" t="str">
        <f t="shared" si="39"/>
        <v>http://geocode.csis.u-tokyo.ac.jp/cgi-bin/simple_geocode.cgi?charset=UTF8&amp;addr=%E5%AF%8C%E5%B1%B1%E7%9C%8C%E9%AB%98%E5%B2%A1%E5%B8%82%E6%89%8B%E6%B4%97%E9%87%8E</v>
      </c>
      <c r="E494" t="str">
        <f t="shared" si="40"/>
        <v xml:space="preserve">&lt;?xml version="1.0" encoding="UTF-8" ?&gt;
&lt;results&gt;
&lt;query&gt;富山県高岡市手洗野&lt;/query&gt;
&lt;geodetic&gt;wgs1984&lt;/geodetic&gt;
&lt;iConf&gt;5&lt;/iConf&gt;
&lt;converted&gt;富山県高岡市手洗野&lt;/converted&gt;
&lt;candidate&gt;
&lt;address&gt;富山県/高岡市/手洗野&lt;/address&gt;
&lt;longitude&gt;136.959320&lt;/longitude&gt;
&lt;latitude&gt;36.761421&lt;/latitude&gt;
&lt;iLvl&gt;5&lt;/iLvl&gt;
&lt;/candidate&gt;
&lt;/results&gt;
</v>
      </c>
      <c r="F494" cm="1">
        <f t="array" ref="F494">INDEX(_xlfn.FILTERXML(E494,"//latitude"),1)</f>
        <v>36.761420999999999</v>
      </c>
      <c r="G494" cm="1">
        <f t="array" ref="G494">INDEX(_xlfn.FILTERXML(E494,"//longitude"),1)</f>
        <v>136.95931999999999</v>
      </c>
      <c r="H494">
        <v>36.761420999999999</v>
      </c>
      <c r="I494">
        <v>136.95931999999999</v>
      </c>
    </row>
    <row r="495" spans="1:9" x14ac:dyDescent="0.4">
      <c r="A495" t="s">
        <v>10</v>
      </c>
      <c r="B495" t="s">
        <v>650</v>
      </c>
      <c r="C495" t="str">
        <f t="shared" si="38"/>
        <v>神奈川県秦野市</v>
      </c>
      <c r="D495" s="2" t="str">
        <f t="shared" si="39"/>
        <v>http://geocode.csis.u-tokyo.ac.jp/cgi-bin/simple_geocode.cgi?charset=UTF8&amp;addr=%E7%A5%9E%E5%A5%88%E5%B7%9D%E7%9C%8C%E7%A7%A6%E9%87%8E%E5%B8%82</v>
      </c>
      <c r="E495" t="str">
        <f t="shared" si="40"/>
        <v xml:space="preserve">&lt;?xml version="1.0" encoding="UTF-8" ?&gt;
&lt;results&gt;
&lt;query&gt;神奈川県秦野市&lt;/query&gt;
&lt;geodetic&gt;wgs1984&lt;/geodetic&gt;
&lt;iConf&gt;5&lt;/iConf&gt;
&lt;converted&gt;神奈川県秦野市&lt;/converted&gt;
&lt;candidate&gt;
&lt;address&gt;神奈川県/秦野市&lt;/address&gt;
&lt;longitude&gt;139.219940&lt;/longitude&gt;
&lt;latitude&gt;35.374802&lt;/latitude&gt;
&lt;iLvl&gt;3&lt;/iLvl&gt;
&lt;/candidate&gt;
&lt;/results&gt;
</v>
      </c>
      <c r="F495" cm="1">
        <f t="array" ref="F495">INDEX(_xlfn.FILTERXML(E495,"//latitude"),1)</f>
        <v>35.374802000000003</v>
      </c>
      <c r="G495" cm="1">
        <f t="array" ref="G495">INDEX(_xlfn.FILTERXML(E495,"//longitude"),1)</f>
        <v>139.21994000000001</v>
      </c>
      <c r="H495">
        <v>35.374802000000003</v>
      </c>
      <c r="I495">
        <v>139.21994000000001</v>
      </c>
    </row>
    <row r="496" spans="1:9" x14ac:dyDescent="0.4">
      <c r="A496" t="s">
        <v>16</v>
      </c>
      <c r="B496" t="s">
        <v>651</v>
      </c>
      <c r="C496" t="str">
        <f t="shared" si="38"/>
        <v>千葉県柏市末広町</v>
      </c>
      <c r="D496" s="2" t="str">
        <f t="shared" si="39"/>
        <v>http://geocode.csis.u-tokyo.ac.jp/cgi-bin/simple_geocode.cgi?charset=UTF8&amp;addr=%E5%8D%83%E8%91%89%E7%9C%8C%E6%9F%8F%E5%B8%82%E6%9C%AB%E5%BA%83%E7%94%BA</v>
      </c>
      <c r="E496" t="str">
        <f t="shared" si="40"/>
        <v xml:space="preserve">&lt;?xml version="1.0" encoding="UTF-8" ?&gt;
&lt;results&gt;
&lt;query&gt;千葉県柏市末広町&lt;/query&gt;
&lt;geodetic&gt;wgs1984&lt;/geodetic&gt;
&lt;iConf&gt;5&lt;/iConf&gt;
&lt;converted&gt;千葉県柏市末広町&lt;/converted&gt;
&lt;candidate&gt;
&lt;address&gt;千葉県/柏市/末広町&lt;/address&gt;
&lt;longitude&gt;139.970398&lt;/longitude&gt;
&lt;latitude&gt;35.862904&lt;/latitude&gt;
&lt;iLvl&gt;5&lt;/iLvl&gt;
&lt;/candidate&gt;
&lt;/results&gt;
</v>
      </c>
      <c r="F496" cm="1">
        <f t="array" ref="F496">INDEX(_xlfn.FILTERXML(E496,"//latitude"),1)</f>
        <v>35.862904</v>
      </c>
      <c r="G496" cm="1">
        <f t="array" ref="G496">INDEX(_xlfn.FILTERXML(E496,"//longitude"),1)</f>
        <v>139.97039799999999</v>
      </c>
      <c r="H496">
        <v>35.862904</v>
      </c>
      <c r="I496">
        <v>139.97039799999999</v>
      </c>
    </row>
    <row r="497" spans="1:9" x14ac:dyDescent="0.4">
      <c r="A497" t="s">
        <v>12</v>
      </c>
      <c r="B497" t="s">
        <v>652</v>
      </c>
      <c r="C497" t="str">
        <f t="shared" si="38"/>
        <v>埼玉県さいたま市北区日進町</v>
      </c>
      <c r="D497" s="2" t="str">
        <f t="shared" si="39"/>
        <v>http://geocode.csis.u-tokyo.ac.jp/cgi-bin/simple_geocode.cgi?charset=UTF8&amp;addr=%E5%9F%BC%E7%8E%89%E7%9C%8C%E3%81%95%E3%81%84%E3%81%9F%E3%81%BE%E5%B8%82%E5%8C%97%E5%8C%BA%E6%97%A5%E9%80%B2%E7%94%BA</v>
      </c>
      <c r="E497" t="str">
        <f t="shared" si="40"/>
        <v xml:space="preserve">&lt;?xml version="1.0" encoding="UTF-8" ?&gt;
&lt;results&gt;
&lt;query&gt;埼玉県さいたま市北区日進町&lt;/query&gt;
&lt;geodetic&gt;wgs1984&lt;/geodetic&gt;
&lt;iConf&gt;5&lt;/iConf&gt;
&lt;converted&gt;埼玉県さいたま市北区日進町&lt;/converted&gt;
&lt;candidate&gt;
&lt;address&gt;埼玉県/さいたま市/北区/日進町&lt;/address&gt;
&lt;longitude&gt;139.600037&lt;/longitude&gt;
&lt;latitude&gt;35.920780&lt;/latitude&gt;
&lt;iLvl&gt;5&lt;/iLvl&gt;
&lt;/candidate&gt;
&lt;/results&gt;
</v>
      </c>
      <c r="F497" cm="1">
        <f t="array" ref="F497">INDEX(_xlfn.FILTERXML(E497,"//latitude"),1)</f>
        <v>35.920780000000001</v>
      </c>
      <c r="G497" cm="1">
        <f t="array" ref="G497">INDEX(_xlfn.FILTERXML(E497,"//longitude"),1)</f>
        <v>139.60003699999999</v>
      </c>
      <c r="H497">
        <v>35.920780000000001</v>
      </c>
      <c r="I497">
        <v>139.60003699999999</v>
      </c>
    </row>
    <row r="498" spans="1:9" x14ac:dyDescent="0.4">
      <c r="A498" t="s">
        <v>24</v>
      </c>
      <c r="B498" t="s">
        <v>653</v>
      </c>
      <c r="C498" t="str">
        <f t="shared" si="38"/>
        <v>静岡県掛川市駅前</v>
      </c>
      <c r="D498" s="2" t="str">
        <f t="shared" si="39"/>
        <v>http://geocode.csis.u-tokyo.ac.jp/cgi-bin/simple_geocode.cgi?charset=UTF8&amp;addr=%E9%9D%99%E5%B2%A1%E7%9C%8C%E6%8E%9B%E5%B7%9D%E5%B8%82%E9%A7%85%E5%89%8D</v>
      </c>
      <c r="E498" t="str">
        <f t="shared" si="40"/>
        <v xml:space="preserve">&lt;?xml version="1.0" encoding="UTF-8" ?&gt;
&lt;results&gt;
&lt;query&gt;静岡県掛川市駅前&lt;/query&gt;
&lt;geodetic&gt;wgs1984&lt;/geodetic&gt;
&lt;iConf&gt;5&lt;/iConf&gt;
&lt;converted&gt;静岡県掛川市駅前&lt;/converted&gt;
&lt;candidate&gt;
&lt;address&gt;静岡県/掛川市/駅前&lt;/address&gt;
&lt;longitude&gt;138.016205&lt;/longitude&gt;
&lt;latitude&gt;34.770313&lt;/latitude&gt;
&lt;iLvl&gt;5&lt;/iLvl&gt;
&lt;/candidate&gt;
&lt;/results&gt;
</v>
      </c>
      <c r="F498" cm="1">
        <f t="array" ref="F498">INDEX(_xlfn.FILTERXML(E498,"//latitude"),1)</f>
        <v>34.770313000000002</v>
      </c>
      <c r="G498" cm="1">
        <f t="array" ref="G498">INDEX(_xlfn.FILTERXML(E498,"//longitude"),1)</f>
        <v>138.01620500000001</v>
      </c>
      <c r="H498">
        <v>34.770313000000002</v>
      </c>
      <c r="I498">
        <v>138.01620500000001</v>
      </c>
    </row>
    <row r="499" spans="1:9" x14ac:dyDescent="0.4">
      <c r="A499" t="s">
        <v>10</v>
      </c>
      <c r="B499" t="s">
        <v>190</v>
      </c>
      <c r="C499" t="str">
        <f t="shared" si="38"/>
        <v>神奈川県横浜市青葉区美しが丘</v>
      </c>
      <c r="D499" s="2" t="str">
        <f t="shared" si="39"/>
        <v>http://geocode.csis.u-tokyo.ac.jp/cgi-bin/simple_geocode.cgi?charset=UTF8&amp;addr=%E7%A5%9E%E5%A5%88%E5%B7%9D%E7%9C%8C%E6%A8%AA%E6%B5%9C%E5%B8%82%E9%9D%92%E8%91%89%E5%8C%BA%E7%BE%8E%E3%81%97%E3%81%8C%E4%B8%98</v>
      </c>
      <c r="E499" t="str">
        <f t="shared" si="40"/>
        <v xml:space="preserve">&lt;?xml version="1.0" encoding="UTF-8" ?&gt;
&lt;results&gt;
&lt;query&gt;神奈川県横浜市青葉区美しが丘&lt;/query&gt;
&lt;geodetic&gt;wgs1984&lt;/geodetic&gt;
&lt;iConf&gt;5&lt;/iConf&gt;
&lt;converted&gt;神奈川県横浜市青葉区美しが丘&lt;/converted&gt;
&lt;candidate&gt;
&lt;address&gt;神奈川県/横浜市/青葉区/美しが丘&lt;/address&gt;
&lt;longitude&gt;139.555374&lt;/longitude&gt;
&lt;latitude&gt;35.579971&lt;/latitude&gt;
&lt;iLvl&gt;5&lt;/iLvl&gt;
&lt;/candidate&gt;
&lt;/results&gt;
</v>
      </c>
      <c r="F499" cm="1">
        <f t="array" ref="F499">INDEX(_xlfn.FILTERXML(E499,"//latitude"),1)</f>
        <v>35.579971</v>
      </c>
      <c r="G499" cm="1">
        <f t="array" ref="G499">INDEX(_xlfn.FILTERXML(E499,"//longitude"),1)</f>
        <v>139.555374</v>
      </c>
      <c r="H499">
        <v>35.579971</v>
      </c>
      <c r="I499">
        <v>139.555374</v>
      </c>
    </row>
    <row r="500" spans="1:9" x14ac:dyDescent="0.4">
      <c r="A500" t="s">
        <v>9</v>
      </c>
      <c r="B500" t="s">
        <v>654</v>
      </c>
      <c r="C500" t="str">
        <f t="shared" si="38"/>
        <v>東京都豊島区駒込</v>
      </c>
      <c r="D500" s="2" t="str">
        <f t="shared" si="39"/>
        <v>http://geocode.csis.u-tokyo.ac.jp/cgi-bin/simple_geocode.cgi?charset=UTF8&amp;addr=%E6%9D%B1%E4%BA%AC%E9%83%BD%E8%B1%8A%E5%B3%B6%E5%8C%BA%E9%A7%92%E8%BE%BC</v>
      </c>
      <c r="E500" t="str">
        <f t="shared" si="40"/>
        <v xml:space="preserve">&lt;?xml version="1.0" encoding="UTF-8" ?&gt;
&lt;results&gt;
&lt;query&gt;東京都豊島区駒込&lt;/query&gt;
&lt;geodetic&gt;wgs1984&lt;/geodetic&gt;
&lt;iConf&gt;5&lt;/iConf&gt;
&lt;converted&gt;東京都豊島区駒込&lt;/converted&gt;
&lt;candidate&gt;
&lt;address&gt;東京都/豊島区/駒込&lt;/address&gt;
&lt;longitude&gt;139.749603&lt;/longitude&gt;
&lt;latitude&gt;35.735039&lt;/latitude&gt;
&lt;iLvl&gt;5&lt;/iLvl&gt;
&lt;/candidate&gt;
&lt;/results&gt;
</v>
      </c>
      <c r="F500" cm="1">
        <f t="array" ref="F500">INDEX(_xlfn.FILTERXML(E500,"//latitude"),1)</f>
        <v>35.735039</v>
      </c>
      <c r="G500" cm="1">
        <f t="array" ref="G500">INDEX(_xlfn.FILTERXML(E500,"//longitude"),1)</f>
        <v>139.74960300000001</v>
      </c>
      <c r="H500">
        <v>35.735039</v>
      </c>
      <c r="I500">
        <v>139.74960300000001</v>
      </c>
    </row>
    <row r="501" spans="1:9" x14ac:dyDescent="0.4">
      <c r="A501" t="s">
        <v>18</v>
      </c>
      <c r="B501" t="s">
        <v>655</v>
      </c>
      <c r="C501" t="str">
        <f t="shared" si="38"/>
        <v>茨城県土浦市</v>
      </c>
      <c r="D501" s="2" t="str">
        <f t="shared" si="39"/>
        <v>http://geocode.csis.u-tokyo.ac.jp/cgi-bin/simple_geocode.cgi?charset=UTF8&amp;addr=%E8%8C%A8%E5%9F%8E%E7%9C%8C%E5%9C%9F%E6%B5%A6%E5%B8%82</v>
      </c>
      <c r="E501" t="str">
        <f t="shared" si="40"/>
        <v xml:space="preserve">&lt;?xml version="1.0" encoding="UTF-8" ?&gt;
&lt;results&gt;
&lt;query&gt;茨城県土浦市&lt;/query&gt;
&lt;geodetic&gt;wgs1984&lt;/geodetic&gt;
&lt;iConf&gt;5&lt;/iConf&gt;
&lt;converted&gt;茨城県土浦市&lt;/converted&gt;
&lt;candidate&gt;
&lt;address&gt;茨城県/土浦市&lt;/address&gt;
&lt;longitude&gt;140.196060&lt;/longitude&gt;
&lt;latitude&gt;36.071869&lt;/latitude&gt;
&lt;iLvl&gt;3&lt;/iLvl&gt;
&lt;/candidate&gt;
&lt;/results&gt;
</v>
      </c>
      <c r="F501" cm="1">
        <f t="array" ref="F501">INDEX(_xlfn.FILTERXML(E501,"//latitude"),1)</f>
        <v>36.071869</v>
      </c>
      <c r="G501" cm="1">
        <f t="array" ref="G501">INDEX(_xlfn.FILTERXML(E501,"//longitude"),1)</f>
        <v>140.19605999999999</v>
      </c>
      <c r="H501">
        <v>36.071869</v>
      </c>
      <c r="I501">
        <v>140.19605999999999</v>
      </c>
    </row>
    <row r="502" spans="1:9" x14ac:dyDescent="0.4">
      <c r="A502" t="s">
        <v>29</v>
      </c>
      <c r="B502" t="s">
        <v>656</v>
      </c>
      <c r="C502" t="str">
        <f t="shared" si="38"/>
        <v>新潟県新潟市南区根岸</v>
      </c>
      <c r="D502" s="2" t="str">
        <f t="shared" si="39"/>
        <v>http://geocode.csis.u-tokyo.ac.jp/cgi-bin/simple_geocode.cgi?charset=UTF8&amp;addr=%E6%96%B0%E6%BD%9F%E7%9C%8C%E6%96%B0%E6%BD%9F%E5%B8%82%E5%8D%97%E5%8C%BA%E6%A0%B9%E5%B2%B8</v>
      </c>
      <c r="E502" t="str">
        <f t="shared" si="40"/>
        <v xml:space="preserve">&lt;?xml version="1.0" encoding="UTF-8" ?&gt;
&lt;results&gt;
&lt;query&gt;新潟県新潟市南区根岸&lt;/query&gt;
&lt;geodetic&gt;wgs1984&lt;/geodetic&gt;
&lt;iConf&gt;5&lt;/iConf&gt;
&lt;converted&gt;新潟県新潟市南区根岸&lt;/converted&gt;
&lt;candidate&gt;
&lt;address&gt;新潟県/新潟市/南区/根岸&lt;/address&gt;
&lt;longitude&gt;139.025177&lt;/longitude&gt;
&lt;latitude&gt;37.795670&lt;/latitude&gt;
&lt;iLvl&gt;5&lt;/iLvl&gt;
&lt;/candidate&gt;
&lt;/results&gt;
</v>
      </c>
      <c r="F502" cm="1">
        <f t="array" ref="F502">INDEX(_xlfn.FILTERXML(E502,"//latitude"),1)</f>
        <v>37.795670000000001</v>
      </c>
      <c r="G502" cm="1">
        <f t="array" ref="G502">INDEX(_xlfn.FILTERXML(E502,"//longitude"),1)</f>
        <v>139.02517700000001</v>
      </c>
      <c r="H502">
        <v>37.795670000000001</v>
      </c>
      <c r="I502">
        <v>139.02517700000001</v>
      </c>
    </row>
    <row r="503" spans="1:9" x14ac:dyDescent="0.4">
      <c r="A503" t="s">
        <v>40</v>
      </c>
      <c r="B503" t="s">
        <v>657</v>
      </c>
      <c r="C503" t="str">
        <f t="shared" si="38"/>
        <v>長崎県佐世保市</v>
      </c>
      <c r="D503" s="2" t="str">
        <f t="shared" si="39"/>
        <v>http://geocode.csis.u-tokyo.ac.jp/cgi-bin/simple_geocode.cgi?charset=UTF8&amp;addr=%E9%95%B7%E5%B4%8E%E7%9C%8C%E4%BD%90%E4%B8%96%E4%BF%9D%E5%B8%82</v>
      </c>
      <c r="E503" t="str">
        <f t="shared" si="40"/>
        <v xml:space="preserve">&lt;?xml version="1.0" encoding="UTF-8" ?&gt;
&lt;results&gt;
&lt;query&gt;長崎県佐世保市&lt;/query&gt;
&lt;geodetic&gt;wgs1984&lt;/geodetic&gt;
&lt;iConf&gt;5&lt;/iConf&gt;
&lt;converted&gt;長崎県佐世保市&lt;/converted&gt;
&lt;candidate&gt;
&lt;address&gt;長崎県/佐世保市&lt;/address&gt;
&lt;longitude&gt;129.715088&lt;/longitude&gt;
&lt;latitude&gt;33.179905&lt;/latitude&gt;
&lt;iLvl&gt;3&lt;/iLvl&gt;
&lt;/candidate&gt;
&lt;/results&gt;
</v>
      </c>
      <c r="F503" cm="1">
        <f t="array" ref="F503">INDEX(_xlfn.FILTERXML(E503,"//latitude"),1)</f>
        <v>33.179904999999998</v>
      </c>
      <c r="G503" cm="1">
        <f t="array" ref="G503">INDEX(_xlfn.FILTERXML(E503,"//longitude"),1)</f>
        <v>129.71508800000001</v>
      </c>
      <c r="H503">
        <v>33.179904999999998</v>
      </c>
      <c r="I503">
        <v>129.71508800000001</v>
      </c>
    </row>
    <row r="504" spans="1:9" x14ac:dyDescent="0.4">
      <c r="A504" t="s">
        <v>9</v>
      </c>
      <c r="B504" t="s">
        <v>658</v>
      </c>
      <c r="C504" t="str">
        <f t="shared" si="38"/>
        <v>東京都青梅市今井</v>
      </c>
      <c r="D504" s="2" t="str">
        <f t="shared" si="39"/>
        <v>http://geocode.csis.u-tokyo.ac.jp/cgi-bin/simple_geocode.cgi?charset=UTF8&amp;addr=%E6%9D%B1%E4%BA%AC%E9%83%BD%E9%9D%92%E6%A2%85%E5%B8%82%E4%BB%8A%E4%BA%95</v>
      </c>
      <c r="E504" t="str">
        <f t="shared" si="40"/>
        <v xml:space="preserve">&lt;?xml version="1.0" encoding="UTF-8" ?&gt;
&lt;results&gt;
&lt;query&gt;東京都青梅市今井&lt;/query&gt;
&lt;geodetic&gt;wgs1984&lt;/geodetic&gt;
&lt;iConf&gt;5&lt;/iConf&gt;
&lt;converted&gt;東京都青梅市今井&lt;/converted&gt;
&lt;candidate&gt;
&lt;address&gt;東京都/青梅市/今井&lt;/address&gt;
&lt;longitude&gt;139.309753&lt;/longitude&gt;
&lt;latitude&gt;35.815975&lt;/latitude&gt;
&lt;iLvl&gt;5&lt;/iLvl&gt;
&lt;/candidate&gt;
&lt;/results&gt;
</v>
      </c>
      <c r="F504" cm="1">
        <f t="array" ref="F504">INDEX(_xlfn.FILTERXML(E504,"//latitude"),1)</f>
        <v>35.815975000000002</v>
      </c>
      <c r="G504" cm="1">
        <f t="array" ref="G504">INDEX(_xlfn.FILTERXML(E504,"//longitude"),1)</f>
        <v>139.309753</v>
      </c>
      <c r="H504">
        <v>35.815975000000002</v>
      </c>
      <c r="I504">
        <v>139.309753</v>
      </c>
    </row>
    <row r="505" spans="1:9" x14ac:dyDescent="0.4">
      <c r="A505" t="s">
        <v>284</v>
      </c>
      <c r="B505" t="s">
        <v>659</v>
      </c>
      <c r="C505" t="str">
        <f t="shared" si="38"/>
        <v>岩手県花巻市桜台</v>
      </c>
      <c r="D505" s="2" t="str">
        <f t="shared" si="39"/>
        <v>http://geocode.csis.u-tokyo.ac.jp/cgi-bin/simple_geocode.cgi?charset=UTF8&amp;addr=%E5%B2%A9%E6%89%8B%E7%9C%8C%E8%8A%B1%E5%B7%BB%E5%B8%82%E6%A1%9C%E5%8F%B0</v>
      </c>
      <c r="E505" t="str">
        <f t="shared" si="40"/>
        <v xml:space="preserve">&lt;?xml version="1.0" encoding="UTF-8" ?&gt;
&lt;results&gt;
&lt;query&gt;岩手県花巻市桜台&lt;/query&gt;
&lt;geodetic&gt;wgs1984&lt;/geodetic&gt;
&lt;iConf&gt;5&lt;/iConf&gt;
&lt;converted&gt;岩手県花巻市桜台&lt;/converted&gt;
&lt;candidate&gt;
&lt;address&gt;岩手県/花巻市/桜台&lt;/address&gt;
&lt;longitude&gt;141.107910&lt;/longitude&gt;
&lt;latitude&gt;39.397774&lt;/latitude&gt;
&lt;iLvl&gt;5&lt;/iLvl&gt;
&lt;/candidate&gt;
&lt;/results&gt;
</v>
      </c>
      <c r="F505" cm="1">
        <f t="array" ref="F505">INDEX(_xlfn.FILTERXML(E505,"//latitude"),1)</f>
        <v>39.397773999999998</v>
      </c>
      <c r="G505" cm="1">
        <f t="array" ref="G505">INDEX(_xlfn.FILTERXML(E505,"//longitude"),1)</f>
        <v>141.10791</v>
      </c>
      <c r="H505">
        <v>39.397773999999998</v>
      </c>
      <c r="I505">
        <v>141.10791</v>
      </c>
    </row>
    <row r="506" spans="1:9" x14ac:dyDescent="0.4">
      <c r="A506" t="s">
        <v>15</v>
      </c>
      <c r="B506" t="s">
        <v>660</v>
      </c>
      <c r="C506" t="str">
        <f t="shared" si="38"/>
        <v>愛知県名古屋市東区葵</v>
      </c>
      <c r="D506" s="2" t="str">
        <f t="shared" si="39"/>
        <v>http://geocode.csis.u-tokyo.ac.jp/cgi-bin/simple_geocode.cgi?charset=UTF8&amp;addr=%E6%84%9B%E7%9F%A5%E7%9C%8C%E5%90%8D%E5%8F%A4%E5%B1%8B%E5%B8%82%E6%9D%B1%E5%8C%BA%E8%91%B5</v>
      </c>
      <c r="E506" t="str">
        <f t="shared" si="40"/>
        <v xml:space="preserve">&lt;?xml version="1.0" encoding="UTF-8" ?&gt;
&lt;results&gt;
&lt;query&gt;愛知県名古屋市東区葵&lt;/query&gt;
&lt;geodetic&gt;wgs1984&lt;/geodetic&gt;
&lt;iConf&gt;5&lt;/iConf&gt;
&lt;converted&gt;愛知県名古屋市東区葵&lt;/converted&gt;
&lt;candidate&gt;
&lt;address&gt;愛知県/名古屋市/東区/葵&lt;/address&gt;
&lt;longitude&gt;136.921783&lt;/longitude&gt;
&lt;latitude&gt;35.172035&lt;/latitude&gt;
&lt;iLvl&gt;5&lt;/iLvl&gt;
&lt;/candidate&gt;
&lt;/results&gt;
</v>
      </c>
      <c r="F506" cm="1">
        <f t="array" ref="F506">INDEX(_xlfn.FILTERXML(E506,"//latitude"),1)</f>
        <v>35.172035000000001</v>
      </c>
      <c r="G506" cm="1">
        <f t="array" ref="G506">INDEX(_xlfn.FILTERXML(E506,"//longitude"),1)</f>
        <v>136.921783</v>
      </c>
      <c r="H506">
        <v>35.172035000000001</v>
      </c>
      <c r="I506">
        <v>136.921783</v>
      </c>
    </row>
    <row r="507" spans="1:9" x14ac:dyDescent="0.4">
      <c r="A507" t="s">
        <v>24</v>
      </c>
      <c r="B507" t="s">
        <v>661</v>
      </c>
      <c r="C507" t="str">
        <f t="shared" si="38"/>
        <v>静岡県沼津市千本郷林</v>
      </c>
      <c r="D507" s="2" t="str">
        <f t="shared" si="39"/>
        <v>http://geocode.csis.u-tokyo.ac.jp/cgi-bin/simple_geocode.cgi?charset=UTF8&amp;addr=%E9%9D%99%E5%B2%A1%E7%9C%8C%E6%B2%BC%E6%B4%A5%E5%B8%82%E5%8D%83%E6%9C%AC%E9%83%B7%E6%9E%97</v>
      </c>
      <c r="E507" t="str">
        <f t="shared" si="40"/>
        <v xml:space="preserve">&lt;?xml version="1.0" encoding="UTF-8" ?&gt;
&lt;results&gt;
&lt;query&gt;静岡県沼津市千本郷林&lt;/query&gt;
&lt;geodetic&gt;wgs1984&lt;/geodetic&gt;
&lt;iConf&gt;4&lt;/iConf&gt;
&lt;converted&gt;静岡県沼津市千本&lt;/converted&gt;
&lt;candidate&gt;
&lt;address&gt;静岡県/沼津市/千本港町&lt;/address&gt;
&lt;longitude&gt;138.857895&lt;/longitude&gt;
&lt;latitude&gt;35.083679&lt;/latitude&gt;
&lt;iLvl&gt;5&lt;/iLvl&gt;
&lt;/candidate&gt;
&lt;candidate&gt;
&lt;address&gt;静岡県/沼津市/千本常盤町&lt;/address&gt;
&lt;longitude&gt;138.852600&lt;/longitude&gt;
&lt;latitude&gt;35.088482&lt;/latitude&gt;
&lt;iLvl&gt;5&lt;/iLvl&gt;
&lt;/candidate&gt;
&lt;candidate&gt;
&lt;address&gt;静岡県/沼津市/千本西町&lt;/address&gt;
&lt;longitude&gt;138.854858&lt;/longitude&gt;
&lt;latitude&gt;35.086170&lt;/latitude&gt;
&lt;iLvl&gt;5&lt;/iLvl&gt;
&lt;/candidate&gt;
&lt;candidate&gt;
&lt;address&gt;静岡県/沼津市/千本中町&lt;/address&gt;
&lt;longitude&gt;138.856293&lt;/longitude&gt;
&lt;latitude&gt;35.086430&lt;/latitude&gt;
&lt;iLvl&gt;5&lt;/iLvl&gt;
&lt;/candidate&gt;
&lt;candidate&gt;
&lt;address&gt;静岡県/沼津市/千本東町&lt;/address&gt;
&lt;longitude&gt;138.857269&lt;/longitude&gt;
&lt;latitude&gt;35.086716&lt;/latitude&gt;
&lt;iLvl&gt;5&lt;/iLvl&gt;
&lt;/candidate&gt;
&lt;candidate&gt;
&lt;address&gt;静岡県/沼津市/千本緑町&lt;/address&gt;
&lt;longitude&gt;138.852402&lt;/longitude&gt;
&lt;latitude&gt;35.091850&lt;/latitude&gt;
&lt;iLvl&gt;5&lt;/iLvl&gt;
&lt;/candidate&gt;
&lt;/results&gt;
</v>
      </c>
      <c r="F507" cm="1">
        <f t="array" ref="F507">INDEX(_xlfn.FILTERXML(E507,"//latitude"),1)</f>
        <v>35.083678999999997</v>
      </c>
      <c r="G507" cm="1">
        <f t="array" ref="G507">INDEX(_xlfn.FILTERXML(E507,"//longitude"),1)</f>
        <v>138.85789500000001</v>
      </c>
      <c r="H507">
        <v>35.083678999999997</v>
      </c>
      <c r="I507">
        <v>138.85789500000001</v>
      </c>
    </row>
    <row r="508" spans="1:9" x14ac:dyDescent="0.4">
      <c r="A508" t="s">
        <v>15</v>
      </c>
      <c r="B508" t="s">
        <v>662</v>
      </c>
      <c r="C508" t="str">
        <f t="shared" si="38"/>
        <v>愛知県蒲郡市水竹町下島</v>
      </c>
      <c r="D508" s="2" t="str">
        <f t="shared" si="39"/>
        <v>http://geocode.csis.u-tokyo.ac.jp/cgi-bin/simple_geocode.cgi?charset=UTF8&amp;addr=%E6%84%9B%E7%9F%A5%E7%9C%8C%E8%92%B2%E9%83%A1%E5%B8%82%E6%B0%B4%E7%AB%B9%E7%94%BA%E4%B8%8B%E5%B3%B6</v>
      </c>
      <c r="E508" t="str">
        <f t="shared" si="40"/>
        <v xml:space="preserve">&lt;?xml version="1.0" encoding="UTF-8" ?&gt;
&lt;results&gt;
&lt;query&gt;愛知県蒲郡市水竹町下島&lt;/query&gt;
&lt;geodetic&gt;wgs1984&lt;/geodetic&gt;
&lt;iConf&gt;5&lt;/iConf&gt;
&lt;converted&gt;愛知県蒲郡市水竹町下島&lt;/converted&gt;
&lt;candidate&gt;
&lt;address&gt;愛知県/蒲郡市/水竹町/下島&lt;/address&gt;
&lt;longitude&gt;137.231094&lt;/longitude&gt;
&lt;latitude&gt;34.838284&lt;/latitude&gt;
&lt;iLvl&gt;6&lt;/iLvl&gt;
&lt;/candidate&gt;
&lt;/results&gt;
</v>
      </c>
      <c r="F508" cm="1">
        <f t="array" ref="F508">INDEX(_xlfn.FILTERXML(E508,"//latitude"),1)</f>
        <v>34.838284000000002</v>
      </c>
      <c r="G508" cm="1">
        <f t="array" ref="G508">INDEX(_xlfn.FILTERXML(E508,"//longitude"),1)</f>
        <v>137.23109400000001</v>
      </c>
      <c r="H508">
        <v>34.838284000000002</v>
      </c>
      <c r="I508">
        <v>137.23109400000001</v>
      </c>
    </row>
    <row r="509" spans="1:9" x14ac:dyDescent="0.4">
      <c r="A509" t="s">
        <v>12</v>
      </c>
      <c r="B509" t="s">
        <v>663</v>
      </c>
      <c r="C509" t="str">
        <f t="shared" si="38"/>
        <v>埼玉県和光市本町</v>
      </c>
      <c r="D509" s="2" t="str">
        <f t="shared" si="39"/>
        <v>http://geocode.csis.u-tokyo.ac.jp/cgi-bin/simple_geocode.cgi?charset=UTF8&amp;addr=%E5%9F%BC%E7%8E%89%E7%9C%8C%E5%92%8C%E5%85%89%E5%B8%82%E6%9C%AC%E7%94%BA</v>
      </c>
      <c r="E509" t="str">
        <f t="shared" si="40"/>
        <v xml:space="preserve">&lt;?xml version="1.0" encoding="UTF-8" ?&gt;
&lt;results&gt;
&lt;query&gt;埼玉県和光市本町&lt;/query&gt;
&lt;geodetic&gt;wgs1984&lt;/geodetic&gt;
&lt;iConf&gt;5&lt;/iConf&gt;
&lt;converted&gt;埼玉県和光市本町&lt;/converted&gt;
&lt;candidate&gt;
&lt;address&gt;埼玉県/和光市/本町&lt;/address&gt;
&lt;longitude&gt;139.606308&lt;/longitude&gt;
&lt;latitude&gt;35.787518&lt;/latitude&gt;
&lt;iLvl&gt;5&lt;/iLvl&gt;
&lt;/candidate&gt;
&lt;/results&gt;
</v>
      </c>
      <c r="F509" cm="1">
        <f t="array" ref="F509">INDEX(_xlfn.FILTERXML(E509,"//latitude"),1)</f>
        <v>35.787517999999999</v>
      </c>
      <c r="G509" cm="1">
        <f t="array" ref="G509">INDEX(_xlfn.FILTERXML(E509,"//longitude"),1)</f>
        <v>139.60630800000001</v>
      </c>
      <c r="H509">
        <v>35.787517999999999</v>
      </c>
      <c r="I509">
        <v>139.60630800000001</v>
      </c>
    </row>
    <row r="510" spans="1:9" x14ac:dyDescent="0.4">
      <c r="A510" t="s">
        <v>9</v>
      </c>
      <c r="B510" t="s">
        <v>664</v>
      </c>
      <c r="C510" t="str">
        <f t="shared" si="38"/>
        <v>東京都江東区亀戸</v>
      </c>
      <c r="D510" s="2" t="str">
        <f t="shared" si="39"/>
        <v>http://geocode.csis.u-tokyo.ac.jp/cgi-bin/simple_geocode.cgi?charset=UTF8&amp;addr=%E6%9D%B1%E4%BA%AC%E9%83%BD%E6%B1%9F%E6%9D%B1%E5%8C%BA%E4%BA%80%E6%88%B8</v>
      </c>
      <c r="E510" t="str">
        <f t="shared" si="40"/>
        <v xml:space="preserve">&lt;?xml version="1.0" encoding="UTF-8" ?&gt;
&lt;results&gt;
&lt;query&gt;東京都江東区亀戸&lt;/query&gt;
&lt;geodetic&gt;wgs1984&lt;/geodetic&gt;
&lt;iConf&gt;5&lt;/iConf&gt;
&lt;converted&gt;東京都江東区亀戸&lt;/converted&gt;
&lt;candidate&gt;
&lt;address&gt;東京都/江東区/亀戸&lt;/address&gt;
&lt;longitude&gt;139.822693&lt;/longitude&gt;
&lt;latitude&gt;35.695595&lt;/latitude&gt;
&lt;iLvl&gt;5&lt;/iLvl&gt;
&lt;/candidate&gt;
&lt;/results&gt;
</v>
      </c>
      <c r="F510" cm="1">
        <f t="array" ref="F510">INDEX(_xlfn.FILTERXML(E510,"//latitude"),1)</f>
        <v>35.695594999999997</v>
      </c>
      <c r="G510" cm="1">
        <f t="array" ref="G510">INDEX(_xlfn.FILTERXML(E510,"//longitude"),1)</f>
        <v>139.82269299999999</v>
      </c>
      <c r="H510">
        <v>35.695594999999997</v>
      </c>
      <c r="I510">
        <v>139.82269299999999</v>
      </c>
    </row>
    <row r="511" spans="1:9" x14ac:dyDescent="0.4">
      <c r="A511" t="s">
        <v>166</v>
      </c>
      <c r="B511" t="s">
        <v>665</v>
      </c>
      <c r="C511" t="str">
        <f t="shared" si="38"/>
        <v>鹿児島県薩摩川内市若葉町</v>
      </c>
      <c r="D511" s="2" t="str">
        <f t="shared" si="39"/>
        <v>http://geocode.csis.u-tokyo.ac.jp/cgi-bin/simple_geocode.cgi?charset=UTF8&amp;addr=%E9%B9%BF%E5%85%90%E5%B3%B6%E7%9C%8C%E8%96%A9%E6%91%A9%E5%B7%9D%E5%86%85%E5%B8%82%E8%8B%A5%E8%91%89%E7%94%BA</v>
      </c>
      <c r="E511" t="str">
        <f t="shared" si="40"/>
        <v xml:space="preserve">&lt;?xml version="1.0" encoding="UTF-8" ?&gt;
&lt;results&gt;
&lt;query&gt;鹿児島県薩摩川内市若葉町&lt;/query&gt;
&lt;geodetic&gt;wgs1984&lt;/geodetic&gt;
&lt;iConf&gt;5&lt;/iConf&gt;
&lt;converted&gt;鹿児島県薩摩川内市若葉町&lt;/converted&gt;
&lt;candidate&gt;
&lt;address&gt;鹿児島県/薩摩川内市/若葉町&lt;/address&gt;
&lt;longitude&gt;130.300491&lt;/longitude&gt;
&lt;latitude&gt;31.821457&lt;/latitude&gt;
&lt;iLvl&gt;5&lt;/iLvl&gt;
&lt;/candidate&gt;
&lt;/results&gt;
</v>
      </c>
      <c r="F511" cm="1">
        <f t="array" ref="F511">INDEX(_xlfn.FILTERXML(E511,"//latitude"),1)</f>
        <v>31.821456999999999</v>
      </c>
      <c r="G511" cm="1">
        <f t="array" ref="G511">INDEX(_xlfn.FILTERXML(E511,"//longitude"),1)</f>
        <v>130.30049099999999</v>
      </c>
      <c r="H511">
        <v>31.821456999999999</v>
      </c>
      <c r="I511">
        <v>130.30049099999999</v>
      </c>
    </row>
    <row r="512" spans="1:9" x14ac:dyDescent="0.4">
      <c r="A512" t="s">
        <v>16</v>
      </c>
      <c r="B512" t="s">
        <v>666</v>
      </c>
      <c r="C512" t="str">
        <f t="shared" si="38"/>
        <v>千葉県館山市八幡</v>
      </c>
      <c r="D512" s="2" t="str">
        <f t="shared" si="39"/>
        <v>http://geocode.csis.u-tokyo.ac.jp/cgi-bin/simple_geocode.cgi?charset=UTF8&amp;addr=%E5%8D%83%E8%91%89%E7%9C%8C%E9%A4%A8%E5%B1%B1%E5%B8%82%E5%85%AB%E5%B9%A1</v>
      </c>
      <c r="E512" t="str">
        <f t="shared" si="40"/>
        <v xml:space="preserve">&lt;?xml version="1.0" encoding="UTF-8" ?&gt;
&lt;results&gt;
&lt;query&gt;千葉県館山市八幡&lt;/query&gt;
&lt;geodetic&gt;wgs1984&lt;/geodetic&gt;
&lt;iConf&gt;5&lt;/iConf&gt;
&lt;converted&gt;千葉県館山市八幡&lt;/converted&gt;
&lt;candidate&gt;
&lt;address&gt;千葉県/館山市/八幡&lt;/address&gt;
&lt;longitude&gt;139.863846&lt;/longitude&gt;
&lt;latitude&gt;35.003670&lt;/latitude&gt;
&lt;iLvl&gt;5&lt;/iLvl&gt;
&lt;/candidate&gt;
&lt;/results&gt;
</v>
      </c>
      <c r="F512" cm="1">
        <f t="array" ref="F512">INDEX(_xlfn.FILTERXML(E512,"//latitude"),1)</f>
        <v>35.00367</v>
      </c>
      <c r="G512" cm="1">
        <f t="array" ref="G512">INDEX(_xlfn.FILTERXML(E512,"//longitude"),1)</f>
        <v>139.863846</v>
      </c>
      <c r="H512">
        <v>35.00367</v>
      </c>
      <c r="I512">
        <v>139.863846</v>
      </c>
    </row>
    <row r="513" spans="1:9" x14ac:dyDescent="0.4">
      <c r="A513" t="s">
        <v>126</v>
      </c>
      <c r="B513" t="s">
        <v>667</v>
      </c>
      <c r="C513" t="str">
        <f t="shared" si="38"/>
        <v>鳥取県鳥取市行徳一丁目</v>
      </c>
      <c r="D513" s="2" t="str">
        <f t="shared" si="39"/>
        <v>http://geocode.csis.u-tokyo.ac.jp/cgi-bin/simple_geocode.cgi?charset=UTF8&amp;addr=%E9%B3%A5%E5%8F%96%E7%9C%8C%E9%B3%A5%E5%8F%96%E5%B8%82%E8%A1%8C%E5%BE%B3%E4%B8%80%E4%B8%81%E7%9B%AE</v>
      </c>
      <c r="E513" t="str">
        <f t="shared" si="40"/>
        <v xml:space="preserve">&lt;?xml version="1.0" encoding="UTF-8" ?&gt;
&lt;results&gt;
&lt;query&gt;鳥取県鳥取市行徳一丁目&lt;/query&gt;
&lt;geodetic&gt;wgs1984&lt;/geodetic&gt;
&lt;iConf&gt;5&lt;/iConf&gt;
&lt;converted&gt;鳥取県鳥取市行徳一丁目&lt;/converted&gt;
&lt;candidate&gt;
&lt;address&gt;鳥取県/鳥取市/行徳/一丁目&lt;/address&gt;
&lt;longitude&gt;134.220856&lt;/longitude&gt;
&lt;latitude&gt;35.497391&lt;/latitude&gt;
&lt;iLvl&gt;6&lt;/iLvl&gt;
&lt;/candidate&gt;
&lt;/results&gt;
</v>
      </c>
      <c r="F513" cm="1">
        <f t="array" ref="F513">INDEX(_xlfn.FILTERXML(E513,"//latitude"),1)</f>
        <v>35.497391</v>
      </c>
      <c r="G513" cm="1">
        <f t="array" ref="G513">INDEX(_xlfn.FILTERXML(E513,"//longitude"),1)</f>
        <v>134.220856</v>
      </c>
      <c r="H513">
        <v>35.497391</v>
      </c>
      <c r="I513">
        <v>134.220856</v>
      </c>
    </row>
    <row r="514" spans="1:9" x14ac:dyDescent="0.4">
      <c r="A514" t="s">
        <v>126</v>
      </c>
      <c r="B514" t="s">
        <v>668</v>
      </c>
      <c r="C514" t="str">
        <f t="shared" si="38"/>
        <v>鳥取県鳥取市松原</v>
      </c>
      <c r="D514" s="2" t="str">
        <f t="shared" si="39"/>
        <v>http://geocode.csis.u-tokyo.ac.jp/cgi-bin/simple_geocode.cgi?charset=UTF8&amp;addr=%E9%B3%A5%E5%8F%96%E7%9C%8C%E9%B3%A5%E5%8F%96%E5%B8%82%E6%9D%BE%E5%8E%9F</v>
      </c>
      <c r="E514" t="str">
        <f t="shared" si="40"/>
        <v xml:space="preserve">&lt;?xml version="1.0" encoding="UTF-8" ?&gt;
&lt;results&gt;
&lt;query&gt;鳥取県鳥取市松原&lt;/query&gt;
&lt;geodetic&gt;wgs1984&lt;/geodetic&gt;
&lt;iConf&gt;5&lt;/iConf&gt;
&lt;converted&gt;鳥取県鳥取市松原&lt;/converted&gt;
&lt;candidate&gt;
&lt;address&gt;鳥取県/鳥取市/松原&lt;/address&gt;
&lt;longitude&gt;134.136810&lt;/longitude&gt;
&lt;latitude&gt;35.490860&lt;/latitude&gt;
&lt;iLvl&gt;5&lt;/iLvl&gt;
&lt;/candidate&gt;
&lt;/results&gt;
</v>
      </c>
      <c r="F514" cm="1">
        <f t="array" ref="F514">INDEX(_xlfn.FILTERXML(E514,"//latitude"),1)</f>
        <v>35.490859999999998</v>
      </c>
      <c r="G514" cm="1">
        <f t="array" ref="G514">INDEX(_xlfn.FILTERXML(E514,"//longitude"),1)</f>
        <v>134.13681</v>
      </c>
      <c r="H514">
        <v>35.490859999999998</v>
      </c>
      <c r="I514">
        <v>134.13681</v>
      </c>
    </row>
    <row r="515" spans="1:9" x14ac:dyDescent="0.4">
      <c r="A515" t="s">
        <v>85</v>
      </c>
      <c r="B515" t="s">
        <v>669</v>
      </c>
      <c r="C515" t="str">
        <f t="shared" si="38"/>
        <v>奈良県吉野郡大淀町西増</v>
      </c>
      <c r="D515" s="2" t="str">
        <f t="shared" si="39"/>
        <v>http://geocode.csis.u-tokyo.ac.jp/cgi-bin/simple_geocode.cgi?charset=UTF8&amp;addr=%E5%A5%88%E8%89%AF%E7%9C%8C%E5%90%89%E9%87%8E%E9%83%A1%E5%A4%A7%E6%B7%80%E7%94%BA%E8%A5%BF%E5%A2%97</v>
      </c>
      <c r="E515" t="str">
        <f t="shared" si="40"/>
        <v xml:space="preserve">&lt;?xml version="1.0" encoding="UTF-8" ?&gt;
&lt;results&gt;
&lt;query&gt;奈良県吉野郡大淀町西増&lt;/query&gt;
&lt;geodetic&gt;wgs1984&lt;/geodetic&gt;
&lt;iConf&gt;5&lt;/iConf&gt;
&lt;converted&gt;奈良県吉野郡大淀町西増&lt;/converted&gt;
&lt;candidate&gt;
&lt;address&gt;奈良県/吉野郡/大淀町/西増&lt;/address&gt;
&lt;longitude&gt;135.839203&lt;/longitude&gt;
&lt;latitude&gt;34.407497&lt;/latitude&gt;
&lt;iLvl&gt;5&lt;/iLvl&gt;
&lt;/candidate&gt;
&lt;/results&gt;
</v>
      </c>
      <c r="F515" cm="1">
        <f t="array" ref="F515">INDEX(_xlfn.FILTERXML(E515,"//latitude"),1)</f>
        <v>34.407496999999999</v>
      </c>
      <c r="G515" cm="1">
        <f t="array" ref="G515">INDEX(_xlfn.FILTERXML(E515,"//longitude"),1)</f>
        <v>135.839203</v>
      </c>
      <c r="H515">
        <v>34.407496999999999</v>
      </c>
      <c r="I515">
        <v>135.839203</v>
      </c>
    </row>
    <row r="516" spans="1:9" x14ac:dyDescent="0.4">
      <c r="A516" t="s">
        <v>28</v>
      </c>
      <c r="B516" t="s">
        <v>670</v>
      </c>
      <c r="C516" t="str">
        <f t="shared" si="38"/>
        <v>三重県四日市市西松本町</v>
      </c>
      <c r="D516" s="2" t="str">
        <f t="shared" si="39"/>
        <v>http://geocode.csis.u-tokyo.ac.jp/cgi-bin/simple_geocode.cgi?charset=UTF8&amp;addr=%E4%B8%89%E9%87%8D%E7%9C%8C%E5%9B%9B%E6%97%A5%E5%B8%82%E5%B8%82%E8%A5%BF%E6%9D%BE%E6%9C%AC%E7%94%BA</v>
      </c>
      <c r="E516" t="str">
        <f t="shared" si="40"/>
        <v xml:space="preserve">&lt;?xml version="1.0" encoding="UTF-8" ?&gt;
&lt;results&gt;
&lt;query&gt;三重県四日市市西松本町&lt;/query&gt;
&lt;geodetic&gt;wgs1984&lt;/geodetic&gt;
&lt;iConf&gt;5&lt;/iConf&gt;
&lt;converted&gt;三重県四日市市西松本町&lt;/converted&gt;
&lt;candidate&gt;
&lt;address&gt;三重県/四日市市/西松本町&lt;/address&gt;
&lt;longitude&gt;136.584534&lt;/longitude&gt;
&lt;latitude&gt;34.969501&lt;/latitude&gt;
&lt;iLvl&gt;5&lt;/iLvl&gt;
&lt;/candidate&gt;
&lt;/results&gt;
</v>
      </c>
      <c r="F516" cm="1">
        <f t="array" ref="F516">INDEX(_xlfn.FILTERXML(E516,"//latitude"),1)</f>
        <v>34.969501000000001</v>
      </c>
      <c r="G516" cm="1">
        <f t="array" ref="G516">INDEX(_xlfn.FILTERXML(E516,"//longitude"),1)</f>
        <v>136.58453399999999</v>
      </c>
      <c r="H516">
        <v>34.969501000000001</v>
      </c>
      <c r="I516">
        <v>136.58453399999999</v>
      </c>
    </row>
    <row r="517" spans="1:9" x14ac:dyDescent="0.4">
      <c r="A517" t="s">
        <v>9</v>
      </c>
      <c r="B517" t="s">
        <v>671</v>
      </c>
      <c r="C517" t="str">
        <f t="shared" si="38"/>
        <v>東京都渋谷区神山町</v>
      </c>
      <c r="D517" s="2" t="str">
        <f t="shared" si="39"/>
        <v>http://geocode.csis.u-tokyo.ac.jp/cgi-bin/simple_geocode.cgi?charset=UTF8&amp;addr=%E6%9D%B1%E4%BA%AC%E9%83%BD%E6%B8%8B%E8%B0%B7%E5%8C%BA%E7%A5%9E%E5%B1%B1%E7%94%BA</v>
      </c>
      <c r="E517" t="str">
        <f t="shared" si="40"/>
        <v xml:space="preserve">&lt;?xml version="1.0" encoding="UTF-8" ?&gt;
&lt;results&gt;
&lt;query&gt;東京都渋谷区神山町&lt;/query&gt;
&lt;geodetic&gt;wgs1984&lt;/geodetic&gt;
&lt;iConf&gt;5&lt;/iConf&gt;
&lt;converted&gt;東京都渋谷区神山町&lt;/converted&gt;
&lt;candidate&gt;
&lt;address&gt;東京都/渋谷区/神山町&lt;/address&gt;
&lt;longitude&gt;139.691467&lt;/longitude&gt;
&lt;latitude&gt;35.663788&lt;/latitude&gt;
&lt;iLvl&gt;5&lt;/iLvl&gt;
&lt;/candidate&gt;
&lt;/results&gt;
</v>
      </c>
      <c r="F517" cm="1">
        <f t="array" ref="F517">INDEX(_xlfn.FILTERXML(E517,"//latitude"),1)</f>
        <v>35.663787999999997</v>
      </c>
      <c r="G517" cm="1">
        <f t="array" ref="G517">INDEX(_xlfn.FILTERXML(E517,"//longitude"),1)</f>
        <v>139.69146699999999</v>
      </c>
      <c r="H517">
        <v>35.663787999999997</v>
      </c>
      <c r="I517">
        <v>139.69146699999999</v>
      </c>
    </row>
    <row r="518" spans="1:9" x14ac:dyDescent="0.4">
      <c r="A518" t="s">
        <v>11</v>
      </c>
      <c r="B518" t="s">
        <v>73</v>
      </c>
      <c r="C518" t="str">
        <f t="shared" ref="C518:C581" si="41">+A518&amp;B518</f>
        <v>大阪府大阪市都島区網島町</v>
      </c>
      <c r="D518" s="2" t="str">
        <f t="shared" ref="D518:D581" si="42" xml:space="preserve"> "http://geocode.csis.u-tokyo.ac.jp/cgi-bin/simple_geocode.cgi?charset=UTF8&amp;addr=" &amp; _xlfn.ENCODEURL(C518)</f>
        <v>http://geocode.csis.u-tokyo.ac.jp/cgi-bin/simple_geocode.cgi?charset=UTF8&amp;addr=%E5%A4%A7%E9%98%AA%E5%BA%9C%E5%A4%A7%E9%98%AA%E5%B8%82%E9%83%BD%E5%B3%B6%E5%8C%BA%E7%B6%B2%E5%B3%B6%E7%94%BA</v>
      </c>
      <c r="E518" t="str">
        <f t="shared" ref="E518:E581" si="43" xml:space="preserve"> _xlfn.WEBSERVICE(D518)</f>
        <v xml:space="preserve">&lt;?xml version="1.0" encoding="UTF-8" ?&gt;
&lt;results&gt;
&lt;query&gt;大阪府大阪市都島区網島町&lt;/query&gt;
&lt;geodetic&gt;wgs1984&lt;/geodetic&gt;
&lt;iConf&gt;5&lt;/iConf&gt;
&lt;converted&gt;大阪府大阪市都島区網島町&lt;/converted&gt;
&lt;candidate&gt;
&lt;address&gt;大阪府/大阪市/都島区/網島町&lt;/address&gt;
&lt;longitude&gt;135.524704&lt;/longitude&gt;
&lt;latitude&gt;34.694523&lt;/latitude&gt;
&lt;iLvl&gt;5&lt;/iLvl&gt;
&lt;/candidate&gt;
&lt;/results&gt;
</v>
      </c>
      <c r="F518" cm="1">
        <f t="array" ref="F518">INDEX(_xlfn.FILTERXML(E518,"//latitude"),1)</f>
        <v>34.694522999999997</v>
      </c>
      <c r="G518" cm="1">
        <f t="array" ref="G518">INDEX(_xlfn.FILTERXML(E518,"//longitude"),1)</f>
        <v>135.52470400000001</v>
      </c>
      <c r="H518">
        <v>34.694522999999997</v>
      </c>
      <c r="I518">
        <v>135.52470400000001</v>
      </c>
    </row>
    <row r="519" spans="1:9" x14ac:dyDescent="0.4">
      <c r="A519" t="s">
        <v>16</v>
      </c>
      <c r="B519" t="s">
        <v>672</v>
      </c>
      <c r="C519" t="str">
        <f t="shared" si="41"/>
        <v>千葉県市川市南大野</v>
      </c>
      <c r="D519" s="2" t="str">
        <f t="shared" si="42"/>
        <v>http://geocode.csis.u-tokyo.ac.jp/cgi-bin/simple_geocode.cgi?charset=UTF8&amp;addr=%E5%8D%83%E8%91%89%E7%9C%8C%E5%B8%82%E5%B7%9D%E5%B8%82%E5%8D%97%E5%A4%A7%E9%87%8E</v>
      </c>
      <c r="E519" t="str">
        <f t="shared" si="43"/>
        <v xml:space="preserve">&lt;?xml version="1.0" encoding="UTF-8" ?&gt;
&lt;results&gt;
&lt;query&gt;千葉県市川市南大野&lt;/query&gt;
&lt;geodetic&gt;wgs1984&lt;/geodetic&gt;
&lt;iConf&gt;5&lt;/iConf&gt;
&lt;converted&gt;千葉県市川市南大野&lt;/converted&gt;
&lt;candidate&gt;
&lt;address&gt;千葉県/市川市/南大野&lt;/address&gt;
&lt;longitude&gt;139.949799&lt;/longitude&gt;
&lt;latitude&gt;35.742500&lt;/latitude&gt;
&lt;iLvl&gt;5&lt;/iLvl&gt;
&lt;/candidate&gt;
&lt;/results&gt;
</v>
      </c>
      <c r="F519" cm="1">
        <f t="array" ref="F519">INDEX(_xlfn.FILTERXML(E519,"//latitude"),1)</f>
        <v>35.7425</v>
      </c>
      <c r="G519" cm="1">
        <f t="array" ref="G519">INDEX(_xlfn.FILTERXML(E519,"//longitude"),1)</f>
        <v>139.94979900000001</v>
      </c>
      <c r="H519">
        <v>35.7425</v>
      </c>
      <c r="I519">
        <v>139.94979900000001</v>
      </c>
    </row>
    <row r="520" spans="1:9" x14ac:dyDescent="0.4">
      <c r="A520" t="s">
        <v>11</v>
      </c>
      <c r="B520" t="s">
        <v>673</v>
      </c>
      <c r="C520" t="str">
        <f t="shared" si="41"/>
        <v>大阪府高槻市富田町１丁目</v>
      </c>
      <c r="D520" s="2" t="str">
        <f t="shared" si="42"/>
        <v>http://geocode.csis.u-tokyo.ac.jp/cgi-bin/simple_geocode.cgi?charset=UTF8&amp;addr=%E5%A4%A7%E9%98%AA%E5%BA%9C%E9%AB%98%E6%A7%BB%E5%B8%82%E5%AF%8C%E7%94%B0%E7%94%BA%EF%BC%91%E4%B8%81%E7%9B%AE</v>
      </c>
      <c r="E520" t="str">
        <f t="shared" si="43"/>
        <v xml:space="preserve">&lt;?xml version="1.0" encoding="UTF-8" ?&gt;
&lt;results&gt;
&lt;query&gt;大阪府高槻市富田町１丁目&lt;/query&gt;
&lt;geodetic&gt;wgs1984&lt;/geodetic&gt;
&lt;iConf&gt;5&lt;/iConf&gt;
&lt;converted&gt;大阪府高槻市富田町１丁目&lt;/converted&gt;
&lt;candidate&gt;
&lt;address&gt;大阪府/高槻市/富田町/一丁目&lt;/address&gt;
&lt;longitude&gt;135.591415&lt;/longitude&gt;
&lt;latitude&gt;34.835339&lt;/latitude&gt;
&lt;iLvl&gt;6&lt;/iLvl&gt;
&lt;/candidate&gt;
&lt;/results&gt;
</v>
      </c>
      <c r="F520" cm="1">
        <f t="array" ref="F520">INDEX(_xlfn.FILTERXML(E520,"//latitude"),1)</f>
        <v>34.835338999999998</v>
      </c>
      <c r="G520" cm="1">
        <f t="array" ref="G520">INDEX(_xlfn.FILTERXML(E520,"//longitude"),1)</f>
        <v>135.59141500000001</v>
      </c>
      <c r="H520">
        <v>34.835338999999998</v>
      </c>
      <c r="I520">
        <v>135.59141500000001</v>
      </c>
    </row>
    <row r="521" spans="1:9" x14ac:dyDescent="0.4">
      <c r="A521" t="s">
        <v>85</v>
      </c>
      <c r="B521" t="s">
        <v>674</v>
      </c>
      <c r="C521" t="str">
        <f t="shared" si="41"/>
        <v>奈良県橿原市上品寺町</v>
      </c>
      <c r="D521" s="2" t="str">
        <f t="shared" si="42"/>
        <v>http://geocode.csis.u-tokyo.ac.jp/cgi-bin/simple_geocode.cgi?charset=UTF8&amp;addr=%E5%A5%88%E8%89%AF%E7%9C%8C%E6%A9%BF%E5%8E%9F%E5%B8%82%E4%B8%8A%E5%93%81%E5%AF%BA%E7%94%BA</v>
      </c>
      <c r="E521" t="str">
        <f t="shared" si="43"/>
        <v xml:space="preserve">&lt;?xml version="1.0" encoding="UTF-8" ?&gt;
&lt;results&gt;
&lt;query&gt;奈良県橿原市上品寺町&lt;/query&gt;
&lt;geodetic&gt;wgs1984&lt;/geodetic&gt;
&lt;iConf&gt;5&lt;/iConf&gt;
&lt;converted&gt;奈良県橿原市上品寺町&lt;/converted&gt;
&lt;candidate&gt;
&lt;address&gt;奈良県/橿原市/上品寺町&lt;/address&gt;
&lt;longitude&gt;135.791473&lt;/longitude&gt;
&lt;latitude&gt;34.519844&lt;/latitude&gt;
&lt;iLvl&gt;5&lt;/iLvl&gt;
&lt;/candidate&gt;
&lt;/results&gt;
</v>
      </c>
      <c r="F521" cm="1">
        <f t="array" ref="F521">INDEX(_xlfn.FILTERXML(E521,"//latitude"),1)</f>
        <v>34.519843999999999</v>
      </c>
      <c r="G521" cm="1">
        <f t="array" ref="G521">INDEX(_xlfn.FILTERXML(E521,"//longitude"),1)</f>
        <v>135.791473</v>
      </c>
      <c r="H521">
        <v>34.519843999999999</v>
      </c>
      <c r="I521">
        <v>135.791473</v>
      </c>
    </row>
    <row r="522" spans="1:9" x14ac:dyDescent="0.4">
      <c r="A522" t="s">
        <v>15</v>
      </c>
      <c r="B522" t="s">
        <v>675</v>
      </c>
      <c r="C522" t="str">
        <f t="shared" si="41"/>
        <v>愛知県名古屋市瑞穂区中山町</v>
      </c>
      <c r="D522" s="2" t="str">
        <f t="shared" si="42"/>
        <v>http://geocode.csis.u-tokyo.ac.jp/cgi-bin/simple_geocode.cgi?charset=UTF8&amp;addr=%E6%84%9B%E7%9F%A5%E7%9C%8C%E5%90%8D%E5%8F%A4%E5%B1%8B%E5%B8%82%E7%91%9E%E7%A9%82%E5%8C%BA%E4%B8%AD%E5%B1%B1%E7%94%BA</v>
      </c>
      <c r="E522" t="str">
        <f t="shared" si="43"/>
        <v xml:space="preserve">&lt;?xml version="1.0" encoding="UTF-8" ?&gt;
&lt;results&gt;
&lt;query&gt;愛知県名古屋市瑞穂区中山町&lt;/query&gt;
&lt;geodetic&gt;wgs1984&lt;/geodetic&gt;
&lt;iConf&gt;5&lt;/iConf&gt;
&lt;converted&gt;愛知県名古屋市瑞穂区中山町&lt;/converted&gt;
&lt;candidate&gt;
&lt;address&gt;愛知県/名古屋市/瑞穂区/中山町&lt;/address&gt;
&lt;longitude&gt;136.928558&lt;/longitude&gt;
&lt;latitude&gt;35.139301&lt;/latitude&gt;
&lt;iLvl&gt;5&lt;/iLvl&gt;
&lt;/candidate&gt;
&lt;/results&gt;
</v>
      </c>
      <c r="F522" cm="1">
        <f t="array" ref="F522">INDEX(_xlfn.FILTERXML(E522,"//latitude"),1)</f>
        <v>35.139301000000003</v>
      </c>
      <c r="G522" cm="1">
        <f t="array" ref="G522">INDEX(_xlfn.FILTERXML(E522,"//longitude"),1)</f>
        <v>136.92855800000001</v>
      </c>
      <c r="H522">
        <v>35.139301000000003</v>
      </c>
      <c r="I522">
        <v>136.92855800000001</v>
      </c>
    </row>
    <row r="523" spans="1:9" x14ac:dyDescent="0.4">
      <c r="A523" t="s">
        <v>13</v>
      </c>
      <c r="B523" t="s">
        <v>676</v>
      </c>
      <c r="C523" t="str">
        <f t="shared" si="41"/>
        <v>兵庫県芦屋市朝日ヶ丘町</v>
      </c>
      <c r="D523" s="2" t="str">
        <f t="shared" si="42"/>
        <v>http://geocode.csis.u-tokyo.ac.jp/cgi-bin/simple_geocode.cgi?charset=UTF8&amp;addr=%E5%85%B5%E5%BA%AB%E7%9C%8C%E8%8A%A6%E5%B1%8B%E5%B8%82%E6%9C%9D%E6%97%A5%E3%83%B6%E4%B8%98%E7%94%BA</v>
      </c>
      <c r="E523" t="str">
        <f t="shared" si="43"/>
        <v xml:space="preserve">&lt;?xml version="1.0" encoding="UTF-8" ?&gt;
&lt;results&gt;
&lt;query&gt;兵庫県芦屋市朝日ヶ丘町&lt;/query&gt;
&lt;geodetic&gt;wgs1984&lt;/geodetic&gt;
&lt;iConf&gt;5&lt;/iConf&gt;
&lt;converted&gt;兵庫県芦屋市朝日ヶ丘町&lt;/converted&gt;
&lt;candidate&gt;
&lt;address&gt;兵庫県/芦屋市/朝日ケ丘町&lt;/address&gt;
&lt;longitude&gt;135.305740&lt;/longitude&gt;
&lt;latitude&gt;34.746628&lt;/latitude&gt;
&lt;iLvl&gt;5&lt;/iLvl&gt;
&lt;/candidate&gt;
&lt;/results&gt;
</v>
      </c>
      <c r="F523" cm="1">
        <f t="array" ref="F523">INDEX(_xlfn.FILTERXML(E523,"//latitude"),1)</f>
        <v>34.746628000000001</v>
      </c>
      <c r="G523" cm="1">
        <f t="array" ref="G523">INDEX(_xlfn.FILTERXML(E523,"//longitude"),1)</f>
        <v>135.30573999999999</v>
      </c>
      <c r="H523">
        <v>34.746628000000001</v>
      </c>
      <c r="I523">
        <v>135.30573999999999</v>
      </c>
    </row>
    <row r="524" spans="1:9" x14ac:dyDescent="0.4">
      <c r="A524" t="s">
        <v>16</v>
      </c>
      <c r="B524" t="s">
        <v>478</v>
      </c>
      <c r="C524" t="str">
        <f t="shared" si="41"/>
        <v>千葉県印西市中央南</v>
      </c>
      <c r="D524" s="2" t="str">
        <f t="shared" si="42"/>
        <v>http://geocode.csis.u-tokyo.ac.jp/cgi-bin/simple_geocode.cgi?charset=UTF8&amp;addr=%E5%8D%83%E8%91%89%E7%9C%8C%E5%8D%B0%E8%A5%BF%E5%B8%82%E4%B8%AD%E5%A4%AE%E5%8D%97</v>
      </c>
      <c r="E524" t="str">
        <f t="shared" si="43"/>
        <v xml:space="preserve">&lt;?xml version="1.0" encoding="UTF-8" ?&gt;
&lt;results&gt;
&lt;query&gt;千葉県印西市中央南&lt;/query&gt;
&lt;geodetic&gt;wgs1984&lt;/geodetic&gt;
&lt;iConf&gt;5&lt;/iConf&gt;
&lt;converted&gt;千葉県印西市中央南&lt;/converted&gt;
&lt;candidate&gt;
&lt;address&gt;千葉県/印西市/中央南&lt;/address&gt;
&lt;longitude&gt;140.117416&lt;/longitude&gt;
&lt;latitude&gt;35.799583&lt;/latitude&gt;
&lt;iLvl&gt;5&lt;/iLvl&gt;
&lt;/candidate&gt;
&lt;/results&gt;
</v>
      </c>
      <c r="F524" cm="1">
        <f t="array" ref="F524">INDEX(_xlfn.FILTERXML(E524,"//latitude"),1)</f>
        <v>35.799582999999998</v>
      </c>
      <c r="G524" cm="1">
        <f t="array" ref="G524">INDEX(_xlfn.FILTERXML(E524,"//longitude"),1)</f>
        <v>140.11741599999999</v>
      </c>
      <c r="H524">
        <v>35.799582999999998</v>
      </c>
      <c r="I524">
        <v>140.11741599999999</v>
      </c>
    </row>
    <row r="525" spans="1:9" x14ac:dyDescent="0.4">
      <c r="A525" t="s">
        <v>164</v>
      </c>
      <c r="B525" t="s">
        <v>677</v>
      </c>
      <c r="C525" t="str">
        <f t="shared" si="41"/>
        <v>広島県広島市東区牛田本町</v>
      </c>
      <c r="D525" s="2" t="str">
        <f t="shared" si="42"/>
        <v>http://geocode.csis.u-tokyo.ac.jp/cgi-bin/simple_geocode.cgi?charset=UTF8&amp;addr=%E5%BA%83%E5%B3%B6%E7%9C%8C%E5%BA%83%E5%B3%B6%E5%B8%82%E6%9D%B1%E5%8C%BA%E7%89%9B%E7%94%B0%E6%9C%AC%E7%94%BA</v>
      </c>
      <c r="E525" t="str">
        <f t="shared" si="43"/>
        <v xml:space="preserve">&lt;?xml version="1.0" encoding="UTF-8" ?&gt;
&lt;results&gt;
&lt;query&gt;広島県広島市東区牛田本町&lt;/query&gt;
&lt;geodetic&gt;wgs1984&lt;/geodetic&gt;
&lt;iConf&gt;5&lt;/iConf&gt;
&lt;converted&gt;広島県広島市東区牛田本町&lt;/converted&gt;
&lt;candidate&gt;
&lt;address&gt;広島県/広島市/東区/牛田本町&lt;/address&gt;
&lt;longitude&gt;132.470352&lt;/longitude&gt;
&lt;latitude&gt;34.408875&lt;/latitude&gt;
&lt;iLvl&gt;5&lt;/iLvl&gt;
&lt;/candidate&gt;
&lt;/results&gt;
</v>
      </c>
      <c r="F525" cm="1">
        <f t="array" ref="F525">INDEX(_xlfn.FILTERXML(E525,"//latitude"),1)</f>
        <v>34.408875000000002</v>
      </c>
      <c r="G525" cm="1">
        <f t="array" ref="G525">INDEX(_xlfn.FILTERXML(E525,"//longitude"),1)</f>
        <v>132.47035199999999</v>
      </c>
      <c r="H525">
        <v>34.408875000000002</v>
      </c>
      <c r="I525">
        <v>132.47035199999999</v>
      </c>
    </row>
    <row r="526" spans="1:9" x14ac:dyDescent="0.4">
      <c r="A526" t="s">
        <v>164</v>
      </c>
      <c r="B526" t="s">
        <v>677</v>
      </c>
      <c r="C526" t="str">
        <f t="shared" si="41"/>
        <v>広島県広島市東区牛田本町</v>
      </c>
      <c r="D526" s="2" t="str">
        <f t="shared" si="42"/>
        <v>http://geocode.csis.u-tokyo.ac.jp/cgi-bin/simple_geocode.cgi?charset=UTF8&amp;addr=%E5%BA%83%E5%B3%B6%E7%9C%8C%E5%BA%83%E5%B3%B6%E5%B8%82%E6%9D%B1%E5%8C%BA%E7%89%9B%E7%94%B0%E6%9C%AC%E7%94%BA</v>
      </c>
      <c r="E526" t="str">
        <f t="shared" si="43"/>
        <v xml:space="preserve">&lt;?xml version="1.0" encoding="UTF-8" ?&gt;
&lt;results&gt;
&lt;query&gt;広島県広島市東区牛田本町&lt;/query&gt;
&lt;geodetic&gt;wgs1984&lt;/geodetic&gt;
&lt;iConf&gt;5&lt;/iConf&gt;
&lt;converted&gt;広島県広島市東区牛田本町&lt;/converted&gt;
&lt;candidate&gt;
&lt;address&gt;広島県/広島市/東区/牛田本町&lt;/address&gt;
&lt;longitude&gt;132.470352&lt;/longitude&gt;
&lt;latitude&gt;34.408875&lt;/latitude&gt;
&lt;iLvl&gt;5&lt;/iLvl&gt;
&lt;/candidate&gt;
&lt;/results&gt;
</v>
      </c>
      <c r="F526" cm="1">
        <f t="array" ref="F526">INDEX(_xlfn.FILTERXML(E526,"//latitude"),1)</f>
        <v>34.408875000000002</v>
      </c>
      <c r="G526" cm="1">
        <f t="array" ref="G526">INDEX(_xlfn.FILTERXML(E526,"//longitude"),1)</f>
        <v>132.47035199999999</v>
      </c>
      <c r="H526">
        <v>34.408875000000002</v>
      </c>
      <c r="I526">
        <v>132.47035199999999</v>
      </c>
    </row>
    <row r="527" spans="1:9" x14ac:dyDescent="0.4">
      <c r="A527" t="s">
        <v>18</v>
      </c>
      <c r="B527" t="s">
        <v>655</v>
      </c>
      <c r="C527" t="str">
        <f t="shared" si="41"/>
        <v>茨城県土浦市</v>
      </c>
      <c r="D527" s="2" t="str">
        <f t="shared" si="42"/>
        <v>http://geocode.csis.u-tokyo.ac.jp/cgi-bin/simple_geocode.cgi?charset=UTF8&amp;addr=%E8%8C%A8%E5%9F%8E%E7%9C%8C%E5%9C%9F%E6%B5%A6%E5%B8%82</v>
      </c>
      <c r="E527" t="str">
        <f t="shared" si="43"/>
        <v xml:space="preserve">&lt;?xml version="1.0" encoding="UTF-8" ?&gt;
&lt;results&gt;
&lt;query&gt;茨城県土浦市&lt;/query&gt;
&lt;geodetic&gt;wgs1984&lt;/geodetic&gt;
&lt;iConf&gt;5&lt;/iConf&gt;
&lt;converted&gt;茨城県土浦市&lt;/converted&gt;
&lt;candidate&gt;
&lt;address&gt;茨城県/土浦市&lt;/address&gt;
&lt;longitude&gt;140.196060&lt;/longitude&gt;
&lt;latitude&gt;36.071869&lt;/latitude&gt;
&lt;iLvl&gt;3&lt;/iLvl&gt;
&lt;/candidate&gt;
&lt;/results&gt;
</v>
      </c>
      <c r="F527" cm="1">
        <f t="array" ref="F527">INDEX(_xlfn.FILTERXML(E527,"//latitude"),1)</f>
        <v>36.071869</v>
      </c>
      <c r="G527" cm="1">
        <f t="array" ref="G527">INDEX(_xlfn.FILTERXML(E527,"//longitude"),1)</f>
        <v>140.19605999999999</v>
      </c>
      <c r="H527">
        <v>36.071869</v>
      </c>
      <c r="I527">
        <v>140.19605999999999</v>
      </c>
    </row>
    <row r="528" spans="1:9" x14ac:dyDescent="0.4">
      <c r="A528" t="s">
        <v>31</v>
      </c>
      <c r="B528" t="s">
        <v>678</v>
      </c>
      <c r="C528" t="str">
        <f t="shared" si="41"/>
        <v>北海道札幌市白石区</v>
      </c>
      <c r="D528" s="2" t="str">
        <f t="shared" si="42"/>
        <v>http://geocode.csis.u-tokyo.ac.jp/cgi-bin/simple_geocode.cgi?charset=UTF8&amp;addr=%E5%8C%97%E6%B5%B7%E9%81%93%E6%9C%AD%E5%B9%8C%E5%B8%82%E7%99%BD%E7%9F%B3%E5%8C%BA</v>
      </c>
      <c r="E528" t="str">
        <f t="shared" si="43"/>
        <v xml:space="preserve">&lt;?xml version="1.0" encoding="UTF-8" ?&gt;
&lt;results&gt;
&lt;query&gt;北海道札幌市白石区&lt;/query&gt;
&lt;geodetic&gt;wgs1984&lt;/geodetic&gt;
&lt;iConf&gt;5&lt;/iConf&gt;
&lt;converted&gt;北海道札幌市白石区&lt;/converted&gt;
&lt;candidate&gt;
&lt;address&gt;北海道/札幌市/白石区&lt;/address&gt;
&lt;longitude&gt;141.405136&lt;/longitude&gt;
&lt;latitude&gt;43.047512&lt;/latitude&gt;
&lt;iLvl&gt;4&lt;/iLvl&gt;
&lt;/candidate&gt;
&lt;/results&gt;
</v>
      </c>
      <c r="F528" cm="1">
        <f t="array" ref="F528">INDEX(_xlfn.FILTERXML(E528,"//latitude"),1)</f>
        <v>43.047511999999998</v>
      </c>
      <c r="G528" cm="1">
        <f t="array" ref="G528">INDEX(_xlfn.FILTERXML(E528,"//longitude"),1)</f>
        <v>141.405136</v>
      </c>
      <c r="H528">
        <v>43.047511999999998</v>
      </c>
      <c r="I528">
        <v>141.405136</v>
      </c>
    </row>
    <row r="529" spans="1:9" x14ac:dyDescent="0.4">
      <c r="A529" t="s">
        <v>194</v>
      </c>
      <c r="B529" t="s">
        <v>404</v>
      </c>
      <c r="C529" t="str">
        <f t="shared" si="41"/>
        <v>沖縄県宜野湾市</v>
      </c>
      <c r="D529" s="2" t="str">
        <f t="shared" si="42"/>
        <v>http://geocode.csis.u-tokyo.ac.jp/cgi-bin/simple_geocode.cgi?charset=UTF8&amp;addr=%E6%B2%96%E7%B8%84%E7%9C%8C%E5%AE%9C%E9%87%8E%E6%B9%BE%E5%B8%82</v>
      </c>
      <c r="E529" t="str">
        <f t="shared" si="43"/>
        <v xml:space="preserve">&lt;?xml version="1.0" encoding="UTF-8" ?&gt;
&lt;results&gt;
&lt;query&gt;沖縄県宜野湾市&lt;/query&gt;
&lt;geodetic&gt;wgs1984&lt;/geodetic&gt;
&lt;iConf&gt;5&lt;/iConf&gt;
&lt;converted&gt;沖縄県宜野湾市&lt;/converted&gt;
&lt;candidate&gt;
&lt;address&gt;沖縄県/宜野湾市&lt;/address&gt;
&lt;longitude&gt;127.778641&lt;/longitude&gt;
&lt;latitude&gt;26.281582&lt;/latitude&gt;
&lt;iLvl&gt;3&lt;/iLvl&gt;
&lt;/candidate&gt;
&lt;/results&gt;
</v>
      </c>
      <c r="F529" cm="1">
        <f t="array" ref="F529">INDEX(_xlfn.FILTERXML(E529,"//latitude"),1)</f>
        <v>26.281582</v>
      </c>
      <c r="G529" cm="1">
        <f t="array" ref="G529">INDEX(_xlfn.FILTERXML(E529,"//longitude"),1)</f>
        <v>127.77864099999999</v>
      </c>
      <c r="H529">
        <v>26.281582</v>
      </c>
      <c r="I529">
        <v>127.77864099999999</v>
      </c>
    </row>
    <row r="530" spans="1:9" x14ac:dyDescent="0.4">
      <c r="A530" t="s">
        <v>9</v>
      </c>
      <c r="B530" t="s">
        <v>679</v>
      </c>
      <c r="C530" t="str">
        <f t="shared" si="41"/>
        <v>東京都三鷹市上連雀</v>
      </c>
      <c r="D530" s="2" t="str">
        <f t="shared" si="42"/>
        <v>http://geocode.csis.u-tokyo.ac.jp/cgi-bin/simple_geocode.cgi?charset=UTF8&amp;addr=%E6%9D%B1%E4%BA%AC%E9%83%BD%E4%B8%89%E9%B7%B9%E5%B8%82%E4%B8%8A%E9%80%A3%E9%9B%80</v>
      </c>
      <c r="E530" t="str">
        <f t="shared" si="43"/>
        <v xml:space="preserve">&lt;?xml version="1.0" encoding="UTF-8" ?&gt;
&lt;results&gt;
&lt;query&gt;東京都三鷹市上連雀&lt;/query&gt;
&lt;geodetic&gt;wgs1984&lt;/geodetic&gt;
&lt;iConf&gt;5&lt;/iConf&gt;
&lt;converted&gt;東京都三鷹市上連雀&lt;/converted&gt;
&lt;candidate&gt;
&lt;address&gt;東京都/三鷹市/上連雀&lt;/address&gt;
&lt;longitude&gt;139.553040&lt;/longitude&gt;
&lt;latitude&gt;35.704556&lt;/latitude&gt;
&lt;iLvl&gt;5&lt;/iLvl&gt;
&lt;/candidate&gt;
&lt;/results&gt;
</v>
      </c>
      <c r="F530" cm="1">
        <f t="array" ref="F530">INDEX(_xlfn.FILTERXML(E530,"//latitude"),1)</f>
        <v>35.704555999999997</v>
      </c>
      <c r="G530" cm="1">
        <f t="array" ref="G530">INDEX(_xlfn.FILTERXML(E530,"//longitude"),1)</f>
        <v>139.55304000000001</v>
      </c>
      <c r="H530">
        <v>35.704555999999997</v>
      </c>
      <c r="I530">
        <v>139.55304000000001</v>
      </c>
    </row>
    <row r="531" spans="1:9" x14ac:dyDescent="0.4">
      <c r="A531" t="s">
        <v>9</v>
      </c>
      <c r="B531" t="s">
        <v>680</v>
      </c>
      <c r="C531" t="str">
        <f t="shared" si="41"/>
        <v>東京都板橋区常盤台</v>
      </c>
      <c r="D531" s="2" t="str">
        <f t="shared" si="42"/>
        <v>http://geocode.csis.u-tokyo.ac.jp/cgi-bin/simple_geocode.cgi?charset=UTF8&amp;addr=%E6%9D%B1%E4%BA%AC%E9%83%BD%E6%9D%BF%E6%A9%8B%E5%8C%BA%E5%B8%B8%E7%9B%A4%E5%8F%B0</v>
      </c>
      <c r="E531" t="str">
        <f t="shared" si="43"/>
        <v xml:space="preserve">&lt;?xml version="1.0" encoding="UTF-8" ?&gt;
&lt;results&gt;
&lt;query&gt;東京都板橋区常盤台&lt;/query&gt;
&lt;geodetic&gt;wgs1984&lt;/geodetic&gt;
&lt;iConf&gt;5&lt;/iConf&gt;
&lt;converted&gt;東京都板橋区常盤台&lt;/converted&gt;
&lt;candidate&gt;
&lt;address&gt;東京都/板橋区/常盤台&lt;/address&gt;
&lt;longitude&gt;139.692337&lt;/longitude&gt;
&lt;latitude&gt;35.760250&lt;/latitude&gt;
&lt;iLvl&gt;5&lt;/iLvl&gt;
&lt;/candidate&gt;
&lt;/results&gt;
</v>
      </c>
      <c r="F531" cm="1">
        <f t="array" ref="F531">INDEX(_xlfn.FILTERXML(E531,"//latitude"),1)</f>
        <v>35.760249999999999</v>
      </c>
      <c r="G531" cm="1">
        <f t="array" ref="G531">INDEX(_xlfn.FILTERXML(E531,"//longitude"),1)</f>
        <v>139.69233700000001</v>
      </c>
      <c r="H531">
        <v>35.760249999999999</v>
      </c>
      <c r="I531">
        <v>139.69233700000001</v>
      </c>
    </row>
    <row r="532" spans="1:9" x14ac:dyDescent="0.4">
      <c r="A532" t="s">
        <v>12</v>
      </c>
      <c r="B532" t="s">
        <v>681</v>
      </c>
      <c r="C532" t="str">
        <f t="shared" si="41"/>
        <v>埼玉県さいたま市南区四谷2丁目</v>
      </c>
      <c r="D532" s="2" t="str">
        <f t="shared" si="42"/>
        <v>http://geocode.csis.u-tokyo.ac.jp/cgi-bin/simple_geocode.cgi?charset=UTF8&amp;addr=%E5%9F%BC%E7%8E%89%E7%9C%8C%E3%81%95%E3%81%84%E3%81%9F%E3%81%BE%E5%B8%82%E5%8D%97%E5%8C%BA%E5%9B%9B%E8%B0%B72%E4%B8%81%E7%9B%AE</v>
      </c>
      <c r="E532" t="str">
        <f t="shared" si="43"/>
        <v xml:space="preserve">&lt;?xml version="1.0" encoding="UTF-8" ?&gt;
&lt;results&gt;
&lt;query&gt;埼玉県さいたま市南区四谷2丁目&lt;/query&gt;
&lt;geodetic&gt;wgs1984&lt;/geodetic&gt;
&lt;iConf&gt;5&lt;/iConf&gt;
&lt;converted&gt;埼玉県さいたま市南区四谷2丁目&lt;/converted&gt;
&lt;candidate&gt;
&lt;address&gt;埼玉県/さいたま市/南区/四谷/二丁目&lt;/address&gt;
&lt;longitude&gt;139.637009&lt;/longitude&gt;
&lt;latitude&gt;35.842720&lt;/latitude&gt;
&lt;iLvl&gt;6&lt;/iLvl&gt;
&lt;/candidate&gt;
&lt;/results&gt;
</v>
      </c>
      <c r="F532" cm="1">
        <f t="array" ref="F532">INDEX(_xlfn.FILTERXML(E532,"//latitude"),1)</f>
        <v>35.84272</v>
      </c>
      <c r="G532" cm="1">
        <f t="array" ref="G532">INDEX(_xlfn.FILTERXML(E532,"//longitude"),1)</f>
        <v>139.63700900000001</v>
      </c>
      <c r="H532">
        <v>35.84272</v>
      </c>
      <c r="I532">
        <v>139.63700900000001</v>
      </c>
    </row>
    <row r="533" spans="1:9" x14ac:dyDescent="0.4">
      <c r="A533" t="s">
        <v>24</v>
      </c>
      <c r="B533" t="s">
        <v>682</v>
      </c>
      <c r="C533" t="str">
        <f t="shared" si="41"/>
        <v>静岡県浜松市浜名区染地台</v>
      </c>
      <c r="D533" s="2" t="str">
        <f t="shared" si="42"/>
        <v>http://geocode.csis.u-tokyo.ac.jp/cgi-bin/simple_geocode.cgi?charset=UTF8&amp;addr=%E9%9D%99%E5%B2%A1%E7%9C%8C%E6%B5%9C%E6%9D%BE%E5%B8%82%E6%B5%9C%E5%90%8D%E5%8C%BA%E6%9F%93%E5%9C%B0%E5%8F%B0</v>
      </c>
      <c r="E533" t="str">
        <f t="shared" si="43"/>
        <v xml:space="preserve">&lt;?xml version="1.0" encoding="UTF-8" ?&gt;
&lt;results&gt;
&lt;query&gt;静岡県浜松市浜名区染地台&lt;/query&gt;
&lt;geodetic&gt;wgs1984&lt;/geodetic&gt;
&lt;iConf&gt;5&lt;/iConf&gt;
&lt;converted&gt;静岡県浜松市浜名区染地台&lt;/converted&gt;
&lt;candidate&gt;
&lt;address&gt;静岡県/浜松市/浜名区/染地台&lt;/address&gt;
&lt;longitude&gt;137.744492&lt;/longitude&gt;
&lt;latitude&gt;34.784172&lt;/latitude&gt;
&lt;iLvl&gt;5&lt;/iLvl&gt;
&lt;/candidate&gt;
&lt;/results&gt;
</v>
      </c>
      <c r="F533" cm="1">
        <f t="array" ref="F533">INDEX(_xlfn.FILTERXML(E533,"//latitude"),1)</f>
        <v>34.784171999999998</v>
      </c>
      <c r="G533" cm="1">
        <f t="array" ref="G533">INDEX(_xlfn.FILTERXML(E533,"//longitude"),1)</f>
        <v>137.74449200000001</v>
      </c>
      <c r="H533">
        <v>34.784171999999998</v>
      </c>
      <c r="I533">
        <v>137.74449200000001</v>
      </c>
    </row>
    <row r="534" spans="1:9" x14ac:dyDescent="0.4">
      <c r="A534" t="s">
        <v>15</v>
      </c>
      <c r="B534" t="s">
        <v>683</v>
      </c>
      <c r="C534" t="str">
        <f t="shared" si="41"/>
        <v>愛知県名古屋市西区新道</v>
      </c>
      <c r="D534" s="2" t="str">
        <f t="shared" si="42"/>
        <v>http://geocode.csis.u-tokyo.ac.jp/cgi-bin/simple_geocode.cgi?charset=UTF8&amp;addr=%E6%84%9B%E7%9F%A5%E7%9C%8C%E5%90%8D%E5%8F%A4%E5%B1%8B%E5%B8%82%E8%A5%BF%E5%8C%BA%E6%96%B0%E9%81%93</v>
      </c>
      <c r="E534" t="str">
        <f t="shared" si="43"/>
        <v xml:space="preserve">&lt;?xml version="1.0" encoding="UTF-8" ?&gt;
&lt;results&gt;
&lt;query&gt;愛知県名古屋市西区新道&lt;/query&gt;
&lt;geodetic&gt;wgs1984&lt;/geodetic&gt;
&lt;iConf&gt;5&lt;/iConf&gt;
&lt;converted&gt;愛知県名古屋市西区新道&lt;/converted&gt;
&lt;candidate&gt;
&lt;address&gt;愛知県/名古屋市/西区/新道&lt;/address&gt;
&lt;longitude&gt;136.888275&lt;/longitude&gt;
&lt;latitude&gt;35.182426&lt;/latitude&gt;
&lt;iLvl&gt;5&lt;/iLvl&gt;
&lt;/candidate&gt;
&lt;/results&gt;
</v>
      </c>
      <c r="F534" cm="1">
        <f t="array" ref="F534">INDEX(_xlfn.FILTERXML(E534,"//latitude"),1)</f>
        <v>35.182426</v>
      </c>
      <c r="G534" cm="1">
        <f t="array" ref="G534">INDEX(_xlfn.FILTERXML(E534,"//longitude"),1)</f>
        <v>136.88827499999999</v>
      </c>
      <c r="H534">
        <v>35.182426</v>
      </c>
      <c r="I534">
        <v>136.88827499999999</v>
      </c>
    </row>
    <row r="535" spans="1:9" x14ac:dyDescent="0.4">
      <c r="A535" t="s">
        <v>12</v>
      </c>
      <c r="B535" t="s">
        <v>684</v>
      </c>
      <c r="C535" t="str">
        <f t="shared" si="41"/>
        <v>埼玉県本庄市</v>
      </c>
      <c r="D535" s="2" t="str">
        <f t="shared" si="42"/>
        <v>http://geocode.csis.u-tokyo.ac.jp/cgi-bin/simple_geocode.cgi?charset=UTF8&amp;addr=%E5%9F%BC%E7%8E%89%E7%9C%8C%E6%9C%AC%E5%BA%84%E5%B8%82</v>
      </c>
      <c r="E535" t="str">
        <f t="shared" si="43"/>
        <v xml:space="preserve">&lt;?xml version="1.0" encoding="UTF-8" ?&gt;
&lt;results&gt;
&lt;query&gt;埼玉県本庄市&lt;/query&gt;
&lt;geodetic&gt;wgs1984&lt;/geodetic&gt;
&lt;iConf&gt;5&lt;/iConf&gt;
&lt;converted&gt;埼玉県本庄市&lt;/converted&gt;
&lt;candidate&gt;
&lt;address&gt;埼玉県/本庄市&lt;/address&gt;
&lt;longitude&gt;139.190628&lt;/longitude&gt;
&lt;latitude&gt;36.243328&lt;/latitude&gt;
&lt;iLvl&gt;3&lt;/iLvl&gt;
&lt;/candidate&gt;
&lt;/results&gt;
</v>
      </c>
      <c r="F535" cm="1">
        <f t="array" ref="F535">INDEX(_xlfn.FILTERXML(E535,"//latitude"),1)</f>
        <v>36.243327999999998</v>
      </c>
      <c r="G535" cm="1">
        <f t="array" ref="G535">INDEX(_xlfn.FILTERXML(E535,"//longitude"),1)</f>
        <v>139.190628</v>
      </c>
      <c r="H535">
        <v>36.243327999999998</v>
      </c>
      <c r="I535">
        <v>139.190628</v>
      </c>
    </row>
    <row r="536" spans="1:9" x14ac:dyDescent="0.4">
      <c r="A536" t="s">
        <v>13</v>
      </c>
      <c r="B536" t="s">
        <v>685</v>
      </c>
      <c r="C536" t="str">
        <f t="shared" si="41"/>
        <v>兵庫県加古川市加古川町美乃利</v>
      </c>
      <c r="D536" s="2" t="str">
        <f t="shared" si="42"/>
        <v>http://geocode.csis.u-tokyo.ac.jp/cgi-bin/simple_geocode.cgi?charset=UTF8&amp;addr=%E5%85%B5%E5%BA%AB%E7%9C%8C%E5%8A%A0%E5%8F%A4%E5%B7%9D%E5%B8%82%E5%8A%A0%E5%8F%A4%E5%B7%9D%E7%94%BA%E7%BE%8E%E4%B9%83%E5%88%A9</v>
      </c>
      <c r="E536" t="str">
        <f t="shared" si="43"/>
        <v xml:space="preserve">&lt;?xml version="1.0" encoding="UTF-8" ?&gt;
&lt;results&gt;
&lt;query&gt;兵庫県加古川市加古川町美乃利&lt;/query&gt;
&lt;geodetic&gt;wgs1984&lt;/geodetic&gt;
&lt;iConf&gt;5&lt;/iConf&gt;
&lt;converted&gt;兵庫県加古川市加古川町美乃利&lt;/converted&gt;
&lt;candidate&gt;
&lt;address&gt;兵庫県/加古川市/加古川町美乃利&lt;/address&gt;
&lt;longitude&gt;134.853546&lt;/longitude&gt;
&lt;latitude&gt;34.765217&lt;/latitude&gt;
&lt;iLvl&gt;5&lt;/iLvl&gt;
&lt;/candidate&gt;
&lt;/results&gt;
</v>
      </c>
      <c r="F536" cm="1">
        <f t="array" ref="F536">INDEX(_xlfn.FILTERXML(E536,"//latitude"),1)</f>
        <v>34.765217</v>
      </c>
      <c r="G536" cm="1">
        <f t="array" ref="G536">INDEX(_xlfn.FILTERXML(E536,"//longitude"),1)</f>
        <v>134.85354599999999</v>
      </c>
      <c r="H536">
        <v>34.765217</v>
      </c>
      <c r="I536">
        <v>134.85354599999999</v>
      </c>
    </row>
    <row r="537" spans="1:9" x14ac:dyDescent="0.4">
      <c r="A537" t="s">
        <v>16</v>
      </c>
      <c r="B537" t="s">
        <v>68</v>
      </c>
      <c r="C537" t="str">
        <f t="shared" si="41"/>
        <v>千葉県富津市佐貫</v>
      </c>
      <c r="D537" s="2" t="str">
        <f t="shared" si="42"/>
        <v>http://geocode.csis.u-tokyo.ac.jp/cgi-bin/simple_geocode.cgi?charset=UTF8&amp;addr=%E5%8D%83%E8%91%89%E7%9C%8C%E5%AF%8C%E6%B4%A5%E5%B8%82%E4%BD%90%E8%B2%AB</v>
      </c>
      <c r="E537" t="str">
        <f t="shared" si="43"/>
        <v xml:space="preserve">&lt;?xml version="1.0" encoding="UTF-8" ?&gt;
&lt;results&gt;
&lt;query&gt;千葉県富津佐貫&lt;/query&gt;
&lt;geodetic&gt;wgs1984&lt;/geodetic&gt;
&lt;iConf&gt;5&lt;/iConf&gt;
&lt;converted&gt;千葉県富津市佐貫&lt;/converted&gt;
&lt;candidate&gt;
&lt;address&gt;千葉県/富津市/佐貫&lt;/address&gt;
&lt;longitude&gt;139.897186&lt;/longitude&gt;
&lt;latitude&gt;35.264503&lt;/latitude&gt;
&lt;iLvl&gt;5&lt;/iLvl&gt;
&lt;/candidate&gt;
&lt;/results&gt;
</v>
      </c>
      <c r="F537" cm="1">
        <f t="array" ref="F537">INDEX(_xlfn.FILTERXML(E537,"//latitude"),1)</f>
        <v>35.264502999999998</v>
      </c>
      <c r="G537" cm="1">
        <f t="array" ref="G537">INDEX(_xlfn.FILTERXML(E537,"//longitude"),1)</f>
        <v>139.897186</v>
      </c>
      <c r="H537">
        <v>35.264502999999998</v>
      </c>
      <c r="I537">
        <v>139.897186</v>
      </c>
    </row>
    <row r="538" spans="1:9" x14ac:dyDescent="0.4">
      <c r="A538" t="s">
        <v>11</v>
      </c>
      <c r="B538" t="s">
        <v>396</v>
      </c>
      <c r="C538" t="str">
        <f t="shared" si="41"/>
        <v>大阪府大阪市天王寺区</v>
      </c>
      <c r="D538" s="2" t="str">
        <f t="shared" si="42"/>
        <v>http://geocode.csis.u-tokyo.ac.jp/cgi-bin/simple_geocode.cgi?charset=UTF8&amp;addr=%E5%A4%A7%E9%98%AA%E5%BA%9C%E5%A4%A7%E9%98%AA%E5%B8%82%E5%A4%A9%E7%8E%8B%E5%AF%BA%E5%8C%BA</v>
      </c>
      <c r="E538" t="str">
        <f t="shared" si="43"/>
        <v xml:space="preserve">&lt;?xml version="1.0" encoding="UTF-8" ?&gt;
&lt;results&gt;
&lt;query&gt;大阪府大阪市天王寺区&lt;/query&gt;
&lt;geodetic&gt;wgs1984&lt;/geodetic&gt;
&lt;iConf&gt;5&lt;/iConf&gt;
&lt;converted&gt;大阪府大阪市天王寺区&lt;/converted&gt;
&lt;candidate&gt;
&lt;address&gt;大阪府/大阪市/天王寺区&lt;/address&gt;
&lt;longitude&gt;135.519363&lt;/longitude&gt;
&lt;latitude&gt;34.657867&lt;/latitude&gt;
&lt;iLvl&gt;4&lt;/iLvl&gt;
&lt;/candidate&gt;
&lt;/results&gt;
</v>
      </c>
      <c r="F538" cm="1">
        <f t="array" ref="F538">INDEX(_xlfn.FILTERXML(E538,"//latitude"),1)</f>
        <v>34.657867000000003</v>
      </c>
      <c r="G538" cm="1">
        <f t="array" ref="G538">INDEX(_xlfn.FILTERXML(E538,"//longitude"),1)</f>
        <v>135.519363</v>
      </c>
      <c r="H538">
        <v>34.657867000000003</v>
      </c>
      <c r="I538">
        <v>135.519363</v>
      </c>
    </row>
    <row r="539" spans="1:9" x14ac:dyDescent="0.4">
      <c r="A539" t="s">
        <v>9</v>
      </c>
      <c r="B539" t="s">
        <v>62</v>
      </c>
      <c r="C539" t="str">
        <f t="shared" si="41"/>
        <v>東京都板橋区</v>
      </c>
      <c r="D539" s="2" t="str">
        <f t="shared" si="42"/>
        <v>http://geocode.csis.u-tokyo.ac.jp/cgi-bin/simple_geocode.cgi?charset=UTF8&amp;addr=%E6%9D%B1%E4%BA%AC%E9%83%BD%E6%9D%BF%E6%A9%8B%E5%8C%BA</v>
      </c>
      <c r="E539" t="str">
        <f t="shared" si="43"/>
        <v xml:space="preserve">&lt;?xml version="1.0" encoding="UTF-8" ?&gt;
&lt;results&gt;
&lt;query&gt;東京都板橋区&lt;/query&gt;
&lt;geodetic&gt;wgs1984&lt;/geodetic&gt;
&lt;iConf&gt;5&lt;/iConf&gt;
&lt;converted&gt;東京都板橋区&lt;/converted&gt;
&lt;candidate&gt;
&lt;address&gt;東京都/板橋区&lt;/address&gt;
&lt;longitude&gt;139.709244&lt;/longitude&gt;
&lt;latitude&gt;35.751244&lt;/latitude&gt;
&lt;iLvl&gt;3&lt;/iLvl&gt;
&lt;/candidate&gt;
&lt;/results&gt;
</v>
      </c>
      <c r="F539" cm="1">
        <f t="array" ref="F539">INDEX(_xlfn.FILTERXML(E539,"//latitude"),1)</f>
        <v>35.751244</v>
      </c>
      <c r="G539" cm="1">
        <f t="array" ref="G539">INDEX(_xlfn.FILTERXML(E539,"//longitude"),1)</f>
        <v>139.70924400000001</v>
      </c>
      <c r="H539">
        <v>35.751244</v>
      </c>
      <c r="I539">
        <v>139.70924400000001</v>
      </c>
    </row>
    <row r="540" spans="1:9" x14ac:dyDescent="0.4">
      <c r="A540" t="s">
        <v>11</v>
      </c>
      <c r="B540" t="s">
        <v>560</v>
      </c>
      <c r="C540" t="str">
        <f t="shared" si="41"/>
        <v>大阪府大阪市住吉区南住吉</v>
      </c>
      <c r="D540" s="2" t="str">
        <f t="shared" si="42"/>
        <v>http://geocode.csis.u-tokyo.ac.jp/cgi-bin/simple_geocode.cgi?charset=UTF8&amp;addr=%E5%A4%A7%E9%98%AA%E5%BA%9C%E5%A4%A7%E9%98%AA%E5%B8%82%E4%BD%8F%E5%90%89%E5%8C%BA%E5%8D%97%E4%BD%8F%E5%90%89</v>
      </c>
      <c r="E540" t="str">
        <f t="shared" si="43"/>
        <v xml:space="preserve">&lt;?xml version="1.0" encoding="UTF-8" ?&gt;
&lt;results&gt;
&lt;query&gt;大阪府大阪市住吉区南住吉&lt;/query&gt;
&lt;geodetic&gt;wgs1984&lt;/geodetic&gt;
&lt;iConf&gt;5&lt;/iConf&gt;
&lt;converted&gt;大阪府大阪市住吉区南住吉&lt;/converted&gt;
&lt;candidate&gt;
&lt;address&gt;大阪府/大阪市/住吉区/南住吉&lt;/address&gt;
&lt;longitude&gt;135.504120&lt;/longitude&gt;
&lt;latitude&gt;34.610611&lt;/latitude&gt;
&lt;iLvl&gt;5&lt;/iLvl&gt;
&lt;/candidate&gt;
&lt;/results&gt;
</v>
      </c>
      <c r="F540" cm="1">
        <f t="array" ref="F540">INDEX(_xlfn.FILTERXML(E540,"//latitude"),1)</f>
        <v>34.610610999999999</v>
      </c>
      <c r="G540" cm="1">
        <f t="array" ref="G540">INDEX(_xlfn.FILTERXML(E540,"//longitude"),1)</f>
        <v>135.50412</v>
      </c>
      <c r="H540">
        <v>34.610610999999999</v>
      </c>
      <c r="I540">
        <v>135.50412</v>
      </c>
    </row>
    <row r="541" spans="1:9" x14ac:dyDescent="0.4">
      <c r="A541" t="s">
        <v>15</v>
      </c>
      <c r="B541" t="s">
        <v>686</v>
      </c>
      <c r="C541" t="str">
        <f t="shared" si="41"/>
        <v>愛知県愛西市日置町本郷</v>
      </c>
      <c r="D541" s="2" t="str">
        <f t="shared" si="42"/>
        <v>http://geocode.csis.u-tokyo.ac.jp/cgi-bin/simple_geocode.cgi?charset=UTF8&amp;addr=%E6%84%9B%E7%9F%A5%E7%9C%8C%E6%84%9B%E8%A5%BF%E5%B8%82%E6%97%A5%E7%BD%AE%E7%94%BA%E6%9C%AC%E9%83%B7</v>
      </c>
      <c r="E541" t="str">
        <f t="shared" si="43"/>
        <v xml:space="preserve">&lt;?xml version="1.0" encoding="UTF-8" ?&gt;
&lt;results&gt;
&lt;query&gt;愛知県愛西市置町本郷&lt;/query&gt;
&lt;geodetic&gt;wgs1984&lt;/geodetic&gt;
&lt;iConf&gt;5&lt;/iConf&gt;
&lt;converted&gt;愛知県愛西市日置町本郷&lt;/converted&gt;
&lt;candidate&gt;
&lt;address&gt;愛知県/愛西市/日置町/本郷&lt;/address&gt;
&lt;longitude&gt;136.730728&lt;/longitude&gt;
&lt;latitude&gt;35.161327&lt;/latitude&gt;
&lt;iLvl&gt;6&lt;/iLvl&gt;
&lt;/candidate&gt;
&lt;/results&gt;
</v>
      </c>
      <c r="F541" cm="1">
        <f t="array" ref="F541">INDEX(_xlfn.FILTERXML(E541,"//latitude"),1)</f>
        <v>35.161327</v>
      </c>
      <c r="G541" cm="1">
        <f t="array" ref="G541">INDEX(_xlfn.FILTERXML(E541,"//longitude"),1)</f>
        <v>136.730728</v>
      </c>
      <c r="H541">
        <v>35.161327</v>
      </c>
      <c r="I541">
        <v>136.730728</v>
      </c>
    </row>
    <row r="542" spans="1:9" x14ac:dyDescent="0.4">
      <c r="A542" t="s">
        <v>9</v>
      </c>
      <c r="B542" t="s">
        <v>687</v>
      </c>
      <c r="C542" t="str">
        <f t="shared" si="41"/>
        <v>東京都豊島区千早4丁目</v>
      </c>
      <c r="D542" s="2" t="str">
        <f t="shared" si="42"/>
        <v>http://geocode.csis.u-tokyo.ac.jp/cgi-bin/simple_geocode.cgi?charset=UTF8&amp;addr=%E6%9D%B1%E4%BA%AC%E9%83%BD%E8%B1%8A%E5%B3%B6%E5%8C%BA%E5%8D%83%E6%97%A94%E4%B8%81%E7%9B%AE</v>
      </c>
      <c r="E542" t="str">
        <f t="shared" si="43"/>
        <v xml:space="preserve">&lt;?xml version="1.0" encoding="UTF-8" ?&gt;
&lt;results&gt;
&lt;query&gt;東京都豊島区千早4丁目&lt;/query&gt;
&lt;geodetic&gt;wgs1984&lt;/geodetic&gt;
&lt;iConf&gt;5&lt;/iConf&gt;
&lt;converted&gt;東京都豊島区千早4丁目&lt;/converted&gt;
&lt;candidate&gt;
&lt;address&gt;東京都/豊島区/千早/四丁目&lt;/address&gt;
&lt;longitude&gt;139.683792&lt;/longitude&gt;
&lt;latitude&gt;35.737961&lt;/latitude&gt;
&lt;iLvl&gt;6&lt;/iLvl&gt;
&lt;/candidate&gt;
&lt;/results&gt;
</v>
      </c>
      <c r="F542" cm="1">
        <f t="array" ref="F542">INDEX(_xlfn.FILTERXML(E542,"//latitude"),1)</f>
        <v>35.737960999999999</v>
      </c>
      <c r="G542" cm="1">
        <f t="array" ref="G542">INDEX(_xlfn.FILTERXML(E542,"//longitude"),1)</f>
        <v>139.68379200000001</v>
      </c>
      <c r="H542">
        <v>35.737960999999999</v>
      </c>
      <c r="I542">
        <v>139.68379200000001</v>
      </c>
    </row>
    <row r="543" spans="1:9" x14ac:dyDescent="0.4">
      <c r="A543" t="s">
        <v>16</v>
      </c>
      <c r="B543" t="s">
        <v>688</v>
      </c>
      <c r="C543" t="str">
        <f t="shared" si="41"/>
        <v>千葉県柏市</v>
      </c>
      <c r="D543" s="2" t="str">
        <f t="shared" si="42"/>
        <v>http://geocode.csis.u-tokyo.ac.jp/cgi-bin/simple_geocode.cgi?charset=UTF8&amp;addr=%E5%8D%83%E8%91%89%E7%9C%8C%E6%9F%8F%E5%B8%82</v>
      </c>
      <c r="E543" t="str">
        <f t="shared" si="43"/>
        <v xml:space="preserve">&lt;?xml version="1.0" encoding="UTF-8" ?&gt;
&lt;results&gt;
&lt;query&gt;千葉県柏市&lt;/query&gt;
&lt;geodetic&gt;wgs1984&lt;/geodetic&gt;
&lt;iConf&gt;5&lt;/iConf&gt;
&lt;converted&gt;千葉県柏市&lt;/converted&gt;
&lt;candidate&gt;
&lt;address&gt;千葉県/柏市&lt;/address&gt;
&lt;longitude&gt;139.976196&lt;/longitude&gt;
&lt;latitude&gt;35.868294&lt;/latitude&gt;
&lt;iLvl&gt;3&lt;/iLvl&gt;
&lt;/candidate&gt;
&lt;/results&gt;
</v>
      </c>
      <c r="F543" cm="1">
        <f t="array" ref="F543">INDEX(_xlfn.FILTERXML(E543,"//latitude"),1)</f>
        <v>35.868293999999999</v>
      </c>
      <c r="G543" cm="1">
        <f t="array" ref="G543">INDEX(_xlfn.FILTERXML(E543,"//longitude"),1)</f>
        <v>139.97619599999999</v>
      </c>
      <c r="H543">
        <v>35.868293999999999</v>
      </c>
      <c r="I543">
        <v>139.97619599999999</v>
      </c>
    </row>
    <row r="544" spans="1:9" x14ac:dyDescent="0.4">
      <c r="A544" t="s">
        <v>9</v>
      </c>
      <c r="B544" t="s">
        <v>689</v>
      </c>
      <c r="C544" t="str">
        <f t="shared" si="41"/>
        <v>東京都杉並区井草</v>
      </c>
      <c r="D544" s="2" t="str">
        <f t="shared" si="42"/>
        <v>http://geocode.csis.u-tokyo.ac.jp/cgi-bin/simple_geocode.cgi?charset=UTF8&amp;addr=%E6%9D%B1%E4%BA%AC%E9%83%BD%E6%9D%89%E4%B8%A6%E5%8C%BA%E4%BA%95%E8%8D%89</v>
      </c>
      <c r="E544" t="str">
        <f t="shared" si="43"/>
        <v xml:space="preserve">&lt;?xml version="1.0" encoding="UTF-8" ?&gt;
&lt;results&gt;
&lt;query&gt;東京都杉並区井草&lt;/query&gt;
&lt;geodetic&gt;wgs1984&lt;/geodetic&gt;
&lt;iConf&gt;5&lt;/iConf&gt;
&lt;converted&gt;東京都杉並区井草&lt;/converted&gt;
&lt;candidate&gt;
&lt;address&gt;東京都/杉並区/井草&lt;/address&gt;
&lt;longitude&gt;139.623611&lt;/longitude&gt;
&lt;latitude&gt;35.727043&lt;/latitude&gt;
&lt;iLvl&gt;5&lt;/iLvl&gt;
&lt;/candidate&gt;
&lt;/results&gt;
</v>
      </c>
      <c r="F544" cm="1">
        <f t="array" ref="F544">INDEX(_xlfn.FILTERXML(E544,"//latitude"),1)</f>
        <v>35.727043000000002</v>
      </c>
      <c r="G544" cm="1">
        <f t="array" ref="G544">INDEX(_xlfn.FILTERXML(E544,"//longitude"),1)</f>
        <v>139.62361100000001</v>
      </c>
      <c r="H544">
        <v>35.727043000000002</v>
      </c>
      <c r="I544">
        <v>139.62361100000001</v>
      </c>
    </row>
    <row r="545" spans="1:9" x14ac:dyDescent="0.4">
      <c r="A545" t="s">
        <v>15</v>
      </c>
      <c r="B545" t="s">
        <v>690</v>
      </c>
      <c r="C545" t="str">
        <f t="shared" si="41"/>
        <v>愛知県海部郡蟹江町</v>
      </c>
      <c r="D545" s="2" t="str">
        <f t="shared" si="42"/>
        <v>http://geocode.csis.u-tokyo.ac.jp/cgi-bin/simple_geocode.cgi?charset=UTF8&amp;addr=%E6%84%9B%E7%9F%A5%E7%9C%8C%E6%B5%B7%E9%83%A8%E9%83%A1%E8%9F%B9%E6%B1%9F%E7%94%BA</v>
      </c>
      <c r="E545" t="str">
        <f t="shared" si="43"/>
        <v xml:space="preserve">&lt;?xml version="1.0" encoding="UTF-8" ?&gt;
&lt;results&gt;
&lt;query&gt;愛知県海部郡蟹江町&lt;/query&gt;
&lt;geodetic&gt;wgs1984&lt;/geodetic&gt;
&lt;iConf&gt;5&lt;/iConf&gt;
&lt;converted&gt;愛知県海部郡蟹江町&lt;/converted&gt;
&lt;candidate&gt;
&lt;address&gt;愛知県/海部郡/蟹江町&lt;/address&gt;
&lt;longitude&gt;136.786682&lt;/longitude&gt;
&lt;latitude&gt;35.132339&lt;/latitude&gt;
&lt;iLvl&gt;3&lt;/iLvl&gt;
&lt;/candidate&gt;
&lt;/results&gt;
</v>
      </c>
      <c r="F545" cm="1">
        <f t="array" ref="F545">INDEX(_xlfn.FILTERXML(E545,"//latitude"),1)</f>
        <v>35.132339000000002</v>
      </c>
      <c r="G545" cm="1">
        <f t="array" ref="G545">INDEX(_xlfn.FILTERXML(E545,"//longitude"),1)</f>
        <v>136.78668200000001</v>
      </c>
      <c r="H545">
        <v>35.132339000000002</v>
      </c>
      <c r="I545">
        <v>136.78668200000001</v>
      </c>
    </row>
    <row r="546" spans="1:9" x14ac:dyDescent="0.4">
      <c r="A546" t="s">
        <v>284</v>
      </c>
      <c r="B546" t="s">
        <v>691</v>
      </c>
      <c r="C546" t="str">
        <f t="shared" si="41"/>
        <v>岩手県北上市</v>
      </c>
      <c r="D546" s="2" t="str">
        <f t="shared" si="42"/>
        <v>http://geocode.csis.u-tokyo.ac.jp/cgi-bin/simple_geocode.cgi?charset=UTF8&amp;addr=%E5%B2%A9%E6%89%8B%E7%9C%8C%E5%8C%97%E4%B8%8A%E5%B8%82</v>
      </c>
      <c r="E546" t="str">
        <f t="shared" si="43"/>
        <v xml:space="preserve">&lt;?xml version="1.0" encoding="UTF-8" ?&gt;
&lt;results&gt;
&lt;query&gt;岩手県北上市&lt;/query&gt;
&lt;geodetic&gt;wgs1984&lt;/geodetic&gt;
&lt;iConf&gt;5&lt;/iConf&gt;
&lt;converted&gt;岩手県北上市&lt;/converted&gt;
&lt;candidate&gt;
&lt;address&gt;岩手県/北上市&lt;/address&gt;
&lt;longitude&gt;141.113159&lt;/longitude&gt;
&lt;latitude&gt;39.286816&lt;/latitude&gt;
&lt;iLvl&gt;3&lt;/iLvl&gt;
&lt;/candidate&gt;
&lt;/results&gt;
</v>
      </c>
      <c r="F546" cm="1">
        <f t="array" ref="F546">INDEX(_xlfn.FILTERXML(E546,"//latitude"),1)</f>
        <v>39.286816000000002</v>
      </c>
      <c r="G546" cm="1">
        <f t="array" ref="G546">INDEX(_xlfn.FILTERXML(E546,"//longitude"),1)</f>
        <v>141.113159</v>
      </c>
      <c r="H546">
        <v>39.286816000000002</v>
      </c>
      <c r="I546">
        <v>141.113159</v>
      </c>
    </row>
    <row r="547" spans="1:9" x14ac:dyDescent="0.4">
      <c r="A547" t="s">
        <v>9</v>
      </c>
      <c r="B547" t="s">
        <v>271</v>
      </c>
      <c r="C547" t="str">
        <f t="shared" si="41"/>
        <v>東京都大田区</v>
      </c>
      <c r="D547" s="2" t="str">
        <f t="shared" si="42"/>
        <v>http://geocode.csis.u-tokyo.ac.jp/cgi-bin/simple_geocode.cgi?charset=UTF8&amp;addr=%E6%9D%B1%E4%BA%AC%E9%83%BD%E5%A4%A7%E7%94%B0%E5%8C%BA</v>
      </c>
      <c r="E547" t="str">
        <f t="shared" si="43"/>
        <v xml:space="preserve">&lt;?xml version="1.0" encoding="UTF-8" ?&gt;
&lt;results&gt;
&lt;query&gt;東京都大田区&lt;/query&gt;
&lt;geodetic&gt;wgs1984&lt;/geodetic&gt;
&lt;iConf&gt;5&lt;/iConf&gt;
&lt;converted&gt;東京都大田区&lt;/converted&gt;
&lt;candidate&gt;
&lt;address&gt;東京都/大田区&lt;/address&gt;
&lt;longitude&gt;139.715988&lt;/longitude&gt;
&lt;latitude&gt;35.561260&lt;/latitude&gt;
&lt;iLvl&gt;3&lt;/iLvl&gt;
&lt;/candidate&gt;
&lt;/results&gt;
</v>
      </c>
      <c r="F547" cm="1">
        <f t="array" ref="F547">INDEX(_xlfn.FILTERXML(E547,"//latitude"),1)</f>
        <v>35.561259999999997</v>
      </c>
      <c r="G547" cm="1">
        <f t="array" ref="G547">INDEX(_xlfn.FILTERXML(E547,"//longitude"),1)</f>
        <v>139.71598800000001</v>
      </c>
      <c r="H547">
        <v>35.561259999999997</v>
      </c>
      <c r="I547">
        <v>139.71598800000001</v>
      </c>
    </row>
    <row r="548" spans="1:9" x14ac:dyDescent="0.4">
      <c r="A548" t="s">
        <v>10</v>
      </c>
      <c r="B548" t="s">
        <v>692</v>
      </c>
      <c r="C548" t="str">
        <f t="shared" si="41"/>
        <v>神奈川県横浜市鶴見区豊岡町</v>
      </c>
      <c r="D548" s="2" t="str">
        <f t="shared" si="42"/>
        <v>http://geocode.csis.u-tokyo.ac.jp/cgi-bin/simple_geocode.cgi?charset=UTF8&amp;addr=%E7%A5%9E%E5%A5%88%E5%B7%9D%E7%9C%8C%E6%A8%AA%E6%B5%9C%E5%B8%82%E9%B6%B4%E8%A6%8B%E5%8C%BA%E8%B1%8A%E5%B2%A1%E7%94%BA</v>
      </c>
      <c r="E548" t="str">
        <f t="shared" si="43"/>
        <v xml:space="preserve">&lt;?xml version="1.0" encoding="UTF-8" ?&gt;
&lt;results&gt;
&lt;query&gt;神奈川県横浜市鶴見区豊岡町&lt;/query&gt;
&lt;geodetic&gt;wgs1984&lt;/geodetic&gt;
&lt;iConf&gt;5&lt;/iConf&gt;
&lt;converted&gt;神奈川県横浜市鶴見区豊岡町&lt;/converted&gt;
&lt;candidate&gt;
&lt;address&gt;神奈川県/横浜市/鶴見区/豊岡町&lt;/address&gt;
&lt;longitude&gt;139.674011&lt;/longitude&gt;
&lt;latitude&gt;35.509071&lt;/latitude&gt;
&lt;iLvl&gt;5&lt;/iLvl&gt;
&lt;/candidate&gt;
&lt;/results&gt;
</v>
      </c>
      <c r="F548" cm="1">
        <f t="array" ref="F548">INDEX(_xlfn.FILTERXML(E548,"//latitude"),1)</f>
        <v>35.509070999999999</v>
      </c>
      <c r="G548" cm="1">
        <f t="array" ref="G548">INDEX(_xlfn.FILTERXML(E548,"//longitude"),1)</f>
        <v>139.67401100000001</v>
      </c>
      <c r="H548">
        <v>35.509070999999999</v>
      </c>
      <c r="I548">
        <v>139.67401100000001</v>
      </c>
    </row>
    <row r="549" spans="1:9" x14ac:dyDescent="0.4">
      <c r="A549" t="s">
        <v>191</v>
      </c>
      <c r="B549" t="s">
        <v>693</v>
      </c>
      <c r="C549" t="str">
        <f t="shared" si="41"/>
        <v>山梨県南都留郡鳴沢村</v>
      </c>
      <c r="D549" s="2" t="str">
        <f t="shared" si="42"/>
        <v>http://geocode.csis.u-tokyo.ac.jp/cgi-bin/simple_geocode.cgi?charset=UTF8&amp;addr=%E5%B1%B1%E6%A2%A8%E7%9C%8C%E5%8D%97%E9%83%BD%E7%95%99%E9%83%A1%E9%B3%B4%E6%B2%A2%E6%9D%91</v>
      </c>
      <c r="E549" t="str">
        <f t="shared" si="43"/>
        <v xml:space="preserve">&lt;?xml version="1.0" encoding="UTF-8" ?&gt;
&lt;results&gt;
&lt;query&gt;山梨県南都留郡鳴沢村&lt;/query&gt;
&lt;geodetic&gt;wgs1984&lt;/geodetic&gt;
&lt;iConf&gt;5&lt;/iConf&gt;
&lt;converted&gt;山梨県南都留郡鳴沢村&lt;/converted&gt;
&lt;candidate&gt;
&lt;address&gt;山梨県/南都留郡/鳴沢村&lt;/address&gt;
&lt;longitude&gt;138.706604&lt;/longitude&gt;
&lt;latitude&gt;35.481319&lt;/latitude&gt;
&lt;iLvl&gt;3&lt;/iLvl&gt;
&lt;/candidate&gt;
&lt;/results&gt;
</v>
      </c>
      <c r="F549" cm="1">
        <f t="array" ref="F549">INDEX(_xlfn.FILTERXML(E549,"//latitude"),1)</f>
        <v>35.481318999999999</v>
      </c>
      <c r="G549" cm="1">
        <f t="array" ref="G549">INDEX(_xlfn.FILTERXML(E549,"//longitude"),1)</f>
        <v>138.706604</v>
      </c>
      <c r="H549">
        <v>35.481318999999999</v>
      </c>
      <c r="I549">
        <v>138.706604</v>
      </c>
    </row>
    <row r="550" spans="1:9" x14ac:dyDescent="0.4">
      <c r="A550" t="s">
        <v>18</v>
      </c>
      <c r="B550" t="s">
        <v>462</v>
      </c>
      <c r="C550" t="str">
        <f t="shared" si="41"/>
        <v>茨城県石岡市</v>
      </c>
      <c r="D550" s="2" t="str">
        <f t="shared" si="42"/>
        <v>http://geocode.csis.u-tokyo.ac.jp/cgi-bin/simple_geocode.cgi?charset=UTF8&amp;addr=%E8%8C%A8%E5%9F%8E%E7%9C%8C%E7%9F%B3%E5%B2%A1%E5%B8%82</v>
      </c>
      <c r="E550" t="str">
        <f t="shared" si="43"/>
        <v xml:space="preserve">&lt;?xml version="1.0" encoding="UTF-8" ?&gt;
&lt;results&gt;
&lt;query&gt;茨城県石岡市&lt;/query&gt;
&lt;geodetic&gt;wgs1984&lt;/geodetic&gt;
&lt;iConf&gt;5&lt;/iConf&gt;
&lt;converted&gt;茨城県石岡市&lt;/converted&gt;
&lt;candidate&gt;
&lt;address&gt;茨城県/石岡市&lt;/address&gt;
&lt;longitude&gt;140.287247&lt;/longitude&gt;
&lt;latitude&gt;36.190842&lt;/latitude&gt;
&lt;iLvl&gt;3&lt;/iLvl&gt;
&lt;/candidate&gt;
&lt;/results&gt;
</v>
      </c>
      <c r="F550" cm="1">
        <f t="array" ref="F550">INDEX(_xlfn.FILTERXML(E550,"//latitude"),1)</f>
        <v>36.190842000000004</v>
      </c>
      <c r="G550" cm="1">
        <f t="array" ref="G550">INDEX(_xlfn.FILTERXML(E550,"//longitude"),1)</f>
        <v>140.28724700000001</v>
      </c>
      <c r="H550">
        <v>36.190842000000004</v>
      </c>
      <c r="I550">
        <v>140.28724700000001</v>
      </c>
    </row>
    <row r="551" spans="1:9" x14ac:dyDescent="0.4">
      <c r="A551" t="s">
        <v>14</v>
      </c>
      <c r="B551" t="s">
        <v>694</v>
      </c>
      <c r="C551" t="str">
        <f t="shared" si="41"/>
        <v>長野県飯田市</v>
      </c>
      <c r="D551" s="2" t="str">
        <f t="shared" si="42"/>
        <v>http://geocode.csis.u-tokyo.ac.jp/cgi-bin/simple_geocode.cgi?charset=UTF8&amp;addr=%E9%95%B7%E9%87%8E%E7%9C%8C%E9%A3%AF%E7%94%B0%E5%B8%82</v>
      </c>
      <c r="E551" t="str">
        <f t="shared" si="43"/>
        <v xml:space="preserve">&lt;?xml version="1.0" encoding="UTF-8" ?&gt;
&lt;results&gt;
&lt;query&gt;長野県飯田市&lt;/query&gt;
&lt;geodetic&gt;wgs1984&lt;/geodetic&gt;
&lt;iConf&gt;5&lt;/iConf&gt;
&lt;converted&gt;長野県飯田市&lt;/converted&gt;
&lt;candidate&gt;
&lt;address&gt;長野県/飯田市&lt;/address&gt;
&lt;longitude&gt;137.821823&lt;/longitude&gt;
&lt;latitude&gt;35.514702&lt;/latitude&gt;
&lt;iLvl&gt;3&lt;/iLvl&gt;
&lt;/candidate&gt;
&lt;/results&gt;
</v>
      </c>
      <c r="F551" cm="1">
        <f t="array" ref="F551">INDEX(_xlfn.FILTERXML(E551,"//latitude"),1)</f>
        <v>35.514702</v>
      </c>
      <c r="G551" cm="1">
        <f t="array" ref="G551">INDEX(_xlfn.FILTERXML(E551,"//longitude"),1)</f>
        <v>137.82182299999999</v>
      </c>
      <c r="H551">
        <v>35.514702</v>
      </c>
      <c r="I551">
        <v>137.82182299999999</v>
      </c>
    </row>
    <row r="552" spans="1:9" x14ac:dyDescent="0.4">
      <c r="A552" t="s">
        <v>9</v>
      </c>
      <c r="B552" t="s">
        <v>41</v>
      </c>
      <c r="C552" t="str">
        <f t="shared" si="41"/>
        <v>東京都墨田区</v>
      </c>
      <c r="D552" s="2" t="str">
        <f t="shared" si="42"/>
        <v>http://geocode.csis.u-tokyo.ac.jp/cgi-bin/simple_geocode.cgi?charset=UTF8&amp;addr=%E6%9D%B1%E4%BA%AC%E9%83%BD%E5%A2%A8%E7%94%B0%E5%8C%BA</v>
      </c>
      <c r="E552" t="str">
        <f t="shared" si="43"/>
        <v xml:space="preserve">&lt;?xml version="1.0" encoding="UTF-8" ?&gt;
&lt;results&gt;
&lt;query&gt;東京都墨田区&lt;/query&gt;
&lt;geodetic&gt;wgs1984&lt;/geodetic&gt;
&lt;iConf&gt;5&lt;/iConf&gt;
&lt;converted&gt;東京都墨田区&lt;/converted&gt;
&lt;candidate&gt;
&lt;address&gt;東京都/墨田区&lt;/address&gt;
&lt;longitude&gt;139.801498&lt;/longitude&gt;
&lt;latitude&gt;35.710724&lt;/latitude&gt;
&lt;iLvl&gt;3&lt;/iLvl&gt;
&lt;/candidate&gt;
&lt;/results&gt;
</v>
      </c>
      <c r="F552" cm="1">
        <f t="array" ref="F552">INDEX(_xlfn.FILTERXML(E552,"//latitude"),1)</f>
        <v>35.710723999999999</v>
      </c>
      <c r="G552" cm="1">
        <f t="array" ref="G552">INDEX(_xlfn.FILTERXML(E552,"//longitude"),1)</f>
        <v>139.80149800000001</v>
      </c>
      <c r="H552">
        <v>35.710723999999999</v>
      </c>
      <c r="I552">
        <v>139.80149800000001</v>
      </c>
    </row>
    <row r="553" spans="1:9" x14ac:dyDescent="0.4">
      <c r="A553" t="s">
        <v>150</v>
      </c>
      <c r="B553" t="s">
        <v>415</v>
      </c>
      <c r="C553" t="str">
        <f t="shared" si="41"/>
        <v>群馬県佐波郡玉村町下之宮</v>
      </c>
      <c r="D553" s="2" t="str">
        <f t="shared" si="42"/>
        <v>http://geocode.csis.u-tokyo.ac.jp/cgi-bin/simple_geocode.cgi?charset=UTF8&amp;addr=%E7%BE%A4%E9%A6%AC%E7%9C%8C%E4%BD%90%E6%B3%A2%E9%83%A1%E7%8E%89%E6%9D%91%E7%94%BA%E4%B8%8B%E4%B9%8B%E5%AE%AE</v>
      </c>
      <c r="E553" t="str">
        <f t="shared" si="43"/>
        <v xml:space="preserve">&lt;?xml version="1.0" encoding="UTF-8" ?&gt;
&lt;results&gt;
&lt;query&gt;群馬県佐波郡玉村町下之宮&lt;/query&gt;
&lt;geodetic&gt;wgs1984&lt;/geodetic&gt;
&lt;iConf&gt;5&lt;/iConf&gt;
&lt;converted&gt;群馬県佐波郡玉村町下之宮&lt;/converted&gt;
&lt;candidate&gt;
&lt;address&gt;群馬県/佐波郡/玉村町/下之宮&lt;/address&gt;
&lt;longitude&gt;139.147812&lt;/longitude&gt;
&lt;latitude&gt;36.302547&lt;/latitude&gt;
&lt;iLvl&gt;5&lt;/iLvl&gt;
&lt;/candidate&gt;
&lt;/results&gt;
</v>
      </c>
      <c r="F553" cm="1">
        <f t="array" ref="F553">INDEX(_xlfn.FILTERXML(E553,"//latitude"),1)</f>
        <v>36.302546999999997</v>
      </c>
      <c r="G553" cm="1">
        <f t="array" ref="G553">INDEX(_xlfn.FILTERXML(E553,"//longitude"),1)</f>
        <v>139.14781199999999</v>
      </c>
      <c r="H553">
        <v>36.302546999999997</v>
      </c>
      <c r="I553">
        <v>139.14781199999999</v>
      </c>
    </row>
    <row r="554" spans="1:9" x14ac:dyDescent="0.4">
      <c r="A554" t="s">
        <v>10</v>
      </c>
      <c r="B554" t="s">
        <v>74</v>
      </c>
      <c r="C554" t="str">
        <f t="shared" si="41"/>
        <v>神奈川県川崎市高津区</v>
      </c>
      <c r="D554" s="2" t="str">
        <f t="shared" si="42"/>
        <v>http://geocode.csis.u-tokyo.ac.jp/cgi-bin/simple_geocode.cgi?charset=UTF8&amp;addr=%E7%A5%9E%E5%A5%88%E5%B7%9D%E7%9C%8C%E5%B7%9D%E5%B4%8E%E5%B8%82%E9%AB%98%E6%B4%A5%E5%8C%BA</v>
      </c>
      <c r="E554" t="str">
        <f t="shared" si="43"/>
        <v xml:space="preserve">&lt;?xml version="1.0" encoding="UTF-8" ?&gt;
&lt;results&gt;
&lt;query&gt;神奈川県川崎市高津区&lt;/query&gt;
&lt;geodetic&gt;wgs1984&lt;/geodetic&gt;
&lt;iConf&gt;5&lt;/iConf&gt;
&lt;converted&gt;神奈川県川崎市高津区&lt;/converted&gt;
&lt;candidate&gt;
&lt;address&gt;神奈川県/川崎市/高津区&lt;/address&gt;
&lt;longitude&gt;139.608032&lt;/longitude&gt;
&lt;latitude&gt;35.599442&lt;/latitude&gt;
&lt;iLvl&gt;4&lt;/iLvl&gt;
&lt;/candidate&gt;
&lt;/results&gt;
</v>
      </c>
      <c r="F554" cm="1">
        <f t="array" ref="F554">INDEX(_xlfn.FILTERXML(E554,"//latitude"),1)</f>
        <v>35.599442000000003</v>
      </c>
      <c r="G554" cm="1">
        <f t="array" ref="G554">INDEX(_xlfn.FILTERXML(E554,"//longitude"),1)</f>
        <v>139.60803200000001</v>
      </c>
      <c r="H554">
        <v>35.599442000000003</v>
      </c>
      <c r="I554">
        <v>139.60803200000001</v>
      </c>
    </row>
    <row r="555" spans="1:9" x14ac:dyDescent="0.4">
      <c r="A555" t="s">
        <v>21</v>
      </c>
      <c r="B555" t="s">
        <v>695</v>
      </c>
      <c r="C555" t="str">
        <f t="shared" si="41"/>
        <v>栃木県下野市緑</v>
      </c>
      <c r="D555" s="2" t="str">
        <f t="shared" si="42"/>
        <v>http://geocode.csis.u-tokyo.ac.jp/cgi-bin/simple_geocode.cgi?charset=UTF8&amp;addr=%E6%A0%83%E6%9C%A8%E7%9C%8C%E4%B8%8B%E9%87%8E%E5%B8%82%E7%B7%91</v>
      </c>
      <c r="E555" t="str">
        <f t="shared" si="43"/>
        <v xml:space="preserve">&lt;?xml version="1.0" encoding="UTF-8" ?&gt;
&lt;results&gt;
&lt;query&gt;栃木県下野市緑&lt;/query&gt;
&lt;geodetic&gt;wgs1984&lt;/geodetic&gt;
&lt;iConf&gt;5&lt;/iConf&gt;
&lt;converted&gt;栃木県下野市緑&lt;/converted&gt;
&lt;candidate&gt;
&lt;address&gt;栃木県/下野市/緑&lt;/address&gt;
&lt;longitude&gt;139.853851&lt;/longitude&gt;
&lt;latitude&gt;36.388344&lt;/latitude&gt;
&lt;iLvl&gt;5&lt;/iLvl&gt;
&lt;/candidate&gt;
&lt;/results&gt;
</v>
      </c>
      <c r="F555" cm="1">
        <f t="array" ref="F555">INDEX(_xlfn.FILTERXML(E555,"//latitude"),1)</f>
        <v>36.388343999999996</v>
      </c>
      <c r="G555" cm="1">
        <f t="array" ref="G555">INDEX(_xlfn.FILTERXML(E555,"//longitude"),1)</f>
        <v>139.85385099999999</v>
      </c>
      <c r="H555">
        <v>36.388343999999996</v>
      </c>
      <c r="I555">
        <v>139.85385099999999</v>
      </c>
    </row>
    <row r="556" spans="1:9" x14ac:dyDescent="0.4">
      <c r="A556" t="s">
        <v>15</v>
      </c>
      <c r="B556" t="s">
        <v>696</v>
      </c>
      <c r="C556" t="str">
        <f t="shared" si="41"/>
        <v>愛知県一宮市多加木</v>
      </c>
      <c r="D556" s="2" t="str">
        <f t="shared" si="42"/>
        <v>http://geocode.csis.u-tokyo.ac.jp/cgi-bin/simple_geocode.cgi?charset=UTF8&amp;addr=%E6%84%9B%E7%9F%A5%E7%9C%8C%E4%B8%80%E5%AE%AE%E5%B8%82%E5%A4%9A%E5%8A%A0%E6%9C%A8</v>
      </c>
      <c r="E556" t="str">
        <f t="shared" si="43"/>
        <v xml:space="preserve">&lt;?xml version="1.0" encoding="UTF-8" ?&gt;
&lt;results&gt;
&lt;query&gt;愛知県一宮市多加木&lt;/query&gt;
&lt;geodetic&gt;wgs1984&lt;/geodetic&gt;
&lt;iConf&gt;5&lt;/iConf&gt;
&lt;converted&gt;愛知県一宮市多加木&lt;/converted&gt;
&lt;candidate&gt;
&lt;address&gt;愛知県/一宮市/多加木&lt;/address&gt;
&lt;longitude&gt;136.812637&lt;/longitude&gt;
&lt;latitude&gt;35.282772&lt;/latitude&gt;
&lt;iLvl&gt;5&lt;/iLvl&gt;
&lt;/candidate&gt;
&lt;/results&gt;
</v>
      </c>
      <c r="F556" cm="1">
        <f t="array" ref="F556">INDEX(_xlfn.FILTERXML(E556,"//latitude"),1)</f>
        <v>35.282772000000001</v>
      </c>
      <c r="G556" cm="1">
        <f t="array" ref="G556">INDEX(_xlfn.FILTERXML(E556,"//longitude"),1)</f>
        <v>136.812637</v>
      </c>
      <c r="H556">
        <v>35.282772000000001</v>
      </c>
      <c r="I556">
        <v>136.812637</v>
      </c>
    </row>
    <row r="557" spans="1:9" x14ac:dyDescent="0.4">
      <c r="A557" t="s">
        <v>13</v>
      </c>
      <c r="B557" t="s">
        <v>697</v>
      </c>
      <c r="C557" t="str">
        <f t="shared" si="41"/>
        <v>兵庫県姫路市</v>
      </c>
      <c r="D557" s="2" t="str">
        <f t="shared" si="42"/>
        <v>http://geocode.csis.u-tokyo.ac.jp/cgi-bin/simple_geocode.cgi?charset=UTF8&amp;addr=%E5%85%B5%E5%BA%AB%E7%9C%8C%E5%A7%AB%E8%B7%AF%E5%B8%82</v>
      </c>
      <c r="E557" t="str">
        <f t="shared" si="43"/>
        <v xml:space="preserve">&lt;?xml version="1.0" encoding="UTF-8" ?&gt;
&lt;results&gt;
&lt;query&gt;兵庫県姫路市&lt;/query&gt;
&lt;geodetic&gt;wgs1984&lt;/geodetic&gt;
&lt;iConf&gt;5&lt;/iConf&gt;
&lt;converted&gt;兵庫県姫路市&lt;/converted&gt;
&lt;candidate&gt;
&lt;address&gt;兵庫県/姫路市&lt;/address&gt;
&lt;longitude&gt;134.685455&lt;/longitude&gt;
&lt;latitude&gt;34.815495&lt;/latitude&gt;
&lt;iLvl&gt;3&lt;/iLvl&gt;
&lt;/candidate&gt;
&lt;/results&gt;
</v>
      </c>
      <c r="F557" cm="1">
        <f t="array" ref="F557">INDEX(_xlfn.FILTERXML(E557,"//latitude"),1)</f>
        <v>34.815494999999999</v>
      </c>
      <c r="G557" cm="1">
        <f t="array" ref="G557">INDEX(_xlfn.FILTERXML(E557,"//longitude"),1)</f>
        <v>134.68545499999999</v>
      </c>
      <c r="H557">
        <v>34.815494999999999</v>
      </c>
      <c r="I557">
        <v>134.68545499999999</v>
      </c>
    </row>
    <row r="558" spans="1:9" x14ac:dyDescent="0.4">
      <c r="A558" t="s">
        <v>26</v>
      </c>
      <c r="B558" t="s">
        <v>698</v>
      </c>
      <c r="C558" t="str">
        <f t="shared" si="41"/>
        <v>岐阜県養老郡養老町大巻</v>
      </c>
      <c r="D558" s="2" t="str">
        <f t="shared" si="42"/>
        <v>http://geocode.csis.u-tokyo.ac.jp/cgi-bin/simple_geocode.cgi?charset=UTF8&amp;addr=%E5%B2%90%E9%98%9C%E7%9C%8C%E9%A4%8A%E8%80%81%E9%83%A1%E9%A4%8A%E8%80%81%E7%94%BA%E5%A4%A7%E5%B7%BB</v>
      </c>
      <c r="E558" t="str">
        <f t="shared" si="43"/>
        <v xml:space="preserve">&lt;?xml version="1.0" encoding="UTF-8" ?&gt;
&lt;results&gt;
&lt;query&gt;岐阜県養老郡養老町大巻&lt;/query&gt;
&lt;geodetic&gt;wgs1984&lt;/geodetic&gt;
&lt;iConf&gt;5&lt;/iConf&gt;
&lt;converted&gt;岐阜県養老郡養老町大巻&lt;/converted&gt;
&lt;candidate&gt;
&lt;address&gt;岐阜県/養老郡/養老町/大巻&lt;/address&gt;
&lt;longitude&gt;136.609497&lt;/longitude&gt;
&lt;latitude&gt;35.243313&lt;/latitude&gt;
&lt;iLvl&gt;5&lt;/iLvl&gt;
&lt;/candidate&gt;
&lt;/results&gt;
</v>
      </c>
      <c r="F558" cm="1">
        <f t="array" ref="F558">INDEX(_xlfn.FILTERXML(E558,"//latitude"),1)</f>
        <v>35.243313000000001</v>
      </c>
      <c r="G558" cm="1">
        <f t="array" ref="G558">INDEX(_xlfn.FILTERXML(E558,"//longitude"),1)</f>
        <v>136.609497</v>
      </c>
      <c r="H558">
        <v>35.243313000000001</v>
      </c>
      <c r="I558">
        <v>136.609497</v>
      </c>
    </row>
    <row r="559" spans="1:9" x14ac:dyDescent="0.4">
      <c r="A559" t="s">
        <v>11</v>
      </c>
      <c r="B559" t="s">
        <v>396</v>
      </c>
      <c r="C559" t="str">
        <f t="shared" si="41"/>
        <v>大阪府大阪市天王寺区</v>
      </c>
      <c r="D559" s="2" t="str">
        <f t="shared" si="42"/>
        <v>http://geocode.csis.u-tokyo.ac.jp/cgi-bin/simple_geocode.cgi?charset=UTF8&amp;addr=%E5%A4%A7%E9%98%AA%E5%BA%9C%E5%A4%A7%E9%98%AA%E5%B8%82%E5%A4%A9%E7%8E%8B%E5%AF%BA%E5%8C%BA</v>
      </c>
      <c r="E559" t="str">
        <f t="shared" si="43"/>
        <v xml:space="preserve">&lt;?xml version="1.0" encoding="UTF-8" ?&gt;
&lt;results&gt;
&lt;query&gt;大阪府大阪市天王寺区&lt;/query&gt;
&lt;geodetic&gt;wgs1984&lt;/geodetic&gt;
&lt;iConf&gt;5&lt;/iConf&gt;
&lt;converted&gt;大阪府大阪市天王寺区&lt;/converted&gt;
&lt;candidate&gt;
&lt;address&gt;大阪府/大阪市/天王寺区&lt;/address&gt;
&lt;longitude&gt;135.519363&lt;/longitude&gt;
&lt;latitude&gt;34.657867&lt;/latitude&gt;
&lt;iLvl&gt;4&lt;/iLvl&gt;
&lt;/candidate&gt;
&lt;/results&gt;
</v>
      </c>
      <c r="F559" cm="1">
        <f t="array" ref="F559">INDEX(_xlfn.FILTERXML(E559,"//latitude"),1)</f>
        <v>34.657867000000003</v>
      </c>
      <c r="G559" cm="1">
        <f t="array" ref="G559">INDEX(_xlfn.FILTERXML(E559,"//longitude"),1)</f>
        <v>135.519363</v>
      </c>
      <c r="H559">
        <v>34.657867000000003</v>
      </c>
      <c r="I559">
        <v>135.519363</v>
      </c>
    </row>
    <row r="560" spans="1:9" x14ac:dyDescent="0.4">
      <c r="A560" t="s">
        <v>31</v>
      </c>
      <c r="B560" t="s">
        <v>699</v>
      </c>
      <c r="C560" t="str">
        <f t="shared" si="41"/>
        <v>北海道札幌市北区</v>
      </c>
      <c r="D560" s="2" t="str">
        <f t="shared" si="42"/>
        <v>http://geocode.csis.u-tokyo.ac.jp/cgi-bin/simple_geocode.cgi?charset=UTF8&amp;addr=%E5%8C%97%E6%B5%B7%E9%81%93%E6%9C%AD%E5%B9%8C%E5%B8%82%E5%8C%97%E5%8C%BA</v>
      </c>
      <c r="E560" t="str">
        <f t="shared" si="43"/>
        <v xml:space="preserve">&lt;?xml version="1.0" encoding="UTF-8" ?&gt;
&lt;results&gt;
&lt;query&gt;北海道札幌市北区&lt;/query&gt;
&lt;geodetic&gt;wgs1984&lt;/geodetic&gt;
&lt;iConf&gt;5&lt;/iConf&gt;
&lt;converted&gt;北海道札幌市北区&lt;/converted&gt;
&lt;candidate&gt;
&lt;address&gt;北海道/札幌市/北区&lt;/address&gt;
&lt;longitude&gt;141.340881&lt;/longitude&gt;
&lt;latitude&gt;43.090694&lt;/latitude&gt;
&lt;iLvl&gt;4&lt;/iLvl&gt;
&lt;/candidate&gt;
&lt;/results&gt;
</v>
      </c>
      <c r="F560" cm="1">
        <f t="array" ref="F560">INDEX(_xlfn.FILTERXML(E560,"//latitude"),1)</f>
        <v>43.090693999999999</v>
      </c>
      <c r="G560" cm="1">
        <f t="array" ref="G560">INDEX(_xlfn.FILTERXML(E560,"//longitude"),1)</f>
        <v>141.340881</v>
      </c>
      <c r="H560">
        <v>43.090693999999999</v>
      </c>
      <c r="I560">
        <v>141.340881</v>
      </c>
    </row>
    <row r="561" spans="1:9" x14ac:dyDescent="0.4">
      <c r="A561" t="s">
        <v>13</v>
      </c>
      <c r="B561" t="s">
        <v>700</v>
      </c>
      <c r="C561" t="str">
        <f t="shared" si="41"/>
        <v>兵庫県たつの市御津町苅屋</v>
      </c>
      <c r="D561" s="2" t="str">
        <f t="shared" si="42"/>
        <v>http://geocode.csis.u-tokyo.ac.jp/cgi-bin/simple_geocode.cgi?charset=UTF8&amp;addr=%E5%85%B5%E5%BA%AB%E7%9C%8C%E3%81%9F%E3%81%A4%E3%81%AE%E5%B8%82%E5%BE%A1%E6%B4%A5%E7%94%BA%E8%8B%85%E5%B1%8B</v>
      </c>
      <c r="E561" t="str">
        <f t="shared" si="43"/>
        <v xml:space="preserve">&lt;?xml version="1.0" encoding="UTF-8" ?&gt;
&lt;results&gt;
&lt;query&gt;兵庫県たつの市御津町苅屋&lt;/query&gt;
&lt;geodetic&gt;wgs1984&lt;/geodetic&gt;
&lt;iConf&gt;5&lt;/iConf&gt;
&lt;converted&gt;兵庫県たつの市御津町苅屋&lt;/converted&gt;
&lt;candidate&gt;
&lt;address&gt;兵庫県/たつの市/御津町苅屋&lt;/address&gt;
&lt;longitude&gt;134.568268&lt;/longitude&gt;
&lt;latitude&gt;34.774986&lt;/latitude&gt;
&lt;iLvl&gt;5&lt;/iLvl&gt;
&lt;/candidate&gt;
&lt;/results&gt;
</v>
      </c>
      <c r="F561" cm="1">
        <f t="array" ref="F561">INDEX(_xlfn.FILTERXML(E561,"//latitude"),1)</f>
        <v>34.774985999999998</v>
      </c>
      <c r="G561" cm="1">
        <f t="array" ref="G561">INDEX(_xlfn.FILTERXML(E561,"//longitude"),1)</f>
        <v>134.56826799999999</v>
      </c>
      <c r="H561">
        <v>34.774985999999998</v>
      </c>
      <c r="I561">
        <v>134.56826799999999</v>
      </c>
    </row>
    <row r="562" spans="1:9" x14ac:dyDescent="0.4">
      <c r="A562" t="s">
        <v>95</v>
      </c>
      <c r="B562" t="s">
        <v>701</v>
      </c>
      <c r="C562" t="str">
        <f t="shared" si="41"/>
        <v>福島県福島市</v>
      </c>
      <c r="D562" s="2" t="str">
        <f t="shared" si="42"/>
        <v>http://geocode.csis.u-tokyo.ac.jp/cgi-bin/simple_geocode.cgi?charset=UTF8&amp;addr=%E7%A6%8F%E5%B3%B6%E7%9C%8C%E7%A6%8F%E5%B3%B6%E5%B8%82</v>
      </c>
      <c r="E562" t="str">
        <f t="shared" si="43"/>
        <v xml:space="preserve">&lt;?xml version="1.0" encoding="UTF-8" ?&gt;
&lt;results&gt;
&lt;query&gt;福島県福島市&lt;/query&gt;
&lt;geodetic&gt;wgs1984&lt;/geodetic&gt;
&lt;iConf&gt;5&lt;/iConf&gt;
&lt;converted&gt;福島県福島市&lt;/converted&gt;
&lt;candidate&gt;
&lt;address&gt;福島県/福島市&lt;/address&gt;
&lt;longitude&gt;140.473267&lt;/longitude&gt;
&lt;latitude&gt;37.760757&lt;/latitude&gt;
&lt;iLvl&gt;3&lt;/iLvl&gt;
&lt;/candidate&gt;
&lt;/results&gt;
</v>
      </c>
      <c r="F562" cm="1">
        <f t="array" ref="F562">INDEX(_xlfn.FILTERXML(E562,"//latitude"),1)</f>
        <v>37.760756999999998</v>
      </c>
      <c r="G562" cm="1">
        <f t="array" ref="G562">INDEX(_xlfn.FILTERXML(E562,"//longitude"),1)</f>
        <v>140.47326699999999</v>
      </c>
      <c r="H562">
        <v>37.760756999999998</v>
      </c>
      <c r="I562">
        <v>140.47326699999999</v>
      </c>
    </row>
    <row r="563" spans="1:9" x14ac:dyDescent="0.4">
      <c r="A563" t="s">
        <v>23</v>
      </c>
      <c r="B563" t="s">
        <v>702</v>
      </c>
      <c r="C563" t="str">
        <f t="shared" si="41"/>
        <v>京都府京都市伏見区深草大亀谷八島町</v>
      </c>
      <c r="D563" s="2" t="str">
        <f t="shared" si="42"/>
        <v>http://geocode.csis.u-tokyo.ac.jp/cgi-bin/simple_geocode.cgi?charset=UTF8&amp;addr=%E4%BA%AC%E9%83%BD%E5%BA%9C%E4%BA%AC%E9%83%BD%E5%B8%82%E4%BC%8F%E8%A6%8B%E5%8C%BA%E6%B7%B1%E8%8D%89%E5%A4%A7%E4%BA%80%E8%B0%B7%E5%85%AB%E5%B3%B6%E7%94%BA</v>
      </c>
      <c r="E563" t="str">
        <f t="shared" si="43"/>
        <v xml:space="preserve">&lt;?xml version="1.0" encoding="UTF-8" ?&gt;
&lt;results&gt;
&lt;query&gt;京都府京都市伏見区深草大亀谷八島町&lt;/query&gt;
&lt;geodetic&gt;wgs1984&lt;/geodetic&gt;
&lt;iConf&gt;5&lt;/iConf&gt;
&lt;converted&gt;京都府京都市伏見区深草大亀谷八島町&lt;/converted&gt;
&lt;candidate&gt;
&lt;address&gt;京都府/京都市/伏見区/深草大亀谷八島町&lt;/address&gt;
&lt;longitude&gt;135.773666&lt;/longitude&gt;
&lt;latitude&gt;34.947693&lt;/latitude&gt;
&lt;iLvl&gt;5&lt;/iLvl&gt;
&lt;/candidate&gt;
&lt;/results&gt;
</v>
      </c>
      <c r="F563" cm="1">
        <f t="array" ref="F563">INDEX(_xlfn.FILTERXML(E563,"//latitude"),1)</f>
        <v>34.947693000000001</v>
      </c>
      <c r="G563" cm="1">
        <f t="array" ref="G563">INDEX(_xlfn.FILTERXML(E563,"//longitude"),1)</f>
        <v>135.77366599999999</v>
      </c>
      <c r="H563">
        <v>34.947693000000001</v>
      </c>
      <c r="I563">
        <v>135.77366599999999</v>
      </c>
    </row>
    <row r="564" spans="1:9" x14ac:dyDescent="0.4">
      <c r="A564" t="s">
        <v>10</v>
      </c>
      <c r="B564" t="s">
        <v>703</v>
      </c>
      <c r="C564" t="str">
        <f t="shared" si="41"/>
        <v>神奈川県鎌倉市</v>
      </c>
      <c r="D564" s="2" t="str">
        <f t="shared" si="42"/>
        <v>http://geocode.csis.u-tokyo.ac.jp/cgi-bin/simple_geocode.cgi?charset=UTF8&amp;addr=%E7%A5%9E%E5%A5%88%E5%B7%9D%E7%9C%8C%E9%8E%8C%E5%80%89%E5%B8%82</v>
      </c>
      <c r="E564" t="str">
        <f t="shared" si="43"/>
        <v xml:space="preserve">&lt;?xml version="1.0" encoding="UTF-8" ?&gt;
&lt;results&gt;
&lt;query&gt;神奈川県鎌倉市&lt;/query&gt;
&lt;geodetic&gt;wgs1984&lt;/geodetic&gt;
&lt;iConf&gt;5&lt;/iConf&gt;
&lt;converted&gt;神奈川県鎌倉市&lt;/converted&gt;
&lt;candidate&gt;
&lt;address&gt;神奈川県/鎌倉市&lt;/address&gt;
&lt;longitude&gt;139.546692&lt;/longitude&gt;
&lt;latitude&gt;35.319229&lt;/latitude&gt;
&lt;iLvl&gt;3&lt;/iLvl&gt;
&lt;/candidate&gt;
&lt;/results&gt;
</v>
      </c>
      <c r="F564" cm="1">
        <f t="array" ref="F564">INDEX(_xlfn.FILTERXML(E564,"//latitude"),1)</f>
        <v>35.319229</v>
      </c>
      <c r="G564" cm="1">
        <f t="array" ref="G564">INDEX(_xlfn.FILTERXML(E564,"//longitude"),1)</f>
        <v>139.54669200000001</v>
      </c>
      <c r="H564">
        <v>35.319229</v>
      </c>
      <c r="I564">
        <v>139.54669200000001</v>
      </c>
    </row>
    <row r="565" spans="1:9" x14ac:dyDescent="0.4">
      <c r="A565" t="s">
        <v>26</v>
      </c>
      <c r="B565" t="s">
        <v>704</v>
      </c>
      <c r="C565" t="str">
        <f t="shared" si="41"/>
        <v>岐阜県大垣市笠木町</v>
      </c>
      <c r="D565" s="2" t="str">
        <f t="shared" si="42"/>
        <v>http://geocode.csis.u-tokyo.ac.jp/cgi-bin/simple_geocode.cgi?charset=UTF8&amp;addr=%E5%B2%90%E9%98%9C%E7%9C%8C%E5%A4%A7%E5%9E%A3%E5%B8%82%E7%AC%A0%E6%9C%A8%E7%94%BA</v>
      </c>
      <c r="E565" t="str">
        <f t="shared" si="43"/>
        <v xml:space="preserve">&lt;?xml version="1.0" encoding="UTF-8" ?&gt;
&lt;results&gt;
&lt;query&gt;岐阜県大垣市笠木町&lt;/query&gt;
&lt;geodetic&gt;wgs1984&lt;/geodetic&gt;
&lt;iConf&gt;5&lt;/iConf&gt;
&lt;converted&gt;岐阜県大垣市笠木町&lt;/converted&gt;
&lt;candidate&gt;
&lt;address&gt;岐阜県/大垣市/笠木町&lt;/address&gt;
&lt;longitude&gt;136.598145&lt;/longitude&gt;
&lt;latitude&gt;35.377502&lt;/latitude&gt;
&lt;iLvl&gt;5&lt;/iLvl&gt;
&lt;/candidate&gt;
&lt;/results&gt;
</v>
      </c>
      <c r="F565" cm="1">
        <f t="array" ref="F565">INDEX(_xlfn.FILTERXML(E565,"//latitude"),1)</f>
        <v>35.377502</v>
      </c>
      <c r="G565" cm="1">
        <f t="array" ref="G565">INDEX(_xlfn.FILTERXML(E565,"//longitude"),1)</f>
        <v>136.59814499999999</v>
      </c>
      <c r="H565">
        <v>35.377502</v>
      </c>
      <c r="I565">
        <v>136.59814499999999</v>
      </c>
    </row>
    <row r="566" spans="1:9" x14ac:dyDescent="0.4">
      <c r="A566" t="s">
        <v>85</v>
      </c>
      <c r="B566" t="s">
        <v>705</v>
      </c>
      <c r="C566" t="str">
        <f t="shared" si="41"/>
        <v>奈良県香芝市鎌田</v>
      </c>
      <c r="D566" s="2" t="str">
        <f t="shared" si="42"/>
        <v>http://geocode.csis.u-tokyo.ac.jp/cgi-bin/simple_geocode.cgi?charset=UTF8&amp;addr=%E5%A5%88%E8%89%AF%E7%9C%8C%E9%A6%99%E8%8A%9D%E5%B8%82%E9%8E%8C%E7%94%B0</v>
      </c>
      <c r="E566" t="str">
        <f t="shared" si="43"/>
        <v xml:space="preserve">&lt;?xml version="1.0" encoding="UTF-8" ?&gt;
&lt;results&gt;
&lt;query&gt;奈良県香芝市鎌田&lt;/query&gt;
&lt;geodetic&gt;wgs1984&lt;/geodetic&gt;
&lt;iConf&gt;5&lt;/iConf&gt;
&lt;converted&gt;奈良県香芝市鎌田&lt;/converted&gt;
&lt;candidate&gt;
&lt;address&gt;奈良県/香芝市/鎌田&lt;/address&gt;
&lt;longitude&gt;135.711395&lt;/longitude&gt;
&lt;latitude&gt;34.524376&lt;/latitude&gt;
&lt;iLvl&gt;5&lt;/iLvl&gt;
&lt;/candidate&gt;
&lt;/results&gt;
</v>
      </c>
      <c r="F566" cm="1">
        <f t="array" ref="F566">INDEX(_xlfn.FILTERXML(E566,"//latitude"),1)</f>
        <v>34.524375999999997</v>
      </c>
      <c r="G566" cm="1">
        <f t="array" ref="G566">INDEX(_xlfn.FILTERXML(E566,"//longitude"),1)</f>
        <v>135.71139500000001</v>
      </c>
      <c r="H566">
        <v>34.524375999999997</v>
      </c>
      <c r="I566">
        <v>135.71139500000001</v>
      </c>
    </row>
    <row r="567" spans="1:9" x14ac:dyDescent="0.4">
      <c r="A567" t="s">
        <v>16</v>
      </c>
      <c r="B567" t="s">
        <v>706</v>
      </c>
      <c r="C567" t="str">
        <f t="shared" si="41"/>
        <v>千葉県八千代市勝田台北</v>
      </c>
      <c r="D567" s="2" t="str">
        <f t="shared" si="42"/>
        <v>http://geocode.csis.u-tokyo.ac.jp/cgi-bin/simple_geocode.cgi?charset=UTF8&amp;addr=%E5%8D%83%E8%91%89%E7%9C%8C%E5%85%AB%E5%8D%83%E4%BB%A3%E5%B8%82%E5%8B%9D%E7%94%B0%E5%8F%B0%E5%8C%97</v>
      </c>
      <c r="E567" t="str">
        <f t="shared" si="43"/>
        <v xml:space="preserve">&lt;?xml version="1.0" encoding="UTF-8" ?&gt;
&lt;results&gt;
&lt;query&gt;千葉県八千代市勝田台北&lt;/query&gt;
&lt;geodetic&gt;wgs1984&lt;/geodetic&gt;
&lt;iConf&gt;5&lt;/iConf&gt;
&lt;converted&gt;千葉県八千代市勝田台北&lt;/converted&gt;
&lt;candidate&gt;
&lt;address&gt;千葉県/八千代市/勝田台北&lt;/address&gt;
&lt;longitude&gt;140.122696&lt;/longitude&gt;
&lt;latitude&gt;35.716278&lt;/latitude&gt;
&lt;iLvl&gt;5&lt;/iLvl&gt;
&lt;/candidate&gt;
&lt;/results&gt;
</v>
      </c>
      <c r="F567" cm="1">
        <f t="array" ref="F567">INDEX(_xlfn.FILTERXML(E567,"//latitude"),1)</f>
        <v>35.716278000000003</v>
      </c>
      <c r="G567" cm="1">
        <f t="array" ref="G567">INDEX(_xlfn.FILTERXML(E567,"//longitude"),1)</f>
        <v>140.12269599999999</v>
      </c>
      <c r="H567">
        <v>35.716278000000003</v>
      </c>
      <c r="I567">
        <v>140.12269599999999</v>
      </c>
    </row>
    <row r="568" spans="1:9" x14ac:dyDescent="0.4">
      <c r="A568" t="s">
        <v>10</v>
      </c>
      <c r="B568" t="s">
        <v>707</v>
      </c>
      <c r="C568" t="str">
        <f t="shared" si="41"/>
        <v>神奈川県藤沢市</v>
      </c>
      <c r="D568" s="2" t="str">
        <f t="shared" si="42"/>
        <v>http://geocode.csis.u-tokyo.ac.jp/cgi-bin/simple_geocode.cgi?charset=UTF8&amp;addr=%E7%A5%9E%E5%A5%88%E5%B7%9D%E7%9C%8C%E8%97%A4%E6%B2%A2%E5%B8%82</v>
      </c>
      <c r="E568" t="str">
        <f t="shared" si="43"/>
        <v xml:space="preserve">&lt;?xml version="1.0" encoding="UTF-8" ?&gt;
&lt;results&gt;
&lt;query&gt;神奈川県藤沢市&lt;/query&gt;
&lt;geodetic&gt;wgs1984&lt;/geodetic&gt;
&lt;iConf&gt;5&lt;/iConf&gt;
&lt;converted&gt;神奈川県藤沢市&lt;/converted&gt;
&lt;candidate&gt;
&lt;address&gt;神奈川県/藤沢市&lt;/address&gt;
&lt;longitude&gt;139.491119&lt;/longitude&gt;
&lt;latitude&gt;35.338940&lt;/latitude&gt;
&lt;iLvl&gt;3&lt;/iLvl&gt;
&lt;/candidate&gt;
&lt;/results&gt;
</v>
      </c>
      <c r="F568" cm="1">
        <f t="array" ref="F568">INDEX(_xlfn.FILTERXML(E568,"//latitude"),1)</f>
        <v>35.338940000000001</v>
      </c>
      <c r="G568" cm="1">
        <f t="array" ref="G568">INDEX(_xlfn.FILTERXML(E568,"//longitude"),1)</f>
        <v>139.491119</v>
      </c>
      <c r="H568">
        <v>35.338940000000001</v>
      </c>
      <c r="I568">
        <v>139.491119</v>
      </c>
    </row>
    <row r="569" spans="1:9" x14ac:dyDescent="0.4">
      <c r="A569" t="s">
        <v>9</v>
      </c>
      <c r="B569" t="s">
        <v>708</v>
      </c>
      <c r="C569" t="str">
        <f t="shared" si="41"/>
        <v>東京都立川市西砂町</v>
      </c>
      <c r="D569" s="2" t="str">
        <f t="shared" si="42"/>
        <v>http://geocode.csis.u-tokyo.ac.jp/cgi-bin/simple_geocode.cgi?charset=UTF8&amp;addr=%E6%9D%B1%E4%BA%AC%E9%83%BD%E7%AB%8B%E5%B7%9D%E5%B8%82%E8%A5%BF%E7%A0%82%E7%94%BA</v>
      </c>
      <c r="E569" t="str">
        <f t="shared" si="43"/>
        <v xml:space="preserve">&lt;?xml version="1.0" encoding="UTF-8" ?&gt;
&lt;results&gt;
&lt;query&gt;東京都立川市西砂町&lt;/query&gt;
&lt;geodetic&gt;wgs1984&lt;/geodetic&gt;
&lt;iConf&gt;5&lt;/iConf&gt;
&lt;converted&gt;東京都立川市西砂町&lt;/converted&gt;
&lt;candidate&gt;
&lt;address&gt;東京都/立川市/西砂町&lt;/address&gt;
&lt;longitude&gt;139.369858&lt;/longitude&gt;
&lt;latitude&gt;35.727352&lt;/latitude&gt;
&lt;iLvl&gt;5&lt;/iLvl&gt;
&lt;/candidate&gt;
&lt;/results&gt;
</v>
      </c>
      <c r="F569" cm="1">
        <f t="array" ref="F569">INDEX(_xlfn.FILTERXML(E569,"//latitude"),1)</f>
        <v>35.727352000000003</v>
      </c>
      <c r="G569" cm="1">
        <f t="array" ref="G569">INDEX(_xlfn.FILTERXML(E569,"//longitude"),1)</f>
        <v>139.36985799999999</v>
      </c>
      <c r="H569">
        <v>35.727352000000003</v>
      </c>
      <c r="I569">
        <v>139.36985799999999</v>
      </c>
    </row>
    <row r="570" spans="1:9" x14ac:dyDescent="0.4">
      <c r="A570" t="s">
        <v>194</v>
      </c>
      <c r="B570" t="s">
        <v>709</v>
      </c>
      <c r="C570" t="str">
        <f t="shared" si="41"/>
        <v>沖縄県中頭郡読谷村</v>
      </c>
      <c r="D570" s="2" t="str">
        <f t="shared" si="42"/>
        <v>http://geocode.csis.u-tokyo.ac.jp/cgi-bin/simple_geocode.cgi?charset=UTF8&amp;addr=%E6%B2%96%E7%B8%84%E7%9C%8C%E4%B8%AD%E9%A0%AD%E9%83%A1%E8%AA%AD%E8%B0%B7%E6%9D%91</v>
      </c>
      <c r="E570" t="str">
        <f t="shared" si="43"/>
        <v xml:space="preserve">&lt;?xml version="1.0" encoding="UTF-8" ?&gt;
&lt;results&gt;
&lt;query&gt;沖縄県中頭郡読谷村&lt;/query&gt;
&lt;geodetic&gt;wgs1984&lt;/geodetic&gt;
&lt;iConf&gt;5&lt;/iConf&gt;
&lt;converted&gt;沖縄県中頭郡読谷村&lt;/converted&gt;
&lt;candidate&gt;
&lt;address&gt;沖縄県/中頭郡/読谷村&lt;/address&gt;
&lt;longitude&gt;127.744423&lt;/longitude&gt;
&lt;latitude&gt;26.396154&lt;/latitude&gt;
&lt;iLvl&gt;3&lt;/iLvl&gt;
&lt;/candidate&gt;
&lt;/results&gt;
</v>
      </c>
      <c r="F570" cm="1">
        <f t="array" ref="F570">INDEX(_xlfn.FILTERXML(E570,"//latitude"),1)</f>
        <v>26.396153999999999</v>
      </c>
      <c r="G570" cm="1">
        <f t="array" ref="G570">INDEX(_xlfn.FILTERXML(E570,"//longitude"),1)</f>
        <v>127.744423</v>
      </c>
      <c r="H570">
        <v>26.396153999999999</v>
      </c>
      <c r="I570">
        <v>127.744423</v>
      </c>
    </row>
    <row r="571" spans="1:9" x14ac:dyDescent="0.4">
      <c r="A571" t="s">
        <v>9</v>
      </c>
      <c r="B571" t="s">
        <v>172</v>
      </c>
      <c r="C571" t="str">
        <f t="shared" si="41"/>
        <v>東京都日野市</v>
      </c>
      <c r="D571" s="2" t="str">
        <f t="shared" si="42"/>
        <v>http://geocode.csis.u-tokyo.ac.jp/cgi-bin/simple_geocode.cgi?charset=UTF8&amp;addr=%E6%9D%B1%E4%BA%AC%E9%83%BD%E6%97%A5%E9%87%8E%E5%B8%82</v>
      </c>
      <c r="E571" t="str">
        <f t="shared" si="43"/>
        <v xml:space="preserve">&lt;?xml version="1.0" encoding="UTF-8" ?&gt;
&lt;results&gt;
&lt;query&gt;東京都日野市&lt;/query&gt;
&lt;geodetic&gt;wgs1984&lt;/geodetic&gt;
&lt;iConf&gt;5&lt;/iConf&gt;
&lt;converted&gt;東京都日野市&lt;/converted&gt;
&lt;candidate&gt;
&lt;address&gt;東京都/日野市&lt;/address&gt;
&lt;longitude&gt;139.394974&lt;/longitude&gt;
&lt;latitude&gt;35.671349&lt;/latitude&gt;
&lt;iLvl&gt;3&lt;/iLvl&gt;
&lt;/candidate&gt;
&lt;/results&gt;
</v>
      </c>
      <c r="F571" cm="1">
        <f t="array" ref="F571">INDEX(_xlfn.FILTERXML(E571,"//latitude"),1)</f>
        <v>35.671348999999999</v>
      </c>
      <c r="G571" cm="1">
        <f t="array" ref="G571">INDEX(_xlfn.FILTERXML(E571,"//longitude"),1)</f>
        <v>139.39497399999999</v>
      </c>
      <c r="H571">
        <v>35.671348999999999</v>
      </c>
      <c r="I571">
        <v>139.39497399999999</v>
      </c>
    </row>
    <row r="572" spans="1:9" x14ac:dyDescent="0.4">
      <c r="A572" t="s">
        <v>9</v>
      </c>
      <c r="B572" t="s">
        <v>710</v>
      </c>
      <c r="C572" t="str">
        <f t="shared" si="41"/>
        <v>東京都目黒区自由が丘1-24-6</v>
      </c>
      <c r="D572" s="2" t="str">
        <f t="shared" si="42"/>
        <v>http://geocode.csis.u-tokyo.ac.jp/cgi-bin/simple_geocode.cgi?charset=UTF8&amp;addr=%E6%9D%B1%E4%BA%AC%E9%83%BD%E7%9B%AE%E9%BB%92%E5%8C%BA%E8%87%AA%E7%94%B1%E3%81%8C%E4%B8%981-24-6</v>
      </c>
      <c r="E572" t="str">
        <f t="shared" si="43"/>
        <v xml:space="preserve">&lt;?xml version="1.0" encoding="UTF-8" ?&gt;
&lt;results&gt;
&lt;query&gt;東京都目黒区自由が丘1-24-6&lt;/query&gt;
&lt;geodetic&gt;wgs1984&lt;/geodetic&gt;
&lt;iConf&gt;5&lt;/iConf&gt;
&lt;converted&gt;東京都目黒区自由が丘1-24-6&lt;/converted&gt;
&lt;candidate&gt;
&lt;address&gt;東京都/目黒区/自由が丘/一丁目/２４番/６号&lt;/address&gt;
&lt;longitude&gt;139.669876&lt;/longitude&gt;
&lt;latitude&gt;35.610168&lt;/latitude&gt;
&lt;iLvl&gt;8&lt;/iLvl&gt;
&lt;/candidate&gt;
&lt;/results&gt;
</v>
      </c>
      <c r="F572" cm="1">
        <f t="array" ref="F572">INDEX(_xlfn.FILTERXML(E572,"//latitude"),1)</f>
        <v>35.610168000000002</v>
      </c>
      <c r="G572" cm="1">
        <f t="array" ref="G572">INDEX(_xlfn.FILTERXML(E572,"//longitude"),1)</f>
        <v>139.66987599999999</v>
      </c>
      <c r="H572">
        <v>35.610168000000002</v>
      </c>
      <c r="I572">
        <v>139.66987599999999</v>
      </c>
    </row>
    <row r="573" spans="1:9" x14ac:dyDescent="0.4">
      <c r="A573" t="s">
        <v>194</v>
      </c>
      <c r="B573" t="s">
        <v>711</v>
      </c>
      <c r="C573" t="str">
        <f t="shared" si="41"/>
        <v>沖縄県読谷村伊良皆428-3</v>
      </c>
      <c r="D573" s="2" t="str">
        <f t="shared" si="42"/>
        <v>http://geocode.csis.u-tokyo.ac.jp/cgi-bin/simple_geocode.cgi?charset=UTF8&amp;addr=%E6%B2%96%E7%B8%84%E7%9C%8C%E8%AA%AD%E8%B0%B7%E6%9D%91%E4%BC%8A%E8%89%AF%E7%9A%86428-3</v>
      </c>
      <c r="E573" t="str">
        <f t="shared" si="43"/>
        <v xml:space="preserve">&lt;?xml version="1.0" encoding="UTF-8" ?&gt;
&lt;results&gt;
&lt;query&gt;沖縄県読谷村伊良皆428-3&lt;/query&gt;
&lt;geodetic&gt;wgs1984&lt;/geodetic&gt;
&lt;iConf&gt;5&lt;/iConf&gt;
&lt;converted&gt;沖縄県読谷村伊良皆428-&lt;/converted&gt;
&lt;candidate&gt;
&lt;address&gt;沖縄県/中頭郡/読谷村/伊良皆/４２８番地&lt;/address&gt;
&lt;longitude&gt;127.750671&lt;/longitude&gt;
&lt;latitude&gt;26.384045&lt;/latitude&gt;
&lt;iLvl&gt;7&lt;/iLvl&gt;
&lt;/candidate&gt;
&lt;/results&gt;
</v>
      </c>
      <c r="F573" cm="1">
        <f t="array" ref="F573">INDEX(_xlfn.FILTERXML(E573,"//latitude"),1)</f>
        <v>26.384045</v>
      </c>
      <c r="G573" cm="1">
        <f t="array" ref="G573">INDEX(_xlfn.FILTERXML(E573,"//longitude"),1)</f>
        <v>127.750671</v>
      </c>
      <c r="H573">
        <v>26.384045</v>
      </c>
      <c r="I573">
        <v>127.750671</v>
      </c>
    </row>
    <row r="574" spans="1:9" x14ac:dyDescent="0.4">
      <c r="A574" t="s">
        <v>13</v>
      </c>
      <c r="B574" t="s">
        <v>712</v>
      </c>
      <c r="C574" t="str">
        <f t="shared" si="41"/>
        <v>兵庫県神戸市垂水区山手</v>
      </c>
      <c r="D574" s="2" t="str">
        <f t="shared" si="42"/>
        <v>http://geocode.csis.u-tokyo.ac.jp/cgi-bin/simple_geocode.cgi?charset=UTF8&amp;addr=%E5%85%B5%E5%BA%AB%E7%9C%8C%E7%A5%9E%E6%88%B8%E5%B8%82%E5%9E%82%E6%B0%B4%E5%8C%BA%E5%B1%B1%E6%89%8B</v>
      </c>
      <c r="E574" t="str">
        <f t="shared" si="43"/>
        <v xml:space="preserve">&lt;?xml version="1.0" encoding="UTF-8" ?&gt;
&lt;results&gt;
&lt;query&gt;兵庫県神戸市垂水区山手&lt;/query&gt;
&lt;geodetic&gt;wgs1984&lt;/geodetic&gt;
&lt;iConf&gt;5&lt;/iConf&gt;
&lt;converted&gt;兵庫県神戸市垂水区山手&lt;/converted&gt;
&lt;candidate&gt;
&lt;address&gt;兵庫県/神戸市/垂水区/山手&lt;/address&gt;
&lt;longitude&gt;135.063263&lt;/longitude&gt;
&lt;latitude&gt;34.629765&lt;/latitude&gt;
&lt;iLvl&gt;5&lt;/iLvl&gt;
&lt;/candidate&gt;
&lt;/results&gt;
</v>
      </c>
      <c r="F574" cm="1">
        <f t="array" ref="F574">INDEX(_xlfn.FILTERXML(E574,"//latitude"),1)</f>
        <v>34.629764999999999</v>
      </c>
      <c r="G574" cm="1">
        <f t="array" ref="G574">INDEX(_xlfn.FILTERXML(E574,"//longitude"),1)</f>
        <v>135.06326300000001</v>
      </c>
      <c r="H574" s="3">
        <v>34.629764999999999</v>
      </c>
      <c r="I574" s="3">
        <v>135.06326300000001</v>
      </c>
    </row>
    <row r="575" spans="1:9" x14ac:dyDescent="0.4">
      <c r="A575" t="s">
        <v>28</v>
      </c>
      <c r="B575" t="s">
        <v>713</v>
      </c>
      <c r="C575" t="str">
        <f t="shared" si="41"/>
        <v>三重県津市河辺町</v>
      </c>
      <c r="D575" s="2" t="str">
        <f t="shared" si="42"/>
        <v>http://geocode.csis.u-tokyo.ac.jp/cgi-bin/simple_geocode.cgi?charset=UTF8&amp;addr=%E4%B8%89%E9%87%8D%E7%9C%8C%E6%B4%A5%E5%B8%82%E6%B2%B3%E8%BE%BA%E7%94%BA</v>
      </c>
      <c r="E575" t="str">
        <f t="shared" si="43"/>
        <v xml:space="preserve">&lt;?xml version="1.0" encoding="UTF-8" ?&gt;
&lt;results&gt;
&lt;query&gt;三重県津市河辺町&lt;/query&gt;
&lt;geodetic&gt;wgs1984&lt;/geodetic&gt;
&lt;iConf&gt;5&lt;/iConf&gt;
&lt;converted&gt;三重県津市河辺町&lt;/converted&gt;
&lt;candidate&gt;
&lt;address&gt;三重県/津市/河辺町&lt;/address&gt;
&lt;longitude&gt;136.480408&lt;/longitude&gt;
&lt;latitude&gt;34.745361&lt;/latitude&gt;
&lt;iLvl&gt;5&lt;/iLvl&gt;
&lt;/candidate&gt;
&lt;/results&gt;
</v>
      </c>
      <c r="F575" cm="1">
        <f t="array" ref="F575">INDEX(_xlfn.FILTERXML(E575,"//latitude"),1)</f>
        <v>34.745361000000003</v>
      </c>
      <c r="G575" cm="1">
        <f t="array" ref="G575">INDEX(_xlfn.FILTERXML(E575,"//longitude"),1)</f>
        <v>136.48040800000001</v>
      </c>
      <c r="H575">
        <v>34.745361000000003</v>
      </c>
      <c r="I575">
        <v>136.48040800000001</v>
      </c>
    </row>
    <row r="576" spans="1:9" x14ac:dyDescent="0.4">
      <c r="A576" t="s">
        <v>9</v>
      </c>
      <c r="B576" t="s">
        <v>714</v>
      </c>
      <c r="C576" t="str">
        <f t="shared" si="41"/>
        <v>東京都大田区大森西</v>
      </c>
      <c r="D576" s="2" t="str">
        <f t="shared" si="42"/>
        <v>http://geocode.csis.u-tokyo.ac.jp/cgi-bin/simple_geocode.cgi?charset=UTF8&amp;addr=%E6%9D%B1%E4%BA%AC%E9%83%BD%E5%A4%A7%E7%94%B0%E5%8C%BA%E5%A4%A7%E6%A3%AE%E8%A5%BF</v>
      </c>
      <c r="E576" t="str">
        <f t="shared" si="43"/>
        <v xml:space="preserve">&lt;?xml version="1.0" encoding="UTF-8" ?&gt;
&lt;results&gt;
&lt;query&gt;東京都大田区大森西&lt;/query&gt;
&lt;geodetic&gt;wgs1984&lt;/geodetic&gt;
&lt;iConf&gt;5&lt;/iConf&gt;
&lt;converted&gt;東京都大田区大森西&lt;/converted&gt;
&lt;candidate&gt;
&lt;address&gt;東京都/大田区/大森西&lt;/address&gt;
&lt;longitude&gt;139.724670&lt;/longitude&gt;
&lt;latitude&gt;35.577538&lt;/latitude&gt;
&lt;iLvl&gt;5&lt;/iLvl&gt;
&lt;/candidate&gt;
&lt;/results&gt;
</v>
      </c>
      <c r="F576" cm="1">
        <f t="array" ref="F576">INDEX(_xlfn.FILTERXML(E576,"//latitude"),1)</f>
        <v>35.577537999999997</v>
      </c>
      <c r="G576" cm="1">
        <f t="array" ref="G576">INDEX(_xlfn.FILTERXML(E576,"//longitude"),1)</f>
        <v>139.72467</v>
      </c>
      <c r="H576">
        <v>35.577537999999997</v>
      </c>
      <c r="I576">
        <v>139.72467</v>
      </c>
    </row>
    <row r="577" spans="1:9" x14ac:dyDescent="0.4">
      <c r="A577" t="s">
        <v>15</v>
      </c>
      <c r="B577" t="s">
        <v>443</v>
      </c>
      <c r="C577" t="str">
        <f t="shared" si="41"/>
        <v>愛知県名古屋市中川区服部</v>
      </c>
      <c r="D577" s="2" t="str">
        <f t="shared" si="42"/>
        <v>http://geocode.csis.u-tokyo.ac.jp/cgi-bin/simple_geocode.cgi?charset=UTF8&amp;addr=%E6%84%9B%E7%9F%A5%E7%9C%8C%E5%90%8D%E5%8F%A4%E5%B1%8B%E5%B8%82%E4%B8%AD%E5%B7%9D%E5%8C%BA%E6%9C%8D%E9%83%A8</v>
      </c>
      <c r="E577" t="str">
        <f t="shared" si="43"/>
        <v xml:space="preserve">&lt;?xml version="1.0" encoding="UTF-8" ?&gt;
&lt;results&gt;
&lt;query&gt;愛知県名古屋市中川区服部&lt;/query&gt;
&lt;geodetic&gt;wgs1984&lt;/geodetic&gt;
&lt;iConf&gt;5&lt;/iConf&gt;
&lt;converted&gt;愛知県名古屋市中川区服部&lt;/converted&gt;
&lt;candidate&gt;
&lt;address&gt;愛知県/名古屋市/中川区/服部&lt;/address&gt;
&lt;longitude&gt;136.816986&lt;/longitude&gt;
&lt;latitude&gt;35.151382&lt;/latitude&gt;
&lt;iLvl&gt;5&lt;/iLvl&gt;
&lt;/candidate&gt;
&lt;/results&gt;
</v>
      </c>
      <c r="F577" cm="1">
        <f t="array" ref="F577">INDEX(_xlfn.FILTERXML(E577,"//latitude"),1)</f>
        <v>35.151381999999998</v>
      </c>
      <c r="G577" cm="1">
        <f t="array" ref="G577">INDEX(_xlfn.FILTERXML(E577,"//longitude"),1)</f>
        <v>136.81698600000001</v>
      </c>
      <c r="H577">
        <v>35.151381999999998</v>
      </c>
      <c r="I577">
        <v>136.81698600000001</v>
      </c>
    </row>
    <row r="578" spans="1:9" x14ac:dyDescent="0.4">
      <c r="A578" t="s">
        <v>164</v>
      </c>
      <c r="B578" t="s">
        <v>444</v>
      </c>
      <c r="C578" t="str">
        <f t="shared" si="41"/>
        <v>広島県呉市広白岳6丁目</v>
      </c>
      <c r="D578" s="2" t="str">
        <f t="shared" si="42"/>
        <v>http://geocode.csis.u-tokyo.ac.jp/cgi-bin/simple_geocode.cgi?charset=UTF8&amp;addr=%E5%BA%83%E5%B3%B6%E7%9C%8C%E5%91%89%E5%B8%82%E5%BA%83%E7%99%BD%E5%B2%B36%E4%B8%81%E7%9B%AE</v>
      </c>
      <c r="E578" t="str">
        <f t="shared" si="43"/>
        <v xml:space="preserve">&lt;?xml version="1.0" encoding="UTF-8" ?&gt;
&lt;results&gt;
&lt;query&gt;広島県呉市広白岳6丁目&lt;/query&gt;
&lt;geodetic&gt;wgs1984&lt;/geodetic&gt;
&lt;iConf&gt;5&lt;/iConf&gt;
&lt;converted&gt;広島県呉市広白岳6丁目&lt;/converted&gt;
&lt;candidate&gt;
&lt;address&gt;広島県/呉市/広白岳/六丁目&lt;/address&gt;
&lt;longitude&gt;132.641586&lt;/longitude&gt;
&lt;latitude&gt;34.222805&lt;/latitude&gt;
&lt;iLvl&gt;6&lt;/iLvl&gt;
&lt;/candidate&gt;
&lt;/results&gt;
</v>
      </c>
      <c r="F578" cm="1">
        <f t="array" ref="F578">INDEX(_xlfn.FILTERXML(E578,"//latitude"),1)</f>
        <v>34.222805000000001</v>
      </c>
      <c r="G578" cm="1">
        <f t="array" ref="G578">INDEX(_xlfn.FILTERXML(E578,"//longitude"),1)</f>
        <v>132.64158599999999</v>
      </c>
      <c r="H578">
        <v>34.222805000000001</v>
      </c>
      <c r="I578">
        <v>132.64158599999999</v>
      </c>
    </row>
    <row r="579" spans="1:9" x14ac:dyDescent="0.4">
      <c r="A579" t="s">
        <v>91</v>
      </c>
      <c r="B579" t="s">
        <v>715</v>
      </c>
      <c r="C579" t="str">
        <f t="shared" si="41"/>
        <v>徳島県徳島市佐古7番町</v>
      </c>
      <c r="D579" s="2" t="str">
        <f t="shared" si="42"/>
        <v>http://geocode.csis.u-tokyo.ac.jp/cgi-bin/simple_geocode.cgi?charset=UTF8&amp;addr=%E5%BE%B3%E5%B3%B6%E7%9C%8C%E5%BE%B3%E5%B3%B6%E5%B8%82%E4%BD%90%E5%8F%A47%E7%95%AA%E7%94%BA</v>
      </c>
      <c r="E579" t="str">
        <f t="shared" si="43"/>
        <v xml:space="preserve">&lt;?xml version="1.0" encoding="UTF-8" ?&gt;
&lt;results&gt;
&lt;query&gt;徳島県徳島市佐古7番町&lt;/query&gt;
&lt;geodetic&gt;wgs1984&lt;/geodetic&gt;
&lt;iConf&gt;5&lt;/iConf&gt;
&lt;converted&gt;徳島県徳島市佐古7番町&lt;/converted&gt;
&lt;candidate&gt;
&lt;address&gt;徳島県/徳島市/佐古七番町&lt;/address&gt;
&lt;longitude&gt;134.524231&lt;/longitude&gt;
&lt;latitude&gt;34.078068&lt;/latitude&gt;
&lt;iLvl&gt;5&lt;/iLvl&gt;
&lt;/candidate&gt;
&lt;/results&gt;
</v>
      </c>
      <c r="F579" cm="1">
        <f t="array" ref="F579">INDEX(_xlfn.FILTERXML(E579,"//latitude"),1)</f>
        <v>34.078068000000002</v>
      </c>
      <c r="G579" cm="1">
        <f t="array" ref="G579">INDEX(_xlfn.FILTERXML(E579,"//longitude"),1)</f>
        <v>134.52423099999999</v>
      </c>
      <c r="H579">
        <v>34.078068000000002</v>
      </c>
      <c r="I579">
        <v>134.52423099999999</v>
      </c>
    </row>
    <row r="580" spans="1:9" x14ac:dyDescent="0.4">
      <c r="A580" t="s">
        <v>10</v>
      </c>
      <c r="B580" t="s">
        <v>397</v>
      </c>
      <c r="C580" t="str">
        <f t="shared" si="41"/>
        <v>神奈川県川崎市麻生区上麻生</v>
      </c>
      <c r="D580" s="2" t="str">
        <f t="shared" si="42"/>
        <v>http://geocode.csis.u-tokyo.ac.jp/cgi-bin/simple_geocode.cgi?charset=UTF8&amp;addr=%E7%A5%9E%E5%A5%88%E5%B7%9D%E7%9C%8C%E5%B7%9D%E5%B4%8E%E5%B8%82%E9%BA%BB%E7%94%9F%E5%8C%BA%E4%B8%8A%E9%BA%BB%E7%94%9F</v>
      </c>
      <c r="E580" t="str">
        <f t="shared" si="43"/>
        <v xml:space="preserve">&lt;?xml version="1.0" encoding="UTF-8" ?&gt;
&lt;results&gt;
&lt;query&gt;神奈川県川崎市麻生区上麻生&lt;/query&gt;
&lt;geodetic&gt;wgs1984&lt;/geodetic&gt;
&lt;iConf&gt;5&lt;/iConf&gt;
&lt;converted&gt;神奈川県川崎市麻生区上麻生&lt;/converted&gt;
&lt;candidate&gt;
&lt;address&gt;神奈川県/川崎市/麻生区/上麻生&lt;/address&gt;
&lt;longitude&gt;139.508102&lt;/longitude&gt;
&lt;latitude&gt;35.601963&lt;/latitude&gt;
&lt;iLvl&gt;5&lt;/iLvl&gt;
&lt;/candidate&gt;
&lt;/results&gt;
</v>
      </c>
      <c r="F580" cm="1">
        <f t="array" ref="F580">INDEX(_xlfn.FILTERXML(E580,"//latitude"),1)</f>
        <v>35.601962999999998</v>
      </c>
      <c r="G580" cm="1">
        <f t="array" ref="G580">INDEX(_xlfn.FILTERXML(E580,"//longitude"),1)</f>
        <v>139.50810200000001</v>
      </c>
      <c r="H580">
        <v>35.601962999999998</v>
      </c>
      <c r="I580">
        <v>139.50810200000001</v>
      </c>
    </row>
    <row r="581" spans="1:9" x14ac:dyDescent="0.4">
      <c r="A581" t="s">
        <v>166</v>
      </c>
      <c r="B581" t="s">
        <v>406</v>
      </c>
      <c r="C581" t="str">
        <f t="shared" si="41"/>
        <v>鹿児島県奄美市名瀬港町</v>
      </c>
      <c r="D581" s="2" t="str">
        <f t="shared" si="42"/>
        <v>http://geocode.csis.u-tokyo.ac.jp/cgi-bin/simple_geocode.cgi?charset=UTF8&amp;addr=%E9%B9%BF%E5%85%90%E5%B3%B6%E7%9C%8C%E5%A5%84%E7%BE%8E%E5%B8%82%E5%90%8D%E7%80%AC%E6%B8%AF%E7%94%BA</v>
      </c>
      <c r="E581" t="str">
        <f t="shared" si="43"/>
        <v xml:space="preserve">&lt;?xml version="1.0" encoding="UTF-8" ?&gt;
&lt;results&gt;
&lt;query&gt;鹿児島県奄美市名瀬港町&lt;/query&gt;
&lt;geodetic&gt;wgs1984&lt;/geodetic&gt;
&lt;iConf&gt;5&lt;/iConf&gt;
&lt;converted&gt;鹿児島県奄美市名瀬港町&lt;/converted&gt;
&lt;candidate&gt;
&lt;address&gt;鹿児島県/奄美市/名瀬港町&lt;/address&gt;
&lt;longitude&gt;129.496017&lt;/longitude&gt;
&lt;latitude&gt;28.380562&lt;/latitude&gt;
&lt;iLvl&gt;5&lt;/iLvl&gt;
&lt;/candidate&gt;
&lt;/results&gt;
</v>
      </c>
      <c r="F581" cm="1">
        <f t="array" ref="F581">INDEX(_xlfn.FILTERXML(E581,"//latitude"),1)</f>
        <v>28.380562000000001</v>
      </c>
      <c r="G581" cm="1">
        <f t="array" ref="G581">INDEX(_xlfn.FILTERXML(E581,"//longitude"),1)</f>
        <v>129.49601699999999</v>
      </c>
      <c r="H581">
        <v>28.380562000000001</v>
      </c>
      <c r="I581">
        <v>129.49601699999999</v>
      </c>
    </row>
    <row r="582" spans="1:9" x14ac:dyDescent="0.4">
      <c r="A582" t="s">
        <v>40</v>
      </c>
      <c r="B582" t="s">
        <v>399</v>
      </c>
      <c r="C582" t="str">
        <f t="shared" ref="C582:C645" si="44">+A582&amp;B582</f>
        <v>長崎県佐世保市三浦町６番６号</v>
      </c>
      <c r="D582" s="2" t="str">
        <f t="shared" ref="D582:D645" si="45" xml:space="preserve"> "http://geocode.csis.u-tokyo.ac.jp/cgi-bin/simple_geocode.cgi?charset=UTF8&amp;addr=" &amp; _xlfn.ENCODEURL(C582)</f>
        <v>http://geocode.csis.u-tokyo.ac.jp/cgi-bin/simple_geocode.cgi?charset=UTF8&amp;addr=%E9%95%B7%E5%B4%8E%E7%9C%8C%E4%BD%90%E4%B8%96%E4%BF%9D%E5%B8%82%E4%B8%89%E6%B5%A6%E7%94%BA%EF%BC%96%E7%95%AA%EF%BC%96%E5%8F%B7</v>
      </c>
      <c r="E582" t="str">
        <f t="shared" ref="E582:E645" si="46" xml:space="preserve"> _xlfn.WEBSERVICE(D582)</f>
        <v xml:space="preserve">&lt;?xml version="1.0" encoding="UTF-8" ?&gt;
&lt;results&gt;
&lt;query&gt;長崎県佐世保市三浦町６番６号&lt;/query&gt;
&lt;geodetic&gt;wgs1984&lt;/geodetic&gt;
&lt;iConf&gt;5&lt;/iConf&gt;
&lt;converted&gt;長崎県佐世保市三浦町６番６号&lt;/converted&gt;
&lt;candidate&gt;
&lt;address&gt;長崎県/佐世保市/三浦町/６番/６号&lt;/address&gt;
&lt;longitude&gt;129.725739&lt;/longitude&gt;
&lt;latitude&gt;33.166828&lt;/latitude&gt;
&lt;iLvl&gt;8&lt;/iLvl&gt;
&lt;/candidate&gt;
&lt;/results&gt;
</v>
      </c>
      <c r="F582" cm="1">
        <f t="array" ref="F582">INDEX(_xlfn.FILTERXML(E582,"//latitude"),1)</f>
        <v>33.166828000000002</v>
      </c>
      <c r="G582" cm="1">
        <f t="array" ref="G582">INDEX(_xlfn.FILTERXML(E582,"//longitude"),1)</f>
        <v>129.725739</v>
      </c>
      <c r="H582">
        <v>33.166828000000002</v>
      </c>
      <c r="I582">
        <v>129.725739</v>
      </c>
    </row>
    <row r="583" spans="1:9" x14ac:dyDescent="0.4">
      <c r="A583" t="s">
        <v>9</v>
      </c>
      <c r="B583" t="s">
        <v>400</v>
      </c>
      <c r="C583" t="str">
        <f t="shared" si="44"/>
        <v>東京都品川区西五反田</v>
      </c>
      <c r="D583" s="2" t="str">
        <f t="shared" si="45"/>
        <v>http://geocode.csis.u-tokyo.ac.jp/cgi-bin/simple_geocode.cgi?charset=UTF8&amp;addr=%E6%9D%B1%E4%BA%AC%E9%83%BD%E5%93%81%E5%B7%9D%E5%8C%BA%E8%A5%BF%E4%BA%94%E5%8F%8D%E7%94%B0</v>
      </c>
      <c r="E583" t="str">
        <f t="shared" si="46"/>
        <v xml:space="preserve">&lt;?xml version="1.0" encoding="UTF-8" ?&gt;
&lt;results&gt;
&lt;query&gt;東京都品川区西五反田&lt;/query&gt;
&lt;geodetic&gt;wgs1984&lt;/geodetic&gt;
&lt;iConf&gt;5&lt;/iConf&gt;
&lt;converted&gt;東京都品川区西五反田&lt;/converted&gt;
&lt;candidate&gt;
&lt;address&gt;東京都/品川区/西五反田&lt;/address&gt;
&lt;longitude&gt;139.723129&lt;/longitude&gt;
&lt;latitude&gt;35.624512&lt;/latitude&gt;
&lt;iLvl&gt;5&lt;/iLvl&gt;
&lt;/candidate&gt;
&lt;/results&gt;
</v>
      </c>
      <c r="F583" cm="1">
        <f t="array" ref="F583">INDEX(_xlfn.FILTERXML(E583,"//latitude"),1)</f>
        <v>35.624512000000003</v>
      </c>
      <c r="G583" cm="1">
        <f t="array" ref="G583">INDEX(_xlfn.FILTERXML(E583,"//longitude"),1)</f>
        <v>139.723129</v>
      </c>
      <c r="H583">
        <v>35.624512000000003</v>
      </c>
      <c r="I583">
        <v>139.723129</v>
      </c>
    </row>
    <row r="584" spans="1:9" x14ac:dyDescent="0.4">
      <c r="A584" t="s">
        <v>24</v>
      </c>
      <c r="B584" t="s">
        <v>445</v>
      </c>
      <c r="C584" t="str">
        <f t="shared" si="44"/>
        <v>静岡県菊川市下平川</v>
      </c>
      <c r="D584" s="2" t="str">
        <f t="shared" si="45"/>
        <v>http://geocode.csis.u-tokyo.ac.jp/cgi-bin/simple_geocode.cgi?charset=UTF8&amp;addr=%E9%9D%99%E5%B2%A1%E7%9C%8C%E8%8F%8A%E5%B7%9D%E5%B8%82%E4%B8%8B%E5%B9%B3%E5%B7%9D</v>
      </c>
      <c r="E584" t="str">
        <f t="shared" si="46"/>
        <v xml:space="preserve">&lt;?xml version="1.0" encoding="UTF-8" ?&gt;
&lt;results&gt;
&lt;query&gt;静岡県菊川市下平川&lt;/query&gt;
&lt;geodetic&gt;wgs1984&lt;/geodetic&gt;
&lt;iConf&gt;5&lt;/iConf&gt;
&lt;converted&gt;静岡県菊川市下平川&lt;/converted&gt;
&lt;candidate&gt;
&lt;address&gt;静岡県/菊川市/下平川&lt;/address&gt;
&lt;longitude&gt;138.088577&lt;/longitude&gt;
&lt;latitude&gt;34.707043&lt;/latitude&gt;
&lt;iLvl&gt;5&lt;/iLvl&gt;
&lt;/candidate&gt;
&lt;/results&gt;
</v>
      </c>
      <c r="F584" cm="1">
        <f t="array" ref="F584">INDEX(_xlfn.FILTERXML(E584,"//latitude"),1)</f>
        <v>34.707042999999999</v>
      </c>
      <c r="G584" cm="1">
        <f t="array" ref="G584">INDEX(_xlfn.FILTERXML(E584,"//longitude"),1)</f>
        <v>138.08857699999999</v>
      </c>
      <c r="H584">
        <v>34.707042999999999</v>
      </c>
      <c r="I584">
        <v>138.08857699999999</v>
      </c>
    </row>
    <row r="585" spans="1:9" x14ac:dyDescent="0.4">
      <c r="A585" t="s">
        <v>12</v>
      </c>
      <c r="B585" t="s">
        <v>716</v>
      </c>
      <c r="C585" t="str">
        <f t="shared" si="44"/>
        <v>埼玉県鴻巣市宮前</v>
      </c>
      <c r="D585" s="2" t="str">
        <f t="shared" si="45"/>
        <v>http://geocode.csis.u-tokyo.ac.jp/cgi-bin/simple_geocode.cgi?charset=UTF8&amp;addr=%E5%9F%BC%E7%8E%89%E7%9C%8C%E9%B4%BB%E5%B7%A3%E5%B8%82%E5%AE%AE%E5%89%8D</v>
      </c>
      <c r="E585" t="str">
        <f t="shared" si="46"/>
        <v xml:space="preserve">&lt;?xml version="1.0" encoding="UTF-8" ?&gt;
&lt;results&gt;
&lt;query&gt;埼玉県鴻巣市宮前&lt;/query&gt;
&lt;geodetic&gt;wgs1984&lt;/geodetic&gt;
&lt;iConf&gt;5&lt;/iConf&gt;
&lt;converted&gt;埼玉県鴻巣市宮前&lt;/converted&gt;
&lt;candidate&gt;
&lt;address&gt;埼玉県/鴻巣市/宮前&lt;/address&gt;
&lt;longitude&gt;139.488907&lt;/longitude&gt;
&lt;latitude&gt;36.070850&lt;/latitude&gt;
&lt;iLvl&gt;5&lt;/iLvl&gt;
&lt;/candidate&gt;
&lt;/results&gt;
</v>
      </c>
      <c r="F585" cm="1">
        <f t="array" ref="F585">INDEX(_xlfn.FILTERXML(E585,"//latitude"),1)</f>
        <v>36.07085</v>
      </c>
      <c r="G585" cm="1">
        <f t="array" ref="G585">INDEX(_xlfn.FILTERXML(E585,"//longitude"),1)</f>
        <v>139.48890700000001</v>
      </c>
      <c r="H585">
        <v>36.07085</v>
      </c>
      <c r="I585">
        <v>139.48890700000001</v>
      </c>
    </row>
    <row r="586" spans="1:9" x14ac:dyDescent="0.4">
      <c r="A586" t="s">
        <v>16</v>
      </c>
      <c r="B586" t="s">
        <v>188</v>
      </c>
      <c r="C586" t="str">
        <f t="shared" si="44"/>
        <v>千葉県船橋市</v>
      </c>
      <c r="D586" s="2" t="str">
        <f t="shared" si="45"/>
        <v>http://geocode.csis.u-tokyo.ac.jp/cgi-bin/simple_geocode.cgi?charset=UTF8&amp;addr=%E5%8D%83%E8%91%89%E7%9C%8C%E8%88%B9%E6%A9%8B%E5%B8%82</v>
      </c>
      <c r="E586" t="str">
        <f t="shared" si="46"/>
        <v xml:space="preserve">&lt;?xml version="1.0" encoding="UTF-8" ?&gt;
&lt;results&gt;
&lt;query&gt;千葉県船橋市&lt;/query&gt;
&lt;geodetic&gt;wgs1984&lt;/geodetic&gt;
&lt;iConf&gt;5&lt;/iConf&gt;
&lt;converted&gt;千葉県船橋市&lt;/converted&gt;
&lt;candidate&gt;
&lt;address&gt;千葉県/船橋市&lt;/address&gt;
&lt;longitude&gt;139.982620&lt;/longitude&gt;
&lt;latitude&gt;35.694710&lt;/latitude&gt;
&lt;iLvl&gt;3&lt;/iLvl&gt;
&lt;/candidate&gt;
&lt;/results&gt;
</v>
      </c>
      <c r="F586" cm="1">
        <f t="array" ref="F586">INDEX(_xlfn.FILTERXML(E586,"//latitude"),1)</f>
        <v>35.694710000000001</v>
      </c>
      <c r="G586" cm="1">
        <f t="array" ref="G586">INDEX(_xlfn.FILTERXML(E586,"//longitude"),1)</f>
        <v>139.98262</v>
      </c>
      <c r="H586">
        <v>35.694710000000001</v>
      </c>
      <c r="I586">
        <v>139.98262</v>
      </c>
    </row>
    <row r="587" spans="1:9" x14ac:dyDescent="0.4">
      <c r="A587" t="s">
        <v>11</v>
      </c>
      <c r="B587" t="s">
        <v>446</v>
      </c>
      <c r="C587" t="str">
        <f t="shared" si="44"/>
        <v>大阪府富田林市小金台３丁目</v>
      </c>
      <c r="D587" s="2" t="str">
        <f t="shared" si="45"/>
        <v>http://geocode.csis.u-tokyo.ac.jp/cgi-bin/simple_geocode.cgi?charset=UTF8&amp;addr=%E5%A4%A7%E9%98%AA%E5%BA%9C%E5%AF%8C%E7%94%B0%E6%9E%97%E5%B8%82%E5%B0%8F%E9%87%91%E5%8F%B0%EF%BC%93%E4%B8%81%E7%9B%AE</v>
      </c>
      <c r="E587" t="str">
        <f t="shared" si="46"/>
        <v xml:space="preserve">&lt;?xml version="1.0" encoding="UTF-8" ?&gt;
&lt;results&gt;
&lt;query&gt;大阪府富田林市小金台３丁目&lt;/query&gt;
&lt;geodetic&gt;wgs1984&lt;/geodetic&gt;
&lt;iConf&gt;5&lt;/iConf&gt;
&lt;converted&gt;大阪府富田林市小金台３丁目&lt;/converted&gt;
&lt;candidate&gt;
&lt;address&gt;大阪府/富田林市/小金台/三丁目&lt;/address&gt;
&lt;longitude&gt;135.579819&lt;/longitude&gt;
&lt;latitude&gt;34.498024&lt;/latitude&gt;
&lt;iLvl&gt;6&lt;/iLvl&gt;
&lt;/candidate&gt;
&lt;/results&gt;
</v>
      </c>
      <c r="F587" cm="1">
        <f t="array" ref="F587">INDEX(_xlfn.FILTERXML(E587,"//latitude"),1)</f>
        <v>34.498024000000001</v>
      </c>
      <c r="G587" cm="1">
        <f t="array" ref="G587">INDEX(_xlfn.FILTERXML(E587,"//longitude"),1)</f>
        <v>135.57981899999999</v>
      </c>
      <c r="H587">
        <v>34.498024000000001</v>
      </c>
      <c r="I587">
        <v>135.57981899999999</v>
      </c>
    </row>
    <row r="588" spans="1:9" x14ac:dyDescent="0.4">
      <c r="A588" t="s">
        <v>13</v>
      </c>
      <c r="B588" t="s">
        <v>447</v>
      </c>
      <c r="C588" t="str">
        <f t="shared" si="44"/>
        <v>兵庫県神戸市北区小倉台</v>
      </c>
      <c r="D588" s="2" t="str">
        <f t="shared" si="45"/>
        <v>http://geocode.csis.u-tokyo.ac.jp/cgi-bin/simple_geocode.cgi?charset=UTF8&amp;addr=%E5%85%B5%E5%BA%AB%E7%9C%8C%E7%A5%9E%E6%88%B8%E5%B8%82%E5%8C%97%E5%8C%BA%E5%B0%8F%E5%80%89%E5%8F%B0</v>
      </c>
      <c r="E588" t="str">
        <f t="shared" si="46"/>
        <v xml:space="preserve">&lt;?xml version="1.0" encoding="UTF-8" ?&gt;
&lt;results&gt;
&lt;query&gt;兵庫県神戸市北区小倉台&lt;/query&gt;
&lt;geodetic&gt;wgs1984&lt;/geodetic&gt;
&lt;iConf&gt;5&lt;/iConf&gt;
&lt;converted&gt;兵庫県神戸市北区小倉台&lt;/converted&gt;
&lt;candidate&gt;
&lt;address&gt;兵庫県/神戸市/北区/小倉台&lt;/address&gt;
&lt;longitude&gt;135.163864&lt;/longitude&gt;
&lt;latitude&gt;34.754044&lt;/latitude&gt;
&lt;iLvl&gt;5&lt;/iLvl&gt;
&lt;/candidate&gt;
&lt;/results&gt;
</v>
      </c>
      <c r="F588" cm="1">
        <f t="array" ref="F588">INDEX(_xlfn.FILTERXML(E588,"//latitude"),1)</f>
        <v>34.754044</v>
      </c>
      <c r="G588" cm="1">
        <f t="array" ref="G588">INDEX(_xlfn.FILTERXML(E588,"//longitude"),1)</f>
        <v>135.16386399999999</v>
      </c>
      <c r="H588">
        <v>34.754044</v>
      </c>
      <c r="I588">
        <v>135.16386399999999</v>
      </c>
    </row>
    <row r="589" spans="1:9" x14ac:dyDescent="0.4">
      <c r="A589" t="s">
        <v>19</v>
      </c>
      <c r="B589" t="s">
        <v>717</v>
      </c>
      <c r="C589" t="str">
        <f t="shared" si="44"/>
        <v>福岡県福岡市早良区荒江</v>
      </c>
      <c r="D589" s="2" t="str">
        <f t="shared" si="45"/>
        <v>http://geocode.csis.u-tokyo.ac.jp/cgi-bin/simple_geocode.cgi?charset=UTF8&amp;addr=%E7%A6%8F%E5%B2%A1%E7%9C%8C%E7%A6%8F%E5%B2%A1%E5%B8%82%E6%97%A9%E8%89%AF%E5%8C%BA%E8%8D%92%E6%B1%9F</v>
      </c>
      <c r="E589" t="str">
        <f t="shared" si="46"/>
        <v xml:space="preserve">&lt;?xml version="1.0" encoding="UTF-8" ?&gt;
&lt;results&gt;
&lt;query&gt;福岡県福岡市早良区荒江&lt;/query&gt;
&lt;geodetic&gt;wgs1984&lt;/geodetic&gt;
&lt;iConf&gt;5&lt;/iConf&gt;
&lt;converted&gt;福岡県福岡市早良区荒江&lt;/converted&gt;
&lt;candidate&gt;
&lt;address&gt;福岡県/福岡市/早良区/荒江&lt;/address&gt;
&lt;longitude&gt;130.355667&lt;/longitude&gt;
&lt;latitude&gt;33.571819&lt;/latitude&gt;
&lt;iLvl&gt;5&lt;/iLvl&gt;
&lt;/candidate&gt;
&lt;/results&gt;
</v>
      </c>
      <c r="F589" cm="1">
        <f t="array" ref="F589">INDEX(_xlfn.FILTERXML(E589,"//latitude"),1)</f>
        <v>33.571818999999998</v>
      </c>
      <c r="G589" cm="1">
        <f t="array" ref="G589">INDEX(_xlfn.FILTERXML(E589,"//longitude"),1)</f>
        <v>130.35566700000001</v>
      </c>
      <c r="H589">
        <v>33.571818999999998</v>
      </c>
      <c r="I589">
        <v>130.35566700000001</v>
      </c>
    </row>
    <row r="590" spans="1:9" x14ac:dyDescent="0.4">
      <c r="A590" t="s">
        <v>9</v>
      </c>
      <c r="B590" t="s">
        <v>448</v>
      </c>
      <c r="C590" t="str">
        <f t="shared" si="44"/>
        <v>東京都町田市</v>
      </c>
      <c r="D590" s="2" t="str">
        <f t="shared" si="45"/>
        <v>http://geocode.csis.u-tokyo.ac.jp/cgi-bin/simple_geocode.cgi?charset=UTF8&amp;addr=%E6%9D%B1%E4%BA%AC%E9%83%BD%E7%94%BA%E7%94%B0%E5%B8%82</v>
      </c>
      <c r="E590" t="str">
        <f t="shared" si="46"/>
        <v xml:space="preserve">&lt;?xml version="1.0" encoding="UTF-8" ?&gt;
&lt;results&gt;
&lt;query&gt;東京都町田市&lt;/query&gt;
&lt;geodetic&gt;wgs1984&lt;/geodetic&gt;
&lt;iConf&gt;5&lt;/iConf&gt;
&lt;converted&gt;東京都町田市&lt;/converted&gt;
&lt;candidate&gt;
&lt;address&gt;東京都/町田市&lt;/address&gt;
&lt;longitude&gt;139.438522&lt;/longitude&gt;
&lt;latitude&gt;35.546558&lt;/latitude&gt;
&lt;iLvl&gt;3&lt;/iLvl&gt;
&lt;/candidate&gt;
&lt;/results&gt;
</v>
      </c>
      <c r="F590" cm="1">
        <f t="array" ref="F590">INDEX(_xlfn.FILTERXML(E590,"//latitude"),1)</f>
        <v>35.546557999999997</v>
      </c>
      <c r="G590" cm="1">
        <f t="array" ref="G590">INDEX(_xlfn.FILTERXML(E590,"//longitude"),1)</f>
        <v>139.43852200000001</v>
      </c>
      <c r="H590">
        <v>35.546557999999997</v>
      </c>
      <c r="I590">
        <v>139.43852200000001</v>
      </c>
    </row>
    <row r="591" spans="1:9" x14ac:dyDescent="0.4">
      <c r="A591" t="s">
        <v>164</v>
      </c>
      <c r="B591" t="s">
        <v>449</v>
      </c>
      <c r="C591" t="str">
        <f t="shared" si="44"/>
        <v>広島県福山市野上町</v>
      </c>
      <c r="D591" s="2" t="str">
        <f t="shared" si="45"/>
        <v>http://geocode.csis.u-tokyo.ac.jp/cgi-bin/simple_geocode.cgi?charset=UTF8&amp;addr=%E5%BA%83%E5%B3%B6%E7%9C%8C%E7%A6%8F%E5%B1%B1%E5%B8%82%E9%87%8E%E4%B8%8A%E7%94%BA</v>
      </c>
      <c r="E591" t="str">
        <f t="shared" si="46"/>
        <v xml:space="preserve">&lt;?xml version="1.0" encoding="UTF-8" ?&gt;
&lt;results&gt;
&lt;query&gt;広島県福山市野上町&lt;/query&gt;
&lt;geodetic&gt;wgs1984&lt;/geodetic&gt;
&lt;iConf&gt;5&lt;/iConf&gt;
&lt;converted&gt;広島県福山市野上町&lt;/converted&gt;
&lt;candidate&gt;
&lt;address&gt;広島県/福山市/野上町&lt;/address&gt;
&lt;longitude&gt;133.363800&lt;/longitude&gt;
&lt;latitude&gt;34.480328&lt;/latitude&gt;
&lt;iLvl&gt;5&lt;/iLvl&gt;
&lt;/candidate&gt;
&lt;/results&gt;
</v>
      </c>
      <c r="F591" cm="1">
        <f t="array" ref="F591">INDEX(_xlfn.FILTERXML(E591,"//latitude"),1)</f>
        <v>34.480328</v>
      </c>
      <c r="G591" cm="1">
        <f t="array" ref="G591">INDEX(_xlfn.FILTERXML(E591,"//longitude"),1)</f>
        <v>133.3638</v>
      </c>
      <c r="H591">
        <v>34.480328</v>
      </c>
      <c r="I591">
        <v>133.3638</v>
      </c>
    </row>
    <row r="592" spans="1:9" x14ac:dyDescent="0.4">
      <c r="A592" t="s">
        <v>9</v>
      </c>
      <c r="B592" t="s">
        <v>450</v>
      </c>
      <c r="C592" t="str">
        <f t="shared" si="44"/>
        <v>東京都江東区有明</v>
      </c>
      <c r="D592" s="2" t="str">
        <f t="shared" si="45"/>
        <v>http://geocode.csis.u-tokyo.ac.jp/cgi-bin/simple_geocode.cgi?charset=UTF8&amp;addr=%E6%9D%B1%E4%BA%AC%E9%83%BD%E6%B1%9F%E6%9D%B1%E5%8C%BA%E6%9C%89%E6%98%8E</v>
      </c>
      <c r="E592" t="str">
        <f t="shared" si="46"/>
        <v xml:space="preserve">&lt;?xml version="1.0" encoding="UTF-8" ?&gt;
&lt;results&gt;
&lt;query&gt;東京都江東区有明&lt;/query&gt;
&lt;geodetic&gt;wgs1984&lt;/geodetic&gt;
&lt;iConf&gt;5&lt;/iConf&gt;
&lt;converted&gt;東京都江東区有明&lt;/converted&gt;
&lt;candidate&gt;
&lt;address&gt;東京都/江東区/有明&lt;/address&gt;
&lt;longitude&gt;139.789581&lt;/longitude&gt;
&lt;latitude&gt;35.640907&lt;/latitude&gt;
&lt;iLvl&gt;5&lt;/iLvl&gt;
&lt;/candidate&gt;
&lt;/results&gt;
</v>
      </c>
      <c r="F592" cm="1">
        <f t="array" ref="F592">INDEX(_xlfn.FILTERXML(E592,"//latitude"),1)</f>
        <v>35.640906999999999</v>
      </c>
      <c r="G592" cm="1">
        <f t="array" ref="G592">INDEX(_xlfn.FILTERXML(E592,"//longitude"),1)</f>
        <v>139.789581</v>
      </c>
      <c r="H592">
        <v>35.640906999999999</v>
      </c>
      <c r="I592">
        <v>139.789581</v>
      </c>
    </row>
    <row r="593" spans="1:9" x14ac:dyDescent="0.4">
      <c r="A593" t="s">
        <v>11</v>
      </c>
      <c r="B593" t="s">
        <v>331</v>
      </c>
      <c r="C593" t="str">
        <f t="shared" si="44"/>
        <v>大阪府吹田市</v>
      </c>
      <c r="D593" s="2" t="str">
        <f t="shared" si="45"/>
        <v>http://geocode.csis.u-tokyo.ac.jp/cgi-bin/simple_geocode.cgi?charset=UTF8&amp;addr=%E5%A4%A7%E9%98%AA%E5%BA%9C%E5%90%B9%E7%94%B0%E5%B8%82</v>
      </c>
      <c r="E593" t="str">
        <f t="shared" si="46"/>
        <v xml:space="preserve">&lt;?xml version="1.0" encoding="UTF-8" ?&gt;
&lt;results&gt;
&lt;query&gt;大阪府吹田市&lt;/query&gt;
&lt;geodetic&gt;wgs1984&lt;/geodetic&gt;
&lt;iConf&gt;5&lt;/iConf&gt;
&lt;converted&gt;大阪府吹田市&lt;/converted&gt;
&lt;candidate&gt;
&lt;address&gt;大阪府/吹田市&lt;/address&gt;
&lt;longitude&gt;135.516800&lt;/longitude&gt;
&lt;latitude&gt;34.759403&lt;/latitude&gt;
&lt;iLvl&gt;3&lt;/iLvl&gt;
&lt;/candidate&gt;
&lt;/results&gt;
</v>
      </c>
      <c r="F593" cm="1">
        <f t="array" ref="F593">INDEX(_xlfn.FILTERXML(E593,"//latitude"),1)</f>
        <v>34.759402999999999</v>
      </c>
      <c r="G593" cm="1">
        <f t="array" ref="G593">INDEX(_xlfn.FILTERXML(E593,"//longitude"),1)</f>
        <v>135.51679999999999</v>
      </c>
      <c r="H593">
        <v>34.759402999999999</v>
      </c>
      <c r="I593">
        <v>135.51679999999999</v>
      </c>
    </row>
    <row r="594" spans="1:9" x14ac:dyDescent="0.4">
      <c r="A594" t="s">
        <v>30</v>
      </c>
      <c r="B594" t="s">
        <v>451</v>
      </c>
      <c r="C594" t="str">
        <f t="shared" si="44"/>
        <v>石川県金沢市駅西本町</v>
      </c>
      <c r="D594" s="2" t="str">
        <f t="shared" si="45"/>
        <v>http://geocode.csis.u-tokyo.ac.jp/cgi-bin/simple_geocode.cgi?charset=UTF8&amp;addr=%E7%9F%B3%E5%B7%9D%E7%9C%8C%E9%87%91%E6%B2%A2%E5%B8%82%E9%A7%85%E8%A5%BF%E6%9C%AC%E7%94%BA</v>
      </c>
      <c r="E594" t="str">
        <f t="shared" si="46"/>
        <v xml:space="preserve">&lt;?xml version="1.0" encoding="UTF-8" ?&gt;
&lt;results&gt;
&lt;query&gt;石川県金沢市駅西本町&lt;/query&gt;
&lt;geodetic&gt;wgs1984&lt;/geodetic&gt;
&lt;iConf&gt;5&lt;/iConf&gt;
&lt;converted&gt;石川県金沢市駅西本町&lt;/converted&gt;
&lt;candidate&gt;
&lt;address&gt;石川県/金沢市/駅西本町&lt;/address&gt;
&lt;longitude&gt;136.639862&lt;/longitude&gt;
&lt;latitude&gt;36.580048&lt;/latitude&gt;
&lt;iLvl&gt;5&lt;/iLvl&gt;
&lt;/candidate&gt;
&lt;/results&gt;
</v>
      </c>
      <c r="F594" cm="1">
        <f t="array" ref="F594">INDEX(_xlfn.FILTERXML(E594,"//latitude"),1)</f>
        <v>36.580047999999998</v>
      </c>
      <c r="G594" cm="1">
        <f t="array" ref="G594">INDEX(_xlfn.FILTERXML(E594,"//longitude"),1)</f>
        <v>136.63986199999999</v>
      </c>
      <c r="H594">
        <v>36.580047999999998</v>
      </c>
      <c r="I594">
        <v>136.63986199999999</v>
      </c>
    </row>
    <row r="595" spans="1:9" x14ac:dyDescent="0.4">
      <c r="A595" t="s">
        <v>9</v>
      </c>
      <c r="B595" t="s">
        <v>162</v>
      </c>
      <c r="C595" t="str">
        <f t="shared" si="44"/>
        <v>東京都八王子市</v>
      </c>
      <c r="D595" s="2" t="str">
        <f t="shared" si="45"/>
        <v>http://geocode.csis.u-tokyo.ac.jp/cgi-bin/simple_geocode.cgi?charset=UTF8&amp;addr=%E6%9D%B1%E4%BA%AC%E9%83%BD%E5%85%AB%E7%8E%8B%E5%AD%90%E5%B8%82</v>
      </c>
      <c r="E595" t="str">
        <f t="shared" si="46"/>
        <v xml:space="preserve">&lt;?xml version="1.0" encoding="UTF-8" ?&gt;
&lt;results&gt;
&lt;query&gt;東京都八王子市&lt;/query&gt;
&lt;geodetic&gt;wgs1984&lt;/geodetic&gt;
&lt;iConf&gt;5&lt;/iConf&gt;
&lt;converted&gt;東京都八王子市&lt;/converted&gt;
&lt;candidate&gt;
&lt;address&gt;東京都/八王子市&lt;/address&gt;
&lt;longitude&gt;139.316071&lt;/longitude&gt;
&lt;latitude&gt;35.666569&lt;/latitude&gt;
&lt;iLvl&gt;3&lt;/iLvl&gt;
&lt;/candidate&gt;
&lt;/results&gt;
</v>
      </c>
      <c r="F595" cm="1">
        <f t="array" ref="F595">INDEX(_xlfn.FILTERXML(E595,"//latitude"),1)</f>
        <v>35.666569000000003</v>
      </c>
      <c r="G595" cm="1">
        <f t="array" ref="G595">INDEX(_xlfn.FILTERXML(E595,"//longitude"),1)</f>
        <v>139.31607099999999</v>
      </c>
      <c r="H595">
        <v>35.666569000000003</v>
      </c>
      <c r="I595">
        <v>139.31607099999999</v>
      </c>
    </row>
    <row r="596" spans="1:9" x14ac:dyDescent="0.4">
      <c r="A596" t="s">
        <v>15</v>
      </c>
      <c r="B596" t="s">
        <v>718</v>
      </c>
      <c r="C596" t="str">
        <f t="shared" si="44"/>
        <v>愛知県豊田市四郷町六反田南</v>
      </c>
      <c r="D596" s="2" t="str">
        <f t="shared" si="45"/>
        <v>http://geocode.csis.u-tokyo.ac.jp/cgi-bin/simple_geocode.cgi?charset=UTF8&amp;addr=%E6%84%9B%E7%9F%A5%E7%9C%8C%E8%B1%8A%E7%94%B0%E5%B8%82%E5%9B%9B%E9%83%B7%E7%94%BA%E5%85%AD%E5%8F%8D%E7%94%B0%E5%8D%97</v>
      </c>
      <c r="E596" t="str">
        <f t="shared" si="46"/>
        <v xml:space="preserve">&lt;?xml version="1.0" encoding="UTF-8" ?&gt;
&lt;results&gt;
&lt;query&gt;愛知県豊田市四郷町六反田南&lt;/query&gt;
&lt;geodetic&gt;wgs1984&lt;/geodetic&gt;
&lt;iConf&gt;5&lt;/iConf&gt;
&lt;converted&gt;愛知県豊田市四郷町六反田&lt;/converted&gt;
&lt;candidate&gt;
&lt;address&gt;愛知県/豊田市/四郷町/六反田&lt;/address&gt;
&lt;longitude&gt;137.161667&lt;/longitude&gt;
&lt;latitude&gt;35.125729&lt;/latitude&gt;
&lt;iLvl&gt;6&lt;/iLvl&gt;
&lt;/candidate&gt;
&lt;/results&gt;
</v>
      </c>
      <c r="F596" cm="1">
        <f t="array" ref="F596">INDEX(_xlfn.FILTERXML(E596,"//latitude"),1)</f>
        <v>35.125729</v>
      </c>
      <c r="G596" cm="1">
        <f t="array" ref="G596">INDEX(_xlfn.FILTERXML(E596,"//longitude"),1)</f>
        <v>137.16166699999999</v>
      </c>
      <c r="H596">
        <v>35.125729</v>
      </c>
      <c r="I596">
        <v>137.16166699999999</v>
      </c>
    </row>
    <row r="597" spans="1:9" x14ac:dyDescent="0.4">
      <c r="A597" t="s">
        <v>9</v>
      </c>
      <c r="B597" t="s">
        <v>452</v>
      </c>
      <c r="C597" t="str">
        <f t="shared" si="44"/>
        <v>東京都町田市鶴間</v>
      </c>
      <c r="D597" s="2" t="str">
        <f t="shared" si="45"/>
        <v>http://geocode.csis.u-tokyo.ac.jp/cgi-bin/simple_geocode.cgi?charset=UTF8&amp;addr=%E6%9D%B1%E4%BA%AC%E9%83%BD%E7%94%BA%E7%94%B0%E5%B8%82%E9%B6%B4%E9%96%93</v>
      </c>
      <c r="E597" t="str">
        <f t="shared" si="46"/>
        <v xml:space="preserve">&lt;?xml version="1.0" encoding="UTF-8" ?&gt;
&lt;results&gt;
&lt;query&gt;東京都町田市鶴間&lt;/query&gt;
&lt;geodetic&gt;wgs1984&lt;/geodetic&gt;
&lt;iConf&gt;5&lt;/iConf&gt;
&lt;converted&gt;東京都町田市鶴間&lt;/converted&gt;
&lt;candidate&gt;
&lt;address&gt;東京都/町田市/鶴間&lt;/address&gt;
&lt;longitude&gt;139.467773&lt;/longitude&gt;
&lt;latitude&gt;35.512283&lt;/latitude&gt;
&lt;iLvl&gt;5&lt;/iLvl&gt;
&lt;/candidate&gt;
&lt;/results&gt;
</v>
      </c>
      <c r="F597" cm="1">
        <f t="array" ref="F597">INDEX(_xlfn.FILTERXML(E597,"//latitude"),1)</f>
        <v>35.512282999999996</v>
      </c>
      <c r="G597" cm="1">
        <f t="array" ref="G597">INDEX(_xlfn.FILTERXML(E597,"//longitude"),1)</f>
        <v>139.46777299999999</v>
      </c>
      <c r="H597">
        <v>35.512282999999996</v>
      </c>
      <c r="I597">
        <v>139.46777299999999</v>
      </c>
    </row>
    <row r="598" spans="1:9" x14ac:dyDescent="0.4">
      <c r="A598" t="s">
        <v>23</v>
      </c>
      <c r="B598" t="s">
        <v>409</v>
      </c>
      <c r="C598" t="str">
        <f t="shared" si="44"/>
        <v>京都府相楽郡精華町桜が丘</v>
      </c>
      <c r="D598" s="2" t="str">
        <f t="shared" si="45"/>
        <v>http://geocode.csis.u-tokyo.ac.jp/cgi-bin/simple_geocode.cgi?charset=UTF8&amp;addr=%E4%BA%AC%E9%83%BD%E5%BA%9C%E7%9B%B8%E6%A5%BD%E9%83%A1%E7%B2%BE%E8%8F%AF%E7%94%BA%E6%A1%9C%E3%81%8C%E4%B8%98</v>
      </c>
      <c r="E598" t="str">
        <f t="shared" si="46"/>
        <v xml:space="preserve">&lt;?xml version="1.0" encoding="UTF-8" ?&gt;
&lt;results&gt;
&lt;query&gt;京都府相楽郡精華町桜が丘&lt;/query&gt;
&lt;geodetic&gt;wgs1984&lt;/geodetic&gt;
&lt;iConf&gt;5&lt;/iConf&gt;
&lt;converted&gt;京都府相楽郡精華町桜が丘&lt;/converted&gt;
&lt;candidate&gt;
&lt;address&gt;京都府/相楽郡/精華町/桜が丘&lt;/address&gt;
&lt;longitude&gt;135.786636&lt;/longitude&gt;
&lt;latitude&gt;34.733486&lt;/latitude&gt;
&lt;iLvl&gt;5&lt;/iLvl&gt;
&lt;/candidate&gt;
&lt;/results&gt;
</v>
      </c>
      <c r="F598" cm="1">
        <f t="array" ref="F598">INDEX(_xlfn.FILTERXML(E598,"//latitude"),1)</f>
        <v>34.733485999999999</v>
      </c>
      <c r="G598" cm="1">
        <f t="array" ref="G598">INDEX(_xlfn.FILTERXML(E598,"//longitude"),1)</f>
        <v>135.78663599999999</v>
      </c>
      <c r="H598">
        <v>34.733485999999999</v>
      </c>
      <c r="I598">
        <v>135.78663599999999</v>
      </c>
    </row>
    <row r="599" spans="1:9" x14ac:dyDescent="0.4">
      <c r="A599" t="s">
        <v>9</v>
      </c>
      <c r="B599" t="s">
        <v>417</v>
      </c>
      <c r="C599" t="str">
        <f t="shared" si="44"/>
        <v>東京都東久留米市幸町</v>
      </c>
      <c r="D599" s="2" t="str">
        <f t="shared" si="45"/>
        <v>http://geocode.csis.u-tokyo.ac.jp/cgi-bin/simple_geocode.cgi?charset=UTF8&amp;addr=%E6%9D%B1%E4%BA%AC%E9%83%BD%E6%9D%B1%E4%B9%85%E7%95%99%E7%B1%B3%E5%B8%82%E5%B9%B8%E7%94%BA</v>
      </c>
      <c r="E599" t="str">
        <f t="shared" si="46"/>
        <v xml:space="preserve">&lt;?xml version="1.0" encoding="UTF-8" ?&gt;
&lt;results&gt;
&lt;query&gt;東京都東久留米市幸町&lt;/query&gt;
&lt;geodetic&gt;wgs1984&lt;/geodetic&gt;
&lt;iConf&gt;5&lt;/iConf&gt;
&lt;converted&gt;東京都東久留米市幸町&lt;/converted&gt;
&lt;candidate&gt;
&lt;address&gt;東京都/東久留米市/幸町&lt;/address&gt;
&lt;longitude&gt;139.524719&lt;/longitude&gt;
&lt;latitude&gt;35.760506&lt;/latitude&gt;
&lt;iLvl&gt;5&lt;/iLvl&gt;
&lt;/candidate&gt;
&lt;/results&gt;
</v>
      </c>
      <c r="F599" cm="1">
        <f t="array" ref="F599">INDEX(_xlfn.FILTERXML(E599,"//latitude"),1)</f>
        <v>35.760505999999999</v>
      </c>
      <c r="G599" cm="1">
        <f t="array" ref="G599">INDEX(_xlfn.FILTERXML(E599,"//longitude"),1)</f>
        <v>139.524719</v>
      </c>
      <c r="H599">
        <v>35.760505999999999</v>
      </c>
      <c r="I599">
        <v>139.524719</v>
      </c>
    </row>
    <row r="600" spans="1:9" x14ac:dyDescent="0.4">
      <c r="A600" t="s">
        <v>40</v>
      </c>
      <c r="B600" t="s">
        <v>453</v>
      </c>
      <c r="C600" t="str">
        <f t="shared" si="44"/>
        <v>長崎県三景台町</v>
      </c>
      <c r="D600" s="2" t="str">
        <f t="shared" si="45"/>
        <v>http://geocode.csis.u-tokyo.ac.jp/cgi-bin/simple_geocode.cgi?charset=UTF8&amp;addr=%E9%95%B7%E5%B4%8E%E7%9C%8C%E4%B8%89%E6%99%AF%E5%8F%B0%E7%94%BA</v>
      </c>
      <c r="E600" t="str">
        <f t="shared" si="46"/>
        <v xml:space="preserve">&lt;?xml version="1.0" encoding="UTF-8" ?&gt;
&lt;results&gt;
&lt;query&gt;長崎県三景台町&lt;/query&gt;
&lt;geodetic&gt;wgs1984&lt;/geodetic&gt;
&lt;iConf&gt;4&lt;/iConf&gt;
&lt;converted&gt;長崎県三&lt;/converted&gt;
&lt;candidate&gt;
&lt;address&gt;長崎県/三井楽町&lt;/address&gt;
&lt;longitude&gt;128.652710&lt;/longitude&gt;
&lt;latitude&gt;32.754772&lt;/latitude&gt;
&lt;iLvl&gt;0&lt;/iLvl&gt;
&lt;/candidate&gt;
&lt;candidate&gt;
&lt;address&gt;長崎県/三重村&lt;/address&gt;
&lt;longitude&gt;129.737137&lt;/longitude&gt;
&lt;latitude&gt;32.812817&lt;/latitude&gt;
&lt;iLvl&gt;0&lt;/iLvl&gt;
&lt;/candidate&gt;
&lt;candidate&gt;
&lt;address&gt;長崎県/三和町&lt;/address&gt;
&lt;longitude&gt;129.839966&lt;/longitude&gt;
&lt;latitude&gt;32.644863&lt;/latitude&gt;
&lt;iLvl&gt;0&lt;/iLvl&gt;
&lt;/candidate&gt;
&lt;/results&gt;
</v>
      </c>
      <c r="F600" cm="1">
        <f t="array" ref="F600">INDEX(_xlfn.FILTERXML(E600,"//latitude"),1)</f>
        <v>32.754772000000003</v>
      </c>
      <c r="G600" cm="1">
        <f t="array" ref="G600">INDEX(_xlfn.FILTERXML(E600,"//longitude"),1)</f>
        <v>128.65271000000001</v>
      </c>
      <c r="H600">
        <v>32.754772000000003</v>
      </c>
      <c r="I600">
        <v>128.65271000000001</v>
      </c>
    </row>
    <row r="601" spans="1:9" x14ac:dyDescent="0.4">
      <c r="A601" t="s">
        <v>18</v>
      </c>
      <c r="B601" t="s">
        <v>454</v>
      </c>
      <c r="C601" t="str">
        <f t="shared" si="44"/>
        <v>茨城県牛久市ひたち野西</v>
      </c>
      <c r="D601" s="2" t="str">
        <f t="shared" si="45"/>
        <v>http://geocode.csis.u-tokyo.ac.jp/cgi-bin/simple_geocode.cgi?charset=UTF8&amp;addr=%E8%8C%A8%E5%9F%8E%E7%9C%8C%E7%89%9B%E4%B9%85%E5%B8%82%E3%81%B2%E3%81%9F%E3%81%A1%E9%87%8E%E8%A5%BF</v>
      </c>
      <c r="E601" t="str">
        <f t="shared" si="46"/>
        <v xml:space="preserve">&lt;?xml version="1.0" encoding="UTF-8" ?&gt;
&lt;results&gt;
&lt;query&gt;茨城県牛久市ひたち野西&lt;/query&gt;
&lt;geodetic&gt;wgs1984&lt;/geodetic&gt;
&lt;iConf&gt;5&lt;/iConf&gt;
&lt;converted&gt;茨城県牛久市ひたち野西&lt;/converted&gt;
&lt;candidate&gt;
&lt;address&gt;茨城県/牛久市/ひたち野西&lt;/address&gt;
&lt;longitude&gt;140.148972&lt;/longitude&gt;
&lt;latitude&gt;36.010799&lt;/latitude&gt;
&lt;iLvl&gt;5&lt;/iLvl&gt;
&lt;/candidate&gt;
&lt;/results&gt;
</v>
      </c>
      <c r="F601" cm="1">
        <f t="array" ref="F601">INDEX(_xlfn.FILTERXML(E601,"//latitude"),1)</f>
        <v>36.010798999999999</v>
      </c>
      <c r="G601" cm="1">
        <f t="array" ref="G601">INDEX(_xlfn.FILTERXML(E601,"//longitude"),1)</f>
        <v>140.14897199999999</v>
      </c>
      <c r="H601">
        <v>36.010798999999999</v>
      </c>
      <c r="I601">
        <v>140.14897199999999</v>
      </c>
    </row>
    <row r="602" spans="1:9" x14ac:dyDescent="0.4">
      <c r="A602" t="s">
        <v>16</v>
      </c>
      <c r="B602" t="s">
        <v>455</v>
      </c>
      <c r="C602" t="str">
        <f t="shared" si="44"/>
        <v>千葉県流山市南流山</v>
      </c>
      <c r="D602" s="2" t="str">
        <f t="shared" si="45"/>
        <v>http://geocode.csis.u-tokyo.ac.jp/cgi-bin/simple_geocode.cgi?charset=UTF8&amp;addr=%E5%8D%83%E8%91%89%E7%9C%8C%E6%B5%81%E5%B1%B1%E5%B8%82%E5%8D%97%E6%B5%81%E5%B1%B1</v>
      </c>
      <c r="E602" t="str">
        <f t="shared" si="46"/>
        <v xml:space="preserve">&lt;?xml version="1.0" encoding="UTF-8" ?&gt;
&lt;results&gt;
&lt;query&gt;千葉県流山市南流山&lt;/query&gt;
&lt;geodetic&gt;wgs1984&lt;/geodetic&gt;
&lt;iConf&gt;5&lt;/iConf&gt;
&lt;converted&gt;千葉県流山市南流山&lt;/converted&gt;
&lt;candidate&gt;
&lt;address&gt;千葉県/流山市/南流山&lt;/address&gt;
&lt;longitude&gt;139.906448&lt;/longitude&gt;
&lt;latitude&gt;35.837894&lt;/latitude&gt;
&lt;iLvl&gt;5&lt;/iLvl&gt;
&lt;/candidate&gt;
&lt;/results&gt;
</v>
      </c>
      <c r="F602" cm="1">
        <f t="array" ref="F602">INDEX(_xlfn.FILTERXML(E602,"//latitude"),1)</f>
        <v>35.837893999999999</v>
      </c>
      <c r="G602" cm="1">
        <f t="array" ref="G602">INDEX(_xlfn.FILTERXML(E602,"//longitude"),1)</f>
        <v>139.90644800000001</v>
      </c>
      <c r="H602">
        <v>35.837893999999999</v>
      </c>
      <c r="I602">
        <v>139.90644800000001</v>
      </c>
    </row>
    <row r="603" spans="1:9" x14ac:dyDescent="0.4">
      <c r="A603" t="s">
        <v>24</v>
      </c>
      <c r="B603" t="s">
        <v>456</v>
      </c>
      <c r="C603" t="str">
        <f t="shared" si="44"/>
        <v>静岡県浜松市中央区和地山</v>
      </c>
      <c r="D603" s="2" t="str">
        <f t="shared" si="45"/>
        <v>http://geocode.csis.u-tokyo.ac.jp/cgi-bin/simple_geocode.cgi?charset=UTF8&amp;addr=%E9%9D%99%E5%B2%A1%E7%9C%8C%E6%B5%9C%E6%9D%BE%E5%B8%82%E4%B8%AD%E5%A4%AE%E5%8C%BA%E5%92%8C%E5%9C%B0%E5%B1%B1</v>
      </c>
      <c r="E603" t="str">
        <f t="shared" si="46"/>
        <v xml:space="preserve">&lt;?xml version="1.0" encoding="UTF-8" ?&gt;
&lt;results&gt;
&lt;query&gt;静岡県浜松市中央区和地山&lt;/query&gt;
&lt;geodetic&gt;wgs1984&lt;/geodetic&gt;
&lt;iConf&gt;5&lt;/iConf&gt;
&lt;converted&gt;静岡県浜松市中央区和地山&lt;/converted&gt;
&lt;candidate&gt;
&lt;address&gt;静岡県/浜松市/中央区/和地山&lt;/address&gt;
&lt;longitude&gt;137.721008&lt;/longitude&gt;
&lt;latitude&gt;34.726784&lt;/latitude&gt;
&lt;iLvl&gt;5&lt;/iLvl&gt;
&lt;/candidate&gt;
&lt;/results&gt;
</v>
      </c>
      <c r="F603" cm="1">
        <f t="array" ref="F603">INDEX(_xlfn.FILTERXML(E603,"//latitude"),1)</f>
        <v>34.726784000000002</v>
      </c>
      <c r="G603" cm="1">
        <f t="array" ref="G603">INDEX(_xlfn.FILTERXML(E603,"//longitude"),1)</f>
        <v>137.72100800000001</v>
      </c>
      <c r="H603">
        <v>34.726784000000002</v>
      </c>
      <c r="I603">
        <v>137.72100800000001</v>
      </c>
    </row>
    <row r="604" spans="1:9" x14ac:dyDescent="0.4">
      <c r="A604" t="s">
        <v>9</v>
      </c>
      <c r="B604" t="s">
        <v>457</v>
      </c>
      <c r="C604" t="str">
        <f t="shared" si="44"/>
        <v>東京都墨田区吾妻橋</v>
      </c>
      <c r="D604" s="2" t="str">
        <f t="shared" si="45"/>
        <v>http://geocode.csis.u-tokyo.ac.jp/cgi-bin/simple_geocode.cgi?charset=UTF8&amp;addr=%E6%9D%B1%E4%BA%AC%E9%83%BD%E5%A2%A8%E7%94%B0%E5%8C%BA%E5%90%BE%E5%A6%BB%E6%A9%8B</v>
      </c>
      <c r="E604" t="str">
        <f t="shared" si="46"/>
        <v xml:space="preserve">&lt;?xml version="1.0" encoding="UTF-8" ?&gt;
&lt;results&gt;
&lt;query&gt;東京都墨田区吾妻橋&lt;/query&gt;
&lt;geodetic&gt;wgs1984&lt;/geodetic&gt;
&lt;iConf&gt;5&lt;/iConf&gt;
&lt;converted&gt;東京都墨田区吾妻橋&lt;/converted&gt;
&lt;candidate&gt;
&lt;address&gt;東京都/墨田区/吾妻橋&lt;/address&gt;
&lt;longitude&gt;139.800400&lt;/longitude&gt;
&lt;latitude&gt;35.709682&lt;/latitude&gt;
&lt;iLvl&gt;5&lt;/iLvl&gt;
&lt;/candidate&gt;
&lt;/results&gt;
</v>
      </c>
      <c r="F604" cm="1">
        <f t="array" ref="F604">INDEX(_xlfn.FILTERXML(E604,"//latitude"),1)</f>
        <v>35.709682000000001</v>
      </c>
      <c r="G604" cm="1">
        <f t="array" ref="G604">INDEX(_xlfn.FILTERXML(E604,"//longitude"),1)</f>
        <v>139.8004</v>
      </c>
      <c r="H604">
        <v>35.709682000000001</v>
      </c>
      <c r="I604">
        <v>139.8004</v>
      </c>
    </row>
    <row r="605" spans="1:9" x14ac:dyDescent="0.4">
      <c r="A605" t="s">
        <v>9</v>
      </c>
      <c r="B605" t="s">
        <v>719</v>
      </c>
      <c r="C605" t="str">
        <f t="shared" si="44"/>
        <v>東京都世田谷区桜新町２－１４－８</v>
      </c>
      <c r="D605" s="2" t="str">
        <f t="shared" si="45"/>
        <v>http://geocode.csis.u-tokyo.ac.jp/cgi-bin/simple_geocode.cgi?charset=UTF8&amp;addr=%E6%9D%B1%E4%BA%AC%E9%83%BD%E4%B8%96%E7%94%B0%E8%B0%B7%E5%8C%BA%E6%A1%9C%E6%96%B0%E7%94%BA%EF%BC%92%EF%BC%8D%EF%BC%91%EF%BC%94%EF%BC%8D%EF%BC%98</v>
      </c>
      <c r="E605" t="str">
        <f t="shared" si="46"/>
        <v xml:space="preserve">&lt;?xml version="1.0" encoding="UTF-8" ?&gt;
&lt;results&gt;
&lt;query&gt;東京都世田谷区桜新町２−１４−８&lt;/query&gt;
&lt;geodetic&gt;wgs1984&lt;/geodetic&gt;
&lt;iConf&gt;5&lt;/iConf&gt;
&lt;converted&gt;東京都世田谷区桜新町２−１４−８&lt;/converted&gt;
&lt;candidate&gt;
&lt;address&gt;東京都/世田谷区/桜新町/二丁目/１４番/８号&lt;/address&gt;
&lt;longitude&gt;139.641312&lt;/longitude&gt;
&lt;latitude&gt;35.632957&lt;/latitude&gt;
&lt;iLvl&gt;8&lt;/iLvl&gt;
&lt;/candidate&gt;
&lt;/results&gt;
</v>
      </c>
      <c r="F605" cm="1">
        <f t="array" ref="F605">INDEX(_xlfn.FILTERXML(E605,"//latitude"),1)</f>
        <v>35.632956999999998</v>
      </c>
      <c r="G605" cm="1">
        <f t="array" ref="G605">INDEX(_xlfn.FILTERXML(E605,"//longitude"),1)</f>
        <v>139.641312</v>
      </c>
      <c r="H605">
        <v>35.632956999999998</v>
      </c>
      <c r="I605">
        <v>139.641312</v>
      </c>
    </row>
    <row r="606" spans="1:9" x14ac:dyDescent="0.4">
      <c r="A606" t="s">
        <v>11</v>
      </c>
      <c r="B606" t="s">
        <v>395</v>
      </c>
      <c r="C606" t="str">
        <f t="shared" si="44"/>
        <v>大阪府枚方市</v>
      </c>
      <c r="D606" s="2" t="str">
        <f t="shared" si="45"/>
        <v>http://geocode.csis.u-tokyo.ac.jp/cgi-bin/simple_geocode.cgi?charset=UTF8&amp;addr=%E5%A4%A7%E9%98%AA%E5%BA%9C%E6%9E%9A%E6%96%B9%E5%B8%82</v>
      </c>
      <c r="E606" t="str">
        <f t="shared" si="46"/>
        <v xml:space="preserve">&lt;?xml version="1.0" encoding="UTF-8" ?&gt;
&lt;results&gt;
&lt;query&gt;大阪府枚方市&lt;/query&gt;
&lt;geodetic&gt;wgs1984&lt;/geodetic&gt;
&lt;iConf&gt;5&lt;/iConf&gt;
&lt;converted&gt;大阪府枚方市&lt;/converted&gt;
&lt;candidate&gt;
&lt;address&gt;大阪府/枚方市&lt;/address&gt;
&lt;longitude&gt;135.650635&lt;/longitude&gt;
&lt;latitude&gt;34.814465&lt;/latitude&gt;
&lt;iLvl&gt;3&lt;/iLvl&gt;
&lt;/candidate&gt;
&lt;/results&gt;
</v>
      </c>
      <c r="F606" cm="1">
        <f t="array" ref="F606">INDEX(_xlfn.FILTERXML(E606,"//latitude"),1)</f>
        <v>34.814464999999998</v>
      </c>
      <c r="G606" cm="1">
        <f t="array" ref="G606">INDEX(_xlfn.FILTERXML(E606,"//longitude"),1)</f>
        <v>135.65063499999999</v>
      </c>
      <c r="H606">
        <v>34.814464999999998</v>
      </c>
      <c r="I606">
        <v>135.65063499999999</v>
      </c>
    </row>
    <row r="607" spans="1:9" x14ac:dyDescent="0.4">
      <c r="A607" t="s">
        <v>13</v>
      </c>
      <c r="B607" t="s">
        <v>458</v>
      </c>
      <c r="C607" t="str">
        <f t="shared" si="44"/>
        <v>兵庫県明石市藤江</v>
      </c>
      <c r="D607" s="2" t="str">
        <f t="shared" si="45"/>
        <v>http://geocode.csis.u-tokyo.ac.jp/cgi-bin/simple_geocode.cgi?charset=UTF8&amp;addr=%E5%85%B5%E5%BA%AB%E7%9C%8C%E6%98%8E%E7%9F%B3%E5%B8%82%E8%97%A4%E6%B1%9F</v>
      </c>
      <c r="E607" t="str">
        <f t="shared" si="46"/>
        <v xml:space="preserve">&lt;?xml version="1.0" encoding="UTF-8" ?&gt;
&lt;results&gt;
&lt;query&gt;兵庫県明石市藤江&lt;/query&gt;
&lt;geodetic&gt;wgs1984&lt;/geodetic&gt;
&lt;iConf&gt;5&lt;/iConf&gt;
&lt;converted&gt;兵庫県明石市藤江&lt;/converted&gt;
&lt;candidate&gt;
&lt;address&gt;兵庫県/明石市/藤江&lt;/address&gt;
&lt;longitude&gt;134.951126&lt;/longitude&gt;
&lt;latitude&gt;34.664623&lt;/latitude&gt;
&lt;iLvl&gt;5&lt;/iLvl&gt;
&lt;/candidate&gt;
&lt;/results&gt;
</v>
      </c>
      <c r="F607" cm="1">
        <f t="array" ref="F607">INDEX(_xlfn.FILTERXML(E607,"//latitude"),1)</f>
        <v>34.664622999999999</v>
      </c>
      <c r="G607" cm="1">
        <f t="array" ref="G607">INDEX(_xlfn.FILTERXML(E607,"//longitude"),1)</f>
        <v>134.95112599999999</v>
      </c>
      <c r="H607">
        <v>34.664622999999999</v>
      </c>
      <c r="I607">
        <v>134.95112599999999</v>
      </c>
    </row>
    <row r="608" spans="1:9" x14ac:dyDescent="0.4">
      <c r="A608" t="s">
        <v>10</v>
      </c>
      <c r="B608" t="s">
        <v>459</v>
      </c>
      <c r="C608" t="str">
        <f t="shared" si="44"/>
        <v>神奈川県横浜市青葉区すすき野2丁目</v>
      </c>
      <c r="D608" s="2" t="str">
        <f t="shared" si="45"/>
        <v>http://geocode.csis.u-tokyo.ac.jp/cgi-bin/simple_geocode.cgi?charset=UTF8&amp;addr=%E7%A5%9E%E5%A5%88%E5%B7%9D%E7%9C%8C%E6%A8%AA%E6%B5%9C%E5%B8%82%E9%9D%92%E8%91%89%E5%8C%BA%E3%81%99%E3%81%99%E3%81%8D%E9%87%8E2%E4%B8%81%E7%9B%AE</v>
      </c>
      <c r="E608" t="str">
        <f t="shared" si="46"/>
        <v xml:space="preserve">&lt;?xml version="1.0" encoding="UTF-8" ?&gt;
&lt;results&gt;
&lt;query&gt;神奈川県横浜市青葉区すすき野2丁目&lt;/query&gt;
&lt;geodetic&gt;wgs1984&lt;/geodetic&gt;
&lt;iConf&gt;5&lt;/iConf&gt;
&lt;converted&gt;神奈川県横浜市青葉区すすき野2丁目&lt;/converted&gt;
&lt;candidate&gt;
&lt;address&gt;神奈川県/横浜市/青葉区/すすき野/二丁目&lt;/address&gt;
&lt;longitude&gt;139.525986&lt;/longitude&gt;
&lt;latitude&gt;35.575745&lt;/latitude&gt;
&lt;iLvl&gt;6&lt;/iLvl&gt;
&lt;/candidate&gt;
&lt;/results&gt;
</v>
      </c>
      <c r="F608" cm="1">
        <f t="array" ref="F608">INDEX(_xlfn.FILTERXML(E608,"//latitude"),1)</f>
        <v>35.575744999999998</v>
      </c>
      <c r="G608" cm="1">
        <f t="array" ref="G608">INDEX(_xlfn.FILTERXML(E608,"//longitude"),1)</f>
        <v>139.52598599999999</v>
      </c>
      <c r="H608">
        <v>35.575744999999998</v>
      </c>
      <c r="I608">
        <v>139.52598599999999</v>
      </c>
    </row>
    <row r="609" spans="1:9" x14ac:dyDescent="0.4">
      <c r="A609" t="s">
        <v>15</v>
      </c>
      <c r="B609" t="s">
        <v>460</v>
      </c>
      <c r="C609" t="str">
        <f t="shared" si="44"/>
        <v>愛知県春日井市乙輪町</v>
      </c>
      <c r="D609" s="2" t="str">
        <f t="shared" si="45"/>
        <v>http://geocode.csis.u-tokyo.ac.jp/cgi-bin/simple_geocode.cgi?charset=UTF8&amp;addr=%E6%84%9B%E7%9F%A5%E7%9C%8C%E6%98%A5%E6%97%A5%E4%BA%95%E5%B8%82%E4%B9%99%E8%BC%AA%E7%94%BA</v>
      </c>
      <c r="E609" t="str">
        <f t="shared" si="46"/>
        <v xml:space="preserve">&lt;?xml version="1.0" encoding="UTF-8" ?&gt;
&lt;results&gt;
&lt;query&gt;愛知県春日井市乙輪町&lt;/query&gt;
&lt;geodetic&gt;wgs1984&lt;/geodetic&gt;
&lt;iConf&gt;5&lt;/iConf&gt;
&lt;converted&gt;愛知県春日井市乙輪町&lt;/converted&gt;
&lt;candidate&gt;
&lt;address&gt;愛知県/春日井市/乙輪町&lt;/address&gt;
&lt;longitude&gt;136.982010&lt;/longitude&gt;
&lt;latitude&gt;35.245262&lt;/latitude&gt;
&lt;iLvl&gt;5&lt;/iLvl&gt;
&lt;/candidate&gt;
&lt;/results&gt;
</v>
      </c>
      <c r="F609" cm="1">
        <f t="array" ref="F609">INDEX(_xlfn.FILTERXML(E609,"//latitude"),1)</f>
        <v>35.245261999999997</v>
      </c>
      <c r="G609" cm="1">
        <f t="array" ref="G609">INDEX(_xlfn.FILTERXML(E609,"//longitude"),1)</f>
        <v>136.98201</v>
      </c>
      <c r="H609">
        <v>35.245261999999997</v>
      </c>
      <c r="I609">
        <v>136.98201</v>
      </c>
    </row>
    <row r="610" spans="1:9" x14ac:dyDescent="0.4">
      <c r="A610" t="s">
        <v>10</v>
      </c>
      <c r="B610" t="s">
        <v>461</v>
      </c>
      <c r="C610" t="str">
        <f t="shared" si="44"/>
        <v>神奈川県茅ヶ崎市香川</v>
      </c>
      <c r="D610" s="2" t="str">
        <f t="shared" si="45"/>
        <v>http://geocode.csis.u-tokyo.ac.jp/cgi-bin/simple_geocode.cgi?charset=UTF8&amp;addr=%E7%A5%9E%E5%A5%88%E5%B7%9D%E7%9C%8C%E8%8C%85%E3%83%B6%E5%B4%8E%E5%B8%82%E9%A6%99%E5%B7%9D</v>
      </c>
      <c r="E610" t="str">
        <f t="shared" si="46"/>
        <v xml:space="preserve">&lt;?xml version="1.0" encoding="UTF-8" ?&gt;
&lt;results&gt;
&lt;query&gt;神奈川県茅ヶ崎市香川&lt;/query&gt;
&lt;geodetic&gt;wgs1984&lt;/geodetic&gt;
&lt;iConf&gt;5&lt;/iConf&gt;
&lt;converted&gt;神奈川県茅ヶ崎市香川&lt;/converted&gt;
&lt;candidate&gt;
&lt;address&gt;神奈川県/茅ヶ崎市/香川&lt;/address&gt;
&lt;longitude&gt;139.406433&lt;/longitude&gt;
&lt;latitude&gt;35.352680&lt;/latitude&gt;
&lt;iLvl&gt;5&lt;/iLvl&gt;
&lt;/candidate&gt;
&lt;/results&gt;
</v>
      </c>
      <c r="F610" cm="1">
        <f t="array" ref="F610">INDEX(_xlfn.FILTERXML(E610,"//latitude"),1)</f>
        <v>35.352679999999999</v>
      </c>
      <c r="G610" cm="1">
        <f t="array" ref="G610">INDEX(_xlfn.FILTERXML(E610,"//longitude"),1)</f>
        <v>139.40643299999999</v>
      </c>
      <c r="H610">
        <v>35.352679999999999</v>
      </c>
      <c r="I610">
        <v>139.40643299999999</v>
      </c>
    </row>
    <row r="611" spans="1:9" x14ac:dyDescent="0.4">
      <c r="A611" t="s">
        <v>18</v>
      </c>
      <c r="B611" t="s">
        <v>462</v>
      </c>
      <c r="C611" t="str">
        <f t="shared" si="44"/>
        <v>茨城県石岡市</v>
      </c>
      <c r="D611" s="2" t="str">
        <f t="shared" si="45"/>
        <v>http://geocode.csis.u-tokyo.ac.jp/cgi-bin/simple_geocode.cgi?charset=UTF8&amp;addr=%E8%8C%A8%E5%9F%8E%E7%9C%8C%E7%9F%B3%E5%B2%A1%E5%B8%82</v>
      </c>
      <c r="E611" t="str">
        <f t="shared" si="46"/>
        <v xml:space="preserve">&lt;?xml version="1.0" encoding="UTF-8" ?&gt;
&lt;results&gt;
&lt;query&gt;茨城県石岡市&lt;/query&gt;
&lt;geodetic&gt;wgs1984&lt;/geodetic&gt;
&lt;iConf&gt;5&lt;/iConf&gt;
&lt;converted&gt;茨城県石岡市&lt;/converted&gt;
&lt;candidate&gt;
&lt;address&gt;茨城県/石岡市&lt;/address&gt;
&lt;longitude&gt;140.287247&lt;/longitude&gt;
&lt;latitude&gt;36.190842&lt;/latitude&gt;
&lt;iLvl&gt;3&lt;/iLvl&gt;
&lt;/candidate&gt;
&lt;/results&gt;
</v>
      </c>
      <c r="F611" cm="1">
        <f t="array" ref="F611">INDEX(_xlfn.FILTERXML(E611,"//latitude"),1)</f>
        <v>36.190842000000004</v>
      </c>
      <c r="G611" cm="1">
        <f t="array" ref="G611">INDEX(_xlfn.FILTERXML(E611,"//longitude"),1)</f>
        <v>140.28724700000001</v>
      </c>
      <c r="H611">
        <v>36.190842000000004</v>
      </c>
      <c r="I611">
        <v>140.28724700000001</v>
      </c>
    </row>
    <row r="612" spans="1:9" x14ac:dyDescent="0.4">
      <c r="A612" t="s">
        <v>31</v>
      </c>
      <c r="B612" t="s">
        <v>264</v>
      </c>
      <c r="C612" t="str">
        <f t="shared" si="44"/>
        <v>北海道石狩郡当別町</v>
      </c>
      <c r="D612" s="2" t="str">
        <f t="shared" si="45"/>
        <v>http://geocode.csis.u-tokyo.ac.jp/cgi-bin/simple_geocode.cgi?charset=UTF8&amp;addr=%E5%8C%97%E6%B5%B7%E9%81%93%E7%9F%B3%E7%8B%A9%E9%83%A1%E5%BD%93%E5%88%A5%E7%94%BA</v>
      </c>
      <c r="E612" t="str">
        <f t="shared" si="46"/>
        <v xml:space="preserve">&lt;?xml version="1.0" encoding="UTF-8" ?&gt;
&lt;results&gt;
&lt;query&gt;北海道石狩郡当別町&lt;/query&gt;
&lt;geodetic&gt;wgs1984&lt;/geodetic&gt;
&lt;iConf&gt;5&lt;/iConf&gt;
&lt;converted&gt;北海道石狩郡当別町&lt;/converted&gt;
&lt;candidate&gt;
&lt;address&gt;北海道/石狩郡/当別町&lt;/address&gt;
&lt;longitude&gt;141.516998&lt;/longitude&gt;
&lt;latitude&gt;43.223637&lt;/latitude&gt;
&lt;iLvl&gt;3&lt;/iLvl&gt;
&lt;/candidate&gt;
&lt;/results&gt;
</v>
      </c>
      <c r="F612" cm="1">
        <f t="array" ref="F612">INDEX(_xlfn.FILTERXML(E612,"//latitude"),1)</f>
        <v>43.223636999999997</v>
      </c>
      <c r="G612" cm="1">
        <f t="array" ref="G612">INDEX(_xlfn.FILTERXML(E612,"//longitude"),1)</f>
        <v>141.516998</v>
      </c>
      <c r="H612">
        <v>43.223636999999997</v>
      </c>
      <c r="I612">
        <v>141.516998</v>
      </c>
    </row>
    <row r="613" spans="1:9" x14ac:dyDescent="0.4">
      <c r="A613" t="s">
        <v>19</v>
      </c>
      <c r="B613" t="s">
        <v>463</v>
      </c>
      <c r="C613" t="str">
        <f t="shared" si="44"/>
        <v>福岡県福岡市博多区豊</v>
      </c>
      <c r="D613" s="2" t="str">
        <f t="shared" si="45"/>
        <v>http://geocode.csis.u-tokyo.ac.jp/cgi-bin/simple_geocode.cgi?charset=UTF8&amp;addr=%E7%A6%8F%E5%B2%A1%E7%9C%8C%E7%A6%8F%E5%B2%A1%E5%B8%82%E5%8D%9A%E5%A4%9A%E5%8C%BA%E8%B1%8A</v>
      </c>
      <c r="E613" t="str">
        <f t="shared" si="46"/>
        <v xml:space="preserve">&lt;?xml version="1.0" encoding="UTF-8" ?&gt;
&lt;results&gt;
&lt;query&gt;福岡県福岡市博多区豊&lt;/query&gt;
&lt;geodetic&gt;wgs1984&lt;/geodetic&gt;
&lt;iConf&gt;5&lt;/iConf&gt;
&lt;converted&gt;福岡県福岡市博多区豊&lt;/converted&gt;
&lt;candidate&gt;
&lt;address&gt;福岡県/福岡市/博多区/豊&lt;/address&gt;
&lt;longitude&gt;130.431747&lt;/longitude&gt;
&lt;latitude&gt;33.596306&lt;/latitude&gt;
&lt;iLvl&gt;5&lt;/iLvl&gt;
&lt;/candidate&gt;
&lt;/results&gt;
</v>
      </c>
      <c r="F613" cm="1">
        <f t="array" ref="F613">INDEX(_xlfn.FILTERXML(E613,"//latitude"),1)</f>
        <v>33.596305999999998</v>
      </c>
      <c r="G613" cm="1">
        <f t="array" ref="G613">INDEX(_xlfn.FILTERXML(E613,"//longitude"),1)</f>
        <v>130.431747</v>
      </c>
      <c r="H613">
        <v>33.596305999999998</v>
      </c>
      <c r="I613">
        <v>130.431747</v>
      </c>
    </row>
    <row r="614" spans="1:9" x14ac:dyDescent="0.4">
      <c r="A614" t="s">
        <v>9</v>
      </c>
      <c r="B614" t="s">
        <v>464</v>
      </c>
      <c r="C614" t="str">
        <f t="shared" si="44"/>
        <v>東京都江東区大島</v>
      </c>
      <c r="D614" s="2" t="str">
        <f t="shared" si="45"/>
        <v>http://geocode.csis.u-tokyo.ac.jp/cgi-bin/simple_geocode.cgi?charset=UTF8&amp;addr=%E6%9D%B1%E4%BA%AC%E9%83%BD%E6%B1%9F%E6%9D%B1%E5%8C%BA%E5%A4%A7%E5%B3%B6</v>
      </c>
      <c r="E614" t="str">
        <f t="shared" si="46"/>
        <v xml:space="preserve">&lt;?xml version="1.0" encoding="UTF-8" ?&gt;
&lt;results&gt;
&lt;query&gt;東京都江東区大島&lt;/query&gt;
&lt;geodetic&gt;wgs1984&lt;/geodetic&gt;
&lt;iConf&gt;5&lt;/iConf&gt;
&lt;converted&gt;東京都江東区大島&lt;/converted&gt;
&lt;candidate&gt;
&lt;address&gt;東京都/江東区/大島&lt;/address&gt;
&lt;longitude&gt;139.823425&lt;/longitude&gt;
&lt;latitude&gt;35.687180&lt;/latitude&gt;
&lt;iLvl&gt;5&lt;/iLvl&gt;
&lt;/candidate&gt;
&lt;/results&gt;
</v>
      </c>
      <c r="F614" cm="1">
        <f t="array" ref="F614">INDEX(_xlfn.FILTERXML(E614,"//latitude"),1)</f>
        <v>35.687179999999998</v>
      </c>
      <c r="G614" cm="1">
        <f t="array" ref="G614">INDEX(_xlfn.FILTERXML(E614,"//longitude"),1)</f>
        <v>139.82342499999999</v>
      </c>
      <c r="H614">
        <v>35.687179999999998</v>
      </c>
      <c r="I614">
        <v>139.82342499999999</v>
      </c>
    </row>
    <row r="615" spans="1:9" x14ac:dyDescent="0.4">
      <c r="A615" t="s">
        <v>31</v>
      </c>
      <c r="B615" t="s">
        <v>465</v>
      </c>
      <c r="C615" t="str">
        <f t="shared" si="44"/>
        <v>北海道恵庭市京町</v>
      </c>
      <c r="D615" s="2" t="str">
        <f t="shared" si="45"/>
        <v>http://geocode.csis.u-tokyo.ac.jp/cgi-bin/simple_geocode.cgi?charset=UTF8&amp;addr=%E5%8C%97%E6%B5%B7%E9%81%93%E6%81%B5%E5%BA%AD%E5%B8%82%E4%BA%AC%E7%94%BA</v>
      </c>
      <c r="E615" t="str">
        <f t="shared" si="46"/>
        <v xml:space="preserve">&lt;?xml version="1.0" encoding="UTF-8" ?&gt;
&lt;results&gt;
&lt;query&gt;北海道恵庭市京町&lt;/query&gt;
&lt;geodetic&gt;wgs1984&lt;/geodetic&gt;
&lt;iConf&gt;5&lt;/iConf&gt;
&lt;converted&gt;北海道恵庭市京町&lt;/converted&gt;
&lt;candidate&gt;
&lt;address&gt;北海道/恵庭市/京町&lt;/address&gt;
&lt;longitude&gt;141.577972&lt;/longitude&gt;
&lt;latitude&gt;42.881622&lt;/latitude&gt;
&lt;iLvl&gt;5&lt;/iLvl&gt;
&lt;/candidate&gt;
&lt;/results&gt;
</v>
      </c>
      <c r="F615" cm="1">
        <f t="array" ref="F615">INDEX(_xlfn.FILTERXML(E615,"//latitude"),1)</f>
        <v>42.881622</v>
      </c>
      <c r="G615" cm="1">
        <f t="array" ref="G615">INDEX(_xlfn.FILTERXML(E615,"//longitude"),1)</f>
        <v>141.57797199999999</v>
      </c>
      <c r="H615">
        <v>42.881622</v>
      </c>
      <c r="I615">
        <v>141.57797199999999</v>
      </c>
    </row>
    <row r="616" spans="1:9" x14ac:dyDescent="0.4">
      <c r="A616" t="s">
        <v>15</v>
      </c>
      <c r="B616" t="s">
        <v>466</v>
      </c>
      <c r="C616" t="str">
        <f t="shared" si="44"/>
        <v>愛知県西春日井郡豊山町豊場中之町</v>
      </c>
      <c r="D616" s="2" t="str">
        <f t="shared" si="45"/>
        <v>http://geocode.csis.u-tokyo.ac.jp/cgi-bin/simple_geocode.cgi?charset=UTF8&amp;addr=%E6%84%9B%E7%9F%A5%E7%9C%8C%E8%A5%BF%E6%98%A5%E6%97%A5%E4%BA%95%E9%83%A1%E8%B1%8A%E5%B1%B1%E7%94%BA%E8%B1%8A%E5%A0%B4%E4%B8%AD%E4%B9%8B%E7%94%BA</v>
      </c>
      <c r="E616" t="str">
        <f t="shared" si="46"/>
        <v xml:space="preserve">&lt;?xml version="1.0" encoding="UTF-8" ?&gt;
&lt;results&gt;
&lt;query&gt;愛知県西春日井郡豊山町豊場中之町&lt;/query&gt;
&lt;geodetic&gt;wgs1984&lt;/geodetic&gt;
&lt;iConf&gt;5&lt;/iConf&gt;
&lt;converted&gt;愛知県西春日井郡豊山町豊場中之町&lt;/converted&gt;
&lt;candidate&gt;
&lt;address&gt;愛知県/西春日井郡/豊山町/大字豊場/中之町&lt;/address&gt;
&lt;longitude&gt;136.914627&lt;/longitude&gt;
&lt;latitude&gt;35.247356&lt;/latitude&gt;
&lt;iLvl&gt;6&lt;/iLvl&gt;
&lt;/candidate&gt;
&lt;/results&gt;
</v>
      </c>
      <c r="F616" cm="1">
        <f t="array" ref="F616">INDEX(_xlfn.FILTERXML(E616,"//latitude"),1)</f>
        <v>35.247356000000003</v>
      </c>
      <c r="G616" cm="1">
        <f t="array" ref="G616">INDEX(_xlfn.FILTERXML(E616,"//longitude"),1)</f>
        <v>136.914627</v>
      </c>
      <c r="H616">
        <v>35.247356000000003</v>
      </c>
      <c r="I616">
        <v>136.914627</v>
      </c>
    </row>
    <row r="617" spans="1:9" x14ac:dyDescent="0.4">
      <c r="A617" t="s">
        <v>9</v>
      </c>
      <c r="B617" t="s">
        <v>414</v>
      </c>
      <c r="C617" t="str">
        <f t="shared" si="44"/>
        <v>東京都世田谷区若林</v>
      </c>
      <c r="D617" s="2" t="str">
        <f t="shared" si="45"/>
        <v>http://geocode.csis.u-tokyo.ac.jp/cgi-bin/simple_geocode.cgi?charset=UTF8&amp;addr=%E6%9D%B1%E4%BA%AC%E9%83%BD%E4%B8%96%E7%94%B0%E8%B0%B7%E5%8C%BA%E8%8B%A5%E6%9E%97</v>
      </c>
      <c r="E617" t="str">
        <f t="shared" si="46"/>
        <v xml:space="preserve">&lt;?xml version="1.0" encoding="UTF-8" ?&gt;
&lt;results&gt;
&lt;query&gt;東京都世田谷区若林&lt;/query&gt;
&lt;geodetic&gt;wgs1984&lt;/geodetic&gt;
&lt;iConf&gt;5&lt;/iConf&gt;
&lt;converted&gt;東京都世田谷区若林&lt;/converted&gt;
&lt;candidate&gt;
&lt;address&gt;東京都/世田谷区/若林&lt;/address&gt;
&lt;longitude&gt;139.663315&lt;/longitude&gt;
&lt;latitude&gt;35.644997&lt;/latitude&gt;
&lt;iLvl&gt;5&lt;/iLvl&gt;
&lt;/candidate&gt;
&lt;/results&gt;
</v>
      </c>
      <c r="F617" cm="1">
        <f t="array" ref="F617">INDEX(_xlfn.FILTERXML(E617,"//latitude"),1)</f>
        <v>35.644996999999996</v>
      </c>
      <c r="G617" cm="1">
        <f t="array" ref="G617">INDEX(_xlfn.FILTERXML(E617,"//longitude"),1)</f>
        <v>139.66331500000001</v>
      </c>
      <c r="H617">
        <v>35.644996999999996</v>
      </c>
      <c r="I617">
        <v>139.66331500000001</v>
      </c>
    </row>
    <row r="618" spans="1:9" x14ac:dyDescent="0.4">
      <c r="A618" t="s">
        <v>15</v>
      </c>
      <c r="B618" t="s">
        <v>419</v>
      </c>
      <c r="C618" t="str">
        <f t="shared" si="44"/>
        <v>愛知県豊明市前後町</v>
      </c>
      <c r="D618" s="2" t="str">
        <f t="shared" si="45"/>
        <v>http://geocode.csis.u-tokyo.ac.jp/cgi-bin/simple_geocode.cgi?charset=UTF8&amp;addr=%E6%84%9B%E7%9F%A5%E7%9C%8C%E8%B1%8A%E6%98%8E%E5%B8%82%E5%89%8D%E5%BE%8C%E7%94%BA</v>
      </c>
      <c r="E618" t="str">
        <f t="shared" si="46"/>
        <v xml:space="preserve">&lt;?xml version="1.0" encoding="UTF-8" ?&gt;
&lt;results&gt;
&lt;query&gt;愛知県豊明市前後町&lt;/query&gt;
&lt;geodetic&gt;wgs1984&lt;/geodetic&gt;
&lt;iConf&gt;5&lt;/iConf&gt;
&lt;converted&gt;愛知県豊明市前後町&lt;/converted&gt;
&lt;candidate&gt;
&lt;address&gt;愛知県/豊明市/前後町&lt;/address&gt;
&lt;longitude&gt;136.994080&lt;/longitude&gt;
&lt;latitude&gt;35.058205&lt;/latitude&gt;
&lt;iLvl&gt;5&lt;/iLvl&gt;
&lt;/candidate&gt;
&lt;/results&gt;
</v>
      </c>
      <c r="F618" cm="1">
        <f t="array" ref="F618">INDEX(_xlfn.FILTERXML(E618,"//latitude"),1)</f>
        <v>35.058205000000001</v>
      </c>
      <c r="G618" cm="1">
        <f t="array" ref="G618">INDEX(_xlfn.FILTERXML(E618,"//longitude"),1)</f>
        <v>136.99408</v>
      </c>
      <c r="H618">
        <v>35.058205000000001</v>
      </c>
      <c r="I618">
        <v>136.99408</v>
      </c>
    </row>
    <row r="619" spans="1:9" x14ac:dyDescent="0.4">
      <c r="A619" t="s">
        <v>44</v>
      </c>
      <c r="B619" t="s">
        <v>633</v>
      </c>
      <c r="C619" t="str">
        <f t="shared" si="44"/>
        <v>和歌山県橋本市橋本</v>
      </c>
      <c r="D619" s="2" t="str">
        <f t="shared" si="45"/>
        <v>http://geocode.csis.u-tokyo.ac.jp/cgi-bin/simple_geocode.cgi?charset=UTF8&amp;addr=%E5%92%8C%E6%AD%8C%E5%B1%B1%E7%9C%8C%E6%A9%8B%E6%9C%AC%E5%B8%82%E6%A9%8B%E6%9C%AC</v>
      </c>
      <c r="E619" t="str">
        <f t="shared" si="46"/>
        <v xml:space="preserve">&lt;?xml version="1.0" encoding="UTF-8" ?&gt;
&lt;results&gt;
&lt;query&gt;和歌山県橋本市橋本&lt;/query&gt;
&lt;geodetic&gt;wgs1984&lt;/geodetic&gt;
&lt;iConf&gt;5&lt;/iConf&gt;
&lt;converted&gt;和歌山県橋本市橋本&lt;/converted&gt;
&lt;candidate&gt;
&lt;address&gt;和歌山県/橋本市/橋本&lt;/address&gt;
&lt;longitude&gt;135.615784&lt;/longitude&gt;
&lt;latitude&gt;34.321644&lt;/latitude&gt;
&lt;iLvl&gt;5&lt;/iLvl&gt;
&lt;/candidate&gt;
&lt;/results&gt;
</v>
      </c>
      <c r="F619" cm="1">
        <f t="array" ref="F619">INDEX(_xlfn.FILTERXML(E619,"//latitude"),1)</f>
        <v>34.321643999999999</v>
      </c>
      <c r="G619" cm="1">
        <f t="array" ref="G619">INDEX(_xlfn.FILTERXML(E619,"//longitude"),1)</f>
        <v>135.61578399999999</v>
      </c>
      <c r="H619">
        <v>34.321643999999999</v>
      </c>
      <c r="I619">
        <v>135.61578399999999</v>
      </c>
    </row>
    <row r="620" spans="1:9" x14ac:dyDescent="0.4">
      <c r="A620" t="s">
        <v>10</v>
      </c>
      <c r="B620" t="s">
        <v>643</v>
      </c>
      <c r="C620" t="str">
        <f t="shared" si="44"/>
        <v>神奈川県横浜市都筑区荏田南</v>
      </c>
      <c r="D620" s="2" t="str">
        <f t="shared" si="45"/>
        <v>http://geocode.csis.u-tokyo.ac.jp/cgi-bin/simple_geocode.cgi?charset=UTF8&amp;addr=%E7%A5%9E%E5%A5%88%E5%B7%9D%E7%9C%8C%E6%A8%AA%E6%B5%9C%E5%B8%82%E9%83%BD%E7%AD%91%E5%8C%BA%E8%8D%8F%E7%94%B0%E5%8D%97</v>
      </c>
      <c r="E620" t="str">
        <f t="shared" si="46"/>
        <v xml:space="preserve">&lt;?xml version="1.0" encoding="UTF-8" ?&gt;
&lt;results&gt;
&lt;query&gt;神奈川県横浜市都筑区荏田南&lt;/query&gt;
&lt;geodetic&gt;wgs1984&lt;/geodetic&gt;
&lt;iConf&gt;5&lt;/iConf&gt;
&lt;converted&gt;神奈川県横浜市都筑区荏田南&lt;/converted&gt;
&lt;candidate&gt;
&lt;address&gt;神奈川県/横浜市/都筑区/荏田南&lt;/address&gt;
&lt;longitude&gt;139.560120&lt;/longitude&gt;
&lt;latitude&gt;35.541790&lt;/latitude&gt;
&lt;iLvl&gt;5&lt;/iLvl&gt;
&lt;/candidate&gt;
&lt;/results&gt;
</v>
      </c>
      <c r="F620" cm="1">
        <f t="array" ref="F620">INDEX(_xlfn.FILTERXML(E620,"//latitude"),1)</f>
        <v>35.541789999999999</v>
      </c>
      <c r="G620" cm="1">
        <f t="array" ref="G620">INDEX(_xlfn.FILTERXML(E620,"//longitude"),1)</f>
        <v>139.56012000000001</v>
      </c>
      <c r="H620">
        <v>35.541789999999999</v>
      </c>
      <c r="I620">
        <v>139.56012000000001</v>
      </c>
    </row>
    <row r="621" spans="1:9" x14ac:dyDescent="0.4">
      <c r="A621" t="s">
        <v>24</v>
      </c>
      <c r="B621" t="s">
        <v>420</v>
      </c>
      <c r="C621" t="str">
        <f t="shared" si="44"/>
        <v>静岡県湖西市大知波</v>
      </c>
      <c r="D621" s="2" t="str">
        <f t="shared" si="45"/>
        <v>http://geocode.csis.u-tokyo.ac.jp/cgi-bin/simple_geocode.cgi?charset=UTF8&amp;addr=%E9%9D%99%E5%B2%A1%E7%9C%8C%E6%B9%96%E8%A5%BF%E5%B8%82%E5%A4%A7%E7%9F%A5%E6%B3%A2</v>
      </c>
      <c r="E621" t="str">
        <f t="shared" si="46"/>
        <v xml:space="preserve">&lt;?xml version="1.0" encoding="UTF-8" ?&gt;
&lt;results&gt;
&lt;query&gt;静岡県湖西市大知波&lt;/query&gt;
&lt;geodetic&gt;wgs1984&lt;/geodetic&gt;
&lt;iConf&gt;5&lt;/iConf&gt;
&lt;converted&gt;静岡県湖西市大知波&lt;/converted&gt;
&lt;candidate&gt;
&lt;address&gt;静岡県/湖西市/大知波&lt;/address&gt;
&lt;longitude&gt;137.494949&lt;/longitude&gt;
&lt;latitude&gt;34.768810&lt;/latitude&gt;
&lt;iLvl&gt;5&lt;/iLvl&gt;
&lt;/candidate&gt;
&lt;/results&gt;
</v>
      </c>
      <c r="F621" cm="1">
        <f t="array" ref="F621">INDEX(_xlfn.FILTERXML(E621,"//latitude"),1)</f>
        <v>34.768810000000002</v>
      </c>
      <c r="G621" cm="1">
        <f t="array" ref="G621">INDEX(_xlfn.FILTERXML(E621,"//longitude"),1)</f>
        <v>137.49494899999999</v>
      </c>
      <c r="H621">
        <v>34.768810000000002</v>
      </c>
      <c r="I621">
        <v>137.49494899999999</v>
      </c>
    </row>
    <row r="622" spans="1:9" x14ac:dyDescent="0.4">
      <c r="A622" t="s">
        <v>164</v>
      </c>
      <c r="B622" t="s">
        <v>467</v>
      </c>
      <c r="C622" t="str">
        <f t="shared" si="44"/>
        <v>広島県東広島市黒瀬町乃美尾</v>
      </c>
      <c r="D622" s="2" t="str">
        <f t="shared" si="45"/>
        <v>http://geocode.csis.u-tokyo.ac.jp/cgi-bin/simple_geocode.cgi?charset=UTF8&amp;addr=%E5%BA%83%E5%B3%B6%E7%9C%8C%E6%9D%B1%E5%BA%83%E5%B3%B6%E5%B8%82%E9%BB%92%E7%80%AC%E7%94%BA%E4%B9%83%E7%BE%8E%E5%B0%BE</v>
      </c>
      <c r="E622" t="str">
        <f t="shared" si="46"/>
        <v xml:space="preserve">&lt;?xml version="1.0" encoding="UTF-8" ?&gt;
&lt;results&gt;
&lt;query&gt;広島県東広島市黒瀬町乃美尾&lt;/query&gt;
&lt;geodetic&gt;wgs1984&lt;/geodetic&gt;
&lt;iConf&gt;5&lt;/iConf&gt;
&lt;converted&gt;広島県東広島市黒瀬町乃美尾&lt;/converted&gt;
&lt;candidate&gt;
&lt;address&gt;広島県/東広島市/黒瀬町乃美尾&lt;/address&gt;
&lt;longitude&gt;132.693207&lt;/longitude&gt;
&lt;latitude&gt;34.331837&lt;/latitude&gt;
&lt;iLvl&gt;5&lt;/iLvl&gt;
&lt;/candidate&gt;
&lt;/results&gt;
</v>
      </c>
      <c r="F622" cm="1">
        <f t="array" ref="F622">INDEX(_xlfn.FILTERXML(E622,"//latitude"),1)</f>
        <v>34.331837</v>
      </c>
      <c r="G622" cm="1">
        <f t="array" ref="G622">INDEX(_xlfn.FILTERXML(E622,"//longitude"),1)</f>
        <v>132.693207</v>
      </c>
      <c r="H622">
        <v>34.331837</v>
      </c>
      <c r="I622">
        <v>132.693207</v>
      </c>
    </row>
    <row r="623" spans="1:9" x14ac:dyDescent="0.4">
      <c r="A623" t="s">
        <v>13</v>
      </c>
      <c r="B623" t="s">
        <v>469</v>
      </c>
      <c r="C623" t="str">
        <f t="shared" si="44"/>
        <v>兵庫県三田市川除</v>
      </c>
      <c r="D623" s="2" t="str">
        <f t="shared" si="45"/>
        <v>http://geocode.csis.u-tokyo.ac.jp/cgi-bin/simple_geocode.cgi?charset=UTF8&amp;addr=%E5%85%B5%E5%BA%AB%E7%9C%8C%E4%B8%89%E7%94%B0%E5%B8%82%E5%B7%9D%E9%99%A4</v>
      </c>
      <c r="E623" t="str">
        <f t="shared" si="46"/>
        <v xml:space="preserve">&lt;?xml version="1.0" encoding="UTF-8" ?&gt;
&lt;results&gt;
&lt;query&gt;兵庫県三田市川除&lt;/query&gt;
&lt;geodetic&gt;wgs1984&lt;/geodetic&gt;
&lt;iConf&gt;5&lt;/iConf&gt;
&lt;converted&gt;兵庫県三田市川除&lt;/converted&gt;
&lt;candidate&gt;
&lt;address&gt;兵庫県/三田市/川除&lt;/address&gt;
&lt;longitude&gt;135.217331&lt;/longitude&gt;
&lt;latitude&gt;34.896477&lt;/latitude&gt;
&lt;iLvl&gt;5&lt;/iLvl&gt;
&lt;/candidate&gt;
&lt;/results&gt;
</v>
      </c>
      <c r="F623" cm="1">
        <f t="array" ref="F623">INDEX(_xlfn.FILTERXML(E623,"//latitude"),1)</f>
        <v>34.896476999999997</v>
      </c>
      <c r="G623" cm="1">
        <f t="array" ref="G623">INDEX(_xlfn.FILTERXML(E623,"//longitude"),1)</f>
        <v>135.217331</v>
      </c>
      <c r="H623">
        <v>34.896476999999997</v>
      </c>
      <c r="I623">
        <v>135.217331</v>
      </c>
    </row>
    <row r="624" spans="1:9" x14ac:dyDescent="0.4">
      <c r="A624" t="s">
        <v>15</v>
      </c>
      <c r="B624" t="s">
        <v>470</v>
      </c>
      <c r="C624" t="str">
        <f t="shared" si="44"/>
        <v>愛知県北名古屋市</v>
      </c>
      <c r="D624" s="2" t="str">
        <f t="shared" si="45"/>
        <v>http://geocode.csis.u-tokyo.ac.jp/cgi-bin/simple_geocode.cgi?charset=UTF8&amp;addr=%E6%84%9B%E7%9F%A5%E7%9C%8C%E5%8C%97%E5%90%8D%E5%8F%A4%E5%B1%8B%E5%B8%82</v>
      </c>
      <c r="E624" t="str">
        <f t="shared" si="46"/>
        <v xml:space="preserve">&lt;?xml version="1.0" encoding="UTF-8" ?&gt;
&lt;results&gt;
&lt;query&gt;愛知県北名古屋市&lt;/query&gt;
&lt;geodetic&gt;wgs1984&lt;/geodetic&gt;
&lt;iConf&gt;5&lt;/iConf&gt;
&lt;converted&gt;愛知県北名古屋市&lt;/converted&gt;
&lt;candidate&gt;
&lt;address&gt;愛知県/北名古屋市&lt;/address&gt;
&lt;longitude&gt;136.865967&lt;/longitude&gt;
&lt;latitude&gt;35.245659&lt;/latitude&gt;
&lt;iLvl&gt;3&lt;/iLvl&gt;
&lt;/candidate&gt;
&lt;/results&gt;
</v>
      </c>
      <c r="F624" cm="1">
        <f t="array" ref="F624">INDEX(_xlfn.FILTERXML(E624,"//latitude"),1)</f>
        <v>35.245659000000003</v>
      </c>
      <c r="G624" cm="1">
        <f t="array" ref="G624">INDEX(_xlfn.FILTERXML(E624,"//longitude"),1)</f>
        <v>136.86596700000001</v>
      </c>
      <c r="H624">
        <v>35.245659000000003</v>
      </c>
      <c r="I624">
        <v>136.86596700000001</v>
      </c>
    </row>
    <row r="625" spans="1:9" x14ac:dyDescent="0.4">
      <c r="A625" t="s">
        <v>12</v>
      </c>
      <c r="B625" t="s">
        <v>471</v>
      </c>
      <c r="C625" t="str">
        <f t="shared" si="44"/>
        <v>埼玉県所沢市喜多町</v>
      </c>
      <c r="D625" s="2" t="str">
        <f t="shared" si="45"/>
        <v>http://geocode.csis.u-tokyo.ac.jp/cgi-bin/simple_geocode.cgi?charset=UTF8&amp;addr=%E5%9F%BC%E7%8E%89%E7%9C%8C%E6%89%80%E6%B2%A2%E5%B8%82%E5%96%9C%E5%A4%9A%E7%94%BA</v>
      </c>
      <c r="E625" t="str">
        <f t="shared" si="46"/>
        <v xml:space="preserve">&lt;?xml version="1.0" encoding="UTF-8" ?&gt;
&lt;results&gt;
&lt;query&gt;埼玉県所沢市喜多町&lt;/query&gt;
&lt;geodetic&gt;wgs1984&lt;/geodetic&gt;
&lt;iConf&gt;5&lt;/iConf&gt;
&lt;converted&gt;埼玉県所沢市喜多町&lt;/converted&gt;
&lt;candidate&gt;
&lt;address&gt;埼玉県/所沢市/喜多町&lt;/address&gt;
&lt;longitude&gt;139.462936&lt;/longitude&gt;
&lt;latitude&gt;35.798931&lt;/latitude&gt;
&lt;iLvl&gt;5&lt;/iLvl&gt;
&lt;/candidate&gt;
&lt;/results&gt;
</v>
      </c>
      <c r="F625" cm="1">
        <f t="array" ref="F625">INDEX(_xlfn.FILTERXML(E625,"//latitude"),1)</f>
        <v>35.798931000000003</v>
      </c>
      <c r="G625" cm="1">
        <f t="array" ref="G625">INDEX(_xlfn.FILTERXML(E625,"//longitude"),1)</f>
        <v>139.46293600000001</v>
      </c>
      <c r="H625">
        <v>35.798931000000003</v>
      </c>
      <c r="I625">
        <v>139.46293600000001</v>
      </c>
    </row>
    <row r="626" spans="1:9" x14ac:dyDescent="0.4">
      <c r="A626" t="s">
        <v>15</v>
      </c>
      <c r="B626" t="s">
        <v>472</v>
      </c>
      <c r="C626" t="str">
        <f t="shared" si="44"/>
        <v>愛知県名古屋市天白区</v>
      </c>
      <c r="D626" s="2" t="str">
        <f t="shared" si="45"/>
        <v>http://geocode.csis.u-tokyo.ac.jp/cgi-bin/simple_geocode.cgi?charset=UTF8&amp;addr=%E6%84%9B%E7%9F%A5%E7%9C%8C%E5%90%8D%E5%8F%A4%E5%B1%8B%E5%B8%82%E5%A4%A9%E7%99%BD%E5%8C%BA</v>
      </c>
      <c r="E626" t="str">
        <f t="shared" si="46"/>
        <v xml:space="preserve">&lt;?xml version="1.0" encoding="UTF-8" ?&gt;
&lt;results&gt;
&lt;query&gt;愛知県名古屋市天白区&lt;/query&gt;
&lt;geodetic&gt;wgs1984&lt;/geodetic&gt;
&lt;iConf&gt;5&lt;/iConf&gt;
&lt;converted&gt;愛知県名古屋市天白区&lt;/converted&gt;
&lt;candidate&gt;
&lt;address&gt;愛知県/名古屋市/天白区&lt;/address&gt;
&lt;longitude&gt;136.975052&lt;/longitude&gt;
&lt;latitude&gt;35.122742&lt;/latitude&gt;
&lt;iLvl&gt;4&lt;/iLvl&gt;
&lt;/candidate&gt;
&lt;/results&gt;
</v>
      </c>
      <c r="F626" cm="1">
        <f t="array" ref="F626">INDEX(_xlfn.FILTERXML(E626,"//latitude"),1)</f>
        <v>35.122742000000002</v>
      </c>
      <c r="G626" cm="1">
        <f t="array" ref="G626">INDEX(_xlfn.FILTERXML(E626,"//longitude"),1)</f>
        <v>136.97505200000001</v>
      </c>
      <c r="H626">
        <v>35.122742000000002</v>
      </c>
      <c r="I626">
        <v>136.97505200000001</v>
      </c>
    </row>
    <row r="627" spans="1:9" x14ac:dyDescent="0.4">
      <c r="A627" t="s">
        <v>9</v>
      </c>
      <c r="B627" t="s">
        <v>421</v>
      </c>
      <c r="C627" t="str">
        <f t="shared" si="44"/>
        <v>東京都東京都墨田区吾妻橋</v>
      </c>
      <c r="D627" s="2" t="str">
        <f t="shared" si="45"/>
        <v>http://geocode.csis.u-tokyo.ac.jp/cgi-bin/simple_geocode.cgi?charset=UTF8&amp;addr=%E6%9D%B1%E4%BA%AC%E9%83%BD%E6%9D%B1%E4%BA%AC%E9%83%BD%E5%A2%A8%E7%94%B0%E5%8C%BA%E5%90%BE%E5%A6%BB%E6%A9%8B</v>
      </c>
      <c r="E627" t="str">
        <f t="shared" si="46"/>
        <v xml:space="preserve">&lt;?xml version="1.0" encoding="UTF-8" ?&gt;
&lt;results&gt;
&lt;query&gt;東京都東京都墨田区吾妻橋&lt;/query&gt;
&lt;geodetic&gt;wgs1984&lt;/geodetic&gt;
&lt;iConf&gt;4&lt;/iConf&gt;
&lt;converted&gt;東京都東&lt;/converted&gt;
&lt;candidate&gt;
&lt;address&gt;東京都/東久留米市&lt;/address&gt;
&lt;longitude&gt;139.529678&lt;/longitude&gt;
&lt;latitude&gt;35.757992&lt;/latitude&gt;
&lt;iLvl&gt;3&lt;/iLvl&gt;
&lt;/candidate&gt;
&lt;candidate&gt;
&lt;address&gt;東京都/東久留米市&lt;/address&gt;
&lt;longitude&gt;139.529678&lt;/longitude&gt;
&lt;latitude&gt;35.757992&lt;/latitude&gt;
&lt;iLvl&gt;3&lt;/iLvl&gt;
&lt;/candidate&gt;
&lt;candidate&gt;
&lt;address&gt;東京都/東村山市&lt;/address&gt;
&lt;longitude&gt;139.468491&lt;/longitude&gt;
&lt;latitude&gt;35.754623&lt;/latitude&gt;
&lt;iLvl&gt;3&lt;/iLvl&gt;
&lt;/candidate&gt;
&lt;candidate&gt;
&lt;address&gt;東京都/東村山市&lt;/address&gt;
&lt;longitude&gt;139.468491&lt;/longitude&gt;
&lt;latitude&gt;35.754623&lt;/latitude&gt;
&lt;iLvl&gt;3&lt;/iLvl&gt;
&lt;/candidate&gt;
&lt;candidate&gt;
&lt;address&gt;東京都/東大和市&lt;/address&gt;
&lt;longitude&gt;139.426590&lt;/longitude&gt;
&lt;latitude&gt;35.745327&lt;/latitude&gt;
&lt;iLvl&gt;3&lt;/iLvl&gt;
&lt;/candidate&gt;
&lt;candidate&gt;
&lt;address&gt;東京都/東大和市&lt;/address&gt;
&lt;longitude&gt;139.426590&lt;/longitude&gt;
&lt;latitude&gt;35.745327&lt;/latitude&gt;
&lt;iLvl&gt;3&lt;/iLvl&gt;
&lt;/candidate&gt;
&lt;/results&gt;
</v>
      </c>
      <c r="F627" cm="1">
        <f t="array" ref="F627">INDEX(_xlfn.FILTERXML(E627,"//latitude"),1)</f>
        <v>35.757992000000002</v>
      </c>
      <c r="G627" cm="1">
        <f t="array" ref="G627">INDEX(_xlfn.FILTERXML(E627,"//longitude"),1)</f>
        <v>139.52967799999999</v>
      </c>
      <c r="H627">
        <v>35.757992000000002</v>
      </c>
      <c r="I627">
        <v>139.52967799999999</v>
      </c>
    </row>
    <row r="628" spans="1:9" x14ac:dyDescent="0.4">
      <c r="A628" t="s">
        <v>30</v>
      </c>
      <c r="B628" t="s">
        <v>336</v>
      </c>
      <c r="C628" t="str">
        <f t="shared" si="44"/>
        <v>石川県金沢市</v>
      </c>
      <c r="D628" s="2" t="str">
        <f t="shared" si="45"/>
        <v>http://geocode.csis.u-tokyo.ac.jp/cgi-bin/simple_geocode.cgi?charset=UTF8&amp;addr=%E7%9F%B3%E5%B7%9D%E7%9C%8C%E9%87%91%E6%B2%A2%E5%B8%82</v>
      </c>
      <c r="E628" t="str">
        <f t="shared" si="46"/>
        <v xml:space="preserve">&lt;?xml version="1.0" encoding="UTF-8" ?&gt;
&lt;results&gt;
&lt;query&gt;石川県金沢市&lt;/query&gt;
&lt;geodetic&gt;wgs1984&lt;/geodetic&gt;
&lt;iConf&gt;5&lt;/iConf&gt;
&lt;converted&gt;石川県金沢市&lt;/converted&gt;
&lt;candidate&gt;
&lt;address&gt;石川県/金沢市&lt;/address&gt;
&lt;longitude&gt;136.656631&lt;/longitude&gt;
&lt;latitude&gt;36.561050&lt;/latitude&gt;
&lt;iLvl&gt;3&lt;/iLvl&gt;
&lt;/candidate&gt;
&lt;/results&gt;
</v>
      </c>
      <c r="F628" cm="1">
        <f t="array" ref="F628">INDEX(_xlfn.FILTERXML(E628,"//latitude"),1)</f>
        <v>36.561050000000002</v>
      </c>
      <c r="G628" cm="1">
        <f t="array" ref="G628">INDEX(_xlfn.FILTERXML(E628,"//longitude"),1)</f>
        <v>136.656631</v>
      </c>
      <c r="H628">
        <v>36.561050000000002</v>
      </c>
      <c r="I628">
        <v>136.656631</v>
      </c>
    </row>
    <row r="629" spans="1:9" x14ac:dyDescent="0.4">
      <c r="A629" t="s">
        <v>12</v>
      </c>
      <c r="B629" t="s">
        <v>422</v>
      </c>
      <c r="C629" t="str">
        <f t="shared" si="44"/>
        <v>埼玉県蕨市</v>
      </c>
      <c r="D629" s="2" t="str">
        <f t="shared" si="45"/>
        <v>http://geocode.csis.u-tokyo.ac.jp/cgi-bin/simple_geocode.cgi?charset=UTF8&amp;addr=%E5%9F%BC%E7%8E%89%E7%9C%8C%E8%95%A8%E5%B8%82</v>
      </c>
      <c r="E629" t="str">
        <f t="shared" si="46"/>
        <v xml:space="preserve">&lt;?xml version="1.0" encoding="UTF-8" ?&gt;
&lt;results&gt;
&lt;query&gt;埼玉県蕨市&lt;/query&gt;
&lt;geodetic&gt;wgs1984&lt;/geodetic&gt;
&lt;iConf&gt;5&lt;/iConf&gt;
&lt;converted&gt;埼玉県蕨市&lt;/converted&gt;
&lt;candidate&gt;
&lt;address&gt;埼玉県/蕨市&lt;/address&gt;
&lt;longitude&gt;139.679764&lt;/longitude&gt;
&lt;latitude&gt;35.825577&lt;/latitude&gt;
&lt;iLvl&gt;3&lt;/iLvl&gt;
&lt;/candidate&gt;
&lt;/results&gt;
</v>
      </c>
      <c r="F629" cm="1">
        <f t="array" ref="F629">INDEX(_xlfn.FILTERXML(E629,"//latitude"),1)</f>
        <v>35.825577000000003</v>
      </c>
      <c r="G629" cm="1">
        <f t="array" ref="G629">INDEX(_xlfn.FILTERXML(E629,"//longitude"),1)</f>
        <v>139.67976400000001</v>
      </c>
      <c r="H629">
        <v>35.825577000000003</v>
      </c>
      <c r="I629">
        <v>139.67976400000001</v>
      </c>
    </row>
    <row r="630" spans="1:9" x14ac:dyDescent="0.4">
      <c r="A630" t="s">
        <v>15</v>
      </c>
      <c r="B630" t="s">
        <v>423</v>
      </c>
      <c r="C630" t="str">
        <f t="shared" si="44"/>
        <v>愛知県半田市板山町</v>
      </c>
      <c r="D630" s="2" t="str">
        <f t="shared" si="45"/>
        <v>http://geocode.csis.u-tokyo.ac.jp/cgi-bin/simple_geocode.cgi?charset=UTF8&amp;addr=%E6%84%9B%E7%9F%A5%E7%9C%8C%E5%8D%8A%E7%94%B0%E5%B8%82%E6%9D%BF%E5%B1%B1%E7%94%BA</v>
      </c>
      <c r="E630" t="str">
        <f t="shared" si="46"/>
        <v xml:space="preserve">&lt;?xml version="1.0" encoding="UTF-8" ?&gt;
&lt;results&gt;
&lt;query&gt;愛知県半田市板山町&lt;/query&gt;
&lt;geodetic&gt;wgs1984&lt;/geodetic&gt;
&lt;iConf&gt;5&lt;/iConf&gt;
&lt;converted&gt;愛知県半田市板山町&lt;/converted&gt;
&lt;candidate&gt;
&lt;address&gt;愛知県/半田市/板山町&lt;/address&gt;
&lt;longitude&gt;136.892120&lt;/longitude&gt;
&lt;latitude&gt;34.890343&lt;/latitude&gt;
&lt;iLvl&gt;5&lt;/iLvl&gt;
&lt;/candidate&gt;
&lt;/results&gt;
</v>
      </c>
      <c r="F630" cm="1">
        <f t="array" ref="F630">INDEX(_xlfn.FILTERXML(E630,"//latitude"),1)</f>
        <v>34.890343000000001</v>
      </c>
      <c r="G630" cm="1">
        <f t="array" ref="G630">INDEX(_xlfn.FILTERXML(E630,"//longitude"),1)</f>
        <v>136.89212000000001</v>
      </c>
      <c r="H630">
        <v>34.890343000000001</v>
      </c>
      <c r="I630">
        <v>136.89212000000001</v>
      </c>
    </row>
    <row r="631" spans="1:9" x14ac:dyDescent="0.4">
      <c r="A631" t="s">
        <v>19</v>
      </c>
      <c r="B631" t="s">
        <v>424</v>
      </c>
      <c r="C631" t="str">
        <f t="shared" si="44"/>
        <v>福岡県小郡市小郡</v>
      </c>
      <c r="D631" s="2" t="str">
        <f t="shared" si="45"/>
        <v>http://geocode.csis.u-tokyo.ac.jp/cgi-bin/simple_geocode.cgi?charset=UTF8&amp;addr=%E7%A6%8F%E5%B2%A1%E7%9C%8C%E5%B0%8F%E9%83%A1%E5%B8%82%E5%B0%8F%E9%83%A1</v>
      </c>
      <c r="E631" t="str">
        <f t="shared" si="46"/>
        <v xml:space="preserve">&lt;?xml version="1.0" encoding="UTF-8" ?&gt;
&lt;results&gt;
&lt;query&gt;福岡県小郡市小郡&lt;/query&gt;
&lt;geodetic&gt;wgs1984&lt;/geodetic&gt;
&lt;iConf&gt;5&lt;/iConf&gt;
&lt;converted&gt;福岡県小郡市小郡&lt;/converted&gt;
&lt;candidate&gt;
&lt;address&gt;福岡県/小郡市/小郡&lt;/address&gt;
&lt;longitude&gt;130.549606&lt;/longitude&gt;
&lt;latitude&gt;33.402664&lt;/latitude&gt;
&lt;iLvl&gt;5&lt;/iLvl&gt;
&lt;/candidate&gt;
&lt;/results&gt;
</v>
      </c>
      <c r="F631" cm="1">
        <f t="array" ref="F631">INDEX(_xlfn.FILTERXML(E631,"//latitude"),1)</f>
        <v>33.402664000000001</v>
      </c>
      <c r="G631" cm="1">
        <f t="array" ref="G631">INDEX(_xlfn.FILTERXML(E631,"//longitude"),1)</f>
        <v>130.54960600000001</v>
      </c>
      <c r="H631">
        <v>33.402664000000001</v>
      </c>
      <c r="I631">
        <v>130.54960600000001</v>
      </c>
    </row>
    <row r="632" spans="1:9" x14ac:dyDescent="0.4">
      <c r="A632" t="s">
        <v>10</v>
      </c>
      <c r="B632" t="s">
        <v>473</v>
      </c>
      <c r="C632" t="str">
        <f t="shared" si="44"/>
        <v>神奈川県横浜市保土ケ谷区月見台</v>
      </c>
      <c r="D632" s="2" t="str">
        <f t="shared" si="45"/>
        <v>http://geocode.csis.u-tokyo.ac.jp/cgi-bin/simple_geocode.cgi?charset=UTF8&amp;addr=%E7%A5%9E%E5%A5%88%E5%B7%9D%E7%9C%8C%E6%A8%AA%E6%B5%9C%E5%B8%82%E4%BF%9D%E5%9C%9F%E3%82%B1%E8%B0%B7%E5%8C%BA%E6%9C%88%E8%A6%8B%E5%8F%B0</v>
      </c>
      <c r="E632" t="str">
        <f t="shared" si="46"/>
        <v xml:space="preserve">&lt;?xml version="1.0" encoding="UTF-8" ?&gt;
&lt;results&gt;
&lt;query&gt;神奈川県横浜市保土ケ谷区月見台&lt;/query&gt;
&lt;geodetic&gt;wgs1984&lt;/geodetic&gt;
&lt;iConf&gt;5&lt;/iConf&gt;
&lt;converted&gt;神奈川県横浜市保土ケ谷区月見台&lt;/converted&gt;
&lt;candidate&gt;
&lt;address&gt;神奈川県/横浜市/保土ケ谷区/月見台&lt;/address&gt;
&lt;longitude&gt;139.596390&lt;/longitude&gt;
&lt;latitude&gt;35.449223&lt;/latitude&gt;
&lt;iLvl&gt;5&lt;/iLvl&gt;
&lt;/candidate&gt;
&lt;/results&gt;
</v>
      </c>
      <c r="F632" cm="1">
        <f t="array" ref="F632">INDEX(_xlfn.FILTERXML(E632,"//latitude"),1)</f>
        <v>35.449223000000003</v>
      </c>
      <c r="G632" cm="1">
        <f t="array" ref="G632">INDEX(_xlfn.FILTERXML(E632,"//longitude"),1)</f>
        <v>139.59639000000001</v>
      </c>
      <c r="H632">
        <v>35.449223000000003</v>
      </c>
      <c r="I632">
        <v>139.59639000000001</v>
      </c>
    </row>
    <row r="633" spans="1:9" x14ac:dyDescent="0.4">
      <c r="A633" t="s">
        <v>11</v>
      </c>
      <c r="B633" t="s">
        <v>474</v>
      </c>
      <c r="C633" t="str">
        <f t="shared" si="44"/>
        <v>大阪府泉大津市板原町</v>
      </c>
      <c r="D633" s="2" t="str">
        <f t="shared" si="45"/>
        <v>http://geocode.csis.u-tokyo.ac.jp/cgi-bin/simple_geocode.cgi?charset=UTF8&amp;addr=%E5%A4%A7%E9%98%AA%E5%BA%9C%E6%B3%89%E5%A4%A7%E6%B4%A5%E5%B8%82%E6%9D%BF%E5%8E%9F%E7%94%BA</v>
      </c>
      <c r="E633" t="str">
        <f t="shared" si="46"/>
        <v xml:space="preserve">&lt;?xml version="1.0" encoding="UTF-8" ?&gt;
&lt;results&gt;
&lt;query&gt;大阪府泉大津市板原町&lt;/query&gt;
&lt;geodetic&gt;wgs1984&lt;/geodetic&gt;
&lt;iConf&gt;5&lt;/iConf&gt;
&lt;converted&gt;大阪府泉大津市板原町&lt;/converted&gt;
&lt;candidate&gt;
&lt;address&gt;大阪府/泉大津市/板原町&lt;/address&gt;
&lt;longitude&gt;135.412384&lt;/longitude&gt;
&lt;latitude&gt;34.489590&lt;/latitude&gt;
&lt;iLvl&gt;5&lt;/iLvl&gt;
&lt;/candidate&gt;
&lt;/results&gt;
</v>
      </c>
      <c r="F633" cm="1">
        <f t="array" ref="F633">INDEX(_xlfn.FILTERXML(E633,"//latitude"),1)</f>
        <v>34.48959</v>
      </c>
      <c r="G633" cm="1">
        <f t="array" ref="G633">INDEX(_xlfn.FILTERXML(E633,"//longitude"),1)</f>
        <v>135.412384</v>
      </c>
      <c r="H633" s="3">
        <v>34.48959</v>
      </c>
      <c r="I633" s="3">
        <v>135.412384</v>
      </c>
    </row>
    <row r="634" spans="1:9" x14ac:dyDescent="0.4">
      <c r="A634" t="s">
        <v>16</v>
      </c>
      <c r="B634" t="s">
        <v>45</v>
      </c>
      <c r="C634" t="str">
        <f t="shared" si="44"/>
        <v>千葉県我孫子市</v>
      </c>
      <c r="D634" s="2" t="str">
        <f t="shared" si="45"/>
        <v>http://geocode.csis.u-tokyo.ac.jp/cgi-bin/simple_geocode.cgi?charset=UTF8&amp;addr=%E5%8D%83%E8%91%89%E7%9C%8C%E6%88%91%E5%AD%AB%E5%AD%90%E5%B8%82</v>
      </c>
      <c r="E634" t="str">
        <f t="shared" si="46"/>
        <v xml:space="preserve">&lt;?xml version="1.0" encoding="UTF-8" ?&gt;
&lt;results&gt;
&lt;query&gt;千葉県我孫子市&lt;/query&gt;
&lt;geodetic&gt;wgs1984&lt;/geodetic&gt;
&lt;iConf&gt;5&lt;/iConf&gt;
&lt;converted&gt;千葉県我孫子市&lt;/converted&gt;
&lt;candidate&gt;
&lt;address&gt;千葉県/我孫子市&lt;/address&gt;
&lt;longitude&gt;140.028229&lt;/longitude&gt;
&lt;latitude&gt;35.864162&lt;/latitude&gt;
&lt;iLvl&gt;3&lt;/iLvl&gt;
&lt;/candidate&gt;
&lt;/results&gt;
</v>
      </c>
      <c r="F634" cm="1">
        <f t="array" ref="F634">INDEX(_xlfn.FILTERXML(E634,"//latitude"),1)</f>
        <v>35.864162</v>
      </c>
      <c r="G634" cm="1">
        <f t="array" ref="G634">INDEX(_xlfn.FILTERXML(E634,"//longitude"),1)</f>
        <v>140.02822900000001</v>
      </c>
      <c r="H634">
        <v>35.864162</v>
      </c>
      <c r="I634">
        <v>140.02822900000001</v>
      </c>
    </row>
    <row r="635" spans="1:9" x14ac:dyDescent="0.4">
      <c r="A635" t="s">
        <v>9</v>
      </c>
      <c r="B635" t="s">
        <v>339</v>
      </c>
      <c r="C635" t="str">
        <f t="shared" si="44"/>
        <v>東京都練馬区早宮</v>
      </c>
      <c r="D635" s="2" t="str">
        <f t="shared" si="45"/>
        <v>http://geocode.csis.u-tokyo.ac.jp/cgi-bin/simple_geocode.cgi?charset=UTF8&amp;addr=%E6%9D%B1%E4%BA%AC%E9%83%BD%E7%B7%B4%E9%A6%AC%E5%8C%BA%E6%97%A9%E5%AE%AE</v>
      </c>
      <c r="E635" t="str">
        <f t="shared" si="46"/>
        <v xml:space="preserve">&lt;?xml version="1.0" encoding="UTF-8" ?&gt;
&lt;results&gt;
&lt;query&gt;東京都練馬区早宮&lt;/query&gt;
&lt;geodetic&gt;wgs1984&lt;/geodetic&gt;
&lt;iConf&gt;5&lt;/iConf&gt;
&lt;converted&gt;東京都練馬区早宮&lt;/converted&gt;
&lt;candidate&gt;
&lt;address&gt;東京都/練馬区/早宮&lt;/address&gt;
&lt;longitude&gt;139.658859&lt;/longitude&gt;
&lt;latitude&gt;35.751560&lt;/latitude&gt;
&lt;iLvl&gt;5&lt;/iLvl&gt;
&lt;/candidate&gt;
&lt;/results&gt;
</v>
      </c>
      <c r="F635" cm="1">
        <f t="array" ref="F635">INDEX(_xlfn.FILTERXML(E635,"//latitude"),1)</f>
        <v>35.751559999999998</v>
      </c>
      <c r="G635" cm="1">
        <f t="array" ref="G635">INDEX(_xlfn.FILTERXML(E635,"//longitude"),1)</f>
        <v>139.65885900000001</v>
      </c>
      <c r="H635">
        <v>35.751559999999998</v>
      </c>
      <c r="I635">
        <v>139.65885900000001</v>
      </c>
    </row>
    <row r="636" spans="1:9" x14ac:dyDescent="0.4">
      <c r="A636" t="s">
        <v>150</v>
      </c>
      <c r="B636" t="s">
        <v>425</v>
      </c>
      <c r="C636" t="str">
        <f t="shared" si="44"/>
        <v>群馬県館林市赤土町</v>
      </c>
      <c r="D636" s="2" t="str">
        <f t="shared" si="45"/>
        <v>http://geocode.csis.u-tokyo.ac.jp/cgi-bin/simple_geocode.cgi?charset=UTF8&amp;addr=%E7%BE%A4%E9%A6%AC%E7%9C%8C%E9%A4%A8%E6%9E%97%E5%B8%82%E8%B5%A4%E5%9C%9F%E7%94%BA</v>
      </c>
      <c r="E636" t="str">
        <f t="shared" si="46"/>
        <v xml:space="preserve">&lt;?xml version="1.0" encoding="UTF-8" ?&gt;
&lt;results&gt;
&lt;query&gt;群馬県館林市赤土町&lt;/query&gt;
&lt;geodetic&gt;wgs1984&lt;/geodetic&gt;
&lt;iConf&gt;5&lt;/iConf&gt;
&lt;converted&gt;群馬県館林市赤土町&lt;/converted&gt;
&lt;candidate&gt;
&lt;address&gt;群馬県/館林市/赤土町&lt;/address&gt;
&lt;longitude&gt;139.517578&lt;/longitude&gt;
&lt;latitude&gt;36.241440&lt;/latitude&gt;
&lt;iLvl&gt;5&lt;/iLvl&gt;
&lt;/candidate&gt;
&lt;/results&gt;
</v>
      </c>
      <c r="F636" cm="1">
        <f t="array" ref="F636">INDEX(_xlfn.FILTERXML(E636,"//latitude"),1)</f>
        <v>36.241439999999997</v>
      </c>
      <c r="G636" cm="1">
        <f t="array" ref="G636">INDEX(_xlfn.FILTERXML(E636,"//longitude"),1)</f>
        <v>139.51757799999999</v>
      </c>
      <c r="H636">
        <v>36.241439999999997</v>
      </c>
      <c r="I636">
        <v>139.51757799999999</v>
      </c>
    </row>
    <row r="637" spans="1:9" x14ac:dyDescent="0.4">
      <c r="A637" t="s">
        <v>132</v>
      </c>
      <c r="B637" t="s">
        <v>426</v>
      </c>
      <c r="C637" t="str">
        <f t="shared" si="44"/>
        <v>岡山県岡山市北区大安寺中町</v>
      </c>
      <c r="D637" s="2" t="str">
        <f t="shared" si="45"/>
        <v>http://geocode.csis.u-tokyo.ac.jp/cgi-bin/simple_geocode.cgi?charset=UTF8&amp;addr=%E5%B2%A1%E5%B1%B1%E7%9C%8C%E5%B2%A1%E5%B1%B1%E5%B8%82%E5%8C%97%E5%8C%BA%E5%A4%A7%E5%AE%89%E5%AF%BA%E4%B8%AD%E7%94%BA</v>
      </c>
      <c r="E637" t="str">
        <f t="shared" si="46"/>
        <v xml:space="preserve">&lt;?xml version="1.0" encoding="UTF-8" ?&gt;
&lt;results&gt;
&lt;query&gt;岡山県岡山市北区大安寺中町&lt;/query&gt;
&lt;geodetic&gt;wgs1984&lt;/geodetic&gt;
&lt;iConf&gt;5&lt;/iConf&gt;
&lt;converted&gt;岡山県岡山市北区大安寺中町&lt;/converted&gt;
&lt;candidate&gt;
&lt;address&gt;岡山県/岡山市/北区/大安寺中町&lt;/address&gt;
&lt;longitude&gt;133.887405&lt;/longitude&gt;
&lt;latitude&gt;34.666660&lt;/latitude&gt;
&lt;iLvl&gt;5&lt;/iLvl&gt;
&lt;/candidate&gt;
&lt;/results&gt;
</v>
      </c>
      <c r="F637" cm="1">
        <f t="array" ref="F637">INDEX(_xlfn.FILTERXML(E637,"//latitude"),1)</f>
        <v>34.66666</v>
      </c>
      <c r="G637" cm="1">
        <f t="array" ref="G637">INDEX(_xlfn.FILTERXML(E637,"//longitude"),1)</f>
        <v>133.887405</v>
      </c>
      <c r="H637">
        <v>34.66666</v>
      </c>
      <c r="I637">
        <v>133.887405</v>
      </c>
    </row>
    <row r="638" spans="1:9" x14ac:dyDescent="0.4">
      <c r="A638" t="s">
        <v>11</v>
      </c>
      <c r="B638" t="s">
        <v>427</v>
      </c>
      <c r="C638" t="str">
        <f t="shared" si="44"/>
        <v>大阪府寝屋川市仁和寺本町</v>
      </c>
      <c r="D638" s="2" t="str">
        <f t="shared" si="45"/>
        <v>http://geocode.csis.u-tokyo.ac.jp/cgi-bin/simple_geocode.cgi?charset=UTF8&amp;addr=%E5%A4%A7%E9%98%AA%E5%BA%9C%E5%AF%9D%E5%B1%8B%E5%B7%9D%E5%B8%82%E4%BB%81%E5%92%8C%E5%AF%BA%E6%9C%AC%E7%94%BA</v>
      </c>
      <c r="E638" t="str">
        <f t="shared" si="46"/>
        <v xml:space="preserve">&lt;?xml version="1.0" encoding="UTF-8" ?&gt;
&lt;results&gt;
&lt;query&gt;大阪府寝屋川市仁和寺本町&lt;/query&gt;
&lt;geodetic&gt;wgs1984&lt;/geodetic&gt;
&lt;iConf&gt;5&lt;/iConf&gt;
&lt;converted&gt;大阪府寝屋川市仁和寺本町&lt;/converted&gt;
&lt;candidate&gt;
&lt;address&gt;大阪府/寝屋川市/仁和寺本町&lt;/address&gt;
&lt;longitude&gt;135.595444&lt;/longitude&gt;
&lt;latitude&gt;34.772381&lt;/latitude&gt;
&lt;iLvl&gt;5&lt;/iLvl&gt;
&lt;/candidate&gt;
&lt;/results&gt;
</v>
      </c>
      <c r="F638" cm="1">
        <f t="array" ref="F638">INDEX(_xlfn.FILTERXML(E638,"//latitude"),1)</f>
        <v>34.772381000000003</v>
      </c>
      <c r="G638" cm="1">
        <f t="array" ref="G638">INDEX(_xlfn.FILTERXML(E638,"//longitude"),1)</f>
        <v>135.59544399999999</v>
      </c>
      <c r="H638">
        <v>34.772381000000003</v>
      </c>
      <c r="I638">
        <v>135.59544399999999</v>
      </c>
    </row>
    <row r="639" spans="1:9" x14ac:dyDescent="0.4">
      <c r="A639" t="s">
        <v>9</v>
      </c>
      <c r="B639" t="s">
        <v>428</v>
      </c>
      <c r="C639" t="str">
        <f t="shared" si="44"/>
        <v>東京都文京区大塚</v>
      </c>
      <c r="D639" s="2" t="str">
        <f t="shared" si="45"/>
        <v>http://geocode.csis.u-tokyo.ac.jp/cgi-bin/simple_geocode.cgi?charset=UTF8&amp;addr=%E6%9D%B1%E4%BA%AC%E9%83%BD%E6%96%87%E4%BA%AC%E5%8C%BA%E5%A4%A7%E5%A1%9A</v>
      </c>
      <c r="E639" t="str">
        <f t="shared" si="46"/>
        <v xml:space="preserve">&lt;?xml version="1.0" encoding="UTF-8" ?&gt;
&lt;results&gt;
&lt;query&gt;東京都文京区大塚&lt;/query&gt;
&lt;geodetic&gt;wgs1984&lt;/geodetic&gt;
&lt;iConf&gt;5&lt;/iConf&gt;
&lt;converted&gt;東京都文京区大塚&lt;/converted&gt;
&lt;candidate&gt;
&lt;address&gt;東京都/文京区/大塚&lt;/address&gt;
&lt;longitude&gt;139.732788&lt;/longitude&gt;
&lt;latitude&gt;35.717064&lt;/latitude&gt;
&lt;iLvl&gt;5&lt;/iLvl&gt;
&lt;/candidate&gt;
&lt;/results&gt;
</v>
      </c>
      <c r="F639" cm="1">
        <f t="array" ref="F639">INDEX(_xlfn.FILTERXML(E639,"//latitude"),1)</f>
        <v>35.717064000000001</v>
      </c>
      <c r="G639" cm="1">
        <f t="array" ref="G639">INDEX(_xlfn.FILTERXML(E639,"//longitude"),1)</f>
        <v>139.732788</v>
      </c>
      <c r="H639">
        <v>35.717064000000001</v>
      </c>
      <c r="I639">
        <v>139.732788</v>
      </c>
    </row>
    <row r="640" spans="1:9" x14ac:dyDescent="0.4">
      <c r="A640" t="s">
        <v>16</v>
      </c>
      <c r="B640" t="s">
        <v>429</v>
      </c>
      <c r="C640" t="str">
        <f t="shared" si="44"/>
        <v>千葉県千葉市中央区大森町</v>
      </c>
      <c r="D640" s="2" t="str">
        <f t="shared" si="45"/>
        <v>http://geocode.csis.u-tokyo.ac.jp/cgi-bin/simple_geocode.cgi?charset=UTF8&amp;addr=%E5%8D%83%E8%91%89%E7%9C%8C%E5%8D%83%E8%91%89%E5%B8%82%E4%B8%AD%E5%A4%AE%E5%8C%BA%E5%A4%A7%E6%A3%AE%E7%94%BA</v>
      </c>
      <c r="E640" t="str">
        <f t="shared" si="46"/>
        <v xml:space="preserve">&lt;?xml version="1.0" encoding="UTF-8" ?&gt;
&lt;results&gt;
&lt;query&gt;千葉県千葉市中央区大森町&lt;/query&gt;
&lt;geodetic&gt;wgs1984&lt;/geodetic&gt;
&lt;iConf&gt;5&lt;/iConf&gt;
&lt;converted&gt;千葉県千葉市中央区大森町&lt;/converted&gt;
&lt;candidate&gt;
&lt;address&gt;千葉県/千葉市/中央区/大森町&lt;/address&gt;
&lt;longitude&gt;140.147705&lt;/longitude&gt;
&lt;latitude&gt;35.580109&lt;/latitude&gt;
&lt;iLvl&gt;5&lt;/iLvl&gt;
&lt;/candidate&gt;
&lt;/results&gt;
</v>
      </c>
      <c r="F640" cm="1">
        <f t="array" ref="F640">INDEX(_xlfn.FILTERXML(E640,"//latitude"),1)</f>
        <v>35.580109</v>
      </c>
      <c r="G640" cm="1">
        <f t="array" ref="G640">INDEX(_xlfn.FILTERXML(E640,"//longitude"),1)</f>
        <v>140.147705</v>
      </c>
      <c r="H640">
        <v>35.580109</v>
      </c>
      <c r="I640">
        <v>140.147705</v>
      </c>
    </row>
    <row r="641" spans="1:9" x14ac:dyDescent="0.4">
      <c r="A641" t="s">
        <v>164</v>
      </c>
      <c r="B641" t="s">
        <v>430</v>
      </c>
      <c r="C641" t="str">
        <f t="shared" si="44"/>
        <v>広島県安芸郡海田町南つくも町</v>
      </c>
      <c r="D641" s="2" t="str">
        <f t="shared" si="45"/>
        <v>http://geocode.csis.u-tokyo.ac.jp/cgi-bin/simple_geocode.cgi?charset=UTF8&amp;addr=%E5%BA%83%E5%B3%B6%E7%9C%8C%E5%AE%89%E8%8A%B8%E9%83%A1%E6%B5%B7%E7%94%B0%E7%94%BA%E5%8D%97%E3%81%A4%E3%81%8F%E3%82%82%E7%94%BA</v>
      </c>
      <c r="E641" t="str">
        <f t="shared" si="46"/>
        <v xml:space="preserve">&lt;?xml version="1.0" encoding="UTF-8" ?&gt;
&lt;results&gt;
&lt;query&gt;広島県安芸郡海田町南つくも町&lt;/query&gt;
&lt;geodetic&gt;wgs1984&lt;/geodetic&gt;
&lt;iConf&gt;5&lt;/iConf&gt;
&lt;converted&gt;広島県安芸郡海田町南つくも町&lt;/converted&gt;
&lt;candidate&gt;
&lt;address&gt;広島県/安芸郡/海田町/南つくも町&lt;/address&gt;
&lt;longitude&gt;132.530457&lt;/longitude&gt;
&lt;latitude&gt;34.364731&lt;/latitude&gt;
&lt;iLvl&gt;5&lt;/iLvl&gt;
&lt;/candidate&gt;
&lt;/results&gt;
</v>
      </c>
      <c r="F641" cm="1">
        <f t="array" ref="F641">INDEX(_xlfn.FILTERXML(E641,"//latitude"),1)</f>
        <v>34.364730999999999</v>
      </c>
      <c r="G641" cm="1">
        <f t="array" ref="G641">INDEX(_xlfn.FILTERXML(E641,"//longitude"),1)</f>
        <v>132.53045700000001</v>
      </c>
      <c r="H641">
        <v>34.364730999999999</v>
      </c>
      <c r="I641">
        <v>132.53045700000001</v>
      </c>
    </row>
    <row r="642" spans="1:9" x14ac:dyDescent="0.4">
      <c r="A642" t="s">
        <v>95</v>
      </c>
      <c r="B642" t="s">
        <v>431</v>
      </c>
      <c r="C642" t="str">
        <f t="shared" si="44"/>
        <v>福島県東白川郡棚倉町大字棚倉字広畑</v>
      </c>
      <c r="D642" s="2" t="str">
        <f t="shared" si="45"/>
        <v>http://geocode.csis.u-tokyo.ac.jp/cgi-bin/simple_geocode.cgi?charset=UTF8&amp;addr=%E7%A6%8F%E5%B3%B6%E7%9C%8C%E6%9D%B1%E7%99%BD%E5%B7%9D%E9%83%A1%E6%A3%9A%E5%80%89%E7%94%BA%E5%A4%A7%E5%AD%97%E6%A3%9A%E5%80%89%E5%AD%97%E5%BA%83%E7%95%91</v>
      </c>
      <c r="E642" t="str">
        <f t="shared" si="46"/>
        <v xml:space="preserve">&lt;?xml version="1.0" encoding="UTF-8" ?&gt;
&lt;results&gt;
&lt;query&gt;福島県東白川郡棚倉町大字棚倉字広畑&lt;/query&gt;
&lt;geodetic&gt;wgs1984&lt;/geodetic&gt;
&lt;iConf&gt;5&lt;/iConf&gt;
&lt;converted&gt;福島県東白川郡棚倉町大字棚倉字広畑&lt;/converted&gt;
&lt;candidate&gt;
&lt;address&gt;福島県/東白川郡/棚倉町/大字棚倉/広畑&lt;/address&gt;
&lt;longitude&gt;140.373138&lt;/longitude&gt;
&lt;latitude&gt;37.029034&lt;/latitude&gt;
&lt;iLvl&gt;6&lt;/iLvl&gt;
&lt;/candidate&gt;
&lt;/results&gt;
</v>
      </c>
      <c r="F642" cm="1">
        <f t="array" ref="F642">INDEX(_xlfn.FILTERXML(E642,"//latitude"),1)</f>
        <v>37.029034000000003</v>
      </c>
      <c r="G642" cm="1">
        <f t="array" ref="G642">INDEX(_xlfn.FILTERXML(E642,"//longitude"),1)</f>
        <v>140.37313800000001</v>
      </c>
      <c r="H642">
        <v>37.029034000000003</v>
      </c>
      <c r="I642">
        <v>140.37313800000001</v>
      </c>
    </row>
    <row r="643" spans="1:9" x14ac:dyDescent="0.4">
      <c r="A643" t="s">
        <v>11</v>
      </c>
      <c r="B643" t="s">
        <v>432</v>
      </c>
      <c r="C643" t="str">
        <f t="shared" si="44"/>
        <v>大阪府富田林市</v>
      </c>
      <c r="D643" s="2" t="str">
        <f t="shared" si="45"/>
        <v>http://geocode.csis.u-tokyo.ac.jp/cgi-bin/simple_geocode.cgi?charset=UTF8&amp;addr=%E5%A4%A7%E9%98%AA%E5%BA%9C%E5%AF%8C%E7%94%B0%E6%9E%97%E5%B8%82</v>
      </c>
      <c r="E643" t="str">
        <f t="shared" si="46"/>
        <v xml:space="preserve">&lt;?xml version="1.0" encoding="UTF-8" ?&gt;
&lt;results&gt;
&lt;query&gt;大阪府富田林市&lt;/query&gt;
&lt;geodetic&gt;wgs1984&lt;/geodetic&gt;
&lt;iConf&gt;5&lt;/iConf&gt;
&lt;converted&gt;大阪府富田林市&lt;/converted&gt;
&lt;candidate&gt;
&lt;address&gt;大阪府/富田林市&lt;/address&gt;
&lt;longitude&gt;135.597275&lt;/longitude&gt;
&lt;latitude&gt;34.499676&lt;/latitude&gt;
&lt;iLvl&gt;3&lt;/iLvl&gt;
&lt;/candidate&gt;
&lt;/results&gt;
</v>
      </c>
      <c r="F643" cm="1">
        <f t="array" ref="F643">INDEX(_xlfn.FILTERXML(E643,"//latitude"),1)</f>
        <v>34.499676000000001</v>
      </c>
      <c r="G643" cm="1">
        <f t="array" ref="G643">INDEX(_xlfn.FILTERXML(E643,"//longitude"),1)</f>
        <v>135.597275</v>
      </c>
      <c r="H643">
        <v>34.499676000000001</v>
      </c>
      <c r="I643">
        <v>135.597275</v>
      </c>
    </row>
    <row r="644" spans="1:9" x14ac:dyDescent="0.4">
      <c r="A644" t="s">
        <v>132</v>
      </c>
      <c r="B644" t="s">
        <v>433</v>
      </c>
      <c r="C644" t="str">
        <f t="shared" si="44"/>
        <v>岡山県岡山市北区桑田町</v>
      </c>
      <c r="D644" s="2" t="str">
        <f t="shared" si="45"/>
        <v>http://geocode.csis.u-tokyo.ac.jp/cgi-bin/simple_geocode.cgi?charset=UTF8&amp;addr=%E5%B2%A1%E5%B1%B1%E7%9C%8C%E5%B2%A1%E5%B1%B1%E5%B8%82%E5%8C%97%E5%8C%BA%E6%A1%91%E7%94%B0%E7%94%BA</v>
      </c>
      <c r="E644" t="str">
        <f t="shared" si="46"/>
        <v xml:space="preserve">&lt;?xml version="1.0" encoding="UTF-8" ?&gt;
&lt;results&gt;
&lt;query&gt;岡山県岡山市北区桑田町&lt;/query&gt;
&lt;geodetic&gt;wgs1984&lt;/geodetic&gt;
&lt;iConf&gt;5&lt;/iConf&gt;
&lt;converted&gt;岡山県岡山市北区桑田町&lt;/converted&gt;
&lt;candidate&gt;
&lt;address&gt;岡山県/岡山市/北区/桑田町&lt;/address&gt;
&lt;longitude&gt;133.915543&lt;/longitude&gt;
&lt;latitude&gt;34.659115&lt;/latitude&gt;
&lt;iLvl&gt;5&lt;/iLvl&gt;
&lt;/candidate&gt;
&lt;/results&gt;
</v>
      </c>
      <c r="F644" cm="1">
        <f t="array" ref="F644">INDEX(_xlfn.FILTERXML(E644,"//latitude"),1)</f>
        <v>34.659115</v>
      </c>
      <c r="G644" cm="1">
        <f t="array" ref="G644">INDEX(_xlfn.FILTERXML(E644,"//longitude"),1)</f>
        <v>133.91554300000001</v>
      </c>
      <c r="H644">
        <v>34.659115</v>
      </c>
      <c r="I644">
        <v>133.91554300000001</v>
      </c>
    </row>
    <row r="645" spans="1:9" x14ac:dyDescent="0.4">
      <c r="A645" t="s">
        <v>85</v>
      </c>
      <c r="B645" t="s">
        <v>434</v>
      </c>
      <c r="C645" t="str">
        <f t="shared" si="44"/>
        <v>奈良県奈良市南登美ケ丘</v>
      </c>
      <c r="D645" s="2" t="str">
        <f t="shared" si="45"/>
        <v>http://geocode.csis.u-tokyo.ac.jp/cgi-bin/simple_geocode.cgi?charset=UTF8&amp;addr=%E5%A5%88%E8%89%AF%E7%9C%8C%E5%A5%88%E8%89%AF%E5%B8%82%E5%8D%97%E7%99%BB%E7%BE%8E%E3%82%B1%E4%B8%98</v>
      </c>
      <c r="E645" t="str">
        <f t="shared" si="46"/>
        <v xml:space="preserve">&lt;?xml version="1.0" encoding="UTF-8" ?&gt;
&lt;results&gt;
&lt;query&gt;奈良県奈良市南登美ケ丘&lt;/query&gt;
&lt;geodetic&gt;wgs1984&lt;/geodetic&gt;
&lt;iConf&gt;5&lt;/iConf&gt;
&lt;converted&gt;奈良県奈良市南登美ケ丘&lt;/converted&gt;
&lt;candidate&gt;
&lt;address&gt;奈良県/奈良市/南登美ヶ丘&lt;/address&gt;
&lt;longitude&gt;135.745697&lt;/longitude&gt;
&lt;latitude&gt;34.705574&lt;/latitude&gt;
&lt;iLvl&gt;5&lt;/iLvl&gt;
&lt;/candidate&gt;
&lt;/results&gt;
</v>
      </c>
      <c r="F645" cm="1">
        <f t="array" ref="F645">INDEX(_xlfn.FILTERXML(E645,"//latitude"),1)</f>
        <v>34.705573999999999</v>
      </c>
      <c r="G645" cm="1">
        <f t="array" ref="G645">INDEX(_xlfn.FILTERXML(E645,"//longitude"),1)</f>
        <v>135.74569700000001</v>
      </c>
      <c r="H645">
        <v>34.705573999999999</v>
      </c>
      <c r="I645">
        <v>135.74569700000001</v>
      </c>
    </row>
    <row r="646" spans="1:9" x14ac:dyDescent="0.4">
      <c r="A646" t="s">
        <v>11</v>
      </c>
      <c r="B646" t="s">
        <v>435</v>
      </c>
      <c r="C646" t="str">
        <f t="shared" ref="C646:C709" si="47">+A646&amp;B646</f>
        <v>大阪府大阪市東淀川区相川</v>
      </c>
      <c r="D646" s="2" t="str">
        <f t="shared" ref="D646:D709" si="48" xml:space="preserve"> "http://geocode.csis.u-tokyo.ac.jp/cgi-bin/simple_geocode.cgi?charset=UTF8&amp;addr=" &amp; _xlfn.ENCODEURL(C646)</f>
        <v>http://geocode.csis.u-tokyo.ac.jp/cgi-bin/simple_geocode.cgi?charset=UTF8&amp;addr=%E5%A4%A7%E9%98%AA%E5%BA%9C%E5%A4%A7%E9%98%AA%E5%B8%82%E6%9D%B1%E6%B7%80%E5%B7%9D%E5%8C%BA%E7%9B%B8%E5%B7%9D</v>
      </c>
      <c r="E646" t="str">
        <f t="shared" ref="E646:E709" si="49" xml:space="preserve"> _xlfn.WEBSERVICE(D646)</f>
        <v xml:space="preserve">&lt;?xml version="1.0" encoding="UTF-8" ?&gt;
&lt;results&gt;
&lt;query&gt;大阪府大阪市東淀川区相川&lt;/query&gt;
&lt;geodetic&gt;wgs1984&lt;/geodetic&gt;
&lt;iConf&gt;5&lt;/iConf&gt;
&lt;converted&gt;大阪府大阪市東淀川区相川&lt;/converted&gt;
&lt;candidate&gt;
&lt;address&gt;大阪府/大阪市/東淀川区/相川&lt;/address&gt;
&lt;longitude&gt;135.532181&lt;/longitude&gt;
&lt;latitude&gt;34.756897&lt;/latitude&gt;
&lt;iLvl&gt;5&lt;/iLvl&gt;
&lt;/candidate&gt;
&lt;/results&gt;
</v>
      </c>
      <c r="F646" cm="1">
        <f t="array" ref="F646">INDEX(_xlfn.FILTERXML(E646,"//latitude"),1)</f>
        <v>34.756897000000002</v>
      </c>
      <c r="G646" cm="1">
        <f t="array" ref="G646">INDEX(_xlfn.FILTERXML(E646,"//longitude"),1)</f>
        <v>135.53218100000001</v>
      </c>
      <c r="H646" s="3">
        <v>34.756897000000002</v>
      </c>
      <c r="I646" s="3">
        <v>135.53218100000001</v>
      </c>
    </row>
    <row r="647" spans="1:9" x14ac:dyDescent="0.4">
      <c r="A647" t="s">
        <v>9</v>
      </c>
      <c r="B647" t="s">
        <v>436</v>
      </c>
      <c r="C647" t="str">
        <f t="shared" si="47"/>
        <v>東京都練馬区貫井</v>
      </c>
      <c r="D647" s="2" t="str">
        <f t="shared" si="48"/>
        <v>http://geocode.csis.u-tokyo.ac.jp/cgi-bin/simple_geocode.cgi?charset=UTF8&amp;addr=%E6%9D%B1%E4%BA%AC%E9%83%BD%E7%B7%B4%E9%A6%AC%E5%8C%BA%E8%B2%AB%E4%BA%95</v>
      </c>
      <c r="E647" t="str">
        <f t="shared" si="49"/>
        <v xml:space="preserve">&lt;?xml version="1.0" encoding="UTF-8" ?&gt;
&lt;results&gt;
&lt;query&gt;東京都練馬区貫井&lt;/query&gt;
&lt;geodetic&gt;wgs1984&lt;/geodetic&gt;
&lt;iConf&gt;5&lt;/iConf&gt;
&lt;converted&gt;東京都練馬区貫井&lt;/converted&gt;
&lt;candidate&gt;
&lt;address&gt;東京都/練馬区/貫井&lt;/address&gt;
&lt;longitude&gt;139.634277&lt;/longitude&gt;
&lt;latitude&gt;35.737411&lt;/latitude&gt;
&lt;iLvl&gt;5&lt;/iLvl&gt;
&lt;/candidate&gt;
&lt;/results&gt;
</v>
      </c>
      <c r="F647" cm="1">
        <f t="array" ref="F647">INDEX(_xlfn.FILTERXML(E647,"//latitude"),1)</f>
        <v>35.737411000000002</v>
      </c>
      <c r="G647" cm="1">
        <f t="array" ref="G647">INDEX(_xlfn.FILTERXML(E647,"//longitude"),1)</f>
        <v>139.634277</v>
      </c>
      <c r="H647">
        <v>35.737411000000002</v>
      </c>
      <c r="I647">
        <v>139.634277</v>
      </c>
    </row>
    <row r="648" spans="1:9" x14ac:dyDescent="0.4">
      <c r="A648" t="s">
        <v>21</v>
      </c>
      <c r="B648" t="s">
        <v>437</v>
      </c>
      <c r="C648" t="str">
        <f t="shared" si="47"/>
        <v>栃木県佐野市赤見町</v>
      </c>
      <c r="D648" s="2" t="str">
        <f t="shared" si="48"/>
        <v>http://geocode.csis.u-tokyo.ac.jp/cgi-bin/simple_geocode.cgi?charset=UTF8&amp;addr=%E6%A0%83%E6%9C%A8%E7%9C%8C%E4%BD%90%E9%87%8E%E5%B8%82%E8%B5%A4%E8%A6%8B%E7%94%BA</v>
      </c>
      <c r="E648" t="str">
        <f t="shared" si="49"/>
        <v xml:space="preserve">&lt;?xml version="1.0" encoding="UTF-8" ?&gt;
&lt;results&gt;
&lt;query&gt;栃木県佐野市赤見町&lt;/query&gt;
&lt;geodetic&gt;wgs1984&lt;/geodetic&gt;
&lt;iConf&gt;5&lt;/iConf&gt;
&lt;converted&gt;栃木県佐野市赤見町&lt;/converted&gt;
&lt;candidate&gt;
&lt;address&gt;栃木県/佐野市/赤見町&lt;/address&gt;
&lt;longitude&gt;139.528793&lt;/longitude&gt;
&lt;latitude&gt;36.349895&lt;/latitude&gt;
&lt;iLvl&gt;5&lt;/iLvl&gt;
&lt;/candidate&gt;
&lt;/results&gt;
</v>
      </c>
      <c r="F648" cm="1">
        <f t="array" ref="F648">INDEX(_xlfn.FILTERXML(E648,"//latitude"),1)</f>
        <v>36.349894999999997</v>
      </c>
      <c r="G648" cm="1">
        <f t="array" ref="G648">INDEX(_xlfn.FILTERXML(E648,"//longitude"),1)</f>
        <v>139.52879300000001</v>
      </c>
      <c r="H648">
        <v>36.349894999999997</v>
      </c>
      <c r="I648">
        <v>139.52879300000001</v>
      </c>
    </row>
    <row r="649" spans="1:9" x14ac:dyDescent="0.4">
      <c r="A649" t="s">
        <v>132</v>
      </c>
      <c r="B649" t="s">
        <v>438</v>
      </c>
      <c r="C649" t="str">
        <f t="shared" si="47"/>
        <v>岡山県笠岡市吉浜</v>
      </c>
      <c r="D649" s="2" t="str">
        <f t="shared" si="48"/>
        <v>http://geocode.csis.u-tokyo.ac.jp/cgi-bin/simple_geocode.cgi?charset=UTF8&amp;addr=%E5%B2%A1%E5%B1%B1%E7%9C%8C%E7%AC%A0%E5%B2%A1%E5%B8%82%E5%90%89%E6%B5%9C</v>
      </c>
      <c r="E649" t="str">
        <f t="shared" si="49"/>
        <v xml:space="preserve">&lt;?xml version="1.0" encoding="UTF-8" ?&gt;
&lt;results&gt;
&lt;query&gt;岡山県笠岡市吉浜&lt;/query&gt;
&lt;geodetic&gt;wgs1984&lt;/geodetic&gt;
&lt;iConf&gt;5&lt;/iConf&gt;
&lt;converted&gt;岡山県笠岡市吉浜&lt;/converted&gt;
&lt;candidate&gt;
&lt;address&gt;岡山県/笠岡市/吉浜&lt;/address&gt;
&lt;longitude&gt;133.479385&lt;/longitude&gt;
&lt;latitude&gt;34.519665&lt;/latitude&gt;
&lt;iLvl&gt;5&lt;/iLvl&gt;
&lt;/candidate&gt;
&lt;/results&gt;
</v>
      </c>
      <c r="F649" cm="1">
        <f t="array" ref="F649">INDEX(_xlfn.FILTERXML(E649,"//latitude"),1)</f>
        <v>34.519665000000003</v>
      </c>
      <c r="G649" cm="1">
        <f t="array" ref="G649">INDEX(_xlfn.FILTERXML(E649,"//longitude"),1)</f>
        <v>133.47938500000001</v>
      </c>
      <c r="H649">
        <v>34.519665000000003</v>
      </c>
      <c r="I649">
        <v>133.47938500000001</v>
      </c>
    </row>
    <row r="650" spans="1:9" x14ac:dyDescent="0.4">
      <c r="A650" t="s">
        <v>85</v>
      </c>
      <c r="B650" t="s">
        <v>439</v>
      </c>
      <c r="C650" t="str">
        <f t="shared" si="47"/>
        <v>奈良県小明町</v>
      </c>
      <c r="D650" s="2" t="str">
        <f t="shared" si="48"/>
        <v>http://geocode.csis.u-tokyo.ac.jp/cgi-bin/simple_geocode.cgi?charset=UTF8&amp;addr=%E5%A5%88%E8%89%AF%E7%9C%8C%E5%B0%8F%E6%98%8E%E7%94%BA</v>
      </c>
      <c r="E650" t="str">
        <f t="shared" si="49"/>
        <v xml:space="preserve">&lt;?xml version="1.0" encoding="UTF-8" ?&gt;
&lt;results&gt;
&lt;query&gt;奈良県小明町&lt;/query&gt;
&lt;geodetic&gt;wgs1984&lt;/geodetic&gt;
&lt;iConf&gt;3&lt;/iConf&gt;
&lt;converted&gt;奈良県&lt;/converted&gt;
&lt;candidate&gt;
&lt;address&gt;奈良県&lt;/address&gt;
&lt;longitude&gt;135.804993&lt;/longitude&gt;
&lt;latitude&gt;34.685116&lt;/latitude&gt;
&lt;iLvl&gt;1&lt;/iLvl&gt;
&lt;/candidate&gt;
&lt;/results&gt;
</v>
      </c>
      <c r="F650" cm="1">
        <f t="array" ref="F650">INDEX(_xlfn.FILTERXML(E650,"//latitude"),1)</f>
        <v>34.685116000000001</v>
      </c>
      <c r="G650" cm="1">
        <f t="array" ref="G650">INDEX(_xlfn.FILTERXML(E650,"//longitude"),1)</f>
        <v>135.804993</v>
      </c>
      <c r="H650">
        <v>34.685116000000001</v>
      </c>
      <c r="I650">
        <v>135.804993</v>
      </c>
    </row>
    <row r="651" spans="1:9" x14ac:dyDescent="0.4">
      <c r="A651" t="s">
        <v>26</v>
      </c>
      <c r="B651" t="s">
        <v>440</v>
      </c>
      <c r="C651" t="str">
        <f t="shared" si="47"/>
        <v>岐阜県大垣市 安井町</v>
      </c>
      <c r="D651" s="2" t="str">
        <f t="shared" si="48"/>
        <v>http://geocode.csis.u-tokyo.ac.jp/cgi-bin/simple_geocode.cgi?charset=UTF8&amp;addr=%E5%B2%90%E9%98%9C%E7%9C%8C%E5%A4%A7%E5%9E%A3%E5%B8%82%20%E5%AE%89%E4%BA%95%E7%94%BA</v>
      </c>
      <c r="E651" t="str">
        <f t="shared" si="49"/>
        <v xml:space="preserve">&lt;?xml version="1.0" encoding="UTF-8" ?&gt;
&lt;results&gt;
&lt;query&gt;岐阜県大垣市 安井町&lt;/query&gt;
&lt;geodetic&gt;wgs1984&lt;/geodetic&gt;
&lt;iConf&gt;5&lt;/iConf&gt;
&lt;converted&gt;岐阜県大垣市 安井町&lt;/converted&gt;
&lt;candidate&gt;
&lt;address&gt;岐阜県/大垣市/安井町&lt;/address&gt;
&lt;longitude&gt;136.628082&lt;/longitude&gt;
&lt;latitude&gt;35.355305&lt;/latitude&gt;
&lt;iLvl&gt;5&lt;/iLvl&gt;
&lt;/candidate&gt;
&lt;/results&gt;
</v>
      </c>
      <c r="F651" cm="1">
        <f t="array" ref="F651">INDEX(_xlfn.FILTERXML(E651,"//latitude"),1)</f>
        <v>35.355305000000001</v>
      </c>
      <c r="G651" cm="1">
        <f t="array" ref="G651">INDEX(_xlfn.FILTERXML(E651,"//longitude"),1)</f>
        <v>136.62808200000001</v>
      </c>
      <c r="H651">
        <v>35.355305000000001</v>
      </c>
      <c r="I651">
        <v>136.62808200000001</v>
      </c>
    </row>
    <row r="652" spans="1:9" x14ac:dyDescent="0.4">
      <c r="A652" t="s">
        <v>13</v>
      </c>
      <c r="B652" t="s">
        <v>441</v>
      </c>
      <c r="C652" t="str">
        <f t="shared" si="47"/>
        <v>兵庫県尼崎市南塚口町</v>
      </c>
      <c r="D652" s="2" t="str">
        <f t="shared" si="48"/>
        <v>http://geocode.csis.u-tokyo.ac.jp/cgi-bin/simple_geocode.cgi?charset=UTF8&amp;addr=%E5%85%B5%E5%BA%AB%E7%9C%8C%E5%B0%BC%E5%B4%8E%E5%B8%82%E5%8D%97%E5%A1%9A%E5%8F%A3%E7%94%BA</v>
      </c>
      <c r="E652" t="str">
        <f t="shared" si="49"/>
        <v xml:space="preserve">&lt;?xml version="1.0" encoding="UTF-8" ?&gt;
&lt;results&gt;
&lt;query&gt;兵庫県尼崎市南塚口町&lt;/query&gt;
&lt;geodetic&gt;wgs1984&lt;/geodetic&gt;
&lt;iConf&gt;5&lt;/iConf&gt;
&lt;converted&gt;兵庫県尼崎市南塚口町&lt;/converted&gt;
&lt;candidate&gt;
&lt;address&gt;兵庫県/尼崎市/南塚口町&lt;/address&gt;
&lt;longitude&gt;135.413361&lt;/longitude&gt;
&lt;latitude&gt;34.750542&lt;/latitude&gt;
&lt;iLvl&gt;5&lt;/iLvl&gt;
&lt;/candidate&gt;
&lt;/results&gt;
</v>
      </c>
      <c r="F652" cm="1">
        <f t="array" ref="F652">INDEX(_xlfn.FILTERXML(E652,"//latitude"),1)</f>
        <v>34.750542000000003</v>
      </c>
      <c r="G652" cm="1">
        <f t="array" ref="G652">INDEX(_xlfn.FILTERXML(E652,"//longitude"),1)</f>
        <v>135.41336100000001</v>
      </c>
      <c r="H652">
        <v>34.750542000000003</v>
      </c>
      <c r="I652">
        <v>135.41336100000001</v>
      </c>
    </row>
    <row r="653" spans="1:9" x14ac:dyDescent="0.4">
      <c r="A653" t="s">
        <v>10</v>
      </c>
      <c r="B653" t="s">
        <v>98</v>
      </c>
      <c r="C653" t="str">
        <f t="shared" si="47"/>
        <v>神奈川県横浜市港北区綱島東</v>
      </c>
      <c r="D653" s="2" t="str">
        <f t="shared" si="48"/>
        <v>http://geocode.csis.u-tokyo.ac.jp/cgi-bin/simple_geocode.cgi?charset=UTF8&amp;addr=%E7%A5%9E%E5%A5%88%E5%B7%9D%E7%9C%8C%E6%A8%AA%E6%B5%9C%E5%B8%82%E6%B8%AF%E5%8C%97%E5%8C%BA%E7%B6%B1%E5%B3%B6%E6%9D%B1</v>
      </c>
      <c r="E653" t="str">
        <f t="shared" si="49"/>
        <v xml:space="preserve">&lt;?xml version="1.0" encoding="UTF-8" ?&gt;
&lt;results&gt;
&lt;query&gt;神奈川県横浜市港北区綱島東&lt;/query&gt;
&lt;geodetic&gt;wgs1984&lt;/geodetic&gt;
&lt;iConf&gt;5&lt;/iConf&gt;
&lt;converted&gt;神奈川県横浜市港北区綱島東&lt;/converted&gt;
&lt;candidate&gt;
&lt;address&gt;神奈川県/横浜市/港北区/綱島東&lt;/address&gt;
&lt;longitude&gt;139.637436&lt;/longitude&gt;
&lt;latitude&gt;35.535587&lt;/latitude&gt;
&lt;iLvl&gt;5&lt;/iLvl&gt;
&lt;/candidate&gt;
&lt;/results&gt;
</v>
      </c>
      <c r="F653" cm="1">
        <f t="array" ref="F653">INDEX(_xlfn.FILTERXML(E653,"//latitude"),1)</f>
        <v>35.535587</v>
      </c>
      <c r="G653" cm="1">
        <f t="array" ref="G653">INDEX(_xlfn.FILTERXML(E653,"//longitude"),1)</f>
        <v>139.63743600000001</v>
      </c>
      <c r="H653">
        <v>35.535587</v>
      </c>
      <c r="I653">
        <v>139.63743600000001</v>
      </c>
    </row>
    <row r="654" spans="1:9" x14ac:dyDescent="0.4">
      <c r="A654" t="s">
        <v>9</v>
      </c>
      <c r="B654" t="s">
        <v>268</v>
      </c>
      <c r="C654" t="str">
        <f t="shared" si="47"/>
        <v>東京都足立区加平</v>
      </c>
      <c r="D654" s="2" t="str">
        <f t="shared" si="48"/>
        <v>http://geocode.csis.u-tokyo.ac.jp/cgi-bin/simple_geocode.cgi?charset=UTF8&amp;addr=%E6%9D%B1%E4%BA%AC%E9%83%BD%E8%B6%B3%E7%AB%8B%E5%8C%BA%E5%8A%A0%E5%B9%B3</v>
      </c>
      <c r="E654" t="str">
        <f t="shared" si="49"/>
        <v xml:space="preserve">&lt;?xml version="1.0" encoding="UTF-8" ?&gt;
&lt;results&gt;
&lt;query&gt;東京都足立区加平&lt;/query&gt;
&lt;geodetic&gt;wgs1984&lt;/geodetic&gt;
&lt;iConf&gt;5&lt;/iConf&gt;
&lt;converted&gt;東京都足立区加平&lt;/converted&gt;
&lt;candidate&gt;
&lt;address&gt;東京都/足立区/加平&lt;/address&gt;
&lt;longitude&gt;139.826859&lt;/longitude&gt;
&lt;latitude&gt;35.775902&lt;/latitude&gt;
&lt;iLvl&gt;5&lt;/iLvl&gt;
&lt;/candidate&gt;
&lt;/results&gt;
</v>
      </c>
      <c r="F654" cm="1">
        <f t="array" ref="F654">INDEX(_xlfn.FILTERXML(E654,"//latitude"),1)</f>
        <v>35.775902000000002</v>
      </c>
      <c r="G654" cm="1">
        <f t="array" ref="G654">INDEX(_xlfn.FILTERXML(E654,"//longitude"),1)</f>
        <v>139.82685900000001</v>
      </c>
      <c r="H654">
        <v>35.775902000000002</v>
      </c>
      <c r="I654">
        <v>139.82685900000001</v>
      </c>
    </row>
    <row r="655" spans="1:9" x14ac:dyDescent="0.4">
      <c r="A655" t="s">
        <v>180</v>
      </c>
      <c r="B655" t="s">
        <v>475</v>
      </c>
      <c r="C655" t="str">
        <f t="shared" si="47"/>
        <v>山形県酒田市</v>
      </c>
      <c r="D655" s="2" t="str">
        <f t="shared" si="48"/>
        <v>http://geocode.csis.u-tokyo.ac.jp/cgi-bin/simple_geocode.cgi?charset=UTF8&amp;addr=%E5%B1%B1%E5%BD%A2%E7%9C%8C%E9%85%92%E7%94%B0%E5%B8%82</v>
      </c>
      <c r="E655" t="str">
        <f t="shared" si="49"/>
        <v xml:space="preserve">&lt;?xml version="1.0" encoding="UTF-8" ?&gt;
&lt;results&gt;
&lt;query&gt;山形県酒田市&lt;/query&gt;
&lt;geodetic&gt;wgs1984&lt;/geodetic&gt;
&lt;iConf&gt;5&lt;/iConf&gt;
&lt;converted&gt;山形県酒田市&lt;/converted&gt;
&lt;candidate&gt;
&lt;address&gt;山形県/酒田市&lt;/address&gt;
&lt;longitude&gt;139.836517&lt;/longitude&gt;
&lt;latitude&gt;38.914387&lt;/latitude&gt;
&lt;iLvl&gt;3&lt;/iLvl&gt;
&lt;/candidate&gt;
&lt;/results&gt;
</v>
      </c>
      <c r="F655" cm="1">
        <f t="array" ref="F655">INDEX(_xlfn.FILTERXML(E655,"//latitude"),1)</f>
        <v>38.914386999999998</v>
      </c>
      <c r="G655" cm="1">
        <f t="array" ref="G655">INDEX(_xlfn.FILTERXML(E655,"//longitude"),1)</f>
        <v>139.83651699999999</v>
      </c>
      <c r="H655">
        <v>38.914386999999998</v>
      </c>
      <c r="I655">
        <v>139.83651699999999</v>
      </c>
    </row>
    <row r="656" spans="1:9" x14ac:dyDescent="0.4">
      <c r="A656" t="s">
        <v>10</v>
      </c>
      <c r="B656" t="s">
        <v>476</v>
      </c>
      <c r="C656" t="str">
        <f t="shared" si="47"/>
        <v>神奈川県座間市</v>
      </c>
      <c r="D656" s="2" t="str">
        <f t="shared" si="48"/>
        <v>http://geocode.csis.u-tokyo.ac.jp/cgi-bin/simple_geocode.cgi?charset=UTF8&amp;addr=%E7%A5%9E%E5%A5%88%E5%B7%9D%E7%9C%8C%E5%BA%A7%E9%96%93%E5%B8%82</v>
      </c>
      <c r="E656" t="str">
        <f t="shared" si="49"/>
        <v xml:space="preserve">&lt;?xml version="1.0" encoding="UTF-8" ?&gt;
&lt;results&gt;
&lt;query&gt;神奈川県座間市&lt;/query&gt;
&lt;geodetic&gt;wgs1984&lt;/geodetic&gt;
&lt;iConf&gt;5&lt;/iConf&gt;
&lt;converted&gt;神奈川県座間市&lt;/converted&gt;
&lt;candidate&gt;
&lt;address&gt;神奈川県/座間市&lt;/address&gt;
&lt;longitude&gt;139.407639&lt;/longitude&gt;
&lt;latitude&gt;35.488640&lt;/latitude&gt;
&lt;iLvl&gt;3&lt;/iLvl&gt;
&lt;/candidate&gt;
&lt;/results&gt;
</v>
      </c>
      <c r="F656" cm="1">
        <f t="array" ref="F656">INDEX(_xlfn.FILTERXML(E656,"//latitude"),1)</f>
        <v>35.488639999999997</v>
      </c>
      <c r="G656" cm="1">
        <f t="array" ref="G656">INDEX(_xlfn.FILTERXML(E656,"//longitude"),1)</f>
        <v>139.40763899999999</v>
      </c>
      <c r="H656">
        <v>35.488639999999997</v>
      </c>
      <c r="I656">
        <v>139.40763899999999</v>
      </c>
    </row>
    <row r="657" spans="1:9" x14ac:dyDescent="0.4">
      <c r="A657" t="s">
        <v>28</v>
      </c>
      <c r="B657" t="s">
        <v>477</v>
      </c>
      <c r="C657" t="str">
        <f t="shared" si="47"/>
        <v>三重県津市緑が丘</v>
      </c>
      <c r="D657" s="2" t="str">
        <f t="shared" si="48"/>
        <v>http://geocode.csis.u-tokyo.ac.jp/cgi-bin/simple_geocode.cgi?charset=UTF8&amp;addr=%E4%B8%89%E9%87%8D%E7%9C%8C%E6%B4%A5%E5%B8%82%E7%B7%91%E3%81%8C%E4%B8%98</v>
      </c>
      <c r="E657" t="str">
        <f t="shared" si="49"/>
        <v xml:space="preserve">&lt;?xml version="1.0" encoding="UTF-8" ?&gt;
&lt;results&gt;
&lt;query&gt;三重県津市緑が丘&lt;/query&gt;
&lt;geodetic&gt;wgs1984&lt;/geodetic&gt;
&lt;iConf&gt;5&lt;/iConf&gt;
&lt;converted&gt;三重県津市緑が丘&lt;/converted&gt;
&lt;candidate&gt;
&lt;address&gt;三重県/津市/緑が丘&lt;/address&gt;
&lt;longitude&gt;136.471481&lt;/longitude&gt;
&lt;latitude&gt;34.711224&lt;/latitude&gt;
&lt;iLvl&gt;5&lt;/iLvl&gt;
&lt;/candidate&gt;
&lt;/results&gt;
</v>
      </c>
      <c r="F657" cm="1">
        <f t="array" ref="F657">INDEX(_xlfn.FILTERXML(E657,"//latitude"),1)</f>
        <v>34.711224000000001</v>
      </c>
      <c r="G657" cm="1">
        <f t="array" ref="G657">INDEX(_xlfn.FILTERXML(E657,"//longitude"),1)</f>
        <v>136.47148100000001</v>
      </c>
      <c r="H657">
        <v>34.711224000000001</v>
      </c>
      <c r="I657">
        <v>136.47148100000001</v>
      </c>
    </row>
    <row r="658" spans="1:9" x14ac:dyDescent="0.4">
      <c r="A658" t="s">
        <v>16</v>
      </c>
      <c r="B658" t="s">
        <v>478</v>
      </c>
      <c r="C658" t="str">
        <f t="shared" si="47"/>
        <v>千葉県印西市中央南</v>
      </c>
      <c r="D658" s="2" t="str">
        <f t="shared" si="48"/>
        <v>http://geocode.csis.u-tokyo.ac.jp/cgi-bin/simple_geocode.cgi?charset=UTF8&amp;addr=%E5%8D%83%E8%91%89%E7%9C%8C%E5%8D%B0%E8%A5%BF%E5%B8%82%E4%B8%AD%E5%A4%AE%E5%8D%97</v>
      </c>
      <c r="E658" t="str">
        <f t="shared" si="49"/>
        <v xml:space="preserve">&lt;?xml version="1.0" encoding="UTF-8" ?&gt;
&lt;results&gt;
&lt;query&gt;千葉県印西市中央南&lt;/query&gt;
&lt;geodetic&gt;wgs1984&lt;/geodetic&gt;
&lt;iConf&gt;5&lt;/iConf&gt;
&lt;converted&gt;千葉県印西市中央南&lt;/converted&gt;
&lt;candidate&gt;
&lt;address&gt;千葉県/印西市/中央南&lt;/address&gt;
&lt;longitude&gt;140.117416&lt;/longitude&gt;
&lt;latitude&gt;35.799583&lt;/latitude&gt;
&lt;iLvl&gt;5&lt;/iLvl&gt;
&lt;/candidate&gt;
&lt;/results&gt;
</v>
      </c>
      <c r="F658" cm="1">
        <f t="array" ref="F658">INDEX(_xlfn.FILTERXML(E658,"//latitude"),1)</f>
        <v>35.799582999999998</v>
      </c>
      <c r="G658" cm="1">
        <f t="array" ref="G658">INDEX(_xlfn.FILTERXML(E658,"//longitude"),1)</f>
        <v>140.11741599999999</v>
      </c>
      <c r="H658">
        <v>35.799582999999998</v>
      </c>
      <c r="I658">
        <v>140.11741599999999</v>
      </c>
    </row>
    <row r="659" spans="1:9" x14ac:dyDescent="0.4">
      <c r="A659" t="s">
        <v>28</v>
      </c>
      <c r="B659" t="s">
        <v>479</v>
      </c>
      <c r="C659" t="str">
        <f t="shared" si="47"/>
        <v>三重県津市芸濃町椋本</v>
      </c>
      <c r="D659" s="2" t="str">
        <f t="shared" si="48"/>
        <v>http://geocode.csis.u-tokyo.ac.jp/cgi-bin/simple_geocode.cgi?charset=UTF8&amp;addr=%E4%B8%89%E9%87%8D%E7%9C%8C%E6%B4%A5%E5%B8%82%E8%8A%B8%E6%BF%83%E7%94%BA%E6%A4%8B%E6%9C%AC</v>
      </c>
      <c r="E659" t="str">
        <f t="shared" si="49"/>
        <v xml:space="preserve">&lt;?xml version="1.0" encoding="UTF-8" ?&gt;
&lt;results&gt;
&lt;query&gt;三重県津市芸濃町椋本&lt;/query&gt;
&lt;geodetic&gt;wgs1984&lt;/geodetic&gt;
&lt;iConf&gt;5&lt;/iConf&gt;
&lt;converted&gt;三重県津市芸濃町椋本&lt;/converted&gt;
&lt;candidate&gt;
&lt;address&gt;三重県/津市/芸濃町椋本&lt;/address&gt;
&lt;longitude&gt;136.432480&lt;/longitude&gt;
&lt;latitude&gt;34.811752&lt;/latitude&gt;
&lt;iLvl&gt;5&lt;/iLvl&gt;
&lt;/candidate&gt;
&lt;/results&gt;
</v>
      </c>
      <c r="F659" cm="1">
        <f t="array" ref="F659">INDEX(_xlfn.FILTERXML(E659,"//latitude"),1)</f>
        <v>34.811751999999998</v>
      </c>
      <c r="G659" cm="1">
        <f t="array" ref="G659">INDEX(_xlfn.FILTERXML(E659,"//longitude"),1)</f>
        <v>136.43248</v>
      </c>
      <c r="H659">
        <v>34.811751999999998</v>
      </c>
      <c r="I659">
        <v>136.43248</v>
      </c>
    </row>
    <row r="660" spans="1:9" x14ac:dyDescent="0.4">
      <c r="A660" t="s">
        <v>15</v>
      </c>
      <c r="B660" t="s">
        <v>720</v>
      </c>
      <c r="C660" t="str">
        <f t="shared" si="47"/>
        <v>愛知県名古屋市東区芳野芳野白壁</v>
      </c>
      <c r="D660" s="2" t="str">
        <f t="shared" si="48"/>
        <v>http://geocode.csis.u-tokyo.ac.jp/cgi-bin/simple_geocode.cgi?charset=UTF8&amp;addr=%E6%84%9B%E7%9F%A5%E7%9C%8C%E5%90%8D%E5%8F%A4%E5%B1%8B%E5%B8%82%E6%9D%B1%E5%8C%BA%E8%8A%B3%E9%87%8E%E8%8A%B3%E9%87%8E%E7%99%BD%E5%A3%81</v>
      </c>
      <c r="E660" t="str">
        <f t="shared" si="49"/>
        <v xml:space="preserve">&lt;?xml version="1.0" encoding="UTF-8" ?&gt;
&lt;results&gt;
&lt;query&gt;愛知県名古屋市東区芳野芳野白壁&lt;/query&gt;
&lt;geodetic&gt;wgs1984&lt;/geodetic&gt;
&lt;iConf&gt;5&lt;/iConf&gt;
&lt;converted&gt;愛知県名古屋市東区芳野&lt;/converted&gt;
&lt;candidate&gt;
&lt;address&gt;愛知県/名古屋市/東区/芳野&lt;/address&gt;
&lt;longitude&gt;136.921387&lt;/longitude&gt;
&lt;latitude&gt;35.184952&lt;/latitude&gt;
&lt;iLvl&gt;5&lt;/iLvl&gt;
&lt;/candidate&gt;
&lt;/results&gt;
</v>
      </c>
      <c r="F660" cm="1">
        <f t="array" ref="F660">INDEX(_xlfn.FILTERXML(E660,"//latitude"),1)</f>
        <v>35.184952000000003</v>
      </c>
      <c r="G660" cm="1">
        <f t="array" ref="G660">INDEX(_xlfn.FILTERXML(E660,"//longitude"),1)</f>
        <v>136.92138700000001</v>
      </c>
      <c r="H660">
        <v>35.184952000000003</v>
      </c>
      <c r="I660">
        <v>136.92138700000001</v>
      </c>
    </row>
    <row r="661" spans="1:9" x14ac:dyDescent="0.4">
      <c r="A661" t="s">
        <v>281</v>
      </c>
      <c r="B661" t="s">
        <v>418</v>
      </c>
      <c r="C661" t="str">
        <f t="shared" si="47"/>
        <v>山口県宇部市東岐波</v>
      </c>
      <c r="D661" s="2" t="str">
        <f t="shared" si="48"/>
        <v>http://geocode.csis.u-tokyo.ac.jp/cgi-bin/simple_geocode.cgi?charset=UTF8&amp;addr=%E5%B1%B1%E5%8F%A3%E7%9C%8C%E5%AE%87%E9%83%A8%E5%B8%82%E6%9D%B1%E5%B2%90%E6%B3%A2</v>
      </c>
      <c r="E661" t="str">
        <f t="shared" si="49"/>
        <v xml:space="preserve">&lt;?xml version="1.0" encoding="UTF-8" ?&gt;
&lt;results&gt;
&lt;query&gt;山口県宇部市東岐波&lt;/query&gt;
&lt;geodetic&gt;wgs1984&lt;/geodetic&gt;
&lt;iConf&gt;5&lt;/iConf&gt;
&lt;converted&gt;山口県宇部市東岐波&lt;/converted&gt;
&lt;candidate&gt;
&lt;address&gt;山口県/宇部市/東岐波&lt;/address&gt;
&lt;longitude&gt;131.331787&lt;/longitude&gt;
&lt;latitude&gt;33.980255&lt;/latitude&gt;
&lt;iLvl&gt;5&lt;/iLvl&gt;
&lt;/candidate&gt;
&lt;/results&gt;
</v>
      </c>
      <c r="F661" cm="1">
        <f t="array" ref="F661">INDEX(_xlfn.FILTERXML(E661,"//latitude"),1)</f>
        <v>33.980255</v>
      </c>
      <c r="G661" cm="1">
        <f t="array" ref="G661">INDEX(_xlfn.FILTERXML(E661,"//longitude"),1)</f>
        <v>131.33178699999999</v>
      </c>
      <c r="H661">
        <v>33.980255</v>
      </c>
      <c r="I661">
        <v>131.33178699999999</v>
      </c>
    </row>
    <row r="662" spans="1:9" x14ac:dyDescent="0.4">
      <c r="A662" t="s">
        <v>11</v>
      </c>
      <c r="B662" t="s">
        <v>442</v>
      </c>
      <c r="C662" t="str">
        <f t="shared" si="47"/>
        <v>大阪府泉佐野市日根野</v>
      </c>
      <c r="D662" s="2" t="str">
        <f t="shared" si="48"/>
        <v>http://geocode.csis.u-tokyo.ac.jp/cgi-bin/simple_geocode.cgi?charset=UTF8&amp;addr=%E5%A4%A7%E9%98%AA%E5%BA%9C%E6%B3%89%E4%BD%90%E9%87%8E%E5%B8%82%E6%97%A5%E6%A0%B9%E9%87%8E</v>
      </c>
      <c r="E662" t="str">
        <f t="shared" si="49"/>
        <v xml:space="preserve">&lt;?xml version="1.0" encoding="UTF-8" ?&gt;
&lt;results&gt;
&lt;query&gt;大阪府泉佐野市日根野&lt;/query&gt;
&lt;geodetic&gt;wgs1984&lt;/geodetic&gt;
&lt;iConf&gt;5&lt;/iConf&gt;
&lt;converted&gt;大阪府泉佐野市日根野&lt;/converted&gt;
&lt;candidate&gt;
&lt;address&gt;大阪府/泉佐野市/日根野&lt;/address&gt;
&lt;longitude&gt;135.352539&lt;/longitude&gt;
&lt;latitude&gt;34.348953&lt;/latitude&gt;
&lt;iLvl&gt;5&lt;/iLvl&gt;
&lt;/candidate&gt;
&lt;/results&gt;
</v>
      </c>
      <c r="F662" cm="1">
        <f t="array" ref="F662">INDEX(_xlfn.FILTERXML(E662,"//latitude"),1)</f>
        <v>34.348953000000002</v>
      </c>
      <c r="G662" cm="1">
        <f t="array" ref="G662">INDEX(_xlfn.FILTERXML(E662,"//longitude"),1)</f>
        <v>135.35253900000001</v>
      </c>
      <c r="H662">
        <v>34.348953000000002</v>
      </c>
      <c r="I662">
        <v>135.35253900000001</v>
      </c>
    </row>
    <row r="663" spans="1:9" x14ac:dyDescent="0.4">
      <c r="A663" t="s">
        <v>9</v>
      </c>
      <c r="B663" t="s">
        <v>480</v>
      </c>
      <c r="C663" t="str">
        <f t="shared" si="47"/>
        <v>東京都町田市野津田町</v>
      </c>
      <c r="D663" s="2" t="str">
        <f t="shared" si="48"/>
        <v>http://geocode.csis.u-tokyo.ac.jp/cgi-bin/simple_geocode.cgi?charset=UTF8&amp;addr=%E6%9D%B1%E4%BA%AC%E9%83%BD%E7%94%BA%E7%94%B0%E5%B8%82%E9%87%8E%E6%B4%A5%E7%94%B0%E7%94%BA</v>
      </c>
      <c r="E663" t="str">
        <f t="shared" si="49"/>
        <v xml:space="preserve">&lt;?xml version="1.0" encoding="UTF-8" ?&gt;
&lt;results&gt;
&lt;query&gt;東京都町田市野津田町&lt;/query&gt;
&lt;geodetic&gt;wgs1984&lt;/geodetic&gt;
&lt;iConf&gt;5&lt;/iConf&gt;
&lt;converted&gt;東京都町田市野津田町&lt;/converted&gt;
&lt;candidate&gt;
&lt;address&gt;東京都/町田市/野津田町&lt;/address&gt;
&lt;longitude&gt;139.446136&lt;/longitude&gt;
&lt;latitude&gt;35.586983&lt;/latitude&gt;
&lt;iLvl&gt;5&lt;/iLvl&gt;
&lt;/candidate&gt;
&lt;/results&gt;
</v>
      </c>
      <c r="F663" cm="1">
        <f t="array" ref="F663">INDEX(_xlfn.FILTERXML(E663,"//latitude"),1)</f>
        <v>35.586982999999996</v>
      </c>
      <c r="G663" cm="1">
        <f t="array" ref="G663">INDEX(_xlfn.FILTERXML(E663,"//longitude"),1)</f>
        <v>139.446136</v>
      </c>
      <c r="H663">
        <v>35.586982999999996</v>
      </c>
      <c r="I663">
        <v>139.446136</v>
      </c>
    </row>
    <row r="664" spans="1:9" x14ac:dyDescent="0.4">
      <c r="A664" t="s">
        <v>9</v>
      </c>
      <c r="B664" t="s">
        <v>35</v>
      </c>
      <c r="C664" t="str">
        <f t="shared" si="47"/>
        <v>東京都大田区南馬込</v>
      </c>
      <c r="D664" s="2" t="str">
        <f t="shared" si="48"/>
        <v>http://geocode.csis.u-tokyo.ac.jp/cgi-bin/simple_geocode.cgi?charset=UTF8&amp;addr=%E6%9D%B1%E4%BA%AC%E9%83%BD%E5%A4%A7%E7%94%B0%E5%8C%BA%E5%8D%97%E9%A6%AC%E8%BE%BC</v>
      </c>
      <c r="E664" t="str">
        <f t="shared" si="49"/>
        <v xml:space="preserve">&lt;?xml version="1.0" encoding="UTF-8" ?&gt;
&lt;results&gt;
&lt;query&gt;東京都大田区南馬込&lt;/query&gt;
&lt;geodetic&gt;wgs1984&lt;/geodetic&gt;
&lt;iConf&gt;5&lt;/iConf&gt;
&lt;converted&gt;東京都大田区南馬込&lt;/converted&gt;
&lt;candidate&gt;
&lt;address&gt;東京都/大田区/南馬込&lt;/address&gt;
&lt;longitude&gt;139.713867&lt;/longitude&gt;
&lt;latitude&gt;35.591808&lt;/latitude&gt;
&lt;iLvl&gt;5&lt;/iLvl&gt;
&lt;/candidate&gt;
&lt;/results&gt;
</v>
      </c>
      <c r="F664" cm="1">
        <f t="array" ref="F664">INDEX(_xlfn.FILTERXML(E664,"//latitude"),1)</f>
        <v>35.591808</v>
      </c>
      <c r="G664" cm="1">
        <f t="array" ref="G664">INDEX(_xlfn.FILTERXML(E664,"//longitude"),1)</f>
        <v>139.71386699999999</v>
      </c>
      <c r="H664">
        <v>35.591808</v>
      </c>
      <c r="I664">
        <v>139.71386699999999</v>
      </c>
    </row>
    <row r="665" spans="1:9" x14ac:dyDescent="0.4">
      <c r="A665" t="s">
        <v>9</v>
      </c>
      <c r="B665" t="s">
        <v>33</v>
      </c>
      <c r="C665" t="str">
        <f t="shared" si="47"/>
        <v>東京都世田谷区</v>
      </c>
      <c r="D665" s="2" t="str">
        <f t="shared" si="48"/>
        <v>http://geocode.csis.u-tokyo.ac.jp/cgi-bin/simple_geocode.cgi?charset=UTF8&amp;addr=%E6%9D%B1%E4%BA%AC%E9%83%BD%E4%B8%96%E7%94%B0%E8%B0%B7%E5%8C%BA</v>
      </c>
      <c r="E665" t="str">
        <f t="shared" si="49"/>
        <v xml:space="preserve">&lt;?xml version="1.0" encoding="UTF-8" ?&gt;
&lt;results&gt;
&lt;query&gt;東京都世田谷区&lt;/query&gt;
&lt;geodetic&gt;wgs1984&lt;/geodetic&gt;
&lt;iConf&gt;5&lt;/iConf&gt;
&lt;converted&gt;東京都世田谷区&lt;/converted&gt;
&lt;candidate&gt;
&lt;address&gt;東京都/世田谷区&lt;/address&gt;
&lt;longitude&gt;139.653214&lt;/longitude&gt;
&lt;latitude&gt;35.646481&lt;/latitude&gt;
&lt;iLvl&gt;3&lt;/iLvl&gt;
&lt;/candidate&gt;
&lt;/results&gt;
</v>
      </c>
      <c r="F665" cm="1">
        <f t="array" ref="F665">INDEX(_xlfn.FILTERXML(E665,"//latitude"),1)</f>
        <v>35.646481000000001</v>
      </c>
      <c r="G665" cm="1">
        <f t="array" ref="G665">INDEX(_xlfn.FILTERXML(E665,"//longitude"),1)</f>
        <v>139.65321399999999</v>
      </c>
      <c r="H665">
        <v>35.646481000000001</v>
      </c>
      <c r="I665">
        <v>139.65321399999999</v>
      </c>
    </row>
    <row r="666" spans="1:9" x14ac:dyDescent="0.4">
      <c r="A666" t="s">
        <v>9</v>
      </c>
      <c r="B666" t="s">
        <v>36</v>
      </c>
      <c r="C666" t="str">
        <f t="shared" si="47"/>
        <v>東京都文京区白山</v>
      </c>
      <c r="D666" s="2" t="str">
        <f t="shared" si="48"/>
        <v>http://geocode.csis.u-tokyo.ac.jp/cgi-bin/simple_geocode.cgi?charset=UTF8&amp;addr=%E6%9D%B1%E4%BA%AC%E9%83%BD%E6%96%87%E4%BA%AC%E5%8C%BA%E7%99%BD%E5%B1%B1</v>
      </c>
      <c r="E666" t="str">
        <f t="shared" si="49"/>
        <v xml:space="preserve">&lt;?xml version="1.0" encoding="UTF-8" ?&gt;
&lt;results&gt;
&lt;query&gt;東京都文京区白山&lt;/query&gt;
&lt;geodetic&gt;wgs1984&lt;/geodetic&gt;
&lt;iConf&gt;5&lt;/iConf&gt;
&lt;converted&gt;東京都文京区白山&lt;/converted&gt;
&lt;candidate&gt;
&lt;address&gt;東京都/文京区/白山&lt;/address&gt;
&lt;longitude&gt;139.752762&lt;/longitude&gt;
&lt;latitude&gt;35.718796&lt;/latitude&gt;
&lt;iLvl&gt;5&lt;/iLvl&gt;
&lt;/candidate&gt;
&lt;/results&gt;
</v>
      </c>
      <c r="F666" cm="1">
        <f t="array" ref="F666">INDEX(_xlfn.FILTERXML(E666,"//latitude"),1)</f>
        <v>35.718795999999998</v>
      </c>
      <c r="G666" cm="1">
        <f t="array" ref="G666">INDEX(_xlfn.FILTERXML(E666,"//longitude"),1)</f>
        <v>139.75276199999999</v>
      </c>
      <c r="H666">
        <v>35.718795999999998</v>
      </c>
      <c r="I666">
        <v>139.75276199999999</v>
      </c>
    </row>
    <row r="667" spans="1:9" x14ac:dyDescent="0.4">
      <c r="A667" t="s">
        <v>15</v>
      </c>
      <c r="B667" t="s">
        <v>403</v>
      </c>
      <c r="C667" t="str">
        <f t="shared" si="47"/>
        <v>愛知県西春日井郡豊山町豊場下戸</v>
      </c>
      <c r="D667" s="2" t="str">
        <f t="shared" si="48"/>
        <v>http://geocode.csis.u-tokyo.ac.jp/cgi-bin/simple_geocode.cgi?charset=UTF8&amp;addr=%E6%84%9B%E7%9F%A5%E7%9C%8C%E8%A5%BF%E6%98%A5%E6%97%A5%E4%BA%95%E9%83%A1%E8%B1%8A%E5%B1%B1%E7%94%BA%E8%B1%8A%E5%A0%B4%E4%B8%8B%E6%88%B8</v>
      </c>
      <c r="E667" t="str">
        <f t="shared" si="49"/>
        <v xml:space="preserve">&lt;?xml version="1.0" encoding="UTF-8" ?&gt;
&lt;results&gt;
&lt;query&gt;愛知県西春日井郡豊山町豊場下戸&lt;/query&gt;
&lt;geodetic&gt;wgs1984&lt;/geodetic&gt;
&lt;iConf&gt;5&lt;/iConf&gt;
&lt;converted&gt;愛知県西春日井郡豊山町豊場下戸&lt;/converted&gt;
&lt;candidate&gt;
&lt;address&gt;愛知県/西春日井郡/豊山町/大字豊場/下戸&lt;/address&gt;
&lt;longitude&gt;136.914398&lt;/longitude&gt;
&lt;latitude&gt;35.241230&lt;/latitude&gt;
&lt;iLvl&gt;6&lt;/iLvl&gt;
&lt;/candidate&gt;
&lt;/results&gt;
</v>
      </c>
      <c r="F667" cm="1">
        <f t="array" ref="F667">INDEX(_xlfn.FILTERXML(E667,"//latitude"),1)</f>
        <v>35.241230000000002</v>
      </c>
      <c r="G667" cm="1">
        <f t="array" ref="G667">INDEX(_xlfn.FILTERXML(E667,"//longitude"),1)</f>
        <v>136.91439800000001</v>
      </c>
      <c r="H667">
        <v>35.241230000000002</v>
      </c>
      <c r="I667">
        <v>136.91439800000001</v>
      </c>
    </row>
    <row r="668" spans="1:9" x14ac:dyDescent="0.4">
      <c r="A668" t="s">
        <v>23</v>
      </c>
      <c r="B668" t="s">
        <v>481</v>
      </c>
      <c r="C668" t="str">
        <f t="shared" si="47"/>
        <v>京都府京都市伏見区両替町</v>
      </c>
      <c r="D668" s="2" t="str">
        <f t="shared" si="48"/>
        <v>http://geocode.csis.u-tokyo.ac.jp/cgi-bin/simple_geocode.cgi?charset=UTF8&amp;addr=%E4%BA%AC%E9%83%BD%E5%BA%9C%E4%BA%AC%E9%83%BD%E5%B8%82%E4%BC%8F%E8%A6%8B%E5%8C%BA%E4%B8%A1%E6%9B%BF%E7%94%BA</v>
      </c>
      <c r="E668" t="str">
        <f t="shared" si="49"/>
        <v xml:space="preserve">&lt;?xml version="1.0" encoding="UTF-8" ?&gt;
&lt;results&gt;
&lt;query&gt;京都府京都市伏見区両替町&lt;/query&gt;
&lt;geodetic&gt;wgs1984&lt;/geodetic&gt;
&lt;iConf&gt;5&lt;/iConf&gt;
&lt;converted&gt;京都府京都市伏見区両替町&lt;/converted&gt;
&lt;candidate&gt;
&lt;address&gt;京都府/京都市/伏見区/両替町&lt;/address&gt;
&lt;longitude&gt;135.764008&lt;/longitude&gt;
&lt;latitude&gt;34.928463&lt;/latitude&gt;
&lt;iLvl&gt;5&lt;/iLvl&gt;
&lt;/candidate&gt;
&lt;/results&gt;
</v>
      </c>
      <c r="F668" cm="1">
        <f t="array" ref="F668">INDEX(_xlfn.FILTERXML(E668,"//latitude"),1)</f>
        <v>34.928463000000001</v>
      </c>
      <c r="G668" cm="1">
        <f t="array" ref="G668">INDEX(_xlfn.FILTERXML(E668,"//longitude"),1)</f>
        <v>135.76400799999999</v>
      </c>
      <c r="H668">
        <v>34.928463000000001</v>
      </c>
      <c r="I668">
        <v>135.76400799999999</v>
      </c>
    </row>
    <row r="669" spans="1:9" x14ac:dyDescent="0.4">
      <c r="A669" t="s">
        <v>97</v>
      </c>
      <c r="B669" t="s">
        <v>482</v>
      </c>
      <c r="C669" t="str">
        <f t="shared" si="47"/>
        <v>熊本県熊本市中央区坪井2丁目</v>
      </c>
      <c r="D669" s="2" t="str">
        <f t="shared" si="48"/>
        <v>http://geocode.csis.u-tokyo.ac.jp/cgi-bin/simple_geocode.cgi?charset=UTF8&amp;addr=%E7%86%8A%E6%9C%AC%E7%9C%8C%E7%86%8A%E6%9C%AC%E5%B8%82%E4%B8%AD%E5%A4%AE%E5%8C%BA%E5%9D%AA%E4%BA%952%E4%B8%81%E7%9B%AE</v>
      </c>
      <c r="E669" t="str">
        <f t="shared" si="49"/>
        <v xml:space="preserve">&lt;?xml version="1.0" encoding="UTF-8" ?&gt;
&lt;results&gt;
&lt;query&gt;熊本県熊本市中央区坪井2丁目&lt;/query&gt;
&lt;geodetic&gt;wgs1984&lt;/geodetic&gt;
&lt;iConf&gt;5&lt;/iConf&gt;
&lt;converted&gt;熊本県熊本市中央区坪井2丁目&lt;/converted&gt;
&lt;candidate&gt;
&lt;address&gt;熊本県/熊本市/中央区/坪井/二丁目&lt;/address&gt;
&lt;longitude&gt;130.713501&lt;/longitude&gt;
&lt;latitude&gt;32.809776&lt;/latitude&gt;
&lt;iLvl&gt;6&lt;/iLvl&gt;
&lt;/candidate&gt;
&lt;/results&gt;
</v>
      </c>
      <c r="F669" cm="1">
        <f t="array" ref="F669">INDEX(_xlfn.FILTERXML(E669,"//latitude"),1)</f>
        <v>32.809775999999999</v>
      </c>
      <c r="G669" cm="1">
        <f t="array" ref="G669">INDEX(_xlfn.FILTERXML(E669,"//longitude"),1)</f>
        <v>130.71350100000001</v>
      </c>
      <c r="H669">
        <v>32.809775999999999</v>
      </c>
      <c r="I669">
        <v>130.71350100000001</v>
      </c>
    </row>
    <row r="670" spans="1:9" x14ac:dyDescent="0.4">
      <c r="A670" t="s">
        <v>10</v>
      </c>
      <c r="B670" t="s">
        <v>483</v>
      </c>
      <c r="C670" t="str">
        <f t="shared" si="47"/>
        <v>神奈川県川崎市幸区小倉</v>
      </c>
      <c r="D670" s="2" t="str">
        <f t="shared" si="48"/>
        <v>http://geocode.csis.u-tokyo.ac.jp/cgi-bin/simple_geocode.cgi?charset=UTF8&amp;addr=%E7%A5%9E%E5%A5%88%E5%B7%9D%E7%9C%8C%E5%B7%9D%E5%B4%8E%E5%B8%82%E5%B9%B8%E5%8C%BA%E5%B0%8F%E5%80%89</v>
      </c>
      <c r="E670" t="str">
        <f t="shared" si="49"/>
        <v xml:space="preserve">&lt;?xml version="1.0" encoding="UTF-8" ?&gt;
&lt;results&gt;
&lt;query&gt;神奈川県川崎市幸区小倉&lt;/query&gt;
&lt;geodetic&gt;wgs1984&lt;/geodetic&gt;
&lt;iConf&gt;5&lt;/iConf&gt;
&lt;converted&gt;神奈川県川崎市幸区小倉&lt;/converted&gt;
&lt;candidate&gt;
&lt;address&gt;神奈川県/川崎市/幸区/小倉&lt;/address&gt;
&lt;longitude&gt;139.670151&lt;/longitude&gt;
&lt;latitude&gt;35.545078&lt;/latitude&gt;
&lt;iLvl&gt;5&lt;/iLvl&gt;
&lt;/candidate&gt;
&lt;/results&gt;
</v>
      </c>
      <c r="F670" cm="1">
        <f t="array" ref="F670">INDEX(_xlfn.FILTERXML(E670,"//latitude"),1)</f>
        <v>35.545077999999997</v>
      </c>
      <c r="G670" cm="1">
        <f t="array" ref="G670">INDEX(_xlfn.FILTERXML(E670,"//longitude"),1)</f>
        <v>139.670151</v>
      </c>
      <c r="H670">
        <v>35.545077999999997</v>
      </c>
      <c r="I670">
        <v>139.670151</v>
      </c>
    </row>
    <row r="671" spans="1:9" x14ac:dyDescent="0.4">
      <c r="A671" t="s">
        <v>24</v>
      </c>
      <c r="B671" t="s">
        <v>38</v>
      </c>
      <c r="C671" t="str">
        <f t="shared" si="47"/>
        <v>静岡県磐田市元天神町</v>
      </c>
      <c r="D671" s="2" t="str">
        <f t="shared" si="48"/>
        <v>http://geocode.csis.u-tokyo.ac.jp/cgi-bin/simple_geocode.cgi?charset=UTF8&amp;addr=%E9%9D%99%E5%B2%A1%E7%9C%8C%E7%A3%90%E7%94%B0%E5%B8%82%E5%85%83%E5%A4%A9%E7%A5%9E%E7%94%BA</v>
      </c>
      <c r="E671" t="str">
        <f t="shared" si="49"/>
        <v xml:space="preserve">&lt;?xml version="1.0" encoding="UTF-8" ?&gt;
&lt;results&gt;
&lt;query&gt;静岡県磐田市元天神町&lt;/query&gt;
&lt;geodetic&gt;wgs1984&lt;/geodetic&gt;
&lt;iConf&gt;5&lt;/iConf&gt;
&lt;converted&gt;静岡県磐田市元天神町&lt;/converted&gt;
&lt;candidate&gt;
&lt;address&gt;静岡県/磐田市/元天神町&lt;/address&gt;
&lt;longitude&gt;137.867157&lt;/longitude&gt;
&lt;latitude&gt;34.739372&lt;/latitude&gt;
&lt;iLvl&gt;5&lt;/iLvl&gt;
&lt;/candidate&gt;
&lt;/results&gt;
</v>
      </c>
      <c r="F671" cm="1">
        <f t="array" ref="F671">INDEX(_xlfn.FILTERXML(E671,"//latitude"),1)</f>
        <v>34.739372000000003</v>
      </c>
      <c r="G671" cm="1">
        <f t="array" ref="G671">INDEX(_xlfn.FILTERXML(E671,"//longitude"),1)</f>
        <v>137.86715699999999</v>
      </c>
      <c r="H671">
        <v>34.739372000000003</v>
      </c>
      <c r="I671">
        <v>137.86715699999999</v>
      </c>
    </row>
    <row r="672" spans="1:9" x14ac:dyDescent="0.4">
      <c r="A672" t="s">
        <v>9</v>
      </c>
      <c r="B672" t="s">
        <v>484</v>
      </c>
      <c r="C672" t="str">
        <f t="shared" si="47"/>
        <v>東京都世田谷区三軒茶屋</v>
      </c>
      <c r="D672" s="2" t="str">
        <f t="shared" si="48"/>
        <v>http://geocode.csis.u-tokyo.ac.jp/cgi-bin/simple_geocode.cgi?charset=UTF8&amp;addr=%E6%9D%B1%E4%BA%AC%E9%83%BD%E4%B8%96%E7%94%B0%E8%B0%B7%E5%8C%BA%E4%B8%89%E8%BB%92%E8%8C%B6%E5%B1%8B</v>
      </c>
      <c r="E672" t="str">
        <f t="shared" si="49"/>
        <v xml:space="preserve">&lt;?xml version="1.0" encoding="UTF-8" ?&gt;
&lt;results&gt;
&lt;query&gt;東京都世田谷区三軒茶屋&lt;/query&gt;
&lt;geodetic&gt;wgs1984&lt;/geodetic&gt;
&lt;iConf&gt;5&lt;/iConf&gt;
&lt;converted&gt;東京都世田谷区三軒茶屋&lt;/converted&gt;
&lt;candidate&gt;
&lt;address&gt;東京都/世田谷区/三軒茶屋&lt;/address&gt;
&lt;longitude&gt;139.671494&lt;/longitude&gt;
&lt;latitude&gt;35.641197&lt;/latitude&gt;
&lt;iLvl&gt;5&lt;/iLvl&gt;
&lt;/candidate&gt;
&lt;/results&gt;
</v>
      </c>
      <c r="F672" cm="1">
        <f t="array" ref="F672">INDEX(_xlfn.FILTERXML(E672,"//latitude"),1)</f>
        <v>35.641196999999998</v>
      </c>
      <c r="G672" cm="1">
        <f t="array" ref="G672">INDEX(_xlfn.FILTERXML(E672,"//longitude"),1)</f>
        <v>139.671494</v>
      </c>
      <c r="H672">
        <v>35.641196999999998</v>
      </c>
      <c r="I672">
        <v>139.671494</v>
      </c>
    </row>
    <row r="673" spans="1:9" x14ac:dyDescent="0.4">
      <c r="A673" t="s">
        <v>9</v>
      </c>
      <c r="B673" t="s">
        <v>468</v>
      </c>
      <c r="C673" t="str">
        <f t="shared" si="47"/>
        <v>東京都千代田区</v>
      </c>
      <c r="D673" s="2" t="str">
        <f t="shared" si="48"/>
        <v>http://geocode.csis.u-tokyo.ac.jp/cgi-bin/simple_geocode.cgi?charset=UTF8&amp;addr=%E6%9D%B1%E4%BA%AC%E9%83%BD%E5%8D%83%E4%BB%A3%E7%94%B0%E5%8C%BA</v>
      </c>
      <c r="E673" t="str">
        <f t="shared" si="49"/>
        <v xml:space="preserve">&lt;?xml version="1.0" encoding="UTF-8" ?&gt;
&lt;results&gt;
&lt;query&gt;東京都千代田区&lt;/query&gt;
&lt;geodetic&gt;wgs1984&lt;/geodetic&gt;
&lt;iConf&gt;5&lt;/iConf&gt;
&lt;converted&gt;東京都千代田区&lt;/converted&gt;
&lt;candidate&gt;
&lt;address&gt;東京都/千代田区&lt;/address&gt;
&lt;longitude&gt;139.753632&lt;/longitude&gt;
&lt;latitude&gt;35.694004&lt;/latitude&gt;
&lt;iLvl&gt;3&lt;/iLvl&gt;
&lt;/candidate&gt;
&lt;/results&gt;
</v>
      </c>
      <c r="F673" cm="1">
        <f t="array" ref="F673">INDEX(_xlfn.FILTERXML(E673,"//latitude"),1)</f>
        <v>35.694004</v>
      </c>
      <c r="G673" cm="1">
        <f t="array" ref="G673">INDEX(_xlfn.FILTERXML(E673,"//longitude"),1)</f>
        <v>139.75363200000001</v>
      </c>
      <c r="H673">
        <v>35.694004</v>
      </c>
      <c r="I673">
        <v>139.75363200000001</v>
      </c>
    </row>
    <row r="674" spans="1:9" x14ac:dyDescent="0.4">
      <c r="A674" t="s">
        <v>164</v>
      </c>
      <c r="B674" t="s">
        <v>485</v>
      </c>
      <c r="C674" t="str">
        <f t="shared" si="47"/>
        <v>広島県呉市阿賀北</v>
      </c>
      <c r="D674" s="2" t="str">
        <f t="shared" si="48"/>
        <v>http://geocode.csis.u-tokyo.ac.jp/cgi-bin/simple_geocode.cgi?charset=UTF8&amp;addr=%E5%BA%83%E5%B3%B6%E7%9C%8C%E5%91%89%E5%B8%82%E9%98%BF%E8%B3%80%E5%8C%97</v>
      </c>
      <c r="E674" t="str">
        <f t="shared" si="49"/>
        <v xml:space="preserve">&lt;?xml version="1.0" encoding="UTF-8" ?&gt;
&lt;results&gt;
&lt;query&gt;広島県呉市阿賀北&lt;/query&gt;
&lt;geodetic&gt;wgs1984&lt;/geodetic&gt;
&lt;iConf&gt;5&lt;/iConf&gt;
&lt;converted&gt;広島県呉市阿賀北&lt;/converted&gt;
&lt;candidate&gt;
&lt;address&gt;広島県/呉市/阿賀北&lt;/address&gt;
&lt;longitude&gt;132.591782&lt;/longitude&gt;
&lt;latitude&gt;34.254131&lt;/latitude&gt;
&lt;iLvl&gt;5&lt;/iLvl&gt;
&lt;/candidate&gt;
&lt;/results&gt;
</v>
      </c>
      <c r="F674" cm="1">
        <f t="array" ref="F674">INDEX(_xlfn.FILTERXML(E674,"//latitude"),1)</f>
        <v>34.254131000000001</v>
      </c>
      <c r="G674" cm="1">
        <f t="array" ref="G674">INDEX(_xlfn.FILTERXML(E674,"//longitude"),1)</f>
        <v>132.59178199999999</v>
      </c>
      <c r="H674">
        <v>34.254131000000001</v>
      </c>
      <c r="I674">
        <v>132.59178199999999</v>
      </c>
    </row>
    <row r="675" spans="1:9" x14ac:dyDescent="0.4">
      <c r="A675" t="s">
        <v>12</v>
      </c>
      <c r="B675" t="s">
        <v>486</v>
      </c>
      <c r="C675" t="str">
        <f t="shared" si="47"/>
        <v>埼玉県所沢市東町12-8-912</v>
      </c>
      <c r="D675" s="2" t="str">
        <f t="shared" si="48"/>
        <v>http://geocode.csis.u-tokyo.ac.jp/cgi-bin/simple_geocode.cgi?charset=UTF8&amp;addr=%E5%9F%BC%E7%8E%89%E7%9C%8C%E6%89%80%E6%B2%A2%E5%B8%82%E6%9D%B1%E7%94%BA12-8-912</v>
      </c>
      <c r="E675" t="str">
        <f t="shared" si="49"/>
        <v xml:space="preserve">&lt;?xml version="1.0" encoding="UTF-8" ?&gt;
&lt;results&gt;
&lt;query&gt;埼玉県所沢市東町12-8-912&lt;/query&gt;
&lt;geodetic&gt;wgs1984&lt;/geodetic&gt;
&lt;iConf&gt;5&lt;/iConf&gt;
&lt;converted&gt;埼玉県所沢市東町12-8-&lt;/converted&gt;
&lt;candidate&gt;
&lt;address&gt;埼玉県/所沢市/東町/１２番/８号&lt;/address&gt;
&lt;longitude&gt;139.470505&lt;/longitude&gt;
&lt;latitude&gt;35.789967&lt;/latitude&gt;
&lt;iLvl&gt;8&lt;/iLvl&gt;
&lt;/candidate&gt;
&lt;/results&gt;
</v>
      </c>
      <c r="F675" cm="1">
        <f t="array" ref="F675">INDEX(_xlfn.FILTERXML(E675,"//latitude"),1)</f>
        <v>35.789966999999997</v>
      </c>
      <c r="G675" cm="1">
        <f t="array" ref="G675">INDEX(_xlfn.FILTERXML(E675,"//longitude"),1)</f>
        <v>139.470505</v>
      </c>
      <c r="H675">
        <v>35.789966999999997</v>
      </c>
      <c r="I675">
        <v>139.470505</v>
      </c>
    </row>
    <row r="676" spans="1:9" x14ac:dyDescent="0.4">
      <c r="A676" t="s">
        <v>11</v>
      </c>
      <c r="B676" t="s">
        <v>487</v>
      </c>
      <c r="C676" t="str">
        <f t="shared" si="47"/>
        <v>大阪府守口市</v>
      </c>
      <c r="D676" s="2" t="str">
        <f t="shared" si="48"/>
        <v>http://geocode.csis.u-tokyo.ac.jp/cgi-bin/simple_geocode.cgi?charset=UTF8&amp;addr=%E5%A4%A7%E9%98%AA%E5%BA%9C%E5%AE%88%E5%8F%A3%E5%B8%82</v>
      </c>
      <c r="E676" t="str">
        <f t="shared" si="49"/>
        <v xml:space="preserve">&lt;?xml version="1.0" encoding="UTF-8" ?&gt;
&lt;results&gt;
&lt;query&gt;大阪府守口市&lt;/query&gt;
&lt;geodetic&gt;wgs1984&lt;/geodetic&gt;
&lt;iConf&gt;5&lt;/iConf&gt;
&lt;converted&gt;大阪府守口市&lt;/converted&gt;
&lt;candidate&gt;
&lt;address&gt;大阪府/守口市&lt;/address&gt;
&lt;longitude&gt;135.563965&lt;/longitude&gt;
&lt;latitude&gt;34.737679&lt;/latitude&gt;
&lt;iLvl&gt;3&lt;/iLvl&gt;
&lt;/candidate&gt;
&lt;/results&gt;
</v>
      </c>
      <c r="F676" cm="1">
        <f t="array" ref="F676">INDEX(_xlfn.FILTERXML(E676,"//latitude"),1)</f>
        <v>34.737679</v>
      </c>
      <c r="G676" cm="1">
        <f t="array" ref="G676">INDEX(_xlfn.FILTERXML(E676,"//longitude"),1)</f>
        <v>135.563965</v>
      </c>
      <c r="H676">
        <v>34.737679</v>
      </c>
      <c r="I676">
        <v>135.563965</v>
      </c>
    </row>
    <row r="677" spans="1:9" x14ac:dyDescent="0.4">
      <c r="A677" t="s">
        <v>10</v>
      </c>
      <c r="B677" t="s">
        <v>488</v>
      </c>
      <c r="C677" t="str">
        <f t="shared" si="47"/>
        <v>神奈川県川崎市宮前区土橋</v>
      </c>
      <c r="D677" s="2" t="str">
        <f t="shared" si="48"/>
        <v>http://geocode.csis.u-tokyo.ac.jp/cgi-bin/simple_geocode.cgi?charset=UTF8&amp;addr=%E7%A5%9E%E5%A5%88%E5%B7%9D%E7%9C%8C%E5%B7%9D%E5%B4%8E%E5%B8%82%E5%AE%AE%E5%89%8D%E5%8C%BA%E5%9C%9F%E6%A9%8B</v>
      </c>
      <c r="E677" t="str">
        <f t="shared" si="49"/>
        <v xml:space="preserve">&lt;?xml version="1.0" encoding="UTF-8" ?&gt;
&lt;results&gt;
&lt;query&gt;神奈川県川崎市宮前区土橋&lt;/query&gt;
&lt;geodetic&gt;wgs1984&lt;/geodetic&gt;
&lt;iConf&gt;5&lt;/iConf&gt;
&lt;converted&gt;神奈川県川崎市宮前区土橋&lt;/converted&gt;
&lt;candidate&gt;
&lt;address&gt;神奈川県/川崎市/宮前区/土橋&lt;/address&gt;
&lt;longitude&gt;139.576675&lt;/longitude&gt;
&lt;latitude&gt;35.587051&lt;/latitude&gt;
&lt;iLvl&gt;5&lt;/iLvl&gt;
&lt;/candidate&gt;
&lt;/results&gt;
</v>
      </c>
      <c r="F677" cm="1">
        <f t="array" ref="F677">INDEX(_xlfn.FILTERXML(E677,"//latitude"),1)</f>
        <v>35.587051000000002</v>
      </c>
      <c r="G677" cm="1">
        <f t="array" ref="G677">INDEX(_xlfn.FILTERXML(E677,"//longitude"),1)</f>
        <v>139.57667499999999</v>
      </c>
      <c r="H677">
        <v>35.587051000000002</v>
      </c>
      <c r="I677">
        <v>139.57667499999999</v>
      </c>
    </row>
    <row r="678" spans="1:9" x14ac:dyDescent="0.4">
      <c r="A678" t="s">
        <v>26</v>
      </c>
      <c r="B678" t="s">
        <v>489</v>
      </c>
      <c r="C678" t="str">
        <f t="shared" si="47"/>
        <v>岐阜県各務原市</v>
      </c>
      <c r="D678" s="2" t="str">
        <f t="shared" si="48"/>
        <v>http://geocode.csis.u-tokyo.ac.jp/cgi-bin/simple_geocode.cgi?charset=UTF8&amp;addr=%E5%B2%90%E9%98%9C%E7%9C%8C%E5%90%84%E5%8B%99%E5%8E%9F%E5%B8%82</v>
      </c>
      <c r="E678" t="str">
        <f t="shared" si="49"/>
        <v xml:space="preserve">&lt;?xml version="1.0" encoding="UTF-8" ?&gt;
&lt;results&gt;
&lt;query&gt;岐阜県各務原市&lt;/query&gt;
&lt;geodetic&gt;wgs1984&lt;/geodetic&gt;
&lt;iConf&gt;5&lt;/iConf&gt;
&lt;converted&gt;岐阜県各務原市&lt;/converted&gt;
&lt;candidate&gt;
&lt;address&gt;岐阜県/各務原市&lt;/address&gt;
&lt;longitude&gt;136.848389&lt;/longitude&gt;
&lt;latitude&gt;35.398911&lt;/latitude&gt;
&lt;iLvl&gt;3&lt;/iLvl&gt;
&lt;/candidate&gt;
&lt;/results&gt;
</v>
      </c>
      <c r="F678" cm="1">
        <f t="array" ref="F678">INDEX(_xlfn.FILTERXML(E678,"//latitude"),1)</f>
        <v>35.398910999999998</v>
      </c>
      <c r="G678" cm="1">
        <f t="array" ref="G678">INDEX(_xlfn.FILTERXML(E678,"//longitude"),1)</f>
        <v>136.848389</v>
      </c>
      <c r="H678">
        <v>35.398910999999998</v>
      </c>
      <c r="I678">
        <v>136.848389</v>
      </c>
    </row>
    <row r="679" spans="1:9" x14ac:dyDescent="0.4">
      <c r="A679" t="s">
        <v>16</v>
      </c>
      <c r="B679" t="s">
        <v>490</v>
      </c>
      <c r="C679" t="str">
        <f t="shared" si="47"/>
        <v>千葉県松戸市河原塚</v>
      </c>
      <c r="D679" s="2" t="str">
        <f t="shared" si="48"/>
        <v>http://geocode.csis.u-tokyo.ac.jp/cgi-bin/simple_geocode.cgi?charset=UTF8&amp;addr=%E5%8D%83%E8%91%89%E7%9C%8C%E6%9D%BE%E6%88%B8%E5%B8%82%E6%B2%B3%E5%8E%9F%E5%A1%9A</v>
      </c>
      <c r="E679" t="str">
        <f t="shared" si="49"/>
        <v xml:space="preserve">&lt;?xml version="1.0" encoding="UTF-8" ?&gt;
&lt;results&gt;
&lt;query&gt;千葉県松戸市河原塚&lt;/query&gt;
&lt;geodetic&gt;wgs1984&lt;/geodetic&gt;
&lt;iConf&gt;5&lt;/iConf&gt;
&lt;converted&gt;千葉県松戸市河原塚&lt;/converted&gt;
&lt;candidate&gt;
&lt;address&gt;千葉県/松戸市/河原塚&lt;/address&gt;
&lt;longitude&gt;139.939850&lt;/longitude&gt;
&lt;latitude&gt;35.781403&lt;/latitude&gt;
&lt;iLvl&gt;5&lt;/iLvl&gt;
&lt;/candidate&gt;
&lt;/results&gt;
</v>
      </c>
      <c r="F679" cm="1">
        <f t="array" ref="F679">INDEX(_xlfn.FILTERXML(E679,"//latitude"),1)</f>
        <v>35.781402999999997</v>
      </c>
      <c r="G679" cm="1">
        <f t="array" ref="G679">INDEX(_xlfn.FILTERXML(E679,"//longitude"),1)</f>
        <v>139.93985000000001</v>
      </c>
      <c r="H679">
        <v>35.781402999999997</v>
      </c>
      <c r="I679">
        <v>139.93985000000001</v>
      </c>
    </row>
    <row r="680" spans="1:9" x14ac:dyDescent="0.4">
      <c r="A680" t="s">
        <v>10</v>
      </c>
      <c r="B680" t="s">
        <v>190</v>
      </c>
      <c r="C680" t="str">
        <f t="shared" si="47"/>
        <v>神奈川県横浜市青葉区美しが丘</v>
      </c>
      <c r="D680" s="2" t="str">
        <f t="shared" si="48"/>
        <v>http://geocode.csis.u-tokyo.ac.jp/cgi-bin/simple_geocode.cgi?charset=UTF8&amp;addr=%E7%A5%9E%E5%A5%88%E5%B7%9D%E7%9C%8C%E6%A8%AA%E6%B5%9C%E5%B8%82%E9%9D%92%E8%91%89%E5%8C%BA%E7%BE%8E%E3%81%97%E3%81%8C%E4%B8%98</v>
      </c>
      <c r="E680" t="str">
        <f t="shared" si="49"/>
        <v xml:space="preserve">&lt;?xml version="1.0" encoding="UTF-8" ?&gt;
&lt;results&gt;
&lt;query&gt;神奈川県横浜市青葉区美しが丘&lt;/query&gt;
&lt;geodetic&gt;wgs1984&lt;/geodetic&gt;
&lt;iConf&gt;5&lt;/iConf&gt;
&lt;converted&gt;神奈川県横浜市青葉区美しが丘&lt;/converted&gt;
&lt;candidate&gt;
&lt;address&gt;神奈川県/横浜市/青葉区/美しが丘&lt;/address&gt;
&lt;longitude&gt;139.555374&lt;/longitude&gt;
&lt;latitude&gt;35.579971&lt;/latitude&gt;
&lt;iLvl&gt;5&lt;/iLvl&gt;
&lt;/candidate&gt;
&lt;/results&gt;
</v>
      </c>
      <c r="F680" cm="1">
        <f t="array" ref="F680">INDEX(_xlfn.FILTERXML(E680,"//latitude"),1)</f>
        <v>35.579971</v>
      </c>
      <c r="G680" cm="1">
        <f t="array" ref="G680">INDEX(_xlfn.FILTERXML(E680,"//longitude"),1)</f>
        <v>139.555374</v>
      </c>
      <c r="H680">
        <v>35.579971</v>
      </c>
      <c r="I680">
        <v>139.555374</v>
      </c>
    </row>
    <row r="681" spans="1:9" x14ac:dyDescent="0.4">
      <c r="A681" t="s">
        <v>12</v>
      </c>
      <c r="B681" t="s">
        <v>491</v>
      </c>
      <c r="C681" t="str">
        <f t="shared" si="47"/>
        <v>埼玉県さいたま市南区四谷</v>
      </c>
      <c r="D681" s="2" t="str">
        <f t="shared" si="48"/>
        <v>http://geocode.csis.u-tokyo.ac.jp/cgi-bin/simple_geocode.cgi?charset=UTF8&amp;addr=%E5%9F%BC%E7%8E%89%E7%9C%8C%E3%81%95%E3%81%84%E3%81%9F%E3%81%BE%E5%B8%82%E5%8D%97%E5%8C%BA%E5%9B%9B%E8%B0%B7</v>
      </c>
      <c r="E681" t="str">
        <f t="shared" si="49"/>
        <v xml:space="preserve">&lt;?xml version="1.0" encoding="UTF-8" ?&gt;
&lt;results&gt;
&lt;query&gt;埼玉県さいたま市南区四谷&lt;/query&gt;
&lt;geodetic&gt;wgs1984&lt;/geodetic&gt;
&lt;iConf&gt;5&lt;/iConf&gt;
&lt;converted&gt;埼玉県さいたま市南区四谷&lt;/converted&gt;
&lt;candidate&gt;
&lt;address&gt;埼玉県/さいたま市/南区/四谷&lt;/address&gt;
&lt;longitude&gt;139.634079&lt;/longitude&gt;
&lt;latitude&gt;35.839626&lt;/latitude&gt;
&lt;iLvl&gt;5&lt;/iLvl&gt;
&lt;/candidate&gt;
&lt;/results&gt;
</v>
      </c>
      <c r="F681" cm="1">
        <f t="array" ref="F681">INDEX(_xlfn.FILTERXML(E681,"//latitude"),1)</f>
        <v>35.839626000000003</v>
      </c>
      <c r="G681" cm="1">
        <f t="array" ref="G681">INDEX(_xlfn.FILTERXML(E681,"//longitude"),1)</f>
        <v>139.63407900000001</v>
      </c>
      <c r="H681">
        <v>35.839626000000003</v>
      </c>
      <c r="I681">
        <v>139.63407900000001</v>
      </c>
    </row>
    <row r="682" spans="1:9" x14ac:dyDescent="0.4">
      <c r="A682" t="s">
        <v>9</v>
      </c>
      <c r="B682" t="s">
        <v>492</v>
      </c>
      <c r="C682" t="str">
        <f t="shared" si="47"/>
        <v>東京都台東区</v>
      </c>
      <c r="D682" s="2" t="str">
        <f t="shared" si="48"/>
        <v>http://geocode.csis.u-tokyo.ac.jp/cgi-bin/simple_geocode.cgi?charset=UTF8&amp;addr=%E6%9D%B1%E4%BA%AC%E9%83%BD%E5%8F%B0%E6%9D%B1%E5%8C%BA</v>
      </c>
      <c r="E682" t="str">
        <f t="shared" si="49"/>
        <v xml:space="preserve">&lt;?xml version="1.0" encoding="UTF-8" ?&gt;
&lt;results&gt;
&lt;query&gt;東京都台東区&lt;/query&gt;
&lt;geodetic&gt;wgs1984&lt;/geodetic&gt;
&lt;iConf&gt;5&lt;/iConf&gt;
&lt;converted&gt;東京都台東区&lt;/converted&gt;
&lt;candidate&gt;
&lt;address&gt;東京都/台東区&lt;/address&gt;
&lt;longitude&gt;139.779984&lt;/longitude&gt;
&lt;latitude&gt;35.712608&lt;/latitude&gt;
&lt;iLvl&gt;3&lt;/iLvl&gt;
&lt;/candidate&gt;
&lt;/results&gt;
</v>
      </c>
      <c r="F682" cm="1">
        <f t="array" ref="F682">INDEX(_xlfn.FILTERXML(E682,"//latitude"),1)</f>
        <v>35.712608000000003</v>
      </c>
      <c r="G682" cm="1">
        <f t="array" ref="G682">INDEX(_xlfn.FILTERXML(E682,"//longitude"),1)</f>
        <v>139.77998400000001</v>
      </c>
      <c r="H682">
        <v>35.712608000000003</v>
      </c>
      <c r="I682">
        <v>139.77998400000001</v>
      </c>
    </row>
    <row r="683" spans="1:9" x14ac:dyDescent="0.4">
      <c r="A683" t="s">
        <v>18</v>
      </c>
      <c r="B683" t="s">
        <v>493</v>
      </c>
      <c r="C683" t="str">
        <f t="shared" si="47"/>
        <v>茨城県牛久市ひたち野西2丁目</v>
      </c>
      <c r="D683" s="2" t="str">
        <f t="shared" si="48"/>
        <v>http://geocode.csis.u-tokyo.ac.jp/cgi-bin/simple_geocode.cgi?charset=UTF8&amp;addr=%E8%8C%A8%E5%9F%8E%E7%9C%8C%E7%89%9B%E4%B9%85%E5%B8%82%E3%81%B2%E3%81%9F%E3%81%A1%E9%87%8E%E8%A5%BF2%E4%B8%81%E7%9B%AE</v>
      </c>
      <c r="E683" t="str">
        <f t="shared" si="49"/>
        <v xml:space="preserve">&lt;?xml version="1.0" encoding="UTF-8" ?&gt;
&lt;results&gt;
&lt;query&gt;茨城県牛久市ひたち野西2丁目&lt;/query&gt;
&lt;geodetic&gt;wgs1984&lt;/geodetic&gt;
&lt;iConf&gt;5&lt;/iConf&gt;
&lt;converted&gt;茨城県牛久市ひたち野西2丁目&lt;/converted&gt;
&lt;candidate&gt;
&lt;address&gt;茨城県/牛久市/ひたち野西/二丁目&lt;/address&gt;
&lt;longitude&gt;140.154663&lt;/longitude&gt;
&lt;latitude&gt;36.011433&lt;/latitude&gt;
&lt;iLvl&gt;6&lt;/iLvl&gt;
&lt;/candidate&gt;
&lt;/results&gt;
</v>
      </c>
      <c r="F683" cm="1">
        <f t="array" ref="F683">INDEX(_xlfn.FILTERXML(E683,"//latitude"),1)</f>
        <v>36.011432999999997</v>
      </c>
      <c r="G683" cm="1">
        <f t="array" ref="G683">INDEX(_xlfn.FILTERXML(E683,"//longitude"),1)</f>
        <v>140.154663</v>
      </c>
      <c r="H683">
        <v>36.011432999999997</v>
      </c>
      <c r="I683">
        <v>140.154663</v>
      </c>
    </row>
    <row r="684" spans="1:9" x14ac:dyDescent="0.4">
      <c r="A684" t="s">
        <v>11</v>
      </c>
      <c r="B684" t="s">
        <v>494</v>
      </c>
      <c r="C684" t="str">
        <f t="shared" si="47"/>
        <v>大阪府守口市金田町</v>
      </c>
      <c r="D684" s="2" t="str">
        <f t="shared" si="48"/>
        <v>http://geocode.csis.u-tokyo.ac.jp/cgi-bin/simple_geocode.cgi?charset=UTF8&amp;addr=%E5%A4%A7%E9%98%AA%E5%BA%9C%E5%AE%88%E5%8F%A3%E5%B8%82%E9%87%91%E7%94%B0%E7%94%BA</v>
      </c>
      <c r="E684" t="str">
        <f t="shared" si="49"/>
        <v xml:space="preserve">&lt;?xml version="1.0" encoding="UTF-8" ?&gt;
&lt;results&gt;
&lt;query&gt;大阪府守口市金田町&lt;/query&gt;
&lt;geodetic&gt;wgs1984&lt;/geodetic&gt;
&lt;iConf&gt;5&lt;/iConf&gt;
&lt;converted&gt;大阪府守口市金田町&lt;/converted&gt;
&lt;candidate&gt;
&lt;address&gt;大阪府/守口市/金田町&lt;/address&gt;
&lt;longitude&gt;135.590714&lt;/longitude&gt;
&lt;latitude&gt;34.753807&lt;/latitude&gt;
&lt;iLvl&gt;5&lt;/iLvl&gt;
&lt;/candidate&gt;
&lt;/results&gt;
</v>
      </c>
      <c r="F684" cm="1">
        <f t="array" ref="F684">INDEX(_xlfn.FILTERXML(E684,"//latitude"),1)</f>
        <v>34.753807000000002</v>
      </c>
      <c r="G684" cm="1">
        <f t="array" ref="G684">INDEX(_xlfn.FILTERXML(E684,"//longitude"),1)</f>
        <v>135.59071399999999</v>
      </c>
      <c r="H684">
        <v>34.753807000000002</v>
      </c>
      <c r="I684">
        <v>135.59071399999999</v>
      </c>
    </row>
    <row r="685" spans="1:9" x14ac:dyDescent="0.4">
      <c r="A685" t="s">
        <v>9</v>
      </c>
      <c r="B685" t="s">
        <v>327</v>
      </c>
      <c r="C685" t="str">
        <f t="shared" si="47"/>
        <v>東京都杉並区</v>
      </c>
      <c r="D685" s="2" t="str">
        <f t="shared" si="48"/>
        <v>http://geocode.csis.u-tokyo.ac.jp/cgi-bin/simple_geocode.cgi?charset=UTF8&amp;addr=%E6%9D%B1%E4%BA%AC%E9%83%BD%E6%9D%89%E4%B8%A6%E5%8C%BA</v>
      </c>
      <c r="E685" t="str">
        <f t="shared" si="49"/>
        <v xml:space="preserve">&lt;?xml version="1.0" encoding="UTF-8" ?&gt;
&lt;results&gt;
&lt;query&gt;東京都杉並区&lt;/query&gt;
&lt;geodetic&gt;wgs1984&lt;/geodetic&gt;
&lt;iConf&gt;5&lt;/iConf&gt;
&lt;converted&gt;東京都杉並区&lt;/converted&gt;
&lt;candidate&gt;
&lt;address&gt;東京都/杉並区&lt;/address&gt;
&lt;longitude&gt;139.636414&lt;/longitude&gt;
&lt;latitude&gt;35.699547&lt;/latitude&gt;
&lt;iLvl&gt;3&lt;/iLvl&gt;
&lt;/candidate&gt;
&lt;/results&gt;
</v>
      </c>
      <c r="F685" cm="1">
        <f t="array" ref="F685">INDEX(_xlfn.FILTERXML(E685,"//latitude"),1)</f>
        <v>35.699547000000003</v>
      </c>
      <c r="G685" cm="1">
        <f t="array" ref="G685">INDEX(_xlfn.FILTERXML(E685,"//longitude"),1)</f>
        <v>139.636414</v>
      </c>
      <c r="H685">
        <v>35.699547000000003</v>
      </c>
      <c r="I685">
        <v>139.636414</v>
      </c>
    </row>
    <row r="686" spans="1:9" x14ac:dyDescent="0.4">
      <c r="A686" t="s">
        <v>15</v>
      </c>
      <c r="B686" t="s">
        <v>495</v>
      </c>
      <c r="C686" t="str">
        <f t="shared" si="47"/>
        <v>愛知県半田市大池町</v>
      </c>
      <c r="D686" s="2" t="str">
        <f t="shared" si="48"/>
        <v>http://geocode.csis.u-tokyo.ac.jp/cgi-bin/simple_geocode.cgi?charset=UTF8&amp;addr=%E6%84%9B%E7%9F%A5%E7%9C%8C%E5%8D%8A%E7%94%B0%E5%B8%82%E5%A4%A7%E6%B1%A0%E7%94%BA</v>
      </c>
      <c r="E686" t="str">
        <f t="shared" si="49"/>
        <v xml:space="preserve">&lt;?xml version="1.0" encoding="UTF-8" ?&gt;
&lt;results&gt;
&lt;query&gt;愛知県半田市大池町&lt;/query&gt;
&lt;geodetic&gt;wgs1984&lt;/geodetic&gt;
&lt;iConf&gt;5&lt;/iConf&gt;
&lt;converted&gt;愛知県半田市大池町&lt;/converted&gt;
&lt;candidate&gt;
&lt;address&gt;愛知県/半田市/大池町&lt;/address&gt;
&lt;longitude&gt;136.952789&lt;/longitude&gt;
&lt;latitude&gt;34.918365&lt;/latitude&gt;
&lt;iLvl&gt;5&lt;/iLvl&gt;
&lt;/candidate&gt;
&lt;/results&gt;
</v>
      </c>
      <c r="F686" cm="1">
        <f t="array" ref="F686">INDEX(_xlfn.FILTERXML(E686,"//latitude"),1)</f>
        <v>34.918365000000001</v>
      </c>
      <c r="G686" cm="1">
        <f t="array" ref="G686">INDEX(_xlfn.FILTERXML(E686,"//longitude"),1)</f>
        <v>136.952789</v>
      </c>
      <c r="H686">
        <v>34.918365000000001</v>
      </c>
      <c r="I686">
        <v>136.952789</v>
      </c>
    </row>
    <row r="687" spans="1:9" x14ac:dyDescent="0.4">
      <c r="A687" t="s">
        <v>11</v>
      </c>
      <c r="B687" t="s">
        <v>496</v>
      </c>
      <c r="C687" t="str">
        <f t="shared" si="47"/>
        <v>大阪府東大阪市新池島町</v>
      </c>
      <c r="D687" s="2" t="str">
        <f t="shared" si="48"/>
        <v>http://geocode.csis.u-tokyo.ac.jp/cgi-bin/simple_geocode.cgi?charset=UTF8&amp;addr=%E5%A4%A7%E9%98%AA%E5%BA%9C%E6%9D%B1%E5%A4%A7%E9%98%AA%E5%B8%82%E6%96%B0%E6%B1%A0%E5%B3%B6%E7%94%BA</v>
      </c>
      <c r="E687" t="str">
        <f t="shared" si="49"/>
        <v xml:space="preserve">&lt;?xml version="1.0" encoding="UTF-8" ?&gt;
&lt;results&gt;
&lt;query&gt;大阪府東大阪市新池島町&lt;/query&gt;
&lt;geodetic&gt;wgs1984&lt;/geodetic&gt;
&lt;iConf&gt;5&lt;/iConf&gt;
&lt;converted&gt;大阪府東大阪市新池島町&lt;/converted&gt;
&lt;candidate&gt;
&lt;address&gt;大阪府/東大阪市/新池島町&lt;/address&gt;
&lt;longitude&gt;135.631516&lt;/longitude&gt;
&lt;latitude&gt;34.658169&lt;/latitude&gt;
&lt;iLvl&gt;5&lt;/iLvl&gt;
&lt;/candidate&gt;
&lt;/results&gt;
</v>
      </c>
      <c r="F687" cm="1">
        <f t="array" ref="F687">INDEX(_xlfn.FILTERXML(E687,"//latitude"),1)</f>
        <v>34.658169000000001</v>
      </c>
      <c r="G687" cm="1">
        <f t="array" ref="G687">INDEX(_xlfn.FILTERXML(E687,"//longitude"),1)</f>
        <v>135.631516</v>
      </c>
      <c r="H687">
        <v>34.658169000000001</v>
      </c>
      <c r="I687">
        <v>135.631516</v>
      </c>
    </row>
    <row r="688" spans="1:9" x14ac:dyDescent="0.4">
      <c r="A688" t="s">
        <v>15</v>
      </c>
      <c r="B688" t="s">
        <v>497</v>
      </c>
      <c r="C688" t="str">
        <f t="shared" si="47"/>
        <v>愛知県知多郡東浦町大字森岡字祖母懐</v>
      </c>
      <c r="D688" s="2" t="str">
        <f t="shared" si="48"/>
        <v>http://geocode.csis.u-tokyo.ac.jp/cgi-bin/simple_geocode.cgi?charset=UTF8&amp;addr=%E6%84%9B%E7%9F%A5%E7%9C%8C%E7%9F%A5%E5%A4%9A%E9%83%A1%E6%9D%B1%E6%B5%A6%E7%94%BA%E5%A4%A7%E5%AD%97%E6%A3%AE%E5%B2%A1%E5%AD%97%E7%A5%96%E6%AF%8D%E6%87%90</v>
      </c>
      <c r="E688" t="str">
        <f t="shared" si="49"/>
        <v xml:space="preserve">&lt;?xml version="1.0" encoding="UTF-8" ?&gt;
&lt;results&gt;
&lt;query&gt;愛知県知多郡東浦町大字森岡字祖母懐&lt;/query&gt;
&lt;geodetic&gt;wgs1984&lt;/geodetic&gt;
&lt;iConf&gt;5&lt;/iConf&gt;
&lt;converted&gt;愛知県知多郡東浦町大字森岡字祖母懐&lt;/converted&gt;
&lt;candidate&gt;
&lt;address&gt;愛知県/知多郡/東浦町/大字森岡/祖母懐&lt;/address&gt;
&lt;longitude&gt;136.952087&lt;/longitude&gt;
&lt;latitude&gt;34.994808&lt;/latitude&gt;
&lt;iLvl&gt;6&lt;/iLvl&gt;
&lt;/candidate&gt;
&lt;/results&gt;
</v>
      </c>
      <c r="F688" cm="1">
        <f t="array" ref="F688">INDEX(_xlfn.FILTERXML(E688,"//latitude"),1)</f>
        <v>34.994807999999999</v>
      </c>
      <c r="G688" cm="1">
        <f t="array" ref="G688">INDEX(_xlfn.FILTERXML(E688,"//longitude"),1)</f>
        <v>136.95208700000001</v>
      </c>
      <c r="H688">
        <v>34.994807999999999</v>
      </c>
      <c r="I688">
        <v>136.95208700000001</v>
      </c>
    </row>
    <row r="689" spans="1:9" x14ac:dyDescent="0.4">
      <c r="A689" t="s">
        <v>9</v>
      </c>
      <c r="B689" t="s">
        <v>498</v>
      </c>
      <c r="C689" t="str">
        <f t="shared" si="47"/>
        <v>東京都府中市東芝町1-64</v>
      </c>
      <c r="D689" s="2" t="str">
        <f t="shared" si="48"/>
        <v>http://geocode.csis.u-tokyo.ac.jp/cgi-bin/simple_geocode.cgi?charset=UTF8&amp;addr=%E6%9D%B1%E4%BA%AC%E9%83%BD%E5%BA%9C%E4%B8%AD%E5%B8%82%E6%9D%B1%E8%8A%9D%E7%94%BA1-64</v>
      </c>
      <c r="E689" t="str">
        <f t="shared" si="49"/>
        <v xml:space="preserve">&lt;?xml version="1.0" encoding="UTF-8" ?&gt;
&lt;results&gt;
&lt;query&gt;東京都府中市東芝町1-64&lt;/query&gt;
&lt;geodetic&gt;wgs1984&lt;/geodetic&gt;
&lt;iConf&gt;5&lt;/iConf&gt;
&lt;converted&gt;東京都府中市東芝町1-&lt;/converted&gt;
&lt;candidate&gt;
&lt;address&gt;東京都/府中市/東芝町/１番&lt;/address&gt;
&lt;longitude&gt;139.463181&lt;/longitude&gt;
&lt;latitude&gt;35.681538&lt;/latitude&gt;
&lt;iLvl&gt;7&lt;/iLvl&gt;
&lt;/candidate&gt;
&lt;/results&gt;
</v>
      </c>
      <c r="F689" cm="1">
        <f t="array" ref="F689">INDEX(_xlfn.FILTERXML(E689,"//latitude"),1)</f>
        <v>35.681538000000003</v>
      </c>
      <c r="G689" cm="1">
        <f t="array" ref="G689">INDEX(_xlfn.FILTERXML(E689,"//longitude"),1)</f>
        <v>139.46318099999999</v>
      </c>
      <c r="H689">
        <v>35.681538000000003</v>
      </c>
      <c r="I689">
        <v>139.46318099999999</v>
      </c>
    </row>
    <row r="690" spans="1:9" x14ac:dyDescent="0.4">
      <c r="A690" t="s">
        <v>31</v>
      </c>
      <c r="B690" t="s">
        <v>499</v>
      </c>
      <c r="C690" t="str">
        <f t="shared" si="47"/>
        <v>北海道札幌市東区</v>
      </c>
      <c r="D690" s="2" t="str">
        <f t="shared" si="48"/>
        <v>http://geocode.csis.u-tokyo.ac.jp/cgi-bin/simple_geocode.cgi?charset=UTF8&amp;addr=%E5%8C%97%E6%B5%B7%E9%81%93%E6%9C%AD%E5%B9%8C%E5%B8%82%E6%9D%B1%E5%8C%BA</v>
      </c>
      <c r="E690" t="str">
        <f t="shared" si="49"/>
        <v xml:space="preserve">&lt;?xml version="1.0" encoding="UTF-8" ?&gt;
&lt;results&gt;
&lt;query&gt;北海道札幌市東区&lt;/query&gt;
&lt;geodetic&gt;wgs1984&lt;/geodetic&gt;
&lt;iConf&gt;5&lt;/iConf&gt;
&lt;converted&gt;北海道札幌市東区&lt;/converted&gt;
&lt;candidate&gt;
&lt;address&gt;北海道/札幌市/東区&lt;/address&gt;
&lt;longitude&gt;141.363663&lt;/longitude&gt;
&lt;latitude&gt;43.076241&lt;/latitude&gt;
&lt;iLvl&gt;4&lt;/iLvl&gt;
&lt;/candidate&gt;
&lt;/results&gt;
</v>
      </c>
      <c r="F690" cm="1">
        <f t="array" ref="F690">INDEX(_xlfn.FILTERXML(E690,"//latitude"),1)</f>
        <v>43.076241000000003</v>
      </c>
      <c r="G690" cm="1">
        <f t="array" ref="G690">INDEX(_xlfn.FILTERXML(E690,"//longitude"),1)</f>
        <v>141.363663</v>
      </c>
      <c r="H690">
        <v>43.076241000000003</v>
      </c>
      <c r="I690">
        <v>141.363663</v>
      </c>
    </row>
    <row r="691" spans="1:9" x14ac:dyDescent="0.4">
      <c r="A691" t="s">
        <v>9</v>
      </c>
      <c r="B691" t="s">
        <v>500</v>
      </c>
      <c r="C691" t="str">
        <f t="shared" si="47"/>
        <v>東京都小金井貫井南町</v>
      </c>
      <c r="D691" s="2" t="str">
        <f t="shared" si="48"/>
        <v>http://geocode.csis.u-tokyo.ac.jp/cgi-bin/simple_geocode.cgi?charset=UTF8&amp;addr=%E6%9D%B1%E4%BA%AC%E9%83%BD%E5%B0%8F%E9%87%91%E4%BA%95%E8%B2%AB%E4%BA%95%E5%8D%97%E7%94%BA</v>
      </c>
      <c r="E691" t="str">
        <f t="shared" si="49"/>
        <v xml:space="preserve">&lt;?xml version="1.0" encoding="UTF-8" ?&gt;
&lt;results&gt;
&lt;query&gt;東京都小金井貫井南町&lt;/query&gt;
&lt;geodetic&gt;wgs1984&lt;/geodetic&gt;
&lt;iConf&gt;5&lt;/iConf&gt;
&lt;converted&gt;東京都小金井&lt;/converted&gt;
&lt;candidate&gt;
&lt;address&gt;東京都/小金井市&lt;/address&gt;
&lt;longitude&gt;139.502991&lt;/longitude&gt;
&lt;latitude&gt;35.699478&lt;/latitude&gt;
&lt;iLvl&gt;3&lt;/iLvl&gt;
&lt;/candidate&gt;
&lt;/results&gt;
</v>
      </c>
      <c r="F691" cm="1">
        <f t="array" ref="F691">INDEX(_xlfn.FILTERXML(E691,"//latitude"),1)</f>
        <v>35.699477999999999</v>
      </c>
      <c r="G691" cm="1">
        <f t="array" ref="G691">INDEX(_xlfn.FILTERXML(E691,"//longitude"),1)</f>
        <v>139.50299100000001</v>
      </c>
      <c r="H691">
        <v>35.699477999999999</v>
      </c>
      <c r="I691">
        <v>139.50299100000001</v>
      </c>
    </row>
    <row r="692" spans="1:9" x14ac:dyDescent="0.4">
      <c r="A692" t="s">
        <v>30</v>
      </c>
      <c r="B692" t="s">
        <v>501</v>
      </c>
      <c r="C692" t="str">
        <f t="shared" si="47"/>
        <v>石川県小松市</v>
      </c>
      <c r="D692" s="2" t="str">
        <f t="shared" si="48"/>
        <v>http://geocode.csis.u-tokyo.ac.jp/cgi-bin/simple_geocode.cgi?charset=UTF8&amp;addr=%E7%9F%B3%E5%B7%9D%E7%9C%8C%E5%B0%8F%E6%9D%BE%E5%B8%82</v>
      </c>
      <c r="E692" t="str">
        <f t="shared" si="49"/>
        <v xml:space="preserve">&lt;?xml version="1.0" encoding="UTF-8" ?&gt;
&lt;results&gt;
&lt;query&gt;石川県小松市&lt;/query&gt;
&lt;geodetic&gt;wgs1984&lt;/geodetic&gt;
&lt;iConf&gt;5&lt;/iConf&gt;
&lt;converted&gt;石川県小松市&lt;/converted&gt;
&lt;candidate&gt;
&lt;address&gt;石川県/小松市&lt;/address&gt;
&lt;longitude&gt;136.445587&lt;/longitude&gt;
&lt;latitude&gt;36.408356&lt;/latitude&gt;
&lt;iLvl&gt;3&lt;/iLvl&gt;
&lt;/candidate&gt;
&lt;/results&gt;
</v>
      </c>
      <c r="F692" cm="1">
        <f t="array" ref="F692">INDEX(_xlfn.FILTERXML(E692,"//latitude"),1)</f>
        <v>36.408355999999998</v>
      </c>
      <c r="G692" cm="1">
        <f t="array" ref="G692">INDEX(_xlfn.FILTERXML(E692,"//longitude"),1)</f>
        <v>136.44558699999999</v>
      </c>
      <c r="H692">
        <v>36.408355999999998</v>
      </c>
      <c r="I692">
        <v>136.44558699999999</v>
      </c>
    </row>
    <row r="693" spans="1:9" x14ac:dyDescent="0.4">
      <c r="A693" t="s">
        <v>9</v>
      </c>
      <c r="B693" t="s">
        <v>502</v>
      </c>
      <c r="C693" t="str">
        <f t="shared" si="47"/>
        <v>東京都足立区</v>
      </c>
      <c r="D693" s="2" t="str">
        <f t="shared" si="48"/>
        <v>http://geocode.csis.u-tokyo.ac.jp/cgi-bin/simple_geocode.cgi?charset=UTF8&amp;addr=%E6%9D%B1%E4%BA%AC%E9%83%BD%E8%B6%B3%E7%AB%8B%E5%8C%BA</v>
      </c>
      <c r="E693" t="str">
        <f t="shared" si="49"/>
        <v xml:space="preserve">&lt;?xml version="1.0" encoding="UTF-8" ?&gt;
&lt;results&gt;
&lt;query&gt;東京都足立区&lt;/query&gt;
&lt;geodetic&gt;wgs1984&lt;/geodetic&gt;
&lt;iConf&gt;5&lt;/iConf&gt;
&lt;converted&gt;東京都足立区&lt;/converted&gt;
&lt;candidate&gt;
&lt;address&gt;東京都/足立区&lt;/address&gt;
&lt;longitude&gt;139.804581&lt;/longitude&gt;
&lt;latitude&gt;35.774944&lt;/latitude&gt;
&lt;iLvl&gt;3&lt;/iLvl&gt;
&lt;/candidate&gt;
&lt;/results&gt;
</v>
      </c>
      <c r="F693" cm="1">
        <f t="array" ref="F693">INDEX(_xlfn.FILTERXML(E693,"//latitude"),1)</f>
        <v>35.774943999999998</v>
      </c>
      <c r="G693" cm="1">
        <f t="array" ref="G693">INDEX(_xlfn.FILTERXML(E693,"//longitude"),1)</f>
        <v>139.80458100000001</v>
      </c>
      <c r="H693">
        <v>35.774943999999998</v>
      </c>
      <c r="I693">
        <v>139.80458100000001</v>
      </c>
    </row>
    <row r="694" spans="1:9" x14ac:dyDescent="0.4">
      <c r="A694" t="s">
        <v>9</v>
      </c>
      <c r="B694" t="s">
        <v>503</v>
      </c>
      <c r="C694" t="str">
        <f t="shared" si="47"/>
        <v>東京都杉並区和泉</v>
      </c>
      <c r="D694" s="2" t="str">
        <f t="shared" si="48"/>
        <v>http://geocode.csis.u-tokyo.ac.jp/cgi-bin/simple_geocode.cgi?charset=UTF8&amp;addr=%E6%9D%B1%E4%BA%AC%E9%83%BD%E6%9D%89%E4%B8%A6%E5%8C%BA%E5%92%8C%E6%B3%89</v>
      </c>
      <c r="E694" t="str">
        <f t="shared" si="49"/>
        <v xml:space="preserve">&lt;?xml version="1.0" encoding="UTF-8" ?&gt;
&lt;results&gt;
&lt;query&gt;東京都杉並区和泉&lt;/query&gt;
&lt;geodetic&gt;wgs1984&lt;/geodetic&gt;
&lt;iConf&gt;5&lt;/iConf&gt;
&lt;converted&gt;東京都杉並区和泉&lt;/converted&gt;
&lt;candidate&gt;
&lt;address&gt;東京都/杉並区/和泉&lt;/address&gt;
&lt;longitude&gt;139.656952&lt;/longitude&gt;
&lt;latitude&gt;35.675259&lt;/latitude&gt;
&lt;iLvl&gt;5&lt;/iLvl&gt;
&lt;/candidate&gt;
&lt;/results&gt;
</v>
      </c>
      <c r="F694" cm="1">
        <f t="array" ref="F694">INDEX(_xlfn.FILTERXML(E694,"//latitude"),1)</f>
        <v>35.675258999999997</v>
      </c>
      <c r="G694" cm="1">
        <f t="array" ref="G694">INDEX(_xlfn.FILTERXML(E694,"//longitude"),1)</f>
        <v>139.65695199999999</v>
      </c>
      <c r="H694">
        <v>35.675258999999997</v>
      </c>
      <c r="I694">
        <v>139.65695199999999</v>
      </c>
    </row>
    <row r="695" spans="1:9" x14ac:dyDescent="0.4">
      <c r="A695" t="s">
        <v>14</v>
      </c>
      <c r="B695" t="s">
        <v>304</v>
      </c>
      <c r="C695" t="str">
        <f t="shared" si="47"/>
        <v>長野県松本市</v>
      </c>
      <c r="D695" s="2" t="str">
        <f t="shared" si="48"/>
        <v>http://geocode.csis.u-tokyo.ac.jp/cgi-bin/simple_geocode.cgi?charset=UTF8&amp;addr=%E9%95%B7%E9%87%8E%E7%9C%8C%E6%9D%BE%E6%9C%AC%E5%B8%82</v>
      </c>
      <c r="E695" t="str">
        <f t="shared" si="49"/>
        <v xml:space="preserve">&lt;?xml version="1.0" encoding="UTF-8" ?&gt;
&lt;results&gt;
&lt;query&gt;長野県松本市&lt;/query&gt;
&lt;geodetic&gt;wgs1984&lt;/geodetic&gt;
&lt;iConf&gt;5&lt;/iConf&gt;
&lt;converted&gt;長野県松本市&lt;/converted&gt;
&lt;candidate&gt;
&lt;address&gt;長野県/松本市&lt;/address&gt;
&lt;longitude&gt;137.971985&lt;/longitude&gt;
&lt;latitude&gt;36.238094&lt;/latitude&gt;
&lt;iLvl&gt;3&lt;/iLvl&gt;
&lt;/candidate&gt;
&lt;/results&gt;
</v>
      </c>
      <c r="F695" cm="1">
        <f t="array" ref="F695">INDEX(_xlfn.FILTERXML(E695,"//latitude"),1)</f>
        <v>36.238093999999997</v>
      </c>
      <c r="G695" cm="1">
        <f t="array" ref="G695">INDEX(_xlfn.FILTERXML(E695,"//longitude"),1)</f>
        <v>137.97198499999999</v>
      </c>
      <c r="H695">
        <v>36.238093999999997</v>
      </c>
      <c r="I695">
        <v>137.97198499999999</v>
      </c>
    </row>
    <row r="696" spans="1:9" x14ac:dyDescent="0.4">
      <c r="A696" t="s">
        <v>10</v>
      </c>
      <c r="B696" t="s">
        <v>504</v>
      </c>
      <c r="C696" t="str">
        <f t="shared" si="47"/>
        <v>神奈川県横浜市港北区綱島上町</v>
      </c>
      <c r="D696" s="2" t="str">
        <f t="shared" si="48"/>
        <v>http://geocode.csis.u-tokyo.ac.jp/cgi-bin/simple_geocode.cgi?charset=UTF8&amp;addr=%E7%A5%9E%E5%A5%88%E5%B7%9D%E7%9C%8C%E6%A8%AA%E6%B5%9C%E5%B8%82%E6%B8%AF%E5%8C%97%E5%8C%BA%E7%B6%B1%E5%B3%B6%E4%B8%8A%E7%94%BA</v>
      </c>
      <c r="E696" t="str">
        <f t="shared" si="49"/>
        <v xml:space="preserve">&lt;?xml version="1.0" encoding="UTF-8" ?&gt;
&lt;results&gt;
&lt;query&gt;神奈川県横浜市港北区綱島上町&lt;/query&gt;
&lt;geodetic&gt;wgs1984&lt;/geodetic&gt;
&lt;iConf&gt;5&lt;/iConf&gt;
&lt;converted&gt;神奈川県横浜市港北区綱島上町&lt;/converted&gt;
&lt;candidate&gt;
&lt;address&gt;神奈川県/横浜市/港北区/綱島上町&lt;/address&gt;
&lt;longitude&gt;139.624985&lt;/longitude&gt;
&lt;latitude&gt;35.536560&lt;/latitude&gt;
&lt;iLvl&gt;5&lt;/iLvl&gt;
&lt;/candidate&gt;
&lt;/results&gt;
</v>
      </c>
      <c r="F696" cm="1">
        <f t="array" ref="F696">INDEX(_xlfn.FILTERXML(E696,"//latitude"),1)</f>
        <v>35.536560000000001</v>
      </c>
      <c r="G696" cm="1">
        <f t="array" ref="G696">INDEX(_xlfn.FILTERXML(E696,"//longitude"),1)</f>
        <v>139.62498500000001</v>
      </c>
      <c r="H696">
        <v>35.536560000000001</v>
      </c>
      <c r="I696">
        <v>139.62498500000001</v>
      </c>
    </row>
    <row r="697" spans="1:9" x14ac:dyDescent="0.4">
      <c r="A697" t="s">
        <v>10</v>
      </c>
      <c r="B697" t="s">
        <v>37</v>
      </c>
      <c r="C697" t="str">
        <f t="shared" si="47"/>
        <v>神奈川県横浜市金沢区東朝比奈</v>
      </c>
      <c r="D697" s="2" t="str">
        <f t="shared" si="48"/>
        <v>http://geocode.csis.u-tokyo.ac.jp/cgi-bin/simple_geocode.cgi?charset=UTF8&amp;addr=%E7%A5%9E%E5%A5%88%E5%B7%9D%E7%9C%8C%E6%A8%AA%E6%B5%9C%E5%B8%82%E9%87%91%E6%B2%A2%E5%8C%BA%E6%9D%B1%E6%9C%9D%E6%AF%94%E5%A5%88</v>
      </c>
      <c r="E697" t="str">
        <f t="shared" si="49"/>
        <v xml:space="preserve">&lt;?xml version="1.0" encoding="UTF-8" ?&gt;
&lt;results&gt;
&lt;query&gt;神奈川県横浜市金沢区東朝比奈&lt;/query&gt;
&lt;geodetic&gt;wgs1984&lt;/geodetic&gt;
&lt;iConf&gt;5&lt;/iConf&gt;
&lt;converted&gt;神奈川県横浜市金沢区東朝比奈&lt;/converted&gt;
&lt;candidate&gt;
&lt;address&gt;神奈川県/横浜市/金沢区/東朝比奈&lt;/address&gt;
&lt;longitude&gt;139.604034&lt;/longitude&gt;
&lt;latitude&gt;35.324543&lt;/latitude&gt;
&lt;iLvl&gt;5&lt;/iLvl&gt;
&lt;/candidate&gt;
&lt;/results&gt;
</v>
      </c>
      <c r="F697" cm="1">
        <f t="array" ref="F697">INDEX(_xlfn.FILTERXML(E697,"//latitude"),1)</f>
        <v>35.324542999999998</v>
      </c>
      <c r="G697" cm="1">
        <f t="array" ref="G697">INDEX(_xlfn.FILTERXML(E697,"//longitude"),1)</f>
        <v>139.60403400000001</v>
      </c>
      <c r="H697">
        <v>35.324542999999998</v>
      </c>
      <c r="I697">
        <v>139.60403400000001</v>
      </c>
    </row>
    <row r="698" spans="1:9" x14ac:dyDescent="0.4">
      <c r="A698" t="s">
        <v>10</v>
      </c>
      <c r="B698" t="s">
        <v>505</v>
      </c>
      <c r="C698" t="str">
        <f t="shared" si="47"/>
        <v>神奈川県横浜市　旭区　東希望が丘</v>
      </c>
      <c r="D698" s="2" t="str">
        <f t="shared" si="48"/>
        <v>http://geocode.csis.u-tokyo.ac.jp/cgi-bin/simple_geocode.cgi?charset=UTF8&amp;addr=%E7%A5%9E%E5%A5%88%E5%B7%9D%E7%9C%8C%E6%A8%AA%E6%B5%9C%E5%B8%82%E3%80%80%E6%97%AD%E5%8C%BA%E3%80%80%E6%9D%B1%E5%B8%8C%E6%9C%9B%E3%81%8C%E4%B8%98</v>
      </c>
      <c r="E698" t="str">
        <f t="shared" si="49"/>
        <v xml:space="preserve">&lt;?xml version="1.0" encoding="UTF-8" ?&gt;
&lt;results&gt;
&lt;query&gt;神奈川県横浜市　旭区　東希望が丘&lt;/query&gt;
&lt;geodetic&gt;wgs1984&lt;/geodetic&gt;
&lt;iConf&gt;5&lt;/iConf&gt;
&lt;converted&gt;神奈川県横浜市　旭区　東希望が丘&lt;/converted&gt;
&lt;candidate&gt;
&lt;address&gt;神奈川県/横浜市/旭区/東希望が丘&lt;/address&gt;
&lt;longitude&gt;139.514328&lt;/longitude&gt;
&lt;latitude&gt;35.464314&lt;/latitude&gt;
&lt;iLvl&gt;5&lt;/iLvl&gt;
&lt;/candidate&gt;
&lt;/results&gt;
</v>
      </c>
      <c r="F698" cm="1">
        <f t="array" ref="F698">INDEX(_xlfn.FILTERXML(E698,"//latitude"),1)</f>
        <v>35.464314000000002</v>
      </c>
      <c r="G698" cm="1">
        <f t="array" ref="G698">INDEX(_xlfn.FILTERXML(E698,"//longitude"),1)</f>
        <v>139.51432800000001</v>
      </c>
      <c r="H698">
        <v>35.464314000000002</v>
      </c>
      <c r="I698">
        <v>139.51432800000001</v>
      </c>
    </row>
    <row r="699" spans="1:9" x14ac:dyDescent="0.4">
      <c r="A699" t="s">
        <v>15</v>
      </c>
      <c r="B699" t="s">
        <v>506</v>
      </c>
      <c r="C699" t="str">
        <f t="shared" si="47"/>
        <v>愛知県知多郡東浦町</v>
      </c>
      <c r="D699" s="2" t="str">
        <f t="shared" si="48"/>
        <v>http://geocode.csis.u-tokyo.ac.jp/cgi-bin/simple_geocode.cgi?charset=UTF8&amp;addr=%E6%84%9B%E7%9F%A5%E7%9C%8C%E7%9F%A5%E5%A4%9A%E9%83%A1%E6%9D%B1%E6%B5%A6%E7%94%BA</v>
      </c>
      <c r="E699" t="str">
        <f t="shared" si="49"/>
        <v xml:space="preserve">&lt;?xml version="1.0" encoding="UTF-8" ?&gt;
&lt;results&gt;
&lt;query&gt;愛知県知多郡東浦町&lt;/query&gt;
&lt;geodetic&gt;wgs1984&lt;/geodetic&gt;
&lt;iConf&gt;5&lt;/iConf&gt;
&lt;converted&gt;愛知県知多郡東浦町&lt;/converted&gt;
&lt;candidate&gt;
&lt;address&gt;愛知県/知多郡/東浦町&lt;/address&gt;
&lt;longitude&gt;136.965576&lt;/longitude&gt;
&lt;latitude&gt;34.977139&lt;/latitude&gt;
&lt;iLvl&gt;3&lt;/iLvl&gt;
&lt;/candidate&gt;
&lt;/results&gt;
</v>
      </c>
      <c r="F699" cm="1">
        <f t="array" ref="F699">INDEX(_xlfn.FILTERXML(E699,"//latitude"),1)</f>
        <v>34.977139000000001</v>
      </c>
      <c r="G699" cm="1">
        <f t="array" ref="G699">INDEX(_xlfn.FILTERXML(E699,"//longitude"),1)</f>
        <v>136.965576</v>
      </c>
      <c r="H699">
        <v>34.977139000000001</v>
      </c>
      <c r="I699">
        <v>136.965576</v>
      </c>
    </row>
    <row r="700" spans="1:9" x14ac:dyDescent="0.4">
      <c r="A700" t="s">
        <v>15</v>
      </c>
      <c r="B700" t="s">
        <v>507</v>
      </c>
      <c r="C700" t="str">
        <f t="shared" si="47"/>
        <v>愛知県瀬戸市窯町</v>
      </c>
      <c r="D700" s="2" t="str">
        <f t="shared" si="48"/>
        <v>http://geocode.csis.u-tokyo.ac.jp/cgi-bin/simple_geocode.cgi?charset=UTF8&amp;addr=%E6%84%9B%E7%9F%A5%E7%9C%8C%E7%80%AC%E6%88%B8%E5%B8%82%E7%AA%AF%E7%94%BA</v>
      </c>
      <c r="E700" t="str">
        <f t="shared" si="49"/>
        <v xml:space="preserve">&lt;?xml version="1.0" encoding="UTF-8" ?&gt;
&lt;results&gt;
&lt;query&gt;愛知県瀬戸市窯町&lt;/query&gt;
&lt;geodetic&gt;wgs1984&lt;/geodetic&gt;
&lt;iConf&gt;5&lt;/iConf&gt;
&lt;converted&gt;愛知県瀬戸市窯町&lt;/converted&gt;
&lt;candidate&gt;
&lt;address&gt;愛知県/瀬戸市/窯町&lt;/address&gt;
&lt;longitude&gt;137.128189&lt;/longitude&gt;
&lt;latitude&gt;35.240887&lt;/latitude&gt;
&lt;iLvl&gt;5&lt;/iLvl&gt;
&lt;/candidate&gt;
&lt;/results&gt;
</v>
      </c>
      <c r="F700" cm="1">
        <f t="array" ref="F700">INDEX(_xlfn.FILTERXML(E700,"//latitude"),1)</f>
        <v>35.240887000000001</v>
      </c>
      <c r="G700" cm="1">
        <f t="array" ref="G700">INDEX(_xlfn.FILTERXML(E700,"//longitude"),1)</f>
        <v>137.12818899999999</v>
      </c>
      <c r="H700">
        <v>35.240887000000001</v>
      </c>
      <c r="I700">
        <v>137.12818899999999</v>
      </c>
    </row>
    <row r="701" spans="1:9" x14ac:dyDescent="0.4">
      <c r="A701" t="s">
        <v>11</v>
      </c>
      <c r="B701" t="s">
        <v>395</v>
      </c>
      <c r="C701" t="str">
        <f t="shared" si="47"/>
        <v>大阪府枚方市</v>
      </c>
      <c r="D701" s="2" t="str">
        <f t="shared" si="48"/>
        <v>http://geocode.csis.u-tokyo.ac.jp/cgi-bin/simple_geocode.cgi?charset=UTF8&amp;addr=%E5%A4%A7%E9%98%AA%E5%BA%9C%E6%9E%9A%E6%96%B9%E5%B8%82</v>
      </c>
      <c r="E701" t="str">
        <f t="shared" si="49"/>
        <v xml:space="preserve">&lt;?xml version="1.0" encoding="UTF-8" ?&gt;
&lt;results&gt;
&lt;query&gt;大阪府枚方市&lt;/query&gt;
&lt;geodetic&gt;wgs1984&lt;/geodetic&gt;
&lt;iConf&gt;5&lt;/iConf&gt;
&lt;converted&gt;大阪府枚方市&lt;/converted&gt;
&lt;candidate&gt;
&lt;address&gt;大阪府/枚方市&lt;/address&gt;
&lt;longitude&gt;135.650635&lt;/longitude&gt;
&lt;latitude&gt;34.814465&lt;/latitude&gt;
&lt;iLvl&gt;3&lt;/iLvl&gt;
&lt;/candidate&gt;
&lt;/results&gt;
</v>
      </c>
      <c r="F701" cm="1">
        <f t="array" ref="F701">INDEX(_xlfn.FILTERXML(E701,"//latitude"),1)</f>
        <v>34.814464999999998</v>
      </c>
      <c r="G701" cm="1">
        <f t="array" ref="G701">INDEX(_xlfn.FILTERXML(E701,"//longitude"),1)</f>
        <v>135.65063499999999</v>
      </c>
      <c r="H701">
        <v>34.814464999999998</v>
      </c>
      <c r="I701">
        <v>135.65063499999999</v>
      </c>
    </row>
    <row r="702" spans="1:9" x14ac:dyDescent="0.4">
      <c r="A702" t="s">
        <v>9</v>
      </c>
      <c r="B702" t="s">
        <v>162</v>
      </c>
      <c r="C702" t="str">
        <f t="shared" si="47"/>
        <v>東京都八王子市</v>
      </c>
      <c r="D702" s="2" t="str">
        <f t="shared" si="48"/>
        <v>http://geocode.csis.u-tokyo.ac.jp/cgi-bin/simple_geocode.cgi?charset=UTF8&amp;addr=%E6%9D%B1%E4%BA%AC%E9%83%BD%E5%85%AB%E7%8E%8B%E5%AD%90%E5%B8%82</v>
      </c>
      <c r="E702" t="str">
        <f t="shared" si="49"/>
        <v xml:space="preserve">&lt;?xml version="1.0" encoding="UTF-8" ?&gt;
&lt;results&gt;
&lt;query&gt;東京都八王子市&lt;/query&gt;
&lt;geodetic&gt;wgs1984&lt;/geodetic&gt;
&lt;iConf&gt;5&lt;/iConf&gt;
&lt;converted&gt;東京都八王子市&lt;/converted&gt;
&lt;candidate&gt;
&lt;address&gt;東京都/八王子市&lt;/address&gt;
&lt;longitude&gt;139.316071&lt;/longitude&gt;
&lt;latitude&gt;35.666569&lt;/latitude&gt;
&lt;iLvl&gt;3&lt;/iLvl&gt;
&lt;/candidate&gt;
&lt;/results&gt;
</v>
      </c>
      <c r="F702" cm="1">
        <f t="array" ref="F702">INDEX(_xlfn.FILTERXML(E702,"//latitude"),1)</f>
        <v>35.666569000000003</v>
      </c>
      <c r="G702" cm="1">
        <f t="array" ref="G702">INDEX(_xlfn.FILTERXML(E702,"//longitude"),1)</f>
        <v>139.31607099999999</v>
      </c>
      <c r="H702">
        <v>35.666569000000003</v>
      </c>
      <c r="I702">
        <v>139.31607099999999</v>
      </c>
    </row>
    <row r="703" spans="1:9" x14ac:dyDescent="0.4">
      <c r="A703" t="s">
        <v>32</v>
      </c>
      <c r="B703" t="s">
        <v>508</v>
      </c>
      <c r="C703" t="str">
        <f t="shared" si="47"/>
        <v>秋田県北秋田市鷹巣字下家下</v>
      </c>
      <c r="D703" s="2" t="str">
        <f t="shared" si="48"/>
        <v>http://geocode.csis.u-tokyo.ac.jp/cgi-bin/simple_geocode.cgi?charset=UTF8&amp;addr=%E7%A7%8B%E7%94%B0%E7%9C%8C%E5%8C%97%E7%A7%8B%E7%94%B0%E5%B8%82%E9%B7%B9%E5%B7%A3%E5%AD%97%E4%B8%8B%E5%AE%B6%E4%B8%8B</v>
      </c>
      <c r="E703" t="str">
        <f t="shared" si="49"/>
        <v xml:space="preserve">&lt;?xml version="1.0" encoding="UTF-8" ?&gt;
&lt;results&gt;
&lt;query&gt;秋田県北秋田市鷹巣字下家下&lt;/query&gt;
&lt;geodetic&gt;wgs1984&lt;/geodetic&gt;
&lt;iConf&gt;5&lt;/iConf&gt;
&lt;converted&gt;秋田県北秋田市鷹巣字下家下&lt;/converted&gt;
&lt;candidate&gt;
&lt;address&gt;秋田県/北秋田市/鷹巣/下家下&lt;/address&gt;
&lt;longitude&gt;140.359741&lt;/longitude&gt;
&lt;latitude&gt;40.230370&lt;/latitude&gt;
&lt;iLvl&gt;6&lt;/iLvl&gt;
&lt;/candidate&gt;
&lt;/results&gt;
</v>
      </c>
      <c r="F703" cm="1">
        <f t="array" ref="F703">INDEX(_xlfn.FILTERXML(E703,"//latitude"),1)</f>
        <v>40.230370000000001</v>
      </c>
      <c r="G703" cm="1">
        <f t="array" ref="G703">INDEX(_xlfn.FILTERXML(E703,"//longitude"),1)</f>
        <v>140.35974100000001</v>
      </c>
      <c r="H703">
        <v>40.230370000000001</v>
      </c>
      <c r="I703">
        <v>140.35974100000001</v>
      </c>
    </row>
    <row r="704" spans="1:9" x14ac:dyDescent="0.4">
      <c r="A704" t="s">
        <v>9</v>
      </c>
      <c r="B704" t="s">
        <v>509</v>
      </c>
      <c r="C704" t="str">
        <f t="shared" si="47"/>
        <v>東京都世田谷区弦巻</v>
      </c>
      <c r="D704" s="2" t="str">
        <f t="shared" si="48"/>
        <v>http://geocode.csis.u-tokyo.ac.jp/cgi-bin/simple_geocode.cgi?charset=UTF8&amp;addr=%E6%9D%B1%E4%BA%AC%E9%83%BD%E4%B8%96%E7%94%B0%E8%B0%B7%E5%8C%BA%E5%BC%A6%E5%B7%BB</v>
      </c>
      <c r="E704" t="str">
        <f t="shared" si="49"/>
        <v xml:space="preserve">&lt;?xml version="1.0" encoding="UTF-8" ?&gt;
&lt;results&gt;
&lt;query&gt;東京都世田谷区弦巻&lt;/query&gt;
&lt;geodetic&gt;wgs1984&lt;/geodetic&gt;
&lt;iConf&gt;5&lt;/iConf&gt;
&lt;converted&gt;東京都世田谷区弦巻&lt;/converted&gt;
&lt;candidate&gt;
&lt;address&gt;東京都/世田谷区/弦巻&lt;/address&gt;
&lt;longitude&gt;139.651962&lt;/longitude&gt;
&lt;latitude&gt;35.638039&lt;/latitude&gt;
&lt;iLvl&gt;5&lt;/iLvl&gt;
&lt;/candidate&gt;
&lt;/results&gt;
</v>
      </c>
      <c r="F704" cm="1">
        <f t="array" ref="F704">INDEX(_xlfn.FILTERXML(E704,"//latitude"),1)</f>
        <v>35.638038999999999</v>
      </c>
      <c r="G704" cm="1">
        <f t="array" ref="G704">INDEX(_xlfn.FILTERXML(E704,"//longitude"),1)</f>
        <v>139.651962</v>
      </c>
      <c r="H704">
        <v>35.638038999999999</v>
      </c>
      <c r="I704">
        <v>139.651962</v>
      </c>
    </row>
    <row r="705" spans="1:9" x14ac:dyDescent="0.4">
      <c r="A705" t="s">
        <v>164</v>
      </c>
      <c r="B705" t="s">
        <v>510</v>
      </c>
      <c r="C705" t="str">
        <f t="shared" si="47"/>
        <v>広島県広島市安佐南区川内</v>
      </c>
      <c r="D705" s="2" t="str">
        <f t="shared" si="48"/>
        <v>http://geocode.csis.u-tokyo.ac.jp/cgi-bin/simple_geocode.cgi?charset=UTF8&amp;addr=%E5%BA%83%E5%B3%B6%E7%9C%8C%E5%BA%83%E5%B3%B6%E5%B8%82%E5%AE%89%E4%BD%90%E5%8D%97%E5%8C%BA%E5%B7%9D%E5%86%85</v>
      </c>
      <c r="E705" t="str">
        <f t="shared" si="49"/>
        <v xml:space="preserve">&lt;?xml version="1.0" encoding="UTF-8" ?&gt;
&lt;results&gt;
&lt;query&gt;広島県広島市安佐南区川内&lt;/query&gt;
&lt;geodetic&gt;wgs1984&lt;/geodetic&gt;
&lt;iConf&gt;5&lt;/iConf&gt;
&lt;converted&gt;広島県広島市安佐南区川内&lt;/converted&gt;
&lt;candidate&gt;
&lt;address&gt;広島県/広島市/安佐南区/川内&lt;/address&gt;
&lt;longitude&gt;132.484451&lt;/longitude&gt;
&lt;latitude&gt;34.458027&lt;/latitude&gt;
&lt;iLvl&gt;5&lt;/iLvl&gt;
&lt;/candidate&gt;
&lt;/results&gt;
</v>
      </c>
      <c r="F705" cm="1">
        <f t="array" ref="F705">INDEX(_xlfn.FILTERXML(E705,"//latitude"),1)</f>
        <v>34.458027000000001</v>
      </c>
      <c r="G705" cm="1">
        <f t="array" ref="G705">INDEX(_xlfn.FILTERXML(E705,"//longitude"),1)</f>
        <v>132.48445100000001</v>
      </c>
      <c r="H705">
        <v>34.458027000000001</v>
      </c>
      <c r="I705">
        <v>132.48445100000001</v>
      </c>
    </row>
    <row r="706" spans="1:9" x14ac:dyDescent="0.4">
      <c r="A706" t="s">
        <v>194</v>
      </c>
      <c r="B706" t="s">
        <v>511</v>
      </c>
      <c r="C706" t="str">
        <f t="shared" si="47"/>
        <v>沖縄県豊見城市</v>
      </c>
      <c r="D706" s="2" t="str">
        <f t="shared" si="48"/>
        <v>http://geocode.csis.u-tokyo.ac.jp/cgi-bin/simple_geocode.cgi?charset=UTF8&amp;addr=%E6%B2%96%E7%B8%84%E7%9C%8C%E8%B1%8A%E8%A6%8B%E5%9F%8E%E5%B8%82</v>
      </c>
      <c r="E706" t="str">
        <f t="shared" si="49"/>
        <v xml:space="preserve">&lt;?xml version="1.0" encoding="UTF-8" ?&gt;
&lt;results&gt;
&lt;query&gt;沖縄県豊見城市&lt;/query&gt;
&lt;geodetic&gt;wgs1984&lt;/geodetic&gt;
&lt;iConf&gt;5&lt;/iConf&gt;
&lt;converted&gt;沖縄県豊見城市&lt;/converted&gt;
&lt;candidate&gt;
&lt;address&gt;沖縄県/豊見城市&lt;/address&gt;
&lt;longitude&gt;127.668884&lt;/longitude&gt;
&lt;latitude&gt;26.161026&lt;/latitude&gt;
&lt;iLvl&gt;3&lt;/iLvl&gt;
&lt;/candidate&gt;
&lt;/results&gt;
</v>
      </c>
      <c r="F706" cm="1">
        <f t="array" ref="F706">INDEX(_xlfn.FILTERXML(E706,"//latitude"),1)</f>
        <v>26.161026</v>
      </c>
      <c r="G706" cm="1">
        <f t="array" ref="G706">INDEX(_xlfn.FILTERXML(E706,"//longitude"),1)</f>
        <v>127.66888400000001</v>
      </c>
      <c r="H706">
        <v>26.161026</v>
      </c>
      <c r="I706">
        <v>127.66888400000001</v>
      </c>
    </row>
    <row r="707" spans="1:9" x14ac:dyDescent="0.4">
      <c r="A707" t="s">
        <v>11</v>
      </c>
      <c r="B707" t="s">
        <v>288</v>
      </c>
      <c r="C707" t="str">
        <f t="shared" si="47"/>
        <v>大阪府吹田市桃山台</v>
      </c>
      <c r="D707" s="2" t="str">
        <f t="shared" si="48"/>
        <v>http://geocode.csis.u-tokyo.ac.jp/cgi-bin/simple_geocode.cgi?charset=UTF8&amp;addr=%E5%A4%A7%E9%98%AA%E5%BA%9C%E5%90%B9%E7%94%B0%E5%B8%82%E6%A1%83%E5%B1%B1%E5%8F%B0</v>
      </c>
      <c r="E707" t="str">
        <f t="shared" si="49"/>
        <v xml:space="preserve">&lt;?xml version="1.0" encoding="UTF-8" ?&gt;
&lt;results&gt;
&lt;query&gt;大阪府吹田市桃山台&lt;/query&gt;
&lt;geodetic&gt;wgs1984&lt;/geodetic&gt;
&lt;iConf&gt;5&lt;/iConf&gt;
&lt;converted&gt;大阪府吹田市桃山台&lt;/converted&gt;
&lt;candidate&gt;
&lt;address&gt;大阪府/吹田市/桃山台&lt;/address&gt;
&lt;longitude&gt;135.505402&lt;/longitude&gt;
&lt;latitude&gt;34.791454&lt;/latitude&gt;
&lt;iLvl&gt;5&lt;/iLvl&gt;
&lt;/candidate&gt;
&lt;/results&gt;
</v>
      </c>
      <c r="F707" cm="1">
        <f t="array" ref="F707">INDEX(_xlfn.FILTERXML(E707,"//latitude"),1)</f>
        <v>34.791454000000002</v>
      </c>
      <c r="G707" cm="1">
        <f t="array" ref="G707">INDEX(_xlfn.FILTERXML(E707,"//longitude"),1)</f>
        <v>135.505402</v>
      </c>
      <c r="H707">
        <v>34.791454000000002</v>
      </c>
      <c r="I707">
        <v>135.505402</v>
      </c>
    </row>
    <row r="708" spans="1:9" x14ac:dyDescent="0.4">
      <c r="A708" t="s">
        <v>14</v>
      </c>
      <c r="B708" t="s">
        <v>512</v>
      </c>
      <c r="C708" t="str">
        <f t="shared" si="47"/>
        <v>長野県松本市笹賀</v>
      </c>
      <c r="D708" s="2" t="str">
        <f t="shared" si="48"/>
        <v>http://geocode.csis.u-tokyo.ac.jp/cgi-bin/simple_geocode.cgi?charset=UTF8&amp;addr=%E9%95%B7%E9%87%8E%E7%9C%8C%E6%9D%BE%E6%9C%AC%E5%B8%82%E7%AC%B9%E8%B3%80</v>
      </c>
      <c r="E708" t="str">
        <f t="shared" si="49"/>
        <v xml:space="preserve">&lt;?xml version="1.0" encoding="UTF-8" ?&gt;
&lt;results&gt;
&lt;query&gt;長野県松本市笹賀&lt;/query&gt;
&lt;geodetic&gt;wgs1984&lt;/geodetic&gt;
&lt;iConf&gt;5&lt;/iConf&gt;
&lt;converted&gt;長野県松本市笹賀&lt;/converted&gt;
&lt;candidate&gt;
&lt;address&gt;長野県/松本市/笹賀&lt;/address&gt;
&lt;longitude&gt;137.936325&lt;/longitude&gt;
&lt;latitude&gt;36.177273&lt;/latitude&gt;
&lt;iLvl&gt;5&lt;/iLvl&gt;
&lt;/candidate&gt;
&lt;/results&gt;
</v>
      </c>
      <c r="F708" cm="1">
        <f t="array" ref="F708">INDEX(_xlfn.FILTERXML(E708,"//latitude"),1)</f>
        <v>36.177273</v>
      </c>
      <c r="G708" cm="1">
        <f t="array" ref="G708">INDEX(_xlfn.FILTERXML(E708,"//longitude"),1)</f>
        <v>137.93632500000001</v>
      </c>
      <c r="H708">
        <v>36.177273</v>
      </c>
      <c r="I708">
        <v>137.93632500000001</v>
      </c>
    </row>
    <row r="709" spans="1:9" x14ac:dyDescent="0.4">
      <c r="A709" t="s">
        <v>16</v>
      </c>
      <c r="B709" t="s">
        <v>513</v>
      </c>
      <c r="C709" t="str">
        <f t="shared" si="47"/>
        <v>千葉県大和田</v>
      </c>
      <c r="D709" s="2" t="str">
        <f t="shared" si="48"/>
        <v>http://geocode.csis.u-tokyo.ac.jp/cgi-bin/simple_geocode.cgi?charset=UTF8&amp;addr=%E5%8D%83%E8%91%89%E7%9C%8C%E5%A4%A7%E5%92%8C%E7%94%B0</v>
      </c>
      <c r="E709" t="str">
        <f t="shared" si="49"/>
        <v xml:space="preserve">&lt;?xml version="1.0" encoding="UTF-8" ?&gt;
&lt;results&gt;
&lt;query&gt;千葉県大和田&lt;/query&gt;
&lt;geodetic&gt;wgs1984&lt;/geodetic&gt;
&lt;iConf&gt;4&lt;/iConf&gt;
&lt;converted&gt;千葉県大&lt;/converted&gt;
&lt;candidate&gt;
&lt;address&gt;千葉県/大栄町&lt;/address&gt;
&lt;longitude&gt;140.462891&lt;/longitude&gt;
&lt;latitude&gt;35.834408&lt;/latitude&gt;
&lt;iLvl&gt;0&lt;/iLvl&gt;
&lt;/candidate&gt;
&lt;candidate&gt;
&lt;address&gt;千葉県/大多喜町&lt;/address&gt;
&lt;longitude&gt;140.245422&lt;/longitude&gt;
&lt;latitude&gt;35.284821&lt;/latitude&gt;
&lt;iLvl&gt;0&lt;/iLvl&gt;
&lt;/candidate&gt;
&lt;candidate&gt;
&lt;address&gt;千葉県/大網白里&lt;/address&gt;
&lt;longitude&gt;140.294266&lt;/longitude&gt;
&lt;latitude&gt;35.524231&lt;/latitude&gt;
&lt;iLvl&gt;3&lt;/iLvl&gt;
&lt;/candidate&gt;
&lt;candidate&gt;
&lt;address&gt;千葉県/大網白里市&lt;/address&gt;
&lt;longitude&gt;140.294266&lt;/longitude&gt;
&lt;latitude&gt;35.524231&lt;/latitude&gt;
&lt;iLvl&gt;3&lt;/iLvl&gt;
&lt;/candidate&gt;
&lt;candidate&gt;
&lt;address&gt;千葉県/大網白里町&lt;/address&gt;
&lt;longitude&gt;140.320969&lt;/longitude&gt;
&lt;latitude&gt;35.521709&lt;/latitude&gt;
&lt;iLvl&gt;0&lt;/iLvl&gt;
&lt;/candidate&gt;
&lt;/results&gt;
</v>
      </c>
      <c r="F709" cm="1">
        <f t="array" ref="F709">INDEX(_xlfn.FILTERXML(E709,"//latitude"),1)</f>
        <v>35.834408000000003</v>
      </c>
      <c r="G709" cm="1">
        <f t="array" ref="G709">INDEX(_xlfn.FILTERXML(E709,"//longitude"),1)</f>
        <v>140.46289100000001</v>
      </c>
      <c r="H709">
        <v>35.834408000000003</v>
      </c>
      <c r="I709">
        <v>140.46289100000001</v>
      </c>
    </row>
    <row r="710" spans="1:9" x14ac:dyDescent="0.4">
      <c r="A710" t="s">
        <v>28</v>
      </c>
      <c r="B710" t="s">
        <v>514</v>
      </c>
      <c r="C710" t="str">
        <f t="shared" ref="C710:C773" si="50">+A710&amp;B710</f>
        <v>三重県津市河芸町千里ケ丘</v>
      </c>
      <c r="D710" s="2" t="str">
        <f t="shared" ref="D710:D773" si="51" xml:space="preserve"> "http://geocode.csis.u-tokyo.ac.jp/cgi-bin/simple_geocode.cgi?charset=UTF8&amp;addr=" &amp; _xlfn.ENCODEURL(C710)</f>
        <v>http://geocode.csis.u-tokyo.ac.jp/cgi-bin/simple_geocode.cgi?charset=UTF8&amp;addr=%E4%B8%89%E9%87%8D%E7%9C%8C%E6%B4%A5%E5%B8%82%E6%B2%B3%E8%8A%B8%E7%94%BA%E5%8D%83%E9%87%8C%E3%82%B1%E4%B8%98</v>
      </c>
      <c r="E710" t="str">
        <f t="shared" ref="E710:E773" si="52" xml:space="preserve"> _xlfn.WEBSERVICE(D710)</f>
        <v xml:space="preserve">&lt;?xml version="1.0" encoding="UTF-8" ?&gt;
&lt;results&gt;
&lt;query&gt;三重県津市河芸町千里ケ丘&lt;/query&gt;
&lt;geodetic&gt;wgs1984&lt;/geodetic&gt;
&lt;iConf&gt;5&lt;/iConf&gt;
&lt;converted&gt;三重県津市河芸町千里ケ丘&lt;/converted&gt;
&lt;candidate&gt;
&lt;address&gt;三重県/津市/河芸町千里ヶ丘&lt;/address&gt;
&lt;longitude&gt;136.545853&lt;/longitude&gt;
&lt;latitude&gt;34.804855&lt;/latitude&gt;
&lt;iLvl&gt;5&lt;/iLvl&gt;
&lt;/candidate&gt;
&lt;/results&gt;
</v>
      </c>
      <c r="F710" cm="1">
        <f t="array" ref="F710">INDEX(_xlfn.FILTERXML(E710,"//latitude"),1)</f>
        <v>34.804855000000003</v>
      </c>
      <c r="G710" cm="1">
        <f t="array" ref="G710">INDEX(_xlfn.FILTERXML(E710,"//longitude"),1)</f>
        <v>136.54585299999999</v>
      </c>
      <c r="H710">
        <v>34.804855000000003</v>
      </c>
      <c r="I710">
        <v>136.54585299999999</v>
      </c>
    </row>
    <row r="711" spans="1:9" x14ac:dyDescent="0.4">
      <c r="A711" t="s">
        <v>15</v>
      </c>
      <c r="B711" t="s">
        <v>515</v>
      </c>
      <c r="C711" t="str">
        <f t="shared" si="50"/>
        <v>愛知県名古屋市東区前浪町</v>
      </c>
      <c r="D711" s="2" t="str">
        <f t="shared" si="51"/>
        <v>http://geocode.csis.u-tokyo.ac.jp/cgi-bin/simple_geocode.cgi?charset=UTF8&amp;addr=%E6%84%9B%E7%9F%A5%E7%9C%8C%E5%90%8D%E5%8F%A4%E5%B1%8B%E5%B8%82%E6%9D%B1%E5%8C%BA%E5%89%8D%E6%B5%AA%E7%94%BA</v>
      </c>
      <c r="E711" t="str">
        <f t="shared" si="52"/>
        <v xml:space="preserve">&lt;?xml version="1.0" encoding="UTF-8" ?&gt;
&lt;results&gt;
&lt;query&gt;愛知県名古屋市東区前浪町&lt;/query&gt;
&lt;geodetic&gt;wgs1984&lt;/geodetic&gt;
&lt;iConf&gt;5&lt;/iConf&gt;
&lt;converted&gt;愛知県名古屋市東区前浪町&lt;/converted&gt;
&lt;candidate&gt;
&lt;address&gt;愛知県/名古屋市/東区/前浪町&lt;/address&gt;
&lt;longitude&gt;136.952576&lt;/longitude&gt;
&lt;latitude&gt;35.185032&lt;/latitude&gt;
&lt;iLvl&gt;5&lt;/iLvl&gt;
&lt;/candidate&gt;
&lt;/results&gt;
</v>
      </c>
      <c r="F711" cm="1">
        <f t="array" ref="F711">INDEX(_xlfn.FILTERXML(E711,"//latitude"),1)</f>
        <v>35.185032</v>
      </c>
      <c r="G711" cm="1">
        <f t="array" ref="G711">INDEX(_xlfn.FILTERXML(E711,"//longitude"),1)</f>
        <v>136.95257599999999</v>
      </c>
      <c r="H711">
        <v>35.185032</v>
      </c>
      <c r="I711">
        <v>136.95257599999999</v>
      </c>
    </row>
    <row r="712" spans="1:9" x14ac:dyDescent="0.4">
      <c r="A712" t="s">
        <v>26</v>
      </c>
      <c r="B712" t="s">
        <v>516</v>
      </c>
      <c r="C712" t="str">
        <f t="shared" si="50"/>
        <v>岐阜県関市山田</v>
      </c>
      <c r="D712" s="2" t="str">
        <f t="shared" si="51"/>
        <v>http://geocode.csis.u-tokyo.ac.jp/cgi-bin/simple_geocode.cgi?charset=UTF8&amp;addr=%E5%B2%90%E9%98%9C%E7%9C%8C%E9%96%A2%E5%B8%82%E5%B1%B1%E7%94%B0</v>
      </c>
      <c r="E712" t="str">
        <f t="shared" si="52"/>
        <v xml:space="preserve">&lt;?xml version="1.0" encoding="UTF-8" ?&gt;
&lt;results&gt;
&lt;query&gt;岐阜県関市山田&lt;/query&gt;
&lt;geodetic&gt;wgs1984&lt;/geodetic&gt;
&lt;iConf&gt;5&lt;/iConf&gt;
&lt;converted&gt;岐阜県関市山田&lt;/converted&gt;
&lt;candidate&gt;
&lt;address&gt;岐阜県/関市/山田&lt;/address&gt;
&lt;longitude&gt;136.877335&lt;/longitude&gt;
&lt;latitude&gt;35.467384&lt;/latitude&gt;
&lt;iLvl&gt;5&lt;/iLvl&gt;
&lt;/candidate&gt;
&lt;/results&gt;
</v>
      </c>
      <c r="F712" cm="1">
        <f t="array" ref="F712">INDEX(_xlfn.FILTERXML(E712,"//latitude"),1)</f>
        <v>35.467384000000003</v>
      </c>
      <c r="G712" cm="1">
        <f t="array" ref="G712">INDEX(_xlfn.FILTERXML(E712,"//longitude"),1)</f>
        <v>136.87733499999999</v>
      </c>
      <c r="H712">
        <v>35.467384000000003</v>
      </c>
      <c r="I712">
        <v>136.87733499999999</v>
      </c>
    </row>
    <row r="713" spans="1:9" x14ac:dyDescent="0.4">
      <c r="A713" t="s">
        <v>284</v>
      </c>
      <c r="B713" t="s">
        <v>517</v>
      </c>
      <c r="C713" t="str">
        <f t="shared" si="50"/>
        <v>岩手県二戸市上斗米字上川代</v>
      </c>
      <c r="D713" s="2" t="str">
        <f t="shared" si="51"/>
        <v>http://geocode.csis.u-tokyo.ac.jp/cgi-bin/simple_geocode.cgi?charset=UTF8&amp;addr=%E5%B2%A9%E6%89%8B%E7%9C%8C%E4%BA%8C%E6%88%B8%E5%B8%82%E4%B8%8A%E6%96%97%E7%B1%B3%E5%AD%97%E4%B8%8A%E5%B7%9D%E4%BB%A3</v>
      </c>
      <c r="E713" t="str">
        <f t="shared" si="52"/>
        <v xml:space="preserve">&lt;?xml version="1.0" encoding="UTF-8" ?&gt;
&lt;results&gt;
&lt;query&gt;岩手県二戸市上米字上川代&lt;/query&gt;
&lt;geodetic&gt;wgs1984&lt;/geodetic&gt;
&lt;iConf&gt;5&lt;/iConf&gt;
&lt;converted&gt;岩手県二戸市上斗米字&lt;/converted&gt;
&lt;candidate&gt;
&lt;address&gt;岩手県/二戸市/上斗米&lt;/address&gt;
&lt;longitude&gt;141.163330&lt;/longitude&gt;
&lt;latitude&gt;40.277241&lt;/latitude&gt;
&lt;iLvl&gt;5&lt;/iLvl&gt;
&lt;/candidate&gt;
&lt;/results&gt;
</v>
      </c>
      <c r="F713" cm="1">
        <f t="array" ref="F713">INDEX(_xlfn.FILTERXML(E713,"//latitude"),1)</f>
        <v>40.277240999999997</v>
      </c>
      <c r="G713" cm="1">
        <f t="array" ref="G713">INDEX(_xlfn.FILTERXML(E713,"//longitude"),1)</f>
        <v>141.16333</v>
      </c>
      <c r="H713">
        <v>40.277240999999997</v>
      </c>
      <c r="I713">
        <v>141.16333</v>
      </c>
    </row>
    <row r="714" spans="1:9" x14ac:dyDescent="0.4">
      <c r="A714" t="s">
        <v>9</v>
      </c>
      <c r="B714" t="s">
        <v>518</v>
      </c>
      <c r="C714" t="str">
        <f t="shared" si="50"/>
        <v>東京都立川市柴崎町</v>
      </c>
      <c r="D714" s="2" t="str">
        <f t="shared" si="51"/>
        <v>http://geocode.csis.u-tokyo.ac.jp/cgi-bin/simple_geocode.cgi?charset=UTF8&amp;addr=%E6%9D%B1%E4%BA%AC%E9%83%BD%E7%AB%8B%E5%B7%9D%E5%B8%82%E6%9F%B4%E5%B4%8E%E7%94%BA</v>
      </c>
      <c r="E714" t="str">
        <f t="shared" si="52"/>
        <v xml:space="preserve">&lt;?xml version="1.0" encoding="UTF-8" ?&gt;
&lt;results&gt;
&lt;query&gt;東京都立川市柴崎町&lt;/query&gt;
&lt;geodetic&gt;wgs1984&lt;/geodetic&gt;
&lt;iConf&gt;5&lt;/iConf&gt;
&lt;converted&gt;東京都立川市柴崎町&lt;/converted&gt;
&lt;candidate&gt;
&lt;address&gt;東京都/立川市/柴崎町&lt;/address&gt;
&lt;longitude&gt;139.404587&lt;/longitude&gt;
&lt;latitude&gt;35.694065&lt;/latitude&gt;
&lt;iLvl&gt;5&lt;/iLvl&gt;
&lt;/candidate&gt;
&lt;/results&gt;
</v>
      </c>
      <c r="F714" cm="1">
        <f t="array" ref="F714">INDEX(_xlfn.FILTERXML(E714,"//latitude"),1)</f>
        <v>35.694065000000002</v>
      </c>
      <c r="G714" cm="1">
        <f t="array" ref="G714">INDEX(_xlfn.FILTERXML(E714,"//longitude"),1)</f>
        <v>139.40458699999999</v>
      </c>
      <c r="H714">
        <v>35.694065000000002</v>
      </c>
      <c r="I714">
        <v>139.40458699999999</v>
      </c>
    </row>
    <row r="715" spans="1:9" x14ac:dyDescent="0.4">
      <c r="A715" t="s">
        <v>10</v>
      </c>
      <c r="B715" t="s">
        <v>519</v>
      </c>
      <c r="C715" t="str">
        <f t="shared" si="50"/>
        <v>神奈川県茅ケ崎市元町</v>
      </c>
      <c r="D715" s="2" t="str">
        <f t="shared" si="51"/>
        <v>http://geocode.csis.u-tokyo.ac.jp/cgi-bin/simple_geocode.cgi?charset=UTF8&amp;addr=%E7%A5%9E%E5%A5%88%E5%B7%9D%E7%9C%8C%E8%8C%85%E3%82%B1%E5%B4%8E%E5%B8%82%E5%85%83%E7%94%BA</v>
      </c>
      <c r="E715" t="str">
        <f t="shared" si="52"/>
        <v xml:space="preserve">&lt;?xml version="1.0" encoding="UTF-8" ?&gt;
&lt;results&gt;
&lt;query&gt;神奈川県茅ケ崎市元町&lt;/query&gt;
&lt;geodetic&gt;wgs1984&lt;/geodetic&gt;
&lt;iConf&gt;5&lt;/iConf&gt;
&lt;converted&gt;神奈川県茅ケ崎市元町&lt;/converted&gt;
&lt;candidate&gt;
&lt;address&gt;神奈川県/茅ヶ崎市/元町&lt;/address&gt;
&lt;longitude&gt;139.408234&lt;/longitude&gt;
&lt;latitude&gt;35.332310&lt;/latitude&gt;
&lt;iLvl&gt;5&lt;/iLvl&gt;
&lt;/candidate&gt;
&lt;/results&gt;
</v>
      </c>
      <c r="F715" cm="1">
        <f t="array" ref="F715">INDEX(_xlfn.FILTERXML(E715,"//latitude"),1)</f>
        <v>35.33231</v>
      </c>
      <c r="G715" cm="1">
        <f t="array" ref="G715">INDEX(_xlfn.FILTERXML(E715,"//longitude"),1)</f>
        <v>139.40823399999999</v>
      </c>
      <c r="H715">
        <v>35.33231</v>
      </c>
      <c r="I715">
        <v>139.40823399999999</v>
      </c>
    </row>
    <row r="716" spans="1:9" x14ac:dyDescent="0.4">
      <c r="A716" t="s">
        <v>24</v>
      </c>
      <c r="B716" t="s">
        <v>520</v>
      </c>
      <c r="C716" t="str">
        <f t="shared" si="50"/>
        <v>静岡県掛川市大坪台</v>
      </c>
      <c r="D716" s="2" t="str">
        <f t="shared" si="51"/>
        <v>http://geocode.csis.u-tokyo.ac.jp/cgi-bin/simple_geocode.cgi?charset=UTF8&amp;addr=%E9%9D%99%E5%B2%A1%E7%9C%8C%E6%8E%9B%E5%B7%9D%E5%B8%82%E5%A4%A7%E5%9D%AA%E5%8F%B0</v>
      </c>
      <c r="E716" t="str">
        <f t="shared" si="52"/>
        <v xml:space="preserve">&lt;?xml version="1.0" encoding="UTF-8" ?&gt;
&lt;results&gt;
&lt;query&gt;静岡県掛川市大坪台&lt;/query&gt;
&lt;geodetic&gt;wgs1984&lt;/geodetic&gt;
&lt;iConf&gt;5&lt;/iConf&gt;
&lt;converted&gt;静岡県掛川市大坪台&lt;/converted&gt;
&lt;candidate&gt;
&lt;address&gt;静岡県/掛川市/大坪台&lt;/address&gt;
&lt;longitude&gt;138.040375&lt;/longitude&gt;
&lt;latitude&gt;34.710232&lt;/latitude&gt;
&lt;iLvl&gt;5&lt;/iLvl&gt;
&lt;/candidate&gt;
&lt;/results&gt;
</v>
      </c>
      <c r="F716" cm="1">
        <f t="array" ref="F716">INDEX(_xlfn.FILTERXML(E716,"//latitude"),1)</f>
        <v>34.710231999999998</v>
      </c>
      <c r="G716" cm="1">
        <f t="array" ref="G716">INDEX(_xlfn.FILTERXML(E716,"//longitude"),1)</f>
        <v>138.04037500000001</v>
      </c>
      <c r="H716">
        <v>34.710231999999998</v>
      </c>
      <c r="I716">
        <v>138.04037500000001</v>
      </c>
    </row>
    <row r="717" spans="1:9" x14ac:dyDescent="0.4">
      <c r="A717" t="s">
        <v>18</v>
      </c>
      <c r="B717" t="s">
        <v>521</v>
      </c>
      <c r="C717" t="str">
        <f t="shared" si="50"/>
        <v>茨城県那珂市本米崎</v>
      </c>
      <c r="D717" s="2" t="str">
        <f t="shared" si="51"/>
        <v>http://geocode.csis.u-tokyo.ac.jp/cgi-bin/simple_geocode.cgi?charset=UTF8&amp;addr=%E8%8C%A8%E5%9F%8E%E7%9C%8C%E9%82%A3%E7%8F%82%E5%B8%82%E6%9C%AC%E7%B1%B3%E5%B4%8E</v>
      </c>
      <c r="E717" t="str">
        <f t="shared" si="52"/>
        <v xml:space="preserve">&lt;?xml version="1.0" encoding="UTF-8" ?&gt;
&lt;results&gt;
&lt;query&gt;茨城県那珂市本米崎&lt;/query&gt;
&lt;geodetic&gt;wgs1984&lt;/geodetic&gt;
&lt;iConf&gt;5&lt;/iConf&gt;
&lt;converted&gt;茨城県那珂市本米崎&lt;/converted&gt;
&lt;candidate&gt;
&lt;address&gt;茨城県/那珂市/本米崎&lt;/address&gt;
&lt;longitude&gt;140.547668&lt;/longitude&gt;
&lt;latitude&gt;36.490650&lt;/latitude&gt;
&lt;iLvl&gt;5&lt;/iLvl&gt;
&lt;/candidate&gt;
&lt;/results&gt;
</v>
      </c>
      <c r="F717" cm="1">
        <f t="array" ref="F717">INDEX(_xlfn.FILTERXML(E717,"//latitude"),1)</f>
        <v>36.490650000000002</v>
      </c>
      <c r="G717" cm="1">
        <f t="array" ref="G717">INDEX(_xlfn.FILTERXML(E717,"//longitude"),1)</f>
        <v>140.54766799999999</v>
      </c>
      <c r="H717">
        <v>36.490650000000002</v>
      </c>
      <c r="I717">
        <v>140.54766799999999</v>
      </c>
    </row>
    <row r="718" spans="1:9" x14ac:dyDescent="0.4">
      <c r="A718" t="s">
        <v>284</v>
      </c>
      <c r="B718" t="s">
        <v>522</v>
      </c>
      <c r="C718" t="str">
        <f t="shared" si="50"/>
        <v>岩手県滝沢市</v>
      </c>
      <c r="D718" s="2" t="str">
        <f t="shared" si="51"/>
        <v>http://geocode.csis.u-tokyo.ac.jp/cgi-bin/simple_geocode.cgi?charset=UTF8&amp;addr=%E5%B2%A9%E6%89%8B%E7%9C%8C%E6%BB%9D%E6%B2%A2%E5%B8%82</v>
      </c>
      <c r="E718" t="str">
        <f t="shared" si="52"/>
        <v xml:space="preserve">&lt;?xml version="1.0" encoding="UTF-8" ?&gt;
&lt;results&gt;
&lt;query&gt;岩手県滝沢市&lt;/query&gt;
&lt;geodetic&gt;wgs1984&lt;/geodetic&gt;
&lt;iConf&gt;5&lt;/iConf&gt;
&lt;converted&gt;岩手県滝沢市&lt;/converted&gt;
&lt;candidate&gt;
&lt;address&gt;岩手県/滝沢市&lt;/address&gt;
&lt;longitude&gt;141.077072&lt;/longitude&gt;
&lt;latitude&gt;39.734737&lt;/latitude&gt;
&lt;iLvl&gt;3&lt;/iLvl&gt;
&lt;/candidate&gt;
&lt;/results&gt;
</v>
      </c>
      <c r="F718" cm="1">
        <f t="array" ref="F718">INDEX(_xlfn.FILTERXML(E718,"//latitude"),1)</f>
        <v>39.734737000000003</v>
      </c>
      <c r="G718" cm="1">
        <f t="array" ref="G718">INDEX(_xlfn.FILTERXML(E718,"//longitude"),1)</f>
        <v>141.07707199999999</v>
      </c>
      <c r="H718">
        <v>39.734737000000003</v>
      </c>
      <c r="I718">
        <v>141.07707199999999</v>
      </c>
    </row>
    <row r="719" spans="1:9" x14ac:dyDescent="0.4">
      <c r="A719" t="s">
        <v>11</v>
      </c>
      <c r="B719" t="s">
        <v>67</v>
      </c>
      <c r="C719" t="str">
        <f t="shared" si="50"/>
        <v>大阪府茨木市</v>
      </c>
      <c r="D719" s="2" t="str">
        <f t="shared" si="51"/>
        <v>http://geocode.csis.u-tokyo.ac.jp/cgi-bin/simple_geocode.cgi?charset=UTF8&amp;addr=%E5%A4%A7%E9%98%AA%E5%BA%9C%E8%8C%A8%E6%9C%A8%E5%B8%82</v>
      </c>
      <c r="E719" t="str">
        <f t="shared" si="52"/>
        <v xml:space="preserve">&lt;?xml version="1.0" encoding="UTF-8" ?&gt;
&lt;results&gt;
&lt;query&gt;大阪府茨木市&lt;/query&gt;
&lt;geodetic&gt;wgs1984&lt;/geodetic&gt;
&lt;iConf&gt;5&lt;/iConf&gt;
&lt;converted&gt;大阪府茨木市&lt;/converted&gt;
&lt;candidate&gt;
&lt;address&gt;大阪府/茨木市&lt;/address&gt;
&lt;longitude&gt;135.568497&lt;/longitude&gt;
&lt;latitude&gt;34.816154&lt;/latitude&gt;
&lt;iLvl&gt;3&lt;/iLvl&gt;
&lt;/candidate&gt;
&lt;/results&gt;
</v>
      </c>
      <c r="F719" cm="1">
        <f t="array" ref="F719">INDEX(_xlfn.FILTERXML(E719,"//latitude"),1)</f>
        <v>34.816153999999997</v>
      </c>
      <c r="G719" cm="1">
        <f t="array" ref="G719">INDEX(_xlfn.FILTERXML(E719,"//longitude"),1)</f>
        <v>135.56849700000001</v>
      </c>
      <c r="H719">
        <v>34.816153999999997</v>
      </c>
      <c r="I719">
        <v>135.56849700000001</v>
      </c>
    </row>
    <row r="720" spans="1:9" x14ac:dyDescent="0.4">
      <c r="A720" t="s">
        <v>12</v>
      </c>
      <c r="B720" t="s">
        <v>416</v>
      </c>
      <c r="C720" t="str">
        <f t="shared" si="50"/>
        <v>埼玉県さいたま市南区神明</v>
      </c>
      <c r="D720" s="2" t="str">
        <f t="shared" si="51"/>
        <v>http://geocode.csis.u-tokyo.ac.jp/cgi-bin/simple_geocode.cgi?charset=UTF8&amp;addr=%E5%9F%BC%E7%8E%89%E7%9C%8C%E3%81%95%E3%81%84%E3%81%9F%E3%81%BE%E5%B8%82%E5%8D%97%E5%8C%BA%E7%A5%9E%E6%98%8E</v>
      </c>
      <c r="E720" t="str">
        <f t="shared" si="52"/>
        <v xml:space="preserve">&lt;?xml version="1.0" encoding="UTF-8" ?&gt;
&lt;results&gt;
&lt;query&gt;埼玉県さいたま市南区神明&lt;/query&gt;
&lt;geodetic&gt;wgs1984&lt;/geodetic&gt;
&lt;iConf&gt;5&lt;/iConf&gt;
&lt;converted&gt;埼玉県さいたま市南区神明&lt;/converted&gt;
&lt;candidate&gt;
&lt;address&gt;埼玉県/さいたま市/南区/神明&lt;/address&gt;
&lt;longitude&gt;139.663727&lt;/longitude&gt;
&lt;latitude&gt;35.847515&lt;/latitude&gt;
&lt;iLvl&gt;5&lt;/iLvl&gt;
&lt;/candidate&gt;
&lt;/results&gt;
</v>
      </c>
      <c r="F720" cm="1">
        <f t="array" ref="F720">INDEX(_xlfn.FILTERXML(E720,"//latitude"),1)</f>
        <v>35.847515000000001</v>
      </c>
      <c r="G720" cm="1">
        <f t="array" ref="G720">INDEX(_xlfn.FILTERXML(E720,"//longitude"),1)</f>
        <v>139.66372699999999</v>
      </c>
      <c r="H720">
        <v>35.847515000000001</v>
      </c>
      <c r="I720">
        <v>139.66372699999999</v>
      </c>
    </row>
    <row r="721" spans="1:9" x14ac:dyDescent="0.4">
      <c r="A721" t="s">
        <v>16</v>
      </c>
      <c r="B721" t="s">
        <v>721</v>
      </c>
      <c r="C721" t="str">
        <f t="shared" si="50"/>
        <v>千葉県千葉県柏市増尾</v>
      </c>
      <c r="D721" s="2" t="str">
        <f t="shared" si="51"/>
        <v>http://geocode.csis.u-tokyo.ac.jp/cgi-bin/simple_geocode.cgi?charset=UTF8&amp;addr=%E5%8D%83%E8%91%89%E7%9C%8C%E5%8D%83%E8%91%89%E7%9C%8C%E6%9F%8F%E5%B8%82%E5%A2%97%E5%B0%BE</v>
      </c>
      <c r="E721" t="str">
        <f t="shared" si="52"/>
        <v xml:space="preserve">&lt;?xml version="1.0" encoding="UTF-8" ?&gt;
&lt;results&gt;
&lt;query&gt;千葉県千葉県柏市増尾&lt;/query&gt;
&lt;geodetic&gt;wgs1984&lt;/geodetic&gt;
&lt;iConf&gt;5&lt;/iConf&gt;
&lt;converted&gt;千葉県千葉&lt;/converted&gt;
&lt;candidate&gt;
&lt;address&gt;千葉県/千葉市&lt;/address&gt;
&lt;longitude&gt;140.106384&lt;/longitude&gt;
&lt;latitude&gt;35.607330&lt;/latitude&gt;
&lt;iLvl&gt;3&lt;/iLvl&gt;
&lt;/candidate&gt;
&lt;/results&gt;
</v>
      </c>
      <c r="F721" cm="1">
        <f t="array" ref="F721">INDEX(_xlfn.FILTERXML(E721,"//latitude"),1)</f>
        <v>35.607329999999997</v>
      </c>
      <c r="G721" cm="1">
        <f t="array" ref="G721">INDEX(_xlfn.FILTERXML(E721,"//longitude"),1)</f>
        <v>140.10638399999999</v>
      </c>
      <c r="H721">
        <v>35.607329999999997</v>
      </c>
      <c r="I721">
        <v>140.10638399999999</v>
      </c>
    </row>
    <row r="722" spans="1:9" x14ac:dyDescent="0.4">
      <c r="A722" t="s">
        <v>12</v>
      </c>
      <c r="B722" t="s">
        <v>66</v>
      </c>
      <c r="C722" t="str">
        <f t="shared" si="50"/>
        <v>埼玉県川越市</v>
      </c>
      <c r="D722" s="2" t="str">
        <f t="shared" si="51"/>
        <v>http://geocode.csis.u-tokyo.ac.jp/cgi-bin/simple_geocode.cgi?charset=UTF8&amp;addr=%E5%9F%BC%E7%8E%89%E7%9C%8C%E5%B7%9D%E8%B6%8A%E5%B8%82</v>
      </c>
      <c r="E722" t="str">
        <f t="shared" si="52"/>
        <v xml:space="preserve">&lt;?xml version="1.0" encoding="UTF-8" ?&gt;
&lt;results&gt;
&lt;query&gt;埼玉県川越市&lt;/query&gt;
&lt;geodetic&gt;wgs1984&lt;/geodetic&gt;
&lt;iConf&gt;5&lt;/iConf&gt;
&lt;converted&gt;埼玉県川越市&lt;/converted&gt;
&lt;candidate&gt;
&lt;address&gt;埼玉県/川越市&lt;/address&gt;
&lt;longitude&gt;139.485840&lt;/longitude&gt;
&lt;latitude&gt;35.925114&lt;/latitude&gt;
&lt;iLvl&gt;3&lt;/iLvl&gt;
&lt;/candidate&gt;
&lt;/results&gt;
</v>
      </c>
      <c r="F722" cm="1">
        <f t="array" ref="F722">INDEX(_xlfn.FILTERXML(E722,"//latitude"),1)</f>
        <v>35.925114000000001</v>
      </c>
      <c r="G722" cm="1">
        <f t="array" ref="G722">INDEX(_xlfn.FILTERXML(E722,"//longitude"),1)</f>
        <v>139.48584</v>
      </c>
      <c r="H722">
        <v>35.925114000000001</v>
      </c>
      <c r="I722">
        <v>139.48584</v>
      </c>
    </row>
    <row r="723" spans="1:9" x14ac:dyDescent="0.4">
      <c r="A723" t="s">
        <v>15</v>
      </c>
      <c r="B723" t="s">
        <v>722</v>
      </c>
      <c r="C723" t="str">
        <f t="shared" si="50"/>
        <v>愛知県北名古屋市沖村天花寺</v>
      </c>
      <c r="D723" s="2" t="str">
        <f t="shared" si="51"/>
        <v>http://geocode.csis.u-tokyo.ac.jp/cgi-bin/simple_geocode.cgi?charset=UTF8&amp;addr=%E6%84%9B%E7%9F%A5%E7%9C%8C%E5%8C%97%E5%90%8D%E5%8F%A4%E5%B1%8B%E5%B8%82%E6%B2%96%E6%9D%91%E5%A4%A9%E8%8A%B1%E5%AF%BA</v>
      </c>
      <c r="E723" t="str">
        <f t="shared" si="52"/>
        <v xml:space="preserve">&lt;?xml version="1.0" encoding="UTF-8" ?&gt;
&lt;results&gt;
&lt;query&gt;愛知県北名古屋市沖村天花寺&lt;/query&gt;
&lt;geodetic&gt;wgs1984&lt;/geodetic&gt;
&lt;iConf&gt;5&lt;/iConf&gt;
&lt;converted&gt;愛知県北名古屋市沖村天花寺&lt;/converted&gt;
&lt;candidate&gt;
&lt;address&gt;愛知県/北名古屋市/沖村/天花寺&lt;/address&gt;
&lt;longitude&gt;136.862717&lt;/longitude&gt;
&lt;latitude&gt;35.239273&lt;/latitude&gt;
&lt;iLvl&gt;6&lt;/iLvl&gt;
&lt;/candidate&gt;
&lt;/results&gt;
</v>
      </c>
      <c r="F723" cm="1">
        <f t="array" ref="F723">INDEX(_xlfn.FILTERXML(E723,"//latitude"),1)</f>
        <v>35.239272999999997</v>
      </c>
      <c r="G723" cm="1">
        <f t="array" ref="G723">INDEX(_xlfn.FILTERXML(E723,"//longitude"),1)</f>
        <v>136.862717</v>
      </c>
      <c r="H723">
        <v>35.239272999999997</v>
      </c>
      <c r="I723">
        <v>136.862717</v>
      </c>
    </row>
    <row r="724" spans="1:9" x14ac:dyDescent="0.4">
      <c r="A724" t="s">
        <v>372</v>
      </c>
      <c r="B724" t="s">
        <v>723</v>
      </c>
      <c r="C724" t="str">
        <f t="shared" si="50"/>
        <v>高知県南国市立田</v>
      </c>
      <c r="D724" s="2" t="str">
        <f t="shared" si="51"/>
        <v>http://geocode.csis.u-tokyo.ac.jp/cgi-bin/simple_geocode.cgi?charset=UTF8&amp;addr=%E9%AB%98%E7%9F%A5%E7%9C%8C%E5%8D%97%E5%9B%BD%E5%B8%82%E7%AB%8B%E7%94%B0</v>
      </c>
      <c r="E724" t="str">
        <f t="shared" si="52"/>
        <v xml:space="preserve">&lt;?xml version="1.0" encoding="UTF-8" ?&gt;
&lt;results&gt;
&lt;query&gt;高知県南国市立田&lt;/query&gt;
&lt;geodetic&gt;wgs1984&lt;/geodetic&gt;
&lt;iConf&gt;5&lt;/iConf&gt;
&lt;converted&gt;高知県南国市立田&lt;/converted&gt;
&lt;candidate&gt;
&lt;address&gt;高知県/南国市/立田&lt;/address&gt;
&lt;longitude&gt;133.669968&lt;/longitude&gt;
&lt;latitude&gt;33.571175&lt;/latitude&gt;
&lt;iLvl&gt;5&lt;/iLvl&gt;
&lt;/candidate&gt;
&lt;/results&gt;
</v>
      </c>
      <c r="F724" cm="1">
        <f t="array" ref="F724">INDEX(_xlfn.FILTERXML(E724,"//latitude"),1)</f>
        <v>33.571174999999997</v>
      </c>
      <c r="G724" cm="1">
        <f t="array" ref="G724">INDEX(_xlfn.FILTERXML(E724,"//longitude"),1)</f>
        <v>133.66996800000001</v>
      </c>
      <c r="H724">
        <v>33.571174999999997</v>
      </c>
      <c r="I724">
        <v>133.66996800000001</v>
      </c>
    </row>
    <row r="725" spans="1:9" x14ac:dyDescent="0.4">
      <c r="A725" t="s">
        <v>12</v>
      </c>
      <c r="B725" t="s">
        <v>724</v>
      </c>
      <c r="C725" t="str">
        <f t="shared" si="50"/>
        <v>埼玉県入間市東町4</v>
      </c>
      <c r="D725" s="2" t="str">
        <f t="shared" si="51"/>
        <v>http://geocode.csis.u-tokyo.ac.jp/cgi-bin/simple_geocode.cgi?charset=UTF8&amp;addr=%E5%9F%BC%E7%8E%89%E7%9C%8C%E5%85%A5%E9%96%93%E5%B8%82%E6%9D%B1%E7%94%BA4</v>
      </c>
      <c r="E725" t="str">
        <f t="shared" si="52"/>
        <v xml:space="preserve">&lt;?xml version="1.0" encoding="UTF-8" ?&gt;
&lt;results&gt;
&lt;query&gt;埼玉県入間市東町4&lt;/query&gt;
&lt;geodetic&gt;wgs1984&lt;/geodetic&gt;
&lt;iConf&gt;5&lt;/iConf&gt;
&lt;converted&gt;埼玉県入間市東町4&lt;/converted&gt;
&lt;candidate&gt;
&lt;address&gt;埼玉県/入間市/東町/四丁目&lt;/address&gt;
&lt;longitude&gt;139.404251&lt;/longitude&gt;
&lt;latitude&gt;35.832264&lt;/latitude&gt;
&lt;iLvl&gt;6&lt;/iLvl&gt;
&lt;/candidate&gt;
&lt;/results&gt;
</v>
      </c>
      <c r="F725" cm="1">
        <f t="array" ref="F725">INDEX(_xlfn.FILTERXML(E725,"//latitude"),1)</f>
        <v>35.832264000000002</v>
      </c>
      <c r="G725" cm="1">
        <f t="array" ref="G725">INDEX(_xlfn.FILTERXML(E725,"//longitude"),1)</f>
        <v>139.40425099999999</v>
      </c>
      <c r="H725">
        <v>35.832264000000002</v>
      </c>
      <c r="I725">
        <v>139.40425099999999</v>
      </c>
    </row>
    <row r="726" spans="1:9" x14ac:dyDescent="0.4">
      <c r="A726" t="s">
        <v>28</v>
      </c>
      <c r="B726" t="s">
        <v>725</v>
      </c>
      <c r="C726" t="str">
        <f t="shared" si="50"/>
        <v>三重県津市上浜町</v>
      </c>
      <c r="D726" s="2" t="str">
        <f t="shared" si="51"/>
        <v>http://geocode.csis.u-tokyo.ac.jp/cgi-bin/simple_geocode.cgi?charset=UTF8&amp;addr=%E4%B8%89%E9%87%8D%E7%9C%8C%E6%B4%A5%E5%B8%82%E4%B8%8A%E6%B5%9C%E7%94%BA</v>
      </c>
      <c r="E726" t="str">
        <f t="shared" si="52"/>
        <v xml:space="preserve">&lt;?xml version="1.0" encoding="UTF-8" ?&gt;
&lt;results&gt;
&lt;query&gt;三重県津市上浜町&lt;/query&gt;
&lt;geodetic&gt;wgs1984&lt;/geodetic&gt;
&lt;iConf&gt;5&lt;/iConf&gt;
&lt;converted&gt;三重県津市上浜町&lt;/converted&gt;
&lt;candidate&gt;
&lt;address&gt;三重県/津市/上浜町&lt;/address&gt;
&lt;longitude&gt;136.513092&lt;/longitude&gt;
&lt;latitude&gt;34.737885&lt;/latitude&gt;
&lt;iLvl&gt;5&lt;/iLvl&gt;
&lt;/candidate&gt;
&lt;/results&gt;
</v>
      </c>
      <c r="F726" cm="1">
        <f t="array" ref="F726">INDEX(_xlfn.FILTERXML(E726,"//latitude"),1)</f>
        <v>34.737884999999999</v>
      </c>
      <c r="G726" cm="1">
        <f t="array" ref="G726">INDEX(_xlfn.FILTERXML(E726,"//longitude"),1)</f>
        <v>136.513092</v>
      </c>
      <c r="H726">
        <v>34.737884999999999</v>
      </c>
      <c r="I726">
        <v>136.513092</v>
      </c>
    </row>
    <row r="727" spans="1:9" x14ac:dyDescent="0.4">
      <c r="A727" t="s">
        <v>27</v>
      </c>
      <c r="B727" t="s">
        <v>726</v>
      </c>
      <c r="C727" t="str">
        <f t="shared" si="50"/>
        <v>宮崎県宮崎市吉村町</v>
      </c>
      <c r="D727" s="2" t="str">
        <f t="shared" si="51"/>
        <v>http://geocode.csis.u-tokyo.ac.jp/cgi-bin/simple_geocode.cgi?charset=UTF8&amp;addr=%E5%AE%AE%E5%B4%8E%E7%9C%8C%E5%AE%AE%E5%B4%8E%E5%B8%82%E5%90%89%E6%9D%91%E7%94%BA</v>
      </c>
      <c r="E727" t="str">
        <f t="shared" si="52"/>
        <v xml:space="preserve">&lt;?xml version="1.0" encoding="UTF-8" ?&gt;
&lt;results&gt;
&lt;query&gt;宮崎県宮崎市吉村町&lt;/query&gt;
&lt;geodetic&gt;wgs1984&lt;/geodetic&gt;
&lt;iConf&gt;5&lt;/iConf&gt;
&lt;converted&gt;宮崎県宮崎市吉村町&lt;/converted&gt;
&lt;candidate&gt;
&lt;address&gt;宮崎県/宮崎市/吉村町&lt;/address&gt;
&lt;longitude&gt;131.443954&lt;/longitude&gt;
&lt;latitude&gt;31.919971&lt;/latitude&gt;
&lt;iLvl&gt;5&lt;/iLvl&gt;
&lt;/candidate&gt;
&lt;/results&gt;
</v>
      </c>
      <c r="F727" cm="1">
        <f t="array" ref="F727">INDEX(_xlfn.FILTERXML(E727,"//latitude"),1)</f>
        <v>31.919971</v>
      </c>
      <c r="G727" cm="1">
        <f t="array" ref="G727">INDEX(_xlfn.FILTERXML(E727,"//longitude"),1)</f>
        <v>131.44395399999999</v>
      </c>
      <c r="H727">
        <v>31.919971</v>
      </c>
      <c r="I727">
        <v>131.44395399999999</v>
      </c>
    </row>
    <row r="728" spans="1:9" x14ac:dyDescent="0.4">
      <c r="A728" t="s">
        <v>126</v>
      </c>
      <c r="B728" t="s">
        <v>349</v>
      </c>
      <c r="C728" t="str">
        <f t="shared" si="50"/>
        <v>鳥取県鳥取市</v>
      </c>
      <c r="D728" s="2" t="str">
        <f t="shared" si="51"/>
        <v>http://geocode.csis.u-tokyo.ac.jp/cgi-bin/simple_geocode.cgi?charset=UTF8&amp;addr=%E9%B3%A5%E5%8F%96%E7%9C%8C%E9%B3%A5%E5%8F%96%E5%B8%82</v>
      </c>
      <c r="E728" t="str">
        <f t="shared" si="52"/>
        <v xml:space="preserve">&lt;?xml version="1.0" encoding="UTF-8" ?&gt;
&lt;results&gt;
&lt;query&gt;鳥取県鳥取市&lt;/query&gt;
&lt;geodetic&gt;wgs1984&lt;/geodetic&gt;
&lt;iConf&gt;5&lt;/iConf&gt;
&lt;converted&gt;鳥取県鳥取市&lt;/converted&gt;
&lt;candidate&gt;
&lt;address&gt;鳥取県/鳥取市&lt;/address&gt;
&lt;longitude&gt;134.235092&lt;/longitude&gt;
&lt;latitude&gt;35.501133&lt;/latitude&gt;
&lt;iLvl&gt;3&lt;/iLvl&gt;
&lt;/candidate&gt;
&lt;/results&gt;
</v>
      </c>
      <c r="F728" cm="1">
        <f t="array" ref="F728">INDEX(_xlfn.FILTERXML(E728,"//latitude"),1)</f>
        <v>35.501133000000003</v>
      </c>
      <c r="G728" cm="1">
        <f t="array" ref="G728">INDEX(_xlfn.FILTERXML(E728,"//longitude"),1)</f>
        <v>134.23509200000001</v>
      </c>
      <c r="H728">
        <v>35.501133000000003</v>
      </c>
      <c r="I728">
        <v>134.23509200000001</v>
      </c>
    </row>
    <row r="729" spans="1:9" x14ac:dyDescent="0.4">
      <c r="A729" t="s">
        <v>9</v>
      </c>
      <c r="B729" t="s">
        <v>727</v>
      </c>
      <c r="C729" t="str">
        <f t="shared" si="50"/>
        <v>東京都目黒区五本木</v>
      </c>
      <c r="D729" s="2" t="str">
        <f t="shared" si="51"/>
        <v>http://geocode.csis.u-tokyo.ac.jp/cgi-bin/simple_geocode.cgi?charset=UTF8&amp;addr=%E6%9D%B1%E4%BA%AC%E9%83%BD%E7%9B%AE%E9%BB%92%E5%8C%BA%E4%BA%94%E6%9C%AC%E6%9C%A8</v>
      </c>
      <c r="E729" t="str">
        <f t="shared" si="52"/>
        <v xml:space="preserve">&lt;?xml version="1.0" encoding="UTF-8" ?&gt;
&lt;results&gt;
&lt;query&gt;東京都目黒区五本木&lt;/query&gt;
&lt;geodetic&gt;wgs1984&lt;/geodetic&gt;
&lt;iConf&gt;5&lt;/iConf&gt;
&lt;converted&gt;東京都目黒区五本木&lt;/converted&gt;
&lt;candidate&gt;
&lt;address&gt;東京都/目黒区/五本木&lt;/address&gt;
&lt;longitude&gt;139.688828&lt;/longitude&gt;
&lt;latitude&gt;35.638107&lt;/latitude&gt;
&lt;iLvl&gt;5&lt;/iLvl&gt;
&lt;/candidate&gt;
&lt;/results&gt;
</v>
      </c>
      <c r="F729" cm="1">
        <f t="array" ref="F729">INDEX(_xlfn.FILTERXML(E729,"//latitude"),1)</f>
        <v>35.638106999999998</v>
      </c>
      <c r="G729" cm="1">
        <f t="array" ref="G729">INDEX(_xlfn.FILTERXML(E729,"//longitude"),1)</f>
        <v>139.688828</v>
      </c>
      <c r="H729">
        <v>35.638106999999998</v>
      </c>
      <c r="I729">
        <v>139.688828</v>
      </c>
    </row>
    <row r="730" spans="1:9" x14ac:dyDescent="0.4">
      <c r="A730" t="s">
        <v>10</v>
      </c>
      <c r="B730" t="s">
        <v>728</v>
      </c>
      <c r="C730" t="str">
        <f t="shared" si="50"/>
        <v>神奈川県横浜市戸塚区川上町</v>
      </c>
      <c r="D730" s="2" t="str">
        <f t="shared" si="51"/>
        <v>http://geocode.csis.u-tokyo.ac.jp/cgi-bin/simple_geocode.cgi?charset=UTF8&amp;addr=%E7%A5%9E%E5%A5%88%E5%B7%9D%E7%9C%8C%E6%A8%AA%E6%B5%9C%E5%B8%82%E6%88%B8%E5%A1%9A%E5%8C%BA%E5%B7%9D%E4%B8%8A%E7%94%BA</v>
      </c>
      <c r="E730" t="str">
        <f t="shared" si="52"/>
        <v xml:space="preserve">&lt;?xml version="1.0" encoding="UTF-8" ?&gt;
&lt;results&gt;
&lt;query&gt;神奈川県横浜市戸塚区川上町&lt;/query&gt;
&lt;geodetic&gt;wgs1984&lt;/geodetic&gt;
&lt;iConf&gt;5&lt;/iConf&gt;
&lt;converted&gt;神奈川県横浜市戸塚区川上町&lt;/converted&gt;
&lt;candidate&gt;
&lt;address&gt;神奈川県/横浜市/戸塚区/川上町&lt;/address&gt;
&lt;longitude&gt;139.544785&lt;/longitude&gt;
&lt;latitude&gt;35.436321&lt;/latitude&gt;
&lt;iLvl&gt;5&lt;/iLvl&gt;
&lt;/candidate&gt;
&lt;/results&gt;
</v>
      </c>
      <c r="F730" cm="1">
        <f t="array" ref="F730">INDEX(_xlfn.FILTERXML(E730,"//latitude"),1)</f>
        <v>35.436321</v>
      </c>
      <c r="G730" cm="1">
        <f t="array" ref="G730">INDEX(_xlfn.FILTERXML(E730,"//longitude"),1)</f>
        <v>139.54478499999999</v>
      </c>
      <c r="H730">
        <v>35.436321</v>
      </c>
      <c r="I730">
        <v>139.54478499999999</v>
      </c>
    </row>
    <row r="731" spans="1:9" x14ac:dyDescent="0.4">
      <c r="A731" t="s">
        <v>281</v>
      </c>
      <c r="B731" t="s">
        <v>729</v>
      </c>
      <c r="C731" t="str">
        <f t="shared" si="50"/>
        <v>山口県山口市小郡高砂町</v>
      </c>
      <c r="D731" s="2" t="str">
        <f t="shared" si="51"/>
        <v>http://geocode.csis.u-tokyo.ac.jp/cgi-bin/simple_geocode.cgi?charset=UTF8&amp;addr=%E5%B1%B1%E5%8F%A3%E7%9C%8C%E5%B1%B1%E5%8F%A3%E5%B8%82%E5%B0%8F%E9%83%A1%E9%AB%98%E7%A0%82%E7%94%BA</v>
      </c>
      <c r="E731" t="str">
        <f t="shared" si="52"/>
        <v xml:space="preserve">&lt;?xml version="1.0" encoding="UTF-8" ?&gt;
&lt;results&gt;
&lt;query&gt;山口県山口市小郡高砂町&lt;/query&gt;
&lt;geodetic&gt;wgs1984&lt;/geodetic&gt;
&lt;iConf&gt;5&lt;/iConf&gt;
&lt;converted&gt;山口県山口市小郡高砂町&lt;/converted&gt;
&lt;candidate&gt;
&lt;address&gt;山口県/山口市/小郡高砂町&lt;/address&gt;
&lt;longitude&gt;131.400284&lt;/longitude&gt;
&lt;latitude&gt;34.092606&lt;/latitude&gt;
&lt;iLvl&gt;5&lt;/iLvl&gt;
&lt;/candidate&gt;
&lt;/results&gt;
</v>
      </c>
      <c r="F731" cm="1">
        <f t="array" ref="F731">INDEX(_xlfn.FILTERXML(E731,"//latitude"),1)</f>
        <v>34.092606000000004</v>
      </c>
      <c r="G731" cm="1">
        <f t="array" ref="G731">INDEX(_xlfn.FILTERXML(E731,"//longitude"),1)</f>
        <v>131.400284</v>
      </c>
      <c r="H731">
        <v>34.092606000000004</v>
      </c>
      <c r="I731">
        <v>131.400284</v>
      </c>
    </row>
    <row r="732" spans="1:9" x14ac:dyDescent="0.4">
      <c r="A732" t="s">
        <v>9</v>
      </c>
      <c r="B732" t="s">
        <v>618</v>
      </c>
      <c r="C732" t="str">
        <f t="shared" si="50"/>
        <v>東京都西東京市</v>
      </c>
      <c r="D732" s="2" t="str">
        <f t="shared" si="51"/>
        <v>http://geocode.csis.u-tokyo.ac.jp/cgi-bin/simple_geocode.cgi?charset=UTF8&amp;addr=%E6%9D%B1%E4%BA%AC%E9%83%BD%E8%A5%BF%E6%9D%B1%E4%BA%AC%E5%B8%82</v>
      </c>
      <c r="E732" t="str">
        <f t="shared" si="52"/>
        <v xml:space="preserve">&lt;?xml version="1.0" encoding="UTF-8" ?&gt;
&lt;results&gt;
&lt;query&gt;東京都西東京市&lt;/query&gt;
&lt;geodetic&gt;wgs1984&lt;/geodetic&gt;
&lt;iConf&gt;5&lt;/iConf&gt;
&lt;converted&gt;東京都西東京市&lt;/converted&gt;
&lt;candidate&gt;
&lt;address&gt;東京都/西東京市&lt;/address&gt;
&lt;longitude&gt;139.538162&lt;/longitude&gt;
&lt;latitude&gt;35.725498&lt;/latitude&gt;
&lt;iLvl&gt;3&lt;/iLvl&gt;
&lt;/candidate&gt;
&lt;/results&gt;
</v>
      </c>
      <c r="F732" cm="1">
        <f t="array" ref="F732">INDEX(_xlfn.FILTERXML(E732,"//latitude"),1)</f>
        <v>35.725498000000002</v>
      </c>
      <c r="G732" cm="1">
        <f t="array" ref="G732">INDEX(_xlfn.FILTERXML(E732,"//longitude"),1)</f>
        <v>139.538162</v>
      </c>
      <c r="H732">
        <v>35.725498000000002</v>
      </c>
      <c r="I732">
        <v>139.538162</v>
      </c>
    </row>
    <row r="733" spans="1:9" x14ac:dyDescent="0.4">
      <c r="A733" t="s">
        <v>10</v>
      </c>
      <c r="B733" t="s">
        <v>473</v>
      </c>
      <c r="C733" t="str">
        <f t="shared" si="50"/>
        <v>神奈川県横浜市保土ケ谷区月見台</v>
      </c>
      <c r="D733" s="2" t="str">
        <f t="shared" si="51"/>
        <v>http://geocode.csis.u-tokyo.ac.jp/cgi-bin/simple_geocode.cgi?charset=UTF8&amp;addr=%E7%A5%9E%E5%A5%88%E5%B7%9D%E7%9C%8C%E6%A8%AA%E6%B5%9C%E5%B8%82%E4%BF%9D%E5%9C%9F%E3%82%B1%E8%B0%B7%E5%8C%BA%E6%9C%88%E8%A6%8B%E5%8F%B0</v>
      </c>
      <c r="E733" t="str">
        <f t="shared" si="52"/>
        <v xml:space="preserve">&lt;?xml version="1.0" encoding="UTF-8" ?&gt;
&lt;results&gt;
&lt;query&gt;神奈川県横浜市保土ケ谷区月見台&lt;/query&gt;
&lt;geodetic&gt;wgs1984&lt;/geodetic&gt;
&lt;iConf&gt;5&lt;/iConf&gt;
&lt;converted&gt;神奈川県横浜市保土ケ谷区月見台&lt;/converted&gt;
&lt;candidate&gt;
&lt;address&gt;神奈川県/横浜市/保土ケ谷区/月見台&lt;/address&gt;
&lt;longitude&gt;139.596390&lt;/longitude&gt;
&lt;latitude&gt;35.449223&lt;/latitude&gt;
&lt;iLvl&gt;5&lt;/iLvl&gt;
&lt;/candidate&gt;
&lt;/results&gt;
</v>
      </c>
      <c r="F733" cm="1">
        <f t="array" ref="F733">INDEX(_xlfn.FILTERXML(E733,"//latitude"),1)</f>
        <v>35.449223000000003</v>
      </c>
      <c r="G733" cm="1">
        <f t="array" ref="G733">INDEX(_xlfn.FILTERXML(E733,"//longitude"),1)</f>
        <v>139.59639000000001</v>
      </c>
      <c r="H733">
        <v>35.449223000000003</v>
      </c>
      <c r="I733">
        <v>139.59639000000001</v>
      </c>
    </row>
    <row r="734" spans="1:9" x14ac:dyDescent="0.4">
      <c r="A734" t="s">
        <v>17</v>
      </c>
      <c r="B734" t="s">
        <v>167</v>
      </c>
      <c r="C734" t="str">
        <f t="shared" si="50"/>
        <v>滋賀県長浜市高月町片山</v>
      </c>
      <c r="D734" s="2" t="str">
        <f t="shared" si="51"/>
        <v>http://geocode.csis.u-tokyo.ac.jp/cgi-bin/simple_geocode.cgi?charset=UTF8&amp;addr=%E6%BB%8B%E8%B3%80%E7%9C%8C%E9%95%B7%E6%B5%9C%E5%B8%82%E9%AB%98%E6%9C%88%E7%94%BA%E7%89%87%E5%B1%B1</v>
      </c>
      <c r="E734" t="str">
        <f t="shared" si="52"/>
        <v xml:space="preserve">&lt;?xml version="1.0" encoding="UTF-8" ?&gt;
&lt;results&gt;
&lt;query&gt;滋賀県長浜市高月町片山&lt;/query&gt;
&lt;geodetic&gt;wgs1984&lt;/geodetic&gt;
&lt;iConf&gt;5&lt;/iConf&gt;
&lt;converted&gt;滋賀県長浜市高月町片山&lt;/converted&gt;
&lt;candidate&gt;
&lt;address&gt;滋賀県/長浜市/高月町片山&lt;/address&gt;
&lt;longitude&gt;136.145416&lt;/longitude&gt;
&lt;latitude&gt;35.469982&lt;/latitude&gt;
&lt;iLvl&gt;5&lt;/iLvl&gt;
&lt;/candidate&gt;
&lt;/results&gt;
</v>
      </c>
      <c r="F734" cm="1">
        <f t="array" ref="F734">INDEX(_xlfn.FILTERXML(E734,"//latitude"),1)</f>
        <v>35.469982000000002</v>
      </c>
      <c r="G734" cm="1">
        <f t="array" ref="G734">INDEX(_xlfn.FILTERXML(E734,"//longitude"),1)</f>
        <v>136.14541600000001</v>
      </c>
      <c r="H734">
        <v>35.469982000000002</v>
      </c>
      <c r="I734">
        <v>136.14541600000001</v>
      </c>
    </row>
    <row r="735" spans="1:9" x14ac:dyDescent="0.4">
      <c r="A735" t="s">
        <v>164</v>
      </c>
      <c r="B735" t="s">
        <v>730</v>
      </c>
      <c r="C735" t="str">
        <f t="shared" si="50"/>
        <v>広島県広島市東区東蟹屋町</v>
      </c>
      <c r="D735" s="2" t="str">
        <f t="shared" si="51"/>
        <v>http://geocode.csis.u-tokyo.ac.jp/cgi-bin/simple_geocode.cgi?charset=UTF8&amp;addr=%E5%BA%83%E5%B3%B6%E7%9C%8C%E5%BA%83%E5%B3%B6%E5%B8%82%E6%9D%B1%E5%8C%BA%E6%9D%B1%E8%9F%B9%E5%B1%8B%E7%94%BA</v>
      </c>
      <c r="E735" t="str">
        <f t="shared" si="52"/>
        <v xml:space="preserve">&lt;?xml version="1.0" encoding="UTF-8" ?&gt;
&lt;results&gt;
&lt;query&gt;広島県広島市東区東蟹屋町&lt;/query&gt;
&lt;geodetic&gt;wgs1984&lt;/geodetic&gt;
&lt;iConf&gt;5&lt;/iConf&gt;
&lt;converted&gt;広島県広島市東区東蟹屋町&lt;/converted&gt;
&lt;candidate&gt;
&lt;address&gt;広島県/広島市/東区/東蟹屋町&lt;/address&gt;
&lt;longitude&gt;132.483017&lt;/longitude&gt;
&lt;latitude&gt;34.395576&lt;/latitude&gt;
&lt;iLvl&gt;5&lt;/iLvl&gt;
&lt;/candidate&gt;
&lt;/results&gt;
</v>
      </c>
      <c r="F735" cm="1">
        <f t="array" ref="F735">INDEX(_xlfn.FILTERXML(E735,"//latitude"),1)</f>
        <v>34.395575999999998</v>
      </c>
      <c r="G735" cm="1">
        <f t="array" ref="G735">INDEX(_xlfn.FILTERXML(E735,"//longitude"),1)</f>
        <v>132.48301699999999</v>
      </c>
      <c r="H735" s="3">
        <v>34.395575999999998</v>
      </c>
      <c r="I735" s="3">
        <v>132.48301699999999</v>
      </c>
    </row>
    <row r="736" spans="1:9" x14ac:dyDescent="0.4">
      <c r="A736" t="s">
        <v>19</v>
      </c>
      <c r="B736" t="s">
        <v>731</v>
      </c>
      <c r="C736" t="str">
        <f t="shared" si="50"/>
        <v>福岡県春日市須玖北2-143</v>
      </c>
      <c r="D736" s="2" t="str">
        <f t="shared" si="51"/>
        <v>http://geocode.csis.u-tokyo.ac.jp/cgi-bin/simple_geocode.cgi?charset=UTF8&amp;addr=%E7%A6%8F%E5%B2%A1%E7%9C%8C%E6%98%A5%E6%97%A5%E5%B8%82%E9%A0%88%E7%8E%96%E5%8C%972-143</v>
      </c>
      <c r="E736" t="str">
        <f t="shared" si="52"/>
        <v xml:space="preserve">&lt;?xml version="1.0" encoding="UTF-8" ?&gt;
&lt;results&gt;
&lt;query&gt;福岡県春日市須玖北2-143&lt;/query&gt;
&lt;geodetic&gt;wgs1984&lt;/geodetic&gt;
&lt;iConf&gt;5&lt;/iConf&gt;
&lt;converted&gt;福岡県春日市須玖北2-143&lt;/converted&gt;
&lt;candidate&gt;
&lt;address&gt;福岡県/春日市/須玖北/二丁目/１４３番地&lt;/address&gt;
&lt;longitude&gt;130.443481&lt;/longitude&gt;
&lt;latitude&gt;33.543541&lt;/latitude&gt;
&lt;iLvl&gt;7&lt;/iLvl&gt;
&lt;/candidate&gt;
&lt;/results&gt;
</v>
      </c>
      <c r="F736" cm="1">
        <f t="array" ref="F736">INDEX(_xlfn.FILTERXML(E736,"//latitude"),1)</f>
        <v>33.543540999999998</v>
      </c>
      <c r="G736" cm="1">
        <f t="array" ref="G736">INDEX(_xlfn.FILTERXML(E736,"//longitude"),1)</f>
        <v>130.44348099999999</v>
      </c>
      <c r="H736">
        <v>33.543540999999998</v>
      </c>
      <c r="I736">
        <v>130.44348099999999</v>
      </c>
    </row>
    <row r="737" spans="1:9" x14ac:dyDescent="0.4">
      <c r="A737" t="s">
        <v>9</v>
      </c>
      <c r="B737" t="s">
        <v>400</v>
      </c>
      <c r="C737" t="str">
        <f t="shared" si="50"/>
        <v>東京都品川区西五反田</v>
      </c>
      <c r="D737" s="2" t="str">
        <f t="shared" si="51"/>
        <v>http://geocode.csis.u-tokyo.ac.jp/cgi-bin/simple_geocode.cgi?charset=UTF8&amp;addr=%E6%9D%B1%E4%BA%AC%E9%83%BD%E5%93%81%E5%B7%9D%E5%8C%BA%E8%A5%BF%E4%BA%94%E5%8F%8D%E7%94%B0</v>
      </c>
      <c r="E737" t="str">
        <f t="shared" si="52"/>
        <v xml:space="preserve">&lt;?xml version="1.0" encoding="UTF-8" ?&gt;
&lt;results&gt;
&lt;query&gt;東京都品川区西五反田&lt;/query&gt;
&lt;geodetic&gt;wgs1984&lt;/geodetic&gt;
&lt;iConf&gt;5&lt;/iConf&gt;
&lt;converted&gt;東京都品川区西五反田&lt;/converted&gt;
&lt;candidate&gt;
&lt;address&gt;東京都/品川区/西五反田&lt;/address&gt;
&lt;longitude&gt;139.723129&lt;/longitude&gt;
&lt;latitude&gt;35.624512&lt;/latitude&gt;
&lt;iLvl&gt;5&lt;/iLvl&gt;
&lt;/candidate&gt;
&lt;/results&gt;
</v>
      </c>
      <c r="F737" cm="1">
        <f t="array" ref="F737">INDEX(_xlfn.FILTERXML(E737,"//latitude"),1)</f>
        <v>35.624512000000003</v>
      </c>
      <c r="G737" cm="1">
        <f t="array" ref="G737">INDEX(_xlfn.FILTERXML(E737,"//longitude"),1)</f>
        <v>139.723129</v>
      </c>
      <c r="H737">
        <v>35.624512000000003</v>
      </c>
      <c r="I737">
        <v>139.723129</v>
      </c>
    </row>
    <row r="738" spans="1:9" x14ac:dyDescent="0.4">
      <c r="A738" t="s">
        <v>10</v>
      </c>
      <c r="B738" t="s">
        <v>732</v>
      </c>
      <c r="C738" t="str">
        <f t="shared" si="50"/>
        <v>神奈川県藤沢市辻堂太平台</v>
      </c>
      <c r="D738" s="2" t="str">
        <f t="shared" si="51"/>
        <v>http://geocode.csis.u-tokyo.ac.jp/cgi-bin/simple_geocode.cgi?charset=UTF8&amp;addr=%E7%A5%9E%E5%A5%88%E5%B7%9D%E7%9C%8C%E8%97%A4%E6%B2%A2%E5%B8%82%E8%BE%BB%E5%A0%82%E5%A4%AA%E5%B9%B3%E5%8F%B0</v>
      </c>
      <c r="E738" t="str">
        <f t="shared" si="52"/>
        <v xml:space="preserve">&lt;?xml version="1.0" encoding="UTF-8" ?&gt;
&lt;results&gt;
&lt;query&gt;神奈川県藤沢市辻堂太平台&lt;/query&gt;
&lt;geodetic&gt;wgs1984&lt;/geodetic&gt;
&lt;iConf&gt;5&lt;/iConf&gt;
&lt;converted&gt;神奈川県藤沢市辻堂太平台&lt;/converted&gt;
&lt;candidate&gt;
&lt;address&gt;神奈川県/藤沢市/辻堂太平台&lt;/address&gt;
&lt;longitude&gt;139.461685&lt;/longitude&gt;
&lt;latitude&gt;35.328346&lt;/latitude&gt;
&lt;iLvl&gt;5&lt;/iLvl&gt;
&lt;/candidate&gt;
&lt;/results&gt;
</v>
      </c>
      <c r="F738" cm="1">
        <f t="array" ref="F738">INDEX(_xlfn.FILTERXML(E738,"//latitude"),1)</f>
        <v>35.328346000000003</v>
      </c>
      <c r="G738" cm="1">
        <f t="array" ref="G738">INDEX(_xlfn.FILTERXML(E738,"//longitude"),1)</f>
        <v>139.46168499999999</v>
      </c>
      <c r="H738">
        <v>35.328346000000003</v>
      </c>
      <c r="I738">
        <v>139.46168499999999</v>
      </c>
    </row>
    <row r="739" spans="1:9" x14ac:dyDescent="0.4">
      <c r="A739" t="s">
        <v>10</v>
      </c>
      <c r="B739" t="s">
        <v>733</v>
      </c>
      <c r="C739" t="str">
        <f t="shared" si="50"/>
        <v>神奈川県川崎市宮前区けやき平</v>
      </c>
      <c r="D739" s="2" t="str">
        <f t="shared" si="51"/>
        <v>http://geocode.csis.u-tokyo.ac.jp/cgi-bin/simple_geocode.cgi?charset=UTF8&amp;addr=%E7%A5%9E%E5%A5%88%E5%B7%9D%E7%9C%8C%E5%B7%9D%E5%B4%8E%E5%B8%82%E5%AE%AE%E5%89%8D%E5%8C%BA%E3%81%91%E3%82%84%E3%81%8D%E5%B9%B3</v>
      </c>
      <c r="E739" t="str">
        <f t="shared" si="52"/>
        <v xml:space="preserve">&lt;?xml version="1.0" encoding="UTF-8" ?&gt;
&lt;results&gt;
&lt;query&gt;神奈川県川崎市宮前区けやき平&lt;/query&gt;
&lt;geodetic&gt;wgs1984&lt;/geodetic&gt;
&lt;iConf&gt;5&lt;/iConf&gt;
&lt;converted&gt;神奈川県川崎市宮前区けやき平&lt;/converted&gt;
&lt;candidate&gt;
&lt;address&gt;神奈川県/川崎市/宮前区/けやき平&lt;/address&gt;
&lt;longitude&gt;139.575012&lt;/longitude&gt;
&lt;latitude&gt;35.593079&lt;/latitude&gt;
&lt;iLvl&gt;5&lt;/iLvl&gt;
&lt;/candidate&gt;
&lt;/results&gt;
</v>
      </c>
      <c r="F739" cm="1">
        <f t="array" ref="F739">INDEX(_xlfn.FILTERXML(E739,"//latitude"),1)</f>
        <v>35.593079000000003</v>
      </c>
      <c r="G739" cm="1">
        <f t="array" ref="G739">INDEX(_xlfn.FILTERXML(E739,"//longitude"),1)</f>
        <v>139.57501199999999</v>
      </c>
      <c r="H739">
        <v>35.593079000000003</v>
      </c>
      <c r="I739">
        <v>139.57501199999999</v>
      </c>
    </row>
    <row r="740" spans="1:9" x14ac:dyDescent="0.4">
      <c r="A740" t="s">
        <v>10</v>
      </c>
      <c r="B740" t="s">
        <v>728</v>
      </c>
      <c r="C740" t="str">
        <f t="shared" si="50"/>
        <v>神奈川県横浜市戸塚区川上町</v>
      </c>
      <c r="D740" s="2" t="str">
        <f t="shared" si="51"/>
        <v>http://geocode.csis.u-tokyo.ac.jp/cgi-bin/simple_geocode.cgi?charset=UTF8&amp;addr=%E7%A5%9E%E5%A5%88%E5%B7%9D%E7%9C%8C%E6%A8%AA%E6%B5%9C%E5%B8%82%E6%88%B8%E5%A1%9A%E5%8C%BA%E5%B7%9D%E4%B8%8A%E7%94%BA</v>
      </c>
      <c r="E740" t="str">
        <f t="shared" si="52"/>
        <v xml:space="preserve">&lt;?xml version="1.0" encoding="UTF-8" ?&gt;
&lt;results&gt;
&lt;query&gt;神奈川県横浜市戸塚区川上町&lt;/query&gt;
&lt;geodetic&gt;wgs1984&lt;/geodetic&gt;
&lt;iConf&gt;5&lt;/iConf&gt;
&lt;converted&gt;神奈川県横浜市戸塚区川上町&lt;/converted&gt;
&lt;candidate&gt;
&lt;address&gt;神奈川県/横浜市/戸塚区/川上町&lt;/address&gt;
&lt;longitude&gt;139.544785&lt;/longitude&gt;
&lt;latitude&gt;35.436321&lt;/latitude&gt;
&lt;iLvl&gt;5&lt;/iLvl&gt;
&lt;/candidate&gt;
&lt;/results&gt;
</v>
      </c>
      <c r="F740" cm="1">
        <f t="array" ref="F740">INDEX(_xlfn.FILTERXML(E740,"//latitude"),1)</f>
        <v>35.436321</v>
      </c>
      <c r="G740" cm="1">
        <f t="array" ref="G740">INDEX(_xlfn.FILTERXML(E740,"//longitude"),1)</f>
        <v>139.54478499999999</v>
      </c>
      <c r="H740">
        <v>35.436321</v>
      </c>
      <c r="I740">
        <v>139.54478499999999</v>
      </c>
    </row>
    <row r="741" spans="1:9" x14ac:dyDescent="0.4">
      <c r="A741" t="s">
        <v>9</v>
      </c>
      <c r="B741" t="s">
        <v>734</v>
      </c>
      <c r="C741" t="str">
        <f t="shared" si="50"/>
        <v>東京都港区海岸</v>
      </c>
      <c r="D741" s="2" t="str">
        <f t="shared" si="51"/>
        <v>http://geocode.csis.u-tokyo.ac.jp/cgi-bin/simple_geocode.cgi?charset=UTF8&amp;addr=%E6%9D%B1%E4%BA%AC%E9%83%BD%E6%B8%AF%E5%8C%BA%E6%B5%B7%E5%B2%B8</v>
      </c>
      <c r="E741" t="str">
        <f t="shared" si="52"/>
        <v xml:space="preserve">&lt;?xml version="1.0" encoding="UTF-8" ?&gt;
&lt;results&gt;
&lt;query&gt;東京都港区海岸&lt;/query&gt;
&lt;geodetic&gt;wgs1984&lt;/geodetic&gt;
&lt;iConf&gt;5&lt;/iConf&gt;
&lt;converted&gt;東京都港区海岸&lt;/converted&gt;
&lt;candidate&gt;
&lt;address&gt;東京都/港区/海岸&lt;/address&gt;
&lt;longitude&gt;139.761673&lt;/longitude&gt;
&lt;latitude&gt;35.655380&lt;/latitude&gt;
&lt;iLvl&gt;5&lt;/iLvl&gt;
&lt;/candidate&gt;
&lt;/results&gt;
</v>
      </c>
      <c r="F741" cm="1">
        <f t="array" ref="F741">INDEX(_xlfn.FILTERXML(E741,"//latitude"),1)</f>
        <v>35.655380000000001</v>
      </c>
      <c r="G741" cm="1">
        <f t="array" ref="G741">INDEX(_xlfn.FILTERXML(E741,"//longitude"),1)</f>
        <v>139.761673</v>
      </c>
      <c r="H741">
        <v>35.655380000000001</v>
      </c>
      <c r="I741">
        <v>139.761673</v>
      </c>
    </row>
    <row r="742" spans="1:9" x14ac:dyDescent="0.4">
      <c r="A742" t="s">
        <v>15</v>
      </c>
      <c r="B742" t="s">
        <v>391</v>
      </c>
      <c r="C742" t="str">
        <f t="shared" si="50"/>
        <v>愛知県名古屋市緑区東神の倉三丁目</v>
      </c>
      <c r="D742" s="2" t="str">
        <f t="shared" si="51"/>
        <v>http://geocode.csis.u-tokyo.ac.jp/cgi-bin/simple_geocode.cgi?charset=UTF8&amp;addr=%E6%84%9B%E7%9F%A5%E7%9C%8C%E5%90%8D%E5%8F%A4%E5%B1%8B%E5%B8%82%E7%B7%91%E5%8C%BA%E6%9D%B1%E7%A5%9E%E3%81%AE%E5%80%89%E4%B8%89%E4%B8%81%E7%9B%AE</v>
      </c>
      <c r="E742" t="str">
        <f t="shared" si="52"/>
        <v xml:space="preserve">&lt;?xml version="1.0" encoding="UTF-8" ?&gt;
&lt;results&gt;
&lt;query&gt;愛知県名古屋市緑区東神の倉三丁目&lt;/query&gt;
&lt;geodetic&gt;wgs1984&lt;/geodetic&gt;
&lt;iConf&gt;5&lt;/iConf&gt;
&lt;converted&gt;愛知県名古屋市緑区東神の倉三丁目&lt;/converted&gt;
&lt;candidate&gt;
&lt;address&gt;愛知県/名古屋市/緑区/東神の倉/三丁目&lt;/address&gt;
&lt;longitude&gt;137.020187&lt;/longitude&gt;
&lt;latitude&gt;35.104366&lt;/latitude&gt;
&lt;iLvl&gt;6&lt;/iLvl&gt;
&lt;/candidate&gt;
&lt;/results&gt;
</v>
      </c>
      <c r="F742" cm="1">
        <f t="array" ref="F742">INDEX(_xlfn.FILTERXML(E742,"//latitude"),1)</f>
        <v>35.104365999999999</v>
      </c>
      <c r="G742" cm="1">
        <f t="array" ref="G742">INDEX(_xlfn.FILTERXML(E742,"//longitude"),1)</f>
        <v>137.02018699999999</v>
      </c>
      <c r="H742">
        <v>35.104365999999999</v>
      </c>
      <c r="I742">
        <v>137.02018699999999</v>
      </c>
    </row>
    <row r="743" spans="1:9" x14ac:dyDescent="0.4">
      <c r="A743" t="s">
        <v>18</v>
      </c>
      <c r="B743" t="s">
        <v>46</v>
      </c>
      <c r="C743" t="str">
        <f t="shared" si="50"/>
        <v>茨城県芳賀郡益子町七井中央</v>
      </c>
      <c r="D743" s="2" t="str">
        <f t="shared" si="51"/>
        <v>http://geocode.csis.u-tokyo.ac.jp/cgi-bin/simple_geocode.cgi?charset=UTF8&amp;addr=%E8%8C%A8%E5%9F%8E%E7%9C%8C%E8%8A%B3%E8%B3%80%E9%83%A1%E7%9B%8A%E5%AD%90%E7%94%BA%E4%B8%83%E4%BA%95%E4%B8%AD%E5%A4%AE</v>
      </c>
      <c r="E743" t="str">
        <f t="shared" si="52"/>
        <v xml:space="preserve">&lt;?xml version="1.0" encoding="UTF-8" ?&gt;
&lt;results&gt;
&lt;query&gt;茨城県芳賀郡益子町七井中央&lt;/query&gt;
&lt;geodetic&gt;wgs1984&lt;/geodetic&gt;
&lt;iConf&gt;3&lt;/iConf&gt;
&lt;converted&gt;茨城県&lt;/converted&gt;
&lt;candidate&gt;
&lt;address&gt;茨城県&lt;/address&gt;
&lt;longitude&gt;140.471222&lt;/longitude&gt;
&lt;latitude&gt;36.365860&lt;/latitude&gt;
&lt;iLvl&gt;1&lt;/iLvl&gt;
&lt;/candidate&gt;
&lt;/results&gt;
</v>
      </c>
      <c r="F743" cm="1">
        <f t="array" ref="F743">INDEX(_xlfn.FILTERXML(E743,"//latitude"),1)</f>
        <v>36.365859999999998</v>
      </c>
      <c r="G743" cm="1">
        <f t="array" ref="G743">INDEX(_xlfn.FILTERXML(E743,"//longitude"),1)</f>
        <v>140.47122200000001</v>
      </c>
      <c r="H743">
        <v>36.365859999999998</v>
      </c>
      <c r="I743">
        <v>140.47122200000001</v>
      </c>
    </row>
    <row r="744" spans="1:9" x14ac:dyDescent="0.4">
      <c r="A744" t="s">
        <v>10</v>
      </c>
      <c r="B744" t="s">
        <v>735</v>
      </c>
      <c r="C744" t="str">
        <f t="shared" si="50"/>
        <v>神奈川県大和市深見台</v>
      </c>
      <c r="D744" s="2" t="str">
        <f t="shared" si="51"/>
        <v>http://geocode.csis.u-tokyo.ac.jp/cgi-bin/simple_geocode.cgi?charset=UTF8&amp;addr=%E7%A5%9E%E5%A5%88%E5%B7%9D%E7%9C%8C%E5%A4%A7%E5%92%8C%E5%B8%82%E6%B7%B1%E8%A6%8B%E5%8F%B0</v>
      </c>
      <c r="E744" t="str">
        <f t="shared" si="52"/>
        <v xml:space="preserve">&lt;?xml version="1.0" encoding="UTF-8" ?&gt;
&lt;results&gt;
&lt;query&gt;神奈川県大和市深見台&lt;/query&gt;
&lt;geodetic&gt;wgs1984&lt;/geodetic&gt;
&lt;iConf&gt;5&lt;/iConf&gt;
&lt;converted&gt;神奈川県大和市深見台&lt;/converted&gt;
&lt;candidate&gt;
&lt;address&gt;神奈川県/大和市/深見台&lt;/address&gt;
&lt;longitude&gt;139.468460&lt;/longitude&gt;
&lt;latitude&gt;35.465534&lt;/latitude&gt;
&lt;iLvl&gt;5&lt;/iLvl&gt;
&lt;/candidate&gt;
&lt;/results&gt;
</v>
      </c>
      <c r="F744" cm="1">
        <f t="array" ref="F744">INDEX(_xlfn.FILTERXML(E744,"//latitude"),1)</f>
        <v>35.465533999999998</v>
      </c>
      <c r="G744" cm="1">
        <f t="array" ref="G744">INDEX(_xlfn.FILTERXML(E744,"//longitude"),1)</f>
        <v>139.46845999999999</v>
      </c>
      <c r="H744">
        <v>35.465533999999998</v>
      </c>
      <c r="I744">
        <v>139.46845999999999</v>
      </c>
    </row>
    <row r="745" spans="1:9" x14ac:dyDescent="0.4">
      <c r="A745" t="s">
        <v>17</v>
      </c>
      <c r="B745" t="s">
        <v>410</v>
      </c>
      <c r="C745" t="str">
        <f t="shared" si="50"/>
        <v>滋賀県甲賀市水口町貴生川</v>
      </c>
      <c r="D745" s="2" t="str">
        <f t="shared" si="51"/>
        <v>http://geocode.csis.u-tokyo.ac.jp/cgi-bin/simple_geocode.cgi?charset=UTF8&amp;addr=%E6%BB%8B%E8%B3%80%E7%9C%8C%E7%94%B2%E8%B3%80%E5%B8%82%E6%B0%B4%E5%8F%A3%E7%94%BA%E8%B2%B4%E7%94%9F%E5%B7%9D</v>
      </c>
      <c r="E745" t="str">
        <f t="shared" si="52"/>
        <v xml:space="preserve">&lt;?xml version="1.0" encoding="UTF-8" ?&gt;
&lt;results&gt;
&lt;query&gt;滋賀県甲賀市水口町貴生川&lt;/query&gt;
&lt;geodetic&gt;wgs1984&lt;/geodetic&gt;
&lt;iConf&gt;5&lt;/iConf&gt;
&lt;converted&gt;滋賀県甲賀市水口町貴生川&lt;/converted&gt;
&lt;candidate&gt;
&lt;address&gt;滋賀県/甲賀市/水口町貴生川&lt;/address&gt;
&lt;longitude&gt;136.147110&lt;/longitude&gt;
&lt;latitude&gt;34.955788&lt;/latitude&gt;
&lt;iLvl&gt;5&lt;/iLvl&gt;
&lt;/candidate&gt;
&lt;/results&gt;
</v>
      </c>
      <c r="F745" cm="1">
        <f t="array" ref="F745">INDEX(_xlfn.FILTERXML(E745,"//latitude"),1)</f>
        <v>34.955787999999998</v>
      </c>
      <c r="G745" cm="1">
        <f t="array" ref="G745">INDEX(_xlfn.FILTERXML(E745,"//longitude"),1)</f>
        <v>136.14711</v>
      </c>
      <c r="H745">
        <v>34.955787999999998</v>
      </c>
      <c r="I745">
        <v>136.14711</v>
      </c>
    </row>
    <row r="746" spans="1:9" x14ac:dyDescent="0.4">
      <c r="A746" t="s">
        <v>91</v>
      </c>
      <c r="B746" t="s">
        <v>736</v>
      </c>
      <c r="C746" t="str">
        <f t="shared" si="50"/>
        <v>徳島県徳島市佐古一番町</v>
      </c>
      <c r="D746" s="2" t="str">
        <f t="shared" si="51"/>
        <v>http://geocode.csis.u-tokyo.ac.jp/cgi-bin/simple_geocode.cgi?charset=UTF8&amp;addr=%E5%BE%B3%E5%B3%B6%E7%9C%8C%E5%BE%B3%E5%B3%B6%E5%B8%82%E4%BD%90%E5%8F%A4%E4%B8%80%E7%95%AA%E7%94%BA</v>
      </c>
      <c r="E746" t="str">
        <f t="shared" si="52"/>
        <v xml:space="preserve">&lt;?xml version="1.0" encoding="UTF-8" ?&gt;
&lt;results&gt;
&lt;query&gt;徳島県徳島市佐古一番町&lt;/query&gt;
&lt;geodetic&gt;wgs1984&lt;/geodetic&gt;
&lt;iConf&gt;5&lt;/iConf&gt;
&lt;converted&gt;徳島県徳島市佐古一番町&lt;/converted&gt;
&lt;candidate&gt;
&lt;address&gt;徳島県/徳島市/佐古一番町&lt;/address&gt;
&lt;longitude&gt;134.541321&lt;/longitude&gt;
&lt;latitude&gt;34.077888&lt;/latitude&gt;
&lt;iLvl&gt;5&lt;/iLvl&gt;
&lt;/candidate&gt;
&lt;/results&gt;
</v>
      </c>
      <c r="F746" cm="1">
        <f t="array" ref="F746">INDEX(_xlfn.FILTERXML(E746,"//latitude"),1)</f>
        <v>34.077888000000002</v>
      </c>
      <c r="G746" cm="1">
        <f t="array" ref="G746">INDEX(_xlfn.FILTERXML(E746,"//longitude"),1)</f>
        <v>134.54132100000001</v>
      </c>
      <c r="H746">
        <v>34.077888000000002</v>
      </c>
      <c r="I746">
        <v>134.54132100000001</v>
      </c>
    </row>
    <row r="747" spans="1:9" x14ac:dyDescent="0.4">
      <c r="A747" t="s">
        <v>28</v>
      </c>
      <c r="B747" t="s">
        <v>725</v>
      </c>
      <c r="C747" t="str">
        <f t="shared" si="50"/>
        <v>三重県津市上浜町</v>
      </c>
      <c r="D747" s="2" t="str">
        <f t="shared" si="51"/>
        <v>http://geocode.csis.u-tokyo.ac.jp/cgi-bin/simple_geocode.cgi?charset=UTF8&amp;addr=%E4%B8%89%E9%87%8D%E7%9C%8C%E6%B4%A5%E5%B8%82%E4%B8%8A%E6%B5%9C%E7%94%BA</v>
      </c>
      <c r="E747" t="str">
        <f t="shared" si="52"/>
        <v xml:space="preserve">&lt;?xml version="1.0" encoding="UTF-8" ?&gt;
&lt;results&gt;
&lt;query&gt;三重県津市上浜町&lt;/query&gt;
&lt;geodetic&gt;wgs1984&lt;/geodetic&gt;
&lt;iConf&gt;5&lt;/iConf&gt;
&lt;converted&gt;三重県津市上浜町&lt;/converted&gt;
&lt;candidate&gt;
&lt;address&gt;三重県/津市/上浜町&lt;/address&gt;
&lt;longitude&gt;136.513092&lt;/longitude&gt;
&lt;latitude&gt;34.737885&lt;/latitude&gt;
&lt;iLvl&gt;5&lt;/iLvl&gt;
&lt;/candidate&gt;
&lt;/results&gt;
</v>
      </c>
      <c r="F747" cm="1">
        <f t="array" ref="F747">INDEX(_xlfn.FILTERXML(E747,"//latitude"),1)</f>
        <v>34.737884999999999</v>
      </c>
      <c r="G747" cm="1">
        <f t="array" ref="G747">INDEX(_xlfn.FILTERXML(E747,"//longitude"),1)</f>
        <v>136.513092</v>
      </c>
      <c r="H747">
        <v>34.737884999999999</v>
      </c>
      <c r="I747">
        <v>136.513092</v>
      </c>
    </row>
    <row r="748" spans="1:9" x14ac:dyDescent="0.4">
      <c r="A748" t="s">
        <v>44</v>
      </c>
      <c r="B748" t="s">
        <v>737</v>
      </c>
      <c r="C748" t="str">
        <f t="shared" si="50"/>
        <v>和歌山県紀の川市黒土</v>
      </c>
      <c r="D748" s="2" t="str">
        <f t="shared" si="51"/>
        <v>http://geocode.csis.u-tokyo.ac.jp/cgi-bin/simple_geocode.cgi?charset=UTF8&amp;addr=%E5%92%8C%E6%AD%8C%E5%B1%B1%E7%9C%8C%E7%B4%80%E3%81%AE%E5%B7%9D%E5%B8%82%E9%BB%92%E5%9C%9F</v>
      </c>
      <c r="E748" t="str">
        <f t="shared" si="52"/>
        <v xml:space="preserve">&lt;?xml version="1.0" encoding="UTF-8" ?&gt;
&lt;results&gt;
&lt;query&gt;和歌山県紀の川市黒土&lt;/query&gt;
&lt;geodetic&gt;wgs1984&lt;/geodetic&gt;
&lt;iConf&gt;5&lt;/iConf&gt;
&lt;converted&gt;和歌山県紀の川市黒土&lt;/converted&gt;
&lt;candidate&gt;
&lt;address&gt;和歌山県/紀の川市/黒土&lt;/address&gt;
&lt;longitude&gt;135.410217&lt;/longitude&gt;
&lt;latitude&gt;34.232731&lt;/latitude&gt;
&lt;iLvl&gt;5&lt;/iLvl&gt;
&lt;/candidate&gt;
&lt;/results&gt;
</v>
      </c>
      <c r="F748" cm="1">
        <f t="array" ref="F748">INDEX(_xlfn.FILTERXML(E748,"//latitude"),1)</f>
        <v>34.232731000000001</v>
      </c>
      <c r="G748" cm="1">
        <f t="array" ref="G748">INDEX(_xlfn.FILTERXML(E748,"//longitude"),1)</f>
        <v>135.41021699999999</v>
      </c>
      <c r="H748">
        <v>34.232731000000001</v>
      </c>
      <c r="I748">
        <v>135.41021699999999</v>
      </c>
    </row>
    <row r="749" spans="1:9" x14ac:dyDescent="0.4">
      <c r="A749" t="s">
        <v>9</v>
      </c>
      <c r="B749" t="s">
        <v>268</v>
      </c>
      <c r="C749" t="str">
        <f t="shared" si="50"/>
        <v>東京都足立区加平</v>
      </c>
      <c r="D749" s="2" t="str">
        <f t="shared" si="51"/>
        <v>http://geocode.csis.u-tokyo.ac.jp/cgi-bin/simple_geocode.cgi?charset=UTF8&amp;addr=%E6%9D%B1%E4%BA%AC%E9%83%BD%E8%B6%B3%E7%AB%8B%E5%8C%BA%E5%8A%A0%E5%B9%B3</v>
      </c>
      <c r="E749" t="str">
        <f t="shared" si="52"/>
        <v xml:space="preserve">&lt;?xml version="1.0" encoding="UTF-8" ?&gt;
&lt;results&gt;
&lt;query&gt;東京都足立区加平&lt;/query&gt;
&lt;geodetic&gt;wgs1984&lt;/geodetic&gt;
&lt;iConf&gt;5&lt;/iConf&gt;
&lt;converted&gt;東京都足立区加平&lt;/converted&gt;
&lt;candidate&gt;
&lt;address&gt;東京都/足立区/加平&lt;/address&gt;
&lt;longitude&gt;139.826859&lt;/longitude&gt;
&lt;latitude&gt;35.775902&lt;/latitude&gt;
&lt;iLvl&gt;5&lt;/iLvl&gt;
&lt;/candidate&gt;
&lt;/results&gt;
</v>
      </c>
      <c r="F749" cm="1">
        <f t="array" ref="F749">INDEX(_xlfn.FILTERXML(E749,"//latitude"),1)</f>
        <v>35.775902000000002</v>
      </c>
      <c r="G749" cm="1">
        <f t="array" ref="G749">INDEX(_xlfn.FILTERXML(E749,"//longitude"),1)</f>
        <v>139.82685900000001</v>
      </c>
      <c r="H749">
        <v>35.775902000000002</v>
      </c>
      <c r="I749">
        <v>139.82685900000001</v>
      </c>
    </row>
    <row r="750" spans="1:9" x14ac:dyDescent="0.4">
      <c r="A750" t="s">
        <v>16</v>
      </c>
      <c r="B750" t="s">
        <v>738</v>
      </c>
      <c r="C750" t="str">
        <f t="shared" si="50"/>
        <v>千葉県四街道市もねの里</v>
      </c>
      <c r="D750" s="2" t="str">
        <f t="shared" si="51"/>
        <v>http://geocode.csis.u-tokyo.ac.jp/cgi-bin/simple_geocode.cgi?charset=UTF8&amp;addr=%E5%8D%83%E8%91%89%E7%9C%8C%E5%9B%9B%E8%A1%97%E9%81%93%E5%B8%82%E3%82%82%E3%81%AD%E3%81%AE%E9%87%8C</v>
      </c>
      <c r="E750" t="str">
        <f t="shared" si="52"/>
        <v xml:space="preserve">&lt;?xml version="1.0" encoding="UTF-8" ?&gt;
&lt;results&gt;
&lt;query&gt;千葉県四街道市もねの里&lt;/query&gt;
&lt;geodetic&gt;wgs1984&lt;/geodetic&gt;
&lt;iConf&gt;5&lt;/iConf&gt;
&lt;converted&gt;千葉県四街道市もねの里&lt;/converted&gt;
&lt;candidate&gt;
&lt;address&gt;千葉県/四街道市/もねの里&lt;/address&gt;
&lt;longitude&gt;140.184814&lt;/longitude&gt;
&lt;latitude&gt;35.685894&lt;/latitude&gt;
&lt;iLvl&gt;5&lt;/iLvl&gt;
&lt;/candidate&gt;
&lt;/results&gt;
</v>
      </c>
      <c r="F750" cm="1">
        <f t="array" ref="F750">INDEX(_xlfn.FILTERXML(E750,"//latitude"),1)</f>
        <v>35.685893999999998</v>
      </c>
      <c r="G750" cm="1">
        <f t="array" ref="G750">INDEX(_xlfn.FILTERXML(E750,"//longitude"),1)</f>
        <v>140.18481399999999</v>
      </c>
      <c r="H750">
        <v>35.685893999999998</v>
      </c>
      <c r="I750">
        <v>140.18481399999999</v>
      </c>
    </row>
    <row r="751" spans="1:9" x14ac:dyDescent="0.4">
      <c r="A751" t="s">
        <v>16</v>
      </c>
      <c r="B751" t="s">
        <v>739</v>
      </c>
      <c r="C751" t="str">
        <f t="shared" si="50"/>
        <v>千葉県我孫子市白山</v>
      </c>
      <c r="D751" s="2" t="str">
        <f t="shared" si="51"/>
        <v>http://geocode.csis.u-tokyo.ac.jp/cgi-bin/simple_geocode.cgi?charset=UTF8&amp;addr=%E5%8D%83%E8%91%89%E7%9C%8C%E6%88%91%E5%AD%AB%E5%AD%90%E5%B8%82%E7%99%BD%E5%B1%B1</v>
      </c>
      <c r="E751" t="str">
        <f t="shared" si="52"/>
        <v xml:space="preserve">&lt;?xml version="1.0" encoding="UTF-8" ?&gt;
&lt;results&gt;
&lt;query&gt;千葉県我孫子市白山&lt;/query&gt;
&lt;geodetic&gt;wgs1984&lt;/geodetic&gt;
&lt;iConf&gt;5&lt;/iConf&gt;
&lt;converted&gt;千葉県我孫子市白山&lt;/converted&gt;
&lt;candidate&gt;
&lt;address&gt;千葉県/我孫子市/白山&lt;/address&gt;
&lt;longitude&gt;140.010605&lt;/longitude&gt;
&lt;latitude&gt;35.868305&lt;/latitude&gt;
&lt;iLvl&gt;5&lt;/iLvl&gt;
&lt;/candidate&gt;
&lt;/results&gt;
</v>
      </c>
      <c r="F751" cm="1">
        <f t="array" ref="F751">INDEX(_xlfn.FILTERXML(E751,"//latitude"),1)</f>
        <v>35.868304999999999</v>
      </c>
      <c r="G751" cm="1">
        <f t="array" ref="G751">INDEX(_xlfn.FILTERXML(E751,"//longitude"),1)</f>
        <v>140.010605</v>
      </c>
      <c r="H751">
        <v>35.868304999999999</v>
      </c>
      <c r="I751">
        <v>140.010605</v>
      </c>
    </row>
    <row r="752" spans="1:9" x14ac:dyDescent="0.4">
      <c r="A752" t="s">
        <v>13</v>
      </c>
      <c r="B752" t="s">
        <v>740</v>
      </c>
      <c r="C752" t="str">
        <f t="shared" si="50"/>
        <v>兵庫県姫路市東辻井</v>
      </c>
      <c r="D752" s="2" t="str">
        <f t="shared" si="51"/>
        <v>http://geocode.csis.u-tokyo.ac.jp/cgi-bin/simple_geocode.cgi?charset=UTF8&amp;addr=%E5%85%B5%E5%BA%AB%E7%9C%8C%E5%A7%AB%E8%B7%AF%E5%B8%82%E6%9D%B1%E8%BE%BB%E4%BA%95</v>
      </c>
      <c r="E752" t="str">
        <f t="shared" si="52"/>
        <v xml:space="preserve">&lt;?xml version="1.0" encoding="UTF-8" ?&gt;
&lt;results&gt;
&lt;query&gt;兵庫県姫路市東辻井&lt;/query&gt;
&lt;geodetic&gt;wgs1984&lt;/geodetic&gt;
&lt;iConf&gt;5&lt;/iConf&gt;
&lt;converted&gt;兵庫県姫路市東辻井&lt;/converted&gt;
&lt;candidate&gt;
&lt;address&gt;兵庫県/姫路市/東辻井&lt;/address&gt;
&lt;longitude&gt;134.676483&lt;/longitude&gt;
&lt;latitude&gt;34.845390&lt;/latitude&gt;
&lt;iLvl&gt;5&lt;/iLvl&gt;
&lt;/candidate&gt;
&lt;/results&gt;
</v>
      </c>
      <c r="F752" cm="1">
        <f t="array" ref="F752">INDEX(_xlfn.FILTERXML(E752,"//latitude"),1)</f>
        <v>34.845390000000002</v>
      </c>
      <c r="G752" cm="1">
        <f t="array" ref="G752">INDEX(_xlfn.FILTERXML(E752,"//longitude"),1)</f>
        <v>134.67648299999999</v>
      </c>
      <c r="H752">
        <v>34.845390000000002</v>
      </c>
      <c r="I752">
        <v>134.67648299999999</v>
      </c>
    </row>
    <row r="753" spans="1:9" x14ac:dyDescent="0.4">
      <c r="A753" t="s">
        <v>9</v>
      </c>
      <c r="B753" t="s">
        <v>280</v>
      </c>
      <c r="C753" t="str">
        <f t="shared" si="50"/>
        <v>東京都江戸川区</v>
      </c>
      <c r="D753" s="2" t="str">
        <f t="shared" si="51"/>
        <v>http://geocode.csis.u-tokyo.ac.jp/cgi-bin/simple_geocode.cgi?charset=UTF8&amp;addr=%E6%9D%B1%E4%BA%AC%E9%83%BD%E6%B1%9F%E6%88%B8%E5%B7%9D%E5%8C%BA</v>
      </c>
      <c r="E753" t="str">
        <f t="shared" si="52"/>
        <v xml:space="preserve">&lt;?xml version="1.0" encoding="UTF-8" ?&gt;
&lt;results&gt;
&lt;query&gt;東京都江戸川区&lt;/query&gt;
&lt;geodetic&gt;wgs1984&lt;/geodetic&gt;
&lt;iConf&gt;5&lt;/iConf&gt;
&lt;converted&gt;東京都江戸川区&lt;/converted&gt;
&lt;candidate&gt;
&lt;address&gt;東京都/江戸川区&lt;/address&gt;
&lt;longitude&gt;139.868317&lt;/longitude&gt;
&lt;latitude&gt;35.706650&lt;/latitude&gt;
&lt;iLvl&gt;3&lt;/iLvl&gt;
&lt;/candidate&gt;
&lt;/results&gt;
</v>
      </c>
      <c r="F753" cm="1">
        <f t="array" ref="F753">INDEX(_xlfn.FILTERXML(E753,"//latitude"),1)</f>
        <v>35.706650000000003</v>
      </c>
      <c r="G753" cm="1">
        <f t="array" ref="G753">INDEX(_xlfn.FILTERXML(E753,"//longitude"),1)</f>
        <v>139.86831699999999</v>
      </c>
      <c r="H753">
        <v>35.706650000000003</v>
      </c>
      <c r="I753">
        <v>139.86831699999999</v>
      </c>
    </row>
    <row r="754" spans="1:9" x14ac:dyDescent="0.4">
      <c r="A754" t="s">
        <v>10</v>
      </c>
      <c r="B754" t="s">
        <v>707</v>
      </c>
      <c r="C754" t="str">
        <f t="shared" si="50"/>
        <v>神奈川県藤沢市</v>
      </c>
      <c r="D754" s="2" t="str">
        <f t="shared" si="51"/>
        <v>http://geocode.csis.u-tokyo.ac.jp/cgi-bin/simple_geocode.cgi?charset=UTF8&amp;addr=%E7%A5%9E%E5%A5%88%E5%B7%9D%E7%9C%8C%E8%97%A4%E6%B2%A2%E5%B8%82</v>
      </c>
      <c r="E754" t="str">
        <f t="shared" si="52"/>
        <v xml:space="preserve">&lt;?xml version="1.0" encoding="UTF-8" ?&gt;
&lt;results&gt;
&lt;query&gt;神奈川県藤沢市&lt;/query&gt;
&lt;geodetic&gt;wgs1984&lt;/geodetic&gt;
&lt;iConf&gt;5&lt;/iConf&gt;
&lt;converted&gt;神奈川県藤沢市&lt;/converted&gt;
&lt;candidate&gt;
&lt;address&gt;神奈川県/藤沢市&lt;/address&gt;
&lt;longitude&gt;139.491119&lt;/longitude&gt;
&lt;latitude&gt;35.338940&lt;/latitude&gt;
&lt;iLvl&gt;3&lt;/iLvl&gt;
&lt;/candidate&gt;
&lt;/results&gt;
</v>
      </c>
      <c r="F754" cm="1">
        <f t="array" ref="F754">INDEX(_xlfn.FILTERXML(E754,"//latitude"),1)</f>
        <v>35.338940000000001</v>
      </c>
      <c r="G754" cm="1">
        <f t="array" ref="G754">INDEX(_xlfn.FILTERXML(E754,"//longitude"),1)</f>
        <v>139.491119</v>
      </c>
      <c r="H754">
        <v>35.338940000000001</v>
      </c>
      <c r="I754">
        <v>139.491119</v>
      </c>
    </row>
    <row r="755" spans="1:9" x14ac:dyDescent="0.4">
      <c r="A755" t="s">
        <v>150</v>
      </c>
      <c r="B755" t="s">
        <v>741</v>
      </c>
      <c r="C755" t="str">
        <f t="shared" si="50"/>
        <v>群馬県前橋市荒牧町</v>
      </c>
      <c r="D755" s="2" t="str">
        <f t="shared" si="51"/>
        <v>http://geocode.csis.u-tokyo.ac.jp/cgi-bin/simple_geocode.cgi?charset=UTF8&amp;addr=%E7%BE%A4%E9%A6%AC%E7%9C%8C%E5%89%8D%E6%A9%8B%E5%B8%82%E8%8D%92%E7%89%A7%E7%94%BA</v>
      </c>
      <c r="E755" t="str">
        <f t="shared" si="52"/>
        <v xml:space="preserve">&lt;?xml version="1.0" encoding="UTF-8" ?&gt;
&lt;results&gt;
&lt;query&gt;群馬県前橋市荒牧町&lt;/query&gt;
&lt;geodetic&gt;wgs1984&lt;/geodetic&gt;
&lt;iConf&gt;5&lt;/iConf&gt;
&lt;converted&gt;群馬県前橋市荒牧町&lt;/converted&gt;
&lt;candidate&gt;
&lt;address&gt;群馬県/前橋市/荒牧町&lt;/address&gt;
&lt;longitude&gt;139.049576&lt;/longitude&gt;
&lt;latitude&gt;36.424362&lt;/latitude&gt;
&lt;iLvl&gt;5&lt;/iLvl&gt;
&lt;/candidate&gt;
&lt;/results&gt;
</v>
      </c>
      <c r="F755" cm="1">
        <f t="array" ref="F755">INDEX(_xlfn.FILTERXML(E755,"//latitude"),1)</f>
        <v>36.424362000000002</v>
      </c>
      <c r="G755" cm="1">
        <f t="array" ref="G755">INDEX(_xlfn.FILTERXML(E755,"//longitude"),1)</f>
        <v>139.049576</v>
      </c>
      <c r="H755">
        <v>36.424362000000002</v>
      </c>
      <c r="I755">
        <v>139.049576</v>
      </c>
    </row>
    <row r="756" spans="1:9" x14ac:dyDescent="0.4">
      <c r="A756" t="s">
        <v>97</v>
      </c>
      <c r="B756" t="s">
        <v>742</v>
      </c>
      <c r="C756" t="str">
        <f t="shared" si="50"/>
        <v>熊本県菊池市</v>
      </c>
      <c r="D756" s="2" t="str">
        <f t="shared" si="51"/>
        <v>http://geocode.csis.u-tokyo.ac.jp/cgi-bin/simple_geocode.cgi?charset=UTF8&amp;addr=%E7%86%8A%E6%9C%AC%E7%9C%8C%E8%8F%8A%E6%B1%A0%E5%B8%82</v>
      </c>
      <c r="E756" t="str">
        <f t="shared" si="52"/>
        <v xml:space="preserve">&lt;?xml version="1.0" encoding="UTF-8" ?&gt;
&lt;results&gt;
&lt;query&gt;熊本県菊池市&lt;/query&gt;
&lt;geodetic&gt;wgs1984&lt;/geodetic&gt;
&lt;iConf&gt;5&lt;/iConf&gt;
&lt;converted&gt;熊本県菊池市&lt;/converted&gt;
&lt;candidate&gt;
&lt;address&gt;熊本県/菊池市&lt;/address&gt;
&lt;longitude&gt;130.813248&lt;/longitude&gt;
&lt;latitude&gt;32.979485&lt;/latitude&gt;
&lt;iLvl&gt;3&lt;/iLvl&gt;
&lt;/candidate&gt;
&lt;/results&gt;
</v>
      </c>
      <c r="F756" cm="1">
        <f t="array" ref="F756">INDEX(_xlfn.FILTERXML(E756,"//latitude"),1)</f>
        <v>32.979484999999997</v>
      </c>
      <c r="G756" cm="1">
        <f t="array" ref="G756">INDEX(_xlfn.FILTERXML(E756,"//longitude"),1)</f>
        <v>130.81324799999999</v>
      </c>
      <c r="H756">
        <v>32.979484999999997</v>
      </c>
      <c r="I756">
        <v>130.81324799999999</v>
      </c>
    </row>
    <row r="757" spans="1:9" x14ac:dyDescent="0.4">
      <c r="A757" t="s">
        <v>15</v>
      </c>
      <c r="B757" t="s">
        <v>743</v>
      </c>
      <c r="C757" t="str">
        <f t="shared" si="50"/>
        <v>愛知県名古屋市中川区二女町町</v>
      </c>
      <c r="D757" s="2" t="str">
        <f t="shared" si="51"/>
        <v>http://geocode.csis.u-tokyo.ac.jp/cgi-bin/simple_geocode.cgi?charset=UTF8&amp;addr=%E6%84%9B%E7%9F%A5%E7%9C%8C%E5%90%8D%E5%8F%A4%E5%B1%8B%E5%B8%82%E4%B8%AD%E5%B7%9D%E5%8C%BA%E4%BA%8C%E5%A5%B3%E7%94%BA%E7%94%BA</v>
      </c>
      <c r="E757" t="str">
        <f t="shared" si="52"/>
        <v xml:space="preserve">&lt;?xml version="1.0" encoding="UTF-8" ?&gt;
&lt;results&gt;
&lt;query&gt;愛知県名古屋市中川区二女町町&lt;/query&gt;
&lt;geodetic&gt;wgs1984&lt;/geodetic&gt;
&lt;iConf&gt;5&lt;/iConf&gt;
&lt;converted&gt;愛知県名古屋市中川区二女&lt;/converted&gt;
&lt;candidate&gt;
&lt;address&gt;愛知県/名古屋市/中川区/二女子町&lt;/address&gt;
&lt;longitude&gt;136.879990&lt;/longitude&gt;
&lt;latitude&gt;35.146191&lt;/latitude&gt;
&lt;iLvl&gt;5&lt;/iLvl&gt;
&lt;/candidate&gt;
&lt;/results&gt;
</v>
      </c>
      <c r="F757" cm="1">
        <f t="array" ref="F757">INDEX(_xlfn.FILTERXML(E757,"//latitude"),1)</f>
        <v>35.146191000000002</v>
      </c>
      <c r="G757" cm="1">
        <f t="array" ref="G757">INDEX(_xlfn.FILTERXML(E757,"//longitude"),1)</f>
        <v>136.87998999999999</v>
      </c>
      <c r="H757">
        <v>35.146191000000002</v>
      </c>
      <c r="I757">
        <v>136.87998999999999</v>
      </c>
    </row>
    <row r="758" spans="1:9" x14ac:dyDescent="0.4">
      <c r="A758" t="s">
        <v>12</v>
      </c>
      <c r="B758" t="s">
        <v>744</v>
      </c>
      <c r="C758" t="str">
        <f t="shared" si="50"/>
        <v>埼玉県さいたま市見沼区中川</v>
      </c>
      <c r="D758" s="2" t="str">
        <f t="shared" si="51"/>
        <v>http://geocode.csis.u-tokyo.ac.jp/cgi-bin/simple_geocode.cgi?charset=UTF8&amp;addr=%E5%9F%BC%E7%8E%89%E7%9C%8C%E3%81%95%E3%81%84%E3%81%9F%E3%81%BE%E5%B8%82%E8%A6%8B%E6%B2%BC%E5%8C%BA%E4%B8%AD%E5%B7%9D</v>
      </c>
      <c r="E758" t="str">
        <f t="shared" si="52"/>
        <v xml:space="preserve">&lt;?xml version="1.0" encoding="UTF-8" ?&gt;
&lt;results&gt;
&lt;query&gt;埼玉県さいたま市見沼区中川&lt;/query&gt;
&lt;geodetic&gt;wgs1984&lt;/geodetic&gt;
&lt;iConf&gt;5&lt;/iConf&gt;
&lt;converted&gt;埼玉県さいたま市見沼区中川&lt;/converted&gt;
&lt;candidate&gt;
&lt;address&gt;埼玉県/さいたま市/見沼区/中川&lt;/address&gt;
&lt;longitude&gt;139.655548&lt;/longitude&gt;
&lt;latitude&gt;35.903385&lt;/latitude&gt;
&lt;iLvl&gt;5&lt;/iLvl&gt;
&lt;/candidate&gt;
&lt;/results&gt;
</v>
      </c>
      <c r="F758" cm="1">
        <f t="array" ref="F758">INDEX(_xlfn.FILTERXML(E758,"//latitude"),1)</f>
        <v>35.903385</v>
      </c>
      <c r="G758" cm="1">
        <f t="array" ref="G758">INDEX(_xlfn.FILTERXML(E758,"//longitude"),1)</f>
        <v>139.65554800000001</v>
      </c>
      <c r="H758">
        <v>35.903385</v>
      </c>
      <c r="I758">
        <v>139.65554800000001</v>
      </c>
    </row>
    <row r="759" spans="1:9" x14ac:dyDescent="0.4">
      <c r="A759" t="s">
        <v>164</v>
      </c>
      <c r="B759" t="s">
        <v>745</v>
      </c>
      <c r="C759" t="str">
        <f t="shared" si="50"/>
        <v>広島県三次市南畑敷町</v>
      </c>
      <c r="D759" s="2" t="str">
        <f t="shared" si="51"/>
        <v>http://geocode.csis.u-tokyo.ac.jp/cgi-bin/simple_geocode.cgi?charset=UTF8&amp;addr=%E5%BA%83%E5%B3%B6%E7%9C%8C%E4%B8%89%E6%AC%A1%E5%B8%82%E5%8D%97%E7%95%91%E6%95%B7%E7%94%BA</v>
      </c>
      <c r="E759" t="str">
        <f t="shared" si="52"/>
        <v xml:space="preserve">&lt;?xml version="1.0" encoding="UTF-8" ?&gt;
&lt;results&gt;
&lt;query&gt;広島県三次市南畑敷町&lt;/query&gt;
&lt;geodetic&gt;wgs1984&lt;/geodetic&gt;
&lt;iConf&gt;5&lt;/iConf&gt;
&lt;converted&gt;広島県三次市南畑敷町&lt;/converted&gt;
&lt;candidate&gt;
&lt;address&gt;広島県/三次市/南畑敷町&lt;/address&gt;
&lt;longitude&gt;132.882919&lt;/longitude&gt;
&lt;latitude&gt;34.796822&lt;/latitude&gt;
&lt;iLvl&gt;5&lt;/iLvl&gt;
&lt;/candidate&gt;
&lt;/results&gt;
</v>
      </c>
      <c r="F759" cm="1">
        <f t="array" ref="F759">INDEX(_xlfn.FILTERXML(E759,"//latitude"),1)</f>
        <v>34.796821999999999</v>
      </c>
      <c r="G759" cm="1">
        <f t="array" ref="G759">INDEX(_xlfn.FILTERXML(E759,"//longitude"),1)</f>
        <v>132.88291899999999</v>
      </c>
      <c r="H759">
        <v>34.796821999999999</v>
      </c>
      <c r="I759">
        <v>132.88291899999999</v>
      </c>
    </row>
    <row r="760" spans="1:9" x14ac:dyDescent="0.4">
      <c r="A760" t="s">
        <v>18</v>
      </c>
      <c r="B760" t="s">
        <v>746</v>
      </c>
      <c r="C760" t="str">
        <f t="shared" si="50"/>
        <v>茨城県ひたちなか市勝田泉町</v>
      </c>
      <c r="D760" s="2" t="str">
        <f t="shared" si="51"/>
        <v>http://geocode.csis.u-tokyo.ac.jp/cgi-bin/simple_geocode.cgi?charset=UTF8&amp;addr=%E8%8C%A8%E5%9F%8E%E7%9C%8C%E3%81%B2%E3%81%9F%E3%81%A1%E3%81%AA%E3%81%8B%E5%B8%82%E5%8B%9D%E7%94%B0%E6%B3%89%E7%94%BA</v>
      </c>
      <c r="E760" t="str">
        <f t="shared" si="52"/>
        <v xml:space="preserve">&lt;?xml version="1.0" encoding="UTF-8" ?&gt;
&lt;results&gt;
&lt;query&gt;茨城県ひたちなか市勝田泉町&lt;/query&gt;
&lt;geodetic&gt;wgs1984&lt;/geodetic&gt;
&lt;iConf&gt;5&lt;/iConf&gt;
&lt;converted&gt;茨城県ひたちなか市勝田泉町&lt;/converted&gt;
&lt;candidate&gt;
&lt;address&gt;茨城県/ひたちなか市/勝田泉町&lt;/address&gt;
&lt;longitude&gt;140.525223&lt;/longitude&gt;
&lt;latitude&gt;36.391724&lt;/latitude&gt;
&lt;iLvl&gt;5&lt;/iLvl&gt;
&lt;/candidate&gt;
&lt;/results&gt;
</v>
      </c>
      <c r="F760" cm="1">
        <f t="array" ref="F760">INDEX(_xlfn.FILTERXML(E760,"//latitude"),1)</f>
        <v>36.391724000000004</v>
      </c>
      <c r="G760" cm="1">
        <f t="array" ref="G760">INDEX(_xlfn.FILTERXML(E760,"//longitude"),1)</f>
        <v>140.52522300000001</v>
      </c>
      <c r="H760">
        <v>36.391724000000004</v>
      </c>
      <c r="I760">
        <v>140.52522300000001</v>
      </c>
    </row>
    <row r="761" spans="1:9" x14ac:dyDescent="0.4">
      <c r="A761" t="s">
        <v>15</v>
      </c>
      <c r="B761" t="s">
        <v>720</v>
      </c>
      <c r="C761" t="str">
        <f t="shared" si="50"/>
        <v>愛知県名古屋市東区芳野芳野白壁</v>
      </c>
      <c r="D761" s="2" t="str">
        <f t="shared" si="51"/>
        <v>http://geocode.csis.u-tokyo.ac.jp/cgi-bin/simple_geocode.cgi?charset=UTF8&amp;addr=%E6%84%9B%E7%9F%A5%E7%9C%8C%E5%90%8D%E5%8F%A4%E5%B1%8B%E5%B8%82%E6%9D%B1%E5%8C%BA%E8%8A%B3%E9%87%8E%E8%8A%B3%E9%87%8E%E7%99%BD%E5%A3%81</v>
      </c>
      <c r="E761" t="str">
        <f t="shared" si="52"/>
        <v xml:space="preserve">&lt;?xml version="1.0" encoding="UTF-8" ?&gt;
&lt;results&gt;
&lt;query&gt;愛知県名古屋市東区芳野芳野白壁&lt;/query&gt;
&lt;geodetic&gt;wgs1984&lt;/geodetic&gt;
&lt;iConf&gt;5&lt;/iConf&gt;
&lt;converted&gt;愛知県名古屋市東区芳野&lt;/converted&gt;
&lt;candidate&gt;
&lt;address&gt;愛知県/名古屋市/東区/芳野&lt;/address&gt;
&lt;longitude&gt;136.921387&lt;/longitude&gt;
&lt;latitude&gt;35.184952&lt;/latitude&gt;
&lt;iLvl&gt;5&lt;/iLvl&gt;
&lt;/candidate&gt;
&lt;/results&gt;
</v>
      </c>
      <c r="F761" cm="1">
        <f t="array" ref="F761">INDEX(_xlfn.FILTERXML(E761,"//latitude"),1)</f>
        <v>35.184952000000003</v>
      </c>
      <c r="G761" cm="1">
        <f t="array" ref="G761">INDEX(_xlfn.FILTERXML(E761,"//longitude"),1)</f>
        <v>136.92138700000001</v>
      </c>
      <c r="H761">
        <v>35.184952000000003</v>
      </c>
      <c r="I761">
        <v>136.92138700000001</v>
      </c>
    </row>
    <row r="762" spans="1:9" x14ac:dyDescent="0.4">
      <c r="A762" t="s">
        <v>11</v>
      </c>
      <c r="B762" t="s">
        <v>747</v>
      </c>
      <c r="C762" t="str">
        <f t="shared" si="50"/>
        <v>大阪府大阪市平野区西脇</v>
      </c>
      <c r="D762" s="2" t="str">
        <f t="shared" si="51"/>
        <v>http://geocode.csis.u-tokyo.ac.jp/cgi-bin/simple_geocode.cgi?charset=UTF8&amp;addr=%E5%A4%A7%E9%98%AA%E5%BA%9C%E5%A4%A7%E9%98%AA%E5%B8%82%E5%B9%B3%E9%87%8E%E5%8C%BA%E8%A5%BF%E8%84%87</v>
      </c>
      <c r="E762" t="str">
        <f t="shared" si="52"/>
        <v xml:space="preserve">&lt;?xml version="1.0" encoding="UTF-8" ?&gt;
&lt;results&gt;
&lt;query&gt;大阪府大阪市平野区西脇&lt;/query&gt;
&lt;geodetic&gt;wgs1984&lt;/geodetic&gt;
&lt;iConf&gt;5&lt;/iConf&gt;
&lt;converted&gt;大阪府大阪市平野区西脇&lt;/converted&gt;
&lt;candidate&gt;
&lt;address&gt;大阪府/大阪市/平野区/西脇&lt;/address&gt;
&lt;longitude&gt;135.545181&lt;/longitude&gt;
&lt;latitude&gt;34.630615&lt;/latitude&gt;
&lt;iLvl&gt;5&lt;/iLvl&gt;
&lt;/candidate&gt;
&lt;/results&gt;
</v>
      </c>
      <c r="F762" cm="1">
        <f t="array" ref="F762">INDEX(_xlfn.FILTERXML(E762,"//latitude"),1)</f>
        <v>34.630614999999999</v>
      </c>
      <c r="G762" cm="1">
        <f t="array" ref="G762">INDEX(_xlfn.FILTERXML(E762,"//longitude"),1)</f>
        <v>135.54518100000001</v>
      </c>
      <c r="H762">
        <v>34.630614999999999</v>
      </c>
      <c r="I762">
        <v>135.54518100000001</v>
      </c>
    </row>
    <row r="763" spans="1:9" x14ac:dyDescent="0.4">
      <c r="A763" t="s">
        <v>16</v>
      </c>
      <c r="B763" t="s">
        <v>71</v>
      </c>
      <c r="C763" t="str">
        <f t="shared" si="50"/>
        <v>千葉県松戸市</v>
      </c>
      <c r="D763" s="2" t="str">
        <f t="shared" si="51"/>
        <v>http://geocode.csis.u-tokyo.ac.jp/cgi-bin/simple_geocode.cgi?charset=UTF8&amp;addr=%E5%8D%83%E8%91%89%E7%9C%8C%E6%9D%BE%E6%88%B8%E5%B8%82</v>
      </c>
      <c r="E763" t="str">
        <f t="shared" si="52"/>
        <v xml:space="preserve">&lt;?xml version="1.0" encoding="UTF-8" ?&gt;
&lt;results&gt;
&lt;query&gt;千葉県松戸市&lt;/query&gt;
&lt;geodetic&gt;wgs1984&lt;/geodetic&gt;
&lt;iConf&gt;5&lt;/iConf&gt;
&lt;converted&gt;千葉県松戸市&lt;/converted&gt;
&lt;candidate&gt;
&lt;address&gt;千葉県/松戸市&lt;/address&gt;
&lt;longitude&gt;139.903229&lt;/longitude&gt;
&lt;latitude&gt;35.787651&lt;/latitude&gt;
&lt;iLvl&gt;3&lt;/iLvl&gt;
&lt;/candidate&gt;
&lt;/results&gt;
</v>
      </c>
      <c r="F763" cm="1">
        <f t="array" ref="F763">INDEX(_xlfn.FILTERXML(E763,"//latitude"),1)</f>
        <v>35.787650999999997</v>
      </c>
      <c r="G763" cm="1">
        <f t="array" ref="G763">INDEX(_xlfn.FILTERXML(E763,"//longitude"),1)</f>
        <v>139.90322900000001</v>
      </c>
      <c r="H763">
        <v>35.787650999999997</v>
      </c>
      <c r="I763">
        <v>139.90322900000001</v>
      </c>
    </row>
    <row r="764" spans="1:9" x14ac:dyDescent="0.4">
      <c r="A764" t="s">
        <v>21</v>
      </c>
      <c r="B764" t="s">
        <v>748</v>
      </c>
      <c r="C764" t="str">
        <f t="shared" si="50"/>
        <v>栃木県鹿沼市茂呂</v>
      </c>
      <c r="D764" s="2" t="str">
        <f t="shared" si="51"/>
        <v>http://geocode.csis.u-tokyo.ac.jp/cgi-bin/simple_geocode.cgi?charset=UTF8&amp;addr=%E6%A0%83%E6%9C%A8%E7%9C%8C%E9%B9%BF%E6%B2%BC%E5%B8%82%E8%8C%82%E5%91%82</v>
      </c>
      <c r="E764" t="str">
        <f t="shared" si="52"/>
        <v xml:space="preserve">&lt;?xml version="1.0" encoding="UTF-8" ?&gt;
&lt;results&gt;
&lt;query&gt;栃木県鹿沼市茂呂&lt;/query&gt;
&lt;geodetic&gt;wgs1984&lt;/geodetic&gt;
&lt;iConf&gt;5&lt;/iConf&gt;
&lt;converted&gt;栃木県鹿沼市茂呂&lt;/converted&gt;
&lt;candidate&gt;
&lt;address&gt;栃木県/鹿沼市/茂呂&lt;/address&gt;
&lt;longitude&gt;139.783752&lt;/longitude&gt;
&lt;latitude&gt;36.543232&lt;/latitude&gt;
&lt;iLvl&gt;5&lt;/iLvl&gt;
&lt;/candidate&gt;
&lt;/results&gt;
</v>
      </c>
      <c r="F764" cm="1">
        <f t="array" ref="F764">INDEX(_xlfn.FILTERXML(E764,"//latitude"),1)</f>
        <v>36.543232000000003</v>
      </c>
      <c r="G764" cm="1">
        <f t="array" ref="G764">INDEX(_xlfn.FILTERXML(E764,"//longitude"),1)</f>
        <v>139.78375199999999</v>
      </c>
      <c r="H764">
        <v>36.543232000000003</v>
      </c>
      <c r="I764">
        <v>139.78375199999999</v>
      </c>
    </row>
    <row r="765" spans="1:9" x14ac:dyDescent="0.4">
      <c r="A765" t="s">
        <v>13</v>
      </c>
      <c r="B765" t="s">
        <v>749</v>
      </c>
      <c r="C765" t="str">
        <f t="shared" si="50"/>
        <v>兵庫県三田市友が丘</v>
      </c>
      <c r="D765" s="2" t="str">
        <f t="shared" si="51"/>
        <v>http://geocode.csis.u-tokyo.ac.jp/cgi-bin/simple_geocode.cgi?charset=UTF8&amp;addr=%E5%85%B5%E5%BA%AB%E7%9C%8C%E4%B8%89%E7%94%B0%E5%B8%82%E5%8F%8B%E3%81%8C%E4%B8%98</v>
      </c>
      <c r="E765" t="str">
        <f t="shared" si="52"/>
        <v xml:space="preserve">&lt;?xml version="1.0" encoding="UTF-8" ?&gt;
&lt;results&gt;
&lt;query&gt;兵庫県三田市友が丘&lt;/query&gt;
&lt;geodetic&gt;wgs1984&lt;/geodetic&gt;
&lt;iConf&gt;5&lt;/iConf&gt;
&lt;converted&gt;兵庫県三田市友が丘&lt;/converted&gt;
&lt;candidate&gt;
&lt;address&gt;兵庫県/三田市/友が丘&lt;/address&gt;
&lt;longitude&gt;135.224670&lt;/longitude&gt;
&lt;latitude&gt;34.901581&lt;/latitude&gt;
&lt;iLvl&gt;5&lt;/iLvl&gt;
&lt;/candidate&gt;
&lt;/results&gt;
</v>
      </c>
      <c r="F765" cm="1">
        <f t="array" ref="F765">INDEX(_xlfn.FILTERXML(E765,"//latitude"),1)</f>
        <v>34.901581</v>
      </c>
      <c r="G765" cm="1">
        <f t="array" ref="G765">INDEX(_xlfn.FILTERXML(E765,"//longitude"),1)</f>
        <v>135.22467</v>
      </c>
      <c r="H765">
        <v>34.901581</v>
      </c>
      <c r="I765">
        <v>135.22467</v>
      </c>
    </row>
    <row r="766" spans="1:9" x14ac:dyDescent="0.4">
      <c r="A766" t="s">
        <v>9</v>
      </c>
      <c r="B766" t="s">
        <v>750</v>
      </c>
      <c r="C766" t="str">
        <f t="shared" si="50"/>
        <v>東京都立川市曙町</v>
      </c>
      <c r="D766" s="2" t="str">
        <f t="shared" si="51"/>
        <v>http://geocode.csis.u-tokyo.ac.jp/cgi-bin/simple_geocode.cgi?charset=UTF8&amp;addr=%E6%9D%B1%E4%BA%AC%E9%83%BD%E7%AB%8B%E5%B7%9D%E5%B8%82%E6%9B%99%E7%94%BA</v>
      </c>
      <c r="E766" t="str">
        <f t="shared" si="52"/>
        <v xml:space="preserve">&lt;?xml version="1.0" encoding="UTF-8" ?&gt;
&lt;results&gt;
&lt;query&gt;東京都立川市曙町&lt;/query&gt;
&lt;geodetic&gt;wgs1984&lt;/geodetic&gt;
&lt;iConf&gt;5&lt;/iConf&gt;
&lt;converted&gt;東京都立川市曙町&lt;/converted&gt;
&lt;candidate&gt;
&lt;address&gt;東京都/立川市/曙町&lt;/address&gt;
&lt;longitude&gt;139.409027&lt;/longitude&gt;
&lt;latitude&gt;35.699440&lt;/latitude&gt;
&lt;iLvl&gt;5&lt;/iLvl&gt;
&lt;/candidate&gt;
&lt;/results&gt;
</v>
      </c>
      <c r="F766" cm="1">
        <f t="array" ref="F766">INDEX(_xlfn.FILTERXML(E766,"//latitude"),1)</f>
        <v>35.699440000000003</v>
      </c>
      <c r="G766" cm="1">
        <f t="array" ref="G766">INDEX(_xlfn.FILTERXML(E766,"//longitude"),1)</f>
        <v>139.40902700000001</v>
      </c>
      <c r="H766">
        <v>35.699440000000003</v>
      </c>
      <c r="I766">
        <v>139.40902700000001</v>
      </c>
    </row>
    <row r="767" spans="1:9" x14ac:dyDescent="0.4">
      <c r="A767" t="s">
        <v>19</v>
      </c>
      <c r="B767" t="s">
        <v>751</v>
      </c>
      <c r="C767" t="str">
        <f t="shared" si="50"/>
        <v>福岡県福岡市東区千早</v>
      </c>
      <c r="D767" s="2" t="str">
        <f t="shared" si="51"/>
        <v>http://geocode.csis.u-tokyo.ac.jp/cgi-bin/simple_geocode.cgi?charset=UTF8&amp;addr=%E7%A6%8F%E5%B2%A1%E7%9C%8C%E7%A6%8F%E5%B2%A1%E5%B8%82%E6%9D%B1%E5%8C%BA%E5%8D%83%E6%97%A9</v>
      </c>
      <c r="E767" t="str">
        <f t="shared" si="52"/>
        <v xml:space="preserve">&lt;?xml version="1.0" encoding="UTF-8" ?&gt;
&lt;results&gt;
&lt;query&gt;福岡県福岡市東区千早&lt;/query&gt;
&lt;geodetic&gt;wgs1984&lt;/geodetic&gt;
&lt;iConf&gt;5&lt;/iConf&gt;
&lt;converted&gt;福岡県福岡市東区千早&lt;/converted&gt;
&lt;candidate&gt;
&lt;address&gt;福岡県/福岡市/東区/千早&lt;/address&gt;
&lt;longitude&gt;130.429428&lt;/longitude&gt;
&lt;latitude&gt;33.649151&lt;/latitude&gt;
&lt;iLvl&gt;5&lt;/iLvl&gt;
&lt;/candidate&gt;
&lt;/results&gt;
</v>
      </c>
      <c r="F767" cm="1">
        <f t="array" ref="F767">INDEX(_xlfn.FILTERXML(E767,"//latitude"),1)</f>
        <v>33.649151000000003</v>
      </c>
      <c r="G767" cm="1">
        <f t="array" ref="G767">INDEX(_xlfn.FILTERXML(E767,"//longitude"),1)</f>
        <v>130.429428</v>
      </c>
      <c r="H767">
        <v>33.649151000000003</v>
      </c>
      <c r="I767">
        <v>130.429428</v>
      </c>
    </row>
    <row r="768" spans="1:9" x14ac:dyDescent="0.4">
      <c r="A768" t="s">
        <v>21</v>
      </c>
      <c r="B768" t="s">
        <v>752</v>
      </c>
      <c r="C768" t="str">
        <f t="shared" si="50"/>
        <v>栃木県那須塩原市太夫塚</v>
      </c>
      <c r="D768" s="2" t="str">
        <f t="shared" si="51"/>
        <v>http://geocode.csis.u-tokyo.ac.jp/cgi-bin/simple_geocode.cgi?charset=UTF8&amp;addr=%E6%A0%83%E6%9C%A8%E7%9C%8C%E9%82%A3%E9%A0%88%E5%A1%A9%E5%8E%9F%E5%B8%82%E5%A4%AA%E5%A4%AB%E5%A1%9A</v>
      </c>
      <c r="E768" t="str">
        <f t="shared" si="52"/>
        <v xml:space="preserve">&lt;?xml version="1.0" encoding="UTF-8" ?&gt;
&lt;results&gt;
&lt;query&gt;栃木県那須塩原市太夫塚&lt;/query&gt;
&lt;geodetic&gt;wgs1984&lt;/geodetic&gt;
&lt;iConf&gt;5&lt;/iConf&gt;
&lt;converted&gt;栃木県那須塩原市太夫塚&lt;/converted&gt;
&lt;candidate&gt;
&lt;address&gt;栃木県/那須塩原市/太夫塚&lt;/address&gt;
&lt;longitude&gt;139.977432&lt;/longitude&gt;
&lt;latitude&gt;36.883018&lt;/latitude&gt;
&lt;iLvl&gt;5&lt;/iLvl&gt;
&lt;/candidate&gt;
&lt;/results&gt;
</v>
      </c>
      <c r="F768" cm="1">
        <f t="array" ref="F768">INDEX(_xlfn.FILTERXML(E768,"//latitude"),1)</f>
        <v>36.883018</v>
      </c>
      <c r="G768" cm="1">
        <f t="array" ref="G768">INDEX(_xlfn.FILTERXML(E768,"//longitude"),1)</f>
        <v>139.97743199999999</v>
      </c>
      <c r="H768">
        <v>36.883018</v>
      </c>
      <c r="I768">
        <v>139.97743199999999</v>
      </c>
    </row>
    <row r="769" spans="1:9" x14ac:dyDescent="0.4">
      <c r="A769" t="s">
        <v>9</v>
      </c>
      <c r="B769" t="s">
        <v>753</v>
      </c>
      <c r="C769" t="str">
        <f t="shared" si="50"/>
        <v>東京都杉並区,西荻北3丁目,20-12</v>
      </c>
      <c r="D769" s="2" t="str">
        <f t="shared" si="51"/>
        <v>http://geocode.csis.u-tokyo.ac.jp/cgi-bin/simple_geocode.cgi?charset=UTF8&amp;addr=%E6%9D%B1%E4%BA%AC%E9%83%BD%E6%9D%89%E4%B8%A6%E5%8C%BA%2C%E8%A5%BF%E8%8D%BB%E5%8C%973%E4%B8%81%E7%9B%AE%2C20-12</v>
      </c>
      <c r="E769" t="str">
        <f t="shared" si="52"/>
        <v xml:space="preserve">&lt;?xml version="1.0" encoding="UTF-8" ?&gt;
&lt;results&gt;
&lt;query&gt;東京都杉並区,西荻北3丁目,20-12&lt;/query&gt;
&lt;geodetic&gt;wgs1984&lt;/geodetic&gt;
&lt;iConf&gt;5&lt;/iConf&gt;
&lt;converted&gt;東京都杉並区&lt;/converted&gt;
&lt;candidate&gt;
&lt;address&gt;東京都/杉並区&lt;/address&gt;
&lt;longitude&gt;139.636414&lt;/longitude&gt;
&lt;latitude&gt;35.699547&lt;/latitude&gt;
&lt;iLvl&gt;3&lt;/iLvl&gt;
&lt;/candidate&gt;
&lt;/results&gt;
</v>
      </c>
      <c r="F769" cm="1">
        <f t="array" ref="F769">INDEX(_xlfn.FILTERXML(E769,"//latitude"),1)</f>
        <v>35.699547000000003</v>
      </c>
      <c r="G769" cm="1">
        <f t="array" ref="G769">INDEX(_xlfn.FILTERXML(E769,"//longitude"),1)</f>
        <v>139.636414</v>
      </c>
      <c r="H769">
        <v>35.699547000000003</v>
      </c>
      <c r="I769">
        <v>139.636414</v>
      </c>
    </row>
    <row r="770" spans="1:9" x14ac:dyDescent="0.4">
      <c r="A770" t="s">
        <v>15</v>
      </c>
      <c r="B770" t="s">
        <v>754</v>
      </c>
      <c r="C770" t="str">
        <f t="shared" si="50"/>
        <v>愛知県名古屋市昭和区滝子町</v>
      </c>
      <c r="D770" s="2" t="str">
        <f t="shared" si="51"/>
        <v>http://geocode.csis.u-tokyo.ac.jp/cgi-bin/simple_geocode.cgi?charset=UTF8&amp;addr=%E6%84%9B%E7%9F%A5%E7%9C%8C%E5%90%8D%E5%8F%A4%E5%B1%8B%E5%B8%82%E6%98%AD%E5%92%8C%E5%8C%BA%E6%BB%9D%E5%AD%90%E7%94%BA</v>
      </c>
      <c r="E770" t="str">
        <f t="shared" si="52"/>
        <v xml:space="preserve">&lt;?xml version="1.0" encoding="UTF-8" ?&gt;
&lt;results&gt;
&lt;query&gt;愛知県名古屋市昭和区滝子町&lt;/query&gt;
&lt;geodetic&gt;wgs1984&lt;/geodetic&gt;
&lt;iConf&gt;5&lt;/iConf&gt;
&lt;converted&gt;愛知県名古屋市昭和区滝子町&lt;/converted&gt;
&lt;candidate&gt;
&lt;address&gt;愛知県/名古屋市/昭和区/滝子町&lt;/address&gt;
&lt;longitude&gt;136.923553&lt;/longitude&gt;
&lt;latitude&gt;35.142166&lt;/latitude&gt;
&lt;iLvl&gt;5&lt;/iLvl&gt;
&lt;/candidate&gt;
&lt;/results&gt;
</v>
      </c>
      <c r="F770" cm="1">
        <f t="array" ref="F770">INDEX(_xlfn.FILTERXML(E770,"//latitude"),1)</f>
        <v>35.142166000000003</v>
      </c>
      <c r="G770" cm="1">
        <f t="array" ref="G770">INDEX(_xlfn.FILTERXML(E770,"//longitude"),1)</f>
        <v>136.923553</v>
      </c>
      <c r="H770">
        <v>35.142166000000003</v>
      </c>
      <c r="I770">
        <v>136.923553</v>
      </c>
    </row>
    <row r="771" spans="1:9" x14ac:dyDescent="0.4">
      <c r="A771" t="s">
        <v>11</v>
      </c>
      <c r="B771" t="s">
        <v>755</v>
      </c>
      <c r="C771" t="str">
        <f t="shared" si="50"/>
        <v>大阪府大阪市福島区玉川</v>
      </c>
      <c r="D771" s="2" t="str">
        <f t="shared" si="51"/>
        <v>http://geocode.csis.u-tokyo.ac.jp/cgi-bin/simple_geocode.cgi?charset=UTF8&amp;addr=%E5%A4%A7%E9%98%AA%E5%BA%9C%E5%A4%A7%E9%98%AA%E5%B8%82%E7%A6%8F%E5%B3%B6%E5%8C%BA%E7%8E%89%E5%B7%9D</v>
      </c>
      <c r="E771" t="str">
        <f t="shared" si="52"/>
        <v xml:space="preserve">&lt;?xml version="1.0" encoding="UTF-8" ?&gt;
&lt;results&gt;
&lt;query&gt;大阪府大阪市福島区玉川&lt;/query&gt;
&lt;geodetic&gt;wgs1984&lt;/geodetic&gt;
&lt;iConf&gt;5&lt;/iConf&gt;
&lt;converted&gt;大阪府大阪市福島区玉川&lt;/converted&gt;
&lt;candidate&gt;
&lt;address&gt;大阪府/大阪市/福島区/玉川&lt;/address&gt;
&lt;longitude&gt;135.482178&lt;/longitude&gt;
&lt;latitude&gt;34.688522&lt;/latitude&gt;
&lt;iLvl&gt;5&lt;/iLvl&gt;
&lt;/candidate&gt;
&lt;/results&gt;
</v>
      </c>
      <c r="F771" cm="1">
        <f t="array" ref="F771">INDEX(_xlfn.FILTERXML(E771,"//latitude"),1)</f>
        <v>34.688521999999999</v>
      </c>
      <c r="G771" cm="1">
        <f t="array" ref="G771">INDEX(_xlfn.FILTERXML(E771,"//longitude"),1)</f>
        <v>135.482178</v>
      </c>
      <c r="H771">
        <v>34.688521999999999</v>
      </c>
      <c r="I771">
        <v>135.482178</v>
      </c>
    </row>
    <row r="772" spans="1:9" x14ac:dyDescent="0.4">
      <c r="A772" t="s">
        <v>11</v>
      </c>
      <c r="B772" t="s">
        <v>756</v>
      </c>
      <c r="C772" t="str">
        <f t="shared" si="50"/>
        <v>大阪府大阪市西区南堀江</v>
      </c>
      <c r="D772" s="2" t="str">
        <f t="shared" si="51"/>
        <v>http://geocode.csis.u-tokyo.ac.jp/cgi-bin/simple_geocode.cgi?charset=UTF8&amp;addr=%E5%A4%A7%E9%98%AA%E5%BA%9C%E5%A4%A7%E9%98%AA%E5%B8%82%E8%A5%BF%E5%8C%BA%E5%8D%97%E5%A0%80%E6%B1%9F</v>
      </c>
      <c r="E772" t="str">
        <f t="shared" si="52"/>
        <v xml:space="preserve">&lt;?xml version="1.0" encoding="UTF-8" ?&gt;
&lt;results&gt;
&lt;query&gt;大阪府大阪市西区南堀江&lt;/query&gt;
&lt;geodetic&gt;wgs1984&lt;/geodetic&gt;
&lt;iConf&gt;5&lt;/iConf&gt;
&lt;converted&gt;大阪府大阪市西区南堀江&lt;/converted&gt;
&lt;candidate&gt;
&lt;address&gt;大阪府/大阪市/西区/南堀江&lt;/address&gt;
&lt;longitude&gt;135.494644&lt;/longitude&gt;
&lt;latitude&gt;34.670792&lt;/latitude&gt;
&lt;iLvl&gt;5&lt;/iLvl&gt;
&lt;/candidate&gt;
&lt;/results&gt;
</v>
      </c>
      <c r="F772" cm="1">
        <f t="array" ref="F772">INDEX(_xlfn.FILTERXML(E772,"//latitude"),1)</f>
        <v>34.670791999999999</v>
      </c>
      <c r="G772" cm="1">
        <f t="array" ref="G772">INDEX(_xlfn.FILTERXML(E772,"//longitude"),1)</f>
        <v>135.49464399999999</v>
      </c>
      <c r="H772">
        <v>34.670791999999999</v>
      </c>
      <c r="I772">
        <v>135.49464399999999</v>
      </c>
    </row>
    <row r="773" spans="1:9" x14ac:dyDescent="0.4">
      <c r="A773" t="s">
        <v>10</v>
      </c>
      <c r="B773" t="s">
        <v>757</v>
      </c>
      <c r="C773" t="str">
        <f t="shared" si="50"/>
        <v>神奈川県横浜市旭区中尾</v>
      </c>
      <c r="D773" s="2" t="str">
        <f t="shared" si="51"/>
        <v>http://geocode.csis.u-tokyo.ac.jp/cgi-bin/simple_geocode.cgi?charset=UTF8&amp;addr=%E7%A5%9E%E5%A5%88%E5%B7%9D%E7%9C%8C%E6%A8%AA%E6%B5%9C%E5%B8%82%E6%97%AD%E5%8C%BA%E4%B8%AD%E5%B0%BE</v>
      </c>
      <c r="E773" t="str">
        <f t="shared" si="52"/>
        <v xml:space="preserve">&lt;?xml version="1.0" encoding="UTF-8" ?&gt;
&lt;results&gt;
&lt;query&gt;神奈川県横浜市旭区中尾&lt;/query&gt;
&lt;geodetic&gt;wgs1984&lt;/geodetic&gt;
&lt;iConf&gt;5&lt;/iConf&gt;
&lt;converted&gt;神奈川県横浜市旭区中尾&lt;/converted&gt;
&lt;candidate&gt;
&lt;address&gt;神奈川県/横浜市/旭区/中尾&lt;/address&gt;
&lt;longitude&gt;139.521042&lt;/longitude&gt;
&lt;latitude&gt;35.466530&lt;/latitude&gt;
&lt;iLvl&gt;5&lt;/iLvl&gt;
&lt;/candidate&gt;
&lt;/results&gt;
</v>
      </c>
      <c r="F773" cm="1">
        <f t="array" ref="F773">INDEX(_xlfn.FILTERXML(E773,"//latitude"),1)</f>
        <v>35.466529999999999</v>
      </c>
      <c r="G773" cm="1">
        <f t="array" ref="G773">INDEX(_xlfn.FILTERXML(E773,"//longitude"),1)</f>
        <v>139.52104199999999</v>
      </c>
      <c r="H773">
        <v>35.466529999999999</v>
      </c>
      <c r="I773">
        <v>139.52104199999999</v>
      </c>
    </row>
    <row r="774" spans="1:9" x14ac:dyDescent="0.4">
      <c r="A774" t="s">
        <v>281</v>
      </c>
      <c r="B774" t="s">
        <v>758</v>
      </c>
      <c r="C774" t="str">
        <f t="shared" ref="C774:C833" si="53">+A774&amp;B774</f>
        <v>山口県山陽小野田市埴生</v>
      </c>
      <c r="D774" s="2" t="str">
        <f t="shared" ref="D774:D833" si="54" xml:space="preserve"> "http://geocode.csis.u-tokyo.ac.jp/cgi-bin/simple_geocode.cgi?charset=UTF8&amp;addr=" &amp; _xlfn.ENCODEURL(C774)</f>
        <v>http://geocode.csis.u-tokyo.ac.jp/cgi-bin/simple_geocode.cgi?charset=UTF8&amp;addr=%E5%B1%B1%E5%8F%A3%E7%9C%8C%E5%B1%B1%E9%99%BD%E5%B0%8F%E9%87%8E%E7%94%B0%E5%B8%82%E5%9F%B4%E7%94%9F</v>
      </c>
      <c r="E774" t="str">
        <f t="shared" ref="E774:E833" si="55" xml:space="preserve"> _xlfn.WEBSERVICE(D774)</f>
        <v xml:space="preserve">&lt;?xml version="1.0" encoding="UTF-8" ?&gt;
&lt;results&gt;
&lt;query&gt;山口県山陽小野田市埴生&lt;/query&gt;
&lt;geodetic&gt;wgs1984&lt;/geodetic&gt;
&lt;iConf&gt;5&lt;/iConf&gt;
&lt;converted&gt;山口県山陽小野田市埴生&lt;/converted&gt;
&lt;candidate&gt;
&lt;address&gt;山口県/山陽小野田市/埴生&lt;/address&gt;
&lt;longitude&gt;131.084152&lt;/longitude&gt;
&lt;latitude&gt;34.054516&lt;/latitude&gt;
&lt;iLvl&gt;5&lt;/iLvl&gt;
&lt;/candidate&gt;
&lt;/results&gt;
</v>
      </c>
      <c r="F774" cm="1">
        <f t="array" ref="F774">INDEX(_xlfn.FILTERXML(E774,"//latitude"),1)</f>
        <v>34.054516</v>
      </c>
      <c r="G774" cm="1">
        <f t="array" ref="G774">INDEX(_xlfn.FILTERXML(E774,"//longitude"),1)</f>
        <v>131.08415199999999</v>
      </c>
      <c r="H774">
        <v>34.054516</v>
      </c>
      <c r="I774">
        <v>131.08415199999999</v>
      </c>
    </row>
    <row r="775" spans="1:9" x14ac:dyDescent="0.4">
      <c r="A775" t="s">
        <v>13</v>
      </c>
      <c r="B775" t="s">
        <v>759</v>
      </c>
      <c r="C775" t="str">
        <f t="shared" si="53"/>
        <v>兵庫県加東市東垂水</v>
      </c>
      <c r="D775" s="2" t="str">
        <f t="shared" si="54"/>
        <v>http://geocode.csis.u-tokyo.ac.jp/cgi-bin/simple_geocode.cgi?charset=UTF8&amp;addr=%E5%85%B5%E5%BA%AB%E7%9C%8C%E5%8A%A0%E6%9D%B1%E5%B8%82%E6%9D%B1%E5%9E%82%E6%B0%B4</v>
      </c>
      <c r="E775" t="str">
        <f t="shared" si="55"/>
        <v xml:space="preserve">&lt;?xml version="1.0" encoding="UTF-8" ?&gt;
&lt;results&gt;
&lt;query&gt;兵庫県加東市東垂水&lt;/query&gt;
&lt;geodetic&gt;wgs1984&lt;/geodetic&gt;
&lt;iConf&gt;5&lt;/iConf&gt;
&lt;converted&gt;兵庫県加東市東垂水&lt;/converted&gt;
&lt;candidate&gt;
&lt;address&gt;兵庫県/加東市/東垂水&lt;/address&gt;
&lt;longitude&gt;135.024963&lt;/longitude&gt;
&lt;latitude&gt;34.884792&lt;/latitude&gt;
&lt;iLvl&gt;5&lt;/iLvl&gt;
&lt;/candidate&gt;
&lt;/results&gt;
</v>
      </c>
      <c r="F775" cm="1">
        <f t="array" ref="F775">INDEX(_xlfn.FILTERXML(E775,"//latitude"),1)</f>
        <v>34.884791999999997</v>
      </c>
      <c r="G775" cm="1">
        <f t="array" ref="G775">INDEX(_xlfn.FILTERXML(E775,"//longitude"),1)</f>
        <v>135.02496300000001</v>
      </c>
      <c r="H775">
        <v>34.884791999999997</v>
      </c>
      <c r="I775">
        <v>135.02496300000001</v>
      </c>
    </row>
    <row r="776" spans="1:9" x14ac:dyDescent="0.4">
      <c r="A776" t="s">
        <v>16</v>
      </c>
      <c r="B776" t="s">
        <v>688</v>
      </c>
      <c r="C776" t="str">
        <f t="shared" si="53"/>
        <v>千葉県柏市</v>
      </c>
      <c r="D776" s="2" t="str">
        <f t="shared" si="54"/>
        <v>http://geocode.csis.u-tokyo.ac.jp/cgi-bin/simple_geocode.cgi?charset=UTF8&amp;addr=%E5%8D%83%E8%91%89%E7%9C%8C%E6%9F%8F%E5%B8%82</v>
      </c>
      <c r="E776" t="str">
        <f t="shared" si="55"/>
        <v xml:space="preserve">&lt;?xml version="1.0" encoding="UTF-8" ?&gt;
&lt;results&gt;
&lt;query&gt;千葉県柏市&lt;/query&gt;
&lt;geodetic&gt;wgs1984&lt;/geodetic&gt;
&lt;iConf&gt;5&lt;/iConf&gt;
&lt;converted&gt;千葉県柏市&lt;/converted&gt;
&lt;candidate&gt;
&lt;address&gt;千葉県/柏市&lt;/address&gt;
&lt;longitude&gt;139.976196&lt;/longitude&gt;
&lt;latitude&gt;35.868294&lt;/latitude&gt;
&lt;iLvl&gt;3&lt;/iLvl&gt;
&lt;/candidate&gt;
&lt;/results&gt;
</v>
      </c>
      <c r="F776" cm="1">
        <f t="array" ref="F776">INDEX(_xlfn.FILTERXML(E776,"//latitude"),1)</f>
        <v>35.868293999999999</v>
      </c>
      <c r="G776" cm="1">
        <f t="array" ref="G776">INDEX(_xlfn.FILTERXML(E776,"//longitude"),1)</f>
        <v>139.97619599999999</v>
      </c>
      <c r="H776">
        <v>35.868293999999999</v>
      </c>
      <c r="I776">
        <v>139.97619599999999</v>
      </c>
    </row>
    <row r="777" spans="1:9" x14ac:dyDescent="0.4">
      <c r="A777" t="s">
        <v>16</v>
      </c>
      <c r="B777" t="s">
        <v>760</v>
      </c>
      <c r="C777" t="str">
        <f t="shared" si="53"/>
        <v>千葉県習志野市鷺沼</v>
      </c>
      <c r="D777" s="2" t="str">
        <f t="shared" si="54"/>
        <v>http://geocode.csis.u-tokyo.ac.jp/cgi-bin/simple_geocode.cgi?charset=UTF8&amp;addr=%E5%8D%83%E8%91%89%E7%9C%8C%E7%BF%92%E5%BF%97%E9%87%8E%E5%B8%82%E9%B7%BA%E6%B2%BC</v>
      </c>
      <c r="E777" t="str">
        <f t="shared" si="55"/>
        <v xml:space="preserve">&lt;?xml version="1.0" encoding="UTF-8" ?&gt;
&lt;results&gt;
&lt;query&gt;千葉県習志野市鷺沼&lt;/query&gt;
&lt;geodetic&gt;wgs1984&lt;/geodetic&gt;
&lt;iConf&gt;5&lt;/iConf&gt;
&lt;converted&gt;千葉県習志野市鷺沼&lt;/converted&gt;
&lt;candidate&gt;
&lt;address&gt;千葉県/習志野市/鷺沼&lt;/address&gt;
&lt;longitude&gt;140.026733&lt;/longitude&gt;
&lt;latitude&gt;35.677753&lt;/latitude&gt;
&lt;iLvl&gt;5&lt;/iLvl&gt;
&lt;/candidate&gt;
&lt;/results&gt;
</v>
      </c>
      <c r="F777" cm="1">
        <f t="array" ref="F777">INDEX(_xlfn.FILTERXML(E777,"//latitude"),1)</f>
        <v>35.677753000000003</v>
      </c>
      <c r="G777" cm="1">
        <f t="array" ref="G777">INDEX(_xlfn.FILTERXML(E777,"//longitude"),1)</f>
        <v>140.02673300000001</v>
      </c>
      <c r="H777">
        <v>35.677753000000003</v>
      </c>
      <c r="I777">
        <v>140.02673300000001</v>
      </c>
    </row>
    <row r="778" spans="1:9" x14ac:dyDescent="0.4">
      <c r="A778" t="s">
        <v>9</v>
      </c>
      <c r="B778" t="s">
        <v>761</v>
      </c>
      <c r="C778" t="str">
        <f t="shared" si="53"/>
        <v>東京都豊島区千川</v>
      </c>
      <c r="D778" s="2" t="str">
        <f t="shared" si="54"/>
        <v>http://geocode.csis.u-tokyo.ac.jp/cgi-bin/simple_geocode.cgi?charset=UTF8&amp;addr=%E6%9D%B1%E4%BA%AC%E9%83%BD%E8%B1%8A%E5%B3%B6%E5%8C%BA%E5%8D%83%E5%B7%9D</v>
      </c>
      <c r="E778" t="str">
        <f t="shared" si="55"/>
        <v xml:space="preserve">&lt;?xml version="1.0" encoding="UTF-8" ?&gt;
&lt;results&gt;
&lt;query&gt;東京都豊島区千川&lt;/query&gt;
&lt;geodetic&gt;wgs1984&lt;/geodetic&gt;
&lt;iConf&gt;5&lt;/iConf&gt;
&lt;converted&gt;東京都豊島区千川&lt;/converted&gt;
&lt;candidate&gt;
&lt;address&gt;東京都/豊島区/千川&lt;/address&gt;
&lt;longitude&gt;139.692902&lt;/longitude&gt;
&lt;latitude&gt;35.738605&lt;/latitude&gt;
&lt;iLvl&gt;5&lt;/iLvl&gt;
&lt;/candidate&gt;
&lt;/results&gt;
</v>
      </c>
      <c r="F778" cm="1">
        <f t="array" ref="F778">INDEX(_xlfn.FILTERXML(E778,"//latitude"),1)</f>
        <v>35.738605</v>
      </c>
      <c r="G778" cm="1">
        <f t="array" ref="G778">INDEX(_xlfn.FILTERXML(E778,"//longitude"),1)</f>
        <v>139.692902</v>
      </c>
      <c r="H778">
        <v>35.738605</v>
      </c>
      <c r="I778">
        <v>139.692902</v>
      </c>
    </row>
    <row r="779" spans="1:9" x14ac:dyDescent="0.4">
      <c r="A779" t="s">
        <v>281</v>
      </c>
      <c r="B779" t="s">
        <v>762</v>
      </c>
      <c r="C779" t="str">
        <f t="shared" si="53"/>
        <v>山口県下松市</v>
      </c>
      <c r="D779" s="2" t="str">
        <f t="shared" si="54"/>
        <v>http://geocode.csis.u-tokyo.ac.jp/cgi-bin/simple_geocode.cgi?charset=UTF8&amp;addr=%E5%B1%B1%E5%8F%A3%E7%9C%8C%E4%B8%8B%E6%9D%BE%E5%B8%82</v>
      </c>
      <c r="E779" t="str">
        <f t="shared" si="55"/>
        <v xml:space="preserve">&lt;?xml version="1.0" encoding="UTF-8" ?&gt;
&lt;results&gt;
&lt;query&gt;山口県下松市&lt;/query&gt;
&lt;geodetic&gt;wgs1984&lt;/geodetic&gt;
&lt;iConf&gt;5&lt;/iConf&gt;
&lt;converted&gt;山口県下松市&lt;/converted&gt;
&lt;candidate&gt;
&lt;address&gt;山口県/下松市&lt;/address&gt;
&lt;longitude&gt;131.870316&lt;/longitude&gt;
&lt;latitude&gt;34.015038&lt;/latitude&gt;
&lt;iLvl&gt;3&lt;/iLvl&gt;
&lt;/candidate&gt;
&lt;/results&gt;
</v>
      </c>
      <c r="F779" cm="1">
        <f t="array" ref="F779">INDEX(_xlfn.FILTERXML(E779,"//latitude"),1)</f>
        <v>34.015037999999997</v>
      </c>
      <c r="G779" cm="1">
        <f t="array" ref="G779">INDEX(_xlfn.FILTERXML(E779,"//longitude"),1)</f>
        <v>131.870316</v>
      </c>
      <c r="H779">
        <v>34.015037999999997</v>
      </c>
      <c r="I779">
        <v>131.870316</v>
      </c>
    </row>
    <row r="780" spans="1:9" x14ac:dyDescent="0.4">
      <c r="A780" t="s">
        <v>9</v>
      </c>
      <c r="B780" t="s">
        <v>763</v>
      </c>
      <c r="C780" t="str">
        <f t="shared" si="53"/>
        <v>東京都世田谷区上用賀</v>
      </c>
      <c r="D780" s="2" t="str">
        <f t="shared" si="54"/>
        <v>http://geocode.csis.u-tokyo.ac.jp/cgi-bin/simple_geocode.cgi?charset=UTF8&amp;addr=%E6%9D%B1%E4%BA%AC%E9%83%BD%E4%B8%96%E7%94%B0%E8%B0%B7%E5%8C%BA%E4%B8%8A%E7%94%A8%E8%B3%80</v>
      </c>
      <c r="E780" t="str">
        <f t="shared" si="55"/>
        <v xml:space="preserve">&lt;?xml version="1.0" encoding="UTF-8" ?&gt;
&lt;results&gt;
&lt;query&gt;東京都世田谷区上用賀&lt;/query&gt;
&lt;geodetic&gt;wgs1984&lt;/geodetic&gt;
&lt;iConf&gt;5&lt;/iConf&gt;
&lt;converted&gt;東京都世田谷区上用賀&lt;/converted&gt;
&lt;candidate&gt;
&lt;address&gt;東京都/世田谷区/上用賀&lt;/address&gt;
&lt;longitude&gt;139.635147&lt;/longitude&gt;
&lt;latitude&gt;35.633583&lt;/latitude&gt;
&lt;iLvl&gt;5&lt;/iLvl&gt;
&lt;/candidate&gt;
&lt;/results&gt;
</v>
      </c>
      <c r="F780" cm="1">
        <f t="array" ref="F780">INDEX(_xlfn.FILTERXML(E780,"//latitude"),1)</f>
        <v>35.633583000000002</v>
      </c>
      <c r="G780" cm="1">
        <f t="array" ref="G780">INDEX(_xlfn.FILTERXML(E780,"//longitude"),1)</f>
        <v>139.63514699999999</v>
      </c>
      <c r="H780">
        <v>35.633583000000002</v>
      </c>
      <c r="I780">
        <v>139.63514699999999</v>
      </c>
    </row>
    <row r="781" spans="1:9" x14ac:dyDescent="0.4">
      <c r="D781" s="2"/>
    </row>
    <row r="782" spans="1:9" x14ac:dyDescent="0.4">
      <c r="D782" s="2"/>
    </row>
    <row r="783" spans="1:9" x14ac:dyDescent="0.4">
      <c r="D783" s="2"/>
    </row>
    <row r="784" spans="1:9" x14ac:dyDescent="0.4">
      <c r="D784" s="2"/>
    </row>
    <row r="785" spans="4:4" x14ac:dyDescent="0.4">
      <c r="D785" s="2"/>
    </row>
    <row r="786" spans="4:4" x14ac:dyDescent="0.4">
      <c r="D786" s="2"/>
    </row>
    <row r="787" spans="4:4" x14ac:dyDescent="0.4">
      <c r="D787" s="2"/>
    </row>
    <row r="788" spans="4:4" x14ac:dyDescent="0.4">
      <c r="D788" s="2"/>
    </row>
    <row r="789" spans="4:4" x14ac:dyDescent="0.4">
      <c r="D789" s="2"/>
    </row>
    <row r="790" spans="4:4" x14ac:dyDescent="0.4">
      <c r="D790" s="2"/>
    </row>
    <row r="791" spans="4:4" x14ac:dyDescent="0.4">
      <c r="D791" s="2"/>
    </row>
    <row r="792" spans="4:4" x14ac:dyDescent="0.4">
      <c r="D792" s="2"/>
    </row>
    <row r="793" spans="4:4" x14ac:dyDescent="0.4">
      <c r="D793" s="2"/>
    </row>
    <row r="794" spans="4:4" x14ac:dyDescent="0.4">
      <c r="D794" s="2"/>
    </row>
    <row r="795" spans="4:4" x14ac:dyDescent="0.4">
      <c r="D795" s="2"/>
    </row>
    <row r="796" spans="4:4" x14ac:dyDescent="0.4">
      <c r="D796" s="2"/>
    </row>
    <row r="797" spans="4:4" x14ac:dyDescent="0.4">
      <c r="D797" s="2"/>
    </row>
    <row r="798" spans="4:4" x14ac:dyDescent="0.4">
      <c r="D798" s="2"/>
    </row>
    <row r="799" spans="4:4" x14ac:dyDescent="0.4">
      <c r="D799" s="2"/>
    </row>
    <row r="800" spans="4:4" x14ac:dyDescent="0.4">
      <c r="D800" s="2"/>
    </row>
    <row r="801" spans="4:9" x14ac:dyDescent="0.4">
      <c r="D801" s="2"/>
    </row>
    <row r="802" spans="4:9" x14ac:dyDescent="0.4">
      <c r="D802" s="2"/>
    </row>
    <row r="803" spans="4:9" x14ac:dyDescent="0.4">
      <c r="D803" s="2"/>
    </row>
    <row r="804" spans="4:9" x14ac:dyDescent="0.4">
      <c r="D804" s="2"/>
    </row>
    <row r="805" spans="4:9" x14ac:dyDescent="0.4">
      <c r="D805" s="2"/>
    </row>
    <row r="806" spans="4:9" x14ac:dyDescent="0.4">
      <c r="D806" s="2"/>
      <c r="H806" s="3"/>
      <c r="I806" s="3"/>
    </row>
    <row r="807" spans="4:9" x14ac:dyDescent="0.4">
      <c r="D807" s="2"/>
    </row>
    <row r="808" spans="4:9" x14ac:dyDescent="0.4">
      <c r="D808" s="2"/>
    </row>
    <row r="809" spans="4:9" x14ac:dyDescent="0.4">
      <c r="D809" s="2"/>
    </row>
    <row r="810" spans="4:9" x14ac:dyDescent="0.4">
      <c r="D810" s="2"/>
    </row>
    <row r="811" spans="4:9" x14ac:dyDescent="0.4">
      <c r="D811" s="2"/>
    </row>
    <row r="812" spans="4:9" x14ac:dyDescent="0.4">
      <c r="D812" s="2"/>
    </row>
    <row r="813" spans="4:9" x14ac:dyDescent="0.4">
      <c r="D813" s="2"/>
    </row>
    <row r="814" spans="4:9" x14ac:dyDescent="0.4">
      <c r="D814" s="2"/>
    </row>
    <row r="815" spans="4:9" x14ac:dyDescent="0.4">
      <c r="D815" s="2"/>
    </row>
    <row r="816" spans="4:9" x14ac:dyDescent="0.4">
      <c r="D816" s="2"/>
    </row>
    <row r="817" spans="4:9" x14ac:dyDescent="0.4">
      <c r="D817" s="2"/>
    </row>
    <row r="818" spans="4:9" x14ac:dyDescent="0.4">
      <c r="D818" s="2"/>
    </row>
    <row r="819" spans="4:9" x14ac:dyDescent="0.4">
      <c r="D819" s="2"/>
      <c r="H819" s="3"/>
      <c r="I819" s="3"/>
    </row>
    <row r="820" spans="4:9" x14ac:dyDescent="0.4">
      <c r="D820" s="2"/>
    </row>
    <row r="821" spans="4:9" x14ac:dyDescent="0.4">
      <c r="D821" s="2"/>
    </row>
    <row r="822" spans="4:9" x14ac:dyDescent="0.4">
      <c r="D822" s="2"/>
    </row>
    <row r="823" spans="4:9" x14ac:dyDescent="0.4">
      <c r="D823" s="2"/>
    </row>
    <row r="824" spans="4:9" x14ac:dyDescent="0.4">
      <c r="D824" s="2"/>
    </row>
    <row r="825" spans="4:9" x14ac:dyDescent="0.4">
      <c r="D825" s="2"/>
    </row>
    <row r="826" spans="4:9" x14ac:dyDescent="0.4">
      <c r="D826" s="2"/>
    </row>
    <row r="827" spans="4:9" x14ac:dyDescent="0.4">
      <c r="D827" s="2"/>
    </row>
    <row r="828" spans="4:9" x14ac:dyDescent="0.4">
      <c r="D828" s="2"/>
    </row>
    <row r="829" spans="4:9" x14ac:dyDescent="0.4">
      <c r="D829" s="2"/>
    </row>
    <row r="830" spans="4:9" x14ac:dyDescent="0.4">
      <c r="D830" s="2"/>
    </row>
    <row r="831" spans="4:9" x14ac:dyDescent="0.4">
      <c r="D831" s="2"/>
    </row>
    <row r="832" spans="4:9" x14ac:dyDescent="0.4">
      <c r="D832" s="2"/>
    </row>
    <row r="833" spans="4:4" x14ac:dyDescent="0.4">
      <c r="D833" s="2"/>
    </row>
    <row r="834" spans="4:4" x14ac:dyDescent="0.4">
      <c r="D834" s="2"/>
    </row>
    <row r="835" spans="4:4" x14ac:dyDescent="0.4">
      <c r="D835" s="2"/>
    </row>
    <row r="836" spans="4:4" x14ac:dyDescent="0.4">
      <c r="D836" s="2"/>
    </row>
    <row r="837" spans="4:4" x14ac:dyDescent="0.4">
      <c r="D837" s="2"/>
    </row>
    <row r="838" spans="4:4" x14ac:dyDescent="0.4">
      <c r="D838" s="2"/>
    </row>
    <row r="839" spans="4:4" x14ac:dyDescent="0.4">
      <c r="D839" s="2"/>
    </row>
    <row r="840" spans="4:4" x14ac:dyDescent="0.4">
      <c r="D840" s="2"/>
    </row>
    <row r="841" spans="4:4" x14ac:dyDescent="0.4">
      <c r="D841" s="2"/>
    </row>
    <row r="842" spans="4:4" x14ac:dyDescent="0.4">
      <c r="D842" s="2"/>
    </row>
    <row r="843" spans="4:4" x14ac:dyDescent="0.4">
      <c r="D843" s="2"/>
    </row>
    <row r="844" spans="4:4" x14ac:dyDescent="0.4">
      <c r="D844" s="2"/>
    </row>
    <row r="845" spans="4:4" x14ac:dyDescent="0.4">
      <c r="D845" s="2"/>
    </row>
    <row r="846" spans="4:4" x14ac:dyDescent="0.4">
      <c r="D846" s="2"/>
    </row>
    <row r="847" spans="4:4" x14ac:dyDescent="0.4">
      <c r="D847" s="2"/>
    </row>
    <row r="848" spans="4:4" x14ac:dyDescent="0.4">
      <c r="D848" s="2"/>
    </row>
    <row r="849" spans="4:4" x14ac:dyDescent="0.4">
      <c r="D849" s="2"/>
    </row>
    <row r="850" spans="4:4" x14ac:dyDescent="0.4">
      <c r="D850" s="2"/>
    </row>
    <row r="851" spans="4:4" x14ac:dyDescent="0.4">
      <c r="D851" s="2"/>
    </row>
    <row r="852" spans="4:4" x14ac:dyDescent="0.4">
      <c r="D852" s="2"/>
    </row>
    <row r="853" spans="4:4" x14ac:dyDescent="0.4">
      <c r="D853" s="2"/>
    </row>
    <row r="854" spans="4:4" x14ac:dyDescent="0.4">
      <c r="D854" s="2"/>
    </row>
    <row r="855" spans="4:4" x14ac:dyDescent="0.4">
      <c r="D855" s="2"/>
    </row>
    <row r="856" spans="4:4" x14ac:dyDescent="0.4">
      <c r="D856" s="2"/>
    </row>
    <row r="857" spans="4:4" x14ac:dyDescent="0.4">
      <c r="D857" s="2"/>
    </row>
    <row r="858" spans="4:4" x14ac:dyDescent="0.4">
      <c r="D858" s="2"/>
    </row>
    <row r="859" spans="4:4" x14ac:dyDescent="0.4">
      <c r="D859" s="2"/>
    </row>
    <row r="860" spans="4:4" x14ac:dyDescent="0.4">
      <c r="D860" s="2"/>
    </row>
    <row r="861" spans="4:4" x14ac:dyDescent="0.4">
      <c r="D861" s="2"/>
    </row>
    <row r="862" spans="4:4" x14ac:dyDescent="0.4">
      <c r="D862" s="2"/>
    </row>
    <row r="863" spans="4:4" x14ac:dyDescent="0.4">
      <c r="D863" s="2"/>
    </row>
    <row r="864" spans="4:4" x14ac:dyDescent="0.4">
      <c r="D864" s="2"/>
    </row>
    <row r="865" spans="4:4" x14ac:dyDescent="0.4">
      <c r="D865" s="2"/>
    </row>
    <row r="866" spans="4:4" x14ac:dyDescent="0.4">
      <c r="D866" s="2"/>
    </row>
    <row r="867" spans="4:4" x14ac:dyDescent="0.4">
      <c r="D867" s="2"/>
    </row>
    <row r="868" spans="4:4" x14ac:dyDescent="0.4">
      <c r="D868" s="2"/>
    </row>
    <row r="869" spans="4:4" x14ac:dyDescent="0.4">
      <c r="D869" s="2"/>
    </row>
    <row r="870" spans="4:4" x14ac:dyDescent="0.4">
      <c r="D870" s="2"/>
    </row>
    <row r="871" spans="4:4" x14ac:dyDescent="0.4">
      <c r="D871" s="2"/>
    </row>
    <row r="872" spans="4:4" x14ac:dyDescent="0.4">
      <c r="D872" s="2"/>
    </row>
    <row r="873" spans="4:4" x14ac:dyDescent="0.4">
      <c r="D873" s="2"/>
    </row>
    <row r="874" spans="4:4" x14ac:dyDescent="0.4">
      <c r="D874" s="2"/>
    </row>
    <row r="875" spans="4:4" x14ac:dyDescent="0.4">
      <c r="D875" s="2"/>
    </row>
    <row r="876" spans="4:4" x14ac:dyDescent="0.4">
      <c r="D876" s="2"/>
    </row>
    <row r="877" spans="4:4" x14ac:dyDescent="0.4">
      <c r="D877" s="2"/>
    </row>
    <row r="878" spans="4:4" x14ac:dyDescent="0.4">
      <c r="D878" s="2"/>
    </row>
    <row r="879" spans="4:4" x14ac:dyDescent="0.4">
      <c r="D879" s="2"/>
    </row>
    <row r="880" spans="4:4" x14ac:dyDescent="0.4">
      <c r="D880" s="2"/>
    </row>
    <row r="881" spans="4:4" x14ac:dyDescent="0.4">
      <c r="D881" s="2"/>
    </row>
    <row r="882" spans="4:4" x14ac:dyDescent="0.4">
      <c r="D882" s="2"/>
    </row>
    <row r="883" spans="4:4" x14ac:dyDescent="0.4">
      <c r="D883" s="2"/>
    </row>
    <row r="884" spans="4:4" x14ac:dyDescent="0.4">
      <c r="D884" s="2"/>
    </row>
    <row r="885" spans="4:4" x14ac:dyDescent="0.4">
      <c r="D885" s="2"/>
    </row>
    <row r="886" spans="4:4" x14ac:dyDescent="0.4">
      <c r="D886" s="2"/>
    </row>
    <row r="887" spans="4:4" x14ac:dyDescent="0.4">
      <c r="D887" s="2"/>
    </row>
    <row r="888" spans="4:4" x14ac:dyDescent="0.4">
      <c r="D888" s="2"/>
    </row>
    <row r="889" spans="4:4" x14ac:dyDescent="0.4">
      <c r="D889" s="2"/>
    </row>
    <row r="890" spans="4:4" x14ac:dyDescent="0.4">
      <c r="D890" s="2"/>
    </row>
    <row r="891" spans="4:4" x14ac:dyDescent="0.4">
      <c r="D891" s="2"/>
    </row>
    <row r="892" spans="4:4" x14ac:dyDescent="0.4">
      <c r="D892" s="2"/>
    </row>
    <row r="893" spans="4:4" x14ac:dyDescent="0.4">
      <c r="D893" s="2"/>
    </row>
    <row r="894" spans="4:4" x14ac:dyDescent="0.4">
      <c r="D894" s="2"/>
    </row>
    <row r="895" spans="4:4" x14ac:dyDescent="0.4">
      <c r="D895" s="2"/>
    </row>
    <row r="896" spans="4:4" x14ac:dyDescent="0.4">
      <c r="D896" s="2"/>
    </row>
    <row r="897" spans="4:4" x14ac:dyDescent="0.4">
      <c r="D897" s="2"/>
    </row>
    <row r="898" spans="4:4" x14ac:dyDescent="0.4">
      <c r="D898" s="2"/>
    </row>
    <row r="899" spans="4:4" x14ac:dyDescent="0.4">
      <c r="D899" s="2"/>
    </row>
    <row r="900" spans="4:4" x14ac:dyDescent="0.4">
      <c r="D900" s="2"/>
    </row>
    <row r="901" spans="4:4" x14ac:dyDescent="0.4">
      <c r="D901" s="2"/>
    </row>
    <row r="902" spans="4:4" x14ac:dyDescent="0.4">
      <c r="D902" s="2"/>
    </row>
    <row r="903" spans="4:4" x14ac:dyDescent="0.4">
      <c r="D903" s="2"/>
    </row>
    <row r="904" spans="4:4" x14ac:dyDescent="0.4">
      <c r="D904" s="2"/>
    </row>
    <row r="905" spans="4:4" x14ac:dyDescent="0.4">
      <c r="D905" s="2"/>
    </row>
    <row r="906" spans="4:4" x14ac:dyDescent="0.4">
      <c r="D906" s="2"/>
    </row>
    <row r="907" spans="4:4" x14ac:dyDescent="0.4">
      <c r="D907" s="2"/>
    </row>
    <row r="908" spans="4:4" x14ac:dyDescent="0.4">
      <c r="D908" s="2"/>
    </row>
    <row r="909" spans="4:4" x14ac:dyDescent="0.4">
      <c r="D909" s="2"/>
    </row>
    <row r="910" spans="4:4" x14ac:dyDescent="0.4">
      <c r="D910" s="2"/>
    </row>
    <row r="911" spans="4:4" x14ac:dyDescent="0.4">
      <c r="D911" s="2"/>
    </row>
    <row r="912" spans="4:4" x14ac:dyDescent="0.4">
      <c r="D912" s="2"/>
    </row>
    <row r="913" spans="4:4" x14ac:dyDescent="0.4">
      <c r="D913" s="2"/>
    </row>
    <row r="914" spans="4:4" x14ac:dyDescent="0.4">
      <c r="D914" s="2"/>
    </row>
    <row r="915" spans="4:4" x14ac:dyDescent="0.4">
      <c r="D915" s="2"/>
    </row>
    <row r="916" spans="4:4" x14ac:dyDescent="0.4">
      <c r="D916" s="2"/>
    </row>
    <row r="917" spans="4:4" x14ac:dyDescent="0.4">
      <c r="D917" s="2"/>
    </row>
    <row r="918" spans="4:4" x14ac:dyDescent="0.4">
      <c r="D918" s="2"/>
    </row>
    <row r="919" spans="4:4" x14ac:dyDescent="0.4">
      <c r="D919" s="2"/>
    </row>
    <row r="920" spans="4:4" x14ac:dyDescent="0.4">
      <c r="D920" s="2"/>
    </row>
    <row r="921" spans="4:4" x14ac:dyDescent="0.4">
      <c r="D921" s="2"/>
    </row>
    <row r="922" spans="4:4" x14ac:dyDescent="0.4">
      <c r="D922" s="2"/>
    </row>
    <row r="923" spans="4:4" x14ac:dyDescent="0.4">
      <c r="D923" s="2"/>
    </row>
    <row r="924" spans="4:4" x14ac:dyDescent="0.4">
      <c r="D924" s="2"/>
    </row>
    <row r="925" spans="4:4" x14ac:dyDescent="0.4">
      <c r="D925" s="2"/>
    </row>
    <row r="926" spans="4:4" x14ac:dyDescent="0.4">
      <c r="D926" s="2"/>
    </row>
    <row r="927" spans="4:4" x14ac:dyDescent="0.4">
      <c r="D927" s="2"/>
    </row>
    <row r="928" spans="4:4" x14ac:dyDescent="0.4">
      <c r="D928" s="2"/>
    </row>
    <row r="929" spans="4:4" x14ac:dyDescent="0.4">
      <c r="D929" s="2"/>
    </row>
    <row r="930" spans="4:4" x14ac:dyDescent="0.4">
      <c r="D930" s="2"/>
    </row>
    <row r="931" spans="4:4" x14ac:dyDescent="0.4">
      <c r="D931" s="2"/>
    </row>
    <row r="932" spans="4:4" x14ac:dyDescent="0.4">
      <c r="D932" s="2"/>
    </row>
    <row r="933" spans="4:4" x14ac:dyDescent="0.4">
      <c r="D933" s="2"/>
    </row>
    <row r="934" spans="4:4" x14ac:dyDescent="0.4">
      <c r="D934" s="2"/>
    </row>
    <row r="935" spans="4:4" x14ac:dyDescent="0.4">
      <c r="D935" s="2"/>
    </row>
    <row r="936" spans="4:4" x14ac:dyDescent="0.4">
      <c r="D936" s="2"/>
    </row>
    <row r="937" spans="4:4" x14ac:dyDescent="0.4">
      <c r="D937" s="2"/>
    </row>
    <row r="938" spans="4:4" x14ac:dyDescent="0.4">
      <c r="D938" s="2"/>
    </row>
    <row r="939" spans="4:4" x14ac:dyDescent="0.4">
      <c r="D939" s="2"/>
    </row>
    <row r="940" spans="4:4" x14ac:dyDescent="0.4">
      <c r="D940" s="2"/>
    </row>
    <row r="941" spans="4:4" x14ac:dyDescent="0.4">
      <c r="D941" s="2"/>
    </row>
    <row r="942" spans="4:4" x14ac:dyDescent="0.4">
      <c r="D942" s="2"/>
    </row>
    <row r="943" spans="4:4" x14ac:dyDescent="0.4">
      <c r="D943" s="2"/>
    </row>
    <row r="944" spans="4:4" x14ac:dyDescent="0.4">
      <c r="D944" s="2"/>
    </row>
    <row r="945" spans="4:9" x14ac:dyDescent="0.4">
      <c r="D945" s="2"/>
    </row>
    <row r="946" spans="4:9" x14ac:dyDescent="0.4">
      <c r="D946" s="2"/>
    </row>
    <row r="947" spans="4:9" x14ac:dyDescent="0.4">
      <c r="D947" s="2"/>
    </row>
    <row r="948" spans="4:9" x14ac:dyDescent="0.4">
      <c r="D948" s="2"/>
    </row>
    <row r="949" spans="4:9" x14ac:dyDescent="0.4">
      <c r="D949" s="2"/>
      <c r="H949" s="3"/>
      <c r="I949" s="3"/>
    </row>
    <row r="950" spans="4:9" x14ac:dyDescent="0.4">
      <c r="D950" s="2"/>
    </row>
    <row r="951" spans="4:9" x14ac:dyDescent="0.4">
      <c r="D951" s="2"/>
    </row>
    <row r="952" spans="4:9" x14ac:dyDescent="0.4">
      <c r="D952" s="2"/>
    </row>
    <row r="953" spans="4:9" x14ac:dyDescent="0.4">
      <c r="D953" s="2"/>
    </row>
    <row r="954" spans="4:9" x14ac:dyDescent="0.4">
      <c r="D954" s="2"/>
    </row>
    <row r="955" spans="4:9" x14ac:dyDescent="0.4">
      <c r="D955" s="2"/>
    </row>
    <row r="956" spans="4:9" x14ac:dyDescent="0.4">
      <c r="D956" s="2"/>
    </row>
    <row r="957" spans="4:9" x14ac:dyDescent="0.4">
      <c r="D957" s="2"/>
    </row>
    <row r="958" spans="4:9" x14ac:dyDescent="0.4">
      <c r="D958" s="2"/>
    </row>
    <row r="959" spans="4:9" x14ac:dyDescent="0.4">
      <c r="D959" s="2"/>
    </row>
    <row r="960" spans="4:9" x14ac:dyDescent="0.4">
      <c r="D960" s="2"/>
    </row>
    <row r="961" spans="4:9" x14ac:dyDescent="0.4">
      <c r="D961" s="2"/>
    </row>
    <row r="962" spans="4:9" x14ac:dyDescent="0.4">
      <c r="D962" s="2"/>
    </row>
    <row r="963" spans="4:9" x14ac:dyDescent="0.4">
      <c r="D963" s="2"/>
    </row>
    <row r="964" spans="4:9" x14ac:dyDescent="0.4">
      <c r="D964" s="2"/>
    </row>
    <row r="965" spans="4:9" x14ac:dyDescent="0.4">
      <c r="D965" s="2"/>
    </row>
    <row r="966" spans="4:9" x14ac:dyDescent="0.4">
      <c r="D966" s="2"/>
    </row>
    <row r="967" spans="4:9" x14ac:dyDescent="0.4">
      <c r="D967" s="2"/>
    </row>
    <row r="968" spans="4:9" x14ac:dyDescent="0.4">
      <c r="D968" s="2"/>
    </row>
    <row r="969" spans="4:9" x14ac:dyDescent="0.4">
      <c r="D969" s="2"/>
    </row>
    <row r="970" spans="4:9" x14ac:dyDescent="0.4">
      <c r="D970" s="2"/>
    </row>
    <row r="971" spans="4:9" x14ac:dyDescent="0.4">
      <c r="D971" s="2"/>
      <c r="H971" s="3"/>
      <c r="I971" s="3"/>
    </row>
    <row r="972" spans="4:9" x14ac:dyDescent="0.4">
      <c r="D972" s="2"/>
    </row>
    <row r="973" spans="4:9" x14ac:dyDescent="0.4">
      <c r="D973" s="2"/>
    </row>
    <row r="974" spans="4:9" x14ac:dyDescent="0.4">
      <c r="D974" s="2"/>
    </row>
    <row r="975" spans="4:9" x14ac:dyDescent="0.4">
      <c r="D975" s="2"/>
    </row>
    <row r="976" spans="4:9" x14ac:dyDescent="0.4">
      <c r="D976" s="2"/>
    </row>
    <row r="977" spans="4:4" x14ac:dyDescent="0.4">
      <c r="D977" s="2"/>
    </row>
    <row r="978" spans="4:4" x14ac:dyDescent="0.4">
      <c r="D978" s="2"/>
    </row>
    <row r="979" spans="4:4" x14ac:dyDescent="0.4">
      <c r="D979" s="2"/>
    </row>
    <row r="980" spans="4:4" x14ac:dyDescent="0.4">
      <c r="D980" s="2"/>
    </row>
    <row r="981" spans="4:4" x14ac:dyDescent="0.4">
      <c r="D981" s="2"/>
    </row>
    <row r="982" spans="4:4" x14ac:dyDescent="0.4">
      <c r="D982" s="2"/>
    </row>
    <row r="983" spans="4:4" x14ac:dyDescent="0.4">
      <c r="D983" s="2"/>
    </row>
    <row r="984" spans="4:4" x14ac:dyDescent="0.4">
      <c r="D984" s="2"/>
    </row>
    <row r="985" spans="4:4" x14ac:dyDescent="0.4">
      <c r="D985" s="2"/>
    </row>
    <row r="986" spans="4:4" x14ac:dyDescent="0.4">
      <c r="D986" s="2"/>
    </row>
    <row r="987" spans="4:4" x14ac:dyDescent="0.4">
      <c r="D987" s="2"/>
    </row>
    <row r="988" spans="4:4" x14ac:dyDescent="0.4">
      <c r="D988" s="2"/>
    </row>
    <row r="989" spans="4:4" x14ac:dyDescent="0.4">
      <c r="D989" s="2"/>
    </row>
    <row r="990" spans="4:4" x14ac:dyDescent="0.4">
      <c r="D990" s="2"/>
    </row>
    <row r="991" spans="4:4" x14ac:dyDescent="0.4">
      <c r="D991" s="2"/>
    </row>
    <row r="992" spans="4:4" x14ac:dyDescent="0.4">
      <c r="D992" s="2"/>
    </row>
    <row r="993" spans="4:4" x14ac:dyDescent="0.4">
      <c r="D993" s="2"/>
    </row>
    <row r="994" spans="4:4" x14ac:dyDescent="0.4">
      <c r="D994" s="2"/>
    </row>
    <row r="995" spans="4:4" x14ac:dyDescent="0.4">
      <c r="D995" s="2"/>
    </row>
    <row r="996" spans="4:4" x14ac:dyDescent="0.4">
      <c r="D996" s="2"/>
    </row>
    <row r="997" spans="4:4" x14ac:dyDescent="0.4">
      <c r="D997" s="2"/>
    </row>
    <row r="998" spans="4:4" x14ac:dyDescent="0.4">
      <c r="D998" s="2"/>
    </row>
    <row r="999" spans="4:4" x14ac:dyDescent="0.4">
      <c r="D999" s="2"/>
    </row>
    <row r="1000" spans="4:4" x14ac:dyDescent="0.4">
      <c r="D1000" s="2"/>
    </row>
    <row r="1001" spans="4:4" x14ac:dyDescent="0.4">
      <c r="D1001" s="2"/>
    </row>
    <row r="1002" spans="4:4" x14ac:dyDescent="0.4">
      <c r="D1002" s="2"/>
    </row>
    <row r="1003" spans="4:4" x14ac:dyDescent="0.4">
      <c r="D1003" s="2"/>
    </row>
    <row r="1004" spans="4:4" x14ac:dyDescent="0.4">
      <c r="D1004" s="2"/>
    </row>
    <row r="1005" spans="4:4" x14ac:dyDescent="0.4">
      <c r="D1005" s="2"/>
    </row>
    <row r="1006" spans="4:4" x14ac:dyDescent="0.4">
      <c r="D1006" s="2"/>
    </row>
    <row r="1007" spans="4:4" x14ac:dyDescent="0.4">
      <c r="D1007" s="2"/>
    </row>
    <row r="1008" spans="4:4" x14ac:dyDescent="0.4">
      <c r="D1008" s="2"/>
    </row>
    <row r="1009" spans="4:4" x14ac:dyDescent="0.4">
      <c r="D1009" s="2"/>
    </row>
    <row r="1010" spans="4:4" x14ac:dyDescent="0.4">
      <c r="D1010" s="2"/>
    </row>
    <row r="1011" spans="4:4" x14ac:dyDescent="0.4">
      <c r="D1011" s="2"/>
    </row>
    <row r="1012" spans="4:4" x14ac:dyDescent="0.4">
      <c r="D1012" s="2"/>
    </row>
    <row r="1013" spans="4:4" x14ac:dyDescent="0.4">
      <c r="D1013" s="2"/>
    </row>
    <row r="1014" spans="4:4" x14ac:dyDescent="0.4">
      <c r="D1014" s="2"/>
    </row>
    <row r="1015" spans="4:4" x14ac:dyDescent="0.4">
      <c r="D1015" s="2"/>
    </row>
    <row r="1016" spans="4:4" x14ac:dyDescent="0.4">
      <c r="D1016" s="2"/>
    </row>
    <row r="1017" spans="4:4" x14ac:dyDescent="0.4">
      <c r="D1017" s="2"/>
    </row>
    <row r="1018" spans="4:4" x14ac:dyDescent="0.4">
      <c r="D1018" s="2"/>
    </row>
    <row r="1019" spans="4:4" x14ac:dyDescent="0.4">
      <c r="D1019" s="2"/>
    </row>
    <row r="1020" spans="4:4" x14ac:dyDescent="0.4">
      <c r="D1020" s="2"/>
    </row>
    <row r="1021" spans="4:4" x14ac:dyDescent="0.4">
      <c r="D1021" s="2"/>
    </row>
    <row r="1022" spans="4:4" x14ac:dyDescent="0.4">
      <c r="D1022" s="2"/>
    </row>
    <row r="1023" spans="4:4" x14ac:dyDescent="0.4">
      <c r="D1023" s="2"/>
    </row>
    <row r="1024" spans="4:4" x14ac:dyDescent="0.4">
      <c r="D1024" s="2"/>
    </row>
    <row r="1025" spans="4:4" x14ac:dyDescent="0.4">
      <c r="D1025" s="2"/>
    </row>
    <row r="1026" spans="4:4" x14ac:dyDescent="0.4">
      <c r="D1026" s="2"/>
    </row>
    <row r="1027" spans="4:4" x14ac:dyDescent="0.4">
      <c r="D1027" s="2"/>
    </row>
    <row r="1028" spans="4:4" x14ac:dyDescent="0.4">
      <c r="D1028" s="2"/>
    </row>
    <row r="1029" spans="4:4" x14ac:dyDescent="0.4">
      <c r="D1029" s="2"/>
    </row>
    <row r="1030" spans="4:4" x14ac:dyDescent="0.4">
      <c r="D1030" s="2"/>
    </row>
    <row r="1031" spans="4:4" x14ac:dyDescent="0.4">
      <c r="D1031" s="2"/>
    </row>
    <row r="1032" spans="4:4" x14ac:dyDescent="0.4">
      <c r="D1032" s="2"/>
    </row>
    <row r="1033" spans="4:4" x14ac:dyDescent="0.4">
      <c r="D1033" s="2"/>
    </row>
    <row r="1034" spans="4:4" x14ac:dyDescent="0.4">
      <c r="D1034" s="2"/>
    </row>
    <row r="1035" spans="4:4" x14ac:dyDescent="0.4">
      <c r="D1035" s="2"/>
    </row>
    <row r="1036" spans="4:4" x14ac:dyDescent="0.4">
      <c r="D1036" s="2"/>
    </row>
    <row r="1037" spans="4:4" x14ac:dyDescent="0.4">
      <c r="D1037" s="2"/>
    </row>
    <row r="1038" spans="4:4" x14ac:dyDescent="0.4">
      <c r="D1038" s="2"/>
    </row>
    <row r="1039" spans="4:4" x14ac:dyDescent="0.4">
      <c r="D1039" s="2"/>
    </row>
    <row r="1040" spans="4:4" x14ac:dyDescent="0.4">
      <c r="D1040" s="2"/>
    </row>
    <row r="1041" spans="4:9" x14ac:dyDescent="0.4">
      <c r="D1041" s="2"/>
    </row>
    <row r="1042" spans="4:9" x14ac:dyDescent="0.4">
      <c r="D1042" s="2"/>
    </row>
    <row r="1043" spans="4:9" x14ac:dyDescent="0.4">
      <c r="D1043" s="2"/>
    </row>
    <row r="1044" spans="4:9" x14ac:dyDescent="0.4">
      <c r="D1044" s="2"/>
    </row>
    <row r="1045" spans="4:9" x14ac:dyDescent="0.4">
      <c r="D1045" s="2"/>
    </row>
    <row r="1046" spans="4:9" x14ac:dyDescent="0.4">
      <c r="D1046" s="2"/>
    </row>
    <row r="1047" spans="4:9" x14ac:dyDescent="0.4">
      <c r="D1047" s="2"/>
    </row>
    <row r="1048" spans="4:9" x14ac:dyDescent="0.4">
      <c r="D1048" s="2"/>
      <c r="H1048" s="3"/>
      <c r="I1048" s="3"/>
    </row>
    <row r="1049" spans="4:9" x14ac:dyDescent="0.4">
      <c r="D1049" s="2"/>
    </row>
    <row r="1050" spans="4:9" x14ac:dyDescent="0.4">
      <c r="D1050" s="2"/>
      <c r="H1050" s="3"/>
      <c r="I1050" s="3"/>
    </row>
    <row r="1051" spans="4:9" x14ac:dyDescent="0.4">
      <c r="D1051" s="2"/>
    </row>
    <row r="1052" spans="4:9" x14ac:dyDescent="0.4">
      <c r="D1052" s="2"/>
    </row>
    <row r="1053" spans="4:9" x14ac:dyDescent="0.4">
      <c r="D1053" s="2"/>
    </row>
    <row r="1054" spans="4:9" x14ac:dyDescent="0.4">
      <c r="D1054" s="2"/>
    </row>
    <row r="1055" spans="4:9" x14ac:dyDescent="0.4">
      <c r="D1055" s="2"/>
    </row>
    <row r="1056" spans="4:9" x14ac:dyDescent="0.4">
      <c r="D1056" s="2"/>
    </row>
    <row r="1057" spans="4:4" x14ac:dyDescent="0.4">
      <c r="D1057" s="2"/>
    </row>
    <row r="1058" spans="4:4" x14ac:dyDescent="0.4">
      <c r="D1058" s="2"/>
    </row>
    <row r="1059" spans="4:4" x14ac:dyDescent="0.4">
      <c r="D1059" s="2"/>
    </row>
    <row r="1060" spans="4:4" x14ac:dyDescent="0.4">
      <c r="D1060" s="2"/>
    </row>
    <row r="1061" spans="4:4" x14ac:dyDescent="0.4">
      <c r="D1061" s="2"/>
    </row>
    <row r="1062" spans="4:4" x14ac:dyDescent="0.4">
      <c r="D1062" s="2"/>
    </row>
    <row r="1063" spans="4:4" x14ac:dyDescent="0.4">
      <c r="D1063" s="2"/>
    </row>
    <row r="1064" spans="4:4" x14ac:dyDescent="0.4">
      <c r="D1064" s="2"/>
    </row>
    <row r="1065" spans="4:4" x14ac:dyDescent="0.4">
      <c r="D1065" s="2"/>
    </row>
    <row r="1066" spans="4:4" x14ac:dyDescent="0.4">
      <c r="D1066" s="2"/>
    </row>
    <row r="1067" spans="4:4" x14ac:dyDescent="0.4">
      <c r="D1067" s="2"/>
    </row>
    <row r="1068" spans="4:4" x14ac:dyDescent="0.4">
      <c r="D1068" s="2"/>
    </row>
    <row r="1069" spans="4:4" x14ac:dyDescent="0.4">
      <c r="D1069" s="2"/>
    </row>
    <row r="1070" spans="4:4" x14ac:dyDescent="0.4">
      <c r="D1070" s="2"/>
    </row>
    <row r="1071" spans="4:4" x14ac:dyDescent="0.4">
      <c r="D1071" s="2"/>
    </row>
    <row r="1072" spans="4:4" x14ac:dyDescent="0.4">
      <c r="D1072" s="2"/>
    </row>
    <row r="1073" spans="4:4" x14ac:dyDescent="0.4">
      <c r="D1073" s="2"/>
    </row>
    <row r="1074" spans="4:4" x14ac:dyDescent="0.4">
      <c r="D1074" s="2"/>
    </row>
    <row r="1075" spans="4:4" x14ac:dyDescent="0.4">
      <c r="D1075" s="2"/>
    </row>
    <row r="1076" spans="4:4" x14ac:dyDescent="0.4">
      <c r="D1076" s="2"/>
    </row>
    <row r="1077" spans="4:4" x14ac:dyDescent="0.4">
      <c r="D1077" s="2"/>
    </row>
    <row r="1078" spans="4:4" x14ac:dyDescent="0.4">
      <c r="D1078" s="2"/>
    </row>
    <row r="1079" spans="4:4" x14ac:dyDescent="0.4">
      <c r="D1079" s="2"/>
    </row>
    <row r="1080" spans="4:4" x14ac:dyDescent="0.4">
      <c r="D1080" s="2"/>
    </row>
    <row r="1081" spans="4:4" x14ac:dyDescent="0.4">
      <c r="D1081" s="2"/>
    </row>
    <row r="1082" spans="4:4" x14ac:dyDescent="0.4">
      <c r="D1082" s="2"/>
    </row>
    <row r="1083" spans="4:4" x14ac:dyDescent="0.4">
      <c r="D1083" s="2"/>
    </row>
    <row r="1084" spans="4:4" x14ac:dyDescent="0.4">
      <c r="D1084" s="2"/>
    </row>
    <row r="1085" spans="4:4" x14ac:dyDescent="0.4">
      <c r="D1085" s="2"/>
    </row>
    <row r="1086" spans="4:4" x14ac:dyDescent="0.4">
      <c r="D1086" s="2"/>
    </row>
    <row r="1087" spans="4:4" x14ac:dyDescent="0.4">
      <c r="D1087" s="2"/>
    </row>
    <row r="1088" spans="4:4" x14ac:dyDescent="0.4">
      <c r="D1088" s="2"/>
    </row>
    <row r="1089" spans="4:4" x14ac:dyDescent="0.4">
      <c r="D1089" s="2"/>
    </row>
    <row r="1090" spans="4:4" x14ac:dyDescent="0.4">
      <c r="D1090" s="2"/>
    </row>
    <row r="1091" spans="4:4" x14ac:dyDescent="0.4">
      <c r="D1091" s="2"/>
    </row>
    <row r="1092" spans="4:4" x14ac:dyDescent="0.4">
      <c r="D1092" s="2"/>
    </row>
    <row r="1093" spans="4:4" x14ac:dyDescent="0.4">
      <c r="D1093" s="2"/>
    </row>
    <row r="1094" spans="4:4" x14ac:dyDescent="0.4">
      <c r="D1094" s="2"/>
    </row>
    <row r="1095" spans="4:4" x14ac:dyDescent="0.4">
      <c r="D1095" s="2"/>
    </row>
    <row r="1096" spans="4:4" x14ac:dyDescent="0.4">
      <c r="D1096" s="2"/>
    </row>
    <row r="1097" spans="4:4" x14ac:dyDescent="0.4">
      <c r="D1097" s="2"/>
    </row>
    <row r="1098" spans="4:4" x14ac:dyDescent="0.4">
      <c r="D1098" s="2"/>
    </row>
    <row r="1099" spans="4:4" x14ac:dyDescent="0.4">
      <c r="D1099" s="2"/>
    </row>
    <row r="1100" spans="4:4" x14ac:dyDescent="0.4">
      <c r="D1100" s="2"/>
    </row>
    <row r="1101" spans="4:4" x14ac:dyDescent="0.4">
      <c r="D1101" s="2"/>
    </row>
    <row r="1102" spans="4:4" x14ac:dyDescent="0.4">
      <c r="D1102" s="2"/>
    </row>
    <row r="1103" spans="4:4" x14ac:dyDescent="0.4">
      <c r="D1103" s="2"/>
    </row>
    <row r="1104" spans="4:4" x14ac:dyDescent="0.4">
      <c r="D1104" s="2"/>
    </row>
    <row r="1105" spans="4:4" x14ac:dyDescent="0.4">
      <c r="D1105" s="2"/>
    </row>
    <row r="1106" spans="4:4" x14ac:dyDescent="0.4">
      <c r="D1106" s="2"/>
    </row>
    <row r="1107" spans="4:4" x14ac:dyDescent="0.4">
      <c r="D1107" s="2"/>
    </row>
    <row r="1108" spans="4:4" x14ac:dyDescent="0.4">
      <c r="D1108" s="2"/>
    </row>
    <row r="1109" spans="4:4" x14ac:dyDescent="0.4">
      <c r="D1109" s="2"/>
    </row>
    <row r="1110" spans="4:4" x14ac:dyDescent="0.4">
      <c r="D1110" s="2"/>
    </row>
    <row r="1111" spans="4:4" x14ac:dyDescent="0.4">
      <c r="D1111" s="2"/>
    </row>
    <row r="1112" spans="4:4" x14ac:dyDescent="0.4">
      <c r="D1112" s="2"/>
    </row>
    <row r="1113" spans="4:4" x14ac:dyDescent="0.4">
      <c r="D1113" s="2"/>
    </row>
    <row r="1114" spans="4:4" x14ac:dyDescent="0.4">
      <c r="D1114" s="2"/>
    </row>
    <row r="1115" spans="4:4" x14ac:dyDescent="0.4">
      <c r="D1115" s="2"/>
    </row>
    <row r="1116" spans="4:4" x14ac:dyDescent="0.4">
      <c r="D1116" s="2"/>
    </row>
    <row r="1117" spans="4:4" x14ac:dyDescent="0.4">
      <c r="D1117" s="2"/>
    </row>
    <row r="1118" spans="4:4" x14ac:dyDescent="0.4">
      <c r="D1118" s="2"/>
    </row>
    <row r="1119" spans="4:4" x14ac:dyDescent="0.4">
      <c r="D1119" s="2"/>
    </row>
    <row r="1120" spans="4:4" x14ac:dyDescent="0.4">
      <c r="D1120" s="2"/>
    </row>
    <row r="1121" spans="4:4" x14ac:dyDescent="0.4">
      <c r="D1121" s="2"/>
    </row>
    <row r="1122" spans="4:4" x14ac:dyDescent="0.4">
      <c r="D1122" s="2"/>
    </row>
    <row r="1123" spans="4:4" x14ac:dyDescent="0.4">
      <c r="D1123" s="2"/>
    </row>
    <row r="1124" spans="4:4" x14ac:dyDescent="0.4">
      <c r="D1124" s="2"/>
    </row>
    <row r="1125" spans="4:4" x14ac:dyDescent="0.4">
      <c r="D1125" s="2"/>
    </row>
    <row r="1126" spans="4:4" x14ac:dyDescent="0.4">
      <c r="D1126" s="2"/>
    </row>
    <row r="1127" spans="4:4" x14ac:dyDescent="0.4">
      <c r="D1127" s="2"/>
    </row>
    <row r="1128" spans="4:4" x14ac:dyDescent="0.4">
      <c r="D1128" s="2"/>
    </row>
    <row r="1129" spans="4:4" x14ac:dyDescent="0.4">
      <c r="D1129" s="2"/>
    </row>
    <row r="1130" spans="4:4" x14ac:dyDescent="0.4">
      <c r="D1130" s="2"/>
    </row>
    <row r="1131" spans="4:4" x14ac:dyDescent="0.4">
      <c r="D1131" s="2"/>
    </row>
    <row r="1132" spans="4:4" x14ac:dyDescent="0.4">
      <c r="D1132" s="2"/>
    </row>
    <row r="1133" spans="4:4" x14ac:dyDescent="0.4">
      <c r="D1133" s="2"/>
    </row>
    <row r="1134" spans="4:4" x14ac:dyDescent="0.4">
      <c r="D1134" s="2"/>
    </row>
    <row r="1135" spans="4:4" x14ac:dyDescent="0.4">
      <c r="D1135" s="2"/>
    </row>
    <row r="1136" spans="4:4" x14ac:dyDescent="0.4">
      <c r="D1136" s="2"/>
    </row>
    <row r="1137" spans="4:4" x14ac:dyDescent="0.4">
      <c r="D1137" s="2"/>
    </row>
    <row r="1138" spans="4:4" x14ac:dyDescent="0.4">
      <c r="D1138" s="2"/>
    </row>
    <row r="1139" spans="4:4" x14ac:dyDescent="0.4">
      <c r="D1139" s="2"/>
    </row>
    <row r="1140" spans="4:4" x14ac:dyDescent="0.4">
      <c r="D1140" s="2"/>
    </row>
    <row r="1141" spans="4:4" x14ac:dyDescent="0.4">
      <c r="D1141" s="2"/>
    </row>
    <row r="1142" spans="4:4" x14ac:dyDescent="0.4">
      <c r="D1142" s="2"/>
    </row>
    <row r="1143" spans="4:4" x14ac:dyDescent="0.4">
      <c r="D1143" s="2"/>
    </row>
    <row r="1144" spans="4:4" x14ac:dyDescent="0.4">
      <c r="D1144" s="2"/>
    </row>
    <row r="1145" spans="4:4" x14ac:dyDescent="0.4">
      <c r="D1145" s="2"/>
    </row>
    <row r="1146" spans="4:4" x14ac:dyDescent="0.4">
      <c r="D1146" s="2"/>
    </row>
    <row r="1147" spans="4:4" x14ac:dyDescent="0.4">
      <c r="D1147" s="2"/>
    </row>
    <row r="1148" spans="4:4" x14ac:dyDescent="0.4">
      <c r="D1148" s="2"/>
    </row>
    <row r="1149" spans="4:4" x14ac:dyDescent="0.4">
      <c r="D1149" s="2"/>
    </row>
    <row r="1150" spans="4:4" x14ac:dyDescent="0.4">
      <c r="D1150" s="2"/>
    </row>
    <row r="1151" spans="4:4" x14ac:dyDescent="0.4">
      <c r="D1151" s="2"/>
    </row>
    <row r="1152" spans="4:4" x14ac:dyDescent="0.4">
      <c r="D1152" s="2"/>
    </row>
    <row r="1153" spans="4:4" x14ac:dyDescent="0.4">
      <c r="D1153" s="2"/>
    </row>
    <row r="1154" spans="4:4" x14ac:dyDescent="0.4">
      <c r="D1154" s="2"/>
    </row>
    <row r="1155" spans="4:4" x14ac:dyDescent="0.4">
      <c r="D1155" s="2"/>
    </row>
    <row r="1156" spans="4:4" x14ac:dyDescent="0.4">
      <c r="D1156" s="2"/>
    </row>
    <row r="1157" spans="4:4" x14ac:dyDescent="0.4">
      <c r="D1157" s="2"/>
    </row>
    <row r="1158" spans="4:4" x14ac:dyDescent="0.4">
      <c r="D1158" s="2"/>
    </row>
    <row r="1159" spans="4:4" x14ac:dyDescent="0.4">
      <c r="D1159" s="2"/>
    </row>
    <row r="1160" spans="4:4" x14ac:dyDescent="0.4">
      <c r="D1160" s="2"/>
    </row>
    <row r="1161" spans="4:4" x14ac:dyDescent="0.4">
      <c r="D1161" s="2"/>
    </row>
    <row r="1162" spans="4:4" x14ac:dyDescent="0.4">
      <c r="D1162" s="2"/>
    </row>
    <row r="1163" spans="4:4" x14ac:dyDescent="0.4">
      <c r="D1163" s="2"/>
    </row>
    <row r="1164" spans="4:4" x14ac:dyDescent="0.4">
      <c r="D1164" s="2"/>
    </row>
    <row r="1165" spans="4:4" x14ac:dyDescent="0.4">
      <c r="D1165" s="2"/>
    </row>
    <row r="1166" spans="4:4" x14ac:dyDescent="0.4">
      <c r="D1166" s="2"/>
    </row>
    <row r="1167" spans="4:4" x14ac:dyDescent="0.4">
      <c r="D1167" s="2"/>
    </row>
    <row r="1168" spans="4:4" x14ac:dyDescent="0.4">
      <c r="D1168" s="2"/>
    </row>
    <row r="1169" spans="4:4" x14ac:dyDescent="0.4">
      <c r="D1169" s="2"/>
    </row>
    <row r="1170" spans="4:4" x14ac:dyDescent="0.4">
      <c r="D1170" s="2"/>
    </row>
    <row r="1171" spans="4:4" x14ac:dyDescent="0.4">
      <c r="D1171" s="2"/>
    </row>
    <row r="1172" spans="4:4" x14ac:dyDescent="0.4">
      <c r="D1172" s="2"/>
    </row>
    <row r="1173" spans="4:4" x14ac:dyDescent="0.4">
      <c r="D1173" s="2"/>
    </row>
    <row r="1174" spans="4:4" x14ac:dyDescent="0.4">
      <c r="D1174" s="2"/>
    </row>
    <row r="1175" spans="4:4" x14ac:dyDescent="0.4">
      <c r="D1175" s="2"/>
    </row>
    <row r="1176" spans="4:4" x14ac:dyDescent="0.4">
      <c r="D1176" s="2"/>
    </row>
    <row r="1177" spans="4:4" x14ac:dyDescent="0.4">
      <c r="D1177" s="2"/>
    </row>
    <row r="1178" spans="4:4" x14ac:dyDescent="0.4">
      <c r="D1178" s="2"/>
    </row>
    <row r="1179" spans="4:4" x14ac:dyDescent="0.4">
      <c r="D1179" s="2"/>
    </row>
    <row r="1180" spans="4:4" x14ac:dyDescent="0.4">
      <c r="D1180" s="2"/>
    </row>
    <row r="1181" spans="4:4" x14ac:dyDescent="0.4">
      <c r="D1181" s="2"/>
    </row>
    <row r="1182" spans="4:4" x14ac:dyDescent="0.4">
      <c r="D1182" s="2"/>
    </row>
    <row r="1183" spans="4:4" x14ac:dyDescent="0.4">
      <c r="D1183" s="2"/>
    </row>
    <row r="1184" spans="4:4" x14ac:dyDescent="0.4">
      <c r="D1184" s="2"/>
    </row>
    <row r="1185" spans="4:4" x14ac:dyDescent="0.4">
      <c r="D1185" s="2"/>
    </row>
    <row r="1186" spans="4:4" x14ac:dyDescent="0.4">
      <c r="D1186" s="2"/>
    </row>
    <row r="1187" spans="4:4" x14ac:dyDescent="0.4">
      <c r="D1187" s="2"/>
    </row>
    <row r="1188" spans="4:4" x14ac:dyDescent="0.4">
      <c r="D1188" s="2"/>
    </row>
    <row r="1189" spans="4:4" x14ac:dyDescent="0.4">
      <c r="D1189" s="2"/>
    </row>
    <row r="1190" spans="4:4" x14ac:dyDescent="0.4">
      <c r="D1190" s="2"/>
    </row>
    <row r="1191" spans="4:4" x14ac:dyDescent="0.4">
      <c r="D1191" s="2"/>
    </row>
    <row r="1192" spans="4:4" x14ac:dyDescent="0.4">
      <c r="D1192" s="2"/>
    </row>
    <row r="1193" spans="4:4" x14ac:dyDescent="0.4">
      <c r="D1193" s="2"/>
    </row>
    <row r="1194" spans="4:4" x14ac:dyDescent="0.4">
      <c r="D1194" s="2"/>
    </row>
    <row r="1195" spans="4:4" x14ac:dyDescent="0.4">
      <c r="D1195" s="2"/>
    </row>
    <row r="1196" spans="4:4" x14ac:dyDescent="0.4">
      <c r="D1196" s="2"/>
    </row>
    <row r="1197" spans="4:4" x14ac:dyDescent="0.4">
      <c r="D1197" s="2"/>
    </row>
    <row r="1198" spans="4:4" x14ac:dyDescent="0.4">
      <c r="D1198" s="2"/>
    </row>
    <row r="1199" spans="4:4" x14ac:dyDescent="0.4">
      <c r="D1199" s="2"/>
    </row>
    <row r="1200" spans="4:4" x14ac:dyDescent="0.4">
      <c r="D1200" s="2"/>
    </row>
    <row r="1201" spans="4:9" x14ac:dyDescent="0.4">
      <c r="D1201" s="2"/>
    </row>
    <row r="1202" spans="4:9" x14ac:dyDescent="0.4">
      <c r="D1202" s="2"/>
    </row>
    <row r="1203" spans="4:9" x14ac:dyDescent="0.4">
      <c r="D1203" s="2"/>
    </row>
    <row r="1204" spans="4:9" x14ac:dyDescent="0.4">
      <c r="D1204" s="2"/>
    </row>
    <row r="1205" spans="4:9" x14ac:dyDescent="0.4">
      <c r="D1205" s="2"/>
      <c r="H1205" s="3"/>
      <c r="I1205" s="3"/>
    </row>
    <row r="1206" spans="4:9" x14ac:dyDescent="0.4">
      <c r="D1206" s="2"/>
    </row>
    <row r="1207" spans="4:9" x14ac:dyDescent="0.4">
      <c r="D1207" s="2"/>
    </row>
    <row r="1208" spans="4:9" x14ac:dyDescent="0.4">
      <c r="D1208" s="2"/>
    </row>
    <row r="1209" spans="4:9" x14ac:dyDescent="0.4">
      <c r="D1209" s="2"/>
    </row>
    <row r="1210" spans="4:9" x14ac:dyDescent="0.4">
      <c r="D1210" s="2"/>
    </row>
    <row r="1211" spans="4:9" x14ac:dyDescent="0.4">
      <c r="D1211" s="2"/>
    </row>
    <row r="1212" spans="4:9" x14ac:dyDescent="0.4">
      <c r="D1212" s="2"/>
    </row>
    <row r="1213" spans="4:9" x14ac:dyDescent="0.4">
      <c r="D1213" s="2"/>
    </row>
    <row r="1214" spans="4:9" x14ac:dyDescent="0.4">
      <c r="D1214" s="2"/>
    </row>
    <row r="1215" spans="4:9" x14ac:dyDescent="0.4">
      <c r="D1215" s="2"/>
    </row>
    <row r="1216" spans="4:9" x14ac:dyDescent="0.4">
      <c r="D1216" s="2"/>
    </row>
    <row r="1217" spans="4:9" x14ac:dyDescent="0.4">
      <c r="D1217" s="2"/>
    </row>
    <row r="1218" spans="4:9" x14ac:dyDescent="0.4">
      <c r="D1218" s="2"/>
    </row>
    <row r="1219" spans="4:9" x14ac:dyDescent="0.4">
      <c r="D1219" s="2"/>
    </row>
    <row r="1220" spans="4:9" x14ac:dyDescent="0.4">
      <c r="D1220" s="2"/>
    </row>
    <row r="1221" spans="4:9" x14ac:dyDescent="0.4">
      <c r="D1221" s="2"/>
    </row>
    <row r="1222" spans="4:9" x14ac:dyDescent="0.4">
      <c r="D1222" s="2"/>
    </row>
    <row r="1223" spans="4:9" x14ac:dyDescent="0.4">
      <c r="D1223" s="2"/>
    </row>
    <row r="1224" spans="4:9" x14ac:dyDescent="0.4">
      <c r="D1224" s="2"/>
    </row>
    <row r="1225" spans="4:9" x14ac:dyDescent="0.4">
      <c r="D1225" s="2"/>
    </row>
    <row r="1226" spans="4:9" x14ac:dyDescent="0.4">
      <c r="D1226" s="2"/>
    </row>
    <row r="1227" spans="4:9" x14ac:dyDescent="0.4">
      <c r="D1227" s="2"/>
    </row>
    <row r="1228" spans="4:9" x14ac:dyDescent="0.4">
      <c r="D1228" s="2"/>
    </row>
    <row r="1229" spans="4:9" x14ac:dyDescent="0.4">
      <c r="D1229" s="2"/>
    </row>
    <row r="1230" spans="4:9" x14ac:dyDescent="0.4">
      <c r="D1230" s="2"/>
    </row>
    <row r="1231" spans="4:9" x14ac:dyDescent="0.4">
      <c r="D1231" s="2"/>
      <c r="H1231" s="3"/>
      <c r="I1231" s="3"/>
    </row>
    <row r="1232" spans="4:9" x14ac:dyDescent="0.4">
      <c r="D1232" s="2"/>
    </row>
    <row r="1233" spans="4:4" x14ac:dyDescent="0.4">
      <c r="D1233" s="2"/>
    </row>
    <row r="1234" spans="4:4" x14ac:dyDescent="0.4">
      <c r="D1234" s="2"/>
    </row>
    <row r="1235" spans="4:4" x14ac:dyDescent="0.4">
      <c r="D1235" s="2"/>
    </row>
    <row r="1236" spans="4:4" x14ac:dyDescent="0.4">
      <c r="D1236" s="2"/>
    </row>
    <row r="1237" spans="4:4" x14ac:dyDescent="0.4">
      <c r="D1237" s="2"/>
    </row>
    <row r="1238" spans="4:4" x14ac:dyDescent="0.4">
      <c r="D1238" s="2"/>
    </row>
    <row r="1239" spans="4:4" x14ac:dyDescent="0.4">
      <c r="D1239" s="2"/>
    </row>
    <row r="1240" spans="4:4" x14ac:dyDescent="0.4">
      <c r="D1240" s="2"/>
    </row>
    <row r="1241" spans="4:4" x14ac:dyDescent="0.4">
      <c r="D1241" s="2"/>
    </row>
    <row r="1242" spans="4:4" x14ac:dyDescent="0.4">
      <c r="D1242" s="2"/>
    </row>
    <row r="1243" spans="4:4" x14ac:dyDescent="0.4">
      <c r="D1243" s="2"/>
    </row>
    <row r="1244" spans="4:4" x14ac:dyDescent="0.4">
      <c r="D1244" s="2"/>
    </row>
    <row r="1245" spans="4:4" x14ac:dyDescent="0.4">
      <c r="D1245" s="2"/>
    </row>
    <row r="1246" spans="4:4" x14ac:dyDescent="0.4">
      <c r="D1246" s="2"/>
    </row>
    <row r="1247" spans="4:4" x14ac:dyDescent="0.4">
      <c r="D1247" s="2"/>
    </row>
    <row r="1248" spans="4:4" x14ac:dyDescent="0.4">
      <c r="D1248" s="2"/>
    </row>
    <row r="1249" spans="4:9" x14ac:dyDescent="0.4">
      <c r="D1249" s="2"/>
    </row>
    <row r="1250" spans="4:9" x14ac:dyDescent="0.4">
      <c r="D1250" s="2"/>
    </row>
    <row r="1251" spans="4:9" x14ac:dyDescent="0.4">
      <c r="D1251" s="2"/>
    </row>
    <row r="1252" spans="4:9" x14ac:dyDescent="0.4">
      <c r="D1252" s="2"/>
    </row>
    <row r="1253" spans="4:9" x14ac:dyDescent="0.4">
      <c r="D1253" s="2"/>
    </row>
    <row r="1254" spans="4:9" x14ac:dyDescent="0.4">
      <c r="D1254" s="2"/>
    </row>
    <row r="1255" spans="4:9" x14ac:dyDescent="0.4">
      <c r="D1255" s="2"/>
    </row>
    <row r="1256" spans="4:9" x14ac:dyDescent="0.4">
      <c r="D1256" s="2"/>
    </row>
    <row r="1257" spans="4:9" x14ac:dyDescent="0.4">
      <c r="D1257" s="2"/>
    </row>
    <row r="1258" spans="4:9" x14ac:dyDescent="0.4">
      <c r="D1258" s="2"/>
      <c r="H1258" s="3"/>
      <c r="I1258" s="3"/>
    </row>
    <row r="1259" spans="4:9" x14ac:dyDescent="0.4">
      <c r="D1259" s="2"/>
    </row>
    <row r="1260" spans="4:9" x14ac:dyDescent="0.4">
      <c r="D1260" s="2"/>
    </row>
    <row r="1261" spans="4:9" x14ac:dyDescent="0.4">
      <c r="D1261" s="2"/>
    </row>
    <row r="1262" spans="4:9" x14ac:dyDescent="0.4">
      <c r="D1262" s="2"/>
    </row>
    <row r="1263" spans="4:9" x14ac:dyDescent="0.4">
      <c r="D1263" s="2"/>
    </row>
    <row r="1264" spans="4:9" x14ac:dyDescent="0.4">
      <c r="D1264" s="2"/>
    </row>
    <row r="1265" spans="4:4" x14ac:dyDescent="0.4">
      <c r="D1265" s="2"/>
    </row>
    <row r="1266" spans="4:4" x14ac:dyDescent="0.4">
      <c r="D1266" s="2"/>
    </row>
    <row r="1267" spans="4:4" x14ac:dyDescent="0.4">
      <c r="D1267" s="2"/>
    </row>
    <row r="1268" spans="4:4" x14ac:dyDescent="0.4">
      <c r="D1268" s="2"/>
    </row>
    <row r="1269" spans="4:4" x14ac:dyDescent="0.4">
      <c r="D1269" s="2"/>
    </row>
    <row r="1270" spans="4:4" x14ac:dyDescent="0.4">
      <c r="D1270" s="2"/>
    </row>
    <row r="1271" spans="4:4" x14ac:dyDescent="0.4">
      <c r="D1271" s="2"/>
    </row>
    <row r="1272" spans="4:4" x14ac:dyDescent="0.4">
      <c r="D1272" s="2"/>
    </row>
    <row r="1273" spans="4:4" x14ac:dyDescent="0.4">
      <c r="D1273" s="2"/>
    </row>
    <row r="1274" spans="4:4" x14ac:dyDescent="0.4">
      <c r="D1274" s="2"/>
    </row>
    <row r="1275" spans="4:4" x14ac:dyDescent="0.4">
      <c r="D1275" s="2"/>
    </row>
    <row r="1276" spans="4:4" x14ac:dyDescent="0.4">
      <c r="D1276" s="2"/>
    </row>
    <row r="1277" spans="4:4" x14ac:dyDescent="0.4">
      <c r="D1277" s="2"/>
    </row>
    <row r="1278" spans="4:4" x14ac:dyDescent="0.4">
      <c r="D1278" s="2"/>
    </row>
    <row r="1279" spans="4:4" x14ac:dyDescent="0.4">
      <c r="D1279" s="2"/>
    </row>
    <row r="1280" spans="4:4" x14ac:dyDescent="0.4">
      <c r="D1280" s="2"/>
    </row>
    <row r="1281" spans="4:4" x14ac:dyDescent="0.4">
      <c r="D1281" s="2"/>
    </row>
    <row r="1282" spans="4:4" x14ac:dyDescent="0.4">
      <c r="D1282" s="2"/>
    </row>
    <row r="1283" spans="4:4" x14ac:dyDescent="0.4">
      <c r="D1283" s="2"/>
    </row>
    <row r="1284" spans="4:4" x14ac:dyDescent="0.4">
      <c r="D1284" s="2"/>
    </row>
    <row r="1285" spans="4:4" x14ac:dyDescent="0.4">
      <c r="D1285" s="2"/>
    </row>
    <row r="1286" spans="4:4" x14ac:dyDescent="0.4">
      <c r="D1286" s="2"/>
    </row>
    <row r="1287" spans="4:4" x14ac:dyDescent="0.4">
      <c r="D1287" s="2"/>
    </row>
    <row r="1288" spans="4:4" x14ac:dyDescent="0.4">
      <c r="D1288" s="2"/>
    </row>
    <row r="1289" spans="4:4" x14ac:dyDescent="0.4">
      <c r="D1289" s="2"/>
    </row>
    <row r="1290" spans="4:4" x14ac:dyDescent="0.4">
      <c r="D1290" s="2"/>
    </row>
    <row r="1291" spans="4:4" x14ac:dyDescent="0.4">
      <c r="D1291" s="2"/>
    </row>
    <row r="1292" spans="4:4" x14ac:dyDescent="0.4">
      <c r="D1292" s="2"/>
    </row>
    <row r="1293" spans="4:4" x14ac:dyDescent="0.4">
      <c r="D1293" s="2"/>
    </row>
    <row r="1294" spans="4:4" x14ac:dyDescent="0.4">
      <c r="D1294" s="2"/>
    </row>
    <row r="1295" spans="4:4" x14ac:dyDescent="0.4">
      <c r="D1295" s="2"/>
    </row>
    <row r="1296" spans="4:4" x14ac:dyDescent="0.4">
      <c r="D1296" s="2"/>
    </row>
    <row r="1297" spans="4:4" x14ac:dyDescent="0.4">
      <c r="D1297" s="2"/>
    </row>
    <row r="1298" spans="4:4" x14ac:dyDescent="0.4">
      <c r="D1298" s="2"/>
    </row>
    <row r="1299" spans="4:4" x14ac:dyDescent="0.4">
      <c r="D1299" s="2"/>
    </row>
    <row r="1300" spans="4:4" x14ac:dyDescent="0.4">
      <c r="D1300" s="2"/>
    </row>
    <row r="1301" spans="4:4" x14ac:dyDescent="0.4">
      <c r="D1301" s="2"/>
    </row>
    <row r="1302" spans="4:4" x14ac:dyDescent="0.4">
      <c r="D1302" s="2"/>
    </row>
    <row r="1303" spans="4:4" x14ac:dyDescent="0.4">
      <c r="D1303" s="2"/>
    </row>
    <row r="1304" spans="4:4" x14ac:dyDescent="0.4">
      <c r="D1304" s="2"/>
    </row>
    <row r="1305" spans="4:4" x14ac:dyDescent="0.4">
      <c r="D1305" s="2"/>
    </row>
    <row r="1306" spans="4:4" x14ac:dyDescent="0.4">
      <c r="D1306" s="2"/>
    </row>
    <row r="1307" spans="4:4" x14ac:dyDescent="0.4">
      <c r="D1307" s="2"/>
    </row>
    <row r="1308" spans="4:4" x14ac:dyDescent="0.4">
      <c r="D1308" s="2"/>
    </row>
    <row r="1309" spans="4:4" x14ac:dyDescent="0.4">
      <c r="D1309" s="2"/>
    </row>
    <row r="1310" spans="4:4" x14ac:dyDescent="0.4">
      <c r="D1310" s="2"/>
    </row>
    <row r="1311" spans="4:4" x14ac:dyDescent="0.4">
      <c r="D1311" s="2"/>
    </row>
    <row r="1312" spans="4:4" x14ac:dyDescent="0.4">
      <c r="D1312" s="2"/>
    </row>
    <row r="1313" spans="4:9" x14ac:dyDescent="0.4">
      <c r="D1313" s="2"/>
    </row>
    <row r="1314" spans="4:9" x14ac:dyDescent="0.4">
      <c r="D1314" s="2"/>
    </row>
    <row r="1315" spans="4:9" x14ac:dyDescent="0.4">
      <c r="D1315" s="2"/>
    </row>
    <row r="1316" spans="4:9" x14ac:dyDescent="0.4">
      <c r="D1316" s="2"/>
    </row>
    <row r="1317" spans="4:9" x14ac:dyDescent="0.4">
      <c r="D1317" s="2"/>
    </row>
    <row r="1318" spans="4:9" x14ac:dyDescent="0.4">
      <c r="D1318" s="2"/>
    </row>
    <row r="1319" spans="4:9" x14ac:dyDescent="0.4">
      <c r="D1319" s="2"/>
    </row>
    <row r="1320" spans="4:9" x14ac:dyDescent="0.4">
      <c r="D1320" s="2"/>
    </row>
    <row r="1321" spans="4:9" x14ac:dyDescent="0.4">
      <c r="D1321" s="2"/>
    </row>
    <row r="1322" spans="4:9" x14ac:dyDescent="0.4">
      <c r="D1322" s="2"/>
    </row>
    <row r="1323" spans="4:9" x14ac:dyDescent="0.4">
      <c r="D1323" s="2"/>
    </row>
    <row r="1324" spans="4:9" x14ac:dyDescent="0.4">
      <c r="D1324" s="2"/>
      <c r="H1324" s="3"/>
      <c r="I1324" s="3"/>
    </row>
    <row r="1325" spans="4:9" x14ac:dyDescent="0.4">
      <c r="D1325" s="2"/>
    </row>
    <row r="1326" spans="4:9" x14ac:dyDescent="0.4">
      <c r="D1326" s="2"/>
    </row>
    <row r="1327" spans="4:9" x14ac:dyDescent="0.4">
      <c r="D1327" s="2"/>
    </row>
    <row r="1328" spans="4:9" x14ac:dyDescent="0.4">
      <c r="D1328" s="2"/>
    </row>
    <row r="1329" spans="4:9" x14ac:dyDescent="0.4">
      <c r="D1329" s="2"/>
    </row>
    <row r="1330" spans="4:9" x14ac:dyDescent="0.4">
      <c r="D1330" s="2"/>
    </row>
    <row r="1331" spans="4:9" x14ac:dyDescent="0.4">
      <c r="D1331" s="2"/>
    </row>
    <row r="1332" spans="4:9" x14ac:dyDescent="0.4">
      <c r="D1332" s="2"/>
    </row>
    <row r="1333" spans="4:9" x14ac:dyDescent="0.4">
      <c r="D1333" s="2"/>
    </row>
    <row r="1334" spans="4:9" x14ac:dyDescent="0.4">
      <c r="D1334" s="2"/>
    </row>
    <row r="1335" spans="4:9" x14ac:dyDescent="0.4">
      <c r="D1335" s="2"/>
    </row>
    <row r="1336" spans="4:9" x14ac:dyDescent="0.4">
      <c r="D1336" s="2"/>
    </row>
    <row r="1337" spans="4:9" x14ac:dyDescent="0.4">
      <c r="D1337" s="2"/>
    </row>
    <row r="1338" spans="4:9" x14ac:dyDescent="0.4">
      <c r="D1338" s="2"/>
    </row>
    <row r="1339" spans="4:9" x14ac:dyDescent="0.4">
      <c r="D1339" s="2"/>
    </row>
    <row r="1340" spans="4:9" x14ac:dyDescent="0.4">
      <c r="D1340" s="2"/>
    </row>
    <row r="1341" spans="4:9" x14ac:dyDescent="0.4">
      <c r="D1341" s="2"/>
    </row>
    <row r="1342" spans="4:9" x14ac:dyDescent="0.4">
      <c r="D1342" s="2"/>
      <c r="H1342" s="3"/>
      <c r="I1342" s="3"/>
    </row>
    <row r="1343" spans="4:9" x14ac:dyDescent="0.4">
      <c r="D1343" s="2"/>
    </row>
    <row r="1344" spans="4:9" x14ac:dyDescent="0.4">
      <c r="D1344" s="2"/>
    </row>
    <row r="1345" spans="4:9" x14ac:dyDescent="0.4">
      <c r="D1345" s="2"/>
    </row>
    <row r="1346" spans="4:9" x14ac:dyDescent="0.4">
      <c r="D1346" s="2"/>
    </row>
    <row r="1347" spans="4:9" x14ac:dyDescent="0.4">
      <c r="D1347" s="2"/>
    </row>
    <row r="1348" spans="4:9" x14ac:dyDescent="0.4">
      <c r="D1348" s="2"/>
    </row>
    <row r="1349" spans="4:9" x14ac:dyDescent="0.4">
      <c r="D1349" s="2"/>
    </row>
    <row r="1350" spans="4:9" x14ac:dyDescent="0.4">
      <c r="D1350" s="2"/>
    </row>
    <row r="1351" spans="4:9" x14ac:dyDescent="0.4">
      <c r="D1351" s="2"/>
    </row>
    <row r="1352" spans="4:9" x14ac:dyDescent="0.4">
      <c r="D1352" s="2"/>
    </row>
    <row r="1353" spans="4:9" x14ac:dyDescent="0.4">
      <c r="D1353" s="2"/>
    </row>
    <row r="1354" spans="4:9" x14ac:dyDescent="0.4">
      <c r="D1354" s="2"/>
      <c r="H1354" s="3"/>
      <c r="I1354" s="3"/>
    </row>
    <row r="1355" spans="4:9" x14ac:dyDescent="0.4">
      <c r="D1355" s="2"/>
    </row>
    <row r="1356" spans="4:9" x14ac:dyDescent="0.4">
      <c r="D1356" s="2"/>
    </row>
    <row r="1357" spans="4:9" x14ac:dyDescent="0.4">
      <c r="D1357" s="2"/>
    </row>
    <row r="1358" spans="4:9" x14ac:dyDescent="0.4">
      <c r="D1358" s="2"/>
    </row>
    <row r="1359" spans="4:9" x14ac:dyDescent="0.4">
      <c r="D1359" s="2"/>
    </row>
    <row r="1360" spans="4:9" x14ac:dyDescent="0.4">
      <c r="D1360" s="2"/>
    </row>
    <row r="1361" spans="4:4" x14ac:dyDescent="0.4">
      <c r="D1361" s="2"/>
    </row>
    <row r="1362" spans="4:4" x14ac:dyDescent="0.4">
      <c r="D1362" s="2"/>
    </row>
    <row r="1363" spans="4:4" x14ac:dyDescent="0.4">
      <c r="D1363" s="2"/>
    </row>
    <row r="1364" spans="4:4" x14ac:dyDescent="0.4">
      <c r="D1364" s="2"/>
    </row>
    <row r="1365" spans="4:4" x14ac:dyDescent="0.4">
      <c r="D1365" s="2"/>
    </row>
    <row r="1366" spans="4:4" x14ac:dyDescent="0.4">
      <c r="D1366" s="2"/>
    </row>
    <row r="1367" spans="4:4" x14ac:dyDescent="0.4">
      <c r="D1367" s="2"/>
    </row>
    <row r="1368" spans="4:4" x14ac:dyDescent="0.4">
      <c r="D1368" s="2"/>
    </row>
    <row r="1369" spans="4:4" x14ac:dyDescent="0.4">
      <c r="D1369" s="2"/>
    </row>
    <row r="1370" spans="4:4" x14ac:dyDescent="0.4">
      <c r="D1370" s="2"/>
    </row>
    <row r="1371" spans="4:4" x14ac:dyDescent="0.4">
      <c r="D1371" s="2"/>
    </row>
    <row r="1372" spans="4:4" x14ac:dyDescent="0.4">
      <c r="D1372" s="2"/>
    </row>
    <row r="1373" spans="4:4" x14ac:dyDescent="0.4">
      <c r="D1373" s="2"/>
    </row>
    <row r="1374" spans="4:4" x14ac:dyDescent="0.4">
      <c r="D1374" s="2"/>
    </row>
    <row r="1375" spans="4:4" x14ac:dyDescent="0.4">
      <c r="D1375" s="2"/>
    </row>
    <row r="1376" spans="4:4" x14ac:dyDescent="0.4">
      <c r="D1376" s="2"/>
    </row>
    <row r="1377" spans="4:9" x14ac:dyDescent="0.4">
      <c r="D1377" s="2"/>
    </row>
    <row r="1378" spans="4:9" x14ac:dyDescent="0.4">
      <c r="D1378" s="2"/>
      <c r="H1378" s="3"/>
      <c r="I1378" s="3"/>
    </row>
    <row r="1379" spans="4:9" x14ac:dyDescent="0.4">
      <c r="D1379" s="2"/>
    </row>
    <row r="1380" spans="4:9" x14ac:dyDescent="0.4">
      <c r="D1380" s="2"/>
    </row>
    <row r="1381" spans="4:9" x14ac:dyDescent="0.4">
      <c r="D1381" s="2"/>
    </row>
    <row r="1382" spans="4:9" x14ac:dyDescent="0.4">
      <c r="D1382" s="2"/>
    </row>
    <row r="1383" spans="4:9" x14ac:dyDescent="0.4">
      <c r="D1383" s="2"/>
    </row>
    <row r="1384" spans="4:9" x14ac:dyDescent="0.4">
      <c r="D1384" s="2"/>
    </row>
    <row r="1385" spans="4:9" x14ac:dyDescent="0.4">
      <c r="D1385" s="2"/>
    </row>
    <row r="1386" spans="4:9" x14ac:dyDescent="0.4">
      <c r="D1386" s="2"/>
    </row>
    <row r="1387" spans="4:9" x14ac:dyDescent="0.4">
      <c r="D1387" s="2"/>
    </row>
    <row r="1388" spans="4:9" x14ac:dyDescent="0.4">
      <c r="D1388" s="2"/>
    </row>
    <row r="1389" spans="4:9" x14ac:dyDescent="0.4">
      <c r="D1389" s="2"/>
    </row>
    <row r="1390" spans="4:9" x14ac:dyDescent="0.4">
      <c r="D1390" s="2"/>
    </row>
    <row r="1391" spans="4:9" x14ac:dyDescent="0.4">
      <c r="D1391" s="2"/>
    </row>
    <row r="1392" spans="4:9" x14ac:dyDescent="0.4">
      <c r="D1392" s="2"/>
    </row>
    <row r="1393" spans="4:4" x14ac:dyDescent="0.4">
      <c r="D1393" s="2"/>
    </row>
    <row r="1394" spans="4:4" x14ac:dyDescent="0.4">
      <c r="D1394" s="2"/>
    </row>
    <row r="1395" spans="4:4" x14ac:dyDescent="0.4">
      <c r="D1395" s="2"/>
    </row>
    <row r="1396" spans="4:4" x14ac:dyDescent="0.4">
      <c r="D1396" s="2"/>
    </row>
    <row r="1397" spans="4:4" x14ac:dyDescent="0.4">
      <c r="D1397" s="2"/>
    </row>
    <row r="1398" spans="4:4" x14ac:dyDescent="0.4">
      <c r="D1398" s="2"/>
    </row>
    <row r="1399" spans="4:4" x14ac:dyDescent="0.4">
      <c r="D1399" s="2"/>
    </row>
    <row r="1400" spans="4:4" x14ac:dyDescent="0.4">
      <c r="D1400" s="2"/>
    </row>
    <row r="1401" spans="4:4" x14ac:dyDescent="0.4">
      <c r="D1401" s="2"/>
    </row>
    <row r="1402" spans="4:4" x14ac:dyDescent="0.4">
      <c r="D1402" s="2"/>
    </row>
    <row r="1403" spans="4:4" x14ac:dyDescent="0.4">
      <c r="D1403" s="2"/>
    </row>
    <row r="1404" spans="4:4" x14ac:dyDescent="0.4">
      <c r="D1404" s="2"/>
    </row>
    <row r="1405" spans="4:4" x14ac:dyDescent="0.4">
      <c r="D1405" s="2"/>
    </row>
    <row r="1406" spans="4:4" x14ac:dyDescent="0.4">
      <c r="D1406" s="2"/>
    </row>
    <row r="1407" spans="4:4" x14ac:dyDescent="0.4">
      <c r="D1407" s="2"/>
    </row>
    <row r="1408" spans="4:4" x14ac:dyDescent="0.4">
      <c r="D1408" s="2"/>
    </row>
    <row r="1409" spans="4:9" x14ac:dyDescent="0.4">
      <c r="D1409" s="2"/>
      <c r="H1409" s="3"/>
      <c r="I1409" s="3"/>
    </row>
    <row r="1410" spans="4:9" x14ac:dyDescent="0.4">
      <c r="D1410" s="2"/>
    </row>
    <row r="1411" spans="4:9" x14ac:dyDescent="0.4">
      <c r="D1411" s="2"/>
    </row>
    <row r="1412" spans="4:9" x14ac:dyDescent="0.4">
      <c r="D1412" s="2"/>
    </row>
    <row r="1413" spans="4:9" x14ac:dyDescent="0.4">
      <c r="D1413" s="2"/>
    </row>
    <row r="1414" spans="4:9" x14ac:dyDescent="0.4">
      <c r="D1414" s="2"/>
    </row>
    <row r="1415" spans="4:9" x14ac:dyDescent="0.4">
      <c r="D1415" s="2"/>
    </row>
    <row r="1416" spans="4:9" x14ac:dyDescent="0.4">
      <c r="D1416" s="2"/>
    </row>
    <row r="1417" spans="4:9" x14ac:dyDescent="0.4">
      <c r="D1417" s="2"/>
    </row>
    <row r="1418" spans="4:9" x14ac:dyDescent="0.4">
      <c r="D1418" s="2"/>
    </row>
    <row r="1419" spans="4:9" x14ac:dyDescent="0.4">
      <c r="D1419" s="2"/>
    </row>
    <row r="1420" spans="4:9" x14ac:dyDescent="0.4">
      <c r="D1420" s="2"/>
    </row>
    <row r="1421" spans="4:9" x14ac:dyDescent="0.4">
      <c r="D1421" s="2"/>
    </row>
    <row r="1422" spans="4:9" x14ac:dyDescent="0.4">
      <c r="D1422" s="2"/>
    </row>
    <row r="1423" spans="4:9" x14ac:dyDescent="0.4">
      <c r="D1423" s="2"/>
    </row>
    <row r="1424" spans="4:9" x14ac:dyDescent="0.4">
      <c r="D1424" s="2"/>
    </row>
    <row r="1425" spans="4:4" x14ac:dyDescent="0.4">
      <c r="D1425" s="2"/>
    </row>
    <row r="1426" spans="4:4" x14ac:dyDescent="0.4">
      <c r="D1426" s="2"/>
    </row>
    <row r="1427" spans="4:4" x14ac:dyDescent="0.4">
      <c r="D1427" s="2"/>
    </row>
    <row r="1428" spans="4:4" x14ac:dyDescent="0.4">
      <c r="D1428" s="2"/>
    </row>
    <row r="1429" spans="4:4" x14ac:dyDescent="0.4">
      <c r="D1429" s="2"/>
    </row>
    <row r="1430" spans="4:4" x14ac:dyDescent="0.4">
      <c r="D1430" s="2"/>
    </row>
    <row r="1431" spans="4:4" x14ac:dyDescent="0.4">
      <c r="D1431" s="2"/>
    </row>
    <row r="1432" spans="4:4" x14ac:dyDescent="0.4">
      <c r="D1432" s="2"/>
    </row>
    <row r="1433" spans="4:4" x14ac:dyDescent="0.4">
      <c r="D1433" s="2"/>
    </row>
    <row r="1434" spans="4:4" x14ac:dyDescent="0.4">
      <c r="D1434" s="2"/>
    </row>
    <row r="1435" spans="4:4" x14ac:dyDescent="0.4">
      <c r="D1435" s="2"/>
    </row>
    <row r="1436" spans="4:4" x14ac:dyDescent="0.4">
      <c r="D1436" s="2"/>
    </row>
    <row r="1437" spans="4:4" x14ac:dyDescent="0.4">
      <c r="D1437" s="2"/>
    </row>
    <row r="1438" spans="4:4" x14ac:dyDescent="0.4">
      <c r="D1438" s="2"/>
    </row>
    <row r="1439" spans="4:4" x14ac:dyDescent="0.4">
      <c r="D1439" s="2"/>
    </row>
    <row r="1440" spans="4:4" x14ac:dyDescent="0.4">
      <c r="D1440" s="2"/>
    </row>
    <row r="1441" spans="4:4" x14ac:dyDescent="0.4">
      <c r="D1441" s="2"/>
    </row>
    <row r="1442" spans="4:4" x14ac:dyDescent="0.4">
      <c r="D1442" s="2"/>
    </row>
    <row r="1443" spans="4:4" x14ac:dyDescent="0.4">
      <c r="D1443" s="2"/>
    </row>
    <row r="1444" spans="4:4" x14ac:dyDescent="0.4">
      <c r="D1444" s="2"/>
    </row>
    <row r="1445" spans="4:4" x14ac:dyDescent="0.4">
      <c r="D1445" s="2"/>
    </row>
    <row r="1446" spans="4:4" x14ac:dyDescent="0.4">
      <c r="D1446" s="2"/>
    </row>
    <row r="1447" spans="4:4" x14ac:dyDescent="0.4">
      <c r="D1447" s="2"/>
    </row>
    <row r="1448" spans="4:4" x14ac:dyDescent="0.4">
      <c r="D1448" s="2"/>
    </row>
    <row r="1449" spans="4:4" x14ac:dyDescent="0.4">
      <c r="D1449" s="2"/>
    </row>
    <row r="1450" spans="4:4" x14ac:dyDescent="0.4">
      <c r="D1450" s="2"/>
    </row>
    <row r="1451" spans="4:4" x14ac:dyDescent="0.4">
      <c r="D1451" s="2"/>
    </row>
    <row r="1452" spans="4:4" x14ac:dyDescent="0.4">
      <c r="D1452" s="2"/>
    </row>
    <row r="1453" spans="4:4" x14ac:dyDescent="0.4">
      <c r="D1453" s="2"/>
    </row>
    <row r="1454" spans="4:4" x14ac:dyDescent="0.4">
      <c r="D1454" s="2"/>
    </row>
    <row r="1455" spans="4:4" x14ac:dyDescent="0.4">
      <c r="D1455" s="2"/>
    </row>
    <row r="1456" spans="4:4" x14ac:dyDescent="0.4">
      <c r="D1456" s="2"/>
    </row>
    <row r="1457" spans="4:4" x14ac:dyDescent="0.4">
      <c r="D1457" s="2"/>
    </row>
    <row r="1458" spans="4:4" x14ac:dyDescent="0.4">
      <c r="D1458" s="2"/>
    </row>
    <row r="1459" spans="4:4" x14ac:dyDescent="0.4">
      <c r="D1459" s="2"/>
    </row>
    <row r="1460" spans="4:4" x14ac:dyDescent="0.4">
      <c r="D1460" s="2"/>
    </row>
    <row r="1461" spans="4:4" x14ac:dyDescent="0.4">
      <c r="D1461" s="2"/>
    </row>
    <row r="1462" spans="4:4" x14ac:dyDescent="0.4">
      <c r="D1462" s="2"/>
    </row>
    <row r="1463" spans="4:4" x14ac:dyDescent="0.4">
      <c r="D1463" s="2"/>
    </row>
    <row r="1464" spans="4:4" x14ac:dyDescent="0.4">
      <c r="D1464" s="2"/>
    </row>
    <row r="1465" spans="4:4" x14ac:dyDescent="0.4">
      <c r="D1465" s="2"/>
    </row>
    <row r="1466" spans="4:4" x14ac:dyDescent="0.4">
      <c r="D1466" s="2"/>
    </row>
    <row r="1467" spans="4:4" x14ac:dyDescent="0.4">
      <c r="D1467" s="2"/>
    </row>
    <row r="1468" spans="4:4" x14ac:dyDescent="0.4">
      <c r="D1468" s="2"/>
    </row>
    <row r="1469" spans="4:4" x14ac:dyDescent="0.4">
      <c r="D1469" s="2"/>
    </row>
    <row r="1470" spans="4:4" x14ac:dyDescent="0.4">
      <c r="D1470" s="2"/>
    </row>
    <row r="1471" spans="4:4" x14ac:dyDescent="0.4">
      <c r="D1471" s="2"/>
    </row>
    <row r="1472" spans="4:4" x14ac:dyDescent="0.4">
      <c r="D1472" s="2"/>
    </row>
    <row r="1473" spans="4:4" x14ac:dyDescent="0.4">
      <c r="D1473" s="2"/>
    </row>
    <row r="1474" spans="4:4" x14ac:dyDescent="0.4">
      <c r="D1474" s="2"/>
    </row>
    <row r="1475" spans="4:4" x14ac:dyDescent="0.4">
      <c r="D1475" s="2"/>
    </row>
    <row r="1476" spans="4:4" x14ac:dyDescent="0.4">
      <c r="D1476" s="2"/>
    </row>
    <row r="1477" spans="4:4" x14ac:dyDescent="0.4">
      <c r="D1477" s="2"/>
    </row>
    <row r="1478" spans="4:4" x14ac:dyDescent="0.4">
      <c r="D1478" s="2"/>
    </row>
    <row r="1479" spans="4:4" x14ac:dyDescent="0.4">
      <c r="D1479" s="2"/>
    </row>
    <row r="1480" spans="4:4" x14ac:dyDescent="0.4">
      <c r="D1480" s="2"/>
    </row>
    <row r="1481" spans="4:4" x14ac:dyDescent="0.4">
      <c r="D1481" s="2"/>
    </row>
    <row r="1482" spans="4:4" x14ac:dyDescent="0.4">
      <c r="D1482" s="2"/>
    </row>
    <row r="1483" spans="4:4" x14ac:dyDescent="0.4">
      <c r="D1483" s="2"/>
    </row>
    <row r="1484" spans="4:4" x14ac:dyDescent="0.4">
      <c r="D1484" s="2"/>
    </row>
    <row r="1485" spans="4:4" x14ac:dyDescent="0.4">
      <c r="D1485" s="2"/>
    </row>
    <row r="1486" spans="4:4" x14ac:dyDescent="0.4">
      <c r="D1486" s="2"/>
    </row>
    <row r="1487" spans="4:4" x14ac:dyDescent="0.4">
      <c r="D1487" s="2"/>
    </row>
    <row r="1488" spans="4:4" x14ac:dyDescent="0.4">
      <c r="D1488" s="2"/>
    </row>
    <row r="1489" spans="4:9" x14ac:dyDescent="0.4">
      <c r="D1489" s="2"/>
    </row>
    <row r="1490" spans="4:9" x14ac:dyDescent="0.4">
      <c r="D1490" s="2"/>
    </row>
    <row r="1491" spans="4:9" x14ac:dyDescent="0.4">
      <c r="D1491" s="2"/>
      <c r="H1491" s="3"/>
      <c r="I1491" s="3"/>
    </row>
    <row r="1492" spans="4:9" x14ac:dyDescent="0.4">
      <c r="D1492" s="2"/>
    </row>
    <row r="1493" spans="4:9" x14ac:dyDescent="0.4">
      <c r="D1493" s="2"/>
    </row>
    <row r="1494" spans="4:9" x14ac:dyDescent="0.4">
      <c r="D1494" s="2"/>
    </row>
    <row r="1495" spans="4:9" x14ac:dyDescent="0.4">
      <c r="D1495" s="2"/>
    </row>
    <row r="1496" spans="4:9" x14ac:dyDescent="0.4">
      <c r="D1496" s="2"/>
    </row>
    <row r="1497" spans="4:9" x14ac:dyDescent="0.4">
      <c r="D1497" s="2"/>
    </row>
    <row r="1498" spans="4:9" x14ac:dyDescent="0.4">
      <c r="D1498" s="2"/>
    </row>
    <row r="1499" spans="4:9" x14ac:dyDescent="0.4">
      <c r="D1499" s="2"/>
    </row>
    <row r="1500" spans="4:9" x14ac:dyDescent="0.4">
      <c r="D1500" s="2"/>
    </row>
    <row r="1501" spans="4:9" x14ac:dyDescent="0.4">
      <c r="D1501" s="2"/>
    </row>
    <row r="1502" spans="4:9" x14ac:dyDescent="0.4">
      <c r="D1502" s="2"/>
    </row>
    <row r="1503" spans="4:9" x14ac:dyDescent="0.4">
      <c r="D1503" s="2"/>
    </row>
    <row r="1504" spans="4:9" x14ac:dyDescent="0.4">
      <c r="D1504" s="2"/>
    </row>
    <row r="1505" spans="4:4" x14ac:dyDescent="0.4">
      <c r="D1505" s="2"/>
    </row>
    <row r="1506" spans="4:4" x14ac:dyDescent="0.4">
      <c r="D1506" s="2"/>
    </row>
    <row r="1507" spans="4:4" x14ac:dyDescent="0.4">
      <c r="D1507" s="2"/>
    </row>
    <row r="1508" spans="4:4" x14ac:dyDescent="0.4">
      <c r="D1508" s="2"/>
    </row>
    <row r="1509" spans="4:4" x14ac:dyDescent="0.4">
      <c r="D1509" s="2"/>
    </row>
    <row r="1510" spans="4:4" x14ac:dyDescent="0.4">
      <c r="D1510" s="2"/>
    </row>
    <row r="1511" spans="4:4" x14ac:dyDescent="0.4">
      <c r="D1511" s="2"/>
    </row>
    <row r="1512" spans="4:4" x14ac:dyDescent="0.4">
      <c r="D1512" s="2"/>
    </row>
    <row r="1513" spans="4:4" x14ac:dyDescent="0.4">
      <c r="D1513" s="2"/>
    </row>
    <row r="1514" spans="4:4" x14ac:dyDescent="0.4">
      <c r="D1514" s="2"/>
    </row>
    <row r="1515" spans="4:4" x14ac:dyDescent="0.4">
      <c r="D1515" s="2"/>
    </row>
    <row r="1516" spans="4:4" x14ac:dyDescent="0.4">
      <c r="D1516" s="2"/>
    </row>
    <row r="1517" spans="4:4" x14ac:dyDescent="0.4">
      <c r="D1517" s="2"/>
    </row>
    <row r="1518" spans="4:4" x14ac:dyDescent="0.4">
      <c r="D1518" s="2"/>
    </row>
    <row r="1519" spans="4:4" x14ac:dyDescent="0.4">
      <c r="D1519" s="2"/>
    </row>
    <row r="1520" spans="4:4" x14ac:dyDescent="0.4">
      <c r="D1520" s="2"/>
    </row>
    <row r="1521" spans="4:4" x14ac:dyDescent="0.4">
      <c r="D1521" s="2"/>
    </row>
    <row r="1522" spans="4:4" x14ac:dyDescent="0.4">
      <c r="D1522" s="2"/>
    </row>
    <row r="1523" spans="4:4" x14ac:dyDescent="0.4">
      <c r="D1523" s="2"/>
    </row>
    <row r="1524" spans="4:4" x14ac:dyDescent="0.4">
      <c r="D1524" s="2"/>
    </row>
    <row r="1525" spans="4:4" x14ac:dyDescent="0.4">
      <c r="D1525" s="2"/>
    </row>
    <row r="1526" spans="4:4" x14ac:dyDescent="0.4">
      <c r="D1526" s="2"/>
    </row>
    <row r="1527" spans="4:4" x14ac:dyDescent="0.4">
      <c r="D1527" s="2"/>
    </row>
    <row r="1528" spans="4:4" x14ac:dyDescent="0.4">
      <c r="D1528" s="2"/>
    </row>
    <row r="1529" spans="4:4" x14ac:dyDescent="0.4">
      <c r="D1529" s="2"/>
    </row>
    <row r="1530" spans="4:4" x14ac:dyDescent="0.4">
      <c r="D1530" s="2"/>
    </row>
    <row r="1531" spans="4:4" x14ac:dyDescent="0.4">
      <c r="D1531" s="2"/>
    </row>
    <row r="1532" spans="4:4" x14ac:dyDescent="0.4">
      <c r="D1532" s="2"/>
    </row>
    <row r="1533" spans="4:4" x14ac:dyDescent="0.4">
      <c r="D1533" s="2"/>
    </row>
    <row r="1534" spans="4:4" x14ac:dyDescent="0.4">
      <c r="D1534" s="2"/>
    </row>
    <row r="1535" spans="4:4" x14ac:dyDescent="0.4">
      <c r="D1535" s="2"/>
    </row>
    <row r="1536" spans="4:4" x14ac:dyDescent="0.4">
      <c r="D1536" s="2"/>
    </row>
    <row r="1537" spans="4:4" x14ac:dyDescent="0.4">
      <c r="D1537" s="2"/>
    </row>
    <row r="1538" spans="4:4" x14ac:dyDescent="0.4">
      <c r="D1538" s="2"/>
    </row>
    <row r="1539" spans="4:4" x14ac:dyDescent="0.4">
      <c r="D1539" s="2"/>
    </row>
    <row r="1540" spans="4:4" x14ac:dyDescent="0.4">
      <c r="D1540" s="2"/>
    </row>
    <row r="1541" spans="4:4" x14ac:dyDescent="0.4">
      <c r="D1541" s="2"/>
    </row>
    <row r="1542" spans="4:4" x14ac:dyDescent="0.4">
      <c r="D1542" s="2"/>
    </row>
    <row r="1543" spans="4:4" x14ac:dyDescent="0.4">
      <c r="D1543" s="2"/>
    </row>
    <row r="1544" spans="4:4" x14ac:dyDescent="0.4">
      <c r="D1544" s="2"/>
    </row>
    <row r="1545" spans="4:4" x14ac:dyDescent="0.4">
      <c r="D1545" s="2"/>
    </row>
    <row r="1546" spans="4:4" x14ac:dyDescent="0.4">
      <c r="D1546" s="2"/>
    </row>
    <row r="1547" spans="4:4" x14ac:dyDescent="0.4">
      <c r="D1547" s="2"/>
    </row>
    <row r="1548" spans="4:4" x14ac:dyDescent="0.4">
      <c r="D1548" s="2"/>
    </row>
    <row r="1549" spans="4:4" x14ac:dyDescent="0.4">
      <c r="D1549" s="2"/>
    </row>
    <row r="1550" spans="4:4" x14ac:dyDescent="0.4">
      <c r="D1550" s="2"/>
    </row>
    <row r="1551" spans="4:4" x14ac:dyDescent="0.4">
      <c r="D1551" s="2"/>
    </row>
    <row r="1552" spans="4:4" x14ac:dyDescent="0.4">
      <c r="D1552" s="2"/>
    </row>
    <row r="1553" spans="4:9" x14ac:dyDescent="0.4">
      <c r="D1553" s="2"/>
    </row>
    <row r="1554" spans="4:9" x14ac:dyDescent="0.4">
      <c r="D1554" s="2"/>
    </row>
    <row r="1555" spans="4:9" x14ac:dyDescent="0.4">
      <c r="D1555" s="2"/>
    </row>
    <row r="1556" spans="4:9" x14ac:dyDescent="0.4">
      <c r="D1556" s="2"/>
    </row>
    <row r="1557" spans="4:9" x14ac:dyDescent="0.4">
      <c r="D1557" s="2"/>
    </row>
    <row r="1558" spans="4:9" x14ac:dyDescent="0.4">
      <c r="D1558" s="2"/>
    </row>
    <row r="1559" spans="4:9" x14ac:dyDescent="0.4">
      <c r="D1559" s="2"/>
    </row>
    <row r="1560" spans="4:9" x14ac:dyDescent="0.4">
      <c r="D1560" s="2"/>
    </row>
    <row r="1561" spans="4:9" x14ac:dyDescent="0.4">
      <c r="D1561" s="2"/>
    </row>
    <row r="1562" spans="4:9" x14ac:dyDescent="0.4">
      <c r="D1562" s="2"/>
    </row>
    <row r="1563" spans="4:9" x14ac:dyDescent="0.4">
      <c r="D1563" s="2"/>
      <c r="H1563" s="3"/>
      <c r="I1563" s="3"/>
    </row>
    <row r="1564" spans="4:9" x14ac:dyDescent="0.4">
      <c r="D1564" s="2"/>
    </row>
    <row r="1565" spans="4:9" x14ac:dyDescent="0.4">
      <c r="D1565" s="2"/>
    </row>
    <row r="1566" spans="4:9" x14ac:dyDescent="0.4">
      <c r="D1566" s="2"/>
    </row>
    <row r="1567" spans="4:9" x14ac:dyDescent="0.4">
      <c r="D1567" s="2"/>
    </row>
    <row r="1568" spans="4:9" x14ac:dyDescent="0.4">
      <c r="D1568" s="2"/>
    </row>
    <row r="1569" spans="4:9" x14ac:dyDescent="0.4">
      <c r="D1569" s="2"/>
    </row>
    <row r="1570" spans="4:9" x14ac:dyDescent="0.4">
      <c r="D1570" s="2"/>
    </row>
    <row r="1571" spans="4:9" x14ac:dyDescent="0.4">
      <c r="D1571" s="2"/>
    </row>
    <row r="1572" spans="4:9" x14ac:dyDescent="0.4">
      <c r="D1572" s="2"/>
    </row>
    <row r="1573" spans="4:9" x14ac:dyDescent="0.4">
      <c r="D1573" s="2"/>
    </row>
    <row r="1574" spans="4:9" x14ac:dyDescent="0.4">
      <c r="D1574" s="2"/>
    </row>
    <row r="1575" spans="4:9" x14ac:dyDescent="0.4">
      <c r="D1575" s="2"/>
    </row>
    <row r="1576" spans="4:9" x14ac:dyDescent="0.4">
      <c r="D1576" s="2"/>
    </row>
    <row r="1577" spans="4:9" x14ac:dyDescent="0.4">
      <c r="D1577" s="2"/>
    </row>
    <row r="1578" spans="4:9" x14ac:dyDescent="0.4">
      <c r="D1578" s="2"/>
    </row>
    <row r="1579" spans="4:9" x14ac:dyDescent="0.4">
      <c r="D1579" s="2"/>
    </row>
    <row r="1580" spans="4:9" x14ac:dyDescent="0.4">
      <c r="D1580" s="2"/>
      <c r="H1580" s="3"/>
      <c r="I1580" s="3"/>
    </row>
    <row r="1581" spans="4:9" x14ac:dyDescent="0.4">
      <c r="D1581" s="2"/>
    </row>
    <row r="1582" spans="4:9" x14ac:dyDescent="0.4">
      <c r="D1582" s="2"/>
    </row>
    <row r="1583" spans="4:9" x14ac:dyDescent="0.4">
      <c r="D1583" s="2"/>
    </row>
    <row r="1584" spans="4:9" x14ac:dyDescent="0.4">
      <c r="D1584" s="2"/>
    </row>
    <row r="1585" spans="4:4" x14ac:dyDescent="0.4">
      <c r="D1585" s="2"/>
    </row>
    <row r="1586" spans="4:4" x14ac:dyDescent="0.4">
      <c r="D1586" s="2"/>
    </row>
    <row r="1587" spans="4:4" x14ac:dyDescent="0.4">
      <c r="D1587" s="2"/>
    </row>
    <row r="1588" spans="4:4" x14ac:dyDescent="0.4">
      <c r="D1588" s="2"/>
    </row>
    <row r="1589" spans="4:4" x14ac:dyDescent="0.4">
      <c r="D1589" s="2"/>
    </row>
    <row r="1590" spans="4:4" x14ac:dyDescent="0.4">
      <c r="D1590" s="2"/>
    </row>
    <row r="1591" spans="4:4" x14ac:dyDescent="0.4">
      <c r="D1591" s="2"/>
    </row>
    <row r="1592" spans="4:4" x14ac:dyDescent="0.4">
      <c r="D1592" s="2"/>
    </row>
    <row r="1593" spans="4:4" x14ac:dyDescent="0.4">
      <c r="D1593" s="2"/>
    </row>
    <row r="1594" spans="4:4" x14ac:dyDescent="0.4">
      <c r="D1594" s="2"/>
    </row>
    <row r="1595" spans="4:4" x14ac:dyDescent="0.4">
      <c r="D1595" s="2"/>
    </row>
    <row r="1596" spans="4:4" x14ac:dyDescent="0.4">
      <c r="D1596" s="2"/>
    </row>
    <row r="1597" spans="4:4" x14ac:dyDescent="0.4">
      <c r="D1597" s="2"/>
    </row>
    <row r="1598" spans="4:4" x14ac:dyDescent="0.4">
      <c r="D1598" s="2"/>
    </row>
    <row r="1599" spans="4:4" x14ac:dyDescent="0.4">
      <c r="D1599" s="2"/>
    </row>
    <row r="1600" spans="4:4" x14ac:dyDescent="0.4">
      <c r="D1600" s="2"/>
    </row>
    <row r="1601" spans="4:9" x14ac:dyDescent="0.4">
      <c r="D1601" s="2"/>
    </row>
    <row r="1602" spans="4:9" x14ac:dyDescent="0.4">
      <c r="D1602" s="2"/>
    </row>
    <row r="1603" spans="4:9" x14ac:dyDescent="0.4">
      <c r="D1603" s="2"/>
      <c r="H1603" s="3"/>
      <c r="I1603" s="3"/>
    </row>
    <row r="1604" spans="4:9" x14ac:dyDescent="0.4">
      <c r="D1604" s="2"/>
    </row>
    <row r="1605" spans="4:9" x14ac:dyDescent="0.4">
      <c r="D1605" s="2"/>
    </row>
    <row r="1606" spans="4:9" x14ac:dyDescent="0.4">
      <c r="D1606" s="2"/>
    </row>
    <row r="1607" spans="4:9" x14ac:dyDescent="0.4">
      <c r="D1607" s="2"/>
    </row>
    <row r="1608" spans="4:9" x14ac:dyDescent="0.4">
      <c r="D1608" s="2"/>
    </row>
    <row r="1609" spans="4:9" x14ac:dyDescent="0.4">
      <c r="D1609" s="2"/>
    </row>
    <row r="1610" spans="4:9" x14ac:dyDescent="0.4">
      <c r="D1610" s="2"/>
    </row>
    <row r="1611" spans="4:9" x14ac:dyDescent="0.4">
      <c r="D1611" s="2"/>
    </row>
    <row r="1612" spans="4:9" x14ac:dyDescent="0.4">
      <c r="D1612" s="2"/>
    </row>
    <row r="1613" spans="4:9" x14ac:dyDescent="0.4">
      <c r="D1613" s="2"/>
    </row>
    <row r="1614" spans="4:9" x14ac:dyDescent="0.4">
      <c r="D1614" s="2"/>
    </row>
    <row r="1615" spans="4:9" x14ac:dyDescent="0.4">
      <c r="D1615" s="2"/>
    </row>
    <row r="1616" spans="4:9" x14ac:dyDescent="0.4">
      <c r="D1616" s="2"/>
    </row>
    <row r="1617" spans="4:4" x14ac:dyDescent="0.4">
      <c r="D1617" s="2"/>
    </row>
    <row r="1618" spans="4:4" x14ac:dyDescent="0.4">
      <c r="D1618" s="2"/>
    </row>
    <row r="1619" spans="4:4" x14ac:dyDescent="0.4">
      <c r="D1619" s="2"/>
    </row>
    <row r="1620" spans="4:4" x14ac:dyDescent="0.4">
      <c r="D1620" s="2"/>
    </row>
    <row r="1621" spans="4:4" x14ac:dyDescent="0.4">
      <c r="D1621" s="2"/>
    </row>
    <row r="1622" spans="4:4" x14ac:dyDescent="0.4">
      <c r="D1622" s="2"/>
    </row>
    <row r="1623" spans="4:4" x14ac:dyDescent="0.4">
      <c r="D1623" s="2"/>
    </row>
    <row r="1624" spans="4:4" x14ac:dyDescent="0.4">
      <c r="D1624" s="2"/>
    </row>
    <row r="1625" spans="4:4" x14ac:dyDescent="0.4">
      <c r="D1625" s="2"/>
    </row>
    <row r="1626" spans="4:4" x14ac:dyDescent="0.4">
      <c r="D1626" s="2"/>
    </row>
    <row r="1627" spans="4:4" x14ac:dyDescent="0.4">
      <c r="D1627" s="2"/>
    </row>
    <row r="1628" spans="4:4" x14ac:dyDescent="0.4">
      <c r="D1628" s="2"/>
    </row>
    <row r="1629" spans="4:4" x14ac:dyDescent="0.4">
      <c r="D1629" s="2"/>
    </row>
    <row r="1630" spans="4:4" x14ac:dyDescent="0.4">
      <c r="D1630" s="2"/>
    </row>
    <row r="1631" spans="4:4" x14ac:dyDescent="0.4">
      <c r="D1631" s="2"/>
    </row>
    <row r="1632" spans="4:4" x14ac:dyDescent="0.4">
      <c r="D1632" s="2"/>
    </row>
    <row r="1633" spans="4:4" x14ac:dyDescent="0.4">
      <c r="D1633" s="2"/>
    </row>
    <row r="1634" spans="4:4" x14ac:dyDescent="0.4">
      <c r="D1634" s="2"/>
    </row>
    <row r="1635" spans="4:4" x14ac:dyDescent="0.4">
      <c r="D1635" s="2"/>
    </row>
    <row r="1636" spans="4:4" x14ac:dyDescent="0.4">
      <c r="D1636" s="2"/>
    </row>
    <row r="1637" spans="4:4" x14ac:dyDescent="0.4">
      <c r="D1637" s="2"/>
    </row>
    <row r="1638" spans="4:4" x14ac:dyDescent="0.4">
      <c r="D1638" s="2"/>
    </row>
    <row r="1639" spans="4:4" x14ac:dyDescent="0.4">
      <c r="D1639" s="2"/>
    </row>
    <row r="1640" spans="4:4" x14ac:dyDescent="0.4">
      <c r="D1640" s="2"/>
    </row>
    <row r="1641" spans="4:4" x14ac:dyDescent="0.4">
      <c r="D1641" s="2"/>
    </row>
    <row r="1642" spans="4:4" x14ac:dyDescent="0.4">
      <c r="D1642" s="2"/>
    </row>
    <row r="1643" spans="4:4" x14ac:dyDescent="0.4">
      <c r="D1643" s="2"/>
    </row>
    <row r="1644" spans="4:4" x14ac:dyDescent="0.4">
      <c r="D1644" s="2"/>
    </row>
    <row r="1645" spans="4:4" x14ac:dyDescent="0.4">
      <c r="D1645" s="2"/>
    </row>
    <row r="1646" spans="4:4" x14ac:dyDescent="0.4">
      <c r="D1646" s="2"/>
    </row>
    <row r="1647" spans="4:4" x14ac:dyDescent="0.4">
      <c r="D1647" s="2"/>
    </row>
    <row r="1648" spans="4:4" x14ac:dyDescent="0.4">
      <c r="D1648" s="2"/>
    </row>
    <row r="1649" spans="4:4" x14ac:dyDescent="0.4">
      <c r="D1649" s="2"/>
    </row>
    <row r="1650" spans="4:4" x14ac:dyDescent="0.4">
      <c r="D1650" s="2"/>
    </row>
    <row r="1651" spans="4:4" x14ac:dyDescent="0.4">
      <c r="D1651" s="2"/>
    </row>
    <row r="1652" spans="4:4" x14ac:dyDescent="0.4">
      <c r="D1652" s="2"/>
    </row>
    <row r="1653" spans="4:4" x14ac:dyDescent="0.4">
      <c r="D1653" s="2"/>
    </row>
    <row r="1654" spans="4:4" x14ac:dyDescent="0.4">
      <c r="D1654" s="2"/>
    </row>
    <row r="1655" spans="4:4" x14ac:dyDescent="0.4">
      <c r="D1655" s="2"/>
    </row>
    <row r="1656" spans="4:4" x14ac:dyDescent="0.4">
      <c r="D1656" s="2"/>
    </row>
    <row r="1657" spans="4:4" x14ac:dyDescent="0.4">
      <c r="D1657" s="2"/>
    </row>
    <row r="1658" spans="4:4" x14ac:dyDescent="0.4">
      <c r="D1658" s="2"/>
    </row>
    <row r="1659" spans="4:4" x14ac:dyDescent="0.4">
      <c r="D1659" s="2"/>
    </row>
    <row r="1660" spans="4:4" x14ac:dyDescent="0.4">
      <c r="D1660" s="2"/>
    </row>
    <row r="1661" spans="4:4" x14ac:dyDescent="0.4">
      <c r="D1661" s="2"/>
    </row>
    <row r="1662" spans="4:4" x14ac:dyDescent="0.4">
      <c r="D1662" s="2"/>
    </row>
    <row r="1663" spans="4:4" x14ac:dyDescent="0.4">
      <c r="D1663" s="2"/>
    </row>
    <row r="1664" spans="4:4" x14ac:dyDescent="0.4">
      <c r="D1664" s="2"/>
    </row>
    <row r="1665" spans="4:4" x14ac:dyDescent="0.4">
      <c r="D1665" s="2"/>
    </row>
    <row r="1666" spans="4:4" x14ac:dyDescent="0.4">
      <c r="D1666" s="2"/>
    </row>
    <row r="1667" spans="4:4" x14ac:dyDescent="0.4">
      <c r="D1667" s="2"/>
    </row>
    <row r="1668" spans="4:4" x14ac:dyDescent="0.4">
      <c r="D1668" s="2"/>
    </row>
    <row r="1669" spans="4:4" x14ac:dyDescent="0.4">
      <c r="D1669" s="2"/>
    </row>
    <row r="1670" spans="4:4" x14ac:dyDescent="0.4">
      <c r="D1670" s="2"/>
    </row>
    <row r="1671" spans="4:4" x14ac:dyDescent="0.4">
      <c r="D1671" s="2"/>
    </row>
    <row r="1672" spans="4:4" x14ac:dyDescent="0.4">
      <c r="D1672" s="2"/>
    </row>
    <row r="1673" spans="4:4" x14ac:dyDescent="0.4">
      <c r="D1673" s="2"/>
    </row>
    <row r="1674" spans="4:4" x14ac:dyDescent="0.4">
      <c r="D1674" s="2"/>
    </row>
    <row r="1675" spans="4:4" x14ac:dyDescent="0.4">
      <c r="D1675" s="2"/>
    </row>
    <row r="1676" spans="4:4" x14ac:dyDescent="0.4">
      <c r="D1676" s="2"/>
    </row>
    <row r="1677" spans="4:4" x14ac:dyDescent="0.4">
      <c r="D1677" s="2"/>
    </row>
    <row r="1678" spans="4:4" x14ac:dyDescent="0.4">
      <c r="D1678" s="2"/>
    </row>
    <row r="1679" spans="4:4" x14ac:dyDescent="0.4">
      <c r="D1679" s="2"/>
    </row>
    <row r="1680" spans="4:4" x14ac:dyDescent="0.4">
      <c r="D1680" s="2"/>
    </row>
    <row r="1681" spans="4:4" x14ac:dyDescent="0.4">
      <c r="D1681" s="2"/>
    </row>
    <row r="1682" spans="4:4" x14ac:dyDescent="0.4">
      <c r="D1682" s="2"/>
    </row>
    <row r="1683" spans="4:4" x14ac:dyDescent="0.4">
      <c r="D1683" s="2"/>
    </row>
    <row r="1684" spans="4:4" x14ac:dyDescent="0.4">
      <c r="D1684" s="2"/>
    </row>
    <row r="1685" spans="4:4" x14ac:dyDescent="0.4">
      <c r="D1685" s="2"/>
    </row>
    <row r="1686" spans="4:4" x14ac:dyDescent="0.4">
      <c r="D1686" s="2"/>
    </row>
    <row r="1687" spans="4:4" x14ac:dyDescent="0.4">
      <c r="D1687" s="2"/>
    </row>
    <row r="1688" spans="4:4" x14ac:dyDescent="0.4">
      <c r="D1688" s="2"/>
    </row>
    <row r="1689" spans="4:4" x14ac:dyDescent="0.4">
      <c r="D1689" s="2"/>
    </row>
    <row r="1690" spans="4:4" x14ac:dyDescent="0.4">
      <c r="D1690" s="2"/>
    </row>
    <row r="1691" spans="4:4" x14ac:dyDescent="0.4">
      <c r="D1691" s="2"/>
    </row>
    <row r="1692" spans="4:4" x14ac:dyDescent="0.4">
      <c r="D1692" s="2"/>
    </row>
    <row r="1693" spans="4:4" x14ac:dyDescent="0.4">
      <c r="D1693" s="2"/>
    </row>
    <row r="1694" spans="4:4" x14ac:dyDescent="0.4">
      <c r="D1694" s="2"/>
    </row>
    <row r="1695" spans="4:4" x14ac:dyDescent="0.4">
      <c r="D1695" s="2"/>
    </row>
    <row r="1696" spans="4:4" x14ac:dyDescent="0.4">
      <c r="D1696" s="2"/>
    </row>
    <row r="1697" spans="4:4" x14ac:dyDescent="0.4">
      <c r="D1697" s="2"/>
    </row>
    <row r="1698" spans="4:4" x14ac:dyDescent="0.4">
      <c r="D1698" s="2"/>
    </row>
    <row r="1699" spans="4:4" x14ac:dyDescent="0.4">
      <c r="D1699" s="2"/>
    </row>
    <row r="1700" spans="4:4" x14ac:dyDescent="0.4">
      <c r="D1700" s="2"/>
    </row>
    <row r="1701" spans="4:4" x14ac:dyDescent="0.4">
      <c r="D1701" s="2"/>
    </row>
    <row r="1702" spans="4:4" x14ac:dyDescent="0.4">
      <c r="D1702" s="2"/>
    </row>
    <row r="1703" spans="4:4" x14ac:dyDescent="0.4">
      <c r="D1703" s="2"/>
    </row>
    <row r="1704" spans="4:4" x14ac:dyDescent="0.4">
      <c r="D1704" s="2"/>
    </row>
    <row r="1705" spans="4:4" x14ac:dyDescent="0.4">
      <c r="D1705" s="2"/>
    </row>
    <row r="1706" spans="4:4" x14ac:dyDescent="0.4">
      <c r="D1706" s="2"/>
    </row>
    <row r="1707" spans="4:4" x14ac:dyDescent="0.4">
      <c r="D1707" s="2"/>
    </row>
    <row r="1708" spans="4:4" x14ac:dyDescent="0.4">
      <c r="D1708" s="2"/>
    </row>
    <row r="1709" spans="4:4" x14ac:dyDescent="0.4">
      <c r="D1709" s="2"/>
    </row>
    <row r="1710" spans="4:4" x14ac:dyDescent="0.4">
      <c r="D1710" s="2"/>
    </row>
    <row r="1711" spans="4:4" x14ac:dyDescent="0.4">
      <c r="D1711" s="2"/>
    </row>
    <row r="1712" spans="4:4" x14ac:dyDescent="0.4">
      <c r="D1712" s="2"/>
    </row>
    <row r="1713" spans="4:4" x14ac:dyDescent="0.4">
      <c r="D1713" s="2"/>
    </row>
    <row r="1714" spans="4:4" x14ac:dyDescent="0.4">
      <c r="D1714" s="2"/>
    </row>
    <row r="1715" spans="4:4" x14ac:dyDescent="0.4">
      <c r="D1715" s="2"/>
    </row>
    <row r="1716" spans="4:4" x14ac:dyDescent="0.4">
      <c r="D1716" s="2"/>
    </row>
    <row r="1717" spans="4:4" x14ac:dyDescent="0.4">
      <c r="D1717" s="2"/>
    </row>
    <row r="1718" spans="4:4" x14ac:dyDescent="0.4">
      <c r="D1718" s="2"/>
    </row>
    <row r="1719" spans="4:4" x14ac:dyDescent="0.4">
      <c r="D1719" s="2"/>
    </row>
    <row r="1720" spans="4:4" x14ac:dyDescent="0.4">
      <c r="D1720" s="2"/>
    </row>
    <row r="1721" spans="4:4" x14ac:dyDescent="0.4">
      <c r="D1721" s="2"/>
    </row>
    <row r="1722" spans="4:4" x14ac:dyDescent="0.4">
      <c r="D1722" s="2"/>
    </row>
    <row r="1723" spans="4:4" x14ac:dyDescent="0.4">
      <c r="D1723" s="2"/>
    </row>
    <row r="1724" spans="4:4" x14ac:dyDescent="0.4">
      <c r="D1724" s="2"/>
    </row>
    <row r="1725" spans="4:4" x14ac:dyDescent="0.4">
      <c r="D1725" s="2"/>
    </row>
    <row r="1726" spans="4:4" x14ac:dyDescent="0.4">
      <c r="D1726" s="2"/>
    </row>
    <row r="1727" spans="4:4" x14ac:dyDescent="0.4">
      <c r="D1727" s="2"/>
    </row>
    <row r="1728" spans="4:4" x14ac:dyDescent="0.4">
      <c r="D1728" s="2"/>
    </row>
    <row r="1729" spans="4:4" x14ac:dyDescent="0.4">
      <c r="D1729" s="2"/>
    </row>
    <row r="1730" spans="4:4" x14ac:dyDescent="0.4">
      <c r="D1730" s="2"/>
    </row>
    <row r="1731" spans="4:4" x14ac:dyDescent="0.4">
      <c r="D1731" s="2"/>
    </row>
    <row r="1732" spans="4:4" x14ac:dyDescent="0.4">
      <c r="D1732" s="2"/>
    </row>
    <row r="1733" spans="4:4" x14ac:dyDescent="0.4">
      <c r="D1733" s="2"/>
    </row>
    <row r="1734" spans="4:4" x14ac:dyDescent="0.4">
      <c r="D1734" s="2"/>
    </row>
    <row r="1735" spans="4:4" x14ac:dyDescent="0.4">
      <c r="D1735" s="2"/>
    </row>
    <row r="1736" spans="4:4" x14ac:dyDescent="0.4">
      <c r="D1736" s="2"/>
    </row>
    <row r="1737" spans="4:4" x14ac:dyDescent="0.4">
      <c r="D1737" s="2"/>
    </row>
    <row r="1738" spans="4:4" x14ac:dyDescent="0.4">
      <c r="D1738" s="2"/>
    </row>
    <row r="1739" spans="4:4" x14ac:dyDescent="0.4">
      <c r="D1739" s="2"/>
    </row>
    <row r="1740" spans="4:4" x14ac:dyDescent="0.4">
      <c r="D1740" s="2"/>
    </row>
    <row r="1741" spans="4:4" x14ac:dyDescent="0.4">
      <c r="D1741" s="2"/>
    </row>
    <row r="1742" spans="4:4" x14ac:dyDescent="0.4">
      <c r="D1742" s="2"/>
    </row>
    <row r="1743" spans="4:4" x14ac:dyDescent="0.4">
      <c r="D1743" s="2"/>
    </row>
    <row r="1744" spans="4:4" x14ac:dyDescent="0.4">
      <c r="D1744" s="2"/>
    </row>
    <row r="1745" spans="4:4" x14ac:dyDescent="0.4">
      <c r="D1745" s="2"/>
    </row>
    <row r="1746" spans="4:4" x14ac:dyDescent="0.4">
      <c r="D1746" s="2"/>
    </row>
    <row r="1747" spans="4:4" x14ac:dyDescent="0.4">
      <c r="D1747" s="2"/>
    </row>
    <row r="1748" spans="4:4" x14ac:dyDescent="0.4">
      <c r="D1748" s="2"/>
    </row>
    <row r="1749" spans="4:4" x14ac:dyDescent="0.4">
      <c r="D1749" s="2"/>
    </row>
    <row r="1750" spans="4:4" x14ac:dyDescent="0.4">
      <c r="D1750" s="2"/>
    </row>
    <row r="1751" spans="4:4" x14ac:dyDescent="0.4">
      <c r="D1751" s="2"/>
    </row>
    <row r="1752" spans="4:4" x14ac:dyDescent="0.4">
      <c r="D1752" s="2"/>
    </row>
    <row r="1753" spans="4:4" x14ac:dyDescent="0.4">
      <c r="D1753" s="2"/>
    </row>
    <row r="1754" spans="4:4" x14ac:dyDescent="0.4">
      <c r="D1754" s="2"/>
    </row>
    <row r="1755" spans="4:4" x14ac:dyDescent="0.4">
      <c r="D1755" s="2"/>
    </row>
    <row r="1756" spans="4:4" x14ac:dyDescent="0.4">
      <c r="D1756" s="2"/>
    </row>
    <row r="1757" spans="4:4" x14ac:dyDescent="0.4">
      <c r="D1757" s="2"/>
    </row>
    <row r="1758" spans="4:4" x14ac:dyDescent="0.4">
      <c r="D1758" s="2"/>
    </row>
    <row r="1759" spans="4:4" x14ac:dyDescent="0.4">
      <c r="D1759" s="2"/>
    </row>
    <row r="1760" spans="4:4" x14ac:dyDescent="0.4">
      <c r="D1760" s="2"/>
    </row>
    <row r="1761" spans="4:4" x14ac:dyDescent="0.4">
      <c r="D1761" s="2"/>
    </row>
    <row r="1762" spans="4:4" x14ac:dyDescent="0.4">
      <c r="D1762" s="2"/>
    </row>
    <row r="1763" spans="4:4" x14ac:dyDescent="0.4">
      <c r="D1763" s="2"/>
    </row>
    <row r="1764" spans="4:4" x14ac:dyDescent="0.4">
      <c r="D1764" s="2"/>
    </row>
    <row r="1765" spans="4:4" x14ac:dyDescent="0.4">
      <c r="D1765" s="2"/>
    </row>
    <row r="1766" spans="4:4" x14ac:dyDescent="0.4">
      <c r="D1766" s="2"/>
    </row>
    <row r="1767" spans="4:4" x14ac:dyDescent="0.4">
      <c r="D1767" s="2"/>
    </row>
    <row r="1768" spans="4:4" x14ac:dyDescent="0.4">
      <c r="D1768" s="2"/>
    </row>
    <row r="1769" spans="4:4" x14ac:dyDescent="0.4">
      <c r="D1769" s="2"/>
    </row>
    <row r="1770" spans="4:4" x14ac:dyDescent="0.4">
      <c r="D1770" s="2"/>
    </row>
    <row r="1771" spans="4:4" x14ac:dyDescent="0.4">
      <c r="D1771" s="2"/>
    </row>
    <row r="1772" spans="4:4" x14ac:dyDescent="0.4">
      <c r="D1772" s="2"/>
    </row>
    <row r="1773" spans="4:4" x14ac:dyDescent="0.4">
      <c r="D1773" s="2"/>
    </row>
    <row r="1774" spans="4:4" x14ac:dyDescent="0.4">
      <c r="D1774" s="2"/>
    </row>
    <row r="1775" spans="4:4" x14ac:dyDescent="0.4">
      <c r="D1775" s="2"/>
    </row>
    <row r="1776" spans="4:4" x14ac:dyDescent="0.4">
      <c r="D1776" s="2"/>
    </row>
    <row r="1777" spans="4:4" x14ac:dyDescent="0.4">
      <c r="D1777" s="2"/>
    </row>
    <row r="1778" spans="4:4" x14ac:dyDescent="0.4">
      <c r="D1778" s="2"/>
    </row>
    <row r="1779" spans="4:4" x14ac:dyDescent="0.4">
      <c r="D1779" s="2"/>
    </row>
    <row r="1780" spans="4:4" x14ac:dyDescent="0.4">
      <c r="D1780" s="2"/>
    </row>
    <row r="1781" spans="4:4" x14ac:dyDescent="0.4">
      <c r="D1781" s="2"/>
    </row>
    <row r="1782" spans="4:4" x14ac:dyDescent="0.4">
      <c r="D1782" s="2"/>
    </row>
    <row r="1783" spans="4:4" x14ac:dyDescent="0.4">
      <c r="D1783" s="2"/>
    </row>
    <row r="1784" spans="4:4" x14ac:dyDescent="0.4">
      <c r="D1784" s="2"/>
    </row>
    <row r="1785" spans="4:4" x14ac:dyDescent="0.4">
      <c r="D1785" s="2"/>
    </row>
    <row r="1786" spans="4:4" x14ac:dyDescent="0.4">
      <c r="D1786" s="2"/>
    </row>
    <row r="1787" spans="4:4" x14ac:dyDescent="0.4">
      <c r="D1787" s="2"/>
    </row>
    <row r="1788" spans="4:4" x14ac:dyDescent="0.4">
      <c r="D1788" s="2"/>
    </row>
    <row r="1789" spans="4:4" x14ac:dyDescent="0.4">
      <c r="D1789" s="2"/>
    </row>
    <row r="1790" spans="4:4" x14ac:dyDescent="0.4">
      <c r="D1790" s="2"/>
    </row>
    <row r="1791" spans="4:4" x14ac:dyDescent="0.4">
      <c r="D1791" s="2"/>
    </row>
    <row r="1792" spans="4:4" x14ac:dyDescent="0.4">
      <c r="D1792" s="2"/>
    </row>
    <row r="1793" spans="4:4" x14ac:dyDescent="0.4">
      <c r="D1793" s="2"/>
    </row>
    <row r="1794" spans="4:4" x14ac:dyDescent="0.4">
      <c r="D1794" s="2"/>
    </row>
    <row r="1795" spans="4:4" x14ac:dyDescent="0.4">
      <c r="D1795" s="2"/>
    </row>
    <row r="1796" spans="4:4" x14ac:dyDescent="0.4">
      <c r="D1796" s="2"/>
    </row>
    <row r="1797" spans="4:4" x14ac:dyDescent="0.4">
      <c r="D1797" s="2"/>
    </row>
    <row r="1798" spans="4:4" x14ac:dyDescent="0.4">
      <c r="D1798" s="2"/>
    </row>
    <row r="1799" spans="4:4" x14ac:dyDescent="0.4">
      <c r="D1799" s="2"/>
    </row>
    <row r="1800" spans="4:4" x14ac:dyDescent="0.4">
      <c r="D1800" s="2"/>
    </row>
    <row r="1801" spans="4:4" x14ac:dyDescent="0.4">
      <c r="D1801" s="2"/>
    </row>
    <row r="1802" spans="4:4" x14ac:dyDescent="0.4">
      <c r="D1802" s="2"/>
    </row>
    <row r="1803" spans="4:4" x14ac:dyDescent="0.4">
      <c r="D1803" s="2"/>
    </row>
    <row r="1804" spans="4:4" x14ac:dyDescent="0.4">
      <c r="D1804" s="2"/>
    </row>
    <row r="1805" spans="4:4" x14ac:dyDescent="0.4">
      <c r="D1805" s="2"/>
    </row>
    <row r="1806" spans="4:4" x14ac:dyDescent="0.4">
      <c r="D1806" s="2"/>
    </row>
    <row r="1807" spans="4:4" x14ac:dyDescent="0.4">
      <c r="D1807" s="2"/>
    </row>
    <row r="1808" spans="4:4" x14ac:dyDescent="0.4">
      <c r="D1808" s="2"/>
    </row>
    <row r="1809" spans="4:4" x14ac:dyDescent="0.4">
      <c r="D1809" s="2"/>
    </row>
    <row r="1810" spans="4:4" x14ac:dyDescent="0.4">
      <c r="D1810" s="2"/>
    </row>
    <row r="1811" spans="4:4" x14ac:dyDescent="0.4">
      <c r="D1811" s="2"/>
    </row>
    <row r="1812" spans="4:4" x14ac:dyDescent="0.4">
      <c r="D1812" s="2"/>
    </row>
    <row r="1813" spans="4:4" x14ac:dyDescent="0.4">
      <c r="D1813" s="2"/>
    </row>
    <row r="1814" spans="4:4" x14ac:dyDescent="0.4">
      <c r="D1814" s="2"/>
    </row>
    <row r="1815" spans="4:4" x14ac:dyDescent="0.4">
      <c r="D1815" s="2"/>
    </row>
    <row r="1816" spans="4:4" x14ac:dyDescent="0.4">
      <c r="D1816" s="2"/>
    </row>
    <row r="1817" spans="4:4" x14ac:dyDescent="0.4">
      <c r="D1817" s="2"/>
    </row>
    <row r="1818" spans="4:4" x14ac:dyDescent="0.4">
      <c r="D1818" s="2"/>
    </row>
    <row r="1819" spans="4:4" x14ac:dyDescent="0.4">
      <c r="D1819" s="2"/>
    </row>
    <row r="1820" spans="4:4" x14ac:dyDescent="0.4">
      <c r="D1820" s="2"/>
    </row>
    <row r="1821" spans="4:4" x14ac:dyDescent="0.4">
      <c r="D1821" s="2"/>
    </row>
    <row r="1822" spans="4:4" x14ac:dyDescent="0.4">
      <c r="D1822" s="2"/>
    </row>
    <row r="1823" spans="4:4" x14ac:dyDescent="0.4">
      <c r="D1823" s="2"/>
    </row>
    <row r="1824" spans="4:4" x14ac:dyDescent="0.4">
      <c r="D1824" s="2"/>
    </row>
    <row r="1825" spans="4:4" x14ac:dyDescent="0.4">
      <c r="D1825" s="2"/>
    </row>
    <row r="1826" spans="4:4" x14ac:dyDescent="0.4">
      <c r="D1826" s="2"/>
    </row>
    <row r="1827" spans="4:4" x14ac:dyDescent="0.4">
      <c r="D1827" s="2"/>
    </row>
    <row r="1828" spans="4:4" x14ac:dyDescent="0.4">
      <c r="D1828" s="2"/>
    </row>
    <row r="1829" spans="4:4" x14ac:dyDescent="0.4">
      <c r="D1829" s="2"/>
    </row>
    <row r="1830" spans="4:4" x14ac:dyDescent="0.4">
      <c r="D1830" s="2"/>
    </row>
    <row r="1831" spans="4:4" x14ac:dyDescent="0.4">
      <c r="D1831" s="2"/>
    </row>
    <row r="1832" spans="4:4" x14ac:dyDescent="0.4">
      <c r="D1832" s="2"/>
    </row>
    <row r="1833" spans="4:4" x14ac:dyDescent="0.4">
      <c r="D1833" s="2"/>
    </row>
    <row r="1834" spans="4:4" x14ac:dyDescent="0.4">
      <c r="D1834" s="2"/>
    </row>
    <row r="1835" spans="4:4" x14ac:dyDescent="0.4">
      <c r="D1835" s="2"/>
    </row>
    <row r="1836" spans="4:4" x14ac:dyDescent="0.4">
      <c r="D1836" s="2"/>
    </row>
    <row r="1837" spans="4:4" x14ac:dyDescent="0.4">
      <c r="D1837" s="2"/>
    </row>
    <row r="1838" spans="4:4" x14ac:dyDescent="0.4">
      <c r="D1838" s="2"/>
    </row>
    <row r="1839" spans="4:4" x14ac:dyDescent="0.4">
      <c r="D1839" s="2"/>
    </row>
    <row r="1840" spans="4:4" x14ac:dyDescent="0.4">
      <c r="D1840" s="2"/>
    </row>
    <row r="1841" spans="4:4" x14ac:dyDescent="0.4">
      <c r="D1841" s="2"/>
    </row>
    <row r="1842" spans="4:4" x14ac:dyDescent="0.4">
      <c r="D1842" s="2"/>
    </row>
    <row r="1843" spans="4:4" x14ac:dyDescent="0.4">
      <c r="D1843" s="2"/>
    </row>
    <row r="1844" spans="4:4" x14ac:dyDescent="0.4">
      <c r="D1844" s="2"/>
    </row>
    <row r="1845" spans="4:4" x14ac:dyDescent="0.4">
      <c r="D1845" s="2"/>
    </row>
    <row r="1846" spans="4:4" x14ac:dyDescent="0.4">
      <c r="D1846" s="2"/>
    </row>
    <row r="1847" spans="4:4" x14ac:dyDescent="0.4">
      <c r="D1847" s="2"/>
    </row>
    <row r="1848" spans="4:4" x14ac:dyDescent="0.4">
      <c r="D1848" s="2"/>
    </row>
    <row r="1849" spans="4:4" x14ac:dyDescent="0.4">
      <c r="D1849" s="2"/>
    </row>
    <row r="1850" spans="4:4" x14ac:dyDescent="0.4">
      <c r="D1850" s="2"/>
    </row>
    <row r="1851" spans="4:4" x14ac:dyDescent="0.4">
      <c r="D1851" s="2"/>
    </row>
    <row r="1852" spans="4:4" x14ac:dyDescent="0.4">
      <c r="D1852" s="2"/>
    </row>
    <row r="1853" spans="4:4" x14ac:dyDescent="0.4">
      <c r="D1853" s="2"/>
    </row>
    <row r="1854" spans="4:4" x14ac:dyDescent="0.4">
      <c r="D1854" s="2"/>
    </row>
    <row r="1855" spans="4:4" x14ac:dyDescent="0.4">
      <c r="D1855" s="2"/>
    </row>
    <row r="1856" spans="4:4" x14ac:dyDescent="0.4">
      <c r="D1856" s="2"/>
    </row>
    <row r="1857" spans="4:4" x14ac:dyDescent="0.4">
      <c r="D1857" s="2"/>
    </row>
    <row r="1858" spans="4:4" x14ac:dyDescent="0.4">
      <c r="D1858" s="2"/>
    </row>
    <row r="1859" spans="4:4" x14ac:dyDescent="0.4">
      <c r="D1859" s="2"/>
    </row>
    <row r="1860" spans="4:4" x14ac:dyDescent="0.4">
      <c r="D1860" s="2"/>
    </row>
    <row r="1861" spans="4:4" x14ac:dyDescent="0.4">
      <c r="D1861" s="2"/>
    </row>
    <row r="1862" spans="4:4" x14ac:dyDescent="0.4">
      <c r="D1862" s="2"/>
    </row>
    <row r="1863" spans="4:4" x14ac:dyDescent="0.4">
      <c r="D1863" s="2"/>
    </row>
    <row r="1864" spans="4:4" x14ac:dyDescent="0.4">
      <c r="D1864" s="2"/>
    </row>
    <row r="1865" spans="4:4" x14ac:dyDescent="0.4">
      <c r="D1865" s="2"/>
    </row>
    <row r="1866" spans="4:4" x14ac:dyDescent="0.4">
      <c r="D1866" s="2"/>
    </row>
    <row r="1867" spans="4:4" x14ac:dyDescent="0.4">
      <c r="D1867" s="2"/>
    </row>
    <row r="1868" spans="4:4" x14ac:dyDescent="0.4">
      <c r="D1868" s="2"/>
    </row>
    <row r="1869" spans="4:4" x14ac:dyDescent="0.4">
      <c r="D1869" s="2"/>
    </row>
    <row r="1870" spans="4:4" x14ac:dyDescent="0.4">
      <c r="D1870" s="2"/>
    </row>
    <row r="1871" spans="4:4" x14ac:dyDescent="0.4">
      <c r="D1871" s="2"/>
    </row>
    <row r="1872" spans="4:4" x14ac:dyDescent="0.4">
      <c r="D1872" s="2"/>
    </row>
    <row r="1873" spans="4:4" x14ac:dyDescent="0.4">
      <c r="D1873" s="2"/>
    </row>
    <row r="1874" spans="4:4" x14ac:dyDescent="0.4">
      <c r="D1874" s="2"/>
    </row>
    <row r="1875" spans="4:4" x14ac:dyDescent="0.4">
      <c r="D1875" s="2"/>
    </row>
    <row r="1876" spans="4:4" x14ac:dyDescent="0.4">
      <c r="D1876" s="2"/>
    </row>
    <row r="1877" spans="4:4" x14ac:dyDescent="0.4">
      <c r="D1877" s="2"/>
    </row>
    <row r="1878" spans="4:4" x14ac:dyDescent="0.4">
      <c r="D1878" s="2"/>
    </row>
    <row r="1879" spans="4:4" x14ac:dyDescent="0.4">
      <c r="D1879" s="2"/>
    </row>
    <row r="1880" spans="4:4" x14ac:dyDescent="0.4">
      <c r="D1880" s="2"/>
    </row>
    <row r="1881" spans="4:4" x14ac:dyDescent="0.4">
      <c r="D1881" s="2"/>
    </row>
    <row r="1882" spans="4:4" x14ac:dyDescent="0.4">
      <c r="D1882" s="2"/>
    </row>
    <row r="1883" spans="4:4" x14ac:dyDescent="0.4">
      <c r="D1883" s="2"/>
    </row>
    <row r="1884" spans="4:4" x14ac:dyDescent="0.4">
      <c r="D1884" s="2"/>
    </row>
    <row r="1885" spans="4:4" x14ac:dyDescent="0.4">
      <c r="D1885" s="2"/>
    </row>
    <row r="1886" spans="4:4" x14ac:dyDescent="0.4">
      <c r="D1886" s="2"/>
    </row>
    <row r="1887" spans="4:4" x14ac:dyDescent="0.4">
      <c r="D1887" s="2"/>
    </row>
    <row r="1888" spans="4:4" x14ac:dyDescent="0.4">
      <c r="D1888" s="2"/>
    </row>
    <row r="1889" spans="4:4" x14ac:dyDescent="0.4">
      <c r="D1889" s="2"/>
    </row>
    <row r="1890" spans="4:4" x14ac:dyDescent="0.4">
      <c r="D1890" s="2"/>
    </row>
    <row r="1891" spans="4:4" x14ac:dyDescent="0.4">
      <c r="D1891" s="2"/>
    </row>
    <row r="1892" spans="4:4" x14ac:dyDescent="0.4">
      <c r="D1892" s="2"/>
    </row>
    <row r="1893" spans="4:4" x14ac:dyDescent="0.4">
      <c r="D1893" s="2"/>
    </row>
    <row r="1894" spans="4:4" x14ac:dyDescent="0.4">
      <c r="D1894" s="2"/>
    </row>
    <row r="1895" spans="4:4" x14ac:dyDescent="0.4">
      <c r="D1895" s="2"/>
    </row>
    <row r="1896" spans="4:4" x14ac:dyDescent="0.4">
      <c r="D1896" s="2"/>
    </row>
    <row r="1897" spans="4:4" x14ac:dyDescent="0.4">
      <c r="D1897" s="2"/>
    </row>
    <row r="1898" spans="4:4" x14ac:dyDescent="0.4">
      <c r="D1898" s="2"/>
    </row>
    <row r="1899" spans="4:4" x14ac:dyDescent="0.4">
      <c r="D1899" s="2"/>
    </row>
    <row r="1900" spans="4:4" x14ac:dyDescent="0.4">
      <c r="D1900" s="2"/>
    </row>
    <row r="1901" spans="4:4" x14ac:dyDescent="0.4">
      <c r="D1901" s="2"/>
    </row>
    <row r="1902" spans="4:4" x14ac:dyDescent="0.4">
      <c r="D1902" s="2"/>
    </row>
    <row r="1903" spans="4:4" x14ac:dyDescent="0.4">
      <c r="D1903" s="2"/>
    </row>
    <row r="1904" spans="4:4" x14ac:dyDescent="0.4">
      <c r="D1904" s="2"/>
    </row>
    <row r="1905" spans="4:9" x14ac:dyDescent="0.4">
      <c r="D1905" s="2"/>
    </row>
    <row r="1906" spans="4:9" x14ac:dyDescent="0.4">
      <c r="D1906" s="2"/>
    </row>
    <row r="1907" spans="4:9" x14ac:dyDescent="0.4">
      <c r="D1907" s="2"/>
      <c r="H1907" s="3"/>
      <c r="I1907" s="3"/>
    </row>
    <row r="1908" spans="4:9" x14ac:dyDescent="0.4">
      <c r="D1908" s="2"/>
    </row>
    <row r="1909" spans="4:9" x14ac:dyDescent="0.4">
      <c r="D1909" s="2"/>
    </row>
    <row r="1910" spans="4:9" x14ac:dyDescent="0.4">
      <c r="D1910" s="2"/>
    </row>
    <row r="1911" spans="4:9" x14ac:dyDescent="0.4">
      <c r="D1911" s="2"/>
    </row>
    <row r="1912" spans="4:9" x14ac:dyDescent="0.4">
      <c r="D1912" s="2"/>
    </row>
    <row r="1913" spans="4:9" x14ac:dyDescent="0.4">
      <c r="D1913" s="2"/>
    </row>
    <row r="1914" spans="4:9" x14ac:dyDescent="0.4">
      <c r="D1914" s="2"/>
    </row>
    <row r="1915" spans="4:9" x14ac:dyDescent="0.4">
      <c r="D1915" s="2"/>
    </row>
    <row r="1916" spans="4:9" x14ac:dyDescent="0.4">
      <c r="D1916" s="2"/>
    </row>
    <row r="1917" spans="4:9" x14ac:dyDescent="0.4">
      <c r="D1917" s="2"/>
    </row>
    <row r="1918" spans="4:9" x14ac:dyDescent="0.4">
      <c r="D1918" s="2"/>
    </row>
    <row r="1919" spans="4:9" x14ac:dyDescent="0.4">
      <c r="D1919" s="2"/>
    </row>
    <row r="1920" spans="4:9" x14ac:dyDescent="0.4">
      <c r="D1920" s="2"/>
    </row>
    <row r="1921" spans="4:9" x14ac:dyDescent="0.4">
      <c r="D1921" s="2"/>
    </row>
    <row r="1922" spans="4:9" x14ac:dyDescent="0.4">
      <c r="D1922" s="2"/>
    </row>
    <row r="1923" spans="4:9" x14ac:dyDescent="0.4">
      <c r="D1923" s="2"/>
    </row>
    <row r="1924" spans="4:9" x14ac:dyDescent="0.4">
      <c r="D1924" s="2"/>
    </row>
    <row r="1925" spans="4:9" x14ac:dyDescent="0.4">
      <c r="D1925" s="2"/>
    </row>
    <row r="1926" spans="4:9" x14ac:dyDescent="0.4">
      <c r="D1926" s="2"/>
    </row>
    <row r="1927" spans="4:9" x14ac:dyDescent="0.4">
      <c r="D1927" s="2"/>
    </row>
    <row r="1928" spans="4:9" x14ac:dyDescent="0.4">
      <c r="D1928" s="2"/>
    </row>
    <row r="1929" spans="4:9" x14ac:dyDescent="0.4">
      <c r="D1929" s="2"/>
    </row>
    <row r="1930" spans="4:9" x14ac:dyDescent="0.4">
      <c r="D1930" s="2"/>
      <c r="H1930" s="3"/>
      <c r="I1930" s="3"/>
    </row>
    <row r="1931" spans="4:9" x14ac:dyDescent="0.4">
      <c r="D1931" s="2"/>
    </row>
    <row r="1932" spans="4:9" x14ac:dyDescent="0.4">
      <c r="D1932" s="2"/>
    </row>
    <row r="1933" spans="4:9" x14ac:dyDescent="0.4">
      <c r="D1933" s="2"/>
    </row>
    <row r="1934" spans="4:9" x14ac:dyDescent="0.4">
      <c r="D1934" s="2"/>
    </row>
    <row r="1935" spans="4:9" x14ac:dyDescent="0.4">
      <c r="D1935" s="2"/>
    </row>
    <row r="1936" spans="4:9" x14ac:dyDescent="0.4">
      <c r="D1936" s="2"/>
    </row>
    <row r="1937" spans="4:4" x14ac:dyDescent="0.4">
      <c r="D1937" s="2"/>
    </row>
    <row r="1938" spans="4:4" x14ac:dyDescent="0.4">
      <c r="D1938" s="2"/>
    </row>
    <row r="1939" spans="4:4" x14ac:dyDescent="0.4">
      <c r="D1939" s="2"/>
    </row>
    <row r="1940" spans="4:4" x14ac:dyDescent="0.4">
      <c r="D1940" s="2"/>
    </row>
    <row r="1941" spans="4:4" x14ac:dyDescent="0.4">
      <c r="D1941" s="2"/>
    </row>
    <row r="1942" spans="4:4" x14ac:dyDescent="0.4">
      <c r="D1942" s="2"/>
    </row>
    <row r="1943" spans="4:4" x14ac:dyDescent="0.4">
      <c r="D1943" s="2"/>
    </row>
    <row r="1944" spans="4:4" x14ac:dyDescent="0.4">
      <c r="D1944" s="2"/>
    </row>
    <row r="1945" spans="4:4" x14ac:dyDescent="0.4">
      <c r="D1945" s="2"/>
    </row>
    <row r="1946" spans="4:4" x14ac:dyDescent="0.4">
      <c r="D1946" s="2"/>
    </row>
    <row r="1947" spans="4:4" x14ac:dyDescent="0.4">
      <c r="D1947" s="2"/>
    </row>
    <row r="1948" spans="4:4" x14ac:dyDescent="0.4">
      <c r="D1948" s="2"/>
    </row>
    <row r="1949" spans="4:4" x14ac:dyDescent="0.4">
      <c r="D1949" s="2"/>
    </row>
    <row r="1950" spans="4:4" x14ac:dyDescent="0.4">
      <c r="D1950" s="2"/>
    </row>
    <row r="1951" spans="4:4" x14ac:dyDescent="0.4">
      <c r="D1951" s="2"/>
    </row>
    <row r="1952" spans="4:4" x14ac:dyDescent="0.4">
      <c r="D1952" s="2"/>
    </row>
    <row r="1953" spans="4:4" x14ac:dyDescent="0.4">
      <c r="D1953" s="2"/>
    </row>
    <row r="1954" spans="4:4" x14ac:dyDescent="0.4">
      <c r="D1954" s="2"/>
    </row>
    <row r="1955" spans="4:4" x14ac:dyDescent="0.4">
      <c r="D1955" s="2"/>
    </row>
    <row r="1956" spans="4:4" x14ac:dyDescent="0.4">
      <c r="D1956" s="2"/>
    </row>
    <row r="1957" spans="4:4" x14ac:dyDescent="0.4">
      <c r="D1957" s="2"/>
    </row>
    <row r="1958" spans="4:4" x14ac:dyDescent="0.4">
      <c r="D1958" s="2"/>
    </row>
    <row r="1959" spans="4:4" x14ac:dyDescent="0.4">
      <c r="D1959" s="2"/>
    </row>
    <row r="1960" spans="4:4" x14ac:dyDescent="0.4">
      <c r="D1960" s="2"/>
    </row>
    <row r="1961" spans="4:4" x14ac:dyDescent="0.4">
      <c r="D1961" s="2"/>
    </row>
    <row r="1962" spans="4:4" x14ac:dyDescent="0.4">
      <c r="D1962" s="2"/>
    </row>
    <row r="1963" spans="4:4" x14ac:dyDescent="0.4">
      <c r="D1963" s="2"/>
    </row>
    <row r="1964" spans="4:4" x14ac:dyDescent="0.4">
      <c r="D1964" s="2"/>
    </row>
    <row r="1965" spans="4:4" x14ac:dyDescent="0.4">
      <c r="D1965" s="2"/>
    </row>
    <row r="1966" spans="4:4" x14ac:dyDescent="0.4">
      <c r="D1966" s="2"/>
    </row>
    <row r="1967" spans="4:4" x14ac:dyDescent="0.4">
      <c r="D1967" s="2"/>
    </row>
    <row r="1968" spans="4:4" x14ac:dyDescent="0.4">
      <c r="D1968" s="2"/>
    </row>
    <row r="1969" spans="4:4" x14ac:dyDescent="0.4">
      <c r="D1969" s="2"/>
    </row>
    <row r="1970" spans="4:4" x14ac:dyDescent="0.4">
      <c r="D1970" s="2"/>
    </row>
    <row r="1971" spans="4:4" x14ac:dyDescent="0.4">
      <c r="D1971" s="2"/>
    </row>
    <row r="1972" spans="4:4" x14ac:dyDescent="0.4">
      <c r="D1972" s="2"/>
    </row>
    <row r="1973" spans="4:4" x14ac:dyDescent="0.4">
      <c r="D1973" s="2"/>
    </row>
    <row r="1974" spans="4:4" x14ac:dyDescent="0.4">
      <c r="D1974" s="2"/>
    </row>
    <row r="1975" spans="4:4" x14ac:dyDescent="0.4">
      <c r="D1975" s="2"/>
    </row>
    <row r="1976" spans="4:4" x14ac:dyDescent="0.4">
      <c r="D1976" s="2"/>
    </row>
    <row r="1977" spans="4:4" x14ac:dyDescent="0.4">
      <c r="D1977" s="2"/>
    </row>
    <row r="1978" spans="4:4" x14ac:dyDescent="0.4">
      <c r="D1978" s="2"/>
    </row>
    <row r="1979" spans="4:4" x14ac:dyDescent="0.4">
      <c r="D1979" s="2"/>
    </row>
    <row r="1980" spans="4:4" x14ac:dyDescent="0.4">
      <c r="D1980" s="2"/>
    </row>
    <row r="1981" spans="4:4" x14ac:dyDescent="0.4">
      <c r="D1981" s="2"/>
    </row>
    <row r="1982" spans="4:4" x14ac:dyDescent="0.4">
      <c r="D1982" s="2"/>
    </row>
    <row r="1983" spans="4:4" x14ac:dyDescent="0.4">
      <c r="D1983" s="2"/>
    </row>
    <row r="1984" spans="4:4" x14ac:dyDescent="0.4">
      <c r="D1984" s="2"/>
    </row>
    <row r="1985" spans="4:4" x14ac:dyDescent="0.4">
      <c r="D1985" s="2"/>
    </row>
    <row r="1986" spans="4:4" x14ac:dyDescent="0.4">
      <c r="D1986" s="2"/>
    </row>
    <row r="1987" spans="4:4" x14ac:dyDescent="0.4">
      <c r="D1987" s="2"/>
    </row>
    <row r="1988" spans="4:4" x14ac:dyDescent="0.4">
      <c r="D1988" s="2"/>
    </row>
    <row r="1989" spans="4:4" x14ac:dyDescent="0.4">
      <c r="D1989" s="2"/>
    </row>
    <row r="1990" spans="4:4" x14ac:dyDescent="0.4">
      <c r="D1990" s="2"/>
    </row>
    <row r="1991" spans="4:4" x14ac:dyDescent="0.4">
      <c r="D1991" s="2"/>
    </row>
    <row r="1992" spans="4:4" x14ac:dyDescent="0.4">
      <c r="D1992" s="2"/>
    </row>
    <row r="1993" spans="4:4" x14ac:dyDescent="0.4">
      <c r="D1993" s="2"/>
    </row>
    <row r="1994" spans="4:4" x14ac:dyDescent="0.4">
      <c r="D1994" s="2"/>
    </row>
    <row r="1995" spans="4:4" x14ac:dyDescent="0.4">
      <c r="D1995" s="2"/>
    </row>
    <row r="1996" spans="4:4" x14ac:dyDescent="0.4">
      <c r="D1996" s="2"/>
    </row>
    <row r="1997" spans="4:4" x14ac:dyDescent="0.4">
      <c r="D1997" s="2"/>
    </row>
    <row r="1998" spans="4:4" x14ac:dyDescent="0.4">
      <c r="D1998" s="2"/>
    </row>
    <row r="1999" spans="4:4" x14ac:dyDescent="0.4">
      <c r="D1999" s="2"/>
    </row>
    <row r="2000" spans="4:4" x14ac:dyDescent="0.4">
      <c r="D2000" s="2"/>
    </row>
    <row r="2001" spans="4:9" x14ac:dyDescent="0.4">
      <c r="D2001" s="2"/>
    </row>
    <row r="2002" spans="4:9" x14ac:dyDescent="0.4">
      <c r="D2002" s="2"/>
      <c r="H2002" s="3"/>
      <c r="I2002" s="3"/>
    </row>
    <row r="2003" spans="4:9" x14ac:dyDescent="0.4">
      <c r="D2003" s="2"/>
      <c r="H2003" s="3"/>
      <c r="I2003" s="3"/>
    </row>
    <row r="2004" spans="4:9" x14ac:dyDescent="0.4">
      <c r="D2004" s="2"/>
    </row>
    <row r="2005" spans="4:9" x14ac:dyDescent="0.4">
      <c r="D2005" s="2"/>
    </row>
    <row r="2006" spans="4:9" x14ac:dyDescent="0.4">
      <c r="D2006" s="2"/>
    </row>
    <row r="2007" spans="4:9" x14ac:dyDescent="0.4">
      <c r="D2007" s="2"/>
    </row>
    <row r="2008" spans="4:9" x14ac:dyDescent="0.4">
      <c r="D2008" s="2"/>
    </row>
    <row r="2009" spans="4:9" x14ac:dyDescent="0.4">
      <c r="D2009" s="2"/>
    </row>
    <row r="2010" spans="4:9" x14ac:dyDescent="0.4">
      <c r="D2010" s="2"/>
    </row>
    <row r="2011" spans="4:9" x14ac:dyDescent="0.4">
      <c r="D2011" s="2"/>
    </row>
    <row r="2012" spans="4:9" x14ac:dyDescent="0.4">
      <c r="D2012" s="2"/>
    </row>
    <row r="2013" spans="4:9" x14ac:dyDescent="0.4">
      <c r="D2013" s="2"/>
    </row>
    <row r="2014" spans="4:9" x14ac:dyDescent="0.4">
      <c r="D2014" s="2"/>
    </row>
    <row r="2015" spans="4:9" x14ac:dyDescent="0.4">
      <c r="D2015" s="2"/>
    </row>
    <row r="2016" spans="4:9" x14ac:dyDescent="0.4">
      <c r="D2016" s="2"/>
    </row>
    <row r="2017" spans="4:4" x14ac:dyDescent="0.4">
      <c r="D2017" s="2"/>
    </row>
    <row r="2018" spans="4:4" x14ac:dyDescent="0.4">
      <c r="D2018" s="2"/>
    </row>
    <row r="2019" spans="4:4" x14ac:dyDescent="0.4">
      <c r="D2019" s="2"/>
    </row>
    <row r="2020" spans="4:4" x14ac:dyDescent="0.4">
      <c r="D2020" s="2"/>
    </row>
    <row r="2021" spans="4:4" x14ac:dyDescent="0.4">
      <c r="D2021" s="2"/>
    </row>
    <row r="2022" spans="4:4" x14ac:dyDescent="0.4">
      <c r="D2022" s="2"/>
    </row>
    <row r="2023" spans="4:4" x14ac:dyDescent="0.4">
      <c r="D2023" s="2"/>
    </row>
    <row r="2024" spans="4:4" x14ac:dyDescent="0.4">
      <c r="D2024" s="2"/>
    </row>
    <row r="2025" spans="4:4" x14ac:dyDescent="0.4">
      <c r="D2025" s="2"/>
    </row>
    <row r="2026" spans="4:4" x14ac:dyDescent="0.4">
      <c r="D2026" s="2"/>
    </row>
    <row r="2027" spans="4:4" x14ac:dyDescent="0.4">
      <c r="D2027" s="2"/>
    </row>
    <row r="2028" spans="4:4" x14ac:dyDescent="0.4">
      <c r="D2028" s="2"/>
    </row>
    <row r="2029" spans="4:4" x14ac:dyDescent="0.4">
      <c r="D2029" s="2"/>
    </row>
    <row r="2030" spans="4:4" x14ac:dyDescent="0.4">
      <c r="D2030" s="2"/>
    </row>
    <row r="2031" spans="4:4" x14ac:dyDescent="0.4">
      <c r="D2031" s="2"/>
    </row>
    <row r="2032" spans="4:4" x14ac:dyDescent="0.4">
      <c r="D2032" s="2"/>
    </row>
    <row r="2033" spans="4:4" x14ac:dyDescent="0.4">
      <c r="D2033" s="2"/>
    </row>
    <row r="2034" spans="4:4" x14ac:dyDescent="0.4">
      <c r="D2034" s="2"/>
    </row>
    <row r="2035" spans="4:4" x14ac:dyDescent="0.4">
      <c r="D2035" s="2"/>
    </row>
    <row r="2036" spans="4:4" x14ac:dyDescent="0.4">
      <c r="D2036" s="2"/>
    </row>
    <row r="2037" spans="4:4" x14ac:dyDescent="0.4">
      <c r="D2037" s="2"/>
    </row>
    <row r="2038" spans="4:4" x14ac:dyDescent="0.4">
      <c r="D2038" s="2"/>
    </row>
    <row r="2039" spans="4:4" x14ac:dyDescent="0.4">
      <c r="D2039" s="2"/>
    </row>
    <row r="2040" spans="4:4" x14ac:dyDescent="0.4">
      <c r="D2040" s="2"/>
    </row>
    <row r="2041" spans="4:4" x14ac:dyDescent="0.4">
      <c r="D2041" s="2"/>
    </row>
    <row r="2042" spans="4:4" x14ac:dyDescent="0.4">
      <c r="D2042" s="2"/>
    </row>
    <row r="2043" spans="4:4" x14ac:dyDescent="0.4">
      <c r="D2043" s="2"/>
    </row>
    <row r="2044" spans="4:4" x14ac:dyDescent="0.4">
      <c r="D2044" s="2"/>
    </row>
    <row r="2045" spans="4:4" x14ac:dyDescent="0.4">
      <c r="D2045" s="2"/>
    </row>
    <row r="2046" spans="4:4" x14ac:dyDescent="0.4">
      <c r="D2046" s="2"/>
    </row>
    <row r="2047" spans="4:4" x14ac:dyDescent="0.4">
      <c r="D2047" s="2"/>
    </row>
    <row r="2048" spans="4:4" x14ac:dyDescent="0.4">
      <c r="D2048" s="2"/>
    </row>
    <row r="2049" spans="4:4" x14ac:dyDescent="0.4">
      <c r="D2049" s="2"/>
    </row>
    <row r="2050" spans="4:4" x14ac:dyDescent="0.4">
      <c r="D2050" s="2"/>
    </row>
    <row r="2051" spans="4:4" x14ac:dyDescent="0.4">
      <c r="D2051" s="2"/>
    </row>
    <row r="2052" spans="4:4" x14ac:dyDescent="0.4">
      <c r="D2052" s="2"/>
    </row>
    <row r="2053" spans="4:4" x14ac:dyDescent="0.4">
      <c r="D2053" s="2"/>
    </row>
    <row r="2054" spans="4:4" x14ac:dyDescent="0.4">
      <c r="D2054" s="2"/>
    </row>
    <row r="2055" spans="4:4" x14ac:dyDescent="0.4">
      <c r="D2055" s="2"/>
    </row>
    <row r="2056" spans="4:4" x14ac:dyDescent="0.4">
      <c r="D2056" s="2"/>
    </row>
    <row r="2057" spans="4:4" x14ac:dyDescent="0.4">
      <c r="D2057" s="2"/>
    </row>
    <row r="2058" spans="4:4" x14ac:dyDescent="0.4">
      <c r="D2058" s="2"/>
    </row>
    <row r="2059" spans="4:4" x14ac:dyDescent="0.4">
      <c r="D2059" s="2"/>
    </row>
    <row r="2060" spans="4:4" x14ac:dyDescent="0.4">
      <c r="D2060" s="2"/>
    </row>
    <row r="2061" spans="4:4" x14ac:dyDescent="0.4">
      <c r="D2061" s="2"/>
    </row>
    <row r="2062" spans="4:4" x14ac:dyDescent="0.4">
      <c r="D2062" s="2"/>
    </row>
    <row r="2063" spans="4:4" x14ac:dyDescent="0.4">
      <c r="D2063" s="2"/>
    </row>
    <row r="2064" spans="4:4" x14ac:dyDescent="0.4">
      <c r="D2064" s="2"/>
    </row>
    <row r="2065" spans="4:4" x14ac:dyDescent="0.4">
      <c r="D2065" s="2"/>
    </row>
    <row r="2066" spans="4:4" x14ac:dyDescent="0.4">
      <c r="D2066" s="2"/>
    </row>
    <row r="2067" spans="4:4" x14ac:dyDescent="0.4">
      <c r="D2067" s="2"/>
    </row>
    <row r="2068" spans="4:4" x14ac:dyDescent="0.4">
      <c r="D2068" s="2"/>
    </row>
    <row r="2069" spans="4:4" x14ac:dyDescent="0.4">
      <c r="D2069" s="2"/>
    </row>
    <row r="2070" spans="4:4" x14ac:dyDescent="0.4">
      <c r="D2070" s="2"/>
    </row>
    <row r="2071" spans="4:4" x14ac:dyDescent="0.4">
      <c r="D2071" s="2"/>
    </row>
    <row r="2072" spans="4:4" x14ac:dyDescent="0.4">
      <c r="D2072" s="2"/>
    </row>
    <row r="2073" spans="4:4" x14ac:dyDescent="0.4">
      <c r="D2073" s="2"/>
    </row>
    <row r="2074" spans="4:4" x14ac:dyDescent="0.4">
      <c r="D2074" s="2"/>
    </row>
    <row r="2075" spans="4:4" x14ac:dyDescent="0.4">
      <c r="D2075" s="2"/>
    </row>
    <row r="2076" spans="4:4" x14ac:dyDescent="0.4">
      <c r="D2076" s="2"/>
    </row>
    <row r="2077" spans="4:4" x14ac:dyDescent="0.4">
      <c r="D2077" s="2"/>
    </row>
    <row r="2078" spans="4:4" x14ac:dyDescent="0.4">
      <c r="D2078" s="2"/>
    </row>
    <row r="2079" spans="4:4" x14ac:dyDescent="0.4">
      <c r="D2079" s="2"/>
    </row>
    <row r="2080" spans="4:4" x14ac:dyDescent="0.4">
      <c r="D2080" s="2"/>
    </row>
    <row r="2081" spans="4:4" x14ac:dyDescent="0.4">
      <c r="D2081" s="2"/>
    </row>
    <row r="2082" spans="4:4" x14ac:dyDescent="0.4">
      <c r="D2082" s="2"/>
    </row>
    <row r="2083" spans="4:4" x14ac:dyDescent="0.4">
      <c r="D2083" s="2"/>
    </row>
    <row r="2084" spans="4:4" x14ac:dyDescent="0.4">
      <c r="D2084" s="2"/>
    </row>
    <row r="2085" spans="4:4" x14ac:dyDescent="0.4">
      <c r="D2085" s="2"/>
    </row>
    <row r="2086" spans="4:4" x14ac:dyDescent="0.4">
      <c r="D2086" s="2"/>
    </row>
    <row r="2087" spans="4:4" x14ac:dyDescent="0.4">
      <c r="D2087" s="2"/>
    </row>
    <row r="2088" spans="4:4" x14ac:dyDescent="0.4">
      <c r="D2088" s="2"/>
    </row>
    <row r="2089" spans="4:4" x14ac:dyDescent="0.4">
      <c r="D2089" s="2"/>
    </row>
    <row r="2090" spans="4:4" x14ac:dyDescent="0.4">
      <c r="D2090" s="2"/>
    </row>
    <row r="2091" spans="4:4" x14ac:dyDescent="0.4">
      <c r="D2091" s="2"/>
    </row>
    <row r="2092" spans="4:4" x14ac:dyDescent="0.4">
      <c r="D2092" s="2"/>
    </row>
    <row r="2093" spans="4:4" x14ac:dyDescent="0.4">
      <c r="D2093" s="2"/>
    </row>
    <row r="2094" spans="4:4" x14ac:dyDescent="0.4">
      <c r="D2094" s="2"/>
    </row>
    <row r="2095" spans="4:4" x14ac:dyDescent="0.4">
      <c r="D2095" s="2"/>
    </row>
    <row r="2096" spans="4:4" x14ac:dyDescent="0.4">
      <c r="D2096" s="2"/>
    </row>
    <row r="2097" spans="4:4" x14ac:dyDescent="0.4">
      <c r="D2097" s="2"/>
    </row>
    <row r="2098" spans="4:4" x14ac:dyDescent="0.4">
      <c r="D2098" s="2"/>
    </row>
    <row r="2099" spans="4:4" x14ac:dyDescent="0.4">
      <c r="D2099" s="2"/>
    </row>
    <row r="2100" spans="4:4" x14ac:dyDescent="0.4">
      <c r="D2100" s="2"/>
    </row>
    <row r="2101" spans="4:4" x14ac:dyDescent="0.4">
      <c r="D2101" s="2"/>
    </row>
    <row r="2102" spans="4:4" x14ac:dyDescent="0.4">
      <c r="D2102" s="2"/>
    </row>
    <row r="2103" spans="4:4" x14ac:dyDescent="0.4">
      <c r="D2103" s="2"/>
    </row>
    <row r="2104" spans="4:4" x14ac:dyDescent="0.4">
      <c r="D2104" s="2"/>
    </row>
    <row r="2105" spans="4:4" x14ac:dyDescent="0.4">
      <c r="D2105" s="2"/>
    </row>
    <row r="2106" spans="4:4" x14ac:dyDescent="0.4">
      <c r="D2106" s="2"/>
    </row>
    <row r="2107" spans="4:4" x14ac:dyDescent="0.4">
      <c r="D2107" s="2"/>
    </row>
    <row r="2108" spans="4:4" x14ac:dyDescent="0.4">
      <c r="D2108" s="2"/>
    </row>
    <row r="2109" spans="4:4" x14ac:dyDescent="0.4">
      <c r="D2109" s="2"/>
    </row>
    <row r="2110" spans="4:4" x14ac:dyDescent="0.4">
      <c r="D2110" s="2"/>
    </row>
    <row r="2111" spans="4:4" x14ac:dyDescent="0.4">
      <c r="D2111" s="2"/>
    </row>
    <row r="2112" spans="4:4" x14ac:dyDescent="0.4">
      <c r="D2112" s="2"/>
    </row>
    <row r="2113" spans="4:4" x14ac:dyDescent="0.4">
      <c r="D2113" s="2"/>
    </row>
    <row r="2114" spans="4:4" x14ac:dyDescent="0.4">
      <c r="D2114" s="2"/>
    </row>
    <row r="2115" spans="4:4" x14ac:dyDescent="0.4">
      <c r="D2115" s="2"/>
    </row>
    <row r="2116" spans="4:4" x14ac:dyDescent="0.4">
      <c r="D2116" s="2"/>
    </row>
    <row r="2117" spans="4:4" x14ac:dyDescent="0.4">
      <c r="D2117" s="2"/>
    </row>
    <row r="2118" spans="4:4" x14ac:dyDescent="0.4">
      <c r="D2118" s="2"/>
    </row>
    <row r="2119" spans="4:4" x14ac:dyDescent="0.4">
      <c r="D2119" s="2"/>
    </row>
    <row r="2120" spans="4:4" x14ac:dyDescent="0.4">
      <c r="D2120" s="2"/>
    </row>
    <row r="2121" spans="4:4" x14ac:dyDescent="0.4">
      <c r="D2121" s="2"/>
    </row>
    <row r="2122" spans="4:4" x14ac:dyDescent="0.4">
      <c r="D2122" s="2"/>
    </row>
    <row r="2123" spans="4:4" x14ac:dyDescent="0.4">
      <c r="D2123" s="2"/>
    </row>
    <row r="2124" spans="4:4" x14ac:dyDescent="0.4">
      <c r="D2124" s="2"/>
    </row>
    <row r="2125" spans="4:4" x14ac:dyDescent="0.4">
      <c r="D2125" s="2"/>
    </row>
    <row r="2126" spans="4:4" x14ac:dyDescent="0.4">
      <c r="D2126" s="2"/>
    </row>
    <row r="2127" spans="4:4" x14ac:dyDescent="0.4">
      <c r="D2127" s="2"/>
    </row>
    <row r="2128" spans="4:4" x14ac:dyDescent="0.4">
      <c r="D2128" s="2"/>
    </row>
    <row r="2129" spans="4:4" x14ac:dyDescent="0.4">
      <c r="D2129" s="2"/>
    </row>
    <row r="2130" spans="4:4" x14ac:dyDescent="0.4">
      <c r="D2130" s="2"/>
    </row>
    <row r="2131" spans="4:4" x14ac:dyDescent="0.4">
      <c r="D2131" s="2"/>
    </row>
    <row r="2132" spans="4:4" x14ac:dyDescent="0.4">
      <c r="D2132" s="2"/>
    </row>
    <row r="2133" spans="4:4" x14ac:dyDescent="0.4">
      <c r="D2133" s="2"/>
    </row>
    <row r="2134" spans="4:4" x14ac:dyDescent="0.4">
      <c r="D2134" s="2"/>
    </row>
    <row r="2135" spans="4:4" x14ac:dyDescent="0.4">
      <c r="D2135" s="2"/>
    </row>
    <row r="2136" spans="4:4" x14ac:dyDescent="0.4">
      <c r="D2136" s="2"/>
    </row>
    <row r="2137" spans="4:4" x14ac:dyDescent="0.4">
      <c r="D2137" s="2"/>
    </row>
    <row r="2138" spans="4:4" x14ac:dyDescent="0.4">
      <c r="D2138" s="2"/>
    </row>
    <row r="2139" spans="4:4" x14ac:dyDescent="0.4">
      <c r="D2139" s="2"/>
    </row>
    <row r="2140" spans="4:4" x14ac:dyDescent="0.4">
      <c r="D2140" s="2"/>
    </row>
    <row r="2141" spans="4:4" x14ac:dyDescent="0.4">
      <c r="D2141" s="2"/>
    </row>
    <row r="2142" spans="4:4" x14ac:dyDescent="0.4">
      <c r="D2142" s="2"/>
    </row>
    <row r="2143" spans="4:4" x14ac:dyDescent="0.4">
      <c r="D2143" s="2"/>
    </row>
    <row r="2144" spans="4:4" x14ac:dyDescent="0.4">
      <c r="D2144" s="2"/>
    </row>
    <row r="2145" spans="4:4" x14ac:dyDescent="0.4">
      <c r="D2145" s="2"/>
    </row>
    <row r="2146" spans="4:4" x14ac:dyDescent="0.4">
      <c r="D2146" s="2"/>
    </row>
    <row r="2147" spans="4:4" x14ac:dyDescent="0.4">
      <c r="D2147" s="2"/>
    </row>
    <row r="2148" spans="4:4" x14ac:dyDescent="0.4">
      <c r="D2148" s="2"/>
    </row>
    <row r="2149" spans="4:4" x14ac:dyDescent="0.4">
      <c r="D2149" s="2"/>
    </row>
    <row r="2150" spans="4:4" x14ac:dyDescent="0.4">
      <c r="D2150" s="2"/>
    </row>
    <row r="2151" spans="4:4" x14ac:dyDescent="0.4">
      <c r="D2151" s="2"/>
    </row>
    <row r="2152" spans="4:4" x14ac:dyDescent="0.4">
      <c r="D2152" s="2"/>
    </row>
    <row r="2153" spans="4:4" x14ac:dyDescent="0.4">
      <c r="D2153" s="2"/>
    </row>
    <row r="2154" spans="4:4" x14ac:dyDescent="0.4">
      <c r="D2154" s="2"/>
    </row>
    <row r="2155" spans="4:4" x14ac:dyDescent="0.4">
      <c r="D2155" s="2"/>
    </row>
    <row r="2156" spans="4:4" x14ac:dyDescent="0.4">
      <c r="D2156" s="2"/>
    </row>
    <row r="2157" spans="4:4" x14ac:dyDescent="0.4">
      <c r="D2157" s="2"/>
    </row>
    <row r="2158" spans="4:4" x14ac:dyDescent="0.4">
      <c r="D2158" s="2"/>
    </row>
    <row r="2159" spans="4:4" x14ac:dyDescent="0.4">
      <c r="D2159" s="2"/>
    </row>
    <row r="2160" spans="4:4" x14ac:dyDescent="0.4">
      <c r="D2160" s="2"/>
    </row>
    <row r="2161" spans="4:4" x14ac:dyDescent="0.4">
      <c r="D2161" s="2"/>
    </row>
    <row r="2162" spans="4:4" x14ac:dyDescent="0.4">
      <c r="D2162" s="2"/>
    </row>
    <row r="2163" spans="4:4" x14ac:dyDescent="0.4">
      <c r="D2163" s="2"/>
    </row>
    <row r="2164" spans="4:4" x14ac:dyDescent="0.4">
      <c r="D2164" s="2"/>
    </row>
    <row r="2165" spans="4:4" x14ac:dyDescent="0.4">
      <c r="D2165" s="2"/>
    </row>
    <row r="2166" spans="4:4" x14ac:dyDescent="0.4">
      <c r="D2166" s="2"/>
    </row>
    <row r="2167" spans="4:4" x14ac:dyDescent="0.4">
      <c r="D2167" s="2"/>
    </row>
    <row r="2168" spans="4:4" x14ac:dyDescent="0.4">
      <c r="D2168" s="2"/>
    </row>
    <row r="2169" spans="4:4" x14ac:dyDescent="0.4">
      <c r="D2169" s="2"/>
    </row>
    <row r="2170" spans="4:4" x14ac:dyDescent="0.4">
      <c r="D2170" s="2"/>
    </row>
    <row r="2171" spans="4:4" x14ac:dyDescent="0.4">
      <c r="D2171" s="2"/>
    </row>
    <row r="2172" spans="4:4" x14ac:dyDescent="0.4">
      <c r="D2172" s="2"/>
    </row>
    <row r="2173" spans="4:4" x14ac:dyDescent="0.4">
      <c r="D2173" s="2"/>
    </row>
    <row r="2174" spans="4:4" x14ac:dyDescent="0.4">
      <c r="D2174" s="2"/>
    </row>
    <row r="2175" spans="4:4" x14ac:dyDescent="0.4">
      <c r="D2175" s="2"/>
    </row>
    <row r="2176" spans="4:4" x14ac:dyDescent="0.4">
      <c r="D2176" s="2"/>
    </row>
    <row r="2177" spans="4:4" x14ac:dyDescent="0.4">
      <c r="D2177" s="2"/>
    </row>
    <row r="2178" spans="4:4" x14ac:dyDescent="0.4">
      <c r="D2178" s="2"/>
    </row>
    <row r="2179" spans="4:4" x14ac:dyDescent="0.4">
      <c r="D2179" s="2"/>
    </row>
    <row r="2180" spans="4:4" x14ac:dyDescent="0.4">
      <c r="D2180" s="2"/>
    </row>
    <row r="2181" spans="4:4" x14ac:dyDescent="0.4">
      <c r="D2181" s="2"/>
    </row>
    <row r="2182" spans="4:4" x14ac:dyDescent="0.4">
      <c r="D2182" s="2"/>
    </row>
    <row r="2183" spans="4:4" x14ac:dyDescent="0.4">
      <c r="D2183" s="2"/>
    </row>
    <row r="2184" spans="4:4" x14ac:dyDescent="0.4">
      <c r="D2184" s="2"/>
    </row>
    <row r="2185" spans="4:4" x14ac:dyDescent="0.4">
      <c r="D2185" s="2"/>
    </row>
    <row r="2186" spans="4:4" x14ac:dyDescent="0.4">
      <c r="D2186" s="2"/>
    </row>
    <row r="2187" spans="4:4" x14ac:dyDescent="0.4">
      <c r="D2187" s="2"/>
    </row>
    <row r="2188" spans="4:4" x14ac:dyDescent="0.4">
      <c r="D2188" s="2"/>
    </row>
    <row r="2189" spans="4:4" x14ac:dyDescent="0.4">
      <c r="D2189" s="2"/>
    </row>
    <row r="2190" spans="4:4" x14ac:dyDescent="0.4">
      <c r="D2190" s="2"/>
    </row>
    <row r="2191" spans="4:4" x14ac:dyDescent="0.4">
      <c r="D2191" s="2"/>
    </row>
    <row r="2192" spans="4:4" x14ac:dyDescent="0.4">
      <c r="D2192" s="2"/>
    </row>
    <row r="2193" spans="4:4" x14ac:dyDescent="0.4">
      <c r="D2193" s="2"/>
    </row>
    <row r="2194" spans="4:4" x14ac:dyDescent="0.4">
      <c r="D2194" s="2"/>
    </row>
    <row r="2195" spans="4:4" x14ac:dyDescent="0.4">
      <c r="D2195" s="2"/>
    </row>
    <row r="2196" spans="4:4" x14ac:dyDescent="0.4">
      <c r="D2196" s="2"/>
    </row>
    <row r="2197" spans="4:4" x14ac:dyDescent="0.4">
      <c r="D2197" s="2"/>
    </row>
    <row r="2198" spans="4:4" x14ac:dyDescent="0.4">
      <c r="D2198" s="2"/>
    </row>
    <row r="2199" spans="4:4" x14ac:dyDescent="0.4">
      <c r="D2199" s="2"/>
    </row>
    <row r="2200" spans="4:4" x14ac:dyDescent="0.4">
      <c r="D2200" s="2"/>
    </row>
    <row r="2201" spans="4:4" x14ac:dyDescent="0.4">
      <c r="D2201" s="2"/>
    </row>
    <row r="2202" spans="4:4" x14ac:dyDescent="0.4">
      <c r="D2202" s="2"/>
    </row>
    <row r="2203" spans="4:4" x14ac:dyDescent="0.4">
      <c r="D2203" s="2"/>
    </row>
    <row r="2204" spans="4:4" x14ac:dyDescent="0.4">
      <c r="D2204" s="2"/>
    </row>
    <row r="2205" spans="4:4" x14ac:dyDescent="0.4">
      <c r="D2205" s="2"/>
    </row>
    <row r="2206" spans="4:4" x14ac:dyDescent="0.4">
      <c r="D2206" s="2"/>
    </row>
    <row r="2207" spans="4:4" x14ac:dyDescent="0.4">
      <c r="D2207" s="2"/>
    </row>
    <row r="2208" spans="4:4" x14ac:dyDescent="0.4">
      <c r="D2208" s="2"/>
    </row>
    <row r="2209" spans="4:4" x14ac:dyDescent="0.4">
      <c r="D2209" s="2"/>
    </row>
    <row r="2210" spans="4:4" x14ac:dyDescent="0.4">
      <c r="D2210" s="2"/>
    </row>
    <row r="2211" spans="4:4" x14ac:dyDescent="0.4">
      <c r="D2211" s="2"/>
    </row>
    <row r="2212" spans="4:4" x14ac:dyDescent="0.4">
      <c r="D2212" s="2"/>
    </row>
    <row r="2213" spans="4:4" x14ac:dyDescent="0.4">
      <c r="D2213" s="2"/>
    </row>
    <row r="2214" spans="4:4" x14ac:dyDescent="0.4">
      <c r="D2214" s="2"/>
    </row>
    <row r="2215" spans="4:4" x14ac:dyDescent="0.4">
      <c r="D2215" s="2"/>
    </row>
    <row r="2216" spans="4:4" x14ac:dyDescent="0.4">
      <c r="D2216" s="2"/>
    </row>
    <row r="2217" spans="4:4" x14ac:dyDescent="0.4">
      <c r="D2217" s="2"/>
    </row>
    <row r="2218" spans="4:4" x14ac:dyDescent="0.4">
      <c r="D2218" s="2"/>
    </row>
    <row r="2219" spans="4:4" x14ac:dyDescent="0.4">
      <c r="D2219" s="2"/>
    </row>
    <row r="2220" spans="4:4" x14ac:dyDescent="0.4">
      <c r="D2220" s="2"/>
    </row>
    <row r="2221" spans="4:4" x14ac:dyDescent="0.4">
      <c r="D2221" s="2"/>
    </row>
    <row r="2222" spans="4:4" x14ac:dyDescent="0.4">
      <c r="D2222" s="2"/>
    </row>
    <row r="2223" spans="4:4" x14ac:dyDescent="0.4">
      <c r="D2223" s="2"/>
    </row>
    <row r="2224" spans="4:4" x14ac:dyDescent="0.4">
      <c r="D2224" s="2"/>
    </row>
    <row r="2225" spans="4:9" x14ac:dyDescent="0.4">
      <c r="D2225" s="2"/>
    </row>
    <row r="2226" spans="4:9" x14ac:dyDescent="0.4">
      <c r="D2226" s="2"/>
    </row>
    <row r="2227" spans="4:9" x14ac:dyDescent="0.4">
      <c r="D2227" s="2"/>
    </row>
    <row r="2228" spans="4:9" x14ac:dyDescent="0.4">
      <c r="D2228" s="2"/>
    </row>
    <row r="2229" spans="4:9" x14ac:dyDescent="0.4">
      <c r="D2229" s="2"/>
    </row>
    <row r="2230" spans="4:9" x14ac:dyDescent="0.4">
      <c r="D2230" s="2"/>
    </row>
    <row r="2231" spans="4:9" x14ac:dyDescent="0.4">
      <c r="D2231" s="2"/>
    </row>
    <row r="2232" spans="4:9" x14ac:dyDescent="0.4">
      <c r="D2232" s="2"/>
    </row>
    <row r="2233" spans="4:9" x14ac:dyDescent="0.4">
      <c r="D2233" s="2"/>
    </row>
    <row r="2234" spans="4:9" x14ac:dyDescent="0.4">
      <c r="D2234" s="2"/>
    </row>
    <row r="2235" spans="4:9" x14ac:dyDescent="0.4">
      <c r="D2235" s="2"/>
    </row>
    <row r="2236" spans="4:9" x14ac:dyDescent="0.4">
      <c r="D2236" s="2"/>
    </row>
    <row r="2237" spans="4:9" x14ac:dyDescent="0.4">
      <c r="D2237" s="2"/>
    </row>
    <row r="2238" spans="4:9" x14ac:dyDescent="0.4">
      <c r="D2238" s="2"/>
    </row>
    <row r="2239" spans="4:9" x14ac:dyDescent="0.4">
      <c r="D2239" s="2"/>
      <c r="H2239" s="3"/>
      <c r="I2239" s="3"/>
    </row>
    <row r="2240" spans="4:9" x14ac:dyDescent="0.4">
      <c r="D2240" s="2"/>
    </row>
    <row r="2241" spans="4:9" x14ac:dyDescent="0.4">
      <c r="D2241" s="2"/>
    </row>
    <row r="2242" spans="4:9" x14ac:dyDescent="0.4">
      <c r="D2242" s="2"/>
    </row>
    <row r="2243" spans="4:9" x14ac:dyDescent="0.4">
      <c r="D2243" s="2"/>
    </row>
    <row r="2244" spans="4:9" x14ac:dyDescent="0.4">
      <c r="D2244" s="2"/>
    </row>
    <row r="2245" spans="4:9" x14ac:dyDescent="0.4">
      <c r="D2245" s="2"/>
    </row>
    <row r="2246" spans="4:9" x14ac:dyDescent="0.4">
      <c r="D2246" s="2"/>
    </row>
    <row r="2247" spans="4:9" x14ac:dyDescent="0.4">
      <c r="D2247" s="2"/>
    </row>
    <row r="2248" spans="4:9" x14ac:dyDescent="0.4">
      <c r="D2248" s="2"/>
    </row>
    <row r="2249" spans="4:9" x14ac:dyDescent="0.4">
      <c r="D2249" s="2"/>
    </row>
    <row r="2250" spans="4:9" x14ac:dyDescent="0.4">
      <c r="D2250" s="2"/>
      <c r="H2250" s="3"/>
      <c r="I2250" s="3"/>
    </row>
    <row r="2251" spans="4:9" x14ac:dyDescent="0.4">
      <c r="D2251" s="2"/>
    </row>
    <row r="2252" spans="4:9" x14ac:dyDescent="0.4">
      <c r="D2252" s="2"/>
    </row>
    <row r="2253" spans="4:9" x14ac:dyDescent="0.4">
      <c r="D2253" s="2"/>
    </row>
    <row r="2254" spans="4:9" x14ac:dyDescent="0.4">
      <c r="D2254" s="2"/>
    </row>
    <row r="2255" spans="4:9" x14ac:dyDescent="0.4">
      <c r="D2255" s="2"/>
    </row>
    <row r="2256" spans="4:9" x14ac:dyDescent="0.4">
      <c r="D2256" s="2"/>
    </row>
    <row r="2257" spans="4:9" x14ac:dyDescent="0.4">
      <c r="D2257" s="2"/>
      <c r="H2257" s="3"/>
      <c r="I2257" s="3"/>
    </row>
    <row r="2258" spans="4:9" x14ac:dyDescent="0.4">
      <c r="D2258" s="2"/>
    </row>
    <row r="2259" spans="4:9" x14ac:dyDescent="0.4">
      <c r="D2259" s="2"/>
    </row>
    <row r="2260" spans="4:9" x14ac:dyDescent="0.4">
      <c r="D2260" s="2"/>
    </row>
    <row r="2261" spans="4:9" x14ac:dyDescent="0.4">
      <c r="D2261" s="2"/>
    </row>
    <row r="2262" spans="4:9" x14ac:dyDescent="0.4">
      <c r="D2262" s="2"/>
    </row>
    <row r="2263" spans="4:9" x14ac:dyDescent="0.4">
      <c r="D2263" s="2"/>
    </row>
    <row r="2264" spans="4:9" x14ac:dyDescent="0.4">
      <c r="D2264" s="2"/>
    </row>
    <row r="2265" spans="4:9" x14ac:dyDescent="0.4">
      <c r="D2265" s="2"/>
    </row>
    <row r="2266" spans="4:9" x14ac:dyDescent="0.4">
      <c r="D2266" s="2"/>
    </row>
    <row r="2267" spans="4:9" x14ac:dyDescent="0.4">
      <c r="D2267" s="2"/>
    </row>
    <row r="2268" spans="4:9" x14ac:dyDescent="0.4">
      <c r="D2268" s="2"/>
    </row>
    <row r="2269" spans="4:9" x14ac:dyDescent="0.4">
      <c r="D2269" s="2"/>
    </row>
    <row r="2270" spans="4:9" x14ac:dyDescent="0.4">
      <c r="D2270" s="2"/>
    </row>
    <row r="2271" spans="4:9" x14ac:dyDescent="0.4">
      <c r="D2271" s="2"/>
    </row>
    <row r="2272" spans="4:9" x14ac:dyDescent="0.4">
      <c r="D2272" s="2"/>
    </row>
    <row r="2273" spans="4:4" x14ac:dyDescent="0.4">
      <c r="D2273" s="2"/>
    </row>
    <row r="2274" spans="4:4" x14ac:dyDescent="0.4">
      <c r="D2274" s="2"/>
    </row>
    <row r="2275" spans="4:4" x14ac:dyDescent="0.4">
      <c r="D2275" s="2"/>
    </row>
    <row r="2276" spans="4:4" x14ac:dyDescent="0.4">
      <c r="D2276" s="2"/>
    </row>
    <row r="2277" spans="4:4" x14ac:dyDescent="0.4">
      <c r="D2277" s="2"/>
    </row>
    <row r="2278" spans="4:4" x14ac:dyDescent="0.4">
      <c r="D2278" s="2"/>
    </row>
    <row r="2279" spans="4:4" x14ac:dyDescent="0.4">
      <c r="D2279" s="2"/>
    </row>
    <row r="2280" spans="4:4" x14ac:dyDescent="0.4">
      <c r="D2280" s="2"/>
    </row>
    <row r="2281" spans="4:4" x14ac:dyDescent="0.4">
      <c r="D2281" s="2"/>
    </row>
    <row r="2282" spans="4:4" x14ac:dyDescent="0.4">
      <c r="D2282" s="2"/>
    </row>
    <row r="2283" spans="4:4" x14ac:dyDescent="0.4">
      <c r="D2283" s="2"/>
    </row>
    <row r="2284" spans="4:4" x14ac:dyDescent="0.4">
      <c r="D2284" s="2"/>
    </row>
    <row r="2285" spans="4:4" x14ac:dyDescent="0.4">
      <c r="D2285" s="2"/>
    </row>
    <row r="2286" spans="4:4" x14ac:dyDescent="0.4">
      <c r="D2286" s="2"/>
    </row>
    <row r="2287" spans="4:4" x14ac:dyDescent="0.4">
      <c r="D2287" s="2"/>
    </row>
    <row r="2288" spans="4:4" x14ac:dyDescent="0.4">
      <c r="D2288" s="2"/>
    </row>
    <row r="2289" spans="4:4" x14ac:dyDescent="0.4">
      <c r="D2289" s="2"/>
    </row>
    <row r="2290" spans="4:4" x14ac:dyDescent="0.4">
      <c r="D2290" s="2"/>
    </row>
    <row r="2291" spans="4:4" x14ac:dyDescent="0.4">
      <c r="D2291" s="2"/>
    </row>
    <row r="2292" spans="4:4" x14ac:dyDescent="0.4">
      <c r="D2292" s="2"/>
    </row>
    <row r="2293" spans="4:4" x14ac:dyDescent="0.4">
      <c r="D2293" s="2"/>
    </row>
    <row r="2294" spans="4:4" x14ac:dyDescent="0.4">
      <c r="D2294" s="2"/>
    </row>
    <row r="2295" spans="4:4" x14ac:dyDescent="0.4">
      <c r="D2295" s="2"/>
    </row>
    <row r="2296" spans="4:4" x14ac:dyDescent="0.4">
      <c r="D2296" s="2"/>
    </row>
    <row r="2297" spans="4:4" x14ac:dyDescent="0.4">
      <c r="D2297" s="2"/>
    </row>
    <row r="2298" spans="4:4" x14ac:dyDescent="0.4">
      <c r="D2298" s="2"/>
    </row>
    <row r="2299" spans="4:4" x14ac:dyDescent="0.4">
      <c r="D2299" s="2"/>
    </row>
    <row r="2300" spans="4:4" x14ac:dyDescent="0.4">
      <c r="D2300" s="2"/>
    </row>
    <row r="2301" spans="4:4" x14ac:dyDescent="0.4">
      <c r="D2301" s="2"/>
    </row>
    <row r="2302" spans="4:4" x14ac:dyDescent="0.4">
      <c r="D2302" s="2"/>
    </row>
    <row r="2303" spans="4:4" x14ac:dyDescent="0.4">
      <c r="D2303" s="2"/>
    </row>
    <row r="2304" spans="4:4" x14ac:dyDescent="0.4">
      <c r="D2304" s="2"/>
    </row>
    <row r="2305" spans="4:4" x14ac:dyDescent="0.4">
      <c r="D2305" s="2"/>
    </row>
    <row r="2306" spans="4:4" x14ac:dyDescent="0.4">
      <c r="D2306" s="2"/>
    </row>
    <row r="2307" spans="4:4" x14ac:dyDescent="0.4">
      <c r="D2307" s="2"/>
    </row>
    <row r="2308" spans="4:4" x14ac:dyDescent="0.4">
      <c r="D2308" s="2"/>
    </row>
    <row r="2309" spans="4:4" x14ac:dyDescent="0.4">
      <c r="D2309" s="2"/>
    </row>
    <row r="2310" spans="4:4" x14ac:dyDescent="0.4">
      <c r="D2310" s="2"/>
    </row>
    <row r="2311" spans="4:4" x14ac:dyDescent="0.4">
      <c r="D2311" s="2"/>
    </row>
    <row r="2312" spans="4:4" x14ac:dyDescent="0.4">
      <c r="D2312" s="2"/>
    </row>
    <row r="2313" spans="4:4" x14ac:dyDescent="0.4">
      <c r="D2313" s="2"/>
    </row>
    <row r="2314" spans="4:4" x14ac:dyDescent="0.4">
      <c r="D2314" s="2"/>
    </row>
    <row r="2315" spans="4:4" x14ac:dyDescent="0.4">
      <c r="D2315" s="2"/>
    </row>
    <row r="2316" spans="4:4" x14ac:dyDescent="0.4">
      <c r="D2316" s="2"/>
    </row>
    <row r="2317" spans="4:4" x14ac:dyDescent="0.4">
      <c r="D2317" s="2"/>
    </row>
    <row r="2318" spans="4:4" x14ac:dyDescent="0.4">
      <c r="D2318" s="2"/>
    </row>
    <row r="2319" spans="4:4" x14ac:dyDescent="0.4">
      <c r="D2319" s="2"/>
    </row>
    <row r="2320" spans="4:4" x14ac:dyDescent="0.4">
      <c r="D2320" s="2"/>
    </row>
    <row r="2321" spans="4:4" x14ac:dyDescent="0.4">
      <c r="D2321" s="2"/>
    </row>
    <row r="2322" spans="4:4" x14ac:dyDescent="0.4">
      <c r="D2322" s="2"/>
    </row>
    <row r="2323" spans="4:4" x14ac:dyDescent="0.4">
      <c r="D2323" s="2"/>
    </row>
    <row r="2324" spans="4:4" x14ac:dyDescent="0.4">
      <c r="D2324" s="2"/>
    </row>
    <row r="2325" spans="4:4" x14ac:dyDescent="0.4">
      <c r="D2325" s="2"/>
    </row>
    <row r="2326" spans="4:4" x14ac:dyDescent="0.4">
      <c r="D2326" s="2"/>
    </row>
    <row r="2327" spans="4:4" x14ac:dyDescent="0.4">
      <c r="D2327" s="2"/>
    </row>
    <row r="2328" spans="4:4" x14ac:dyDescent="0.4">
      <c r="D2328" s="2"/>
    </row>
    <row r="2329" spans="4:4" x14ac:dyDescent="0.4">
      <c r="D2329" s="2"/>
    </row>
    <row r="2330" spans="4:4" x14ac:dyDescent="0.4">
      <c r="D2330" s="2"/>
    </row>
    <row r="2331" spans="4:4" x14ac:dyDescent="0.4">
      <c r="D2331" s="2"/>
    </row>
    <row r="2332" spans="4:4" x14ac:dyDescent="0.4">
      <c r="D2332" s="2"/>
    </row>
    <row r="2333" spans="4:4" x14ac:dyDescent="0.4">
      <c r="D2333" s="2"/>
    </row>
    <row r="2334" spans="4:4" x14ac:dyDescent="0.4">
      <c r="D2334" s="2"/>
    </row>
    <row r="2335" spans="4:4" x14ac:dyDescent="0.4">
      <c r="D2335" s="2"/>
    </row>
    <row r="2336" spans="4:4" x14ac:dyDescent="0.4">
      <c r="D2336" s="2"/>
    </row>
    <row r="2337" spans="4:4" x14ac:dyDescent="0.4">
      <c r="D2337" s="2"/>
    </row>
    <row r="2338" spans="4:4" x14ac:dyDescent="0.4">
      <c r="D2338" s="2"/>
    </row>
    <row r="2339" spans="4:4" x14ac:dyDescent="0.4">
      <c r="D2339" s="2"/>
    </row>
    <row r="2340" spans="4:4" x14ac:dyDescent="0.4">
      <c r="D2340" s="2"/>
    </row>
    <row r="2341" spans="4:4" x14ac:dyDescent="0.4">
      <c r="D2341" s="2"/>
    </row>
    <row r="2342" spans="4:4" x14ac:dyDescent="0.4">
      <c r="D2342" s="2"/>
    </row>
    <row r="2343" spans="4:4" x14ac:dyDescent="0.4">
      <c r="D2343" s="2"/>
    </row>
    <row r="2344" spans="4:4" x14ac:dyDescent="0.4">
      <c r="D2344" s="2"/>
    </row>
    <row r="2345" spans="4:4" x14ac:dyDescent="0.4">
      <c r="D2345" s="2"/>
    </row>
    <row r="2346" spans="4:4" x14ac:dyDescent="0.4">
      <c r="D2346" s="2"/>
    </row>
    <row r="2347" spans="4:4" x14ac:dyDescent="0.4">
      <c r="D2347" s="2"/>
    </row>
    <row r="2348" spans="4:4" x14ac:dyDescent="0.4">
      <c r="D2348" s="2"/>
    </row>
    <row r="2349" spans="4:4" x14ac:dyDescent="0.4">
      <c r="D2349" s="2"/>
    </row>
    <row r="2350" spans="4:4" x14ac:dyDescent="0.4">
      <c r="D2350" s="2"/>
    </row>
    <row r="2351" spans="4:4" x14ac:dyDescent="0.4">
      <c r="D2351" s="2"/>
    </row>
    <row r="2352" spans="4:4" x14ac:dyDescent="0.4">
      <c r="D2352" s="2"/>
    </row>
    <row r="2353" spans="4:9" x14ac:dyDescent="0.4">
      <c r="D2353" s="2"/>
    </row>
    <row r="2354" spans="4:9" x14ac:dyDescent="0.4">
      <c r="D2354" s="2"/>
    </row>
    <row r="2355" spans="4:9" x14ac:dyDescent="0.4">
      <c r="D2355" s="2"/>
    </row>
    <row r="2356" spans="4:9" x14ac:dyDescent="0.4">
      <c r="D2356" s="2"/>
    </row>
    <row r="2357" spans="4:9" x14ac:dyDescent="0.4">
      <c r="D2357" s="2"/>
    </row>
    <row r="2358" spans="4:9" x14ac:dyDescent="0.4">
      <c r="D2358" s="2"/>
      <c r="H2358" s="3"/>
      <c r="I2358" s="3"/>
    </row>
    <row r="2359" spans="4:9" x14ac:dyDescent="0.4">
      <c r="D2359" s="2"/>
    </row>
    <row r="2360" spans="4:9" x14ac:dyDescent="0.4">
      <c r="D2360" s="2"/>
    </row>
    <row r="2361" spans="4:9" x14ac:dyDescent="0.4">
      <c r="D2361" s="2"/>
    </row>
    <row r="2362" spans="4:9" x14ac:dyDescent="0.4">
      <c r="D2362" s="2"/>
    </row>
    <row r="2363" spans="4:9" x14ac:dyDescent="0.4">
      <c r="D2363" s="2"/>
    </row>
    <row r="2364" spans="4:9" x14ac:dyDescent="0.4">
      <c r="D2364" s="2"/>
    </row>
    <row r="2365" spans="4:9" x14ac:dyDescent="0.4">
      <c r="D2365" s="2"/>
    </row>
    <row r="2366" spans="4:9" x14ac:dyDescent="0.4">
      <c r="D2366" s="2"/>
    </row>
    <row r="2367" spans="4:9" x14ac:dyDescent="0.4">
      <c r="D2367" s="2"/>
    </row>
    <row r="2368" spans="4:9" x14ac:dyDescent="0.4">
      <c r="D2368" s="2"/>
    </row>
    <row r="2369" spans="4:9" x14ac:dyDescent="0.4">
      <c r="D2369" s="2"/>
    </row>
    <row r="2370" spans="4:9" x14ac:dyDescent="0.4">
      <c r="D2370" s="2"/>
    </row>
    <row r="2371" spans="4:9" x14ac:dyDescent="0.4">
      <c r="D2371" s="2"/>
    </row>
    <row r="2372" spans="4:9" x14ac:dyDescent="0.4">
      <c r="D2372" s="2"/>
    </row>
    <row r="2373" spans="4:9" x14ac:dyDescent="0.4">
      <c r="D2373" s="2"/>
    </row>
    <row r="2374" spans="4:9" x14ac:dyDescent="0.4">
      <c r="D2374" s="2"/>
    </row>
    <row r="2375" spans="4:9" x14ac:dyDescent="0.4">
      <c r="D2375" s="2"/>
    </row>
    <row r="2376" spans="4:9" x14ac:dyDescent="0.4">
      <c r="D2376" s="2"/>
    </row>
    <row r="2377" spans="4:9" x14ac:dyDescent="0.4">
      <c r="D2377" s="2"/>
    </row>
    <row r="2378" spans="4:9" x14ac:dyDescent="0.4">
      <c r="D2378" s="2"/>
    </row>
    <row r="2379" spans="4:9" x14ac:dyDescent="0.4">
      <c r="D2379" s="2"/>
      <c r="H2379" s="3"/>
      <c r="I2379" s="3"/>
    </row>
    <row r="2380" spans="4:9" x14ac:dyDescent="0.4">
      <c r="D2380" s="2"/>
    </row>
    <row r="2381" spans="4:9" x14ac:dyDescent="0.4">
      <c r="D2381" s="2"/>
    </row>
    <row r="2382" spans="4:9" x14ac:dyDescent="0.4">
      <c r="D2382" s="2"/>
    </row>
    <row r="2383" spans="4:9" x14ac:dyDescent="0.4">
      <c r="D2383" s="2"/>
    </row>
    <row r="2384" spans="4:9" x14ac:dyDescent="0.4">
      <c r="D2384" s="2"/>
    </row>
    <row r="2385" spans="4:4" x14ac:dyDescent="0.4">
      <c r="D2385" s="2"/>
    </row>
    <row r="2386" spans="4:4" x14ac:dyDescent="0.4">
      <c r="D2386" s="2"/>
    </row>
    <row r="2387" spans="4:4" x14ac:dyDescent="0.4">
      <c r="D2387" s="2"/>
    </row>
    <row r="2388" spans="4:4" x14ac:dyDescent="0.4">
      <c r="D2388" s="2"/>
    </row>
    <row r="2389" spans="4:4" x14ac:dyDescent="0.4">
      <c r="D2389" s="2"/>
    </row>
    <row r="2390" spans="4:4" x14ac:dyDescent="0.4">
      <c r="D2390" s="2"/>
    </row>
    <row r="2391" spans="4:4" x14ac:dyDescent="0.4">
      <c r="D2391" s="2"/>
    </row>
    <row r="2392" spans="4:4" x14ac:dyDescent="0.4">
      <c r="D2392" s="2"/>
    </row>
    <row r="2393" spans="4:4" x14ac:dyDescent="0.4">
      <c r="D2393" s="2"/>
    </row>
    <row r="2394" spans="4:4" x14ac:dyDescent="0.4">
      <c r="D2394" s="2"/>
    </row>
    <row r="2395" spans="4:4" x14ac:dyDescent="0.4">
      <c r="D2395" s="2"/>
    </row>
    <row r="2396" spans="4:4" x14ac:dyDescent="0.4">
      <c r="D2396" s="2"/>
    </row>
    <row r="2397" spans="4:4" x14ac:dyDescent="0.4">
      <c r="D2397" s="2"/>
    </row>
    <row r="2398" spans="4:4" x14ac:dyDescent="0.4">
      <c r="D2398" s="2"/>
    </row>
    <row r="2399" spans="4:4" x14ac:dyDescent="0.4">
      <c r="D2399" s="2"/>
    </row>
    <row r="2400" spans="4:4" x14ac:dyDescent="0.4">
      <c r="D2400" s="2"/>
    </row>
    <row r="2401" spans="4:9" x14ac:dyDescent="0.4">
      <c r="D2401" s="2"/>
    </row>
    <row r="2402" spans="4:9" x14ac:dyDescent="0.4">
      <c r="D2402" s="2"/>
    </row>
    <row r="2403" spans="4:9" x14ac:dyDescent="0.4">
      <c r="D2403" s="2"/>
    </row>
    <row r="2404" spans="4:9" x14ac:dyDescent="0.4">
      <c r="D2404" s="2"/>
    </row>
    <row r="2405" spans="4:9" x14ac:dyDescent="0.4">
      <c r="D2405" s="2"/>
    </row>
    <row r="2406" spans="4:9" x14ac:dyDescent="0.4">
      <c r="D2406" s="2"/>
    </row>
    <row r="2407" spans="4:9" x14ac:dyDescent="0.4">
      <c r="D2407" s="2"/>
    </row>
    <row r="2408" spans="4:9" x14ac:dyDescent="0.4">
      <c r="D2408" s="2"/>
    </row>
    <row r="2409" spans="4:9" x14ac:dyDescent="0.4">
      <c r="D2409" s="2"/>
    </row>
    <row r="2410" spans="4:9" x14ac:dyDescent="0.4">
      <c r="D2410" s="2"/>
    </row>
    <row r="2411" spans="4:9" x14ac:dyDescent="0.4">
      <c r="D2411" s="2"/>
      <c r="H2411" s="3"/>
      <c r="I2411" s="3"/>
    </row>
    <row r="2412" spans="4:9" x14ac:dyDescent="0.4">
      <c r="D2412" s="2"/>
    </row>
    <row r="2413" spans="4:9" x14ac:dyDescent="0.4">
      <c r="D2413" s="2"/>
    </row>
    <row r="2414" spans="4:9" x14ac:dyDescent="0.4">
      <c r="D2414" s="2"/>
    </row>
    <row r="2415" spans="4:9" x14ac:dyDescent="0.4">
      <c r="D2415" s="2"/>
    </row>
    <row r="2416" spans="4:9" x14ac:dyDescent="0.4">
      <c r="D2416" s="2"/>
      <c r="H2416" s="3"/>
      <c r="I2416" s="3"/>
    </row>
    <row r="2417" spans="4:4" x14ac:dyDescent="0.4">
      <c r="D2417" s="2"/>
    </row>
    <row r="2418" spans="4:4" x14ac:dyDescent="0.4">
      <c r="D2418" s="2"/>
    </row>
    <row r="2419" spans="4:4" x14ac:dyDescent="0.4">
      <c r="D2419" s="2"/>
    </row>
    <row r="2420" spans="4:4" x14ac:dyDescent="0.4">
      <c r="D2420" s="2"/>
    </row>
    <row r="2421" spans="4:4" x14ac:dyDescent="0.4">
      <c r="D2421" s="2"/>
    </row>
    <row r="2422" spans="4:4" x14ac:dyDescent="0.4">
      <c r="D2422" s="2"/>
    </row>
    <row r="2423" spans="4:4" x14ac:dyDescent="0.4">
      <c r="D2423" s="2"/>
    </row>
    <row r="2424" spans="4:4" x14ac:dyDescent="0.4">
      <c r="D2424" s="2"/>
    </row>
    <row r="2425" spans="4:4" x14ac:dyDescent="0.4">
      <c r="D2425" s="2"/>
    </row>
    <row r="2426" spans="4:4" x14ac:dyDescent="0.4">
      <c r="D2426" s="2"/>
    </row>
    <row r="2427" spans="4:4" x14ac:dyDescent="0.4">
      <c r="D2427" s="2"/>
    </row>
    <row r="2428" spans="4:4" x14ac:dyDescent="0.4">
      <c r="D2428" s="2"/>
    </row>
    <row r="2429" spans="4:4" x14ac:dyDescent="0.4">
      <c r="D2429" s="2"/>
    </row>
    <row r="2430" spans="4:4" x14ac:dyDescent="0.4">
      <c r="D2430" s="2"/>
    </row>
    <row r="2431" spans="4:4" x14ac:dyDescent="0.4">
      <c r="D2431" s="2"/>
    </row>
    <row r="2432" spans="4:4" x14ac:dyDescent="0.4">
      <c r="D2432" s="2"/>
    </row>
    <row r="2433" spans="4:9" x14ac:dyDescent="0.4">
      <c r="D2433" s="2"/>
    </row>
    <row r="2434" spans="4:9" x14ac:dyDescent="0.4">
      <c r="D2434" s="2"/>
    </row>
    <row r="2435" spans="4:9" x14ac:dyDescent="0.4">
      <c r="D2435" s="2"/>
    </row>
    <row r="2436" spans="4:9" x14ac:dyDescent="0.4">
      <c r="D2436" s="2"/>
    </row>
    <row r="2437" spans="4:9" x14ac:dyDescent="0.4">
      <c r="D2437" s="2"/>
    </row>
    <row r="2438" spans="4:9" x14ac:dyDescent="0.4">
      <c r="D2438" s="2"/>
    </row>
    <row r="2439" spans="4:9" x14ac:dyDescent="0.4">
      <c r="D2439" s="2"/>
    </row>
    <row r="2440" spans="4:9" x14ac:dyDescent="0.4">
      <c r="D2440" s="2"/>
    </row>
    <row r="2441" spans="4:9" x14ac:dyDescent="0.4">
      <c r="D2441" s="2"/>
    </row>
    <row r="2442" spans="4:9" x14ac:dyDescent="0.4">
      <c r="D2442" s="2"/>
    </row>
    <row r="2443" spans="4:9" x14ac:dyDescent="0.4">
      <c r="D2443" s="2"/>
    </row>
    <row r="2444" spans="4:9" x14ac:dyDescent="0.4">
      <c r="D2444" s="2"/>
    </row>
    <row r="2445" spans="4:9" x14ac:dyDescent="0.4">
      <c r="D2445" s="2"/>
    </row>
    <row r="2446" spans="4:9" x14ac:dyDescent="0.4">
      <c r="D2446" s="2"/>
    </row>
    <row r="2447" spans="4:9" x14ac:dyDescent="0.4">
      <c r="D2447" s="2"/>
    </row>
    <row r="2448" spans="4:9" x14ac:dyDescent="0.4">
      <c r="D2448" s="2"/>
      <c r="H2448" s="3"/>
      <c r="I2448" s="3"/>
    </row>
    <row r="2449" spans="4:4" x14ac:dyDescent="0.4">
      <c r="D2449" s="2"/>
    </row>
    <row r="2450" spans="4:4" x14ac:dyDescent="0.4">
      <c r="D2450" s="2"/>
    </row>
    <row r="2451" spans="4:4" x14ac:dyDescent="0.4">
      <c r="D2451" s="2"/>
    </row>
    <row r="2452" spans="4:4" x14ac:dyDescent="0.4">
      <c r="D2452" s="2"/>
    </row>
    <row r="2453" spans="4:4" x14ac:dyDescent="0.4">
      <c r="D2453" s="2"/>
    </row>
    <row r="2454" spans="4:4" x14ac:dyDescent="0.4">
      <c r="D2454" s="2"/>
    </row>
    <row r="2455" spans="4:4" x14ac:dyDescent="0.4">
      <c r="D2455" s="2"/>
    </row>
    <row r="2456" spans="4:4" x14ac:dyDescent="0.4">
      <c r="D2456" s="2"/>
    </row>
    <row r="2457" spans="4:4" x14ac:dyDescent="0.4">
      <c r="D2457" s="2"/>
    </row>
    <row r="2458" spans="4:4" x14ac:dyDescent="0.4">
      <c r="D2458" s="2"/>
    </row>
    <row r="2459" spans="4:4" x14ac:dyDescent="0.4">
      <c r="D2459" s="2"/>
    </row>
    <row r="2460" spans="4:4" x14ac:dyDescent="0.4">
      <c r="D2460" s="2"/>
    </row>
    <row r="2461" spans="4:4" x14ac:dyDescent="0.4">
      <c r="D2461" s="2"/>
    </row>
    <row r="2462" spans="4:4" x14ac:dyDescent="0.4">
      <c r="D2462" s="2"/>
    </row>
    <row r="2463" spans="4:4" x14ac:dyDescent="0.4">
      <c r="D2463" s="2"/>
    </row>
    <row r="2464" spans="4:4" x14ac:dyDescent="0.4">
      <c r="D2464" s="2"/>
    </row>
    <row r="2465" spans="4:4" x14ac:dyDescent="0.4">
      <c r="D2465" s="2"/>
    </row>
    <row r="2466" spans="4:4" x14ac:dyDescent="0.4">
      <c r="D2466" s="2"/>
    </row>
    <row r="2467" spans="4:4" x14ac:dyDescent="0.4">
      <c r="D2467" s="2"/>
    </row>
    <row r="2468" spans="4:4" x14ac:dyDescent="0.4">
      <c r="D2468" s="2"/>
    </row>
    <row r="2469" spans="4:4" x14ac:dyDescent="0.4">
      <c r="D2469" s="2"/>
    </row>
    <row r="2470" spans="4:4" x14ac:dyDescent="0.4">
      <c r="D2470" s="2"/>
    </row>
    <row r="2471" spans="4:4" x14ac:dyDescent="0.4">
      <c r="D2471" s="2"/>
    </row>
    <row r="2472" spans="4:4" x14ac:dyDescent="0.4">
      <c r="D2472" s="2"/>
    </row>
    <row r="2473" spans="4:4" x14ac:dyDescent="0.4">
      <c r="D2473" s="2"/>
    </row>
    <row r="2474" spans="4:4" x14ac:dyDescent="0.4">
      <c r="D2474" s="2"/>
    </row>
    <row r="2475" spans="4:4" x14ac:dyDescent="0.4">
      <c r="D2475" s="2"/>
    </row>
    <row r="2476" spans="4:4" x14ac:dyDescent="0.4">
      <c r="D2476" s="2"/>
    </row>
    <row r="2477" spans="4:4" x14ac:dyDescent="0.4">
      <c r="D2477" s="2"/>
    </row>
    <row r="2478" spans="4:4" x14ac:dyDescent="0.4">
      <c r="D2478" s="2"/>
    </row>
    <row r="2479" spans="4:4" x14ac:dyDescent="0.4">
      <c r="D2479" s="2"/>
    </row>
    <row r="2480" spans="4:4" x14ac:dyDescent="0.4">
      <c r="D2480" s="2"/>
    </row>
    <row r="2481" spans="4:4" x14ac:dyDescent="0.4">
      <c r="D2481" s="2"/>
    </row>
    <row r="2482" spans="4:4" x14ac:dyDescent="0.4">
      <c r="D2482" s="2"/>
    </row>
    <row r="2483" spans="4:4" x14ac:dyDescent="0.4">
      <c r="D2483" s="2"/>
    </row>
    <row r="2484" spans="4:4" x14ac:dyDescent="0.4">
      <c r="D2484" s="2"/>
    </row>
    <row r="2485" spans="4:4" x14ac:dyDescent="0.4">
      <c r="D2485" s="2"/>
    </row>
    <row r="2486" spans="4:4" x14ac:dyDescent="0.4">
      <c r="D2486" s="2"/>
    </row>
    <row r="2487" spans="4:4" x14ac:dyDescent="0.4">
      <c r="D2487" s="2"/>
    </row>
    <row r="2488" spans="4:4" x14ac:dyDescent="0.4">
      <c r="D2488" s="2"/>
    </row>
    <row r="2489" spans="4:4" x14ac:dyDescent="0.4">
      <c r="D2489" s="2"/>
    </row>
    <row r="2490" spans="4:4" x14ac:dyDescent="0.4">
      <c r="D2490" s="2"/>
    </row>
    <row r="2491" spans="4:4" x14ac:dyDescent="0.4">
      <c r="D2491" s="2"/>
    </row>
    <row r="2492" spans="4:4" x14ac:dyDescent="0.4">
      <c r="D2492" s="2"/>
    </row>
    <row r="2493" spans="4:4" x14ac:dyDescent="0.4">
      <c r="D2493" s="2"/>
    </row>
    <row r="2494" spans="4:4" x14ac:dyDescent="0.4">
      <c r="D2494" s="2"/>
    </row>
    <row r="2495" spans="4:4" x14ac:dyDescent="0.4">
      <c r="D2495" s="2"/>
    </row>
    <row r="2496" spans="4:4" x14ac:dyDescent="0.4">
      <c r="D2496" s="2"/>
    </row>
    <row r="2497" spans="4:4" x14ac:dyDescent="0.4">
      <c r="D2497" s="2"/>
    </row>
    <row r="2498" spans="4:4" x14ac:dyDescent="0.4">
      <c r="D2498" s="2"/>
    </row>
    <row r="2499" spans="4:4" x14ac:dyDescent="0.4">
      <c r="D2499" s="2"/>
    </row>
    <row r="2500" spans="4:4" x14ac:dyDescent="0.4">
      <c r="D2500" s="2"/>
    </row>
    <row r="2501" spans="4:4" x14ac:dyDescent="0.4">
      <c r="D2501" s="2"/>
    </row>
    <row r="2502" spans="4:4" x14ac:dyDescent="0.4">
      <c r="D2502" s="2"/>
    </row>
    <row r="2503" spans="4:4" x14ac:dyDescent="0.4">
      <c r="D2503" s="2"/>
    </row>
    <row r="2504" spans="4:4" x14ac:dyDescent="0.4">
      <c r="D2504" s="2"/>
    </row>
    <row r="2505" spans="4:4" x14ac:dyDescent="0.4">
      <c r="D2505" s="2"/>
    </row>
    <row r="2506" spans="4:4" x14ac:dyDescent="0.4">
      <c r="D2506" s="2"/>
    </row>
    <row r="2507" spans="4:4" x14ac:dyDescent="0.4">
      <c r="D2507" s="2"/>
    </row>
    <row r="2508" spans="4:4" x14ac:dyDescent="0.4">
      <c r="D2508" s="2"/>
    </row>
    <row r="2509" spans="4:4" x14ac:dyDescent="0.4">
      <c r="D2509" s="2"/>
    </row>
    <row r="2510" spans="4:4" x14ac:dyDescent="0.4">
      <c r="D2510" s="2"/>
    </row>
    <row r="2511" spans="4:4" x14ac:dyDescent="0.4">
      <c r="D2511" s="2"/>
    </row>
    <row r="2512" spans="4:4" x14ac:dyDescent="0.4">
      <c r="D2512" s="2"/>
    </row>
    <row r="2513" spans="4:4" x14ac:dyDescent="0.4">
      <c r="D2513" s="2"/>
    </row>
    <row r="2514" spans="4:4" x14ac:dyDescent="0.4">
      <c r="D2514" s="2"/>
    </row>
    <row r="2515" spans="4:4" x14ac:dyDescent="0.4">
      <c r="D2515" s="2"/>
    </row>
    <row r="2516" spans="4:4" x14ac:dyDescent="0.4">
      <c r="D2516" s="2"/>
    </row>
    <row r="2517" spans="4:4" x14ac:dyDescent="0.4">
      <c r="D2517" s="2"/>
    </row>
    <row r="2518" spans="4:4" x14ac:dyDescent="0.4">
      <c r="D2518" s="2"/>
    </row>
    <row r="2519" spans="4:4" x14ac:dyDescent="0.4">
      <c r="D2519" s="2"/>
    </row>
    <row r="2520" spans="4:4" x14ac:dyDescent="0.4">
      <c r="D2520" s="2"/>
    </row>
    <row r="2521" spans="4:4" x14ac:dyDescent="0.4">
      <c r="D2521" s="2"/>
    </row>
    <row r="2522" spans="4:4" x14ac:dyDescent="0.4">
      <c r="D2522" s="2"/>
    </row>
    <row r="2523" spans="4:4" x14ac:dyDescent="0.4">
      <c r="D2523" s="2"/>
    </row>
    <row r="2524" spans="4:4" x14ac:dyDescent="0.4">
      <c r="D2524" s="2"/>
    </row>
    <row r="2525" spans="4:4" x14ac:dyDescent="0.4">
      <c r="D2525" s="2"/>
    </row>
    <row r="2526" spans="4:4" x14ac:dyDescent="0.4">
      <c r="D2526" s="2"/>
    </row>
    <row r="2527" spans="4:4" x14ac:dyDescent="0.4">
      <c r="D2527" s="2"/>
    </row>
    <row r="2528" spans="4:4" x14ac:dyDescent="0.4">
      <c r="D2528" s="2"/>
    </row>
    <row r="2529" spans="4:4" x14ac:dyDescent="0.4">
      <c r="D2529" s="2"/>
    </row>
    <row r="2530" spans="4:4" x14ac:dyDescent="0.4">
      <c r="D2530" s="2"/>
    </row>
    <row r="2531" spans="4:4" x14ac:dyDescent="0.4">
      <c r="D2531" s="2"/>
    </row>
    <row r="2532" spans="4:4" x14ac:dyDescent="0.4">
      <c r="D2532" s="2"/>
    </row>
    <row r="2533" spans="4:4" x14ac:dyDescent="0.4">
      <c r="D2533" s="2"/>
    </row>
    <row r="2534" spans="4:4" x14ac:dyDescent="0.4">
      <c r="D2534" s="2"/>
    </row>
    <row r="2535" spans="4:4" x14ac:dyDescent="0.4">
      <c r="D2535" s="2"/>
    </row>
    <row r="2536" spans="4:4" x14ac:dyDescent="0.4">
      <c r="D2536" s="2"/>
    </row>
    <row r="2537" spans="4:4" x14ac:dyDescent="0.4">
      <c r="D2537" s="2"/>
    </row>
    <row r="2538" spans="4:4" x14ac:dyDescent="0.4">
      <c r="D2538" s="2"/>
    </row>
    <row r="2539" spans="4:4" x14ac:dyDescent="0.4">
      <c r="D2539" s="2"/>
    </row>
    <row r="2540" spans="4:4" x14ac:dyDescent="0.4">
      <c r="D2540" s="2"/>
    </row>
    <row r="2541" spans="4:4" x14ac:dyDescent="0.4">
      <c r="D2541" s="2"/>
    </row>
    <row r="2542" spans="4:4" x14ac:dyDescent="0.4">
      <c r="D2542" s="2"/>
    </row>
    <row r="2543" spans="4:4" x14ac:dyDescent="0.4">
      <c r="D2543" s="2"/>
    </row>
    <row r="2544" spans="4:4" x14ac:dyDescent="0.4">
      <c r="D2544" s="2"/>
    </row>
    <row r="2545" spans="4:4" x14ac:dyDescent="0.4">
      <c r="D2545" s="2"/>
    </row>
    <row r="2546" spans="4:4" x14ac:dyDescent="0.4">
      <c r="D2546" s="2"/>
    </row>
    <row r="2547" spans="4:4" x14ac:dyDescent="0.4">
      <c r="D2547" s="2"/>
    </row>
    <row r="2548" spans="4:4" x14ac:dyDescent="0.4">
      <c r="D2548" s="2"/>
    </row>
    <row r="2549" spans="4:4" x14ac:dyDescent="0.4">
      <c r="D2549" s="2"/>
    </row>
    <row r="2550" spans="4:4" x14ac:dyDescent="0.4">
      <c r="D2550" s="2"/>
    </row>
    <row r="2551" spans="4:4" x14ac:dyDescent="0.4">
      <c r="D2551" s="2"/>
    </row>
    <row r="2552" spans="4:4" x14ac:dyDescent="0.4">
      <c r="D2552" s="2"/>
    </row>
    <row r="2553" spans="4:4" x14ac:dyDescent="0.4">
      <c r="D2553" s="2"/>
    </row>
    <row r="2554" spans="4:4" x14ac:dyDescent="0.4">
      <c r="D2554" s="2"/>
    </row>
    <row r="2555" spans="4:4" x14ac:dyDescent="0.4">
      <c r="D2555" s="2"/>
    </row>
    <row r="2556" spans="4:4" x14ac:dyDescent="0.4">
      <c r="D2556" s="2"/>
    </row>
    <row r="2557" spans="4:4" x14ac:dyDescent="0.4">
      <c r="D2557" s="2"/>
    </row>
    <row r="2558" spans="4:4" x14ac:dyDescent="0.4">
      <c r="D2558" s="2"/>
    </row>
    <row r="2559" spans="4:4" x14ac:dyDescent="0.4">
      <c r="D2559" s="2"/>
    </row>
    <row r="2560" spans="4:4" x14ac:dyDescent="0.4">
      <c r="D2560" s="2"/>
    </row>
    <row r="2561" spans="4:4" x14ac:dyDescent="0.4">
      <c r="D2561" s="2"/>
    </row>
    <row r="2562" spans="4:4" x14ac:dyDescent="0.4">
      <c r="D2562" s="2"/>
    </row>
    <row r="2563" spans="4:4" x14ac:dyDescent="0.4">
      <c r="D2563" s="2"/>
    </row>
    <row r="2564" spans="4:4" x14ac:dyDescent="0.4">
      <c r="D2564" s="2"/>
    </row>
    <row r="2565" spans="4:4" x14ac:dyDescent="0.4">
      <c r="D2565" s="2"/>
    </row>
    <row r="2566" spans="4:4" x14ac:dyDescent="0.4">
      <c r="D2566" s="2"/>
    </row>
    <row r="2567" spans="4:4" x14ac:dyDescent="0.4">
      <c r="D2567" s="2"/>
    </row>
    <row r="2568" spans="4:4" x14ac:dyDescent="0.4">
      <c r="D2568" s="2"/>
    </row>
    <row r="2569" spans="4:4" x14ac:dyDescent="0.4">
      <c r="D2569" s="2"/>
    </row>
    <row r="2570" spans="4:4" x14ac:dyDescent="0.4">
      <c r="D2570" s="2"/>
    </row>
    <row r="2571" spans="4:4" x14ac:dyDescent="0.4">
      <c r="D2571" s="2"/>
    </row>
    <row r="2572" spans="4:4" x14ac:dyDescent="0.4">
      <c r="D2572" s="2"/>
    </row>
    <row r="2573" spans="4:4" x14ac:dyDescent="0.4">
      <c r="D2573" s="2"/>
    </row>
    <row r="2574" spans="4:4" x14ac:dyDescent="0.4">
      <c r="D2574" s="2"/>
    </row>
    <row r="2575" spans="4:4" x14ac:dyDescent="0.4">
      <c r="D2575" s="2"/>
    </row>
    <row r="2576" spans="4:4" x14ac:dyDescent="0.4">
      <c r="D2576" s="2"/>
    </row>
    <row r="2577" spans="4:4" x14ac:dyDescent="0.4">
      <c r="D2577" s="2"/>
    </row>
    <row r="2578" spans="4:4" x14ac:dyDescent="0.4">
      <c r="D2578" s="2"/>
    </row>
    <row r="2579" spans="4:4" x14ac:dyDescent="0.4">
      <c r="D2579" s="2"/>
    </row>
    <row r="2580" spans="4:4" x14ac:dyDescent="0.4">
      <c r="D2580" s="2"/>
    </row>
    <row r="2581" spans="4:4" x14ac:dyDescent="0.4">
      <c r="D2581" s="2"/>
    </row>
    <row r="2582" spans="4:4" x14ac:dyDescent="0.4">
      <c r="D2582" s="2"/>
    </row>
    <row r="2583" spans="4:4" x14ac:dyDescent="0.4">
      <c r="D2583" s="2"/>
    </row>
    <row r="2584" spans="4:4" x14ac:dyDescent="0.4">
      <c r="D2584" s="2"/>
    </row>
    <row r="2585" spans="4:4" x14ac:dyDescent="0.4">
      <c r="D2585" s="2"/>
    </row>
    <row r="2586" spans="4:4" x14ac:dyDescent="0.4">
      <c r="D2586" s="2"/>
    </row>
    <row r="2587" spans="4:4" x14ac:dyDescent="0.4">
      <c r="D2587" s="2"/>
    </row>
    <row r="2588" spans="4:4" x14ac:dyDescent="0.4">
      <c r="D2588" s="2"/>
    </row>
    <row r="2589" spans="4:4" x14ac:dyDescent="0.4">
      <c r="D2589" s="2"/>
    </row>
    <row r="2590" spans="4:4" x14ac:dyDescent="0.4">
      <c r="D2590" s="2"/>
    </row>
    <row r="2591" spans="4:4" x14ac:dyDescent="0.4">
      <c r="D2591" s="2"/>
    </row>
    <row r="2592" spans="4:4" x14ac:dyDescent="0.4">
      <c r="D2592" s="2"/>
    </row>
    <row r="2593" spans="4:4" x14ac:dyDescent="0.4">
      <c r="D2593" s="2"/>
    </row>
    <row r="2594" spans="4:4" x14ac:dyDescent="0.4">
      <c r="D2594" s="2"/>
    </row>
    <row r="2595" spans="4:4" x14ac:dyDescent="0.4">
      <c r="D2595" s="2"/>
    </row>
    <row r="2596" spans="4:4" x14ac:dyDescent="0.4">
      <c r="D2596" s="2"/>
    </row>
    <row r="2597" spans="4:4" x14ac:dyDescent="0.4">
      <c r="D2597" s="2"/>
    </row>
    <row r="2598" spans="4:4" x14ac:dyDescent="0.4">
      <c r="D2598" s="2"/>
    </row>
    <row r="2599" spans="4:4" x14ac:dyDescent="0.4">
      <c r="D2599" s="2"/>
    </row>
    <row r="2600" spans="4:4" x14ac:dyDescent="0.4">
      <c r="D2600" s="2"/>
    </row>
    <row r="2601" spans="4:4" x14ac:dyDescent="0.4">
      <c r="D2601" s="2"/>
    </row>
    <row r="2602" spans="4:4" x14ac:dyDescent="0.4">
      <c r="D2602" s="2"/>
    </row>
    <row r="2603" spans="4:4" x14ac:dyDescent="0.4">
      <c r="D2603" s="2"/>
    </row>
    <row r="2604" spans="4:4" x14ac:dyDescent="0.4">
      <c r="D2604" s="2"/>
    </row>
    <row r="2605" spans="4:4" x14ac:dyDescent="0.4">
      <c r="D2605" s="2"/>
    </row>
    <row r="2606" spans="4:4" x14ac:dyDescent="0.4">
      <c r="D2606" s="2"/>
    </row>
    <row r="2607" spans="4:4" x14ac:dyDescent="0.4">
      <c r="D2607" s="2"/>
    </row>
    <row r="2608" spans="4:4" x14ac:dyDescent="0.4">
      <c r="D2608" s="2"/>
    </row>
    <row r="2609" spans="4:4" x14ac:dyDescent="0.4">
      <c r="D2609" s="2"/>
    </row>
    <row r="2610" spans="4:4" x14ac:dyDescent="0.4">
      <c r="D2610" s="2"/>
    </row>
    <row r="2611" spans="4:4" x14ac:dyDescent="0.4">
      <c r="D2611" s="2"/>
    </row>
    <row r="2612" spans="4:4" x14ac:dyDescent="0.4">
      <c r="D2612" s="2"/>
    </row>
    <row r="2613" spans="4:4" x14ac:dyDescent="0.4">
      <c r="D2613" s="2"/>
    </row>
    <row r="2614" spans="4:4" x14ac:dyDescent="0.4">
      <c r="D2614" s="2"/>
    </row>
    <row r="2615" spans="4:4" x14ac:dyDescent="0.4">
      <c r="D2615" s="2"/>
    </row>
    <row r="2616" spans="4:4" x14ac:dyDescent="0.4">
      <c r="D2616" s="2"/>
    </row>
    <row r="2617" spans="4:4" x14ac:dyDescent="0.4">
      <c r="D2617" s="2"/>
    </row>
    <row r="2618" spans="4:4" x14ac:dyDescent="0.4">
      <c r="D2618" s="2"/>
    </row>
    <row r="2619" spans="4:4" x14ac:dyDescent="0.4">
      <c r="D2619" s="2"/>
    </row>
    <row r="2620" spans="4:4" x14ac:dyDescent="0.4">
      <c r="D2620" s="2"/>
    </row>
    <row r="2621" spans="4:4" x14ac:dyDescent="0.4">
      <c r="D2621" s="2"/>
    </row>
    <row r="2622" spans="4:4" x14ac:dyDescent="0.4">
      <c r="D2622" s="2"/>
    </row>
    <row r="2623" spans="4:4" x14ac:dyDescent="0.4">
      <c r="D2623" s="2"/>
    </row>
    <row r="2624" spans="4:4" x14ac:dyDescent="0.4">
      <c r="D2624" s="2"/>
    </row>
    <row r="2625" spans="4:4" x14ac:dyDescent="0.4">
      <c r="D2625" s="2"/>
    </row>
    <row r="2626" spans="4:4" x14ac:dyDescent="0.4">
      <c r="D2626" s="2"/>
    </row>
    <row r="2627" spans="4:4" x14ac:dyDescent="0.4">
      <c r="D2627" s="2"/>
    </row>
    <row r="2628" spans="4:4" x14ac:dyDescent="0.4">
      <c r="D2628" s="2"/>
    </row>
    <row r="2629" spans="4:4" x14ac:dyDescent="0.4">
      <c r="D2629" s="2"/>
    </row>
    <row r="2630" spans="4:4" x14ac:dyDescent="0.4">
      <c r="D2630" s="2"/>
    </row>
    <row r="2631" spans="4:4" x14ac:dyDescent="0.4">
      <c r="D2631" s="2"/>
    </row>
    <row r="2632" spans="4:4" x14ac:dyDescent="0.4">
      <c r="D2632" s="2"/>
    </row>
    <row r="2633" spans="4:4" x14ac:dyDescent="0.4">
      <c r="D2633" s="2"/>
    </row>
    <row r="2634" spans="4:4" x14ac:dyDescent="0.4">
      <c r="D2634" s="2"/>
    </row>
    <row r="2635" spans="4:4" x14ac:dyDescent="0.4">
      <c r="D2635" s="2"/>
    </row>
    <row r="2636" spans="4:4" x14ac:dyDescent="0.4">
      <c r="D2636" s="2"/>
    </row>
    <row r="2637" spans="4:4" x14ac:dyDescent="0.4">
      <c r="D2637" s="2"/>
    </row>
    <row r="2638" spans="4:4" x14ac:dyDescent="0.4">
      <c r="D2638" s="2"/>
    </row>
    <row r="2639" spans="4:4" x14ac:dyDescent="0.4">
      <c r="D2639" s="2"/>
    </row>
    <row r="2640" spans="4:4" x14ac:dyDescent="0.4">
      <c r="D2640" s="2"/>
    </row>
    <row r="2641" spans="4:4" x14ac:dyDescent="0.4">
      <c r="D2641" s="2"/>
    </row>
    <row r="2642" spans="4:4" x14ac:dyDescent="0.4">
      <c r="D2642" s="2"/>
    </row>
    <row r="2643" spans="4:4" x14ac:dyDescent="0.4">
      <c r="D2643" s="2"/>
    </row>
    <row r="2644" spans="4:4" x14ac:dyDescent="0.4">
      <c r="D2644" s="2"/>
    </row>
    <row r="2645" spans="4:4" x14ac:dyDescent="0.4">
      <c r="D2645" s="2"/>
    </row>
    <row r="2646" spans="4:4" x14ac:dyDescent="0.4">
      <c r="D2646" s="2"/>
    </row>
    <row r="2647" spans="4:4" x14ac:dyDescent="0.4">
      <c r="D2647" s="2"/>
    </row>
    <row r="2648" spans="4:4" x14ac:dyDescent="0.4">
      <c r="D2648" s="2"/>
    </row>
    <row r="2649" spans="4:4" x14ac:dyDescent="0.4">
      <c r="D2649" s="2"/>
    </row>
    <row r="2650" spans="4:4" x14ac:dyDescent="0.4">
      <c r="D2650" s="2"/>
    </row>
    <row r="2651" spans="4:4" x14ac:dyDescent="0.4">
      <c r="D2651" s="2"/>
    </row>
    <row r="2652" spans="4:4" x14ac:dyDescent="0.4">
      <c r="D2652" s="2"/>
    </row>
    <row r="2653" spans="4:4" x14ac:dyDescent="0.4">
      <c r="D2653" s="2"/>
    </row>
    <row r="2654" spans="4:4" x14ac:dyDescent="0.4">
      <c r="D2654" s="2"/>
    </row>
    <row r="2655" spans="4:4" x14ac:dyDescent="0.4">
      <c r="D2655" s="2"/>
    </row>
    <row r="2656" spans="4:4" x14ac:dyDescent="0.4">
      <c r="D2656" s="2"/>
    </row>
    <row r="2657" spans="4:4" x14ac:dyDescent="0.4">
      <c r="D2657" s="2"/>
    </row>
    <row r="2658" spans="4:4" x14ac:dyDescent="0.4">
      <c r="D2658" s="2"/>
    </row>
    <row r="2659" spans="4:4" x14ac:dyDescent="0.4">
      <c r="D2659" s="2"/>
    </row>
    <row r="2660" spans="4:4" x14ac:dyDescent="0.4">
      <c r="D2660" s="2"/>
    </row>
    <row r="2661" spans="4:4" x14ac:dyDescent="0.4">
      <c r="D2661" s="2"/>
    </row>
    <row r="2662" spans="4:4" x14ac:dyDescent="0.4">
      <c r="D2662" s="2"/>
    </row>
    <row r="2663" spans="4:4" x14ac:dyDescent="0.4">
      <c r="D2663" s="2"/>
    </row>
    <row r="2664" spans="4:4" x14ac:dyDescent="0.4">
      <c r="D2664" s="2"/>
    </row>
    <row r="2665" spans="4:4" x14ac:dyDescent="0.4">
      <c r="D2665" s="2"/>
    </row>
    <row r="2666" spans="4:4" x14ac:dyDescent="0.4">
      <c r="D2666" s="2"/>
    </row>
    <row r="2667" spans="4:4" x14ac:dyDescent="0.4">
      <c r="D2667" s="2"/>
    </row>
    <row r="2668" spans="4:4" x14ac:dyDescent="0.4">
      <c r="D2668" s="2"/>
    </row>
    <row r="2669" spans="4:4" x14ac:dyDescent="0.4">
      <c r="D2669" s="2"/>
    </row>
    <row r="2670" spans="4:4" x14ac:dyDescent="0.4">
      <c r="D2670" s="2"/>
    </row>
    <row r="2671" spans="4:4" x14ac:dyDescent="0.4">
      <c r="D2671" s="2"/>
    </row>
    <row r="2672" spans="4:4" x14ac:dyDescent="0.4">
      <c r="D2672" s="2"/>
    </row>
    <row r="2673" spans="4:9" x14ac:dyDescent="0.4">
      <c r="D2673" s="2"/>
    </row>
    <row r="2674" spans="4:9" x14ac:dyDescent="0.4">
      <c r="D2674" s="2"/>
    </row>
    <row r="2675" spans="4:9" x14ac:dyDescent="0.4">
      <c r="D2675" s="2"/>
    </row>
    <row r="2676" spans="4:9" x14ac:dyDescent="0.4">
      <c r="D2676" s="2"/>
    </row>
    <row r="2677" spans="4:9" x14ac:dyDescent="0.4">
      <c r="D2677" s="2"/>
    </row>
    <row r="2678" spans="4:9" x14ac:dyDescent="0.4">
      <c r="D2678" s="2"/>
    </row>
    <row r="2679" spans="4:9" x14ac:dyDescent="0.4">
      <c r="D2679" s="2"/>
    </row>
    <row r="2680" spans="4:9" x14ac:dyDescent="0.4">
      <c r="D2680" s="2"/>
    </row>
    <row r="2681" spans="4:9" x14ac:dyDescent="0.4">
      <c r="D2681" s="2"/>
    </row>
    <row r="2682" spans="4:9" x14ac:dyDescent="0.4">
      <c r="D2682" s="2"/>
    </row>
    <row r="2683" spans="4:9" x14ac:dyDescent="0.4">
      <c r="D2683" s="2"/>
    </row>
    <row r="2684" spans="4:9" x14ac:dyDescent="0.4">
      <c r="D2684" s="2"/>
    </row>
    <row r="2685" spans="4:9" x14ac:dyDescent="0.4">
      <c r="D2685" s="2"/>
    </row>
    <row r="2686" spans="4:9" x14ac:dyDescent="0.4">
      <c r="D2686" s="2"/>
    </row>
    <row r="2687" spans="4:9" x14ac:dyDescent="0.4">
      <c r="D2687" s="2"/>
      <c r="H2687" s="3"/>
      <c r="I2687" s="3"/>
    </row>
    <row r="2688" spans="4:9" x14ac:dyDescent="0.4">
      <c r="D2688" s="2"/>
    </row>
    <row r="2689" spans="4:4" x14ac:dyDescent="0.4">
      <c r="D2689" s="2"/>
    </row>
    <row r="2690" spans="4:4" x14ac:dyDescent="0.4">
      <c r="D2690" s="2"/>
    </row>
    <row r="2691" spans="4:4" x14ac:dyDescent="0.4">
      <c r="D2691" s="2"/>
    </row>
    <row r="2692" spans="4:4" x14ac:dyDescent="0.4">
      <c r="D2692" s="2"/>
    </row>
    <row r="2693" spans="4:4" x14ac:dyDescent="0.4">
      <c r="D2693" s="2"/>
    </row>
    <row r="2694" spans="4:4" x14ac:dyDescent="0.4">
      <c r="D2694" s="2"/>
    </row>
    <row r="2695" spans="4:4" x14ac:dyDescent="0.4">
      <c r="D2695" s="2"/>
    </row>
    <row r="2696" spans="4:4" x14ac:dyDescent="0.4">
      <c r="D2696" s="2"/>
    </row>
    <row r="2697" spans="4:4" x14ac:dyDescent="0.4">
      <c r="D2697" s="2"/>
    </row>
    <row r="2698" spans="4:4" x14ac:dyDescent="0.4">
      <c r="D2698" s="2"/>
    </row>
    <row r="2699" spans="4:4" x14ac:dyDescent="0.4">
      <c r="D2699" s="2"/>
    </row>
    <row r="2700" spans="4:4" x14ac:dyDescent="0.4">
      <c r="D2700" s="2"/>
    </row>
    <row r="2701" spans="4:4" x14ac:dyDescent="0.4">
      <c r="D2701" s="2"/>
    </row>
    <row r="2702" spans="4:4" x14ac:dyDescent="0.4">
      <c r="D2702" s="2"/>
    </row>
    <row r="2703" spans="4:4" x14ac:dyDescent="0.4">
      <c r="D2703" s="2"/>
    </row>
    <row r="2704" spans="4:4" x14ac:dyDescent="0.4">
      <c r="D2704" s="2"/>
    </row>
    <row r="2705" spans="4:9" x14ac:dyDescent="0.4">
      <c r="D2705" s="2"/>
    </row>
    <row r="2706" spans="4:9" x14ac:dyDescent="0.4">
      <c r="D2706" s="2"/>
    </row>
    <row r="2707" spans="4:9" x14ac:dyDescent="0.4">
      <c r="D2707" s="2"/>
    </row>
    <row r="2708" spans="4:9" x14ac:dyDescent="0.4">
      <c r="D2708" s="2"/>
    </row>
    <row r="2709" spans="4:9" x14ac:dyDescent="0.4">
      <c r="D2709" s="2"/>
    </row>
    <row r="2710" spans="4:9" x14ac:dyDescent="0.4">
      <c r="D2710" s="2"/>
    </row>
    <row r="2711" spans="4:9" x14ac:dyDescent="0.4">
      <c r="D2711" s="2"/>
      <c r="H2711" s="3"/>
      <c r="I2711" s="3"/>
    </row>
    <row r="2712" spans="4:9" x14ac:dyDescent="0.4">
      <c r="D2712" s="2"/>
    </row>
    <row r="2713" spans="4:9" x14ac:dyDescent="0.4">
      <c r="D2713" s="2"/>
    </row>
    <row r="2714" spans="4:9" x14ac:dyDescent="0.4">
      <c r="D2714" s="2"/>
    </row>
    <row r="2715" spans="4:9" x14ac:dyDescent="0.4">
      <c r="D2715" s="2"/>
    </row>
    <row r="2716" spans="4:9" x14ac:dyDescent="0.4">
      <c r="D2716" s="2"/>
    </row>
    <row r="2717" spans="4:9" x14ac:dyDescent="0.4">
      <c r="D2717" s="2"/>
    </row>
    <row r="2718" spans="4:9" x14ac:dyDescent="0.4">
      <c r="D2718" s="2"/>
    </row>
    <row r="2719" spans="4:9" x14ac:dyDescent="0.4">
      <c r="D2719" s="2"/>
    </row>
    <row r="2720" spans="4:9" x14ac:dyDescent="0.4">
      <c r="D2720" s="2"/>
    </row>
    <row r="2721" spans="4:4" x14ac:dyDescent="0.4">
      <c r="D2721" s="2"/>
    </row>
    <row r="2722" spans="4:4" x14ac:dyDescent="0.4">
      <c r="D2722" s="2"/>
    </row>
    <row r="2723" spans="4:4" x14ac:dyDescent="0.4">
      <c r="D2723" s="2"/>
    </row>
    <row r="2724" spans="4:4" x14ac:dyDescent="0.4">
      <c r="D2724" s="2"/>
    </row>
    <row r="2725" spans="4:4" x14ac:dyDescent="0.4">
      <c r="D2725" s="2"/>
    </row>
    <row r="2726" spans="4:4" x14ac:dyDescent="0.4">
      <c r="D2726" s="2"/>
    </row>
    <row r="2727" spans="4:4" x14ac:dyDescent="0.4">
      <c r="D2727" s="2"/>
    </row>
    <row r="2728" spans="4:4" x14ac:dyDescent="0.4">
      <c r="D2728" s="2"/>
    </row>
    <row r="2729" spans="4:4" x14ac:dyDescent="0.4">
      <c r="D2729" s="2"/>
    </row>
    <row r="2730" spans="4:4" x14ac:dyDescent="0.4">
      <c r="D2730" s="2"/>
    </row>
    <row r="2731" spans="4:4" x14ac:dyDescent="0.4">
      <c r="D2731" s="2"/>
    </row>
    <row r="2732" spans="4:4" x14ac:dyDescent="0.4">
      <c r="D2732" s="2"/>
    </row>
    <row r="2733" spans="4:4" x14ac:dyDescent="0.4">
      <c r="D2733" s="2"/>
    </row>
    <row r="2734" spans="4:4" x14ac:dyDescent="0.4">
      <c r="D2734" s="2"/>
    </row>
    <row r="2735" spans="4:4" x14ac:dyDescent="0.4">
      <c r="D2735" s="2"/>
    </row>
    <row r="2736" spans="4:4" x14ac:dyDescent="0.4">
      <c r="D2736" s="2"/>
    </row>
    <row r="2737" spans="4:4" x14ac:dyDescent="0.4">
      <c r="D2737" s="2"/>
    </row>
    <row r="2738" spans="4:4" x14ac:dyDescent="0.4">
      <c r="D2738" s="2"/>
    </row>
    <row r="2739" spans="4:4" x14ac:dyDescent="0.4">
      <c r="D2739" s="2"/>
    </row>
    <row r="2740" spans="4:4" x14ac:dyDescent="0.4">
      <c r="D2740" s="2"/>
    </row>
    <row r="2741" spans="4:4" x14ac:dyDescent="0.4">
      <c r="D2741" s="2"/>
    </row>
    <row r="2742" spans="4:4" x14ac:dyDescent="0.4">
      <c r="D2742" s="2"/>
    </row>
    <row r="2743" spans="4:4" x14ac:dyDescent="0.4">
      <c r="D2743" s="2"/>
    </row>
    <row r="2744" spans="4:4" x14ac:dyDescent="0.4">
      <c r="D2744" s="2"/>
    </row>
    <row r="2745" spans="4:4" x14ac:dyDescent="0.4">
      <c r="D2745" s="2"/>
    </row>
    <row r="2746" spans="4:4" x14ac:dyDescent="0.4">
      <c r="D2746" s="2"/>
    </row>
    <row r="2747" spans="4:4" x14ac:dyDescent="0.4">
      <c r="D2747" s="2"/>
    </row>
    <row r="2748" spans="4:4" x14ac:dyDescent="0.4">
      <c r="D2748" s="2"/>
    </row>
    <row r="2749" spans="4:4" x14ac:dyDescent="0.4">
      <c r="D2749" s="2"/>
    </row>
    <row r="2750" spans="4:4" x14ac:dyDescent="0.4">
      <c r="D2750" s="2"/>
    </row>
    <row r="2751" spans="4:4" x14ac:dyDescent="0.4">
      <c r="D2751" s="2"/>
    </row>
    <row r="2752" spans="4:4" x14ac:dyDescent="0.4">
      <c r="D2752" s="2"/>
    </row>
    <row r="2753" spans="4:4" x14ac:dyDescent="0.4">
      <c r="D2753" s="2"/>
    </row>
    <row r="2754" spans="4:4" x14ac:dyDescent="0.4">
      <c r="D2754" s="2"/>
    </row>
    <row r="2755" spans="4:4" x14ac:dyDescent="0.4">
      <c r="D2755" s="2"/>
    </row>
    <row r="2756" spans="4:4" x14ac:dyDescent="0.4">
      <c r="D2756" s="2"/>
    </row>
    <row r="2757" spans="4:4" x14ac:dyDescent="0.4">
      <c r="D2757" s="2"/>
    </row>
    <row r="2758" spans="4:4" x14ac:dyDescent="0.4">
      <c r="D2758" s="2"/>
    </row>
    <row r="2759" spans="4:4" x14ac:dyDescent="0.4">
      <c r="D2759" s="2"/>
    </row>
    <row r="2760" spans="4:4" x14ac:dyDescent="0.4">
      <c r="D2760" s="2"/>
    </row>
    <row r="2761" spans="4:4" x14ac:dyDescent="0.4">
      <c r="D2761" s="2"/>
    </row>
    <row r="2762" spans="4:4" x14ac:dyDescent="0.4">
      <c r="D2762" s="2"/>
    </row>
    <row r="2763" spans="4:4" x14ac:dyDescent="0.4">
      <c r="D2763" s="2"/>
    </row>
    <row r="2764" spans="4:4" x14ac:dyDescent="0.4">
      <c r="D2764" s="2"/>
    </row>
    <row r="2765" spans="4:4" x14ac:dyDescent="0.4">
      <c r="D2765" s="2"/>
    </row>
    <row r="2766" spans="4:4" x14ac:dyDescent="0.4">
      <c r="D2766" s="2"/>
    </row>
    <row r="2767" spans="4:4" x14ac:dyDescent="0.4">
      <c r="D2767" s="2"/>
    </row>
    <row r="2768" spans="4:4" x14ac:dyDescent="0.4">
      <c r="D2768" s="2"/>
    </row>
    <row r="2769" spans="4:4" x14ac:dyDescent="0.4">
      <c r="D2769" s="2"/>
    </row>
    <row r="2770" spans="4:4" x14ac:dyDescent="0.4">
      <c r="D2770" s="2"/>
    </row>
    <row r="2771" spans="4:4" x14ac:dyDescent="0.4">
      <c r="D2771" s="2"/>
    </row>
    <row r="2772" spans="4:4" x14ac:dyDescent="0.4">
      <c r="D2772" s="2"/>
    </row>
    <row r="2773" spans="4:4" x14ac:dyDescent="0.4">
      <c r="D2773" s="2"/>
    </row>
    <row r="2774" spans="4:4" x14ac:dyDescent="0.4">
      <c r="D2774" s="2"/>
    </row>
    <row r="2775" spans="4:4" x14ac:dyDescent="0.4">
      <c r="D2775" s="2"/>
    </row>
    <row r="2776" spans="4:4" x14ac:dyDescent="0.4">
      <c r="D2776" s="2"/>
    </row>
    <row r="2777" spans="4:4" x14ac:dyDescent="0.4">
      <c r="D2777" s="2"/>
    </row>
    <row r="2778" spans="4:4" x14ac:dyDescent="0.4">
      <c r="D2778" s="2"/>
    </row>
    <row r="2779" spans="4:4" x14ac:dyDescent="0.4">
      <c r="D2779" s="2"/>
    </row>
    <row r="2780" spans="4:4" x14ac:dyDescent="0.4">
      <c r="D2780" s="2"/>
    </row>
    <row r="2781" spans="4:4" x14ac:dyDescent="0.4">
      <c r="D2781" s="2"/>
    </row>
    <row r="2782" spans="4:4" x14ac:dyDescent="0.4">
      <c r="D2782" s="2"/>
    </row>
    <row r="2783" spans="4:4" x14ac:dyDescent="0.4">
      <c r="D2783" s="2"/>
    </row>
    <row r="2784" spans="4:4" x14ac:dyDescent="0.4">
      <c r="D2784" s="2"/>
    </row>
    <row r="2785" spans="4:9" x14ac:dyDescent="0.4">
      <c r="D2785" s="2"/>
    </row>
    <row r="2786" spans="4:9" x14ac:dyDescent="0.4">
      <c r="D2786" s="2"/>
    </row>
    <row r="2787" spans="4:9" x14ac:dyDescent="0.4">
      <c r="D2787" s="2"/>
    </row>
    <row r="2788" spans="4:9" x14ac:dyDescent="0.4">
      <c r="D2788" s="2"/>
    </row>
    <row r="2789" spans="4:9" x14ac:dyDescent="0.4">
      <c r="D2789" s="2"/>
    </row>
    <row r="2790" spans="4:9" x14ac:dyDescent="0.4">
      <c r="D2790" s="2"/>
    </row>
    <row r="2791" spans="4:9" x14ac:dyDescent="0.4">
      <c r="D2791" s="2"/>
    </row>
    <row r="2792" spans="4:9" x14ac:dyDescent="0.4">
      <c r="D2792" s="2"/>
      <c r="H2792" s="3"/>
      <c r="I2792" s="3"/>
    </row>
    <row r="2793" spans="4:9" x14ac:dyDescent="0.4">
      <c r="D2793" s="2"/>
    </row>
    <row r="2794" spans="4:9" x14ac:dyDescent="0.4">
      <c r="D2794" s="2"/>
    </row>
    <row r="2795" spans="4:9" x14ac:dyDescent="0.4">
      <c r="D2795" s="2"/>
    </row>
    <row r="2796" spans="4:9" x14ac:dyDescent="0.4">
      <c r="D2796" s="2"/>
    </row>
    <row r="2797" spans="4:9" x14ac:dyDescent="0.4">
      <c r="D2797" s="2"/>
    </row>
    <row r="2798" spans="4:9" x14ac:dyDescent="0.4">
      <c r="D2798" s="2"/>
    </row>
    <row r="2799" spans="4:9" x14ac:dyDescent="0.4">
      <c r="D2799" s="2"/>
    </row>
    <row r="2800" spans="4:9" x14ac:dyDescent="0.4">
      <c r="D2800" s="2"/>
    </row>
    <row r="2801" spans="4:4" x14ac:dyDescent="0.4">
      <c r="D2801" s="2"/>
    </row>
    <row r="2802" spans="4:4" x14ac:dyDescent="0.4">
      <c r="D2802" s="2"/>
    </row>
    <row r="2803" spans="4:4" x14ac:dyDescent="0.4">
      <c r="D2803" s="2"/>
    </row>
    <row r="2804" spans="4:4" x14ac:dyDescent="0.4">
      <c r="D2804" s="2"/>
    </row>
    <row r="2805" spans="4:4" x14ac:dyDescent="0.4">
      <c r="D2805" s="2"/>
    </row>
    <row r="2806" spans="4:4" x14ac:dyDescent="0.4">
      <c r="D2806" s="2"/>
    </row>
    <row r="2807" spans="4:4" x14ac:dyDescent="0.4">
      <c r="D2807" s="2"/>
    </row>
    <row r="2808" spans="4:4" x14ac:dyDescent="0.4">
      <c r="D2808" s="2"/>
    </row>
    <row r="2809" spans="4:4" x14ac:dyDescent="0.4">
      <c r="D2809" s="2"/>
    </row>
    <row r="2810" spans="4:4" x14ac:dyDescent="0.4">
      <c r="D2810" s="2"/>
    </row>
    <row r="2811" spans="4:4" x14ac:dyDescent="0.4">
      <c r="D2811" s="2"/>
    </row>
    <row r="2812" spans="4:4" x14ac:dyDescent="0.4">
      <c r="D2812" s="2"/>
    </row>
    <row r="2813" spans="4:4" x14ac:dyDescent="0.4">
      <c r="D2813" s="2"/>
    </row>
    <row r="2814" spans="4:4" x14ac:dyDescent="0.4">
      <c r="D2814" s="2"/>
    </row>
    <row r="2815" spans="4:4" x14ac:dyDescent="0.4">
      <c r="D2815" s="2"/>
    </row>
    <row r="2816" spans="4:4" x14ac:dyDescent="0.4">
      <c r="D2816" s="2"/>
    </row>
    <row r="2817" spans="4:4" x14ac:dyDescent="0.4">
      <c r="D2817" s="2"/>
    </row>
    <row r="2818" spans="4:4" x14ac:dyDescent="0.4">
      <c r="D2818" s="2"/>
    </row>
    <row r="2819" spans="4:4" x14ac:dyDescent="0.4">
      <c r="D2819" s="2"/>
    </row>
    <row r="2820" spans="4:4" x14ac:dyDescent="0.4">
      <c r="D2820" s="2"/>
    </row>
    <row r="2821" spans="4:4" x14ac:dyDescent="0.4">
      <c r="D2821" s="2"/>
    </row>
    <row r="2822" spans="4:4" x14ac:dyDescent="0.4">
      <c r="D2822" s="2"/>
    </row>
    <row r="2823" spans="4:4" x14ac:dyDescent="0.4">
      <c r="D2823" s="2"/>
    </row>
    <row r="2824" spans="4:4" x14ac:dyDescent="0.4">
      <c r="D2824" s="2"/>
    </row>
    <row r="2825" spans="4:4" x14ac:dyDescent="0.4">
      <c r="D2825" s="2"/>
    </row>
    <row r="2826" spans="4:4" x14ac:dyDescent="0.4">
      <c r="D2826" s="2"/>
    </row>
    <row r="2827" spans="4:4" x14ac:dyDescent="0.4">
      <c r="D2827" s="2"/>
    </row>
    <row r="2828" spans="4:4" x14ac:dyDescent="0.4">
      <c r="D2828" s="2"/>
    </row>
    <row r="2829" spans="4:4" x14ac:dyDescent="0.4">
      <c r="D2829" s="2"/>
    </row>
    <row r="2830" spans="4:4" x14ac:dyDescent="0.4">
      <c r="D2830" s="2"/>
    </row>
    <row r="2831" spans="4:4" x14ac:dyDescent="0.4">
      <c r="D2831" s="2"/>
    </row>
    <row r="2832" spans="4:4" x14ac:dyDescent="0.4">
      <c r="D2832" s="2"/>
    </row>
    <row r="2833" spans="4:4" x14ac:dyDescent="0.4">
      <c r="D2833" s="2"/>
    </row>
    <row r="2834" spans="4:4" x14ac:dyDescent="0.4">
      <c r="D2834" s="2"/>
    </row>
    <row r="2835" spans="4:4" x14ac:dyDescent="0.4">
      <c r="D2835" s="2"/>
    </row>
    <row r="2836" spans="4:4" x14ac:dyDescent="0.4">
      <c r="D2836" s="2"/>
    </row>
    <row r="2837" spans="4:4" x14ac:dyDescent="0.4">
      <c r="D2837" s="2"/>
    </row>
    <row r="2838" spans="4:4" x14ac:dyDescent="0.4">
      <c r="D2838" s="2"/>
    </row>
    <row r="2839" spans="4:4" x14ac:dyDescent="0.4">
      <c r="D2839" s="2"/>
    </row>
    <row r="2840" spans="4:4" x14ac:dyDescent="0.4">
      <c r="D2840" s="2"/>
    </row>
    <row r="2841" spans="4:4" x14ac:dyDescent="0.4">
      <c r="D2841" s="2"/>
    </row>
    <row r="2842" spans="4:4" x14ac:dyDescent="0.4">
      <c r="D2842" s="2"/>
    </row>
    <row r="2843" spans="4:4" x14ac:dyDescent="0.4">
      <c r="D2843" s="2"/>
    </row>
    <row r="2844" spans="4:4" x14ac:dyDescent="0.4">
      <c r="D2844" s="2"/>
    </row>
    <row r="2845" spans="4:4" x14ac:dyDescent="0.4">
      <c r="D2845" s="2"/>
    </row>
    <row r="2846" spans="4:4" x14ac:dyDescent="0.4">
      <c r="D2846" s="2"/>
    </row>
    <row r="2847" spans="4:4" x14ac:dyDescent="0.4">
      <c r="D2847" s="2"/>
    </row>
    <row r="2848" spans="4:4" x14ac:dyDescent="0.4">
      <c r="D2848" s="2"/>
    </row>
    <row r="2849" spans="4:4" x14ac:dyDescent="0.4">
      <c r="D2849" s="2"/>
    </row>
    <row r="2850" spans="4:4" x14ac:dyDescent="0.4">
      <c r="D2850" s="2"/>
    </row>
    <row r="2851" spans="4:4" x14ac:dyDescent="0.4">
      <c r="D2851" s="2"/>
    </row>
    <row r="2852" spans="4:4" x14ac:dyDescent="0.4">
      <c r="D2852" s="2"/>
    </row>
    <row r="2853" spans="4:4" x14ac:dyDescent="0.4">
      <c r="D2853" s="2"/>
    </row>
    <row r="2854" spans="4:4" x14ac:dyDescent="0.4">
      <c r="D2854" s="2"/>
    </row>
    <row r="2855" spans="4:4" x14ac:dyDescent="0.4">
      <c r="D2855" s="2"/>
    </row>
    <row r="2856" spans="4:4" x14ac:dyDescent="0.4">
      <c r="D2856" s="2"/>
    </row>
    <row r="2857" spans="4:4" x14ac:dyDescent="0.4">
      <c r="D2857" s="2"/>
    </row>
    <row r="2858" spans="4:4" x14ac:dyDescent="0.4">
      <c r="D2858" s="2"/>
    </row>
    <row r="2859" spans="4:4" x14ac:dyDescent="0.4">
      <c r="D2859" s="2"/>
    </row>
    <row r="2860" spans="4:4" x14ac:dyDescent="0.4">
      <c r="D2860" s="2"/>
    </row>
    <row r="2861" spans="4:4" x14ac:dyDescent="0.4">
      <c r="D2861" s="2"/>
    </row>
    <row r="2862" spans="4:4" x14ac:dyDescent="0.4">
      <c r="D2862" s="2"/>
    </row>
    <row r="2863" spans="4:4" x14ac:dyDescent="0.4">
      <c r="D2863" s="2"/>
    </row>
    <row r="2864" spans="4:4" x14ac:dyDescent="0.4">
      <c r="D2864" s="2"/>
    </row>
    <row r="2865" spans="4:9" x14ac:dyDescent="0.4">
      <c r="D2865" s="2"/>
    </row>
    <row r="2866" spans="4:9" x14ac:dyDescent="0.4">
      <c r="D2866" s="2"/>
    </row>
    <row r="2867" spans="4:9" x14ac:dyDescent="0.4">
      <c r="D2867" s="2"/>
    </row>
    <row r="2868" spans="4:9" x14ac:dyDescent="0.4">
      <c r="D2868" s="2"/>
    </row>
    <row r="2869" spans="4:9" x14ac:dyDescent="0.4">
      <c r="D2869" s="2"/>
    </row>
    <row r="2870" spans="4:9" x14ac:dyDescent="0.4">
      <c r="D2870" s="2"/>
    </row>
    <row r="2871" spans="4:9" x14ac:dyDescent="0.4">
      <c r="D2871" s="2"/>
    </row>
    <row r="2872" spans="4:9" x14ac:dyDescent="0.4">
      <c r="D2872" s="2"/>
    </row>
    <row r="2873" spans="4:9" x14ac:dyDescent="0.4">
      <c r="D2873" s="2"/>
    </row>
    <row r="2874" spans="4:9" x14ac:dyDescent="0.4">
      <c r="D2874" s="2"/>
    </row>
    <row r="2875" spans="4:9" x14ac:dyDescent="0.4">
      <c r="D2875" s="2"/>
    </row>
    <row r="2876" spans="4:9" x14ac:dyDescent="0.4">
      <c r="D2876" s="2"/>
    </row>
    <row r="2877" spans="4:9" x14ac:dyDescent="0.4">
      <c r="D2877" s="2"/>
    </row>
    <row r="2878" spans="4:9" x14ac:dyDescent="0.4">
      <c r="D2878" s="2"/>
      <c r="H2878" s="3"/>
      <c r="I2878" s="3"/>
    </row>
    <row r="2879" spans="4:9" x14ac:dyDescent="0.4">
      <c r="D2879" s="2"/>
    </row>
    <row r="2880" spans="4:9" x14ac:dyDescent="0.4">
      <c r="D2880" s="2"/>
    </row>
    <row r="2881" spans="4:4" x14ac:dyDescent="0.4">
      <c r="D2881" s="2"/>
    </row>
    <row r="2882" spans="4:4" x14ac:dyDescent="0.4">
      <c r="D2882" s="2"/>
    </row>
    <row r="2883" spans="4:4" x14ac:dyDescent="0.4">
      <c r="D2883" s="2"/>
    </row>
    <row r="2884" spans="4:4" x14ac:dyDescent="0.4">
      <c r="D2884" s="2"/>
    </row>
    <row r="2885" spans="4:4" x14ac:dyDescent="0.4">
      <c r="D2885" s="2"/>
    </row>
    <row r="2886" spans="4:4" x14ac:dyDescent="0.4">
      <c r="D2886" s="2"/>
    </row>
    <row r="2887" spans="4:4" x14ac:dyDescent="0.4">
      <c r="D2887" s="2"/>
    </row>
    <row r="2888" spans="4:4" x14ac:dyDescent="0.4">
      <c r="D2888" s="2"/>
    </row>
    <row r="2889" spans="4:4" x14ac:dyDescent="0.4">
      <c r="D2889" s="2"/>
    </row>
    <row r="2890" spans="4:4" x14ac:dyDescent="0.4">
      <c r="D2890" s="2"/>
    </row>
    <row r="2891" spans="4:4" x14ac:dyDescent="0.4">
      <c r="D2891" s="2"/>
    </row>
    <row r="2892" spans="4:4" x14ac:dyDescent="0.4">
      <c r="D2892" s="2"/>
    </row>
    <row r="2893" spans="4:4" x14ac:dyDescent="0.4">
      <c r="D2893" s="2"/>
    </row>
    <row r="2894" spans="4:4" x14ac:dyDescent="0.4">
      <c r="D2894" s="2"/>
    </row>
    <row r="2895" spans="4:4" x14ac:dyDescent="0.4">
      <c r="D2895" s="2"/>
    </row>
    <row r="2896" spans="4:4" x14ac:dyDescent="0.4">
      <c r="D2896" s="2"/>
    </row>
    <row r="2897" spans="4:9" x14ac:dyDescent="0.4">
      <c r="D2897" s="2"/>
    </row>
    <row r="2898" spans="4:9" x14ac:dyDescent="0.4">
      <c r="D2898" s="2"/>
    </row>
    <row r="2899" spans="4:9" x14ac:dyDescent="0.4">
      <c r="D2899" s="2"/>
    </row>
    <row r="2900" spans="4:9" x14ac:dyDescent="0.4">
      <c r="D2900" s="2"/>
    </row>
    <row r="2901" spans="4:9" x14ac:dyDescent="0.4">
      <c r="D2901" s="2"/>
    </row>
    <row r="2902" spans="4:9" x14ac:dyDescent="0.4">
      <c r="D2902" s="2"/>
    </row>
    <row r="2903" spans="4:9" x14ac:dyDescent="0.4">
      <c r="D2903" s="2"/>
    </row>
    <row r="2904" spans="4:9" x14ac:dyDescent="0.4">
      <c r="D2904" s="2"/>
    </row>
    <row r="2905" spans="4:9" x14ac:dyDescent="0.4">
      <c r="D2905" s="2"/>
    </row>
    <row r="2906" spans="4:9" x14ac:dyDescent="0.4">
      <c r="D2906" s="2"/>
    </row>
    <row r="2907" spans="4:9" x14ac:dyDescent="0.4">
      <c r="D2907" s="2"/>
    </row>
    <row r="2908" spans="4:9" x14ac:dyDescent="0.4">
      <c r="D2908" s="2"/>
    </row>
    <row r="2909" spans="4:9" x14ac:dyDescent="0.4">
      <c r="D2909" s="2"/>
    </row>
    <row r="2910" spans="4:9" x14ac:dyDescent="0.4">
      <c r="D2910" s="2"/>
    </row>
    <row r="2911" spans="4:9" x14ac:dyDescent="0.4">
      <c r="D2911" s="2"/>
      <c r="H2911" s="3"/>
      <c r="I2911" s="3"/>
    </row>
    <row r="2912" spans="4:9" x14ac:dyDescent="0.4">
      <c r="D2912" s="2"/>
    </row>
    <row r="2913" spans="4:9" x14ac:dyDescent="0.4">
      <c r="D2913" s="2"/>
    </row>
    <row r="2914" spans="4:9" x14ac:dyDescent="0.4">
      <c r="D2914" s="2"/>
    </row>
    <row r="2915" spans="4:9" x14ac:dyDescent="0.4">
      <c r="D2915" s="2"/>
    </row>
    <row r="2916" spans="4:9" x14ac:dyDescent="0.4">
      <c r="D2916" s="2"/>
    </row>
    <row r="2917" spans="4:9" x14ac:dyDescent="0.4">
      <c r="D2917" s="2"/>
    </row>
    <row r="2918" spans="4:9" x14ac:dyDescent="0.4">
      <c r="D2918" s="2"/>
    </row>
    <row r="2919" spans="4:9" x14ac:dyDescent="0.4">
      <c r="D2919" s="2"/>
    </row>
    <row r="2920" spans="4:9" x14ac:dyDescent="0.4">
      <c r="D2920" s="2"/>
    </row>
    <row r="2921" spans="4:9" x14ac:dyDescent="0.4">
      <c r="D2921" s="2"/>
    </row>
    <row r="2922" spans="4:9" x14ac:dyDescent="0.4">
      <c r="D2922" s="2"/>
      <c r="H2922" s="3"/>
      <c r="I2922" s="3"/>
    </row>
    <row r="2923" spans="4:9" x14ac:dyDescent="0.4">
      <c r="D2923" s="2"/>
    </row>
    <row r="2924" spans="4:9" x14ac:dyDescent="0.4">
      <c r="D2924" s="2"/>
    </row>
    <row r="2925" spans="4:9" x14ac:dyDescent="0.4">
      <c r="D2925" s="2"/>
    </row>
    <row r="2926" spans="4:9" x14ac:dyDescent="0.4">
      <c r="D2926" s="2"/>
    </row>
    <row r="2927" spans="4:9" x14ac:dyDescent="0.4">
      <c r="D2927" s="2"/>
    </row>
    <row r="2928" spans="4:9" x14ac:dyDescent="0.4">
      <c r="D2928" s="2"/>
    </row>
    <row r="2929" spans="4:9" x14ac:dyDescent="0.4">
      <c r="D2929" s="2"/>
      <c r="H2929" s="3"/>
      <c r="I2929" s="3"/>
    </row>
    <row r="2930" spans="4:9" x14ac:dyDescent="0.4">
      <c r="D2930" s="2"/>
    </row>
    <row r="2931" spans="4:9" x14ac:dyDescent="0.4">
      <c r="D2931" s="2"/>
    </row>
    <row r="2932" spans="4:9" x14ac:dyDescent="0.4">
      <c r="D2932" s="2"/>
    </row>
    <row r="2933" spans="4:9" x14ac:dyDescent="0.4">
      <c r="D2933" s="2"/>
    </row>
    <row r="2934" spans="4:9" x14ac:dyDescent="0.4">
      <c r="D2934" s="2"/>
    </row>
    <row r="2935" spans="4:9" x14ac:dyDescent="0.4">
      <c r="D2935" s="2"/>
    </row>
    <row r="2936" spans="4:9" x14ac:dyDescent="0.4">
      <c r="D2936" s="2"/>
    </row>
    <row r="2937" spans="4:9" x14ac:dyDescent="0.4">
      <c r="D2937" s="2"/>
    </row>
    <row r="2938" spans="4:9" x14ac:dyDescent="0.4">
      <c r="D2938" s="2"/>
    </row>
    <row r="2939" spans="4:9" x14ac:dyDescent="0.4">
      <c r="D2939" s="2"/>
    </row>
    <row r="2940" spans="4:9" x14ac:dyDescent="0.4">
      <c r="D2940" s="2"/>
    </row>
    <row r="2941" spans="4:9" x14ac:dyDescent="0.4">
      <c r="D2941" s="2"/>
    </row>
    <row r="2942" spans="4:9" x14ac:dyDescent="0.4">
      <c r="D2942" s="2"/>
    </row>
    <row r="2943" spans="4:9" x14ac:dyDescent="0.4">
      <c r="D2943" s="2"/>
    </row>
    <row r="2944" spans="4:9" x14ac:dyDescent="0.4">
      <c r="D2944" s="2"/>
    </row>
    <row r="2945" spans="4:4" x14ac:dyDescent="0.4">
      <c r="D2945" s="2"/>
    </row>
    <row r="2946" spans="4:4" x14ac:dyDescent="0.4">
      <c r="D2946" s="2"/>
    </row>
    <row r="2947" spans="4:4" x14ac:dyDescent="0.4">
      <c r="D2947" s="2"/>
    </row>
    <row r="2948" spans="4:4" x14ac:dyDescent="0.4">
      <c r="D2948" s="2"/>
    </row>
    <row r="2949" spans="4:4" x14ac:dyDescent="0.4">
      <c r="D2949" s="2"/>
    </row>
    <row r="2950" spans="4:4" x14ac:dyDescent="0.4">
      <c r="D2950" s="2"/>
    </row>
    <row r="2951" spans="4:4" x14ac:dyDescent="0.4">
      <c r="D2951" s="2"/>
    </row>
    <row r="2952" spans="4:4" x14ac:dyDescent="0.4">
      <c r="D2952" s="2"/>
    </row>
    <row r="2953" spans="4:4" x14ac:dyDescent="0.4">
      <c r="D2953" s="2"/>
    </row>
    <row r="2954" spans="4:4" x14ac:dyDescent="0.4">
      <c r="D2954" s="2"/>
    </row>
    <row r="2955" spans="4:4" x14ac:dyDescent="0.4">
      <c r="D2955" s="2"/>
    </row>
    <row r="2956" spans="4:4" x14ac:dyDescent="0.4">
      <c r="D2956" s="2"/>
    </row>
    <row r="2957" spans="4:4" x14ac:dyDescent="0.4">
      <c r="D2957" s="2"/>
    </row>
    <row r="2958" spans="4:4" x14ac:dyDescent="0.4">
      <c r="D2958" s="2"/>
    </row>
    <row r="2959" spans="4:4" x14ac:dyDescent="0.4">
      <c r="D2959" s="2"/>
    </row>
    <row r="2960" spans="4:4" x14ac:dyDescent="0.4">
      <c r="D2960" s="2"/>
    </row>
    <row r="2961" spans="4:4" x14ac:dyDescent="0.4">
      <c r="D2961" s="2"/>
    </row>
    <row r="2962" spans="4:4" x14ac:dyDescent="0.4">
      <c r="D2962" s="2"/>
    </row>
    <row r="2963" spans="4:4" x14ac:dyDescent="0.4">
      <c r="D2963" s="2"/>
    </row>
    <row r="2964" spans="4:4" x14ac:dyDescent="0.4">
      <c r="D2964" s="2"/>
    </row>
    <row r="2965" spans="4:4" x14ac:dyDescent="0.4">
      <c r="D2965" s="2"/>
    </row>
    <row r="2966" spans="4:4" x14ac:dyDescent="0.4">
      <c r="D2966" s="2"/>
    </row>
    <row r="2967" spans="4:4" x14ac:dyDescent="0.4">
      <c r="D2967" s="2"/>
    </row>
    <row r="2968" spans="4:4" x14ac:dyDescent="0.4">
      <c r="D2968" s="2"/>
    </row>
    <row r="2969" spans="4:4" x14ac:dyDescent="0.4">
      <c r="D2969" s="2"/>
    </row>
    <row r="2970" spans="4:4" x14ac:dyDescent="0.4">
      <c r="D2970" s="2"/>
    </row>
    <row r="2971" spans="4:4" x14ac:dyDescent="0.4">
      <c r="D2971" s="2"/>
    </row>
    <row r="2972" spans="4:4" x14ac:dyDescent="0.4">
      <c r="D2972" s="2"/>
    </row>
    <row r="2973" spans="4:4" x14ac:dyDescent="0.4">
      <c r="D2973" s="2"/>
    </row>
    <row r="2974" spans="4:4" x14ac:dyDescent="0.4">
      <c r="D2974" s="2"/>
    </row>
    <row r="2975" spans="4:4" x14ac:dyDescent="0.4">
      <c r="D2975" s="2"/>
    </row>
    <row r="2976" spans="4:4" x14ac:dyDescent="0.4">
      <c r="D2976" s="2"/>
    </row>
    <row r="2977" spans="4:4" x14ac:dyDescent="0.4">
      <c r="D2977" s="2"/>
    </row>
    <row r="2978" spans="4:4" x14ac:dyDescent="0.4">
      <c r="D2978" s="2"/>
    </row>
    <row r="2979" spans="4:4" x14ac:dyDescent="0.4">
      <c r="D2979" s="2"/>
    </row>
    <row r="2980" spans="4:4" x14ac:dyDescent="0.4">
      <c r="D2980" s="2"/>
    </row>
    <row r="2981" spans="4:4" x14ac:dyDescent="0.4">
      <c r="D2981" s="2"/>
    </row>
    <row r="2982" spans="4:4" x14ac:dyDescent="0.4">
      <c r="D2982" s="2"/>
    </row>
    <row r="2983" spans="4:4" x14ac:dyDescent="0.4">
      <c r="D2983" s="2"/>
    </row>
    <row r="2984" spans="4:4" x14ac:dyDescent="0.4">
      <c r="D2984" s="2"/>
    </row>
    <row r="2985" spans="4:4" x14ac:dyDescent="0.4">
      <c r="D2985" s="2"/>
    </row>
    <row r="2986" spans="4:4" x14ac:dyDescent="0.4">
      <c r="D2986" s="2"/>
    </row>
    <row r="2987" spans="4:4" x14ac:dyDescent="0.4">
      <c r="D2987" s="2"/>
    </row>
    <row r="2988" spans="4:4" x14ac:dyDescent="0.4">
      <c r="D2988" s="2"/>
    </row>
    <row r="2989" spans="4:4" x14ac:dyDescent="0.4">
      <c r="D2989" s="2"/>
    </row>
    <row r="2990" spans="4:4" x14ac:dyDescent="0.4">
      <c r="D2990" s="2"/>
    </row>
    <row r="2991" spans="4:4" x14ac:dyDescent="0.4">
      <c r="D2991" s="2"/>
    </row>
    <row r="2992" spans="4:4" x14ac:dyDescent="0.4">
      <c r="D2992" s="2"/>
    </row>
    <row r="2993" spans="4:9" x14ac:dyDescent="0.4">
      <c r="D2993" s="2"/>
    </row>
    <row r="2994" spans="4:9" x14ac:dyDescent="0.4">
      <c r="D2994" s="2"/>
    </row>
    <row r="2995" spans="4:9" x14ac:dyDescent="0.4">
      <c r="D2995" s="2"/>
    </row>
    <row r="2996" spans="4:9" x14ac:dyDescent="0.4">
      <c r="D2996" s="2"/>
    </row>
    <row r="2997" spans="4:9" x14ac:dyDescent="0.4">
      <c r="D2997" s="2"/>
    </row>
    <row r="2998" spans="4:9" x14ac:dyDescent="0.4">
      <c r="D2998" s="2"/>
    </row>
    <row r="2999" spans="4:9" x14ac:dyDescent="0.4">
      <c r="D2999" s="2"/>
    </row>
    <row r="3000" spans="4:9" x14ac:dyDescent="0.4">
      <c r="D3000" s="2"/>
    </row>
    <row r="3001" spans="4:9" x14ac:dyDescent="0.4">
      <c r="D3001" s="2"/>
    </row>
    <row r="3002" spans="4:9" x14ac:dyDescent="0.4">
      <c r="D3002" s="2"/>
    </row>
    <row r="3003" spans="4:9" x14ac:dyDescent="0.4">
      <c r="D3003" s="2"/>
    </row>
    <row r="3004" spans="4:9" x14ac:dyDescent="0.4">
      <c r="D3004" s="2"/>
    </row>
    <row r="3005" spans="4:9" x14ac:dyDescent="0.4">
      <c r="D3005" s="2"/>
    </row>
    <row r="3006" spans="4:9" x14ac:dyDescent="0.4">
      <c r="D3006" s="2"/>
      <c r="H3006" s="3"/>
      <c r="I3006" s="3"/>
    </row>
    <row r="3007" spans="4:9" x14ac:dyDescent="0.4">
      <c r="D3007" s="2"/>
    </row>
    <row r="3008" spans="4:9" x14ac:dyDescent="0.4">
      <c r="D3008" s="2"/>
    </row>
    <row r="3009" spans="4:4" x14ac:dyDescent="0.4">
      <c r="D3009" s="2"/>
    </row>
    <row r="3010" spans="4:4" x14ac:dyDescent="0.4">
      <c r="D3010" s="2"/>
    </row>
    <row r="3011" spans="4:4" x14ac:dyDescent="0.4">
      <c r="D3011" s="2"/>
    </row>
    <row r="3012" spans="4:4" x14ac:dyDescent="0.4">
      <c r="D3012" s="2"/>
    </row>
    <row r="3013" spans="4:4" x14ac:dyDescent="0.4">
      <c r="D3013" s="2"/>
    </row>
    <row r="3014" spans="4:4" x14ac:dyDescent="0.4">
      <c r="D3014" s="2"/>
    </row>
    <row r="3015" spans="4:4" x14ac:dyDescent="0.4">
      <c r="D3015" s="2"/>
    </row>
    <row r="3016" spans="4:4" x14ac:dyDescent="0.4">
      <c r="D3016" s="2"/>
    </row>
    <row r="3017" spans="4:4" x14ac:dyDescent="0.4">
      <c r="D3017" s="2"/>
    </row>
    <row r="3018" spans="4:4" x14ac:dyDescent="0.4">
      <c r="D3018" s="2"/>
    </row>
    <row r="3019" spans="4:4" x14ac:dyDescent="0.4">
      <c r="D3019" s="2"/>
    </row>
    <row r="3020" spans="4:4" x14ac:dyDescent="0.4">
      <c r="D3020" s="2"/>
    </row>
    <row r="3021" spans="4:4" x14ac:dyDescent="0.4">
      <c r="D3021" s="2"/>
    </row>
    <row r="3022" spans="4:4" x14ac:dyDescent="0.4">
      <c r="D3022" s="2"/>
    </row>
    <row r="3023" spans="4:4" x14ac:dyDescent="0.4">
      <c r="D3023" s="2"/>
    </row>
    <row r="3024" spans="4:4" x14ac:dyDescent="0.4">
      <c r="D3024" s="2"/>
    </row>
    <row r="3025" spans="4:9" x14ac:dyDescent="0.4">
      <c r="D3025" s="2"/>
    </row>
    <row r="3026" spans="4:9" x14ac:dyDescent="0.4">
      <c r="D3026" s="2"/>
    </row>
    <row r="3027" spans="4:9" x14ac:dyDescent="0.4">
      <c r="D3027" s="2"/>
    </row>
    <row r="3028" spans="4:9" x14ac:dyDescent="0.4">
      <c r="D3028" s="2"/>
      <c r="H3028" s="3"/>
      <c r="I3028" s="3"/>
    </row>
    <row r="3029" spans="4:9" x14ac:dyDescent="0.4">
      <c r="D3029" s="2"/>
    </row>
    <row r="3030" spans="4:9" x14ac:dyDescent="0.4">
      <c r="D3030" s="2"/>
    </row>
    <row r="3031" spans="4:9" x14ac:dyDescent="0.4">
      <c r="D3031" s="2"/>
    </row>
    <row r="3032" spans="4:9" x14ac:dyDescent="0.4">
      <c r="D3032" s="2"/>
    </row>
    <row r="3033" spans="4:9" x14ac:dyDescent="0.4">
      <c r="D3033" s="2"/>
    </row>
    <row r="3034" spans="4:9" x14ac:dyDescent="0.4">
      <c r="D3034" s="2"/>
    </row>
    <row r="3035" spans="4:9" x14ac:dyDescent="0.4">
      <c r="D3035" s="2"/>
    </row>
    <row r="3036" spans="4:9" x14ac:dyDescent="0.4">
      <c r="D3036" s="2"/>
    </row>
    <row r="3037" spans="4:9" x14ac:dyDescent="0.4">
      <c r="D3037" s="2"/>
    </row>
    <row r="3038" spans="4:9" x14ac:dyDescent="0.4">
      <c r="D3038" s="2"/>
    </row>
    <row r="3039" spans="4:9" x14ac:dyDescent="0.4">
      <c r="D3039" s="2"/>
    </row>
    <row r="3040" spans="4:9" x14ac:dyDescent="0.4">
      <c r="D3040" s="2"/>
    </row>
    <row r="3041" spans="4:4" x14ac:dyDescent="0.4">
      <c r="D3041" s="2"/>
    </row>
    <row r="3042" spans="4:4" x14ac:dyDescent="0.4">
      <c r="D3042" s="2"/>
    </row>
    <row r="3043" spans="4:4" x14ac:dyDescent="0.4">
      <c r="D3043" s="2"/>
    </row>
    <row r="3044" spans="4:4" x14ac:dyDescent="0.4">
      <c r="D3044" s="2"/>
    </row>
    <row r="3045" spans="4:4" x14ac:dyDescent="0.4">
      <c r="D3045" s="2"/>
    </row>
    <row r="3046" spans="4:4" x14ac:dyDescent="0.4">
      <c r="D3046" s="2"/>
    </row>
    <row r="3047" spans="4:4" x14ac:dyDescent="0.4">
      <c r="D3047" s="2"/>
    </row>
    <row r="3048" spans="4:4" x14ac:dyDescent="0.4">
      <c r="D3048" s="2"/>
    </row>
    <row r="3049" spans="4:4" x14ac:dyDescent="0.4">
      <c r="D3049" s="2"/>
    </row>
    <row r="3050" spans="4:4" x14ac:dyDescent="0.4">
      <c r="D3050" s="2"/>
    </row>
    <row r="3051" spans="4:4" x14ac:dyDescent="0.4">
      <c r="D3051" s="2"/>
    </row>
    <row r="3052" spans="4:4" x14ac:dyDescent="0.4">
      <c r="D3052" s="2"/>
    </row>
    <row r="3053" spans="4:4" x14ac:dyDescent="0.4">
      <c r="D3053" s="2"/>
    </row>
    <row r="3054" spans="4:4" x14ac:dyDescent="0.4">
      <c r="D3054" s="2"/>
    </row>
    <row r="3055" spans="4:4" x14ac:dyDescent="0.4">
      <c r="D3055" s="2"/>
    </row>
    <row r="3056" spans="4:4" x14ac:dyDescent="0.4">
      <c r="D3056" s="2"/>
    </row>
    <row r="3057" spans="4:9" x14ac:dyDescent="0.4">
      <c r="D3057" s="2"/>
    </row>
    <row r="3058" spans="4:9" x14ac:dyDescent="0.4">
      <c r="D3058" s="2"/>
    </row>
    <row r="3059" spans="4:9" x14ac:dyDescent="0.4">
      <c r="D3059" s="2"/>
      <c r="H3059" s="3"/>
      <c r="I3059" s="3"/>
    </row>
    <row r="3060" spans="4:9" x14ac:dyDescent="0.4">
      <c r="D3060" s="2"/>
    </row>
    <row r="3061" spans="4:9" x14ac:dyDescent="0.4">
      <c r="D3061" s="2"/>
      <c r="H3061" s="4"/>
      <c r="I3061" s="4"/>
    </row>
    <row r="3062" spans="4:9" x14ac:dyDescent="0.4">
      <c r="D3062" s="2"/>
    </row>
    <row r="3063" spans="4:9" x14ac:dyDescent="0.4">
      <c r="D3063" s="2"/>
    </row>
    <row r="3064" spans="4:9" x14ac:dyDescent="0.4">
      <c r="D3064" s="2"/>
    </row>
    <row r="3065" spans="4:9" x14ac:dyDescent="0.4">
      <c r="D3065" s="2"/>
    </row>
    <row r="3066" spans="4:9" x14ac:dyDescent="0.4">
      <c r="D3066" s="2"/>
    </row>
    <row r="3067" spans="4:9" x14ac:dyDescent="0.4">
      <c r="D3067" s="2"/>
    </row>
    <row r="3068" spans="4:9" x14ac:dyDescent="0.4">
      <c r="D3068" s="2"/>
    </row>
    <row r="3069" spans="4:9" x14ac:dyDescent="0.4">
      <c r="D3069" s="2"/>
    </row>
    <row r="3070" spans="4:9" x14ac:dyDescent="0.4">
      <c r="D3070" s="2"/>
    </row>
    <row r="3071" spans="4:9" x14ac:dyDescent="0.4">
      <c r="D3071" s="2"/>
    </row>
    <row r="3072" spans="4:9" x14ac:dyDescent="0.4">
      <c r="D3072" s="2"/>
    </row>
    <row r="3073" spans="4:4" x14ac:dyDescent="0.4">
      <c r="D3073" s="2"/>
    </row>
    <row r="3074" spans="4:4" x14ac:dyDescent="0.4">
      <c r="D3074" s="2"/>
    </row>
    <row r="3075" spans="4:4" x14ac:dyDescent="0.4">
      <c r="D3075" s="2"/>
    </row>
    <row r="3076" spans="4:4" x14ac:dyDescent="0.4">
      <c r="D3076" s="2"/>
    </row>
    <row r="3077" spans="4:4" x14ac:dyDescent="0.4">
      <c r="D3077" s="2"/>
    </row>
    <row r="3078" spans="4:4" x14ac:dyDescent="0.4">
      <c r="D3078" s="2"/>
    </row>
    <row r="3079" spans="4:4" x14ac:dyDescent="0.4">
      <c r="D3079" s="2"/>
    </row>
    <row r="3080" spans="4:4" x14ac:dyDescent="0.4">
      <c r="D3080" s="2"/>
    </row>
    <row r="3081" spans="4:4" x14ac:dyDescent="0.4">
      <c r="D3081" s="2"/>
    </row>
    <row r="3082" spans="4:4" x14ac:dyDescent="0.4">
      <c r="D3082" s="2"/>
    </row>
    <row r="3083" spans="4:4" x14ac:dyDescent="0.4">
      <c r="D3083" s="2"/>
    </row>
    <row r="3084" spans="4:4" x14ac:dyDescent="0.4">
      <c r="D3084" s="2"/>
    </row>
    <row r="3085" spans="4:4" x14ac:dyDescent="0.4">
      <c r="D3085" s="2"/>
    </row>
    <row r="3086" spans="4:4" x14ac:dyDescent="0.4">
      <c r="D3086" s="2"/>
    </row>
    <row r="3087" spans="4:4" x14ac:dyDescent="0.4">
      <c r="D3087" s="2"/>
    </row>
    <row r="3088" spans="4:4" x14ac:dyDescent="0.4">
      <c r="D3088" s="2"/>
    </row>
    <row r="3089" spans="4:9" x14ac:dyDescent="0.4">
      <c r="D3089" s="2"/>
    </row>
    <row r="3090" spans="4:9" x14ac:dyDescent="0.4">
      <c r="D3090" s="2"/>
    </row>
    <row r="3091" spans="4:9" x14ac:dyDescent="0.4">
      <c r="D3091" s="2"/>
      <c r="H3091" s="3"/>
      <c r="I3091" s="3"/>
    </row>
    <row r="3092" spans="4:9" x14ac:dyDescent="0.4">
      <c r="D3092" s="2"/>
    </row>
    <row r="3093" spans="4:9" x14ac:dyDescent="0.4">
      <c r="D3093" s="2"/>
    </row>
    <row r="3094" spans="4:9" x14ac:dyDescent="0.4">
      <c r="D3094" s="2"/>
    </row>
    <row r="3095" spans="4:9" x14ac:dyDescent="0.4">
      <c r="D3095" s="2"/>
    </row>
    <row r="3096" spans="4:9" x14ac:dyDescent="0.4">
      <c r="D3096" s="2"/>
    </row>
    <row r="3097" spans="4:9" x14ac:dyDescent="0.4">
      <c r="D3097" s="2"/>
    </row>
    <row r="3098" spans="4:9" x14ac:dyDescent="0.4">
      <c r="D3098" s="2"/>
    </row>
    <row r="3099" spans="4:9" x14ac:dyDescent="0.4">
      <c r="D3099" s="2"/>
    </row>
    <row r="3100" spans="4:9" x14ac:dyDescent="0.4">
      <c r="D3100" s="2"/>
    </row>
    <row r="3101" spans="4:9" x14ac:dyDescent="0.4">
      <c r="D3101" s="2"/>
    </row>
    <row r="3102" spans="4:9" x14ac:dyDescent="0.4">
      <c r="D3102" s="2"/>
    </row>
    <row r="3103" spans="4:9" x14ac:dyDescent="0.4">
      <c r="D3103" s="2"/>
    </row>
    <row r="3104" spans="4:9" x14ac:dyDescent="0.4">
      <c r="D3104" s="2"/>
    </row>
    <row r="3105" spans="4:4" x14ac:dyDescent="0.4">
      <c r="D3105" s="2"/>
    </row>
    <row r="3106" spans="4:4" x14ac:dyDescent="0.4">
      <c r="D3106" s="2"/>
    </row>
    <row r="3107" spans="4:4" x14ac:dyDescent="0.4">
      <c r="D3107" s="2"/>
    </row>
    <row r="3108" spans="4:4" x14ac:dyDescent="0.4">
      <c r="D3108" s="2"/>
    </row>
    <row r="3109" spans="4:4" x14ac:dyDescent="0.4">
      <c r="D3109" s="2"/>
    </row>
    <row r="3110" spans="4:4" x14ac:dyDescent="0.4">
      <c r="D3110" s="2"/>
    </row>
    <row r="3111" spans="4:4" x14ac:dyDescent="0.4">
      <c r="D3111" s="2"/>
    </row>
    <row r="3112" spans="4:4" x14ac:dyDescent="0.4">
      <c r="D3112" s="2"/>
    </row>
    <row r="3113" spans="4:4" x14ac:dyDescent="0.4">
      <c r="D3113" s="2"/>
    </row>
    <row r="3114" spans="4:4" x14ac:dyDescent="0.4">
      <c r="D3114" s="2"/>
    </row>
    <row r="3115" spans="4:4" x14ac:dyDescent="0.4">
      <c r="D3115" s="2"/>
    </row>
    <row r="3116" spans="4:4" x14ac:dyDescent="0.4">
      <c r="D3116" s="2"/>
    </row>
    <row r="3117" spans="4:4" x14ac:dyDescent="0.4">
      <c r="D3117" s="2"/>
    </row>
    <row r="3118" spans="4:4" x14ac:dyDescent="0.4">
      <c r="D3118" s="2"/>
    </row>
    <row r="3119" spans="4:4" x14ac:dyDescent="0.4">
      <c r="D3119" s="2"/>
    </row>
    <row r="3120" spans="4:4" x14ac:dyDescent="0.4">
      <c r="D3120" s="2"/>
    </row>
    <row r="3121" spans="4:4" x14ac:dyDescent="0.4">
      <c r="D3121" s="2"/>
    </row>
    <row r="3122" spans="4:4" x14ac:dyDescent="0.4">
      <c r="D3122" s="2"/>
    </row>
    <row r="3123" spans="4:4" x14ac:dyDescent="0.4">
      <c r="D3123" s="2"/>
    </row>
    <row r="3124" spans="4:4" x14ac:dyDescent="0.4">
      <c r="D3124" s="2"/>
    </row>
    <row r="3125" spans="4:4" x14ac:dyDescent="0.4">
      <c r="D3125" s="2"/>
    </row>
    <row r="3126" spans="4:4" x14ac:dyDescent="0.4">
      <c r="D3126" s="2"/>
    </row>
    <row r="3127" spans="4:4" x14ac:dyDescent="0.4">
      <c r="D3127" s="2"/>
    </row>
    <row r="3128" spans="4:4" x14ac:dyDescent="0.4">
      <c r="D3128" s="2"/>
    </row>
    <row r="3129" spans="4:4" x14ac:dyDescent="0.4">
      <c r="D3129" s="2"/>
    </row>
    <row r="3130" spans="4:4" x14ac:dyDescent="0.4">
      <c r="D3130" s="2"/>
    </row>
    <row r="3131" spans="4:4" x14ac:dyDescent="0.4">
      <c r="D3131" s="2"/>
    </row>
    <row r="3132" spans="4:4" x14ac:dyDescent="0.4">
      <c r="D3132" s="2"/>
    </row>
    <row r="3133" spans="4:4" x14ac:dyDescent="0.4">
      <c r="D3133" s="2"/>
    </row>
    <row r="3134" spans="4:4" x14ac:dyDescent="0.4">
      <c r="D3134" s="2"/>
    </row>
    <row r="3135" spans="4:4" x14ac:dyDescent="0.4">
      <c r="D3135" s="2"/>
    </row>
    <row r="3136" spans="4:4" x14ac:dyDescent="0.4">
      <c r="D3136" s="2"/>
    </row>
    <row r="3137" spans="4:4" x14ac:dyDescent="0.4">
      <c r="D3137" s="2"/>
    </row>
    <row r="3138" spans="4:4" x14ac:dyDescent="0.4">
      <c r="D3138" s="2"/>
    </row>
    <row r="3139" spans="4:4" x14ac:dyDescent="0.4">
      <c r="D3139" s="2"/>
    </row>
    <row r="3140" spans="4:4" x14ac:dyDescent="0.4">
      <c r="D3140" s="2"/>
    </row>
    <row r="3141" spans="4:4" x14ac:dyDescent="0.4">
      <c r="D3141" s="2"/>
    </row>
    <row r="3142" spans="4:4" x14ac:dyDescent="0.4">
      <c r="D3142" s="2"/>
    </row>
    <row r="3143" spans="4:4" x14ac:dyDescent="0.4">
      <c r="D3143" s="2"/>
    </row>
    <row r="3144" spans="4:4" x14ac:dyDescent="0.4">
      <c r="D3144" s="2"/>
    </row>
    <row r="3145" spans="4:4" x14ac:dyDescent="0.4">
      <c r="D3145" s="2"/>
    </row>
    <row r="3146" spans="4:4" x14ac:dyDescent="0.4">
      <c r="D3146" s="2"/>
    </row>
    <row r="3147" spans="4:4" x14ac:dyDescent="0.4">
      <c r="D3147" s="2"/>
    </row>
    <row r="3148" spans="4:4" x14ac:dyDescent="0.4">
      <c r="D3148" s="2"/>
    </row>
    <row r="3149" spans="4:4" x14ac:dyDescent="0.4">
      <c r="D3149" s="2"/>
    </row>
    <row r="3150" spans="4:4" x14ac:dyDescent="0.4">
      <c r="D3150" s="2"/>
    </row>
    <row r="3151" spans="4:4" x14ac:dyDescent="0.4">
      <c r="D3151" s="2"/>
    </row>
    <row r="3152" spans="4:4" x14ac:dyDescent="0.4">
      <c r="D3152" s="2"/>
    </row>
    <row r="3153" spans="4:4" x14ac:dyDescent="0.4">
      <c r="D3153" s="2"/>
    </row>
    <row r="3154" spans="4:4" x14ac:dyDescent="0.4">
      <c r="D3154" s="2"/>
    </row>
    <row r="3155" spans="4:4" x14ac:dyDescent="0.4">
      <c r="D3155" s="2"/>
    </row>
    <row r="3156" spans="4:4" x14ac:dyDescent="0.4">
      <c r="D3156" s="2"/>
    </row>
    <row r="3157" spans="4:4" x14ac:dyDescent="0.4">
      <c r="D3157" s="2"/>
    </row>
    <row r="3158" spans="4:4" x14ac:dyDescent="0.4">
      <c r="D3158" s="2"/>
    </row>
    <row r="3159" spans="4:4" x14ac:dyDescent="0.4">
      <c r="D3159" s="2"/>
    </row>
    <row r="3160" spans="4:4" x14ac:dyDescent="0.4">
      <c r="D3160" s="2"/>
    </row>
    <row r="3161" spans="4:4" x14ac:dyDescent="0.4">
      <c r="D3161" s="2"/>
    </row>
    <row r="3162" spans="4:4" x14ac:dyDescent="0.4">
      <c r="D3162" s="2"/>
    </row>
    <row r="3163" spans="4:4" x14ac:dyDescent="0.4">
      <c r="D3163" s="2"/>
    </row>
    <row r="3164" spans="4:4" x14ac:dyDescent="0.4">
      <c r="D3164" s="2"/>
    </row>
    <row r="3165" spans="4:4" x14ac:dyDescent="0.4">
      <c r="D3165" s="2"/>
    </row>
    <row r="3166" spans="4:4" x14ac:dyDescent="0.4">
      <c r="D3166" s="2"/>
    </row>
    <row r="3167" spans="4:4" x14ac:dyDescent="0.4">
      <c r="D3167" s="2"/>
    </row>
    <row r="3168" spans="4:4" x14ac:dyDescent="0.4">
      <c r="D3168" s="2"/>
    </row>
    <row r="3169" spans="4:4" x14ac:dyDescent="0.4">
      <c r="D3169" s="2"/>
    </row>
    <row r="3170" spans="4:4" x14ac:dyDescent="0.4">
      <c r="D3170" s="2"/>
    </row>
    <row r="3171" spans="4:4" x14ac:dyDescent="0.4">
      <c r="D3171" s="2"/>
    </row>
    <row r="3172" spans="4:4" x14ac:dyDescent="0.4">
      <c r="D3172" s="2"/>
    </row>
    <row r="3173" spans="4:4" x14ac:dyDescent="0.4">
      <c r="D3173" s="2"/>
    </row>
    <row r="3174" spans="4:4" x14ac:dyDescent="0.4">
      <c r="D3174" s="2"/>
    </row>
    <row r="3175" spans="4:4" x14ac:dyDescent="0.4">
      <c r="D3175" s="2"/>
    </row>
    <row r="3176" spans="4:4" x14ac:dyDescent="0.4">
      <c r="D3176" s="2"/>
    </row>
    <row r="3177" spans="4:4" x14ac:dyDescent="0.4">
      <c r="D3177" s="2"/>
    </row>
    <row r="3178" spans="4:4" x14ac:dyDescent="0.4">
      <c r="D3178" s="2"/>
    </row>
    <row r="3179" spans="4:4" x14ac:dyDescent="0.4">
      <c r="D3179" s="2"/>
    </row>
    <row r="3180" spans="4:4" x14ac:dyDescent="0.4">
      <c r="D3180" s="2"/>
    </row>
    <row r="3181" spans="4:4" x14ac:dyDescent="0.4">
      <c r="D3181" s="2"/>
    </row>
    <row r="3182" spans="4:4" x14ac:dyDescent="0.4">
      <c r="D3182" s="2"/>
    </row>
    <row r="3183" spans="4:4" x14ac:dyDescent="0.4">
      <c r="D3183" s="2"/>
    </row>
    <row r="3184" spans="4:4" x14ac:dyDescent="0.4">
      <c r="D3184" s="2"/>
    </row>
    <row r="3185" spans="4:4" x14ac:dyDescent="0.4">
      <c r="D3185" s="2"/>
    </row>
    <row r="3186" spans="4:4" x14ac:dyDescent="0.4">
      <c r="D3186" s="2"/>
    </row>
    <row r="3187" spans="4:4" x14ac:dyDescent="0.4">
      <c r="D3187" s="2"/>
    </row>
    <row r="3188" spans="4:4" x14ac:dyDescent="0.4">
      <c r="D3188" s="2"/>
    </row>
    <row r="3189" spans="4:4" x14ac:dyDescent="0.4">
      <c r="D3189" s="2"/>
    </row>
    <row r="3190" spans="4:4" x14ac:dyDescent="0.4">
      <c r="D3190" s="2"/>
    </row>
    <row r="3191" spans="4:4" x14ac:dyDescent="0.4">
      <c r="D3191" s="2"/>
    </row>
    <row r="3192" spans="4:4" x14ac:dyDescent="0.4">
      <c r="D3192" s="2"/>
    </row>
    <row r="3193" spans="4:4" x14ac:dyDescent="0.4">
      <c r="D3193" s="2"/>
    </row>
    <row r="3194" spans="4:4" x14ac:dyDescent="0.4">
      <c r="D3194" s="2"/>
    </row>
    <row r="3195" spans="4:4" x14ac:dyDescent="0.4">
      <c r="D3195" s="2"/>
    </row>
    <row r="3196" spans="4:4" x14ac:dyDescent="0.4">
      <c r="D3196" s="2"/>
    </row>
    <row r="3197" spans="4:4" x14ac:dyDescent="0.4">
      <c r="D3197" s="2"/>
    </row>
    <row r="3198" spans="4:4" x14ac:dyDescent="0.4">
      <c r="D3198" s="2"/>
    </row>
    <row r="3199" spans="4:4" x14ac:dyDescent="0.4">
      <c r="D3199" s="2"/>
    </row>
    <row r="3200" spans="4:4" x14ac:dyDescent="0.4">
      <c r="D3200" s="2"/>
    </row>
    <row r="3201" spans="4:4" x14ac:dyDescent="0.4">
      <c r="D3201" s="2"/>
    </row>
    <row r="3202" spans="4:4" x14ac:dyDescent="0.4">
      <c r="D3202" s="2"/>
    </row>
    <row r="3203" spans="4:4" x14ac:dyDescent="0.4">
      <c r="D3203" s="2"/>
    </row>
    <row r="3204" spans="4:4" x14ac:dyDescent="0.4">
      <c r="D3204" s="2"/>
    </row>
    <row r="3205" spans="4:4" x14ac:dyDescent="0.4">
      <c r="D3205" s="2"/>
    </row>
    <row r="3206" spans="4:4" x14ac:dyDescent="0.4">
      <c r="D3206" s="2"/>
    </row>
    <row r="3207" spans="4:4" x14ac:dyDescent="0.4">
      <c r="D3207" s="2"/>
    </row>
    <row r="3208" spans="4:4" x14ac:dyDescent="0.4">
      <c r="D3208" s="2"/>
    </row>
    <row r="3209" spans="4:4" x14ac:dyDescent="0.4">
      <c r="D3209" s="2"/>
    </row>
    <row r="3210" spans="4:4" x14ac:dyDescent="0.4">
      <c r="D3210" s="2"/>
    </row>
    <row r="3211" spans="4:4" x14ac:dyDescent="0.4">
      <c r="D3211" s="2"/>
    </row>
    <row r="3212" spans="4:4" x14ac:dyDescent="0.4">
      <c r="D3212" s="2"/>
    </row>
    <row r="3213" spans="4:4" x14ac:dyDescent="0.4">
      <c r="D3213" s="2"/>
    </row>
    <row r="3214" spans="4:4" x14ac:dyDescent="0.4">
      <c r="D3214" s="2"/>
    </row>
    <row r="3215" spans="4:4" x14ac:dyDescent="0.4">
      <c r="D3215" s="2"/>
    </row>
    <row r="3216" spans="4:4" x14ac:dyDescent="0.4">
      <c r="D3216" s="2"/>
    </row>
    <row r="3217" spans="4:4" x14ac:dyDescent="0.4">
      <c r="D3217" s="2"/>
    </row>
    <row r="3218" spans="4:4" x14ac:dyDescent="0.4">
      <c r="D3218" s="2"/>
    </row>
    <row r="3219" spans="4:4" x14ac:dyDescent="0.4">
      <c r="D3219" s="2"/>
    </row>
    <row r="3220" spans="4:4" x14ac:dyDescent="0.4">
      <c r="D3220" s="2"/>
    </row>
    <row r="3221" spans="4:4" x14ac:dyDescent="0.4">
      <c r="D3221" s="2"/>
    </row>
    <row r="3222" spans="4:4" x14ac:dyDescent="0.4">
      <c r="D3222" s="2"/>
    </row>
    <row r="3223" spans="4:4" x14ac:dyDescent="0.4">
      <c r="D3223" s="2"/>
    </row>
    <row r="3224" spans="4:4" x14ac:dyDescent="0.4">
      <c r="D3224" s="2"/>
    </row>
    <row r="3225" spans="4:4" x14ac:dyDescent="0.4">
      <c r="D3225" s="2"/>
    </row>
    <row r="3226" spans="4:4" x14ac:dyDescent="0.4">
      <c r="D3226" s="2"/>
    </row>
    <row r="3227" spans="4:4" x14ac:dyDescent="0.4">
      <c r="D3227" s="2"/>
    </row>
    <row r="3228" spans="4:4" x14ac:dyDescent="0.4">
      <c r="D3228" s="2"/>
    </row>
    <row r="3229" spans="4:4" x14ac:dyDescent="0.4">
      <c r="D3229" s="2"/>
    </row>
    <row r="3230" spans="4:4" x14ac:dyDescent="0.4">
      <c r="D3230" s="2"/>
    </row>
    <row r="3231" spans="4:4" x14ac:dyDescent="0.4">
      <c r="D3231" s="2"/>
    </row>
    <row r="3232" spans="4:4" x14ac:dyDescent="0.4">
      <c r="D3232" s="2"/>
    </row>
    <row r="3233" spans="4:9" x14ac:dyDescent="0.4">
      <c r="D3233" s="2"/>
    </row>
    <row r="3234" spans="4:9" x14ac:dyDescent="0.4">
      <c r="D3234" s="2"/>
    </row>
    <row r="3235" spans="4:9" x14ac:dyDescent="0.4">
      <c r="D3235" s="2"/>
    </row>
    <row r="3236" spans="4:9" x14ac:dyDescent="0.4">
      <c r="D3236" s="2"/>
    </row>
    <row r="3237" spans="4:9" x14ac:dyDescent="0.4">
      <c r="D3237" s="2"/>
    </row>
    <row r="3238" spans="4:9" x14ac:dyDescent="0.4">
      <c r="D3238" s="2"/>
    </row>
    <row r="3239" spans="4:9" x14ac:dyDescent="0.4">
      <c r="D3239" s="2"/>
      <c r="H3239" s="3"/>
      <c r="I3239" s="3"/>
    </row>
    <row r="3240" spans="4:9" x14ac:dyDescent="0.4">
      <c r="D3240" s="2"/>
    </row>
    <row r="3241" spans="4:9" x14ac:dyDescent="0.4">
      <c r="D3241" s="2"/>
    </row>
    <row r="3242" spans="4:9" x14ac:dyDescent="0.4">
      <c r="D3242" s="2"/>
    </row>
    <row r="3243" spans="4:9" x14ac:dyDescent="0.4">
      <c r="D3243" s="2"/>
    </row>
    <row r="3244" spans="4:9" x14ac:dyDescent="0.4">
      <c r="D3244" s="2"/>
    </row>
    <row r="3245" spans="4:9" x14ac:dyDescent="0.4">
      <c r="D3245" s="2"/>
    </row>
    <row r="3246" spans="4:9" x14ac:dyDescent="0.4">
      <c r="D3246" s="2"/>
    </row>
    <row r="3247" spans="4:9" x14ac:dyDescent="0.4">
      <c r="D3247" s="2"/>
    </row>
    <row r="3248" spans="4:9" x14ac:dyDescent="0.4">
      <c r="D3248" s="2"/>
    </row>
    <row r="3249" spans="4:9" x14ac:dyDescent="0.4">
      <c r="D3249" s="2"/>
    </row>
    <row r="3250" spans="4:9" x14ac:dyDescent="0.4">
      <c r="D3250" s="2"/>
    </row>
    <row r="3251" spans="4:9" x14ac:dyDescent="0.4">
      <c r="D3251" s="2"/>
    </row>
    <row r="3252" spans="4:9" x14ac:dyDescent="0.4">
      <c r="D3252" s="2"/>
    </row>
    <row r="3253" spans="4:9" x14ac:dyDescent="0.4">
      <c r="D3253" s="2"/>
    </row>
    <row r="3254" spans="4:9" x14ac:dyDescent="0.4">
      <c r="D3254" s="2"/>
    </row>
    <row r="3255" spans="4:9" x14ac:dyDescent="0.4">
      <c r="D3255" s="2"/>
    </row>
    <row r="3256" spans="4:9" x14ac:dyDescent="0.4">
      <c r="D3256" s="2"/>
    </row>
    <row r="3257" spans="4:9" x14ac:dyDescent="0.4">
      <c r="D3257" s="2"/>
    </row>
    <row r="3258" spans="4:9" x14ac:dyDescent="0.4">
      <c r="D3258" s="2"/>
    </row>
    <row r="3259" spans="4:9" x14ac:dyDescent="0.4">
      <c r="D3259" s="2"/>
    </row>
    <row r="3260" spans="4:9" x14ac:dyDescent="0.4">
      <c r="D3260" s="2"/>
    </row>
    <row r="3261" spans="4:9" x14ac:dyDescent="0.4">
      <c r="D3261" s="2"/>
    </row>
    <row r="3262" spans="4:9" x14ac:dyDescent="0.4">
      <c r="D3262" s="2"/>
    </row>
    <row r="3263" spans="4:9" x14ac:dyDescent="0.4">
      <c r="D3263" s="2"/>
      <c r="H3263" s="3"/>
      <c r="I3263" s="3"/>
    </row>
    <row r="3264" spans="4:9" x14ac:dyDescent="0.4">
      <c r="D3264" s="2"/>
    </row>
    <row r="3265" spans="4:4" x14ac:dyDescent="0.4">
      <c r="D3265" s="2"/>
    </row>
    <row r="3266" spans="4:4" x14ac:dyDescent="0.4">
      <c r="D3266" s="2"/>
    </row>
    <row r="3267" spans="4:4" x14ac:dyDescent="0.4">
      <c r="D3267" s="2"/>
    </row>
    <row r="3268" spans="4:4" x14ac:dyDescent="0.4">
      <c r="D3268" s="2"/>
    </row>
    <row r="3269" spans="4:4" x14ac:dyDescent="0.4">
      <c r="D3269" s="2"/>
    </row>
    <row r="3270" spans="4:4" x14ac:dyDescent="0.4">
      <c r="D3270" s="2"/>
    </row>
    <row r="3271" spans="4:4" x14ac:dyDescent="0.4">
      <c r="D3271" s="2"/>
    </row>
    <row r="3272" spans="4:4" x14ac:dyDescent="0.4">
      <c r="D3272" s="2"/>
    </row>
    <row r="3273" spans="4:4" x14ac:dyDescent="0.4">
      <c r="D3273" s="2"/>
    </row>
    <row r="3274" spans="4:4" x14ac:dyDescent="0.4">
      <c r="D3274" s="2"/>
    </row>
    <row r="3275" spans="4:4" x14ac:dyDescent="0.4">
      <c r="D3275" s="2"/>
    </row>
    <row r="3276" spans="4:4" x14ac:dyDescent="0.4">
      <c r="D3276" s="2"/>
    </row>
    <row r="3277" spans="4:4" x14ac:dyDescent="0.4">
      <c r="D3277" s="2"/>
    </row>
    <row r="3278" spans="4:4" x14ac:dyDescent="0.4">
      <c r="D3278" s="2"/>
    </row>
    <row r="3279" spans="4:4" x14ac:dyDescent="0.4">
      <c r="D3279" s="2"/>
    </row>
    <row r="3280" spans="4:4" x14ac:dyDescent="0.4">
      <c r="D3280" s="2"/>
    </row>
    <row r="3281" spans="4:4" x14ac:dyDescent="0.4">
      <c r="D3281" s="2"/>
    </row>
    <row r="3282" spans="4:4" x14ac:dyDescent="0.4">
      <c r="D3282" s="2"/>
    </row>
    <row r="3283" spans="4:4" x14ac:dyDescent="0.4">
      <c r="D3283" s="2"/>
    </row>
    <row r="3284" spans="4:4" x14ac:dyDescent="0.4">
      <c r="D3284" s="2"/>
    </row>
    <row r="3285" spans="4:4" x14ac:dyDescent="0.4">
      <c r="D3285" s="2"/>
    </row>
    <row r="3286" spans="4:4" x14ac:dyDescent="0.4">
      <c r="D3286" s="2"/>
    </row>
    <row r="3287" spans="4:4" x14ac:dyDescent="0.4">
      <c r="D3287" s="2"/>
    </row>
    <row r="3288" spans="4:4" x14ac:dyDescent="0.4">
      <c r="D3288" s="2"/>
    </row>
    <row r="3289" spans="4:4" x14ac:dyDescent="0.4">
      <c r="D3289" s="2"/>
    </row>
    <row r="3290" spans="4:4" x14ac:dyDescent="0.4">
      <c r="D3290" s="2"/>
    </row>
    <row r="3291" spans="4:4" x14ac:dyDescent="0.4">
      <c r="D3291" s="2"/>
    </row>
    <row r="3292" spans="4:4" x14ac:dyDescent="0.4">
      <c r="D3292" s="2"/>
    </row>
    <row r="3293" spans="4:4" x14ac:dyDescent="0.4">
      <c r="D3293" s="2"/>
    </row>
    <row r="3294" spans="4:4" x14ac:dyDescent="0.4">
      <c r="D3294" s="2"/>
    </row>
    <row r="3295" spans="4:4" x14ac:dyDescent="0.4">
      <c r="D3295" s="2"/>
    </row>
    <row r="3296" spans="4:4" x14ac:dyDescent="0.4">
      <c r="D3296" s="2"/>
    </row>
    <row r="3297" spans="4:9" x14ac:dyDescent="0.4">
      <c r="D3297" s="2"/>
    </row>
    <row r="3298" spans="4:9" x14ac:dyDescent="0.4">
      <c r="D3298" s="2"/>
    </row>
    <row r="3299" spans="4:9" x14ac:dyDescent="0.4">
      <c r="D3299" s="2"/>
    </row>
    <row r="3300" spans="4:9" x14ac:dyDescent="0.4">
      <c r="D3300" s="2"/>
    </row>
    <row r="3301" spans="4:9" x14ac:dyDescent="0.4">
      <c r="D3301" s="2"/>
      <c r="H3301" s="3"/>
      <c r="I3301" s="3"/>
    </row>
    <row r="3302" spans="4:9" x14ac:dyDescent="0.4">
      <c r="D3302" s="2"/>
    </row>
    <row r="3303" spans="4:9" x14ac:dyDescent="0.4">
      <c r="D3303" s="2"/>
    </row>
    <row r="3304" spans="4:9" x14ac:dyDescent="0.4">
      <c r="D3304" s="2"/>
    </row>
    <row r="3305" spans="4:9" x14ac:dyDescent="0.4">
      <c r="D3305" s="2"/>
    </row>
    <row r="3306" spans="4:9" x14ac:dyDescent="0.4">
      <c r="D3306" s="2"/>
    </row>
    <row r="3307" spans="4:9" x14ac:dyDescent="0.4">
      <c r="D3307" s="2"/>
    </row>
    <row r="3308" spans="4:9" x14ac:dyDescent="0.4">
      <c r="D3308" s="2"/>
    </row>
    <row r="3309" spans="4:9" x14ac:dyDescent="0.4">
      <c r="D3309" s="2"/>
    </row>
    <row r="3310" spans="4:9" x14ac:dyDescent="0.4">
      <c r="D3310" s="2"/>
    </row>
    <row r="3311" spans="4:9" x14ac:dyDescent="0.4">
      <c r="D3311" s="2"/>
    </row>
    <row r="3312" spans="4:9" x14ac:dyDescent="0.4">
      <c r="D3312" s="2"/>
    </row>
    <row r="3313" spans="4:4" x14ac:dyDescent="0.4">
      <c r="D3313" s="2"/>
    </row>
    <row r="3314" spans="4:4" x14ac:dyDescent="0.4">
      <c r="D3314" s="2"/>
    </row>
    <row r="3315" spans="4:4" x14ac:dyDescent="0.4">
      <c r="D3315" s="2"/>
    </row>
    <row r="3316" spans="4:4" x14ac:dyDescent="0.4">
      <c r="D3316" s="2"/>
    </row>
    <row r="3317" spans="4:4" x14ac:dyDescent="0.4">
      <c r="D3317" s="2"/>
    </row>
    <row r="3318" spans="4:4" x14ac:dyDescent="0.4">
      <c r="D3318" s="2"/>
    </row>
    <row r="3319" spans="4:4" x14ac:dyDescent="0.4">
      <c r="D3319" s="2"/>
    </row>
    <row r="3320" spans="4:4" x14ac:dyDescent="0.4">
      <c r="D3320" s="2"/>
    </row>
    <row r="3321" spans="4:4" x14ac:dyDescent="0.4">
      <c r="D3321" s="2"/>
    </row>
    <row r="3322" spans="4:4" x14ac:dyDescent="0.4">
      <c r="D3322" s="2"/>
    </row>
    <row r="3323" spans="4:4" x14ac:dyDescent="0.4">
      <c r="D3323" s="2"/>
    </row>
    <row r="3324" spans="4:4" x14ac:dyDescent="0.4">
      <c r="D3324" s="2"/>
    </row>
    <row r="3325" spans="4:4" x14ac:dyDescent="0.4">
      <c r="D3325" s="2"/>
    </row>
    <row r="3326" spans="4:4" x14ac:dyDescent="0.4">
      <c r="D3326" s="2"/>
    </row>
    <row r="3327" spans="4:4" x14ac:dyDescent="0.4">
      <c r="D3327" s="2"/>
    </row>
    <row r="3328" spans="4:4" x14ac:dyDescent="0.4">
      <c r="D3328" s="2"/>
    </row>
    <row r="3329" spans="4:4" x14ac:dyDescent="0.4">
      <c r="D3329" s="2"/>
    </row>
    <row r="3330" spans="4:4" x14ac:dyDescent="0.4">
      <c r="D3330" s="2"/>
    </row>
    <row r="3331" spans="4:4" x14ac:dyDescent="0.4">
      <c r="D3331" s="2"/>
    </row>
    <row r="3332" spans="4:4" x14ac:dyDescent="0.4">
      <c r="D3332" s="2"/>
    </row>
    <row r="3333" spans="4:4" x14ac:dyDescent="0.4">
      <c r="D3333" s="2"/>
    </row>
    <row r="3334" spans="4:4" x14ac:dyDescent="0.4">
      <c r="D3334" s="2"/>
    </row>
    <row r="3335" spans="4:4" x14ac:dyDescent="0.4">
      <c r="D3335" s="2"/>
    </row>
    <row r="3336" spans="4:4" x14ac:dyDescent="0.4">
      <c r="D3336" s="2"/>
    </row>
    <row r="3337" spans="4:4" x14ac:dyDescent="0.4">
      <c r="D3337" s="2"/>
    </row>
    <row r="3338" spans="4:4" x14ac:dyDescent="0.4">
      <c r="D3338" s="2"/>
    </row>
    <row r="3339" spans="4:4" x14ac:dyDescent="0.4">
      <c r="D3339" s="2"/>
    </row>
    <row r="3340" spans="4:4" x14ac:dyDescent="0.4">
      <c r="D3340" s="2"/>
    </row>
    <row r="3341" spans="4:4" x14ac:dyDescent="0.4">
      <c r="D3341" s="2"/>
    </row>
    <row r="3342" spans="4:4" x14ac:dyDescent="0.4">
      <c r="D3342" s="2"/>
    </row>
    <row r="3343" spans="4:4" x14ac:dyDescent="0.4">
      <c r="D3343" s="2"/>
    </row>
    <row r="3344" spans="4:4" x14ac:dyDescent="0.4">
      <c r="D3344" s="2"/>
    </row>
    <row r="3345" spans="4:9" x14ac:dyDescent="0.4">
      <c r="D3345" s="2"/>
    </row>
    <row r="3346" spans="4:9" x14ac:dyDescent="0.4">
      <c r="D3346" s="2"/>
    </row>
    <row r="3347" spans="4:9" x14ac:dyDescent="0.4">
      <c r="D3347" s="2"/>
      <c r="H3347" s="3"/>
      <c r="I3347" s="3"/>
    </row>
    <row r="3348" spans="4:9" x14ac:dyDescent="0.4">
      <c r="D3348" s="2"/>
    </row>
    <row r="3349" spans="4:9" x14ac:dyDescent="0.4">
      <c r="D3349" s="2"/>
    </row>
    <row r="3350" spans="4:9" x14ac:dyDescent="0.4">
      <c r="D3350" s="2"/>
    </row>
    <row r="3351" spans="4:9" x14ac:dyDescent="0.4">
      <c r="D3351" s="2"/>
    </row>
    <row r="3352" spans="4:9" x14ac:dyDescent="0.4">
      <c r="D3352" s="2"/>
    </row>
    <row r="3353" spans="4:9" x14ac:dyDescent="0.4">
      <c r="D3353" s="2"/>
    </row>
    <row r="3354" spans="4:9" x14ac:dyDescent="0.4">
      <c r="D3354" s="2"/>
    </row>
    <row r="3355" spans="4:9" x14ac:dyDescent="0.4">
      <c r="D3355" s="2"/>
    </row>
    <row r="3356" spans="4:9" x14ac:dyDescent="0.4">
      <c r="D3356" s="2"/>
    </row>
    <row r="3357" spans="4:9" x14ac:dyDescent="0.4">
      <c r="D3357" s="2"/>
    </row>
    <row r="3358" spans="4:9" x14ac:dyDescent="0.4">
      <c r="D3358" s="2"/>
    </row>
    <row r="3359" spans="4:9" x14ac:dyDescent="0.4">
      <c r="D3359" s="2"/>
    </row>
    <row r="3360" spans="4:9" x14ac:dyDescent="0.4">
      <c r="D3360" s="2"/>
    </row>
    <row r="3361" spans="4:4" x14ac:dyDescent="0.4">
      <c r="D3361" s="2"/>
    </row>
    <row r="3362" spans="4:4" x14ac:dyDescent="0.4">
      <c r="D3362" s="2"/>
    </row>
    <row r="3363" spans="4:4" x14ac:dyDescent="0.4">
      <c r="D3363" s="2"/>
    </row>
    <row r="3364" spans="4:4" x14ac:dyDescent="0.4">
      <c r="D3364" s="2"/>
    </row>
    <row r="3365" spans="4:4" x14ac:dyDescent="0.4">
      <c r="D3365" s="2"/>
    </row>
    <row r="3366" spans="4:4" x14ac:dyDescent="0.4">
      <c r="D3366" s="2"/>
    </row>
    <row r="3367" spans="4:4" x14ac:dyDescent="0.4">
      <c r="D3367" s="2"/>
    </row>
    <row r="3368" spans="4:4" x14ac:dyDescent="0.4">
      <c r="D3368" s="2"/>
    </row>
    <row r="3369" spans="4:4" x14ac:dyDescent="0.4">
      <c r="D3369" s="2"/>
    </row>
    <row r="3370" spans="4:4" x14ac:dyDescent="0.4">
      <c r="D3370" s="2"/>
    </row>
    <row r="3371" spans="4:4" x14ac:dyDescent="0.4">
      <c r="D3371" s="2"/>
    </row>
    <row r="3372" spans="4:4" x14ac:dyDescent="0.4">
      <c r="D3372" s="2"/>
    </row>
    <row r="3373" spans="4:4" x14ac:dyDescent="0.4">
      <c r="D3373" s="2"/>
    </row>
    <row r="3374" spans="4:4" x14ac:dyDescent="0.4">
      <c r="D3374" s="2"/>
    </row>
    <row r="3375" spans="4:4" x14ac:dyDescent="0.4">
      <c r="D3375" s="2"/>
    </row>
    <row r="3376" spans="4:4" x14ac:dyDescent="0.4">
      <c r="D3376" s="2"/>
    </row>
    <row r="3377" spans="4:4" x14ac:dyDescent="0.4">
      <c r="D3377" s="2"/>
    </row>
    <row r="3378" spans="4:4" x14ac:dyDescent="0.4">
      <c r="D3378" s="2"/>
    </row>
    <row r="3379" spans="4:4" x14ac:dyDescent="0.4">
      <c r="D3379" s="2"/>
    </row>
    <row r="3380" spans="4:4" x14ac:dyDescent="0.4">
      <c r="D3380" s="2"/>
    </row>
    <row r="3381" spans="4:4" x14ac:dyDescent="0.4">
      <c r="D3381" s="2"/>
    </row>
    <row r="3382" spans="4:4" x14ac:dyDescent="0.4">
      <c r="D3382" s="2"/>
    </row>
    <row r="3383" spans="4:4" x14ac:dyDescent="0.4">
      <c r="D3383" s="2"/>
    </row>
    <row r="3384" spans="4:4" x14ac:dyDescent="0.4">
      <c r="D3384" s="2"/>
    </row>
    <row r="3385" spans="4:4" x14ac:dyDescent="0.4">
      <c r="D3385" s="2"/>
    </row>
    <row r="3386" spans="4:4" x14ac:dyDescent="0.4">
      <c r="D3386" s="2"/>
    </row>
    <row r="3387" spans="4:4" x14ac:dyDescent="0.4">
      <c r="D3387" s="2"/>
    </row>
    <row r="3388" spans="4:4" x14ac:dyDescent="0.4">
      <c r="D3388" s="2"/>
    </row>
    <row r="3389" spans="4:4" x14ac:dyDescent="0.4">
      <c r="D3389" s="2"/>
    </row>
    <row r="3390" spans="4:4" x14ac:dyDescent="0.4">
      <c r="D3390" s="2"/>
    </row>
    <row r="3391" spans="4:4" x14ac:dyDescent="0.4">
      <c r="D3391" s="2"/>
    </row>
    <row r="3392" spans="4:4" x14ac:dyDescent="0.4">
      <c r="D3392" s="2"/>
    </row>
    <row r="3393" spans="4:9" x14ac:dyDescent="0.4">
      <c r="D3393" s="2"/>
    </row>
    <row r="3394" spans="4:9" x14ac:dyDescent="0.4">
      <c r="D3394" s="2"/>
    </row>
    <row r="3395" spans="4:9" x14ac:dyDescent="0.4">
      <c r="D3395" s="2"/>
    </row>
    <row r="3396" spans="4:9" x14ac:dyDescent="0.4">
      <c r="D3396" s="2"/>
    </row>
    <row r="3397" spans="4:9" x14ac:dyDescent="0.4">
      <c r="D3397" s="2"/>
    </row>
    <row r="3398" spans="4:9" x14ac:dyDescent="0.4">
      <c r="D3398" s="2"/>
      <c r="H3398" s="3"/>
      <c r="I3398" s="3"/>
    </row>
    <row r="3399" spans="4:9" x14ac:dyDescent="0.4">
      <c r="D3399" s="2"/>
    </row>
    <row r="3400" spans="4:9" x14ac:dyDescent="0.4">
      <c r="D3400" s="2"/>
      <c r="H3400" s="4"/>
      <c r="I3400" s="4"/>
    </row>
    <row r="3401" spans="4:9" x14ac:dyDescent="0.4">
      <c r="D3401" s="2"/>
    </row>
    <row r="3402" spans="4:9" x14ac:dyDescent="0.4">
      <c r="D3402" s="2"/>
    </row>
    <row r="3403" spans="4:9" x14ac:dyDescent="0.4">
      <c r="D3403" s="2"/>
    </row>
    <row r="3404" spans="4:9" x14ac:dyDescent="0.4">
      <c r="D3404" s="2"/>
    </row>
    <row r="3405" spans="4:9" x14ac:dyDescent="0.4">
      <c r="D3405" s="2"/>
    </row>
    <row r="3406" spans="4:9" x14ac:dyDescent="0.4">
      <c r="D3406" s="2"/>
    </row>
    <row r="3407" spans="4:9" x14ac:dyDescent="0.4">
      <c r="D3407" s="2"/>
    </row>
    <row r="3408" spans="4:9" x14ac:dyDescent="0.4">
      <c r="D3408" s="2"/>
    </row>
    <row r="3409" spans="4:4" x14ac:dyDescent="0.4">
      <c r="D3409" s="2"/>
    </row>
    <row r="3410" spans="4:4" x14ac:dyDescent="0.4">
      <c r="D3410" s="2"/>
    </row>
    <row r="3411" spans="4:4" x14ac:dyDescent="0.4">
      <c r="D3411" s="2"/>
    </row>
    <row r="3412" spans="4:4" x14ac:dyDescent="0.4">
      <c r="D3412" s="2"/>
    </row>
    <row r="3413" spans="4:4" x14ac:dyDescent="0.4">
      <c r="D3413" s="2"/>
    </row>
    <row r="3414" spans="4:4" x14ac:dyDescent="0.4">
      <c r="D3414" s="2"/>
    </row>
    <row r="3415" spans="4:4" x14ac:dyDescent="0.4">
      <c r="D3415" s="2"/>
    </row>
    <row r="3416" spans="4:4" x14ac:dyDescent="0.4">
      <c r="D3416" s="2"/>
    </row>
    <row r="3417" spans="4:4" x14ac:dyDescent="0.4">
      <c r="D3417" s="2"/>
    </row>
    <row r="3418" spans="4:4" x14ac:dyDescent="0.4">
      <c r="D3418" s="2"/>
    </row>
    <row r="3419" spans="4:4" x14ac:dyDescent="0.4">
      <c r="D3419" s="2"/>
    </row>
    <row r="3420" spans="4:4" x14ac:dyDescent="0.4">
      <c r="D3420" s="2"/>
    </row>
    <row r="3421" spans="4:4" x14ac:dyDescent="0.4">
      <c r="D3421" s="2"/>
    </row>
    <row r="3422" spans="4:4" x14ac:dyDescent="0.4">
      <c r="D3422" s="2"/>
    </row>
    <row r="3423" spans="4:4" x14ac:dyDescent="0.4">
      <c r="D3423" s="2"/>
    </row>
    <row r="3424" spans="4:4" x14ac:dyDescent="0.4">
      <c r="D3424" s="2"/>
    </row>
    <row r="3425" spans="4:4" x14ac:dyDescent="0.4">
      <c r="D3425" s="2"/>
    </row>
    <row r="3426" spans="4:4" x14ac:dyDescent="0.4">
      <c r="D3426" s="2"/>
    </row>
    <row r="3427" spans="4:4" x14ac:dyDescent="0.4">
      <c r="D3427" s="2"/>
    </row>
    <row r="3428" spans="4:4" x14ac:dyDescent="0.4">
      <c r="D3428" s="2"/>
    </row>
    <row r="3429" spans="4:4" x14ac:dyDescent="0.4">
      <c r="D3429" s="2"/>
    </row>
    <row r="3430" spans="4:4" x14ac:dyDescent="0.4">
      <c r="D3430" s="2"/>
    </row>
    <row r="3431" spans="4:4" x14ac:dyDescent="0.4">
      <c r="D3431" s="2"/>
    </row>
    <row r="3432" spans="4:4" x14ac:dyDescent="0.4">
      <c r="D3432" s="2"/>
    </row>
    <row r="3433" spans="4:4" x14ac:dyDescent="0.4">
      <c r="D3433" s="2"/>
    </row>
    <row r="3434" spans="4:4" x14ac:dyDescent="0.4">
      <c r="D3434" s="2"/>
    </row>
    <row r="3435" spans="4:4" x14ac:dyDescent="0.4">
      <c r="D3435" s="2"/>
    </row>
    <row r="3436" spans="4:4" x14ac:dyDescent="0.4">
      <c r="D3436" s="2"/>
    </row>
    <row r="3437" spans="4:4" x14ac:dyDescent="0.4">
      <c r="D3437" s="2"/>
    </row>
    <row r="3438" spans="4:4" x14ac:dyDescent="0.4">
      <c r="D3438" s="2"/>
    </row>
    <row r="3439" spans="4:4" x14ac:dyDescent="0.4">
      <c r="D3439" s="2"/>
    </row>
    <row r="3440" spans="4:4" x14ac:dyDescent="0.4">
      <c r="D3440" s="2"/>
    </row>
    <row r="3441" spans="4:4" x14ac:dyDescent="0.4">
      <c r="D3441" s="2"/>
    </row>
    <row r="3442" spans="4:4" x14ac:dyDescent="0.4">
      <c r="D3442" s="2"/>
    </row>
    <row r="3443" spans="4:4" x14ac:dyDescent="0.4">
      <c r="D3443" s="2"/>
    </row>
    <row r="3444" spans="4:4" x14ac:dyDescent="0.4">
      <c r="D3444" s="2"/>
    </row>
    <row r="3445" spans="4:4" x14ac:dyDescent="0.4">
      <c r="D3445" s="2"/>
    </row>
    <row r="3446" spans="4:4" x14ac:dyDescent="0.4">
      <c r="D3446" s="2"/>
    </row>
    <row r="3447" spans="4:4" x14ac:dyDescent="0.4">
      <c r="D3447" s="2"/>
    </row>
    <row r="3448" spans="4:4" x14ac:dyDescent="0.4">
      <c r="D3448" s="2"/>
    </row>
    <row r="3449" spans="4:4" x14ac:dyDescent="0.4">
      <c r="D3449" s="2"/>
    </row>
    <row r="3450" spans="4:4" x14ac:dyDescent="0.4">
      <c r="D3450" s="2"/>
    </row>
    <row r="3451" spans="4:4" x14ac:dyDescent="0.4">
      <c r="D3451" s="2"/>
    </row>
    <row r="3452" spans="4:4" x14ac:dyDescent="0.4">
      <c r="D3452" s="2"/>
    </row>
    <row r="3453" spans="4:4" x14ac:dyDescent="0.4">
      <c r="D3453" s="2"/>
    </row>
    <row r="3454" spans="4:4" x14ac:dyDescent="0.4">
      <c r="D3454" s="2"/>
    </row>
    <row r="3455" spans="4:4" x14ac:dyDescent="0.4">
      <c r="D3455" s="2"/>
    </row>
    <row r="3456" spans="4:4" x14ac:dyDescent="0.4">
      <c r="D3456" s="2"/>
    </row>
    <row r="3457" spans="4:4" x14ac:dyDescent="0.4">
      <c r="D3457" s="2"/>
    </row>
    <row r="3458" spans="4:4" x14ac:dyDescent="0.4">
      <c r="D3458" s="2"/>
    </row>
    <row r="3459" spans="4:4" x14ac:dyDescent="0.4">
      <c r="D3459" s="2"/>
    </row>
    <row r="3460" spans="4:4" x14ac:dyDescent="0.4">
      <c r="D3460" s="2"/>
    </row>
    <row r="3461" spans="4:4" x14ac:dyDescent="0.4">
      <c r="D3461" s="2"/>
    </row>
    <row r="3462" spans="4:4" x14ac:dyDescent="0.4">
      <c r="D3462" s="2"/>
    </row>
    <row r="3463" spans="4:4" x14ac:dyDescent="0.4">
      <c r="D3463" s="2"/>
    </row>
    <row r="3464" spans="4:4" x14ac:dyDescent="0.4">
      <c r="D3464" s="2"/>
    </row>
    <row r="3465" spans="4:4" x14ac:dyDescent="0.4">
      <c r="D3465" s="2"/>
    </row>
    <row r="3466" spans="4:4" x14ac:dyDescent="0.4">
      <c r="D3466" s="2"/>
    </row>
    <row r="3467" spans="4:4" x14ac:dyDescent="0.4">
      <c r="D3467" s="2"/>
    </row>
    <row r="3468" spans="4:4" x14ac:dyDescent="0.4">
      <c r="D3468" s="2"/>
    </row>
    <row r="3469" spans="4:4" x14ac:dyDescent="0.4">
      <c r="D3469" s="2"/>
    </row>
    <row r="3470" spans="4:4" x14ac:dyDescent="0.4">
      <c r="D3470" s="2"/>
    </row>
    <row r="3471" spans="4:4" x14ac:dyDescent="0.4">
      <c r="D3471" s="2"/>
    </row>
    <row r="3472" spans="4:4" x14ac:dyDescent="0.4">
      <c r="D3472" s="2"/>
    </row>
    <row r="3473" spans="4:4" x14ac:dyDescent="0.4">
      <c r="D3473" s="2"/>
    </row>
    <row r="3474" spans="4:4" x14ac:dyDescent="0.4">
      <c r="D3474" s="2"/>
    </row>
    <row r="3475" spans="4:4" x14ac:dyDescent="0.4">
      <c r="D3475" s="2"/>
    </row>
    <row r="3476" spans="4:4" x14ac:dyDescent="0.4">
      <c r="D3476" s="2"/>
    </row>
    <row r="3477" spans="4:4" x14ac:dyDescent="0.4">
      <c r="D3477" s="2"/>
    </row>
    <row r="3478" spans="4:4" x14ac:dyDescent="0.4">
      <c r="D3478" s="2"/>
    </row>
    <row r="3479" spans="4:4" x14ac:dyDescent="0.4">
      <c r="D3479" s="2"/>
    </row>
    <row r="3480" spans="4:4" x14ac:dyDescent="0.4">
      <c r="D3480" s="2"/>
    </row>
    <row r="3481" spans="4:4" x14ac:dyDescent="0.4">
      <c r="D3481" s="2"/>
    </row>
    <row r="3482" spans="4:4" x14ac:dyDescent="0.4">
      <c r="D3482" s="2"/>
    </row>
    <row r="3483" spans="4:4" x14ac:dyDescent="0.4">
      <c r="D3483" s="2"/>
    </row>
    <row r="3484" spans="4:4" x14ac:dyDescent="0.4">
      <c r="D3484" s="2"/>
    </row>
    <row r="3485" spans="4:4" x14ac:dyDescent="0.4">
      <c r="D3485" s="2"/>
    </row>
    <row r="3486" spans="4:4" x14ac:dyDescent="0.4">
      <c r="D3486" s="2"/>
    </row>
    <row r="3487" spans="4:4" x14ac:dyDescent="0.4">
      <c r="D3487" s="2"/>
    </row>
    <row r="3488" spans="4:4" x14ac:dyDescent="0.4">
      <c r="D3488" s="2"/>
    </row>
    <row r="3489" spans="4:4" x14ac:dyDescent="0.4">
      <c r="D3489" s="2"/>
    </row>
    <row r="3490" spans="4:4" x14ac:dyDescent="0.4">
      <c r="D3490" s="2"/>
    </row>
    <row r="3491" spans="4:4" x14ac:dyDescent="0.4">
      <c r="D3491" s="2"/>
    </row>
    <row r="3492" spans="4:4" x14ac:dyDescent="0.4">
      <c r="D3492" s="2"/>
    </row>
    <row r="3493" spans="4:4" x14ac:dyDescent="0.4">
      <c r="D3493" s="2"/>
    </row>
    <row r="3494" spans="4:4" x14ac:dyDescent="0.4">
      <c r="D3494" s="2"/>
    </row>
    <row r="3495" spans="4:4" x14ac:dyDescent="0.4">
      <c r="D3495" s="2"/>
    </row>
    <row r="3496" spans="4:4" x14ac:dyDescent="0.4">
      <c r="D3496" s="2"/>
    </row>
    <row r="3497" spans="4:4" x14ac:dyDescent="0.4">
      <c r="D3497" s="2"/>
    </row>
    <row r="3498" spans="4:4" x14ac:dyDescent="0.4">
      <c r="D3498" s="2"/>
    </row>
    <row r="3499" spans="4:4" x14ac:dyDescent="0.4">
      <c r="D3499" s="2"/>
    </row>
    <row r="3500" spans="4:4" x14ac:dyDescent="0.4">
      <c r="D3500" s="2"/>
    </row>
    <row r="3501" spans="4:4" x14ac:dyDescent="0.4">
      <c r="D3501" s="2"/>
    </row>
    <row r="3502" spans="4:4" x14ac:dyDescent="0.4">
      <c r="D3502" s="2"/>
    </row>
    <row r="3503" spans="4:4" x14ac:dyDescent="0.4">
      <c r="D3503" s="2"/>
    </row>
    <row r="3504" spans="4:4" x14ac:dyDescent="0.4">
      <c r="D3504" s="2"/>
    </row>
    <row r="3505" spans="4:4" x14ac:dyDescent="0.4">
      <c r="D3505" s="2"/>
    </row>
    <row r="3506" spans="4:4" x14ac:dyDescent="0.4">
      <c r="D3506" s="2"/>
    </row>
    <row r="3507" spans="4:4" x14ac:dyDescent="0.4">
      <c r="D3507" s="2"/>
    </row>
    <row r="3508" spans="4:4" x14ac:dyDescent="0.4">
      <c r="D3508" s="2"/>
    </row>
    <row r="3509" spans="4:4" x14ac:dyDescent="0.4">
      <c r="D3509" s="2"/>
    </row>
    <row r="3510" spans="4:4" x14ac:dyDescent="0.4">
      <c r="D3510" s="2"/>
    </row>
    <row r="3511" spans="4:4" x14ac:dyDescent="0.4">
      <c r="D3511" s="2"/>
    </row>
    <row r="3512" spans="4:4" x14ac:dyDescent="0.4">
      <c r="D3512" s="2"/>
    </row>
    <row r="3513" spans="4:4" x14ac:dyDescent="0.4">
      <c r="D3513" s="2"/>
    </row>
    <row r="3514" spans="4:4" x14ac:dyDescent="0.4">
      <c r="D3514" s="2"/>
    </row>
    <row r="3515" spans="4:4" x14ac:dyDescent="0.4">
      <c r="D3515" s="2"/>
    </row>
    <row r="3516" spans="4:4" x14ac:dyDescent="0.4">
      <c r="D3516" s="2"/>
    </row>
    <row r="3517" spans="4:4" x14ac:dyDescent="0.4">
      <c r="D3517" s="2"/>
    </row>
    <row r="3518" spans="4:4" x14ac:dyDescent="0.4">
      <c r="D3518" s="2"/>
    </row>
    <row r="3519" spans="4:4" x14ac:dyDescent="0.4">
      <c r="D3519" s="2"/>
    </row>
    <row r="3520" spans="4:4" x14ac:dyDescent="0.4">
      <c r="D3520" s="2"/>
    </row>
    <row r="3521" spans="4:4" x14ac:dyDescent="0.4">
      <c r="D3521" s="2"/>
    </row>
    <row r="3522" spans="4:4" x14ac:dyDescent="0.4">
      <c r="D3522" s="2"/>
    </row>
    <row r="3523" spans="4:4" x14ac:dyDescent="0.4">
      <c r="D3523" s="2"/>
    </row>
    <row r="3524" spans="4:4" x14ac:dyDescent="0.4">
      <c r="D3524" s="2"/>
    </row>
    <row r="3525" spans="4:4" x14ac:dyDescent="0.4">
      <c r="D3525" s="2"/>
    </row>
    <row r="3526" spans="4:4" x14ac:dyDescent="0.4">
      <c r="D3526" s="2"/>
    </row>
    <row r="3527" spans="4:4" x14ac:dyDescent="0.4">
      <c r="D3527" s="2"/>
    </row>
    <row r="3528" spans="4:4" x14ac:dyDescent="0.4">
      <c r="D3528" s="2"/>
    </row>
    <row r="3529" spans="4:4" x14ac:dyDescent="0.4">
      <c r="D3529" s="2"/>
    </row>
    <row r="3530" spans="4:4" x14ac:dyDescent="0.4">
      <c r="D3530" s="2"/>
    </row>
    <row r="3531" spans="4:4" x14ac:dyDescent="0.4">
      <c r="D3531" s="2"/>
    </row>
    <row r="3532" spans="4:4" x14ac:dyDescent="0.4">
      <c r="D3532" s="2"/>
    </row>
    <row r="3533" spans="4:4" x14ac:dyDescent="0.4">
      <c r="D3533" s="2"/>
    </row>
    <row r="3534" spans="4:4" x14ac:dyDescent="0.4">
      <c r="D3534" s="2"/>
    </row>
    <row r="3535" spans="4:4" x14ac:dyDescent="0.4">
      <c r="D3535" s="2"/>
    </row>
    <row r="3536" spans="4:4" x14ac:dyDescent="0.4">
      <c r="D3536" s="2"/>
    </row>
    <row r="3537" spans="4:4" x14ac:dyDescent="0.4">
      <c r="D3537" s="2"/>
    </row>
    <row r="3538" spans="4:4" x14ac:dyDescent="0.4">
      <c r="D3538" s="2"/>
    </row>
    <row r="3539" spans="4:4" x14ac:dyDescent="0.4">
      <c r="D3539" s="2"/>
    </row>
    <row r="3540" spans="4:4" x14ac:dyDescent="0.4">
      <c r="D3540" s="2"/>
    </row>
    <row r="3541" spans="4:4" x14ac:dyDescent="0.4">
      <c r="D3541" s="2"/>
    </row>
    <row r="3542" spans="4:4" x14ac:dyDescent="0.4">
      <c r="D3542" s="2"/>
    </row>
    <row r="3543" spans="4:4" x14ac:dyDescent="0.4">
      <c r="D3543" s="2"/>
    </row>
    <row r="3544" spans="4:4" x14ac:dyDescent="0.4">
      <c r="D3544" s="2"/>
    </row>
    <row r="3545" spans="4:4" x14ac:dyDescent="0.4">
      <c r="D3545" s="2"/>
    </row>
    <row r="3546" spans="4:4" x14ac:dyDescent="0.4">
      <c r="D3546" s="2"/>
    </row>
    <row r="3547" spans="4:4" x14ac:dyDescent="0.4">
      <c r="D3547" s="2"/>
    </row>
    <row r="3548" spans="4:4" x14ac:dyDescent="0.4">
      <c r="D3548" s="2"/>
    </row>
    <row r="3549" spans="4:4" x14ac:dyDescent="0.4">
      <c r="D3549" s="2"/>
    </row>
    <row r="3550" spans="4:4" x14ac:dyDescent="0.4">
      <c r="D3550" s="2"/>
    </row>
    <row r="3551" spans="4:4" x14ac:dyDescent="0.4">
      <c r="D3551" s="2"/>
    </row>
    <row r="3552" spans="4:4" x14ac:dyDescent="0.4">
      <c r="D3552" s="2"/>
    </row>
    <row r="3553" spans="4:9" x14ac:dyDescent="0.4">
      <c r="D3553" s="2"/>
    </row>
    <row r="3554" spans="4:9" x14ac:dyDescent="0.4">
      <c r="D3554" s="2"/>
    </row>
    <row r="3555" spans="4:9" x14ac:dyDescent="0.4">
      <c r="D3555" s="2"/>
    </row>
    <row r="3556" spans="4:9" x14ac:dyDescent="0.4">
      <c r="D3556" s="2"/>
    </row>
    <row r="3557" spans="4:9" x14ac:dyDescent="0.4">
      <c r="D3557" s="2"/>
    </row>
    <row r="3558" spans="4:9" x14ac:dyDescent="0.4">
      <c r="D3558" s="2"/>
    </row>
    <row r="3559" spans="4:9" x14ac:dyDescent="0.4">
      <c r="D3559" s="2"/>
    </row>
    <row r="3560" spans="4:9" x14ac:dyDescent="0.4">
      <c r="D3560" s="2"/>
    </row>
    <row r="3561" spans="4:9" x14ac:dyDescent="0.4">
      <c r="D3561" s="2"/>
    </row>
    <row r="3562" spans="4:9" x14ac:dyDescent="0.4">
      <c r="D3562" s="2"/>
    </row>
    <row r="3563" spans="4:9" x14ac:dyDescent="0.4">
      <c r="D3563" s="2"/>
    </row>
    <row r="3564" spans="4:9" x14ac:dyDescent="0.4">
      <c r="D3564" s="2"/>
    </row>
    <row r="3565" spans="4:9" x14ac:dyDescent="0.4">
      <c r="D3565" s="2"/>
    </row>
    <row r="3566" spans="4:9" x14ac:dyDescent="0.4">
      <c r="D3566" s="2"/>
    </row>
    <row r="3567" spans="4:9" x14ac:dyDescent="0.4">
      <c r="D3567" s="2"/>
      <c r="H3567" s="3"/>
      <c r="I3567" s="3"/>
    </row>
    <row r="3568" spans="4:9" x14ac:dyDescent="0.4">
      <c r="D3568" s="2"/>
    </row>
    <row r="3569" spans="4:4" x14ac:dyDescent="0.4">
      <c r="D3569" s="2"/>
    </row>
    <row r="3570" spans="4:4" x14ac:dyDescent="0.4">
      <c r="D3570" s="2"/>
    </row>
    <row r="3571" spans="4:4" x14ac:dyDescent="0.4">
      <c r="D3571" s="2"/>
    </row>
    <row r="3572" spans="4:4" x14ac:dyDescent="0.4">
      <c r="D3572" s="2"/>
    </row>
    <row r="3573" spans="4:4" x14ac:dyDescent="0.4">
      <c r="D3573" s="2"/>
    </row>
    <row r="3574" spans="4:4" x14ac:dyDescent="0.4">
      <c r="D3574" s="2"/>
    </row>
    <row r="3575" spans="4:4" x14ac:dyDescent="0.4">
      <c r="D3575" s="2"/>
    </row>
    <row r="3576" spans="4:4" x14ac:dyDescent="0.4">
      <c r="D3576" s="2"/>
    </row>
    <row r="3577" spans="4:4" x14ac:dyDescent="0.4">
      <c r="D3577" s="2"/>
    </row>
    <row r="3578" spans="4:4" x14ac:dyDescent="0.4">
      <c r="D3578" s="2"/>
    </row>
    <row r="3579" spans="4:4" x14ac:dyDescent="0.4">
      <c r="D3579" s="2"/>
    </row>
    <row r="3580" spans="4:4" x14ac:dyDescent="0.4">
      <c r="D3580" s="2"/>
    </row>
    <row r="3581" spans="4:4" x14ac:dyDescent="0.4">
      <c r="D3581" s="2"/>
    </row>
    <row r="3582" spans="4:4" x14ac:dyDescent="0.4">
      <c r="D3582" s="2"/>
    </row>
    <row r="3583" spans="4:4" x14ac:dyDescent="0.4">
      <c r="D3583" s="2"/>
    </row>
    <row r="3584" spans="4:4" x14ac:dyDescent="0.4">
      <c r="D3584" s="2"/>
    </row>
    <row r="3585" spans="4:4" x14ac:dyDescent="0.4">
      <c r="D3585" s="2"/>
    </row>
    <row r="3586" spans="4:4" x14ac:dyDescent="0.4">
      <c r="D3586" s="2"/>
    </row>
    <row r="3587" spans="4:4" x14ac:dyDescent="0.4">
      <c r="D3587" s="2"/>
    </row>
    <row r="3588" spans="4:4" x14ac:dyDescent="0.4">
      <c r="D3588" s="2"/>
    </row>
    <row r="3589" spans="4:4" x14ac:dyDescent="0.4">
      <c r="D3589" s="2"/>
    </row>
    <row r="3590" spans="4:4" x14ac:dyDescent="0.4">
      <c r="D3590" s="2"/>
    </row>
    <row r="3591" spans="4:4" x14ac:dyDescent="0.4">
      <c r="D3591" s="2"/>
    </row>
    <row r="3592" spans="4:4" x14ac:dyDescent="0.4">
      <c r="D3592" s="2"/>
    </row>
    <row r="3593" spans="4:4" x14ac:dyDescent="0.4">
      <c r="D3593" s="2"/>
    </row>
    <row r="3594" spans="4:4" x14ac:dyDescent="0.4">
      <c r="D3594" s="2"/>
    </row>
    <row r="3595" spans="4:4" x14ac:dyDescent="0.4">
      <c r="D3595" s="2"/>
    </row>
    <row r="3596" spans="4:4" x14ac:dyDescent="0.4">
      <c r="D3596" s="2"/>
    </row>
    <row r="3597" spans="4:4" x14ac:dyDescent="0.4">
      <c r="D3597" s="2"/>
    </row>
    <row r="3598" spans="4:4" x14ac:dyDescent="0.4">
      <c r="D3598" s="2"/>
    </row>
    <row r="3599" spans="4:4" x14ac:dyDescent="0.4">
      <c r="D3599" s="2"/>
    </row>
    <row r="3600" spans="4:4" x14ac:dyDescent="0.4">
      <c r="D3600" s="2"/>
    </row>
    <row r="3601" spans="4:4" x14ac:dyDescent="0.4">
      <c r="D3601" s="2"/>
    </row>
    <row r="3602" spans="4:4" x14ac:dyDescent="0.4">
      <c r="D3602" s="2"/>
    </row>
    <row r="3603" spans="4:4" x14ac:dyDescent="0.4">
      <c r="D3603" s="2"/>
    </row>
    <row r="3604" spans="4:4" x14ac:dyDescent="0.4">
      <c r="D3604" s="2"/>
    </row>
    <row r="3605" spans="4:4" x14ac:dyDescent="0.4">
      <c r="D3605" s="2"/>
    </row>
    <row r="3606" spans="4:4" x14ac:dyDescent="0.4">
      <c r="D3606" s="2"/>
    </row>
    <row r="3607" spans="4:4" x14ac:dyDescent="0.4">
      <c r="D3607" s="2"/>
    </row>
    <row r="3608" spans="4:4" x14ac:dyDescent="0.4">
      <c r="D3608" s="2"/>
    </row>
    <row r="3609" spans="4:4" x14ac:dyDescent="0.4">
      <c r="D3609" s="2"/>
    </row>
    <row r="3610" spans="4:4" x14ac:dyDescent="0.4">
      <c r="D3610" s="2"/>
    </row>
    <row r="3611" spans="4:4" x14ac:dyDescent="0.4">
      <c r="D3611" s="2"/>
    </row>
    <row r="3612" spans="4:4" x14ac:dyDescent="0.4">
      <c r="D3612" s="2"/>
    </row>
    <row r="3613" spans="4:4" x14ac:dyDescent="0.4">
      <c r="D3613" s="2"/>
    </row>
    <row r="3614" spans="4:4" x14ac:dyDescent="0.4">
      <c r="D3614" s="2"/>
    </row>
    <row r="3615" spans="4:4" x14ac:dyDescent="0.4">
      <c r="D3615" s="2"/>
    </row>
    <row r="3616" spans="4:4" x14ac:dyDescent="0.4">
      <c r="D3616" s="2"/>
    </row>
    <row r="3617" spans="4:4" x14ac:dyDescent="0.4">
      <c r="D3617" s="2"/>
    </row>
    <row r="3618" spans="4:4" x14ac:dyDescent="0.4">
      <c r="D3618" s="2"/>
    </row>
    <row r="3619" spans="4:4" x14ac:dyDescent="0.4">
      <c r="D3619" s="2"/>
    </row>
    <row r="3620" spans="4:4" x14ac:dyDescent="0.4">
      <c r="D3620" s="2"/>
    </row>
    <row r="3621" spans="4:4" x14ac:dyDescent="0.4">
      <c r="D3621" s="2"/>
    </row>
    <row r="3622" spans="4:4" x14ac:dyDescent="0.4">
      <c r="D3622" s="2"/>
    </row>
    <row r="3623" spans="4:4" x14ac:dyDescent="0.4">
      <c r="D3623" s="2"/>
    </row>
    <row r="3624" spans="4:4" x14ac:dyDescent="0.4">
      <c r="D3624" s="2"/>
    </row>
    <row r="3625" spans="4:4" x14ac:dyDescent="0.4">
      <c r="D3625" s="2"/>
    </row>
    <row r="3626" spans="4:4" x14ac:dyDescent="0.4">
      <c r="D3626" s="2"/>
    </row>
    <row r="3627" spans="4:4" x14ac:dyDescent="0.4">
      <c r="D3627" s="2"/>
    </row>
    <row r="3628" spans="4:4" x14ac:dyDescent="0.4">
      <c r="D3628" s="2"/>
    </row>
    <row r="3629" spans="4:4" x14ac:dyDescent="0.4">
      <c r="D3629" s="2"/>
    </row>
    <row r="3630" spans="4:4" x14ac:dyDescent="0.4">
      <c r="D3630" s="2"/>
    </row>
    <row r="3631" spans="4:4" x14ac:dyDescent="0.4">
      <c r="D3631" s="2"/>
    </row>
    <row r="3632" spans="4:4" x14ac:dyDescent="0.4">
      <c r="D3632" s="2"/>
    </row>
    <row r="3633" spans="4:4" x14ac:dyDescent="0.4">
      <c r="D3633" s="2"/>
    </row>
    <row r="3634" spans="4:4" x14ac:dyDescent="0.4">
      <c r="D3634" s="2"/>
    </row>
    <row r="3635" spans="4:4" x14ac:dyDescent="0.4">
      <c r="D3635" s="2"/>
    </row>
    <row r="3636" spans="4:4" x14ac:dyDescent="0.4">
      <c r="D3636" s="2"/>
    </row>
    <row r="3637" spans="4:4" x14ac:dyDescent="0.4">
      <c r="D3637" s="2"/>
    </row>
    <row r="3638" spans="4:4" x14ac:dyDescent="0.4">
      <c r="D3638" s="2"/>
    </row>
    <row r="3639" spans="4:4" x14ac:dyDescent="0.4">
      <c r="D3639" s="2"/>
    </row>
    <row r="3640" spans="4:4" x14ac:dyDescent="0.4">
      <c r="D3640" s="2"/>
    </row>
    <row r="3641" spans="4:4" x14ac:dyDescent="0.4">
      <c r="D3641" s="2"/>
    </row>
    <row r="3642" spans="4:4" x14ac:dyDescent="0.4">
      <c r="D3642" s="2"/>
    </row>
    <row r="3643" spans="4:4" x14ac:dyDescent="0.4">
      <c r="D3643" s="2"/>
    </row>
    <row r="3644" spans="4:4" x14ac:dyDescent="0.4">
      <c r="D3644" s="2"/>
    </row>
    <row r="3645" spans="4:4" x14ac:dyDescent="0.4">
      <c r="D3645" s="2"/>
    </row>
    <row r="3646" spans="4:4" x14ac:dyDescent="0.4">
      <c r="D3646" s="2"/>
    </row>
    <row r="3647" spans="4:4" x14ac:dyDescent="0.4">
      <c r="D3647" s="2"/>
    </row>
    <row r="3648" spans="4:4" x14ac:dyDescent="0.4">
      <c r="D3648" s="2"/>
    </row>
    <row r="3649" spans="4:4" x14ac:dyDescent="0.4">
      <c r="D3649" s="2"/>
    </row>
    <row r="3650" spans="4:4" x14ac:dyDescent="0.4">
      <c r="D3650" s="2"/>
    </row>
    <row r="3651" spans="4:4" x14ac:dyDescent="0.4">
      <c r="D3651" s="2"/>
    </row>
    <row r="3652" spans="4:4" x14ac:dyDescent="0.4">
      <c r="D3652" s="2"/>
    </row>
    <row r="3653" spans="4:4" x14ac:dyDescent="0.4">
      <c r="D3653" s="2"/>
    </row>
    <row r="3654" spans="4:4" x14ac:dyDescent="0.4">
      <c r="D3654" s="2"/>
    </row>
    <row r="3655" spans="4:4" x14ac:dyDescent="0.4">
      <c r="D3655" s="2"/>
    </row>
    <row r="3656" spans="4:4" x14ac:dyDescent="0.4">
      <c r="D3656" s="2"/>
    </row>
    <row r="3657" spans="4:4" x14ac:dyDescent="0.4">
      <c r="D3657" s="2"/>
    </row>
    <row r="3658" spans="4:4" x14ac:dyDescent="0.4">
      <c r="D3658" s="2"/>
    </row>
    <row r="3659" spans="4:4" x14ac:dyDescent="0.4">
      <c r="D3659" s="2"/>
    </row>
    <row r="3660" spans="4:4" x14ac:dyDescent="0.4">
      <c r="D3660" s="2"/>
    </row>
    <row r="3661" spans="4:4" x14ac:dyDescent="0.4">
      <c r="D3661" s="2"/>
    </row>
    <row r="3662" spans="4:4" x14ac:dyDescent="0.4">
      <c r="D3662" s="2"/>
    </row>
    <row r="3663" spans="4:4" x14ac:dyDescent="0.4">
      <c r="D3663" s="2"/>
    </row>
    <row r="3664" spans="4:4" x14ac:dyDescent="0.4">
      <c r="D3664" s="2"/>
    </row>
    <row r="3665" spans="4:4" x14ac:dyDescent="0.4">
      <c r="D3665" s="2"/>
    </row>
    <row r="3666" spans="4:4" x14ac:dyDescent="0.4">
      <c r="D3666" s="2"/>
    </row>
    <row r="3667" spans="4:4" x14ac:dyDescent="0.4">
      <c r="D3667" s="2"/>
    </row>
    <row r="3668" spans="4:4" x14ac:dyDescent="0.4">
      <c r="D3668" s="2"/>
    </row>
    <row r="3669" spans="4:4" x14ac:dyDescent="0.4">
      <c r="D3669" s="2"/>
    </row>
    <row r="3670" spans="4:4" x14ac:dyDescent="0.4">
      <c r="D3670" s="2"/>
    </row>
    <row r="3671" spans="4:4" x14ac:dyDescent="0.4">
      <c r="D3671" s="2"/>
    </row>
    <row r="3672" spans="4:4" x14ac:dyDescent="0.4">
      <c r="D3672" s="2"/>
    </row>
    <row r="3673" spans="4:4" x14ac:dyDescent="0.4">
      <c r="D3673" s="2"/>
    </row>
    <row r="3674" spans="4:4" x14ac:dyDescent="0.4">
      <c r="D3674" s="2"/>
    </row>
    <row r="3675" spans="4:4" x14ac:dyDescent="0.4">
      <c r="D3675" s="2"/>
    </row>
    <row r="3676" spans="4:4" x14ac:dyDescent="0.4">
      <c r="D3676" s="2"/>
    </row>
    <row r="3677" spans="4:4" x14ac:dyDescent="0.4">
      <c r="D3677" s="2"/>
    </row>
    <row r="3678" spans="4:4" x14ac:dyDescent="0.4">
      <c r="D3678" s="2"/>
    </row>
    <row r="3679" spans="4:4" x14ac:dyDescent="0.4">
      <c r="D3679" s="2"/>
    </row>
    <row r="3680" spans="4:4" x14ac:dyDescent="0.4">
      <c r="D3680" s="2"/>
    </row>
    <row r="3681" spans="4:9" x14ac:dyDescent="0.4">
      <c r="D3681" s="2"/>
    </row>
    <row r="3682" spans="4:9" x14ac:dyDescent="0.4">
      <c r="D3682" s="2"/>
      <c r="H3682" s="3"/>
      <c r="I3682" s="3"/>
    </row>
    <row r="3683" spans="4:9" x14ac:dyDescent="0.4">
      <c r="D3683" s="2"/>
    </row>
    <row r="3684" spans="4:9" x14ac:dyDescent="0.4">
      <c r="D3684" s="2"/>
    </row>
    <row r="3685" spans="4:9" x14ac:dyDescent="0.4">
      <c r="D3685" s="2"/>
    </row>
    <row r="3686" spans="4:9" x14ac:dyDescent="0.4">
      <c r="D3686" s="2"/>
    </row>
    <row r="3687" spans="4:9" x14ac:dyDescent="0.4">
      <c r="D3687" s="2"/>
    </row>
    <row r="3688" spans="4:9" x14ac:dyDescent="0.4">
      <c r="D3688" s="2"/>
    </row>
    <row r="3689" spans="4:9" x14ac:dyDescent="0.4">
      <c r="D3689" s="2"/>
    </row>
    <row r="3690" spans="4:9" x14ac:dyDescent="0.4">
      <c r="D3690" s="2"/>
    </row>
    <row r="3691" spans="4:9" x14ac:dyDescent="0.4">
      <c r="D3691" s="2"/>
    </row>
    <row r="3692" spans="4:9" x14ac:dyDescent="0.4">
      <c r="D3692" s="2"/>
    </row>
    <row r="3693" spans="4:9" x14ac:dyDescent="0.4">
      <c r="D3693" s="2"/>
    </row>
    <row r="3694" spans="4:9" x14ac:dyDescent="0.4">
      <c r="D3694" s="2"/>
    </row>
    <row r="3695" spans="4:9" x14ac:dyDescent="0.4">
      <c r="D3695" s="2"/>
    </row>
    <row r="3696" spans="4:9" x14ac:dyDescent="0.4">
      <c r="D3696" s="2"/>
    </row>
    <row r="3697" spans="4:4" x14ac:dyDescent="0.4">
      <c r="D3697" s="2"/>
    </row>
    <row r="3698" spans="4:4" x14ac:dyDescent="0.4">
      <c r="D3698" s="2"/>
    </row>
    <row r="3699" spans="4:4" x14ac:dyDescent="0.4">
      <c r="D3699" s="2"/>
    </row>
    <row r="3700" spans="4:4" x14ac:dyDescent="0.4">
      <c r="D3700" s="2"/>
    </row>
    <row r="3701" spans="4:4" x14ac:dyDescent="0.4">
      <c r="D3701" s="2"/>
    </row>
    <row r="3702" spans="4:4" x14ac:dyDescent="0.4">
      <c r="D3702" s="2"/>
    </row>
    <row r="3703" spans="4:4" x14ac:dyDescent="0.4">
      <c r="D3703" s="2"/>
    </row>
    <row r="3704" spans="4:4" x14ac:dyDescent="0.4">
      <c r="D3704" s="2"/>
    </row>
    <row r="3705" spans="4:4" x14ac:dyDescent="0.4">
      <c r="D3705" s="2"/>
    </row>
    <row r="3706" spans="4:4" x14ac:dyDescent="0.4">
      <c r="D3706" s="2"/>
    </row>
    <row r="3707" spans="4:4" x14ac:dyDescent="0.4">
      <c r="D3707" s="2"/>
    </row>
    <row r="3708" spans="4:4" x14ac:dyDescent="0.4">
      <c r="D3708" s="2"/>
    </row>
    <row r="3709" spans="4:4" x14ac:dyDescent="0.4">
      <c r="D3709" s="2"/>
    </row>
    <row r="3710" spans="4:4" x14ac:dyDescent="0.4">
      <c r="D3710" s="2"/>
    </row>
    <row r="3711" spans="4:4" x14ac:dyDescent="0.4">
      <c r="D3711" s="2"/>
    </row>
    <row r="3712" spans="4:4" x14ac:dyDescent="0.4">
      <c r="D3712" s="2"/>
    </row>
    <row r="3713" spans="4:4" x14ac:dyDescent="0.4">
      <c r="D3713" s="2"/>
    </row>
    <row r="3714" spans="4:4" x14ac:dyDescent="0.4">
      <c r="D3714" s="2"/>
    </row>
    <row r="3715" spans="4:4" x14ac:dyDescent="0.4">
      <c r="D3715" s="2"/>
    </row>
    <row r="3716" spans="4:4" x14ac:dyDescent="0.4">
      <c r="D3716" s="2"/>
    </row>
    <row r="3717" spans="4:4" x14ac:dyDescent="0.4">
      <c r="D3717" s="2"/>
    </row>
    <row r="3718" spans="4:4" x14ac:dyDescent="0.4">
      <c r="D3718" s="2"/>
    </row>
    <row r="3719" spans="4:4" x14ac:dyDescent="0.4">
      <c r="D3719" s="2"/>
    </row>
    <row r="3720" spans="4:4" x14ac:dyDescent="0.4">
      <c r="D3720" s="2"/>
    </row>
    <row r="3721" spans="4:4" x14ac:dyDescent="0.4">
      <c r="D3721" s="2"/>
    </row>
    <row r="3722" spans="4:4" x14ac:dyDescent="0.4">
      <c r="D3722" s="2"/>
    </row>
    <row r="3723" spans="4:4" x14ac:dyDescent="0.4">
      <c r="D3723" s="2"/>
    </row>
    <row r="3724" spans="4:4" x14ac:dyDescent="0.4">
      <c r="D3724" s="2"/>
    </row>
    <row r="3725" spans="4:4" x14ac:dyDescent="0.4">
      <c r="D3725" s="2"/>
    </row>
    <row r="3726" spans="4:4" x14ac:dyDescent="0.4">
      <c r="D3726" s="2"/>
    </row>
    <row r="3727" spans="4:4" x14ac:dyDescent="0.4">
      <c r="D3727" s="2"/>
    </row>
    <row r="3728" spans="4:4" x14ac:dyDescent="0.4">
      <c r="D3728" s="2"/>
    </row>
    <row r="3729" spans="4:4" x14ac:dyDescent="0.4">
      <c r="D3729" s="2"/>
    </row>
    <row r="3730" spans="4:4" x14ac:dyDescent="0.4">
      <c r="D3730" s="2"/>
    </row>
    <row r="3731" spans="4:4" x14ac:dyDescent="0.4">
      <c r="D3731" s="2"/>
    </row>
    <row r="3732" spans="4:4" x14ac:dyDescent="0.4">
      <c r="D3732" s="2"/>
    </row>
    <row r="3733" spans="4:4" x14ac:dyDescent="0.4">
      <c r="D3733" s="2"/>
    </row>
    <row r="3734" spans="4:4" x14ac:dyDescent="0.4">
      <c r="D3734" s="2"/>
    </row>
    <row r="3735" spans="4:4" x14ac:dyDescent="0.4">
      <c r="D3735" s="2"/>
    </row>
    <row r="3736" spans="4:4" x14ac:dyDescent="0.4">
      <c r="D3736" s="2"/>
    </row>
    <row r="3737" spans="4:4" x14ac:dyDescent="0.4">
      <c r="D3737" s="2"/>
    </row>
    <row r="3738" spans="4:4" x14ac:dyDescent="0.4">
      <c r="D3738" s="2"/>
    </row>
    <row r="3739" spans="4:4" x14ac:dyDescent="0.4">
      <c r="D3739" s="2"/>
    </row>
    <row r="3740" spans="4:4" x14ac:dyDescent="0.4">
      <c r="D3740" s="2"/>
    </row>
    <row r="3741" spans="4:4" x14ac:dyDescent="0.4">
      <c r="D3741" s="2"/>
    </row>
    <row r="3742" spans="4:4" x14ac:dyDescent="0.4">
      <c r="D3742" s="2"/>
    </row>
    <row r="3743" spans="4:4" x14ac:dyDescent="0.4">
      <c r="D3743" s="2"/>
    </row>
    <row r="3744" spans="4:4" x14ac:dyDescent="0.4">
      <c r="D3744" s="2"/>
    </row>
    <row r="3745" spans="4:4" x14ac:dyDescent="0.4">
      <c r="D3745" s="2"/>
    </row>
    <row r="3746" spans="4:4" x14ac:dyDescent="0.4">
      <c r="D3746" s="2"/>
    </row>
    <row r="3747" spans="4:4" x14ac:dyDescent="0.4">
      <c r="D3747" s="2"/>
    </row>
    <row r="3748" spans="4:4" x14ac:dyDescent="0.4">
      <c r="D3748" s="2"/>
    </row>
    <row r="3749" spans="4:4" x14ac:dyDescent="0.4">
      <c r="D3749" s="2"/>
    </row>
    <row r="3750" spans="4:4" x14ac:dyDescent="0.4">
      <c r="D3750" s="2"/>
    </row>
    <row r="3751" spans="4:4" x14ac:dyDescent="0.4">
      <c r="D3751" s="2"/>
    </row>
    <row r="3752" spans="4:4" x14ac:dyDescent="0.4">
      <c r="D3752" s="2"/>
    </row>
    <row r="3753" spans="4:4" x14ac:dyDescent="0.4">
      <c r="D3753" s="2"/>
    </row>
    <row r="3754" spans="4:4" x14ac:dyDescent="0.4">
      <c r="D3754" s="2"/>
    </row>
    <row r="3755" spans="4:4" x14ac:dyDescent="0.4">
      <c r="D3755" s="2"/>
    </row>
    <row r="3756" spans="4:4" x14ac:dyDescent="0.4">
      <c r="D3756" s="2"/>
    </row>
    <row r="3757" spans="4:4" x14ac:dyDescent="0.4">
      <c r="D3757" s="2"/>
    </row>
    <row r="3758" spans="4:4" x14ac:dyDescent="0.4">
      <c r="D3758" s="2"/>
    </row>
    <row r="3761" spans="4:4" x14ac:dyDescent="0.4">
      <c r="D3761" s="2"/>
    </row>
  </sheetData>
  <autoFilter ref="A1:I1074" xr:uid="{46F783F1-693B-40FB-B54E-2CFAE0B1ADB5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keiri RES</dc:creator>
  <cp:lastModifiedBy>keiri RES</cp:lastModifiedBy>
  <dcterms:created xsi:type="dcterms:W3CDTF">2025-02-18T01:34:18Z</dcterms:created>
  <dcterms:modified xsi:type="dcterms:W3CDTF">2026-06-08T08:17:05Z</dcterms:modified>
</cp:coreProperties>
</file>