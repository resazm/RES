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359BC8B2-8AC6-4D2B-A400-E3458A2E117A}" xr6:coauthVersionLast="47" xr6:coauthVersionMax="47" xr10:uidLastSave="{00000000-0000-0000-0000-000000000000}"/>
  <bookViews>
    <workbookView xWindow="2790" yWindow="690" windowWidth="24240" windowHeight="14100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3" i="1" l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D756" i="1"/>
  <c r="E756" i="1" s="1"/>
  <c r="F756" i="1" s="1" a="1"/>
  <c r="F756" i="1" s="1"/>
  <c r="D757" i="1"/>
  <c r="E757" i="1" s="1"/>
  <c r="D758" i="1"/>
  <c r="E758" i="1" s="1"/>
  <c r="F758" i="1" s="1" a="1"/>
  <c r="F758" i="1" s="1"/>
  <c r="D759" i="1"/>
  <c r="E759" i="1" s="1"/>
  <c r="F759" i="1" s="1" a="1"/>
  <c r="F759" i="1" s="1"/>
  <c r="D760" i="1"/>
  <c r="E760" i="1" s="1"/>
  <c r="D761" i="1"/>
  <c r="E761" i="1" s="1"/>
  <c r="D762" i="1"/>
  <c r="E762" i="1" s="1"/>
  <c r="F762" i="1" s="1" a="1"/>
  <c r="F762" i="1" s="1"/>
  <c r="D763" i="1"/>
  <c r="E763" i="1" s="1"/>
  <c r="F763" i="1" s="1" a="1"/>
  <c r="F763" i="1" s="1"/>
  <c r="D764" i="1"/>
  <c r="E764" i="1" s="1"/>
  <c r="D765" i="1"/>
  <c r="E765" i="1" s="1"/>
  <c r="D766" i="1"/>
  <c r="E766" i="1" s="1"/>
  <c r="D767" i="1"/>
  <c r="E767" i="1" s="1"/>
  <c r="D768" i="1"/>
  <c r="E768" i="1" s="1"/>
  <c r="F768" i="1" s="1" a="1"/>
  <c r="F768" i="1" s="1"/>
  <c r="D769" i="1"/>
  <c r="E769" i="1" s="1"/>
  <c r="D770" i="1"/>
  <c r="E770" i="1" s="1"/>
  <c r="F770" i="1" s="1" a="1"/>
  <c r="F770" i="1" s="1"/>
  <c r="D771" i="1"/>
  <c r="E771" i="1" s="1"/>
  <c r="D772" i="1"/>
  <c r="E772" i="1" s="1"/>
  <c r="D773" i="1"/>
  <c r="E773" i="1" s="1"/>
  <c r="D774" i="1"/>
  <c r="E774" i="1" s="1"/>
  <c r="F774" i="1" s="1" a="1"/>
  <c r="F774" i="1" s="1"/>
  <c r="D775" i="1"/>
  <c r="E775" i="1" s="1"/>
  <c r="F775" i="1" s="1" a="1"/>
  <c r="F775" i="1" s="1"/>
  <c r="D776" i="1"/>
  <c r="E776" i="1" s="1"/>
  <c r="D777" i="1"/>
  <c r="E777" i="1" s="1"/>
  <c r="F777" i="1" s="1" a="1"/>
  <c r="F777" i="1" s="1"/>
  <c r="D778" i="1"/>
  <c r="E778" i="1" s="1"/>
  <c r="F778" i="1" s="1" a="1"/>
  <c r="F778" i="1" s="1"/>
  <c r="D779" i="1"/>
  <c r="E779" i="1" s="1"/>
  <c r="F779" i="1" s="1" a="1"/>
  <c r="F779" i="1" s="1"/>
  <c r="D780" i="1"/>
  <c r="E780" i="1" s="1"/>
  <c r="D781" i="1"/>
  <c r="E781" i="1" s="1"/>
  <c r="D782" i="1"/>
  <c r="E782" i="1" s="1"/>
  <c r="F782" i="1" s="1" a="1"/>
  <c r="F782" i="1" s="1"/>
  <c r="D783" i="1"/>
  <c r="E783" i="1" s="1"/>
  <c r="D784" i="1"/>
  <c r="E784" i="1" s="1"/>
  <c r="F784" i="1" s="1" a="1"/>
  <c r="F784" i="1" s="1"/>
  <c r="D785" i="1"/>
  <c r="E785" i="1" s="1"/>
  <c r="D786" i="1"/>
  <c r="E786" i="1" s="1"/>
  <c r="F786" i="1" s="1" a="1"/>
  <c r="F786" i="1" s="1"/>
  <c r="D787" i="1"/>
  <c r="E787" i="1" s="1"/>
  <c r="D788" i="1"/>
  <c r="E788" i="1" s="1"/>
  <c r="D789" i="1"/>
  <c r="E789" i="1" s="1"/>
  <c r="F789" i="1" s="1" a="1"/>
  <c r="F789" i="1" s="1"/>
  <c r="D790" i="1"/>
  <c r="E790" i="1" s="1"/>
  <c r="F790" i="1" s="1" a="1"/>
  <c r="F790" i="1" s="1"/>
  <c r="D791" i="1"/>
  <c r="E791" i="1" s="1"/>
  <c r="F791" i="1" s="1" a="1"/>
  <c r="F791" i="1" s="1"/>
  <c r="D792" i="1"/>
  <c r="E792" i="1" s="1"/>
  <c r="F792" i="1" s="1" a="1"/>
  <c r="F792" i="1" s="1"/>
  <c r="D793" i="1"/>
  <c r="E793" i="1" s="1"/>
  <c r="F793" i="1" s="1" a="1"/>
  <c r="F793" i="1" s="1"/>
  <c r="D794" i="1"/>
  <c r="E794" i="1" s="1"/>
  <c r="D795" i="1"/>
  <c r="E795" i="1" s="1"/>
  <c r="F795" i="1" s="1" a="1"/>
  <c r="F795" i="1" s="1"/>
  <c r="D796" i="1"/>
  <c r="E796" i="1" s="1"/>
  <c r="D797" i="1"/>
  <c r="E797" i="1" s="1"/>
  <c r="D798" i="1"/>
  <c r="E798" i="1" s="1"/>
  <c r="D799" i="1"/>
  <c r="E799" i="1" s="1"/>
  <c r="D800" i="1"/>
  <c r="E800" i="1" s="1"/>
  <c r="F800" i="1" s="1" a="1"/>
  <c r="F800" i="1" s="1"/>
  <c r="D801" i="1"/>
  <c r="E801" i="1" s="1"/>
  <c r="F801" i="1" s="1" a="1"/>
  <c r="F801" i="1" s="1"/>
  <c r="D802" i="1"/>
  <c r="E802" i="1" s="1"/>
  <c r="G802" i="1" s="1" a="1"/>
  <c r="G802" i="1" s="1"/>
  <c r="D803" i="1"/>
  <c r="E803" i="1" s="1"/>
  <c r="D804" i="1"/>
  <c r="E804" i="1" s="1"/>
  <c r="D805" i="1"/>
  <c r="E805" i="1" s="1"/>
  <c r="D806" i="1"/>
  <c r="E806" i="1" s="1"/>
  <c r="F806" i="1" s="1" a="1"/>
  <c r="F806" i="1" s="1"/>
  <c r="D807" i="1"/>
  <c r="E807" i="1" s="1"/>
  <c r="F807" i="1" s="1" a="1"/>
  <c r="F807" i="1" s="1"/>
  <c r="D808" i="1"/>
  <c r="E808" i="1" s="1"/>
  <c r="D809" i="1"/>
  <c r="E809" i="1" s="1"/>
  <c r="D810" i="1"/>
  <c r="E810" i="1" s="1"/>
  <c r="F810" i="1" s="1" a="1"/>
  <c r="F810" i="1" s="1"/>
  <c r="D811" i="1"/>
  <c r="E811" i="1" s="1"/>
  <c r="F811" i="1" s="1" a="1"/>
  <c r="F811" i="1" s="1"/>
  <c r="D812" i="1"/>
  <c r="E812" i="1" s="1"/>
  <c r="D813" i="1"/>
  <c r="E813" i="1" s="1"/>
  <c r="D814" i="1"/>
  <c r="E814" i="1" s="1"/>
  <c r="F814" i="1" s="1" a="1"/>
  <c r="F814" i="1" s="1"/>
  <c r="D815" i="1"/>
  <c r="E815" i="1" s="1"/>
  <c r="F815" i="1" s="1" a="1"/>
  <c r="F815" i="1" s="1"/>
  <c r="D816" i="1"/>
  <c r="E816" i="1" s="1"/>
  <c r="D817" i="1"/>
  <c r="E817" i="1" s="1"/>
  <c r="D818" i="1"/>
  <c r="E818" i="1" s="1"/>
  <c r="F818" i="1" s="1" a="1"/>
  <c r="F818" i="1" s="1"/>
  <c r="D819" i="1"/>
  <c r="E819" i="1" s="1"/>
  <c r="D820" i="1"/>
  <c r="E820" i="1" s="1"/>
  <c r="D821" i="1"/>
  <c r="E821" i="1" s="1"/>
  <c r="D822" i="1"/>
  <c r="E822" i="1" s="1"/>
  <c r="F822" i="1" s="1" a="1"/>
  <c r="F822" i="1" s="1"/>
  <c r="D823" i="1"/>
  <c r="E823" i="1" s="1"/>
  <c r="F823" i="1" s="1" a="1"/>
  <c r="F823" i="1" s="1"/>
  <c r="D824" i="1"/>
  <c r="E824" i="1" s="1"/>
  <c r="D825" i="1"/>
  <c r="E825" i="1" s="1"/>
  <c r="D826" i="1"/>
  <c r="E826" i="1" s="1"/>
  <c r="D827" i="1"/>
  <c r="E827" i="1" s="1"/>
  <c r="F827" i="1" s="1" a="1"/>
  <c r="F827" i="1" s="1"/>
  <c r="D828" i="1"/>
  <c r="E828" i="1" s="1"/>
  <c r="D829" i="1"/>
  <c r="E829" i="1" s="1"/>
  <c r="D830" i="1"/>
  <c r="E830" i="1" s="1"/>
  <c r="F830" i="1" s="1" a="1"/>
  <c r="F830" i="1" s="1"/>
  <c r="D831" i="1"/>
  <c r="E831" i="1" s="1"/>
  <c r="D832" i="1"/>
  <c r="E832" i="1" s="1"/>
  <c r="F832" i="1" s="1" a="1"/>
  <c r="F832" i="1" s="1"/>
  <c r="D833" i="1"/>
  <c r="E833" i="1" s="1"/>
  <c r="F833" i="1" s="1" a="1"/>
  <c r="F833" i="1" s="1"/>
  <c r="D834" i="1"/>
  <c r="E834" i="1" s="1"/>
  <c r="F834" i="1" s="1" a="1"/>
  <c r="F834" i="1" s="1"/>
  <c r="D835" i="1"/>
  <c r="E835" i="1" s="1"/>
  <c r="F835" i="1" s="1" a="1"/>
  <c r="F835" i="1" s="1"/>
  <c r="D836" i="1"/>
  <c r="E836" i="1" s="1"/>
  <c r="D837" i="1"/>
  <c r="E837" i="1" s="1"/>
  <c r="F837" i="1" s="1" a="1"/>
  <c r="F837" i="1" s="1"/>
  <c r="D838" i="1"/>
  <c r="E838" i="1" s="1"/>
  <c r="F838" i="1" s="1" a="1"/>
  <c r="F838" i="1" s="1"/>
  <c r="D839" i="1"/>
  <c r="E839" i="1" s="1"/>
  <c r="F839" i="1" s="1" a="1"/>
  <c r="F839" i="1" s="1"/>
  <c r="D840" i="1"/>
  <c r="E840" i="1" s="1"/>
  <c r="F840" i="1" s="1" a="1"/>
  <c r="F840" i="1" s="1"/>
  <c r="D841" i="1"/>
  <c r="E841" i="1" s="1"/>
  <c r="F841" i="1" s="1" a="1"/>
  <c r="F841" i="1" s="1"/>
  <c r="D842" i="1"/>
  <c r="E842" i="1" s="1"/>
  <c r="F842" i="1" s="1" a="1"/>
  <c r="F842" i="1" s="1"/>
  <c r="D843" i="1"/>
  <c r="E843" i="1" s="1"/>
  <c r="F843" i="1" s="1" a="1"/>
  <c r="F843" i="1" s="1"/>
  <c r="D844" i="1"/>
  <c r="E844" i="1" s="1"/>
  <c r="D845" i="1"/>
  <c r="E845" i="1" s="1"/>
  <c r="D846" i="1"/>
  <c r="E846" i="1" s="1"/>
  <c r="F846" i="1" s="1" a="1"/>
  <c r="F846" i="1" s="1"/>
  <c r="D847" i="1"/>
  <c r="E847" i="1" s="1"/>
  <c r="D848" i="1"/>
  <c r="E848" i="1" s="1"/>
  <c r="F848" i="1" s="1" a="1"/>
  <c r="F848" i="1" s="1"/>
  <c r="D849" i="1"/>
  <c r="E849" i="1" s="1"/>
  <c r="F849" i="1" s="1" a="1"/>
  <c r="F849" i="1" s="1"/>
  <c r="D850" i="1"/>
  <c r="E850" i="1" s="1"/>
  <c r="D851" i="1"/>
  <c r="E851" i="1" s="1"/>
  <c r="F851" i="1" s="1" a="1"/>
  <c r="F851" i="1" s="1"/>
  <c r="D852" i="1"/>
  <c r="E852" i="1" s="1"/>
  <c r="D853" i="1"/>
  <c r="E853" i="1" s="1"/>
  <c r="D854" i="1"/>
  <c r="E854" i="1" s="1"/>
  <c r="F854" i="1" s="1" a="1"/>
  <c r="F854" i="1" s="1"/>
  <c r="D855" i="1"/>
  <c r="E855" i="1" s="1"/>
  <c r="F855" i="1" s="1" a="1"/>
  <c r="F855" i="1" s="1"/>
  <c r="D856" i="1"/>
  <c r="E856" i="1" s="1"/>
  <c r="F856" i="1" s="1" a="1"/>
  <c r="F856" i="1" s="1"/>
  <c r="D857" i="1"/>
  <c r="E857" i="1" s="1"/>
  <c r="G857" i="1" s="1" a="1"/>
  <c r="G857" i="1" s="1"/>
  <c r="D858" i="1"/>
  <c r="E858" i="1" s="1"/>
  <c r="D859" i="1"/>
  <c r="E859" i="1" s="1"/>
  <c r="F859" i="1" s="1" a="1"/>
  <c r="F859" i="1" s="1"/>
  <c r="D860" i="1"/>
  <c r="E860" i="1" s="1"/>
  <c r="F860" i="1" s="1" a="1"/>
  <c r="F860" i="1" s="1"/>
  <c r="D861" i="1"/>
  <c r="E861" i="1" s="1"/>
  <c r="D862" i="1"/>
  <c r="E862" i="1" s="1"/>
  <c r="D863" i="1"/>
  <c r="E863" i="1" s="1"/>
  <c r="F863" i="1" s="1" a="1"/>
  <c r="F863" i="1" s="1"/>
  <c r="D864" i="1"/>
  <c r="E864" i="1" s="1"/>
  <c r="F864" i="1" s="1" a="1"/>
  <c r="F864" i="1" s="1"/>
  <c r="D865" i="1"/>
  <c r="E865" i="1" s="1"/>
  <c r="D866" i="1"/>
  <c r="E866" i="1" s="1"/>
  <c r="D867" i="1"/>
  <c r="E867" i="1" s="1"/>
  <c r="F867" i="1" s="1" a="1"/>
  <c r="F867" i="1" s="1"/>
  <c r="D868" i="1"/>
  <c r="E868" i="1" s="1"/>
  <c r="D869" i="1"/>
  <c r="E869" i="1" s="1"/>
  <c r="F869" i="1" s="1" a="1"/>
  <c r="F869" i="1" s="1"/>
  <c r="D870" i="1"/>
  <c r="E870" i="1" s="1"/>
  <c r="D871" i="1"/>
  <c r="E871" i="1" s="1"/>
  <c r="F871" i="1" s="1" a="1"/>
  <c r="F871" i="1" s="1"/>
  <c r="D872" i="1"/>
  <c r="E872" i="1" s="1"/>
  <c r="F872" i="1" s="1" a="1"/>
  <c r="F872" i="1" s="1"/>
  <c r="D873" i="1"/>
  <c r="E873" i="1" s="1"/>
  <c r="F873" i="1" s="1" a="1"/>
  <c r="F873" i="1" s="1"/>
  <c r="D874" i="1"/>
  <c r="E874" i="1" s="1"/>
  <c r="F874" i="1" s="1" a="1"/>
  <c r="F874" i="1" s="1"/>
  <c r="D875" i="1"/>
  <c r="E875" i="1" s="1"/>
  <c r="F875" i="1" s="1" a="1"/>
  <c r="F875" i="1" s="1"/>
  <c r="D876" i="1"/>
  <c r="E876" i="1" s="1"/>
  <c r="F876" i="1" s="1" a="1"/>
  <c r="F876" i="1" s="1"/>
  <c r="D877" i="1"/>
  <c r="E877" i="1" s="1"/>
  <c r="F877" i="1" s="1" a="1"/>
  <c r="F877" i="1" s="1"/>
  <c r="D878" i="1"/>
  <c r="E878" i="1" s="1"/>
  <c r="F878" i="1" s="1" a="1"/>
  <c r="F878" i="1" s="1"/>
  <c r="D879" i="1"/>
  <c r="E879" i="1" s="1"/>
  <c r="D880" i="1"/>
  <c r="E880" i="1" s="1"/>
  <c r="F880" i="1" s="1" a="1"/>
  <c r="F880" i="1" s="1"/>
  <c r="D881" i="1"/>
  <c r="E881" i="1" s="1"/>
  <c r="F881" i="1" s="1" a="1"/>
  <c r="F881" i="1" s="1"/>
  <c r="D882" i="1"/>
  <c r="E882" i="1" s="1"/>
  <c r="F882" i="1" s="1" a="1"/>
  <c r="F882" i="1" s="1"/>
  <c r="D883" i="1"/>
  <c r="E883" i="1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F802" i="1" l="1" a="1"/>
  <c r="F802" i="1" s="1"/>
  <c r="F850" i="1" a="1"/>
  <c r="F850" i="1" s="1"/>
  <c r="G850" i="1" a="1"/>
  <c r="G850" i="1" s="1"/>
  <c r="F803" i="1" a="1"/>
  <c r="F803" i="1" s="1"/>
  <c r="G803" i="1" a="1"/>
  <c r="G803" i="1" s="1"/>
  <c r="F780" i="1" a="1"/>
  <c r="F780" i="1" s="1"/>
  <c r="G780" i="1" a="1"/>
  <c r="G780" i="1" s="1"/>
  <c r="F767" i="1" a="1"/>
  <c r="F767" i="1" s="1"/>
  <c r="G767" i="1" a="1"/>
  <c r="G767" i="1" s="1"/>
  <c r="F829" i="1" a="1"/>
  <c r="F829" i="1" s="1"/>
  <c r="G829" i="1" a="1"/>
  <c r="G829" i="1" s="1"/>
  <c r="F816" i="1" a="1"/>
  <c r="F816" i="1" s="1"/>
  <c r="G816" i="1" a="1"/>
  <c r="G816" i="1" s="1"/>
  <c r="F828" i="1" a="1"/>
  <c r="F828" i="1" s="1"/>
  <c r="G828" i="1" a="1"/>
  <c r="G828" i="1" s="1"/>
  <c r="F861" i="1" a="1"/>
  <c r="F861" i="1" s="1"/>
  <c r="G861" i="1" a="1"/>
  <c r="G861" i="1" s="1"/>
  <c r="F870" i="1" a="1"/>
  <c r="F870" i="1" s="1"/>
  <c r="G870" i="1" a="1"/>
  <c r="G870" i="1" s="1"/>
  <c r="F858" i="1" a="1"/>
  <c r="F858" i="1" s="1"/>
  <c r="G858" i="1" a="1"/>
  <c r="G858" i="1" s="1"/>
  <c r="F826" i="1" a="1"/>
  <c r="F826" i="1" s="1"/>
  <c r="G826" i="1" a="1"/>
  <c r="G826" i="1" s="1"/>
  <c r="F766" i="1" a="1"/>
  <c r="F766" i="1" s="1"/>
  <c r="G766" i="1" a="1"/>
  <c r="G766" i="1" s="1"/>
  <c r="F825" i="1" a="1"/>
  <c r="F825" i="1" s="1"/>
  <c r="G825" i="1" a="1"/>
  <c r="G825" i="1" s="1"/>
  <c r="F765" i="1" a="1"/>
  <c r="F765" i="1" s="1"/>
  <c r="G765" i="1" a="1"/>
  <c r="G765" i="1" s="1"/>
  <c r="F879" i="1" a="1"/>
  <c r="F879" i="1" s="1"/>
  <c r="G879" i="1" a="1"/>
  <c r="G879" i="1" s="1"/>
  <c r="G836" i="1" a="1"/>
  <c r="G836" i="1" s="1"/>
  <c r="F836" i="1" a="1"/>
  <c r="F836" i="1" s="1"/>
  <c r="F824" i="1" a="1"/>
  <c r="F824" i="1" s="1"/>
  <c r="G824" i="1" a="1"/>
  <c r="G824" i="1" s="1"/>
  <c r="F813" i="1" a="1"/>
  <c r="F813" i="1" s="1"/>
  <c r="G813" i="1" a="1"/>
  <c r="G813" i="1" s="1"/>
  <c r="F776" i="1" a="1"/>
  <c r="F776" i="1" s="1"/>
  <c r="G776" i="1" a="1"/>
  <c r="G776" i="1" s="1"/>
  <c r="F764" i="1" a="1"/>
  <c r="F764" i="1" s="1"/>
  <c r="G764" i="1" a="1"/>
  <c r="G764" i="1" s="1"/>
  <c r="F868" i="1" a="1"/>
  <c r="F868" i="1" s="1"/>
  <c r="G868" i="1" a="1"/>
  <c r="G868" i="1" s="1"/>
  <c r="F812" i="1" a="1"/>
  <c r="F812" i="1" s="1"/>
  <c r="G812" i="1" a="1"/>
  <c r="G812" i="1" s="1"/>
  <c r="F847" i="1" a="1"/>
  <c r="F847" i="1" s="1"/>
  <c r="G847" i="1" a="1"/>
  <c r="G847" i="1" s="1"/>
  <c r="F799" i="1" a="1"/>
  <c r="F799" i="1" s="1"/>
  <c r="G799" i="1" a="1"/>
  <c r="G799" i="1" s="1"/>
  <c r="F788" i="1" a="1"/>
  <c r="F788" i="1" s="1"/>
  <c r="G788" i="1" a="1"/>
  <c r="G788" i="1" s="1"/>
  <c r="F866" i="1" a="1"/>
  <c r="F866" i="1" s="1"/>
  <c r="G866" i="1" a="1"/>
  <c r="G866" i="1" s="1"/>
  <c r="F845" i="1" a="1"/>
  <c r="F845" i="1" s="1"/>
  <c r="G845" i="1" a="1"/>
  <c r="G845" i="1" s="1"/>
  <c r="F798" i="1" a="1"/>
  <c r="F798" i="1" s="1"/>
  <c r="G798" i="1" a="1"/>
  <c r="G798" i="1" s="1"/>
  <c r="F787" i="1" a="1"/>
  <c r="F787" i="1" s="1"/>
  <c r="G787" i="1" a="1"/>
  <c r="G787" i="1" s="1"/>
  <c r="F773" i="1" a="1"/>
  <c r="F773" i="1" s="1"/>
  <c r="G773" i="1" a="1"/>
  <c r="G773" i="1" s="1"/>
  <c r="F761" i="1" a="1"/>
  <c r="F761" i="1" s="1"/>
  <c r="G761" i="1" a="1"/>
  <c r="G761" i="1" s="1"/>
  <c r="F865" i="1" a="1"/>
  <c r="F865" i="1" s="1"/>
  <c r="G865" i="1" a="1"/>
  <c r="G865" i="1" s="1"/>
  <c r="F808" i="1" a="1"/>
  <c r="F808" i="1" s="1"/>
  <c r="G808" i="1" a="1"/>
  <c r="G808" i="1" s="1"/>
  <c r="F760" i="1" a="1"/>
  <c r="F760" i="1" s="1"/>
  <c r="G760" i="1" a="1"/>
  <c r="G760" i="1" s="1"/>
  <c r="F844" i="1" a="1"/>
  <c r="F844" i="1" s="1"/>
  <c r="G844" i="1" a="1"/>
  <c r="G844" i="1" s="1"/>
  <c r="F809" i="1" a="1"/>
  <c r="F809" i="1" s="1"/>
  <c r="G809" i="1" a="1"/>
  <c r="G809" i="1" s="1"/>
  <c r="F797" i="1" a="1"/>
  <c r="F797" i="1" s="1"/>
  <c r="G797" i="1" a="1"/>
  <c r="G797" i="1" s="1"/>
  <c r="F820" i="1" a="1"/>
  <c r="F820" i="1" s="1"/>
  <c r="G820" i="1" a="1"/>
  <c r="G820" i="1" s="1"/>
  <c r="F785" i="1" a="1"/>
  <c r="F785" i="1" s="1"/>
  <c r="G785" i="1" a="1"/>
  <c r="G785" i="1" s="1"/>
  <c r="F772" i="1" a="1"/>
  <c r="F772" i="1" s="1"/>
  <c r="G772" i="1" a="1"/>
  <c r="G772" i="1" s="1"/>
  <c r="F796" i="1" a="1"/>
  <c r="F796" i="1" s="1"/>
  <c r="G796" i="1" a="1"/>
  <c r="G796" i="1" s="1"/>
  <c r="F819" i="1" a="1"/>
  <c r="F819" i="1" s="1"/>
  <c r="G819" i="1" a="1"/>
  <c r="G819" i="1" s="1"/>
  <c r="F783" i="1" a="1"/>
  <c r="F783" i="1" s="1"/>
  <c r="G783" i="1" a="1"/>
  <c r="G783" i="1" s="1"/>
  <c r="F771" i="1" a="1"/>
  <c r="F771" i="1" s="1"/>
  <c r="G771" i="1" a="1"/>
  <c r="G771" i="1" s="1"/>
  <c r="F821" i="1" a="1"/>
  <c r="F821" i="1" s="1"/>
  <c r="G821" i="1" a="1"/>
  <c r="G821" i="1" s="1"/>
  <c r="F853" i="1" a="1"/>
  <c r="F853" i="1" s="1"/>
  <c r="G853" i="1" a="1"/>
  <c r="G853" i="1" s="1"/>
  <c r="F831" i="1" a="1"/>
  <c r="F831" i="1" s="1"/>
  <c r="G831" i="1" a="1"/>
  <c r="G831" i="1" s="1"/>
  <c r="F805" i="1" a="1"/>
  <c r="F805" i="1" s="1"/>
  <c r="G805" i="1" a="1"/>
  <c r="G805" i="1" s="1"/>
  <c r="F794" i="1" a="1"/>
  <c r="F794" i="1" s="1"/>
  <c r="G794" i="1" a="1"/>
  <c r="G794" i="1" s="1"/>
  <c r="F852" i="1" a="1"/>
  <c r="F852" i="1" s="1"/>
  <c r="G852" i="1" a="1"/>
  <c r="G852" i="1" s="1"/>
  <c r="G804" i="1" a="1"/>
  <c r="G804" i="1" s="1"/>
  <c r="F804" i="1" a="1"/>
  <c r="F804" i="1" s="1"/>
  <c r="F757" i="1" a="1"/>
  <c r="F757" i="1" s="1"/>
  <c r="G757" i="1" a="1"/>
  <c r="G757" i="1" s="1"/>
  <c r="F817" i="1" a="1"/>
  <c r="F817" i="1" s="1"/>
  <c r="G817" i="1" a="1"/>
  <c r="G817" i="1" s="1"/>
  <c r="F769" i="1" a="1"/>
  <c r="F769" i="1" s="1"/>
  <c r="G769" i="1" a="1"/>
  <c r="G769" i="1" s="1"/>
  <c r="F883" i="1" a="1"/>
  <c r="F883" i="1" s="1"/>
  <c r="G883" i="1" a="1"/>
  <c r="G883" i="1" s="1"/>
  <c r="F862" i="1" a="1"/>
  <c r="F862" i="1" s="1"/>
  <c r="G862" i="1" a="1"/>
  <c r="G862" i="1" s="1"/>
  <c r="F781" i="1" a="1"/>
  <c r="F781" i="1" s="1"/>
  <c r="G781" i="1" a="1"/>
  <c r="G781" i="1" s="1"/>
  <c r="F857" i="1" a="1"/>
  <c r="F857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D256" i="1"/>
  <c r="E256" i="1" s="1"/>
  <c r="D257" i="1"/>
  <c r="E257" i="1" s="1"/>
  <c r="D258" i="1"/>
  <c r="E258" i="1" s="1"/>
  <c r="F258" i="1" s="1" a="1"/>
  <c r="F258" i="1" s="1"/>
  <c r="D259" i="1"/>
  <c r="E259" i="1" s="1"/>
  <c r="D260" i="1"/>
  <c r="E260" i="1" s="1"/>
  <c r="F260" i="1" s="1" a="1"/>
  <c r="F260" i="1" s="1"/>
  <c r="D261" i="1"/>
  <c r="E261" i="1" s="1"/>
  <c r="G261" i="1" s="1" a="1"/>
  <c r="G261" i="1" s="1"/>
  <c r="D262" i="1"/>
  <c r="E262" i="1" s="1"/>
  <c r="D263" i="1"/>
  <c r="E263" i="1" s="1"/>
  <c r="D264" i="1"/>
  <c r="E264" i="1" s="1"/>
  <c r="G264" i="1" s="1" a="1"/>
  <c r="G264" i="1" s="1"/>
  <c r="D265" i="1"/>
  <c r="E265" i="1" s="1"/>
  <c r="D266" i="1"/>
  <c r="E266" i="1" s="1"/>
  <c r="D267" i="1"/>
  <c r="E267" i="1" s="1"/>
  <c r="F267" i="1" s="1" a="1"/>
  <c r="F267" i="1" s="1"/>
  <c r="D268" i="1"/>
  <c r="E268" i="1" s="1"/>
  <c r="D269" i="1"/>
  <c r="E269" i="1" s="1"/>
  <c r="D270" i="1"/>
  <c r="E270" i="1" s="1"/>
  <c r="D271" i="1"/>
  <c r="E271" i="1" s="1"/>
  <c r="D272" i="1"/>
  <c r="E272" i="1" s="1"/>
  <c r="G272" i="1" s="1" a="1"/>
  <c r="G272" i="1" s="1"/>
  <c r="D273" i="1"/>
  <c r="E273" i="1" s="1"/>
  <c r="G273" i="1" s="1" a="1"/>
  <c r="G273" i="1" s="1"/>
  <c r="D274" i="1"/>
  <c r="E274" i="1" s="1"/>
  <c r="G274" i="1" s="1" a="1"/>
  <c r="G274" i="1" s="1"/>
  <c r="D275" i="1"/>
  <c r="E275" i="1" s="1"/>
  <c r="D276" i="1"/>
  <c r="E276" i="1" s="1"/>
  <c r="G276" i="1" s="1" a="1"/>
  <c r="G276" i="1" s="1"/>
  <c r="D277" i="1"/>
  <c r="E277" i="1" s="1"/>
  <c r="F277" i="1" s="1" a="1"/>
  <c r="F277" i="1" s="1"/>
  <c r="D278" i="1"/>
  <c r="E278" i="1" s="1"/>
  <c r="D279" i="1"/>
  <c r="E279" i="1" s="1"/>
  <c r="G279" i="1" s="1" a="1"/>
  <c r="G279" i="1" s="1"/>
  <c r="D280" i="1"/>
  <c r="E280" i="1" s="1"/>
  <c r="D281" i="1"/>
  <c r="E281" i="1" s="1"/>
  <c r="G281" i="1" s="1" a="1"/>
  <c r="G281" i="1" s="1"/>
  <c r="D282" i="1"/>
  <c r="E282" i="1" s="1"/>
  <c r="D283" i="1"/>
  <c r="E283" i="1" s="1"/>
  <c r="F283" i="1" s="1" a="1"/>
  <c r="F283" i="1" s="1"/>
  <c r="D284" i="1"/>
  <c r="E284" i="1" s="1"/>
  <c r="G284" i="1" s="1" a="1"/>
  <c r="G284" i="1" s="1"/>
  <c r="D285" i="1"/>
  <c r="E285" i="1" s="1"/>
  <c r="F285" i="1" s="1" a="1"/>
  <c r="F285" i="1" s="1"/>
  <c r="D286" i="1"/>
  <c r="E286" i="1" s="1"/>
  <c r="G286" i="1" s="1" a="1"/>
  <c r="G286" i="1" s="1"/>
  <c r="D287" i="1"/>
  <c r="E287" i="1" s="1"/>
  <c r="G287" i="1" s="1" a="1"/>
  <c r="G287" i="1" s="1"/>
  <c r="D288" i="1"/>
  <c r="E288" i="1" s="1"/>
  <c r="F288" i="1" s="1" a="1"/>
  <c r="F288" i="1" s="1"/>
  <c r="D289" i="1"/>
  <c r="E289" i="1" s="1"/>
  <c r="D290" i="1"/>
  <c r="E290" i="1" s="1"/>
  <c r="D291" i="1"/>
  <c r="E291" i="1" s="1"/>
  <c r="G291" i="1" s="1" a="1"/>
  <c r="G291" i="1" s="1"/>
  <c r="D292" i="1"/>
  <c r="E292" i="1" s="1"/>
  <c r="F292" i="1" s="1" a="1"/>
  <c r="F292" i="1" s="1"/>
  <c r="D293" i="1"/>
  <c r="E293" i="1" s="1"/>
  <c r="D294" i="1"/>
  <c r="E294" i="1" s="1"/>
  <c r="D295" i="1"/>
  <c r="E295" i="1" s="1"/>
  <c r="F295" i="1" s="1" a="1"/>
  <c r="F295" i="1" s="1"/>
  <c r="D296" i="1"/>
  <c r="E296" i="1" s="1"/>
  <c r="D297" i="1"/>
  <c r="E297" i="1" s="1"/>
  <c r="D298" i="1"/>
  <c r="E298" i="1" s="1"/>
  <c r="D299" i="1"/>
  <c r="E299" i="1" s="1"/>
  <c r="D300" i="1"/>
  <c r="E300" i="1" s="1"/>
  <c r="D301" i="1"/>
  <c r="E301" i="1" s="1"/>
  <c r="F301" i="1" s="1" a="1"/>
  <c r="F301" i="1" s="1"/>
  <c r="D302" i="1"/>
  <c r="E302" i="1" s="1"/>
  <c r="G302" i="1" s="1" a="1"/>
  <c r="G302" i="1" s="1"/>
  <c r="D303" i="1"/>
  <c r="E303" i="1" s="1"/>
  <c r="D304" i="1"/>
  <c r="E304" i="1" s="1"/>
  <c r="D305" i="1"/>
  <c r="E305" i="1" s="1"/>
  <c r="G305" i="1" s="1" a="1"/>
  <c r="G305" i="1" s="1"/>
  <c r="D306" i="1"/>
  <c r="E306" i="1" s="1"/>
  <c r="G306" i="1" s="1" a="1"/>
  <c r="G306" i="1" s="1"/>
  <c r="D307" i="1"/>
  <c r="E307" i="1" s="1"/>
  <c r="F307" i="1" s="1" a="1"/>
  <c r="F307" i="1" s="1"/>
  <c r="D308" i="1"/>
  <c r="E308" i="1" s="1"/>
  <c r="D309" i="1"/>
  <c r="E309" i="1" s="1"/>
  <c r="D310" i="1"/>
  <c r="E310" i="1" s="1"/>
  <c r="F310" i="1" s="1" a="1"/>
  <c r="F310" i="1" s="1"/>
  <c r="D311" i="1"/>
  <c r="E311" i="1" s="1"/>
  <c r="D312" i="1"/>
  <c r="E312" i="1" s="1"/>
  <c r="D313" i="1"/>
  <c r="E313" i="1" s="1"/>
  <c r="D314" i="1"/>
  <c r="E314" i="1" s="1"/>
  <c r="D315" i="1"/>
  <c r="E315" i="1" s="1"/>
  <c r="D316" i="1"/>
  <c r="E316" i="1" s="1"/>
  <c r="D317" i="1"/>
  <c r="E317" i="1" s="1"/>
  <c r="D318" i="1"/>
  <c r="E318" i="1" s="1"/>
  <c r="D319" i="1"/>
  <c r="E319" i="1" s="1"/>
  <c r="D320" i="1"/>
  <c r="E320" i="1" s="1"/>
  <c r="F320" i="1" s="1" a="1"/>
  <c r="F320" i="1" s="1"/>
  <c r="D321" i="1"/>
  <c r="E321" i="1" s="1"/>
  <c r="G321" i="1" s="1" a="1"/>
  <c r="G321" i="1" s="1"/>
  <c r="D322" i="1"/>
  <c r="E322" i="1" s="1"/>
  <c r="F322" i="1" s="1" a="1"/>
  <c r="F322" i="1" s="1"/>
  <c r="D323" i="1"/>
  <c r="E323" i="1" s="1"/>
  <c r="D324" i="1"/>
  <c r="E324" i="1" s="1"/>
  <c r="G324" i="1" s="1" a="1"/>
  <c r="G324" i="1" s="1"/>
  <c r="D325" i="1"/>
  <c r="E325" i="1" s="1"/>
  <c r="F325" i="1" s="1" a="1"/>
  <c r="F325" i="1" s="1"/>
  <c r="D326" i="1"/>
  <c r="E326" i="1" s="1"/>
  <c r="D327" i="1"/>
  <c r="E327" i="1" s="1"/>
  <c r="D328" i="1"/>
  <c r="E328" i="1" s="1"/>
  <c r="D329" i="1"/>
  <c r="E329" i="1" s="1"/>
  <c r="D330" i="1"/>
  <c r="E330" i="1" s="1"/>
  <c r="D331" i="1"/>
  <c r="E331" i="1" s="1"/>
  <c r="D332" i="1"/>
  <c r="E332" i="1" s="1"/>
  <c r="G332" i="1" s="1" a="1"/>
  <c r="G332" i="1" s="1"/>
  <c r="D333" i="1"/>
  <c r="E333" i="1" s="1"/>
  <c r="D334" i="1"/>
  <c r="E334" i="1" s="1"/>
  <c r="D335" i="1"/>
  <c r="E335" i="1" s="1"/>
  <c r="G335" i="1" s="1" a="1"/>
  <c r="G335" i="1" s="1"/>
  <c r="D336" i="1"/>
  <c r="E336" i="1" s="1"/>
  <c r="F336" i="1" s="1" a="1"/>
  <c r="F336" i="1" s="1"/>
  <c r="D337" i="1"/>
  <c r="E337" i="1" s="1"/>
  <c r="F337" i="1" s="1" a="1"/>
  <c r="F337" i="1" s="1"/>
  <c r="D338" i="1"/>
  <c r="E338" i="1" s="1"/>
  <c r="G338" i="1" s="1" a="1"/>
  <c r="G338" i="1" s="1"/>
  <c r="D339" i="1"/>
  <c r="E339" i="1" s="1"/>
  <c r="D340" i="1"/>
  <c r="E340" i="1" s="1"/>
  <c r="F340" i="1" s="1" a="1"/>
  <c r="F340" i="1" s="1"/>
  <c r="D341" i="1"/>
  <c r="E341" i="1" s="1"/>
  <c r="F341" i="1" s="1" a="1"/>
  <c r="F341" i="1" s="1"/>
  <c r="D342" i="1"/>
  <c r="E342" i="1" s="1"/>
  <c r="D343" i="1"/>
  <c r="E343" i="1" s="1"/>
  <c r="F343" i="1" s="1" a="1"/>
  <c r="F343" i="1" s="1"/>
  <c r="D344" i="1"/>
  <c r="E344" i="1" s="1"/>
  <c r="G344" i="1" s="1" a="1"/>
  <c r="G344" i="1" s="1"/>
  <c r="D345" i="1"/>
  <c r="E345" i="1" s="1"/>
  <c r="D346" i="1"/>
  <c r="E346" i="1" s="1"/>
  <c r="D347" i="1"/>
  <c r="E347" i="1" s="1"/>
  <c r="D348" i="1"/>
  <c r="E348" i="1" s="1"/>
  <c r="G348" i="1" s="1" a="1"/>
  <c r="G348" i="1" s="1"/>
  <c r="D349" i="1"/>
  <c r="E349" i="1" s="1"/>
  <c r="D350" i="1"/>
  <c r="E350" i="1" s="1"/>
  <c r="D351" i="1"/>
  <c r="E351" i="1" s="1"/>
  <c r="D352" i="1"/>
  <c r="E352" i="1" s="1"/>
  <c r="D353" i="1"/>
  <c r="E353" i="1" s="1"/>
  <c r="D354" i="1"/>
  <c r="E354" i="1" s="1"/>
  <c r="D355" i="1"/>
  <c r="E355" i="1" s="1"/>
  <c r="D356" i="1"/>
  <c r="E356" i="1" s="1"/>
  <c r="D357" i="1"/>
  <c r="E357" i="1" s="1"/>
  <c r="F357" i="1" s="1" a="1"/>
  <c r="F357" i="1" s="1"/>
  <c r="D358" i="1"/>
  <c r="E358" i="1" s="1"/>
  <c r="D359" i="1"/>
  <c r="E359" i="1" s="1"/>
  <c r="D360" i="1"/>
  <c r="E360" i="1" s="1"/>
  <c r="F360" i="1" s="1" a="1"/>
  <c r="F360" i="1" s="1"/>
  <c r="D361" i="1"/>
  <c r="E361" i="1" s="1"/>
  <c r="G361" i="1" s="1" a="1"/>
  <c r="G361" i="1" s="1"/>
  <c r="D362" i="1"/>
  <c r="E362" i="1" s="1"/>
  <c r="D363" i="1"/>
  <c r="E363" i="1" s="1"/>
  <c r="D364" i="1"/>
  <c r="E364" i="1" s="1"/>
  <c r="D365" i="1"/>
  <c r="E365" i="1" s="1"/>
  <c r="G365" i="1" s="1" a="1"/>
  <c r="G365" i="1" s="1"/>
  <c r="D366" i="1"/>
  <c r="E366" i="1" s="1"/>
  <c r="F366" i="1" s="1" a="1"/>
  <c r="F366" i="1" s="1"/>
  <c r="D367" i="1"/>
  <c r="E367" i="1" s="1"/>
  <c r="D368" i="1"/>
  <c r="E368" i="1" s="1"/>
  <c r="F368" i="1" s="1" a="1"/>
  <c r="F368" i="1" s="1"/>
  <c r="D369" i="1"/>
  <c r="E369" i="1" s="1"/>
  <c r="D370" i="1"/>
  <c r="E370" i="1" s="1"/>
  <c r="D371" i="1"/>
  <c r="E371" i="1" s="1"/>
  <c r="D372" i="1"/>
  <c r="E372" i="1" s="1"/>
  <c r="D373" i="1"/>
  <c r="E373" i="1" s="1"/>
  <c r="F373" i="1" s="1" a="1"/>
  <c r="F373" i="1" s="1"/>
  <c r="D374" i="1"/>
  <c r="E374" i="1" s="1"/>
  <c r="D375" i="1"/>
  <c r="E375" i="1" s="1"/>
  <c r="D376" i="1"/>
  <c r="E376" i="1" s="1"/>
  <c r="F376" i="1" s="1" a="1"/>
  <c r="F376" i="1" s="1"/>
  <c r="D377" i="1"/>
  <c r="E377" i="1" s="1"/>
  <c r="F377" i="1" s="1" a="1"/>
  <c r="F377" i="1" s="1"/>
  <c r="D378" i="1"/>
  <c r="E378" i="1" s="1"/>
  <c r="G378" i="1" s="1" a="1"/>
  <c r="G378" i="1" s="1"/>
  <c r="D379" i="1"/>
  <c r="E379" i="1" s="1"/>
  <c r="D380" i="1"/>
  <c r="E380" i="1" s="1"/>
  <c r="F380" i="1" s="1" a="1"/>
  <c r="F380" i="1" s="1"/>
  <c r="D381" i="1"/>
  <c r="E381" i="1" s="1"/>
  <c r="D382" i="1"/>
  <c r="E382" i="1" s="1"/>
  <c r="F382" i="1" s="1" a="1"/>
  <c r="F382" i="1" s="1"/>
  <c r="D383" i="1"/>
  <c r="E383" i="1" s="1"/>
  <c r="G383" i="1" s="1" a="1"/>
  <c r="G383" i="1" s="1"/>
  <c r="D384" i="1"/>
  <c r="E384" i="1" s="1"/>
  <c r="F384" i="1" s="1" a="1"/>
  <c r="F384" i="1" s="1"/>
  <c r="D385" i="1"/>
  <c r="E385" i="1" s="1"/>
  <c r="G385" i="1" s="1" a="1"/>
  <c r="G385" i="1" s="1"/>
  <c r="D386" i="1"/>
  <c r="E386" i="1" s="1"/>
  <c r="D387" i="1"/>
  <c r="E387" i="1" s="1"/>
  <c r="D388" i="1"/>
  <c r="E388" i="1" s="1"/>
  <c r="D389" i="1"/>
  <c r="E389" i="1" s="1"/>
  <c r="G389" i="1" s="1" a="1"/>
  <c r="G389" i="1" s="1"/>
  <c r="D390" i="1"/>
  <c r="E390" i="1" s="1"/>
  <c r="D391" i="1"/>
  <c r="E391" i="1" s="1"/>
  <c r="D392" i="1"/>
  <c r="E392" i="1" s="1"/>
  <c r="F392" i="1" s="1" a="1"/>
  <c r="F392" i="1" s="1"/>
  <c r="D393" i="1"/>
  <c r="E393" i="1" s="1"/>
  <c r="D394" i="1"/>
  <c r="E394" i="1" s="1"/>
  <c r="F394" i="1" s="1" a="1"/>
  <c r="F394" i="1" s="1"/>
  <c r="D395" i="1"/>
  <c r="E395" i="1" s="1"/>
  <c r="F395" i="1" s="1" a="1"/>
  <c r="F395" i="1" s="1"/>
  <c r="D396" i="1"/>
  <c r="E396" i="1" s="1"/>
  <c r="D397" i="1"/>
  <c r="E397" i="1" s="1"/>
  <c r="D398" i="1"/>
  <c r="E398" i="1" s="1"/>
  <c r="G398" i="1" s="1" a="1"/>
  <c r="G398" i="1" s="1"/>
  <c r="D399" i="1"/>
  <c r="E399" i="1" s="1"/>
  <c r="G399" i="1" s="1" a="1"/>
  <c r="G399" i="1" s="1"/>
  <c r="D400" i="1"/>
  <c r="E400" i="1" s="1"/>
  <c r="F400" i="1" s="1" a="1"/>
  <c r="F400" i="1" s="1"/>
  <c r="D401" i="1"/>
  <c r="E401" i="1" s="1"/>
  <c r="F401" i="1" s="1" a="1"/>
  <c r="F401" i="1" s="1"/>
  <c r="D402" i="1"/>
  <c r="E402" i="1" s="1"/>
  <c r="F402" i="1" s="1" a="1"/>
  <c r="F402" i="1" s="1"/>
  <c r="D403" i="1"/>
  <c r="E403" i="1" s="1"/>
  <c r="D404" i="1"/>
  <c r="E404" i="1" s="1"/>
  <c r="F404" i="1" s="1" a="1"/>
  <c r="F404" i="1" s="1"/>
  <c r="D405" i="1"/>
  <c r="E405" i="1" s="1"/>
  <c r="D406" i="1"/>
  <c r="E406" i="1" s="1"/>
  <c r="D407" i="1"/>
  <c r="E407" i="1" s="1"/>
  <c r="F407" i="1" s="1" a="1"/>
  <c r="F407" i="1" s="1"/>
  <c r="D408" i="1"/>
  <c r="E408" i="1" s="1"/>
  <c r="G408" i="1" s="1" a="1"/>
  <c r="G408" i="1" s="1"/>
  <c r="D409" i="1"/>
  <c r="E409" i="1" s="1"/>
  <c r="D410" i="1"/>
  <c r="E410" i="1" s="1"/>
  <c r="D411" i="1"/>
  <c r="E411" i="1" s="1"/>
  <c r="F411" i="1" s="1" a="1"/>
  <c r="F411" i="1" s="1"/>
  <c r="D412" i="1"/>
  <c r="E412" i="1" s="1"/>
  <c r="D413" i="1"/>
  <c r="E413" i="1" s="1"/>
  <c r="D414" i="1"/>
  <c r="E414" i="1" s="1"/>
  <c r="D415" i="1"/>
  <c r="E415" i="1" s="1"/>
  <c r="D416" i="1"/>
  <c r="E416" i="1" s="1"/>
  <c r="F416" i="1" s="1" a="1"/>
  <c r="F416" i="1" s="1"/>
  <c r="D417" i="1"/>
  <c r="E417" i="1" s="1"/>
  <c r="G417" i="1" s="1" a="1"/>
  <c r="G417" i="1" s="1"/>
  <c r="D418" i="1"/>
  <c r="E418" i="1" s="1"/>
  <c r="G418" i="1" s="1" a="1"/>
  <c r="G418" i="1" s="1"/>
  <c r="D419" i="1"/>
  <c r="E419" i="1" s="1"/>
  <c r="D420" i="1"/>
  <c r="E420" i="1" s="1"/>
  <c r="D421" i="1"/>
  <c r="E421" i="1" s="1"/>
  <c r="G421" i="1" s="1" a="1"/>
  <c r="G421" i="1" s="1"/>
  <c r="D422" i="1"/>
  <c r="E422" i="1" s="1"/>
  <c r="G422" i="1" s="1" a="1"/>
  <c r="G422" i="1" s="1"/>
  <c r="D423" i="1"/>
  <c r="E423" i="1" s="1"/>
  <c r="D424" i="1"/>
  <c r="E424" i="1" s="1"/>
  <c r="F424" i="1" s="1" a="1"/>
  <c r="F424" i="1" s="1"/>
  <c r="D425" i="1"/>
  <c r="E425" i="1" s="1"/>
  <c r="D426" i="1"/>
  <c r="E426" i="1" s="1"/>
  <c r="D427" i="1"/>
  <c r="E427" i="1" s="1"/>
  <c r="D428" i="1"/>
  <c r="E428" i="1" s="1"/>
  <c r="D429" i="1"/>
  <c r="E429" i="1" s="1"/>
  <c r="D430" i="1"/>
  <c r="E430" i="1" s="1"/>
  <c r="G430" i="1" s="1" a="1"/>
  <c r="G430" i="1" s="1"/>
  <c r="D431" i="1"/>
  <c r="E431" i="1" s="1"/>
  <c r="F431" i="1" s="1" a="1"/>
  <c r="F431" i="1" s="1"/>
  <c r="D432" i="1"/>
  <c r="E432" i="1" s="1"/>
  <c r="D433" i="1"/>
  <c r="E433" i="1" s="1"/>
  <c r="G433" i="1" s="1" a="1"/>
  <c r="G433" i="1" s="1"/>
  <c r="D434" i="1"/>
  <c r="E434" i="1" s="1"/>
  <c r="D435" i="1"/>
  <c r="E435" i="1" s="1"/>
  <c r="D436" i="1"/>
  <c r="E436" i="1" s="1"/>
  <c r="F436" i="1" s="1" a="1"/>
  <c r="F436" i="1" s="1"/>
  <c r="D437" i="1"/>
  <c r="E437" i="1" s="1"/>
  <c r="F437" i="1" s="1" a="1"/>
  <c r="F437" i="1" s="1"/>
  <c r="D438" i="1"/>
  <c r="E438" i="1" s="1"/>
  <c r="G438" i="1" s="1" a="1"/>
  <c r="G438" i="1" s="1"/>
  <c r="D439" i="1"/>
  <c r="E439" i="1" s="1"/>
  <c r="G439" i="1" s="1" a="1"/>
  <c r="G439" i="1" s="1"/>
  <c r="D440" i="1"/>
  <c r="E440" i="1" s="1"/>
  <c r="F440" i="1" s="1" a="1"/>
  <c r="F440" i="1" s="1"/>
  <c r="D441" i="1"/>
  <c r="E441" i="1" s="1"/>
  <c r="G441" i="1" s="1" a="1"/>
  <c r="G441" i="1" s="1"/>
  <c r="D442" i="1"/>
  <c r="E442" i="1" s="1"/>
  <c r="D443" i="1"/>
  <c r="E443" i="1" s="1"/>
  <c r="F443" i="1" s="1" a="1"/>
  <c r="F443" i="1" s="1"/>
  <c r="D444" i="1"/>
  <c r="E444" i="1" s="1"/>
  <c r="D445" i="1"/>
  <c r="E445" i="1" s="1"/>
  <c r="G445" i="1" s="1" a="1"/>
  <c r="G445" i="1" s="1"/>
  <c r="D446" i="1"/>
  <c r="E446" i="1" s="1"/>
  <c r="D447" i="1"/>
  <c r="E447" i="1" s="1"/>
  <c r="D448" i="1"/>
  <c r="E448" i="1" s="1"/>
  <c r="G448" i="1" s="1" a="1"/>
  <c r="G448" i="1" s="1"/>
  <c r="D449" i="1"/>
  <c r="E449" i="1" s="1"/>
  <c r="D450" i="1"/>
  <c r="E450" i="1" s="1"/>
  <c r="F450" i="1" s="1" a="1"/>
  <c r="F450" i="1" s="1"/>
  <c r="D451" i="1"/>
  <c r="E451" i="1" s="1"/>
  <c r="D452" i="1"/>
  <c r="E452" i="1" s="1"/>
  <c r="D453" i="1"/>
  <c r="E453" i="1" s="1"/>
  <c r="D454" i="1"/>
  <c r="E454" i="1" s="1"/>
  <c r="G454" i="1" s="1" a="1"/>
  <c r="G454" i="1" s="1"/>
  <c r="D455" i="1"/>
  <c r="E455" i="1" s="1"/>
  <c r="D456" i="1"/>
  <c r="E456" i="1" s="1"/>
  <c r="D457" i="1"/>
  <c r="E457" i="1" s="1"/>
  <c r="F457" i="1" s="1" a="1"/>
  <c r="F457" i="1" s="1"/>
  <c r="D458" i="1"/>
  <c r="E458" i="1" s="1"/>
  <c r="D459" i="1"/>
  <c r="E459" i="1" s="1"/>
  <c r="D460" i="1"/>
  <c r="E460" i="1" s="1"/>
  <c r="D461" i="1"/>
  <c r="E461" i="1" s="1"/>
  <c r="F461" i="1" s="1" a="1"/>
  <c r="F461" i="1" s="1"/>
  <c r="D462" i="1"/>
  <c r="E462" i="1" s="1"/>
  <c r="D463" i="1"/>
  <c r="E463" i="1" s="1"/>
  <c r="D464" i="1"/>
  <c r="E464" i="1" s="1"/>
  <c r="D465" i="1"/>
  <c r="E465" i="1" s="1"/>
  <c r="D466" i="1"/>
  <c r="E466" i="1" s="1"/>
  <c r="D467" i="1"/>
  <c r="E467" i="1" s="1"/>
  <c r="D468" i="1"/>
  <c r="E468" i="1" s="1"/>
  <c r="F468" i="1" s="1" a="1"/>
  <c r="F468" i="1" s="1"/>
  <c r="D469" i="1"/>
  <c r="E469" i="1" s="1"/>
  <c r="D470" i="1"/>
  <c r="E470" i="1" s="1"/>
  <c r="G470" i="1" s="1" a="1"/>
  <c r="G470" i="1" s="1"/>
  <c r="D471" i="1"/>
  <c r="E471" i="1" s="1"/>
  <c r="G471" i="1" s="1" a="1"/>
  <c r="G471" i="1" s="1"/>
  <c r="D472" i="1"/>
  <c r="E472" i="1" s="1"/>
  <c r="D473" i="1"/>
  <c r="E473" i="1" s="1"/>
  <c r="D474" i="1"/>
  <c r="E474" i="1" s="1"/>
  <c r="G474" i="1" s="1" a="1"/>
  <c r="G474" i="1" s="1"/>
  <c r="D475" i="1"/>
  <c r="E475" i="1" s="1"/>
  <c r="D476" i="1"/>
  <c r="E476" i="1" s="1"/>
  <c r="D477" i="1"/>
  <c r="E477" i="1" s="1"/>
  <c r="D478" i="1"/>
  <c r="E478" i="1" s="1"/>
  <c r="G478" i="1" s="1" a="1"/>
  <c r="G478" i="1" s="1"/>
  <c r="D479" i="1"/>
  <c r="E479" i="1" s="1"/>
  <c r="D480" i="1"/>
  <c r="E480" i="1" s="1"/>
  <c r="D481" i="1"/>
  <c r="E481" i="1" s="1"/>
  <c r="G481" i="1" s="1" a="1"/>
  <c r="G481" i="1" s="1"/>
  <c r="D482" i="1"/>
  <c r="E482" i="1" s="1"/>
  <c r="D483" i="1"/>
  <c r="E483" i="1" s="1"/>
  <c r="D484" i="1"/>
  <c r="E484" i="1" s="1"/>
  <c r="D485" i="1"/>
  <c r="E485" i="1" s="1"/>
  <c r="D486" i="1"/>
  <c r="E486" i="1" s="1"/>
  <c r="D487" i="1"/>
  <c r="E487" i="1" s="1"/>
  <c r="F487" i="1" s="1" a="1"/>
  <c r="F487" i="1" s="1"/>
  <c r="D488" i="1"/>
  <c r="E488" i="1" s="1"/>
  <c r="D489" i="1"/>
  <c r="E489" i="1" s="1"/>
  <c r="G489" i="1" s="1" a="1"/>
  <c r="G489" i="1" s="1"/>
  <c r="D490" i="1"/>
  <c r="E490" i="1" s="1"/>
  <c r="D491" i="1"/>
  <c r="E491" i="1" s="1"/>
  <c r="D492" i="1"/>
  <c r="E492" i="1" s="1"/>
  <c r="G492" i="1" s="1" a="1"/>
  <c r="G492" i="1" s="1"/>
  <c r="D493" i="1"/>
  <c r="E493" i="1" s="1"/>
  <c r="G493" i="1" s="1" a="1"/>
  <c r="G493" i="1" s="1"/>
  <c r="D494" i="1"/>
  <c r="E494" i="1" s="1"/>
  <c r="F494" i="1" s="1" a="1"/>
  <c r="F494" i="1" s="1"/>
  <c r="D495" i="1"/>
  <c r="E495" i="1" s="1"/>
  <c r="G495" i="1" s="1" a="1"/>
  <c r="G495" i="1" s="1"/>
  <c r="D496" i="1"/>
  <c r="E496" i="1" s="1"/>
  <c r="D497" i="1"/>
  <c r="E497" i="1" s="1"/>
  <c r="D498" i="1"/>
  <c r="E498" i="1" s="1"/>
  <c r="D499" i="1"/>
  <c r="E499" i="1" s="1"/>
  <c r="D500" i="1"/>
  <c r="E500" i="1" s="1"/>
  <c r="D501" i="1"/>
  <c r="E501" i="1" s="1"/>
  <c r="D502" i="1"/>
  <c r="E502" i="1" s="1"/>
  <c r="F502" i="1" s="1" a="1"/>
  <c r="F502" i="1" s="1"/>
  <c r="D503" i="1"/>
  <c r="E503" i="1" s="1"/>
  <c r="D504" i="1"/>
  <c r="E504" i="1" s="1"/>
  <c r="D505" i="1"/>
  <c r="E505" i="1" s="1"/>
  <c r="F505" i="1" s="1" a="1"/>
  <c r="F505" i="1" s="1"/>
  <c r="D506" i="1"/>
  <c r="E506" i="1" s="1"/>
  <c r="D507" i="1"/>
  <c r="E507" i="1" s="1"/>
  <c r="D508" i="1"/>
  <c r="E508" i="1" s="1"/>
  <c r="F508" i="1" s="1" a="1"/>
  <c r="F508" i="1" s="1"/>
  <c r="D509" i="1"/>
  <c r="E509" i="1" s="1"/>
  <c r="D510" i="1"/>
  <c r="E510" i="1" s="1"/>
  <c r="D511" i="1"/>
  <c r="E511" i="1" s="1"/>
  <c r="D512" i="1"/>
  <c r="E512" i="1" s="1"/>
  <c r="D513" i="1"/>
  <c r="E513" i="1" s="1"/>
  <c r="D514" i="1"/>
  <c r="E514" i="1" s="1"/>
  <c r="F514" i="1" s="1" a="1"/>
  <c r="F514" i="1" s="1"/>
  <c r="D515" i="1"/>
  <c r="E515" i="1" s="1"/>
  <c r="D516" i="1"/>
  <c r="E516" i="1" s="1"/>
  <c r="D517" i="1"/>
  <c r="E517" i="1" s="1"/>
  <c r="D518" i="1"/>
  <c r="E518" i="1" s="1"/>
  <c r="D519" i="1"/>
  <c r="E519" i="1" s="1"/>
  <c r="F519" i="1" s="1" a="1"/>
  <c r="F519" i="1" s="1"/>
  <c r="D520" i="1"/>
  <c r="E520" i="1" s="1"/>
  <c r="G520" i="1" s="1" a="1"/>
  <c r="G520" i="1" s="1"/>
  <c r="D521" i="1"/>
  <c r="E521" i="1" s="1"/>
  <c r="D522" i="1"/>
  <c r="E522" i="1" s="1"/>
  <c r="F522" i="1" s="1" a="1"/>
  <c r="F522" i="1" s="1"/>
  <c r="D523" i="1"/>
  <c r="E523" i="1" s="1"/>
  <c r="G523" i="1" s="1" a="1"/>
  <c r="G523" i="1" s="1"/>
  <c r="D524" i="1"/>
  <c r="E524" i="1" s="1"/>
  <c r="D525" i="1"/>
  <c r="E525" i="1" s="1"/>
  <c r="F525" i="1" s="1" a="1"/>
  <c r="F525" i="1" s="1"/>
  <c r="D526" i="1"/>
  <c r="E526" i="1" s="1"/>
  <c r="D527" i="1"/>
  <c r="E527" i="1" s="1"/>
  <c r="G527" i="1" s="1" a="1"/>
  <c r="G527" i="1" s="1"/>
  <c r="D528" i="1"/>
  <c r="E528" i="1" s="1"/>
  <c r="F528" i="1" s="1" a="1"/>
  <c r="F528" i="1" s="1"/>
  <c r="D529" i="1"/>
  <c r="E529" i="1" s="1"/>
  <c r="G529" i="1" s="1" a="1"/>
  <c r="G529" i="1" s="1"/>
  <c r="D530" i="1"/>
  <c r="E530" i="1" s="1"/>
  <c r="F530" i="1" s="1" a="1"/>
  <c r="F530" i="1" s="1"/>
  <c r="D531" i="1"/>
  <c r="E531" i="1" s="1"/>
  <c r="D532" i="1"/>
  <c r="E532" i="1" s="1"/>
  <c r="D533" i="1"/>
  <c r="E533" i="1" s="1"/>
  <c r="G533" i="1" s="1" a="1"/>
  <c r="G533" i="1" s="1"/>
  <c r="D534" i="1"/>
  <c r="E534" i="1" s="1"/>
  <c r="G534" i="1" s="1" a="1"/>
  <c r="G534" i="1" s="1"/>
  <c r="D535" i="1"/>
  <c r="E535" i="1" s="1"/>
  <c r="D536" i="1"/>
  <c r="E536" i="1" s="1"/>
  <c r="G536" i="1" s="1" a="1"/>
  <c r="G536" i="1" s="1"/>
  <c r="D537" i="1"/>
  <c r="E537" i="1" s="1"/>
  <c r="F537" i="1" s="1" a="1"/>
  <c r="F537" i="1" s="1"/>
  <c r="D538" i="1"/>
  <c r="E538" i="1" s="1"/>
  <c r="F538" i="1" s="1" a="1"/>
  <c r="F538" i="1" s="1"/>
  <c r="D539" i="1"/>
  <c r="E539" i="1" s="1"/>
  <c r="D540" i="1"/>
  <c r="E540" i="1" s="1"/>
  <c r="D541" i="1"/>
  <c r="E541" i="1" s="1"/>
  <c r="D542" i="1"/>
  <c r="E542" i="1" s="1"/>
  <c r="D543" i="1"/>
  <c r="E543" i="1" s="1"/>
  <c r="D544" i="1"/>
  <c r="E544" i="1" s="1"/>
  <c r="G544" i="1" s="1" a="1"/>
  <c r="G544" i="1" s="1"/>
  <c r="D545" i="1"/>
  <c r="E545" i="1" s="1"/>
  <c r="D546" i="1"/>
  <c r="E546" i="1" s="1"/>
  <c r="D547" i="1"/>
  <c r="E547" i="1" s="1"/>
  <c r="F547" i="1" s="1" a="1"/>
  <c r="F547" i="1" s="1"/>
  <c r="D548" i="1"/>
  <c r="E548" i="1" s="1"/>
  <c r="F548" i="1" s="1" a="1"/>
  <c r="F548" i="1" s="1"/>
  <c r="D549" i="1"/>
  <c r="E549" i="1" s="1"/>
  <c r="D550" i="1"/>
  <c r="E550" i="1" s="1"/>
  <c r="F550" i="1" s="1" a="1"/>
  <c r="F550" i="1" s="1"/>
  <c r="D551" i="1"/>
  <c r="E551" i="1" s="1"/>
  <c r="G551" i="1" s="1" a="1"/>
  <c r="G551" i="1" s="1"/>
  <c r="D552" i="1"/>
  <c r="E552" i="1" s="1"/>
  <c r="F552" i="1" s="1" a="1"/>
  <c r="F552" i="1" s="1"/>
  <c r="D553" i="1"/>
  <c r="E553" i="1" s="1"/>
  <c r="D554" i="1"/>
  <c r="E554" i="1" s="1"/>
  <c r="D555" i="1"/>
  <c r="E555" i="1" s="1"/>
  <c r="G555" i="1" s="1" a="1"/>
  <c r="G555" i="1" s="1"/>
  <c r="D556" i="1"/>
  <c r="E556" i="1" s="1"/>
  <c r="D557" i="1"/>
  <c r="E557" i="1" s="1"/>
  <c r="F557" i="1" s="1" a="1"/>
  <c r="F557" i="1" s="1"/>
  <c r="D558" i="1"/>
  <c r="E558" i="1" s="1"/>
  <c r="F558" i="1" s="1" a="1"/>
  <c r="F558" i="1" s="1"/>
  <c r="D559" i="1"/>
  <c r="E559" i="1" s="1"/>
  <c r="G559" i="1" s="1" a="1"/>
  <c r="G559" i="1" s="1"/>
  <c r="D560" i="1"/>
  <c r="E560" i="1" s="1"/>
  <c r="F560" i="1" s="1" a="1"/>
  <c r="F560" i="1" s="1"/>
  <c r="D561" i="1"/>
  <c r="E561" i="1" s="1"/>
  <c r="D562" i="1"/>
  <c r="E562" i="1" s="1"/>
  <c r="D563" i="1"/>
  <c r="E563" i="1" s="1"/>
  <c r="D564" i="1"/>
  <c r="E564" i="1" s="1"/>
  <c r="G564" i="1" s="1" a="1"/>
  <c r="G564" i="1" s="1"/>
  <c r="D565" i="1"/>
  <c r="E565" i="1" s="1"/>
  <c r="D566" i="1"/>
  <c r="E566" i="1" s="1"/>
  <c r="D567" i="1"/>
  <c r="E567" i="1" s="1"/>
  <c r="D568" i="1"/>
  <c r="E568" i="1" s="1"/>
  <c r="F568" i="1" s="1" a="1"/>
  <c r="F568" i="1" s="1"/>
  <c r="D569" i="1"/>
  <c r="E569" i="1" s="1"/>
  <c r="F569" i="1" s="1" a="1"/>
  <c r="F569" i="1" s="1"/>
  <c r="D570" i="1"/>
  <c r="E570" i="1" s="1"/>
  <c r="D571" i="1"/>
  <c r="E571" i="1" s="1"/>
  <c r="F571" i="1" s="1" a="1"/>
  <c r="F571" i="1" s="1"/>
  <c r="D572" i="1"/>
  <c r="E572" i="1" s="1"/>
  <c r="D573" i="1"/>
  <c r="E573" i="1" s="1"/>
  <c r="D574" i="1"/>
  <c r="E574" i="1" s="1"/>
  <c r="D575" i="1"/>
  <c r="E575" i="1" s="1"/>
  <c r="D576" i="1"/>
  <c r="E576" i="1" s="1"/>
  <c r="F576" i="1" s="1" a="1"/>
  <c r="F576" i="1" s="1"/>
  <c r="D577" i="1"/>
  <c r="E577" i="1" s="1"/>
  <c r="D578" i="1"/>
  <c r="E578" i="1" s="1"/>
  <c r="F578" i="1" s="1" a="1"/>
  <c r="F578" i="1" s="1"/>
  <c r="D579" i="1"/>
  <c r="E579" i="1" s="1"/>
  <c r="D580" i="1"/>
  <c r="E580" i="1" s="1"/>
  <c r="D581" i="1"/>
  <c r="E581" i="1" s="1"/>
  <c r="D582" i="1"/>
  <c r="E582" i="1" s="1"/>
  <c r="G582" i="1" s="1" a="1"/>
  <c r="G582" i="1" s="1"/>
  <c r="D583" i="1"/>
  <c r="E583" i="1" s="1"/>
  <c r="D584" i="1"/>
  <c r="E584" i="1" s="1"/>
  <c r="D585" i="1"/>
  <c r="E585" i="1" s="1"/>
  <c r="D586" i="1"/>
  <c r="E586" i="1" s="1"/>
  <c r="F586" i="1" s="1" a="1"/>
  <c r="F586" i="1" s="1"/>
  <c r="D587" i="1"/>
  <c r="E587" i="1" s="1"/>
  <c r="D588" i="1"/>
  <c r="E588" i="1" s="1"/>
  <c r="D589" i="1"/>
  <c r="E589" i="1" s="1"/>
  <c r="D590" i="1"/>
  <c r="E590" i="1" s="1"/>
  <c r="G590" i="1" s="1" a="1"/>
  <c r="G590" i="1" s="1"/>
  <c r="D591" i="1"/>
  <c r="E591" i="1" s="1"/>
  <c r="D592" i="1"/>
  <c r="E592" i="1" s="1"/>
  <c r="D593" i="1"/>
  <c r="E593" i="1" s="1"/>
  <c r="D594" i="1"/>
  <c r="E594" i="1" s="1"/>
  <c r="D595" i="1"/>
  <c r="E595" i="1" s="1"/>
  <c r="D596" i="1"/>
  <c r="E596" i="1" s="1"/>
  <c r="G596" i="1" s="1" a="1"/>
  <c r="G596" i="1" s="1"/>
  <c r="D597" i="1"/>
  <c r="E597" i="1" s="1"/>
  <c r="D598" i="1"/>
  <c r="E598" i="1" s="1"/>
  <c r="F598" i="1" s="1" a="1"/>
  <c r="F598" i="1" s="1"/>
  <c r="D599" i="1"/>
  <c r="E599" i="1" s="1"/>
  <c r="D600" i="1"/>
  <c r="E600" i="1" s="1"/>
  <c r="G600" i="1" s="1" a="1"/>
  <c r="G600" i="1" s="1"/>
  <c r="D601" i="1"/>
  <c r="E601" i="1" s="1"/>
  <c r="F601" i="1" s="1" a="1"/>
  <c r="F601" i="1" s="1"/>
  <c r="D602" i="1"/>
  <c r="E602" i="1" s="1"/>
  <c r="F602" i="1" s="1" a="1"/>
  <c r="F602" i="1" s="1"/>
  <c r="D603" i="1"/>
  <c r="E603" i="1" s="1"/>
  <c r="D604" i="1"/>
  <c r="E604" i="1" s="1"/>
  <c r="D605" i="1"/>
  <c r="E605" i="1" s="1"/>
  <c r="D606" i="1"/>
  <c r="E606" i="1" s="1"/>
  <c r="D607" i="1"/>
  <c r="E607" i="1" s="1"/>
  <c r="D608" i="1"/>
  <c r="E608" i="1" s="1"/>
  <c r="D609" i="1"/>
  <c r="E609" i="1" s="1"/>
  <c r="D610" i="1"/>
  <c r="E610" i="1" s="1"/>
  <c r="D611" i="1"/>
  <c r="E611" i="1" s="1"/>
  <c r="G611" i="1" s="1" a="1"/>
  <c r="G611" i="1" s="1"/>
  <c r="D612" i="1"/>
  <c r="E612" i="1" s="1"/>
  <c r="D613" i="1"/>
  <c r="E613" i="1" s="1"/>
  <c r="D614" i="1"/>
  <c r="E614" i="1" s="1"/>
  <c r="F614" i="1" s="1" a="1"/>
  <c r="F614" i="1" s="1"/>
  <c r="D615" i="1"/>
  <c r="E615" i="1" s="1"/>
  <c r="F615" i="1" s="1" a="1"/>
  <c r="F615" i="1" s="1"/>
  <c r="D616" i="1"/>
  <c r="E616" i="1" s="1"/>
  <c r="G616" i="1" s="1" a="1"/>
  <c r="G616" i="1" s="1"/>
  <c r="D617" i="1"/>
  <c r="E617" i="1" s="1"/>
  <c r="F617" i="1" s="1" a="1"/>
  <c r="F617" i="1" s="1"/>
  <c r="D618" i="1"/>
  <c r="E618" i="1" s="1"/>
  <c r="D619" i="1"/>
  <c r="E619" i="1" s="1"/>
  <c r="D620" i="1"/>
  <c r="E620" i="1" s="1"/>
  <c r="G620" i="1" s="1" a="1"/>
  <c r="G620" i="1" s="1"/>
  <c r="D621" i="1"/>
  <c r="E621" i="1" s="1"/>
  <c r="D622" i="1"/>
  <c r="E622" i="1" s="1"/>
  <c r="D623" i="1"/>
  <c r="E623" i="1" s="1"/>
  <c r="F623" i="1" s="1" a="1"/>
  <c r="F623" i="1" s="1"/>
  <c r="D624" i="1"/>
  <c r="E624" i="1" s="1"/>
  <c r="D625" i="1"/>
  <c r="E625" i="1" s="1"/>
  <c r="G625" i="1" s="1" a="1"/>
  <c r="G625" i="1" s="1"/>
  <c r="D626" i="1"/>
  <c r="E626" i="1" s="1"/>
  <c r="F626" i="1" s="1" a="1"/>
  <c r="F626" i="1" s="1"/>
  <c r="D627" i="1"/>
  <c r="E627" i="1" s="1"/>
  <c r="D628" i="1"/>
  <c r="E628" i="1" s="1"/>
  <c r="D629" i="1"/>
  <c r="E629" i="1" s="1"/>
  <c r="D630" i="1"/>
  <c r="E630" i="1" s="1"/>
  <c r="D631" i="1"/>
  <c r="E631" i="1" s="1"/>
  <c r="D632" i="1"/>
  <c r="E632" i="1" s="1"/>
  <c r="D633" i="1"/>
  <c r="E633" i="1" s="1"/>
  <c r="D634" i="1"/>
  <c r="E634" i="1" s="1"/>
  <c r="G634" i="1" s="1" a="1"/>
  <c r="G634" i="1" s="1"/>
  <c r="D635" i="1"/>
  <c r="E635" i="1" s="1"/>
  <c r="F635" i="1" s="1" a="1"/>
  <c r="F635" i="1" s="1"/>
  <c r="D636" i="1"/>
  <c r="E636" i="1" s="1"/>
  <c r="D637" i="1"/>
  <c r="E637" i="1" s="1"/>
  <c r="F637" i="1" s="1" a="1"/>
  <c r="F637" i="1" s="1"/>
  <c r="D638" i="1"/>
  <c r="E638" i="1" s="1"/>
  <c r="F638" i="1" s="1" a="1"/>
  <c r="F638" i="1" s="1"/>
  <c r="D639" i="1"/>
  <c r="E639" i="1" s="1"/>
  <c r="D640" i="1"/>
  <c r="E640" i="1" s="1"/>
  <c r="D641" i="1"/>
  <c r="E641" i="1" s="1"/>
  <c r="F641" i="1" s="1" a="1"/>
  <c r="F641" i="1" s="1"/>
  <c r="D642" i="1"/>
  <c r="E642" i="1" s="1"/>
  <c r="D643" i="1"/>
  <c r="E643" i="1" s="1"/>
  <c r="F643" i="1" s="1" a="1"/>
  <c r="F643" i="1" s="1"/>
  <c r="D644" i="1"/>
  <c r="E644" i="1" s="1"/>
  <c r="F644" i="1" s="1" a="1"/>
  <c r="F644" i="1" s="1"/>
  <c r="D645" i="1"/>
  <c r="E645" i="1" s="1"/>
  <c r="G645" i="1" s="1" a="1"/>
  <c r="G645" i="1" s="1"/>
  <c r="D646" i="1"/>
  <c r="E646" i="1" s="1"/>
  <c r="D647" i="1"/>
  <c r="E647" i="1" s="1"/>
  <c r="G647" i="1" s="1" a="1"/>
  <c r="G647" i="1" s="1"/>
  <c r="D648" i="1"/>
  <c r="E648" i="1" s="1"/>
  <c r="D649" i="1"/>
  <c r="E649" i="1" s="1"/>
  <c r="F649" i="1" s="1" a="1"/>
  <c r="F649" i="1" s="1"/>
  <c r="D650" i="1"/>
  <c r="E650" i="1" s="1"/>
  <c r="F650" i="1" s="1" a="1"/>
  <c r="F650" i="1" s="1"/>
  <c r="D651" i="1"/>
  <c r="E651" i="1" s="1"/>
  <c r="D652" i="1"/>
  <c r="E652" i="1" s="1"/>
  <c r="F652" i="1" s="1" a="1"/>
  <c r="F652" i="1" s="1"/>
  <c r="D653" i="1"/>
  <c r="E653" i="1" s="1"/>
  <c r="D654" i="1"/>
  <c r="E654" i="1" s="1"/>
  <c r="D655" i="1"/>
  <c r="E655" i="1" s="1"/>
  <c r="D656" i="1"/>
  <c r="E656" i="1" s="1"/>
  <c r="F656" i="1" s="1" a="1"/>
  <c r="F656" i="1" s="1"/>
  <c r="D657" i="1"/>
  <c r="E657" i="1" s="1"/>
  <c r="D658" i="1"/>
  <c r="E658" i="1" s="1"/>
  <c r="D659" i="1"/>
  <c r="E659" i="1" s="1"/>
  <c r="D660" i="1"/>
  <c r="E660" i="1" s="1"/>
  <c r="F660" i="1" s="1" a="1"/>
  <c r="F660" i="1" s="1"/>
  <c r="D661" i="1"/>
  <c r="E661" i="1" s="1"/>
  <c r="D662" i="1"/>
  <c r="E662" i="1" s="1"/>
  <c r="F662" i="1" s="1" a="1"/>
  <c r="F662" i="1" s="1"/>
  <c r="D663" i="1"/>
  <c r="E663" i="1" s="1"/>
  <c r="G663" i="1" s="1" a="1"/>
  <c r="G663" i="1" s="1"/>
  <c r="D664" i="1"/>
  <c r="E664" i="1" s="1"/>
  <c r="F664" i="1" s="1" a="1"/>
  <c r="F664" i="1" s="1"/>
  <c r="D665" i="1"/>
  <c r="E665" i="1" s="1"/>
  <c r="D666" i="1"/>
  <c r="E666" i="1" s="1"/>
  <c r="G666" i="1" s="1" a="1"/>
  <c r="G666" i="1" s="1"/>
  <c r="D667" i="1"/>
  <c r="E667" i="1" s="1"/>
  <c r="G667" i="1" s="1" a="1"/>
  <c r="G667" i="1" s="1"/>
  <c r="D668" i="1"/>
  <c r="E668" i="1" s="1"/>
  <c r="G668" i="1" s="1" a="1"/>
  <c r="G668" i="1" s="1"/>
  <c r="D669" i="1"/>
  <c r="E669" i="1" s="1"/>
  <c r="D670" i="1"/>
  <c r="E670" i="1" s="1"/>
  <c r="D671" i="1"/>
  <c r="E671" i="1" s="1"/>
  <c r="D672" i="1"/>
  <c r="E672" i="1" s="1"/>
  <c r="D673" i="1"/>
  <c r="E673" i="1" s="1"/>
  <c r="F673" i="1" s="1" a="1"/>
  <c r="F673" i="1" s="1"/>
  <c r="D674" i="1"/>
  <c r="E674" i="1" s="1"/>
  <c r="F674" i="1" s="1" a="1"/>
  <c r="F674" i="1" s="1"/>
  <c r="D675" i="1"/>
  <c r="E675" i="1" s="1"/>
  <c r="G675" i="1" s="1" a="1"/>
  <c r="G675" i="1" s="1"/>
  <c r="D676" i="1"/>
  <c r="E676" i="1" s="1"/>
  <c r="F676" i="1" s="1" a="1"/>
  <c r="F676" i="1" s="1"/>
  <c r="D677" i="1"/>
  <c r="E677" i="1" s="1"/>
  <c r="G677" i="1" s="1" a="1"/>
  <c r="G677" i="1" s="1"/>
  <c r="D678" i="1"/>
  <c r="E678" i="1" s="1"/>
  <c r="D679" i="1"/>
  <c r="E679" i="1" s="1"/>
  <c r="F679" i="1" s="1" a="1"/>
  <c r="F679" i="1" s="1"/>
  <c r="D680" i="1"/>
  <c r="E680" i="1" s="1"/>
  <c r="D681" i="1"/>
  <c r="E681" i="1" s="1"/>
  <c r="F681" i="1" s="1" a="1"/>
  <c r="F681" i="1" s="1"/>
  <c r="D682" i="1"/>
  <c r="E682" i="1" s="1"/>
  <c r="D683" i="1"/>
  <c r="E683" i="1" s="1"/>
  <c r="F683" i="1" s="1" a="1"/>
  <c r="F683" i="1" s="1"/>
  <c r="D684" i="1"/>
  <c r="E684" i="1" s="1"/>
  <c r="D685" i="1"/>
  <c r="E685" i="1" s="1"/>
  <c r="G685" i="1" s="1" a="1"/>
  <c r="G685" i="1" s="1"/>
  <c r="D686" i="1"/>
  <c r="E686" i="1" s="1"/>
  <c r="D687" i="1"/>
  <c r="E687" i="1" s="1"/>
  <c r="G687" i="1" s="1" a="1"/>
  <c r="G687" i="1" s="1"/>
  <c r="D688" i="1"/>
  <c r="E688" i="1" s="1"/>
  <c r="G688" i="1" s="1" a="1"/>
  <c r="G688" i="1" s="1"/>
  <c r="D689" i="1"/>
  <c r="E689" i="1" s="1"/>
  <c r="G689" i="1" s="1" a="1"/>
  <c r="G689" i="1" s="1"/>
  <c r="D690" i="1"/>
  <c r="E690" i="1" s="1"/>
  <c r="F690" i="1" s="1" a="1"/>
  <c r="F690" i="1" s="1"/>
  <c r="D691" i="1"/>
  <c r="E691" i="1" s="1"/>
  <c r="D692" i="1"/>
  <c r="E692" i="1" s="1"/>
  <c r="D693" i="1"/>
  <c r="E693" i="1" s="1"/>
  <c r="D694" i="1"/>
  <c r="E694" i="1" s="1"/>
  <c r="D695" i="1"/>
  <c r="E695" i="1" s="1"/>
  <c r="D696" i="1"/>
  <c r="E696" i="1" s="1"/>
  <c r="D697" i="1"/>
  <c r="E697" i="1" s="1"/>
  <c r="F697" i="1" s="1" a="1"/>
  <c r="F697" i="1" s="1"/>
  <c r="D698" i="1"/>
  <c r="E698" i="1" s="1"/>
  <c r="D699" i="1"/>
  <c r="E699" i="1" s="1"/>
  <c r="D700" i="1"/>
  <c r="E700" i="1" s="1"/>
  <c r="D701" i="1"/>
  <c r="E701" i="1" s="1"/>
  <c r="G701" i="1" s="1" a="1"/>
  <c r="G701" i="1" s="1"/>
  <c r="D702" i="1"/>
  <c r="E702" i="1" s="1"/>
  <c r="D703" i="1"/>
  <c r="E703" i="1" s="1"/>
  <c r="F703" i="1" s="1" a="1"/>
  <c r="F703" i="1" s="1"/>
  <c r="D704" i="1"/>
  <c r="E704" i="1" s="1"/>
  <c r="D705" i="1"/>
  <c r="E705" i="1" s="1"/>
  <c r="F705" i="1" s="1" a="1"/>
  <c r="F705" i="1" s="1"/>
  <c r="D706" i="1"/>
  <c r="E706" i="1" s="1"/>
  <c r="F706" i="1" s="1" a="1"/>
  <c r="F706" i="1" s="1"/>
  <c r="D707" i="1"/>
  <c r="E707" i="1" s="1"/>
  <c r="F707" i="1" s="1" a="1"/>
  <c r="F707" i="1" s="1"/>
  <c r="D708" i="1"/>
  <c r="E708" i="1" s="1"/>
  <c r="D709" i="1"/>
  <c r="E709" i="1" s="1"/>
  <c r="G709" i="1" s="1" a="1"/>
  <c r="G709" i="1" s="1"/>
  <c r="D710" i="1"/>
  <c r="E710" i="1" s="1"/>
  <c r="D711" i="1"/>
  <c r="E711" i="1" s="1"/>
  <c r="G711" i="1" s="1" a="1"/>
  <c r="G711" i="1" s="1"/>
  <c r="D712" i="1"/>
  <c r="E712" i="1" s="1"/>
  <c r="D713" i="1"/>
  <c r="E713" i="1" s="1"/>
  <c r="F713" i="1" s="1" a="1"/>
  <c r="F713" i="1" s="1"/>
  <c r="D714" i="1"/>
  <c r="E714" i="1" s="1"/>
  <c r="D715" i="1"/>
  <c r="E715" i="1" s="1"/>
  <c r="F715" i="1" s="1" a="1"/>
  <c r="F715" i="1" s="1"/>
  <c r="D716" i="1"/>
  <c r="E716" i="1" s="1"/>
  <c r="D717" i="1"/>
  <c r="E717" i="1" s="1"/>
  <c r="G717" i="1" s="1" a="1"/>
  <c r="G717" i="1" s="1"/>
  <c r="D718" i="1"/>
  <c r="E718" i="1" s="1"/>
  <c r="D719" i="1"/>
  <c r="E719" i="1" s="1"/>
  <c r="F719" i="1" s="1" a="1"/>
  <c r="F719" i="1" s="1"/>
  <c r="D720" i="1"/>
  <c r="E720" i="1" s="1"/>
  <c r="D721" i="1"/>
  <c r="E721" i="1" s="1"/>
  <c r="F721" i="1" s="1" a="1"/>
  <c r="F721" i="1" s="1"/>
  <c r="D722" i="1"/>
  <c r="E722" i="1" s="1"/>
  <c r="F722" i="1" s="1" a="1"/>
  <c r="F722" i="1" s="1"/>
  <c r="D723" i="1"/>
  <c r="E723" i="1" s="1"/>
  <c r="F723" i="1" s="1" a="1"/>
  <c r="F723" i="1" s="1"/>
  <c r="D724" i="1"/>
  <c r="E724" i="1" s="1"/>
  <c r="D725" i="1"/>
  <c r="E725" i="1" s="1"/>
  <c r="F725" i="1" s="1" a="1"/>
  <c r="F725" i="1" s="1"/>
  <c r="D726" i="1"/>
  <c r="E726" i="1" s="1"/>
  <c r="F726" i="1" s="1" a="1"/>
  <c r="F726" i="1" s="1"/>
  <c r="D727" i="1"/>
  <c r="E727" i="1" s="1"/>
  <c r="D728" i="1"/>
  <c r="E728" i="1" s="1"/>
  <c r="D729" i="1"/>
  <c r="E729" i="1" s="1"/>
  <c r="F729" i="1" s="1" a="1"/>
  <c r="F729" i="1" s="1"/>
  <c r="D730" i="1"/>
  <c r="E730" i="1" s="1"/>
  <c r="D731" i="1"/>
  <c r="E731" i="1" s="1"/>
  <c r="D732" i="1"/>
  <c r="E732" i="1" s="1"/>
  <c r="D733" i="1"/>
  <c r="E733" i="1" s="1"/>
  <c r="G733" i="1" s="1" a="1"/>
  <c r="G733" i="1" s="1"/>
  <c r="D734" i="1"/>
  <c r="E734" i="1" s="1"/>
  <c r="D735" i="1"/>
  <c r="E735" i="1" s="1"/>
  <c r="D736" i="1"/>
  <c r="E736" i="1" s="1"/>
  <c r="D737" i="1"/>
  <c r="E737" i="1" s="1"/>
  <c r="D738" i="1"/>
  <c r="E738" i="1" s="1"/>
  <c r="F738" i="1" s="1" a="1"/>
  <c r="F738" i="1" s="1"/>
  <c r="D739" i="1"/>
  <c r="E739" i="1" s="1"/>
  <c r="F739" i="1" s="1" a="1"/>
  <c r="F739" i="1" s="1"/>
  <c r="D740" i="1"/>
  <c r="E740" i="1" s="1"/>
  <c r="F740" i="1" s="1" a="1"/>
  <c r="F740" i="1" s="1"/>
  <c r="D741" i="1"/>
  <c r="E741" i="1" s="1"/>
  <c r="F741" i="1" s="1" a="1"/>
  <c r="F741" i="1" s="1"/>
  <c r="D742" i="1"/>
  <c r="E742" i="1" s="1"/>
  <c r="D743" i="1"/>
  <c r="E743" i="1" s="1"/>
  <c r="D744" i="1"/>
  <c r="E744" i="1" s="1"/>
  <c r="D745" i="1"/>
  <c r="E745" i="1" s="1"/>
  <c r="F745" i="1" s="1" a="1"/>
  <c r="F745" i="1" s="1"/>
  <c r="D746" i="1"/>
  <c r="E746" i="1" s="1"/>
  <c r="F746" i="1" s="1" a="1"/>
  <c r="F746" i="1" s="1"/>
  <c r="D747" i="1"/>
  <c r="E747" i="1" s="1"/>
  <c r="F747" i="1" s="1" a="1"/>
  <c r="F747" i="1" s="1"/>
  <c r="D748" i="1"/>
  <c r="E748" i="1" s="1"/>
  <c r="D749" i="1"/>
  <c r="E749" i="1" s="1"/>
  <c r="G749" i="1" s="1" a="1"/>
  <c r="G749" i="1" s="1"/>
  <c r="D750" i="1"/>
  <c r="E750" i="1" s="1"/>
  <c r="G750" i="1" s="1" a="1"/>
  <c r="G750" i="1" s="1"/>
  <c r="D751" i="1"/>
  <c r="E751" i="1" s="1"/>
  <c r="D752" i="1"/>
  <c r="E752" i="1" s="1"/>
  <c r="F752" i="1" s="1" a="1"/>
  <c r="F752" i="1" s="1"/>
  <c r="D753" i="1"/>
  <c r="E753" i="1" s="1"/>
  <c r="G753" i="1" s="1" a="1"/>
  <c r="G753" i="1" s="1"/>
  <c r="D754" i="1"/>
  <c r="E754" i="1" s="1"/>
  <c r="F754" i="1" s="1" a="1"/>
  <c r="F754" i="1" s="1"/>
  <c r="D755" i="1"/>
  <c r="E755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F720" i="1" a="1"/>
  <c r="F720" i="1" s="1"/>
  <c r="G720" i="1" a="1"/>
  <c r="G720" i="1" s="1"/>
  <c r="F753" i="1" a="1"/>
  <c r="F753" i="1" s="1"/>
  <c r="G752" i="1" a="1"/>
  <c r="G752" i="1" s="1"/>
  <c r="F749" i="1" a="1"/>
  <c r="F749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F731" i="1" a="1"/>
  <c r="F731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F748" i="1" a="1"/>
  <c r="F748" i="1" s="1"/>
  <c r="G748" i="1" a="1"/>
  <c r="G748" i="1" s="1"/>
  <c r="G744" i="1" a="1"/>
  <c r="G744" i="1" s="1"/>
  <c r="F744" i="1" a="1"/>
  <c r="F744" i="1" s="1"/>
  <c r="G686" i="1" a="1"/>
  <c r="G686" i="1" s="1"/>
  <c r="F686" i="1" a="1"/>
  <c r="F686" i="1" s="1"/>
  <c r="G539" i="1" a="1"/>
  <c r="G539" i="1" s="1"/>
  <c r="F539" i="1" a="1"/>
  <c r="F539" i="1" s="1"/>
  <c r="F737" i="1" a="1"/>
  <c r="F737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F743" i="1" a="1"/>
  <c r="F743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36" i="1" a="1"/>
  <c r="F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F742" i="1" a="1"/>
  <c r="F742" i="1" s="1"/>
  <c r="G742" i="1" a="1"/>
  <c r="G742" i="1" s="1"/>
  <c r="F727" i="1" a="1"/>
  <c r="F727" i="1" s="1"/>
  <c r="G727" i="1" a="1"/>
  <c r="G727" i="1" s="1"/>
  <c r="G665" i="1" a="1"/>
  <c r="G665" i="1" s="1"/>
  <c r="F665" i="1" a="1"/>
  <c r="F665" i="1" s="1"/>
  <c r="G735" i="1" a="1"/>
  <c r="G735" i="1" s="1"/>
  <c r="F735" i="1" a="1"/>
  <c r="F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734" i="1" a="1"/>
  <c r="F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F755" i="1" a="1"/>
  <c r="F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F732" i="1" a="1"/>
  <c r="F732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F751" i="1" a="1"/>
  <c r="F751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F724" i="1" a="1"/>
  <c r="F724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33" i="1" a="1"/>
  <c r="F733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F730" i="1" a="1"/>
  <c r="F730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F728" i="1" a="1"/>
  <c r="F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F750" i="1" a="1"/>
  <c r="F750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<sst xmlns="http://schemas.openxmlformats.org/spreadsheetml/2006/main" count="383" uniqueCount="223">
  <si>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</si>
  <si>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</si>
  <si>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</si>
  <si>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</si>
  <si>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</si>
  <si>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</si>
  <si>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</si>
  <si>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</si>
  <si>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</si>
  <si>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</si>
  <si>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</si>
  <si>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</si>
  <si>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</si>
  <si>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</si>
  <si>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</si>
  <si>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</si>
  <si>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</si>
  <si>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</si>
  <si>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</si>
  <si>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</si>
  <si>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</si>
  <si>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</si>
  <si>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群馬県</t>
  </si>
  <si>
    <t>宮城県</t>
  </si>
  <si>
    <t>栃木県</t>
  </si>
  <si>
    <t>香川県</t>
  </si>
  <si>
    <t>京都府</t>
  </si>
  <si>
    <t>半田市大伝根町</t>
  </si>
  <si>
    <t>宇都宮市</t>
  </si>
  <si>
    <t>沖縄県</t>
  </si>
  <si>
    <t>静岡県</t>
  </si>
  <si>
    <t>中野区</t>
  </si>
  <si>
    <t>江戸川区</t>
  </si>
  <si>
    <t>大和郡山市筒井町</t>
  </si>
  <si>
    <t>高松市郷東町</t>
  </si>
  <si>
    <t>川崎市川崎区池田</t>
  </si>
  <si>
    <t>高槻市赤大路町</t>
  </si>
  <si>
    <t>大田区久が原５丁目</t>
  </si>
  <si>
    <t>横浜市西区浅間台</t>
  </si>
  <si>
    <t>熊本県</t>
  </si>
  <si>
    <t>佐賀県</t>
  </si>
  <si>
    <t>習志野市東習志野５丁目</t>
  </si>
  <si>
    <t>善通寺市下吉田町</t>
  </si>
  <si>
    <t>岩手県</t>
  </si>
  <si>
    <t>仙台市</t>
  </si>
  <si>
    <t>岐阜県</t>
  </si>
  <si>
    <t>宮崎県</t>
  </si>
  <si>
    <t>児湯郡川南町川南</t>
  </si>
  <si>
    <t>吉野郡大淀町福神</t>
  </si>
  <si>
    <t>三重県</t>
  </si>
  <si>
    <t>新潟県</t>
  </si>
  <si>
    <t>平塚市南原</t>
  </si>
  <si>
    <t>愛媛県</t>
  </si>
  <si>
    <t>松山市</t>
  </si>
  <si>
    <t>豊中市</t>
  </si>
  <si>
    <t>富山県</t>
  </si>
  <si>
    <t>大分県</t>
  </si>
  <si>
    <t>池田市</t>
  </si>
  <si>
    <t>足立区加平</t>
  </si>
  <si>
    <t>品川区</t>
  </si>
  <si>
    <t>大田区</t>
  </si>
  <si>
    <t>山口県</t>
  </si>
  <si>
    <t>上尾市</t>
  </si>
  <si>
    <t>石川県</t>
  </si>
  <si>
    <t>金沢市</t>
  </si>
  <si>
    <t>新座市</t>
  </si>
  <si>
    <t>名古屋市西区鳥見町</t>
  </si>
  <si>
    <t>福井県</t>
  </si>
  <si>
    <t>日野市</t>
  </si>
  <si>
    <t>横浜市戸塚区川上町</t>
  </si>
  <si>
    <t>徳島県</t>
  </si>
  <si>
    <t>川崎市中原区</t>
  </si>
  <si>
    <t>広島市中区河原町</t>
  </si>
  <si>
    <t>大津市和邇高城</t>
  </si>
  <si>
    <t>市川市湊新田</t>
  </si>
  <si>
    <t>北葛飾郡松伏町ゆめみ野</t>
  </si>
  <si>
    <t>町田市三輪町</t>
  </si>
  <si>
    <t>横須賀市佐島の丘1丁目</t>
  </si>
  <si>
    <t>宇部市大字西岐波</t>
  </si>
  <si>
    <t>八王子市松木</t>
  </si>
  <si>
    <t>板橋区桜川2-17-2</t>
  </si>
  <si>
    <t>熊谷市末広</t>
  </si>
  <si>
    <t>名古屋市中村区名駅3-1-2</t>
  </si>
  <si>
    <t>宮崎市吉村町中原甲</t>
  </si>
  <si>
    <t>四日市市</t>
  </si>
  <si>
    <t>横浜市港北区大倉山</t>
  </si>
  <si>
    <t>新潟市中央区</t>
  </si>
  <si>
    <t>坂井市春江町西長田</t>
  </si>
  <si>
    <t>浦安市</t>
  </si>
  <si>
    <t>磐田市森下</t>
  </si>
  <si>
    <t>泉大津市豊中町</t>
  </si>
  <si>
    <t>貝塚市北町</t>
  </si>
  <si>
    <t>西宮市甲陽園若江町</t>
  </si>
  <si>
    <t>瀬戸市</t>
  </si>
  <si>
    <t>横浜市瀬谷区瀬谷5丁目</t>
  </si>
  <si>
    <t>名古屋市守山区青山台</t>
  </si>
  <si>
    <t>鎌倉市</t>
  </si>
  <si>
    <t>横浜市金沢区泥亀</t>
  </si>
  <si>
    <t>柏原市国分東条町</t>
  </si>
  <si>
    <t>岸和田市土生滝町</t>
  </si>
  <si>
    <t>合志市幾久富</t>
  </si>
  <si>
    <t>豊能郡豊能町ときわ台４丁目</t>
  </si>
  <si>
    <t>板野郡上板町神宅字滝ノ宮西</t>
  </si>
  <si>
    <t>横浜市神奈川区栄町</t>
  </si>
  <si>
    <t>東大和市蔵敷3-799-7</t>
  </si>
  <si>
    <t>浜松市中央区蜆塚</t>
  </si>
  <si>
    <t>福岡市博多区住吉2-4-7-807</t>
  </si>
  <si>
    <t>宇都宮市ゆいの杜</t>
  </si>
  <si>
    <t>豊橋市北山町</t>
  </si>
  <si>
    <t>さいたま市桜区白鍬</t>
  </si>
  <si>
    <t>神戸市垂水区舞多聞東</t>
  </si>
  <si>
    <t>茨木市</t>
  </si>
  <si>
    <t>長野市川中島町上氷鉋</t>
  </si>
  <si>
    <t>君津市南子安</t>
  </si>
  <si>
    <t>桜川市富士見台</t>
  </si>
  <si>
    <t>福岡市南区若久五丁目</t>
  </si>
  <si>
    <t>安八郡安八町牧</t>
  </si>
  <si>
    <t>横浜市鶴見中央３丁目</t>
  </si>
  <si>
    <t>名古屋市</t>
  </si>
  <si>
    <t>小平市</t>
  </si>
  <si>
    <t>彦根市西沼波町</t>
  </si>
  <si>
    <t>柏市</t>
  </si>
  <si>
    <t>藤枝市大東町</t>
  </si>
  <si>
    <t>横浜市都筑区川和台</t>
  </si>
  <si>
    <t>西東京市</t>
  </si>
  <si>
    <t>刈谷市松坂町</t>
  </si>
  <si>
    <t>東海市富貴ノ台</t>
  </si>
  <si>
    <t>宮崎市出来町</t>
  </si>
  <si>
    <t>墨田区</t>
  </si>
  <si>
    <t>那覇市銘苅</t>
  </si>
  <si>
    <t>調布市入間町</t>
  </si>
  <si>
    <t>上尾市愛宕</t>
  </si>
  <si>
    <t>台東区池之端</t>
  </si>
  <si>
    <t>目黒区</t>
  </si>
  <si>
    <t>文京区根津2-14-9</t>
  </si>
  <si>
    <t>宮若市</t>
  </si>
  <si>
    <t>福津市</t>
  </si>
  <si>
    <t>浜松市中央区西伊場</t>
  </si>
  <si>
    <t>香取市</t>
  </si>
  <si>
    <t>練馬区石神井町</t>
  </si>
  <si>
    <t>前橋市大手町</t>
  </si>
  <si>
    <t>高松市屋島西</t>
  </si>
  <si>
    <t>宇都宮市下岡本町</t>
  </si>
  <si>
    <t>岐阜市</t>
  </si>
  <si>
    <t>厚木市</t>
  </si>
  <si>
    <t>あきる野市野辺</t>
  </si>
  <si>
    <t>江戸川区西瑞江</t>
  </si>
  <si>
    <t>沼津市原町中</t>
  </si>
  <si>
    <t>西尾市錦城町</t>
  </si>
  <si>
    <t>横浜市港北区新横浜1-14-8</t>
  </si>
  <si>
    <t>港区南青山</t>
  </si>
  <si>
    <t>横浜市港南区下永谷</t>
  </si>
  <si>
    <t>大阪市中央区内久宝寺町</t>
  </si>
  <si>
    <t>さいたま市大宮区寿能町1-31</t>
  </si>
  <si>
    <t>国立市青柳</t>
  </si>
  <si>
    <t>飯田市</t>
  </si>
  <si>
    <t>川崎市幸区堀川町</t>
  </si>
  <si>
    <t>金沢市直江北1丁目</t>
  </si>
  <si>
    <t>岩沼市館下</t>
  </si>
  <si>
    <t>魚津市本新</t>
  </si>
  <si>
    <t>一宮市玉野字塚原</t>
  </si>
  <si>
    <t>土浦市神立町</t>
  </si>
  <si>
    <t>羽島市上中町長間</t>
  </si>
  <si>
    <t>富士市松岡1164-11</t>
  </si>
  <si>
    <t>川越市</t>
  </si>
  <si>
    <t>塩尻市広丘郷原１７８０</t>
  </si>
  <si>
    <t>逗子市久木</t>
  </si>
  <si>
    <t>度会郡玉城町佐田</t>
  </si>
  <si>
    <t>大阪市生野区中川西</t>
  </si>
  <si>
    <t>大分市下郡東</t>
  </si>
  <si>
    <t>泉北郡忠岡町忠岡南</t>
  </si>
  <si>
    <t>高崎市</t>
  </si>
  <si>
    <t>横浜市南区庚台</t>
  </si>
  <si>
    <t>豊橋市曙町字若松</t>
  </si>
  <si>
    <t>渋谷区元代々木町</t>
  </si>
  <si>
    <t>速見郡日出町</t>
  </si>
  <si>
    <t>荒尾市川登</t>
  </si>
  <si>
    <t>品川区八潮5-2-7-1007</t>
  </si>
  <si>
    <t>舞鶴市万願寺</t>
  </si>
  <si>
    <t>熱海市</t>
  </si>
  <si>
    <t>相模原市南区若松</t>
  </si>
  <si>
    <t>横浜市金沢区並木</t>
  </si>
  <si>
    <t>旭市</t>
  </si>
  <si>
    <t>宇部市</t>
  </si>
  <si>
    <t>駒ヶ根市</t>
  </si>
  <si>
    <t>新宿区</t>
  </si>
  <si>
    <t>品川区東五反田</t>
  </si>
  <si>
    <t>横浜市</t>
  </si>
  <si>
    <t>大竹市</t>
  </si>
  <si>
    <t>桑名市陽だまりの丘三丁目</t>
  </si>
  <si>
    <t>大津市</t>
  </si>
  <si>
    <t>つくば市学園南</t>
  </si>
  <si>
    <t>名張市東町</t>
  </si>
  <si>
    <t>名古屋市千種区</t>
  </si>
  <si>
    <t>川崎市宮前区</t>
  </si>
  <si>
    <t>船橋市本町5-2-12</t>
  </si>
  <si>
    <t>千葉市美浜区若葉</t>
  </si>
  <si>
    <t>箕面市</t>
  </si>
  <si>
    <t>名古屋市緑区篠の風</t>
  </si>
  <si>
    <t>静岡市駿河区</t>
  </si>
  <si>
    <t>市川市原木1－6－20</t>
  </si>
  <si>
    <t>佐賀市新生町</t>
  </si>
  <si>
    <t>加賀市大聖寺荒町</t>
  </si>
  <si>
    <t>豊橋市向山東町</t>
  </si>
  <si>
    <t>京都市伏見区深草大亀谷大山町</t>
  </si>
  <si>
    <t>船橋市咲が丘</t>
  </si>
  <si>
    <t>川崎市幸区小倉</t>
  </si>
  <si>
    <t>丹波市</t>
  </si>
  <si>
    <t>船橋市海神</t>
  </si>
  <si>
    <t>宇治市小倉町</t>
  </si>
  <si>
    <t>北区田端</t>
  </si>
  <si>
    <t>静岡市駿河区八幡４丁目</t>
  </si>
  <si>
    <t>野田市</t>
  </si>
  <si>
    <t>北名古屋市</t>
  </si>
  <si>
    <t>前橋市上佐鳥町</t>
  </si>
  <si>
    <t>大阪市鶴見区横堤5-5-4-503</t>
  </si>
  <si>
    <t>名古屋市中区栄1-2-3</t>
  </si>
  <si>
    <t>大阪市中央区</t>
  </si>
  <si>
    <t>小松市白江町</t>
  </si>
  <si>
    <t>中野区弥生町３－６－１２</t>
  </si>
  <si>
    <t>品川区西五反田</t>
  </si>
  <si>
    <t>滝沢市</t>
  </si>
  <si>
    <t>市川市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</si>
</sst>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H2" sqref="H2:I188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19</v>
      </c>
      <c r="B2" t="s">
        <v>73</v>
      </c>
      <c r="C2" t="str">
        <f>+A2&amp;B2</f>
        <v>滋賀県大津市和邇高城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http://geocode.csis.u-tokyo.ac.jp/cgi-bin/simple_geocode.cgi?charset=UTF8&amp;addr=%E6%BB%8B%E8%B3%80%E7%9C%8C%E5%A4%A7%E6%B4%A5%E5%B8%82%E5%92%8C%E9%82%87%E9%AB%98%E5%9F%8E</v>
      </c>
      <c r="E2" t="str">
        <f xml:space="preserve"> _xlfn.WEBSERVICE(D2)</f>
        <v xml:space="preserve">&lt;?xml version="1.0" encoding="UTF-8" ?&gt;
&lt;results&gt;
&lt;query&gt;滋賀県大津市和邇高城&lt;/query&gt;
&lt;geodetic&gt;wgs1984&lt;/geodetic&gt;
&lt;iConf&gt;5&lt;/iConf&gt;
&lt;converted&gt;滋賀県大津市和邇高城&lt;/converted&gt;
&lt;candidate&gt;
&lt;address&gt;滋賀県/大津市/和邇高城&lt;/address&gt;
&lt;longitude&gt;135.915527&lt;/longitude&gt;
&lt;latitude&gt;35.162376&lt;/latitude&gt;
&lt;iLvl&gt;5&lt;/iLvl&gt;
&lt;/candidate&gt;
&lt;/results&gt;
</v>
      </c>
      <c r="F2" cm="1">
        <f t="array" ref="F2">INDEX(_xlfn.FILTERXML(E2,"//latitude"),1)</f>
        <v>35.162376000000002</v>
      </c>
      <c r="G2" cm="1">
        <f t="array" ref="G2">INDEX(_xlfn.FILTERXML(E2,"//longitude"),1)</f>
        <v>135.915527</v>
      </c>
      <c r="H2">
        <v>35.162376000000002</v>
      </c>
      <c r="I2">
        <v>135.915527</v>
      </c>
    </row>
    <row r="3" spans="1:9" x14ac:dyDescent="0.4">
      <c r="A3" t="s">
        <v>18</v>
      </c>
      <c r="B3" t="s">
        <v>74</v>
      </c>
      <c r="C3" t="str">
        <f t="shared" ref="C3:C66" si="0">+A3&amp;B3</f>
        <v>千葉県市川市湊新田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http://geocode.csis.u-tokyo.ac.jp/cgi-bin/simple_geocode.cgi?charset=UTF8&amp;addr=%E5%8D%83%E8%91%89%E7%9C%8C%E5%B8%82%E5%B7%9D%E5%B8%82%E6%B9%8A%E6%96%B0%E7%94%B0</v>
      </c>
      <c r="E3" t="str">
        <f t="shared" ref="E3:E4" si="2" xml:space="preserve"> _xlfn.WEBSERVICE(D3)</f>
        <v xml:space="preserve">&lt;?xml version="1.0" encoding="UTF-8" ?&gt;
&lt;results&gt;
&lt;query&gt;千葉県市川市湊新田&lt;/query&gt;
&lt;geodetic&gt;wgs1984&lt;/geodetic&gt;
&lt;iConf&gt;5&lt;/iConf&gt;
&lt;converted&gt;千葉県市川市湊新田&lt;/converted&gt;
&lt;candidate&gt;
&lt;address&gt;千葉県/市川市/湊新田&lt;/address&gt;
&lt;longitude&gt;139.908417&lt;/longitude&gt;
&lt;latitude&gt;35.683929&lt;/latitude&gt;
&lt;iLvl&gt;5&lt;/iLvl&gt;
&lt;/candidate&gt;
&lt;/results&gt;
</v>
      </c>
      <c r="F3" cm="1">
        <f t="array" ref="F3">INDEX(_xlfn.FILTERXML(E3,"//latitude"),1)</f>
        <v>35.683928999999999</v>
      </c>
      <c r="G3" cm="1">
        <f t="array" ref="G3">INDEX(_xlfn.FILTERXML(E3,"//longitude"),1)</f>
        <v>139.90841699999999</v>
      </c>
      <c r="H3">
        <v>35.683928999999999</v>
      </c>
      <c r="I3">
        <v>139.90841699999999</v>
      </c>
    </row>
    <row r="4" spans="1:9" x14ac:dyDescent="0.4">
      <c r="A4" t="s">
        <v>13</v>
      </c>
      <c r="B4" t="s">
        <v>75</v>
      </c>
      <c r="C4" t="str">
        <f t="shared" si="0"/>
        <v>埼玉県北葛飾郡松伏町ゆめみ野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http://geocode.csis.u-tokyo.ac.jp/cgi-bin/simple_geocode.cgi?charset=UTF8&amp;addr=%E5%9F%BC%E7%8E%89%E7%9C%8C%E5%8C%97%E8%91%9B%E9%A3%BE%E9%83%A1%E6%9D%BE%E4%BC%8F%E7%94%BA%E3%82%86%E3%82%81%E3%81%BF%E9%87%8E</v>
      </c>
      <c r="E4" t="str">
        <f t="shared" si="2"/>
        <v xml:space="preserve">&lt;?xml version="1.0" encoding="UTF-8" ?&gt;
&lt;results&gt;
&lt;query&gt;埼玉県北葛飾郡松伏町ゆめみ野&lt;/query&gt;
&lt;geodetic&gt;wgs1984&lt;/geodetic&gt;
&lt;iConf&gt;5&lt;/iConf&gt;
&lt;converted&gt;埼玉県北葛飾郡松伏町ゆめみ野&lt;/converted&gt;
&lt;candidate&gt;
&lt;address&gt;埼玉県/北葛飾郡/松伏町/ゆめみ野&lt;/address&gt;
&lt;longitude&gt;139.820328&lt;/longitude&gt;
&lt;latitude&gt;35.924023&lt;/latitude&gt;
&lt;iLvl&gt;5&lt;/iLvl&gt;
&lt;/candidate&gt;
&lt;/results&gt;
</v>
      </c>
      <c r="F4" cm="1">
        <f t="array" ref="F4">INDEX(_xlfn.FILTERXML(E4,"//latitude"),1)</f>
        <v>35.924022999999998</v>
      </c>
      <c r="G4" cm="1">
        <f t="array" ref="G4">INDEX(_xlfn.FILTERXML(E4,"//longitude"),1)</f>
        <v>139.82032799999999</v>
      </c>
      <c r="H4">
        <v>35.924022999999998</v>
      </c>
      <c r="I4">
        <v>139.82032799999999</v>
      </c>
    </row>
    <row r="5" spans="1:9" x14ac:dyDescent="0.4">
      <c r="A5" t="s">
        <v>9</v>
      </c>
      <c r="B5" t="s">
        <v>76</v>
      </c>
      <c r="C5" t="str">
        <f t="shared" si="0"/>
        <v>東京都町田市三輪町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http://geocode.csis.u-tokyo.ac.jp/cgi-bin/simple_geocode.cgi?charset=UTF8&amp;addr=%E6%9D%B1%E4%BA%AC%E9%83%BD%E7%94%BA%E7%94%B0%E5%B8%82%E4%B8%89%E8%BC%AA%E7%94%BA</v>
      </c>
      <c r="E5" t="str">
        <f t="shared" ref="E5" si="4" xml:space="preserve"> _xlfn.WEBSERVICE(D5)</f>
        <v xml:space="preserve">&lt;?xml version="1.0" encoding="UTF-8" ?&gt;
&lt;results&gt;
&lt;query&gt;東京都町田市三輪町&lt;/query&gt;
&lt;geodetic&gt;wgs1984&lt;/geodetic&gt;
&lt;iConf&gt;5&lt;/iConf&gt;
&lt;converted&gt;東京都町田市三輪町&lt;/converted&gt;
&lt;candidate&gt;
&lt;address&gt;東京都/町田市/三輪町&lt;/address&gt;
&lt;longitude&gt;139.496353&lt;/longitude&gt;
&lt;latitude&gt;35.575245&lt;/latitude&gt;
&lt;iLvl&gt;5&lt;/iLvl&gt;
&lt;/candidate&gt;
&lt;/results&gt;
</v>
      </c>
      <c r="F5" cm="1">
        <f t="array" ref="F5">INDEX(_xlfn.FILTERXML(E5,"//latitude"),1)</f>
        <v>35.575245000000002</v>
      </c>
      <c r="G5" cm="1">
        <f t="array" ref="G5">INDEX(_xlfn.FILTERXML(E5,"//longitude"),1)</f>
        <v>139.496353</v>
      </c>
      <c r="H5">
        <v>35.575245000000002</v>
      </c>
      <c r="I5">
        <v>139.496353</v>
      </c>
    </row>
    <row r="6" spans="1:9" x14ac:dyDescent="0.4">
      <c r="A6" t="s">
        <v>10</v>
      </c>
      <c r="B6" t="s">
        <v>77</v>
      </c>
      <c r="C6" t="str">
        <f t="shared" si="0"/>
        <v>神奈川県横須賀市佐島の丘1丁目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http://geocode.csis.u-tokyo.ac.jp/cgi-bin/simple_geocode.cgi?charset=UTF8&amp;addr=%E7%A5%9E%E5%A5%88%E5%B7%9D%E7%9C%8C%E6%A8%AA%E9%A0%88%E8%B3%80%E5%B8%82%E4%BD%90%E5%B3%B6%E3%81%AE%E4%B8%981%E4%B8%81%E7%9B%AE</v>
      </c>
      <c r="E6" t="str">
        <f t="shared" ref="E6" si="6" xml:space="preserve"> _xlfn.WEBSERVICE(D6)</f>
        <v xml:space="preserve">&lt;?xml version="1.0" encoding="UTF-8" ?&gt;
&lt;results&gt;
&lt;query&gt;神奈川県横須賀市佐島の丘1丁目&lt;/query&gt;
&lt;geodetic&gt;wgs1984&lt;/geodetic&gt;
&lt;iConf&gt;5&lt;/iConf&gt;
&lt;converted&gt;神奈川県横須賀市佐島の丘1丁目&lt;/converted&gt;
&lt;candidate&gt;
&lt;address&gt;神奈川県/横須賀市/佐島の丘/一丁目&lt;/address&gt;
&lt;longitude&gt;139.616150&lt;/longitude&gt;
&lt;latitude&gt;35.227837&lt;/latitude&gt;
&lt;iLvl&gt;6&lt;/iLvl&gt;
&lt;/candidate&gt;
&lt;/results&gt;
</v>
      </c>
      <c r="F6" cm="1">
        <f t="array" ref="F6">INDEX(_xlfn.FILTERXML(E6,"//latitude"),1)</f>
        <v>35.227837000000001</v>
      </c>
      <c r="G6" cm="1">
        <f t="array" ref="G6">INDEX(_xlfn.FILTERXML(E6,"//longitude"),1)</f>
        <v>139.61615</v>
      </c>
      <c r="H6">
        <v>35.227837000000001</v>
      </c>
      <c r="I6">
        <v>139.61615</v>
      </c>
    </row>
    <row r="7" spans="1:9" x14ac:dyDescent="0.4">
      <c r="A7" t="s">
        <v>61</v>
      </c>
      <c r="B7" t="s">
        <v>78</v>
      </c>
      <c r="C7" t="str">
        <f t="shared" si="0"/>
        <v>山口県宇部市大字西岐波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http://geocode.csis.u-tokyo.ac.jp/cgi-bin/simple_geocode.cgi?charset=UTF8&amp;addr=%E5%B1%B1%E5%8F%A3%E7%9C%8C%E5%AE%87%E9%83%A8%E5%B8%82%E5%A4%A7%E5%AD%97%E8%A5%BF%E5%B2%90%E6%B3%A2</v>
      </c>
      <c r="E7" t="str">
        <f t="shared" ref="E7:E23" si="8" xml:space="preserve"> _xlfn.WEBSERVICE(D7)</f>
        <v xml:space="preserve">&lt;?xml version="1.0" encoding="UTF-8" ?&gt;
&lt;results&gt;
&lt;query&gt;山口県宇部市大字西岐波&lt;/query&gt;
&lt;geodetic&gt;wgs1984&lt;/geodetic&gt;
&lt;iConf&gt;5&lt;/iConf&gt;
&lt;converted&gt;山口県宇部市大字西岐波&lt;/converted&gt;
&lt;candidate&gt;
&lt;address&gt;山口県/宇部市/西岐波&lt;/address&gt;
&lt;longitude&gt;131.307983&lt;/longitude&gt;
&lt;latitude&gt;33.969315&lt;/latitude&gt;
&lt;iLvl&gt;5&lt;/iLvl&gt;
&lt;/candidate&gt;
&lt;/results&gt;
</v>
      </c>
      <c r="F7" cm="1">
        <f t="array" ref="F7">INDEX(_xlfn.FILTERXML(E7,"//latitude"),1)</f>
        <v>33.969315000000002</v>
      </c>
      <c r="G7" cm="1">
        <f t="array" ref="G7">INDEX(_xlfn.FILTERXML(E7,"//longitude"),1)</f>
        <v>131.30798300000001</v>
      </c>
      <c r="H7">
        <v>33.969315000000002</v>
      </c>
      <c r="I7">
        <v>131.30798300000001</v>
      </c>
    </row>
    <row r="8" spans="1:9" x14ac:dyDescent="0.4">
      <c r="A8" t="s">
        <v>9</v>
      </c>
      <c r="B8" t="s">
        <v>79</v>
      </c>
      <c r="C8" t="str">
        <f t="shared" si="0"/>
        <v>東京都八王子市松木</v>
      </c>
      <c r="D8" s="2" t="str">
        <f t="shared" si="7"/>
        <v>http://geocode.csis.u-tokyo.ac.jp/cgi-bin/simple_geocode.cgi?charset=UTF8&amp;addr=%E6%9D%B1%E4%BA%AC%E9%83%BD%E5%85%AB%E7%8E%8B%E5%AD%90%E5%B8%82%E6%9D%BE%E6%9C%A8</v>
      </c>
      <c r="E8" t="str">
        <f t="shared" si="8"/>
        <v xml:space="preserve">&lt;?xml version="1.0" encoding="UTF-8" ?&gt;
&lt;results&gt;
&lt;query&gt;東京都八王子市松木&lt;/query&gt;
&lt;geodetic&gt;wgs1984&lt;/geodetic&gt;
&lt;iConf&gt;5&lt;/iConf&gt;
&lt;converted&gt;東京都八王子市松木&lt;/converted&gt;
&lt;candidate&gt;
&lt;address&gt;東京都/八王子市/松木&lt;/address&gt;
&lt;longitude&gt;139.392838&lt;/longitude&gt;
&lt;latitude&gt;35.622375&lt;/latitude&gt;
&lt;iLvl&gt;5&lt;/iLvl&gt;
&lt;/candidate&gt;
&lt;/results&gt;
</v>
      </c>
      <c r="F8" cm="1">
        <f t="array" ref="F8">INDEX(_xlfn.FILTERXML(E8,"//latitude"),1)</f>
        <v>35.622374999999998</v>
      </c>
      <c r="G8" cm="1">
        <f t="array" ref="G8">INDEX(_xlfn.FILTERXML(E8,"//longitude"),1)</f>
        <v>139.39283800000001</v>
      </c>
      <c r="H8">
        <v>35.622374999999998</v>
      </c>
      <c r="I8">
        <v>139.39283800000001</v>
      </c>
    </row>
    <row r="9" spans="1:9" x14ac:dyDescent="0.4">
      <c r="A9" t="s">
        <v>9</v>
      </c>
      <c r="B9" t="s">
        <v>80</v>
      </c>
      <c r="C9" t="str">
        <f t="shared" si="0"/>
        <v>東京都板橋区桜川2-17-2</v>
      </c>
      <c r="D9" s="2" t="str">
        <f t="shared" si="7"/>
        <v>http://geocode.csis.u-tokyo.ac.jp/cgi-bin/simple_geocode.cgi?charset=UTF8&amp;addr=%E6%9D%B1%E4%BA%AC%E9%83%BD%E6%9D%BF%E6%A9%8B%E5%8C%BA%E6%A1%9C%E5%B7%9D2-17-2</v>
      </c>
      <c r="E9" t="str">
        <f t="shared" si="8"/>
        <v xml:space="preserve">&lt;?xml version="1.0" encoding="UTF-8" ?&gt;
&lt;results&gt;
&lt;query&gt;東京都板橋区桜川2-17-2&lt;/query&gt;
&lt;geodetic&gt;wgs1984&lt;/geodetic&gt;
&lt;iConf&gt;5&lt;/iConf&gt;
&lt;converted&gt;東京都板橋区桜川2-17-2&lt;/converted&gt;
&lt;candidate&gt;
&lt;address&gt;東京都/板橋区/桜川/二丁目/１７番/２号&lt;/address&gt;
&lt;longitude&gt;139.677643&lt;/longitude&gt;
&lt;latitude&gt;35.758652&lt;/latitude&gt;
&lt;iLvl&gt;8&lt;/iLvl&gt;
&lt;/candidate&gt;
&lt;/results&gt;
</v>
      </c>
      <c r="F9" cm="1">
        <f t="array" ref="F9">INDEX(_xlfn.FILTERXML(E9,"//latitude"),1)</f>
        <v>35.758651999999998</v>
      </c>
      <c r="G9" cm="1">
        <f t="array" ref="G9">INDEX(_xlfn.FILTERXML(E9,"//longitude"),1)</f>
        <v>139.67764299999999</v>
      </c>
      <c r="H9">
        <v>35.758651999999998</v>
      </c>
      <c r="I9">
        <v>139.67764299999999</v>
      </c>
    </row>
    <row r="10" spans="1:9" x14ac:dyDescent="0.4">
      <c r="A10" t="s">
        <v>13</v>
      </c>
      <c r="B10" t="s">
        <v>62</v>
      </c>
      <c r="C10" t="str">
        <f t="shared" si="0"/>
        <v>埼玉県上尾市</v>
      </c>
      <c r="D10" s="2" t="str">
        <f t="shared" si="7"/>
        <v>http://geocode.csis.u-tokyo.ac.jp/cgi-bin/simple_geocode.cgi?charset=UTF8&amp;addr=%E5%9F%BC%E7%8E%89%E7%9C%8C%E4%B8%8A%E5%B0%BE%E5%B8%82</v>
      </c>
      <c r="E10" t="str">
        <f t="shared" si="8"/>
        <v xml:space="preserve">&lt;?xml version="1.0" encoding="UTF-8" ?&gt;
&lt;results&gt;
&lt;query&gt;埼玉県上尾市&lt;/query&gt;
&lt;geodetic&gt;wgs1984&lt;/geodetic&gt;
&lt;iConf&gt;5&lt;/iConf&gt;
&lt;converted&gt;埼玉県上尾市&lt;/converted&gt;
&lt;candidate&gt;
&lt;address&gt;埼玉県/上尾市&lt;/address&gt;
&lt;longitude&gt;139.593201&lt;/longitude&gt;
&lt;latitude&gt;35.977409&lt;/latitude&gt;
&lt;iLvl&gt;3&lt;/iLvl&gt;
&lt;/candidate&gt;
&lt;/results&gt;
</v>
      </c>
      <c r="F10" cm="1">
        <f t="array" ref="F10">INDEX(_xlfn.FILTERXML(E10,"//latitude"),1)</f>
        <v>35.977409000000002</v>
      </c>
      <c r="G10" cm="1">
        <f t="array" ref="G10">INDEX(_xlfn.FILTERXML(E10,"//longitude"),1)</f>
        <v>139.59320099999999</v>
      </c>
      <c r="H10">
        <v>35.977409000000002</v>
      </c>
      <c r="I10">
        <v>139.59320099999999</v>
      </c>
    </row>
    <row r="11" spans="1:9" x14ac:dyDescent="0.4">
      <c r="A11" t="s">
        <v>13</v>
      </c>
      <c r="B11" t="s">
        <v>81</v>
      </c>
      <c r="C11" t="str">
        <f t="shared" si="0"/>
        <v>埼玉県熊谷市末広</v>
      </c>
      <c r="D11" s="2" t="str">
        <f t="shared" si="7"/>
        <v>http://geocode.csis.u-tokyo.ac.jp/cgi-bin/simple_geocode.cgi?charset=UTF8&amp;addr=%E5%9F%BC%E7%8E%89%E7%9C%8C%E7%86%8A%E8%B0%B7%E5%B8%82%E6%9C%AB%E5%BA%83</v>
      </c>
      <c r="E11" t="str">
        <f t="shared" si="8"/>
        <v xml:space="preserve">&lt;?xml version="1.0" encoding="UTF-8" ?&gt;
&lt;results&gt;
&lt;query&gt;埼玉県熊谷市末広&lt;/query&gt;
&lt;geodetic&gt;wgs1984&lt;/geodetic&gt;
&lt;iConf&gt;5&lt;/iConf&gt;
&lt;converted&gt;埼玉県熊谷市末広&lt;/converted&gt;
&lt;candidate&gt;
&lt;address&gt;埼玉県/熊谷市/末広&lt;/address&gt;
&lt;longitude&gt;139.390579&lt;/longitude&gt;
&lt;latitude&gt;36.145679&lt;/latitude&gt;
&lt;iLvl&gt;5&lt;/iLvl&gt;
&lt;/candidate&gt;
&lt;/results&gt;
</v>
      </c>
      <c r="F11" cm="1">
        <f t="array" ref="F11">INDEX(_xlfn.FILTERXML(E11,"//latitude"),1)</f>
        <v>36.145679000000001</v>
      </c>
      <c r="G11" cm="1">
        <f t="array" ref="G11">INDEX(_xlfn.FILTERXML(E11,"//longitude"),1)</f>
        <v>139.390579</v>
      </c>
      <c r="H11">
        <v>36.145679000000001</v>
      </c>
      <c r="I11">
        <v>139.390579</v>
      </c>
    </row>
    <row r="12" spans="1:9" x14ac:dyDescent="0.4">
      <c r="A12" t="s">
        <v>17</v>
      </c>
      <c r="B12" t="s">
        <v>82</v>
      </c>
      <c r="C12" t="str">
        <f t="shared" si="0"/>
        <v>愛知県名古屋市中村区名駅3-1-2</v>
      </c>
      <c r="D12" s="2" t="str">
        <f t="shared" si="7"/>
        <v>http://geocode.csis.u-tokyo.ac.jp/cgi-bin/simple_geocode.cgi?charset=UTF8&amp;addr=%E6%84%9B%E7%9F%A5%E7%9C%8C%E5%90%8D%E5%8F%A4%E5%B1%8B%E5%B8%82%E4%B8%AD%E6%9D%91%E5%8C%BA%E5%90%8D%E9%A7%853-1-2</v>
      </c>
      <c r="E12" t="str">
        <f t="shared" si="8"/>
        <v xml:space="preserve">&lt;?xml version="1.0" encoding="UTF-8" ?&gt;
&lt;results&gt;
&lt;query&gt;愛知県名古屋市中村区名駅3-1-2&lt;/query&gt;
&lt;geodetic&gt;wgs1984&lt;/geodetic&gt;
&lt;iConf&gt;5&lt;/iConf&gt;
&lt;converted&gt;愛知県名古屋市中村区名駅3-1-2&lt;/converted&gt;
&lt;candidate&gt;
&lt;address&gt;愛知県/名古屋市/中村区/名駅/三丁目/１番/２号&lt;/address&gt;
&lt;longitude&gt;136.889542&lt;/longitude&gt;
&lt;latitude&gt;35.174423&lt;/latitude&gt;
&lt;iLvl&gt;8&lt;/iLvl&gt;
&lt;/candidate&gt;
&lt;/results&gt;
</v>
      </c>
      <c r="F12" cm="1">
        <f t="array" ref="F12">INDEX(_xlfn.FILTERXML(E12,"//latitude"),1)</f>
        <v>35.174422999999997</v>
      </c>
      <c r="G12" cm="1">
        <f t="array" ref="G12">INDEX(_xlfn.FILTERXML(E12,"//longitude"),1)</f>
        <v>136.88954200000001</v>
      </c>
      <c r="H12">
        <v>35.174422999999997</v>
      </c>
      <c r="I12">
        <v>136.88954200000001</v>
      </c>
    </row>
    <row r="13" spans="1:9" x14ac:dyDescent="0.4">
      <c r="A13" t="s">
        <v>46</v>
      </c>
      <c r="B13" t="s">
        <v>83</v>
      </c>
      <c r="C13" t="str">
        <f t="shared" si="0"/>
        <v>宮崎県宮崎市吉村町中原甲</v>
      </c>
      <c r="D13" s="2" t="str">
        <f t="shared" si="7"/>
        <v>http://geocode.csis.u-tokyo.ac.jp/cgi-bin/simple_geocode.cgi?charset=UTF8&amp;addr=%E5%AE%AE%E5%B4%8E%E7%9C%8C%E5%AE%AE%E5%B4%8E%E5%B8%82%E5%90%89%E6%9D%91%E7%94%BA%E4%B8%AD%E5%8E%9F%E7%94%B2</v>
      </c>
      <c r="E13" t="str">
        <f t="shared" si="8"/>
        <v xml:space="preserve">&lt;?xml version="1.0" encoding="UTF-8" ?&gt;
&lt;results&gt;
&lt;query&gt;宮崎県宮崎市吉村町中原甲&lt;/query&gt;
&lt;geodetic&gt;wgs1984&lt;/geodetic&gt;
&lt;iConf&gt;5&lt;/iConf&gt;
&lt;converted&gt;宮崎県宮崎市吉村町&lt;/converted&gt;
&lt;candidate&gt;
&lt;address&gt;宮崎県/宮崎市/吉村町&lt;/address&gt;
&lt;longitude&gt;131.443954&lt;/longitude&gt;
&lt;latitude&gt;31.919971&lt;/latitude&gt;
&lt;iLvl&gt;5&lt;/iLvl&gt;
&lt;/candidate&gt;
&lt;/results&gt;
</v>
      </c>
      <c r="F13" cm="1">
        <f t="array" ref="F13">INDEX(_xlfn.FILTERXML(E13,"//latitude"),1)</f>
        <v>31.919971</v>
      </c>
      <c r="G13" cm="1">
        <f t="array" ref="G13">INDEX(_xlfn.FILTERXML(E13,"//longitude"),1)</f>
        <v>131.44395399999999</v>
      </c>
      <c r="H13">
        <v>31.919971</v>
      </c>
      <c r="I13">
        <v>131.44395399999999</v>
      </c>
    </row>
    <row r="14" spans="1:9" x14ac:dyDescent="0.4">
      <c r="A14" t="s">
        <v>49</v>
      </c>
      <c r="B14" t="s">
        <v>84</v>
      </c>
      <c r="C14" t="str">
        <f t="shared" si="0"/>
        <v>三重県四日市市</v>
      </c>
      <c r="D14" s="2" t="str">
        <f t="shared" si="7"/>
        <v>http://geocode.csis.u-tokyo.ac.jp/cgi-bin/simple_geocode.cgi?charset=UTF8&amp;addr=%E4%B8%89%E9%87%8D%E7%9C%8C%E5%9B%9B%E6%97%A5%E5%B8%82%E5%B8%82</v>
      </c>
      <c r="E14" t="str">
        <f t="shared" si="8"/>
        <v xml:space="preserve">&lt;?xml version="1.0" encoding="UTF-8" ?&gt;
&lt;results&gt;
&lt;query&gt;三重県四日市市&lt;/query&gt;
&lt;geodetic&gt;wgs1984&lt;/geodetic&gt;
&lt;iConf&gt;5&lt;/iConf&gt;
&lt;converted&gt;三重県四日市市&lt;/converted&gt;
&lt;candidate&gt;
&lt;address&gt;三重県/四日市市&lt;/address&gt;
&lt;longitude&gt;136.624420&lt;/longitude&gt;
&lt;latitude&gt;34.965092&lt;/latitude&gt;
&lt;iLvl&gt;3&lt;/iLvl&gt;
&lt;/candidate&gt;
&lt;/results&gt;
</v>
      </c>
      <c r="F14" cm="1">
        <f t="array" ref="F14">INDEX(_xlfn.FILTERXML(E14,"//latitude"),1)</f>
        <v>34.965091999999999</v>
      </c>
      <c r="G14" cm="1">
        <f t="array" ref="G14">INDEX(_xlfn.FILTERXML(E14,"//longitude"),1)</f>
        <v>136.62441999999999</v>
      </c>
      <c r="H14">
        <v>34.965091999999999</v>
      </c>
      <c r="I14">
        <v>136.62441999999999</v>
      </c>
    </row>
    <row r="15" spans="1:9" x14ac:dyDescent="0.4">
      <c r="A15" t="s">
        <v>10</v>
      </c>
      <c r="B15" t="s">
        <v>85</v>
      </c>
      <c r="C15" t="str">
        <f t="shared" si="0"/>
        <v>神奈川県横浜市港北区大倉山</v>
      </c>
      <c r="D15" s="2" t="str">
        <f t="shared" si="7"/>
        <v>http://geocode.csis.u-tokyo.ac.jp/cgi-bin/simple_geocode.cgi?charset=UTF8&amp;addr=%E7%A5%9E%E5%A5%88%E5%B7%9D%E7%9C%8C%E6%A8%AA%E6%B5%9C%E5%B8%82%E6%B8%AF%E5%8C%97%E5%8C%BA%E5%A4%A7%E5%80%89%E5%B1%B1</v>
      </c>
      <c r="E15" t="str">
        <f t="shared" si="8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15" cm="1">
        <f t="array" ref="F15">INDEX(_xlfn.FILTERXML(E15,"//latitude"),1)</f>
        <v>35.520156999999998</v>
      </c>
      <c r="G15" cm="1">
        <f t="array" ref="G15">INDEX(_xlfn.FILTERXML(E15,"//longitude"),1)</f>
        <v>139.63125600000001</v>
      </c>
      <c r="H15">
        <v>35.520156999999998</v>
      </c>
      <c r="I15">
        <v>139.63125600000001</v>
      </c>
    </row>
    <row r="16" spans="1:9" x14ac:dyDescent="0.4">
      <c r="A16" t="s">
        <v>50</v>
      </c>
      <c r="B16" t="s">
        <v>86</v>
      </c>
      <c r="C16" t="str">
        <f t="shared" si="0"/>
        <v>新潟県新潟市中央区</v>
      </c>
      <c r="D16" s="2" t="str">
        <f t="shared" si="7"/>
        <v>http://geocode.csis.u-tokyo.ac.jp/cgi-bin/simple_geocode.cgi?charset=UTF8&amp;addr=%E6%96%B0%E6%BD%9F%E7%9C%8C%E6%96%B0%E6%BD%9F%E5%B8%82%E4%B8%AD%E5%A4%AE%E5%8C%BA</v>
      </c>
      <c r="E16" t="str">
        <f t="shared" si="8"/>
        <v xml:space="preserve">&lt;?xml version="1.0" encoding="UTF-8" ?&gt;
&lt;results&gt;
&lt;query&gt;新潟県新潟市中央区&lt;/query&gt;
&lt;geodetic&gt;wgs1984&lt;/geodetic&gt;
&lt;iConf&gt;5&lt;/iConf&gt;
&lt;converted&gt;新潟県新潟市中央区&lt;/converted&gt;
&lt;candidate&gt;
&lt;address&gt;新潟県/新潟市/中央区&lt;/address&gt;
&lt;longitude&gt;139.036407&lt;/longitude&gt;
&lt;latitude&gt;37.916126&lt;/latitude&gt;
&lt;iLvl&gt;4&lt;/iLvl&gt;
&lt;/candidate&gt;
&lt;/results&gt;
</v>
      </c>
      <c r="F16" cm="1">
        <f t="array" ref="F16">INDEX(_xlfn.FILTERXML(E16,"//latitude"),1)</f>
        <v>37.916125999999998</v>
      </c>
      <c r="G16" cm="1">
        <f t="array" ref="G16">INDEX(_xlfn.FILTERXML(E16,"//longitude"),1)</f>
        <v>139.036407</v>
      </c>
      <c r="H16">
        <v>37.916125999999998</v>
      </c>
      <c r="I16">
        <v>139.036407</v>
      </c>
    </row>
    <row r="17" spans="1:9" x14ac:dyDescent="0.4">
      <c r="A17" t="s">
        <v>67</v>
      </c>
      <c r="B17" t="s">
        <v>87</v>
      </c>
      <c r="C17" t="str">
        <f t="shared" si="0"/>
        <v>福井県坂井市春江町西長田</v>
      </c>
      <c r="D17" s="2" t="str">
        <f t="shared" si="7"/>
        <v>http://geocode.csis.u-tokyo.ac.jp/cgi-bin/simple_geocode.cgi?charset=UTF8&amp;addr=%E7%A6%8F%E4%BA%95%E7%9C%8C%E5%9D%82%E4%BA%95%E5%B8%82%E6%98%A5%E6%B1%9F%E7%94%BA%E8%A5%BF%E9%95%B7%E7%94%B0</v>
      </c>
      <c r="E17" t="str">
        <f t="shared" si="8"/>
        <v xml:space="preserve">&lt;?xml version="1.0" encoding="UTF-8" ?&gt;
&lt;results&gt;
&lt;query&gt;福井県坂井市春江町西長田&lt;/query&gt;
&lt;geodetic&gt;wgs1984&lt;/geodetic&gt;
&lt;iConf&gt;5&lt;/iConf&gt;
&lt;converted&gt;福井県坂井市春江町西長田&lt;/converted&gt;
&lt;candidate&gt;
&lt;address&gt;福井県/坂井市/春江町西長田&lt;/address&gt;
&lt;longitude&gt;136.203979&lt;/longitude&gt;
&lt;latitude&gt;36.155418&lt;/latitude&gt;
&lt;iLvl&gt;5&lt;/iLvl&gt;
&lt;/candidate&gt;
&lt;/results&gt;
</v>
      </c>
      <c r="F17" cm="1">
        <f t="array" ref="F17">INDEX(_xlfn.FILTERXML(E17,"//latitude"),1)</f>
        <v>36.155417999999997</v>
      </c>
      <c r="G17" cm="1">
        <f t="array" ref="G17">INDEX(_xlfn.FILTERXML(E17,"//longitude"),1)</f>
        <v>136.203979</v>
      </c>
      <c r="H17">
        <v>36.155417999999997</v>
      </c>
      <c r="I17">
        <v>136.203979</v>
      </c>
    </row>
    <row r="18" spans="1:9" x14ac:dyDescent="0.4">
      <c r="A18" t="s">
        <v>18</v>
      </c>
      <c r="B18" t="s">
        <v>88</v>
      </c>
      <c r="C18" t="str">
        <f t="shared" si="0"/>
        <v>千葉県浦安市</v>
      </c>
      <c r="D18" s="2" t="str">
        <f t="shared" si="7"/>
        <v>http://geocode.csis.u-tokyo.ac.jp/cgi-bin/simple_geocode.cgi?charset=UTF8&amp;addr=%E5%8D%83%E8%91%89%E7%9C%8C%E6%B5%A6%E5%AE%89%E5%B8%82</v>
      </c>
      <c r="E18" t="str">
        <f t="shared" si="8"/>
        <v xml:space="preserve">&lt;?xml version="1.0" encoding="UTF-8" ?&gt;
&lt;results&gt;
&lt;query&gt;千葉県浦安市&lt;/query&gt;
&lt;geodetic&gt;wgs1984&lt;/geodetic&gt;
&lt;iConf&gt;5&lt;/iConf&gt;
&lt;converted&gt;千葉県浦安市&lt;/converted&gt;
&lt;candidate&gt;
&lt;address&gt;千葉県/浦安市&lt;/address&gt;
&lt;longitude&gt;139.902191&lt;/longitude&gt;
&lt;latitude&gt;35.653988&lt;/latitude&gt;
&lt;iLvl&gt;3&lt;/iLvl&gt;
&lt;/candidate&gt;
&lt;/results&gt;
</v>
      </c>
      <c r="F18" cm="1">
        <f t="array" ref="F18">INDEX(_xlfn.FILTERXML(E18,"//latitude"),1)</f>
        <v>35.653987999999998</v>
      </c>
      <c r="G18" cm="1">
        <f t="array" ref="G18">INDEX(_xlfn.FILTERXML(E18,"//longitude"),1)</f>
        <v>139.90219099999999</v>
      </c>
      <c r="H18">
        <v>35.653987999999998</v>
      </c>
      <c r="I18">
        <v>139.90219099999999</v>
      </c>
    </row>
    <row r="19" spans="1:9" x14ac:dyDescent="0.4">
      <c r="A19" t="s">
        <v>30</v>
      </c>
      <c r="B19" t="s">
        <v>89</v>
      </c>
      <c r="C19" t="str">
        <f t="shared" si="0"/>
        <v>静岡県磐田市森下</v>
      </c>
      <c r="D19" s="2" t="str">
        <f t="shared" si="7"/>
        <v>http://geocode.csis.u-tokyo.ac.jp/cgi-bin/simple_geocode.cgi?charset=UTF8&amp;addr=%E9%9D%99%E5%B2%A1%E7%9C%8C%E7%A3%90%E7%94%B0%E5%B8%82%E6%A3%AE%E4%B8%8B</v>
      </c>
      <c r="E19" t="str">
        <f t="shared" si="8"/>
        <v xml:space="preserve">&lt;?xml version="1.0" encoding="UTF-8" ?&gt;
&lt;results&gt;
&lt;query&gt;静岡県磐田市森下&lt;/query&gt;
&lt;geodetic&gt;wgs1984&lt;/geodetic&gt;
&lt;iConf&gt;5&lt;/iConf&gt;
&lt;converted&gt;静岡県磐田市森下&lt;/converted&gt;
&lt;candidate&gt;
&lt;address&gt;静岡県/磐田市/森下&lt;/address&gt;
&lt;longitude&gt;137.821823&lt;/longitude&gt;
&lt;latitude&gt;34.722069&lt;/latitude&gt;
&lt;iLvl&gt;5&lt;/iLvl&gt;
&lt;/candidate&gt;
&lt;/results&gt;
</v>
      </c>
      <c r="F19" cm="1">
        <f t="array" ref="F19">INDEX(_xlfn.FILTERXML(E19,"//latitude"),1)</f>
        <v>34.722068999999998</v>
      </c>
      <c r="G19" cm="1">
        <f t="array" ref="G19">INDEX(_xlfn.FILTERXML(E19,"//longitude"),1)</f>
        <v>137.82182299999999</v>
      </c>
      <c r="H19">
        <v>34.722068999999998</v>
      </c>
      <c r="I19">
        <v>137.82182299999999</v>
      </c>
    </row>
    <row r="20" spans="1:9" x14ac:dyDescent="0.4">
      <c r="A20" t="s">
        <v>11</v>
      </c>
      <c r="B20" t="s">
        <v>90</v>
      </c>
      <c r="C20" t="str">
        <f t="shared" si="0"/>
        <v>大阪府泉大津市豊中町</v>
      </c>
      <c r="D20" s="2" t="str">
        <f t="shared" si="7"/>
        <v>http://geocode.csis.u-tokyo.ac.jp/cgi-bin/simple_geocode.cgi?charset=UTF8&amp;addr=%E5%A4%A7%E9%98%AA%E5%BA%9C%E6%B3%89%E5%A4%A7%E6%B4%A5%E5%B8%82%E8%B1%8A%E4%B8%AD%E7%94%BA</v>
      </c>
      <c r="E20" t="str">
        <f t="shared" si="8"/>
        <v xml:space="preserve">&lt;?xml version="1.0" encoding="UTF-8" ?&gt;
&lt;results&gt;
&lt;query&gt;大阪府泉大津市豊中町&lt;/query&gt;
&lt;geodetic&gt;wgs1984&lt;/geodetic&gt;
&lt;iConf&gt;5&lt;/iConf&gt;
&lt;converted&gt;大阪府泉大津市豊中町&lt;/converted&gt;
&lt;candidate&gt;
&lt;address&gt;大阪府/泉大津市/豊中町&lt;/address&gt;
&lt;longitude&gt;135.420166&lt;/longitude&gt;
&lt;latitude&gt;34.495850&lt;/latitude&gt;
&lt;iLvl&gt;5&lt;/iLvl&gt;
&lt;/candidate&gt;
&lt;/results&gt;
</v>
      </c>
      <c r="F20" cm="1">
        <f t="array" ref="F20">INDEX(_xlfn.FILTERXML(E20,"//latitude"),1)</f>
        <v>34.495849999999997</v>
      </c>
      <c r="G20" cm="1">
        <f t="array" ref="G20">INDEX(_xlfn.FILTERXML(E20,"//longitude"),1)</f>
        <v>135.42016599999999</v>
      </c>
      <c r="H20">
        <v>34.495849999999997</v>
      </c>
      <c r="I20">
        <v>135.42016599999999</v>
      </c>
    </row>
    <row r="21" spans="1:9" x14ac:dyDescent="0.4">
      <c r="A21" t="s">
        <v>11</v>
      </c>
      <c r="B21" t="s">
        <v>91</v>
      </c>
      <c r="C21" t="str">
        <f t="shared" si="0"/>
        <v>大阪府貝塚市北町</v>
      </c>
      <c r="D21" s="2" t="str">
        <f t="shared" si="7"/>
        <v>http://geocode.csis.u-tokyo.ac.jp/cgi-bin/simple_geocode.cgi?charset=UTF8&amp;addr=%E5%A4%A7%E9%98%AA%E5%BA%9C%E8%B2%9D%E5%A1%9A%E5%B8%82%E5%8C%97%E7%94%BA</v>
      </c>
      <c r="E21" t="str">
        <f t="shared" si="8"/>
        <v xml:space="preserve">&lt;?xml version="1.0" encoding="UTF-8" ?&gt;
&lt;results&gt;
&lt;query&gt;大阪府貝塚市北町&lt;/query&gt;
&lt;geodetic&gt;wgs1984&lt;/geodetic&gt;
&lt;iConf&gt;5&lt;/iConf&gt;
&lt;converted&gt;大阪府貝塚市北町&lt;/converted&gt;
&lt;candidate&gt;
&lt;address&gt;大阪府/貝塚市/北町&lt;/address&gt;
&lt;longitude&gt;135.357178&lt;/longitude&gt;
&lt;latitude&gt;34.450359&lt;/latitude&gt;
&lt;iLvl&gt;5&lt;/iLvl&gt;
&lt;/candidate&gt;
&lt;/results&gt;
</v>
      </c>
      <c r="F21" cm="1">
        <f t="array" ref="F21">INDEX(_xlfn.FILTERXML(E21,"//latitude"),1)</f>
        <v>34.450358999999999</v>
      </c>
      <c r="G21" cm="1">
        <f t="array" ref="G21">INDEX(_xlfn.FILTERXML(E21,"//longitude"),1)</f>
        <v>135.357178</v>
      </c>
      <c r="H21">
        <v>34.450358999999999</v>
      </c>
      <c r="I21">
        <v>135.357178</v>
      </c>
    </row>
    <row r="22" spans="1:9" x14ac:dyDescent="0.4">
      <c r="A22" t="s">
        <v>25</v>
      </c>
      <c r="B22" t="s">
        <v>42</v>
      </c>
      <c r="C22" t="str">
        <f t="shared" si="0"/>
        <v>香川県善通寺市下吉田町</v>
      </c>
      <c r="D22" s="2" t="str">
        <f t="shared" si="7"/>
        <v>http://geocode.csis.u-tokyo.ac.jp/cgi-bin/simple_geocode.cgi?charset=UTF8&amp;addr=%E9%A6%99%E5%B7%9D%E7%9C%8C%E5%96%84%E9%80%9A%E5%AF%BA%E5%B8%82%E4%B8%8B%E5%90%89%E7%94%B0%E7%94%BA</v>
      </c>
      <c r="E22" t="str">
        <f t="shared" si="8"/>
        <v xml:space="preserve">&lt;?xml version="1.0" encoding="UTF-8" ?&gt;
&lt;results&gt;
&lt;query&gt;香川県善通寺市下吉田町&lt;/query&gt;
&lt;geodetic&gt;wgs1984&lt;/geodetic&gt;
&lt;iConf&gt;5&lt;/iConf&gt;
&lt;converted&gt;香川県善通寺市下吉田町&lt;/converted&gt;
&lt;candidate&gt;
&lt;address&gt;香川県/善通寺市/下吉田町&lt;/address&gt;
&lt;longitude&gt;133.775330&lt;/longitude&gt;
&lt;latitude&gt;34.240044&lt;/latitude&gt;
&lt;iLvl&gt;5&lt;/iLvl&gt;
&lt;/candidate&gt;
&lt;/results&gt;
</v>
      </c>
      <c r="F22" cm="1">
        <f t="array" ref="F22">INDEX(_xlfn.FILTERXML(E22,"//latitude"),1)</f>
        <v>34.240043999999997</v>
      </c>
      <c r="G22" cm="1">
        <f t="array" ref="G22">INDEX(_xlfn.FILTERXML(E22,"//longitude"),1)</f>
        <v>133.77533</v>
      </c>
      <c r="H22">
        <v>34.240043999999997</v>
      </c>
      <c r="I22">
        <v>133.77533</v>
      </c>
    </row>
    <row r="23" spans="1:9" x14ac:dyDescent="0.4">
      <c r="A23" t="s">
        <v>9</v>
      </c>
      <c r="B23" t="s">
        <v>31</v>
      </c>
      <c r="C23" t="str">
        <f t="shared" si="0"/>
        <v>東京都中野区</v>
      </c>
      <c r="D23" s="2" t="str">
        <f t="shared" si="7"/>
        <v>http://geocode.csis.u-tokyo.ac.jp/cgi-bin/simple_geocode.cgi?charset=UTF8&amp;addr=%E6%9D%B1%E4%BA%AC%E9%83%BD%E4%B8%AD%E9%87%8E%E5%8C%BA</v>
      </c>
      <c r="E23" t="str">
        <f t="shared" si="8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23" cm="1">
        <f t="array" ref="F23">INDEX(_xlfn.FILTERXML(E23,"//latitude"),1)</f>
        <v>35.707267999999999</v>
      </c>
      <c r="G23" cm="1">
        <f t="array" ref="G23">INDEX(_xlfn.FILTERXML(E23,"//longitude"),1)</f>
        <v>139.66374200000001</v>
      </c>
      <c r="H23">
        <v>35.707267999999999</v>
      </c>
      <c r="I23">
        <v>139.66374200000001</v>
      </c>
    </row>
    <row r="24" spans="1:9" x14ac:dyDescent="0.4">
      <c r="A24" t="s">
        <v>15</v>
      </c>
      <c r="B24" t="s">
        <v>92</v>
      </c>
      <c r="C24" t="str">
        <f t="shared" si="0"/>
        <v>兵庫県西宮市甲陽園若江町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http://geocode.csis.u-tokyo.ac.jp/cgi-bin/simple_geocode.cgi?charset=UTF8&amp;addr=%E5%85%B5%E5%BA%AB%E7%9C%8C%E8%A5%BF%E5%AE%AE%E5%B8%82%E7%94%B2%E9%99%BD%E5%9C%92%E8%8B%A5%E6%B1%9F%E7%94%BA</v>
      </c>
      <c r="E24" t="str">
        <f t="shared" ref="E24:E44" si="10" xml:space="preserve"> _xlfn.WEBSERVICE(D24)</f>
        <v xml:space="preserve">&lt;?xml version="1.0" encoding="UTF-8" ?&gt;
&lt;results&gt;
&lt;query&gt;兵庫県西宮市甲陽園若江町&lt;/query&gt;
&lt;geodetic&gt;wgs1984&lt;/geodetic&gt;
&lt;iConf&gt;5&lt;/iConf&gt;
&lt;converted&gt;兵庫県西宮市甲陽園若江町&lt;/converted&gt;
&lt;candidate&gt;
&lt;address&gt;兵庫県/西宮市/甲陽園若江町&lt;/address&gt;
&lt;longitude&gt;135.330902&lt;/longitude&gt;
&lt;latitude&gt;34.759026&lt;/latitude&gt;
&lt;iLvl&gt;5&lt;/iLvl&gt;
&lt;/candidate&gt;
&lt;/results&gt;
</v>
      </c>
      <c r="F24" cm="1">
        <f t="array" ref="F24">INDEX(_xlfn.FILTERXML(E24,"//latitude"),1)</f>
        <v>34.759025999999999</v>
      </c>
      <c r="G24" cm="1">
        <f t="array" ref="G24">INDEX(_xlfn.FILTERXML(E24,"//longitude"),1)</f>
        <v>135.33090200000001</v>
      </c>
      <c r="H24">
        <v>34.759025999999999</v>
      </c>
      <c r="I24">
        <v>135.33090200000001</v>
      </c>
    </row>
    <row r="25" spans="1:9" x14ac:dyDescent="0.4">
      <c r="A25" t="s">
        <v>17</v>
      </c>
      <c r="B25" t="s">
        <v>93</v>
      </c>
      <c r="C25" t="str">
        <f t="shared" si="0"/>
        <v>愛知県瀬戸市</v>
      </c>
      <c r="D25" s="2" t="str">
        <f t="shared" si="9"/>
        <v>http://geocode.csis.u-tokyo.ac.jp/cgi-bin/simple_geocode.cgi?charset=UTF8&amp;addr=%E6%84%9B%E7%9F%A5%E7%9C%8C%E7%80%AC%E6%88%B8%E5%B8%82</v>
      </c>
      <c r="E25" t="str">
        <f t="shared" si="10"/>
        <v xml:space="preserve">&lt;?xml version="1.0" encoding="UTF-8" ?&gt;
&lt;results&gt;
&lt;query&gt;愛知県瀬戸市&lt;/query&gt;
&lt;geodetic&gt;wgs1984&lt;/geodetic&gt;
&lt;iConf&gt;5&lt;/iConf&gt;
&lt;converted&gt;愛知県瀬戸市&lt;/converted&gt;
&lt;candidate&gt;
&lt;address&gt;愛知県/瀬戸市&lt;/address&gt;
&lt;longitude&gt;137.084122&lt;/longitude&gt;
&lt;latitude&gt;35.223621&lt;/latitude&gt;
&lt;iLvl&gt;3&lt;/iLvl&gt;
&lt;/candidate&gt;
&lt;/results&gt;
</v>
      </c>
      <c r="F25" cm="1">
        <f t="array" ref="F25">INDEX(_xlfn.FILTERXML(E25,"//latitude"),1)</f>
        <v>35.223621000000001</v>
      </c>
      <c r="G25" cm="1">
        <f t="array" ref="G25">INDEX(_xlfn.FILTERXML(E25,"//longitude"),1)</f>
        <v>137.08412200000001</v>
      </c>
      <c r="H25">
        <v>35.223621000000001</v>
      </c>
      <c r="I25">
        <v>137.08412200000001</v>
      </c>
    </row>
    <row r="26" spans="1:9" x14ac:dyDescent="0.4">
      <c r="A26" t="s">
        <v>10</v>
      </c>
      <c r="B26" t="s">
        <v>94</v>
      </c>
      <c r="C26" t="str">
        <f t="shared" si="0"/>
        <v>神奈川県横浜市瀬谷区瀬谷5丁目</v>
      </c>
      <c r="D26" s="2" t="str">
        <f t="shared" si="9"/>
        <v>http://geocode.csis.u-tokyo.ac.jp/cgi-bin/simple_geocode.cgi?charset=UTF8&amp;addr=%E7%A5%9E%E5%A5%88%E5%B7%9D%E7%9C%8C%E6%A8%AA%E6%B5%9C%E5%B8%82%E7%80%AC%E8%B0%B7%E5%8C%BA%E7%80%AC%E8%B0%B75%E4%B8%81%E7%9B%AE</v>
      </c>
      <c r="E26" t="str">
        <f t="shared" si="10"/>
        <v xml:space="preserve">&lt;?xml version="1.0" encoding="UTF-8" ?&gt;
&lt;results&gt;
&lt;query&gt;神奈川県横浜市瀬谷区瀬谷5丁目&lt;/query&gt;
&lt;geodetic&gt;wgs1984&lt;/geodetic&gt;
&lt;iConf&gt;5&lt;/iConf&gt;
&lt;converted&gt;神奈川県横浜市瀬谷区瀬谷5丁目&lt;/converted&gt;
&lt;candidate&gt;
&lt;address&gt;神奈川県/横浜市/瀬谷区/瀬谷/五丁目&lt;/address&gt;
&lt;longitude&gt;139.478165&lt;/longitude&gt;
&lt;latitude&gt;35.467766&lt;/latitude&gt;
&lt;iLvl&gt;6&lt;/iLvl&gt;
&lt;/candidate&gt;
&lt;/results&gt;
</v>
      </c>
      <c r="F26" cm="1">
        <f t="array" ref="F26">INDEX(_xlfn.FILTERXML(E26,"//latitude"),1)</f>
        <v>35.467765999999997</v>
      </c>
      <c r="G26" cm="1">
        <f t="array" ref="G26">INDEX(_xlfn.FILTERXML(E26,"//longitude"),1)</f>
        <v>139.47816499999999</v>
      </c>
      <c r="H26">
        <v>35.467765999999997</v>
      </c>
      <c r="I26">
        <v>139.47816499999999</v>
      </c>
    </row>
    <row r="27" spans="1:9" x14ac:dyDescent="0.4">
      <c r="A27" t="s">
        <v>17</v>
      </c>
      <c r="B27" t="s">
        <v>95</v>
      </c>
      <c r="C27" t="str">
        <f t="shared" si="0"/>
        <v>愛知県名古屋市守山区青山台</v>
      </c>
      <c r="D27" s="2" t="str">
        <f t="shared" si="9"/>
        <v>http://geocode.csis.u-tokyo.ac.jp/cgi-bin/simple_geocode.cgi?charset=UTF8&amp;addr=%E6%84%9B%E7%9F%A5%E7%9C%8C%E5%90%8D%E5%8F%A4%E5%B1%8B%E5%B8%82%E5%AE%88%E5%B1%B1%E5%8C%BA%E9%9D%92%E5%B1%B1%E5%8F%B0</v>
      </c>
      <c r="E27" t="str">
        <f t="shared" si="10"/>
        <v xml:space="preserve">&lt;?xml version="1.0" encoding="UTF-8" ?&gt;
&lt;results&gt;
&lt;query&gt;愛知県名古屋市守山区青山台&lt;/query&gt;
&lt;geodetic&gt;wgs1984&lt;/geodetic&gt;
&lt;iConf&gt;5&lt;/iConf&gt;
&lt;converted&gt;愛知県名古屋市守山区青山台&lt;/converted&gt;
&lt;candidate&gt;
&lt;address&gt;愛知県/名古屋市/守山区/青山台&lt;/address&gt;
&lt;longitude&gt;137.015259&lt;/longitude&gt;
&lt;latitude&gt;35.229061&lt;/latitude&gt;
&lt;iLvl&gt;5&lt;/iLvl&gt;
&lt;/candidate&gt;
&lt;/results&gt;
</v>
      </c>
      <c r="F27" cm="1">
        <f t="array" ref="F27">INDEX(_xlfn.FILTERXML(E27,"//latitude"),1)</f>
        <v>35.229061000000002</v>
      </c>
      <c r="G27" cm="1">
        <f t="array" ref="G27">INDEX(_xlfn.FILTERXML(E27,"//longitude"),1)</f>
        <v>137.01525899999999</v>
      </c>
      <c r="H27">
        <v>35.229061000000002</v>
      </c>
      <c r="I27">
        <v>137.01525899999999</v>
      </c>
    </row>
    <row r="28" spans="1:9" x14ac:dyDescent="0.4">
      <c r="A28" t="s">
        <v>10</v>
      </c>
      <c r="B28" t="s">
        <v>96</v>
      </c>
      <c r="C28" t="str">
        <f t="shared" si="0"/>
        <v>神奈川県鎌倉市</v>
      </c>
      <c r="D28" s="2" t="str">
        <f t="shared" si="9"/>
        <v>http://geocode.csis.u-tokyo.ac.jp/cgi-bin/simple_geocode.cgi?charset=UTF8&amp;addr=%E7%A5%9E%E5%A5%88%E5%B7%9D%E7%9C%8C%E9%8E%8C%E5%80%89%E5%B8%82</v>
      </c>
      <c r="E28" t="str">
        <f t="shared" si="10"/>
        <v xml:space="preserve">&lt;?xml version="1.0" encoding="UTF-8" ?&gt;
&lt;results&gt;
&lt;query&gt;神奈川県鎌倉市&lt;/query&gt;
&lt;geodetic&gt;wgs1984&lt;/geodetic&gt;
&lt;iConf&gt;5&lt;/iConf&gt;
&lt;converted&gt;神奈川県鎌倉市&lt;/converted&gt;
&lt;candidate&gt;
&lt;address&gt;神奈川県/鎌倉市&lt;/address&gt;
&lt;longitude&gt;139.546692&lt;/longitude&gt;
&lt;latitude&gt;35.319229&lt;/latitude&gt;
&lt;iLvl&gt;3&lt;/iLvl&gt;
&lt;/candidate&gt;
&lt;/results&gt;
</v>
      </c>
      <c r="F28" cm="1">
        <f t="array" ref="F28">INDEX(_xlfn.FILTERXML(E28,"//latitude"),1)</f>
        <v>35.319229</v>
      </c>
      <c r="G28" cm="1">
        <f t="array" ref="G28">INDEX(_xlfn.FILTERXML(E28,"//longitude"),1)</f>
        <v>139.54669200000001</v>
      </c>
      <c r="H28">
        <v>35.319229</v>
      </c>
      <c r="I28">
        <v>139.54669200000001</v>
      </c>
    </row>
    <row r="29" spans="1:9" x14ac:dyDescent="0.4">
      <c r="A29" t="s">
        <v>10</v>
      </c>
      <c r="B29" t="s">
        <v>51</v>
      </c>
      <c r="C29" t="str">
        <f t="shared" si="0"/>
        <v>神奈川県平塚市南原</v>
      </c>
      <c r="D29" s="2" t="str">
        <f t="shared" si="9"/>
        <v>http://geocode.csis.u-tokyo.ac.jp/cgi-bin/simple_geocode.cgi?charset=UTF8&amp;addr=%E7%A5%9E%E5%A5%88%E5%B7%9D%E7%9C%8C%E5%B9%B3%E5%A1%9A%E5%B8%82%E5%8D%97%E5%8E%9F</v>
      </c>
      <c r="E29" t="str">
        <f t="shared" si="10"/>
        <v xml:space="preserve">&lt;?xml version="1.0" encoding="UTF-8" ?&gt;
&lt;results&gt;
&lt;query&gt;神奈川県平塚市南原&lt;/query&gt;
&lt;geodetic&gt;wgs1984&lt;/geodetic&gt;
&lt;iConf&gt;5&lt;/iConf&gt;
&lt;converted&gt;神奈川県平塚市南原&lt;/converted&gt;
&lt;candidate&gt;
&lt;address&gt;神奈川県/平塚市/南原&lt;/address&gt;
&lt;longitude&gt;139.326263&lt;/longitude&gt;
&lt;latitude&gt;35.337265&lt;/latitude&gt;
&lt;iLvl&gt;5&lt;/iLvl&gt;
&lt;/candidate&gt;
&lt;/results&gt;
</v>
      </c>
      <c r="F29" cm="1">
        <f t="array" ref="F29">INDEX(_xlfn.FILTERXML(E29,"//latitude"),1)</f>
        <v>35.337265000000002</v>
      </c>
      <c r="G29" cm="1">
        <f t="array" ref="G29">INDEX(_xlfn.FILTERXML(E29,"//longitude"),1)</f>
        <v>139.32626300000001</v>
      </c>
      <c r="H29">
        <v>35.337265000000002</v>
      </c>
      <c r="I29">
        <v>139.32626300000001</v>
      </c>
    </row>
    <row r="30" spans="1:9" x14ac:dyDescent="0.4">
      <c r="A30" t="s">
        <v>10</v>
      </c>
      <c r="B30" t="s">
        <v>97</v>
      </c>
      <c r="C30" t="str">
        <f t="shared" si="0"/>
        <v>神奈川県横浜市金沢区泥亀</v>
      </c>
      <c r="D30" s="2" t="str">
        <f t="shared" si="9"/>
        <v>http://geocode.csis.u-tokyo.ac.jp/cgi-bin/simple_geocode.cgi?charset=UTF8&amp;addr=%E7%A5%9E%E5%A5%88%E5%B7%9D%E7%9C%8C%E6%A8%AA%E6%B5%9C%E5%B8%82%E9%87%91%E6%B2%A2%E5%8C%BA%E6%B3%A5%E4%BA%80</v>
      </c>
      <c r="E30" t="str">
        <f t="shared" si="10"/>
        <v xml:space="preserve">&lt;?xml version="1.0" encoding="UTF-8" ?&gt;
&lt;results&gt;
&lt;query&gt;神奈川県横浜市金沢区泥亀&lt;/query&gt;
&lt;geodetic&gt;wgs1984&lt;/geodetic&gt;
&lt;iConf&gt;5&lt;/iConf&gt;
&lt;converted&gt;神奈川県横浜市金沢区泥亀&lt;/converted&gt;
&lt;candidate&gt;
&lt;address&gt;神奈川県/横浜市/金沢区/泥亀&lt;/address&gt;
&lt;longitude&gt;139.622070&lt;/longitude&gt;
&lt;latitude&gt;35.337429&lt;/latitude&gt;
&lt;iLvl&gt;5&lt;/iLvl&gt;
&lt;/candidate&gt;
&lt;/results&gt;
</v>
      </c>
      <c r="F30" cm="1">
        <f t="array" ref="F30">INDEX(_xlfn.FILTERXML(E30,"//latitude"),1)</f>
        <v>35.337429</v>
      </c>
      <c r="G30" cm="1">
        <f t="array" ref="G30">INDEX(_xlfn.FILTERXML(E30,"//longitude"),1)</f>
        <v>139.62207000000001</v>
      </c>
      <c r="H30">
        <v>35.337429</v>
      </c>
      <c r="I30">
        <v>139.62207000000001</v>
      </c>
    </row>
    <row r="31" spans="1:9" x14ac:dyDescent="0.4">
      <c r="A31" t="s">
        <v>11</v>
      </c>
      <c r="B31" t="s">
        <v>98</v>
      </c>
      <c r="C31" t="str">
        <f t="shared" si="0"/>
        <v>大阪府柏原市国分東条町</v>
      </c>
      <c r="D31" s="2" t="str">
        <f t="shared" si="9"/>
        <v>http://geocode.csis.u-tokyo.ac.jp/cgi-bin/simple_geocode.cgi?charset=UTF8&amp;addr=%E5%A4%A7%E9%98%AA%E5%BA%9C%E6%9F%8F%E5%8E%9F%E5%B8%82%E5%9B%BD%E5%88%86%E6%9D%B1%E6%9D%A1%E7%94%BA</v>
      </c>
      <c r="E31" t="str">
        <f t="shared" si="10"/>
        <v xml:space="preserve">&lt;?xml version="1.0" encoding="UTF-8" ?&gt;
&lt;results&gt;
&lt;query&gt;大阪府柏原市国分東条町&lt;/query&gt;
&lt;geodetic&gt;wgs1984&lt;/geodetic&gt;
&lt;iConf&gt;5&lt;/iConf&gt;
&lt;converted&gt;大阪府柏原市国分東条町&lt;/converted&gt;
&lt;candidate&gt;
&lt;address&gt;大阪府/柏原市/国分東条町&lt;/address&gt;
&lt;longitude&gt;135.658661&lt;/longitude&gt;
&lt;latitude&gt;34.567245&lt;/latitude&gt;
&lt;iLvl&gt;5&lt;/iLvl&gt;
&lt;/candidate&gt;
&lt;/results&gt;
</v>
      </c>
      <c r="F31" cm="1">
        <f t="array" ref="F31">INDEX(_xlfn.FILTERXML(E31,"//latitude"),1)</f>
        <v>34.567245</v>
      </c>
      <c r="G31" cm="1">
        <f t="array" ref="G31">INDEX(_xlfn.FILTERXML(E31,"//longitude"),1)</f>
        <v>135.658661</v>
      </c>
      <c r="H31">
        <v>34.567245</v>
      </c>
      <c r="I31">
        <v>135.658661</v>
      </c>
    </row>
    <row r="32" spans="1:9" x14ac:dyDescent="0.4">
      <c r="A32" t="s">
        <v>11</v>
      </c>
      <c r="B32" t="s">
        <v>99</v>
      </c>
      <c r="C32" t="str">
        <f t="shared" si="0"/>
        <v>大阪府岸和田市土生滝町</v>
      </c>
      <c r="D32" s="2" t="str">
        <f t="shared" si="9"/>
        <v>http://geocode.csis.u-tokyo.ac.jp/cgi-bin/simple_geocode.cgi?charset=UTF8&amp;addr=%E5%A4%A7%E9%98%AA%E5%BA%9C%E5%B2%B8%E5%92%8C%E7%94%B0%E5%B8%82%E5%9C%9F%E7%94%9F%E6%BB%9D%E7%94%BA</v>
      </c>
      <c r="E32" t="str">
        <f t="shared" si="10"/>
        <v xml:space="preserve">&lt;?xml version="1.0" encoding="UTF-8" ?&gt;
&lt;results&gt;
&lt;query&gt;大阪府岸和田市土生滝町&lt;/query&gt;
&lt;geodetic&gt;wgs1984&lt;/geodetic&gt;
&lt;iConf&gt;5&lt;/iConf&gt;
&lt;converted&gt;大阪府岸和田市土生滝町&lt;/converted&gt;
&lt;candidate&gt;
&lt;address&gt;大阪府/岸和田市/土生滝町&lt;/address&gt;
&lt;longitude&gt;135.411942&lt;/longitude&gt;
&lt;latitude&gt;34.422920&lt;/latitude&gt;
&lt;iLvl&gt;5&lt;/iLvl&gt;
&lt;/candidate&gt;
&lt;/results&gt;
</v>
      </c>
      <c r="F32" cm="1">
        <f t="array" ref="F32">INDEX(_xlfn.FILTERXML(E32,"//latitude"),1)</f>
        <v>34.422919999999998</v>
      </c>
      <c r="G32" cm="1">
        <f t="array" ref="G32">INDEX(_xlfn.FILTERXML(E32,"//longitude"),1)</f>
        <v>135.41194200000001</v>
      </c>
      <c r="H32">
        <v>34.422919999999998</v>
      </c>
      <c r="I32">
        <v>135.41194200000001</v>
      </c>
    </row>
    <row r="33" spans="1:9" x14ac:dyDescent="0.4">
      <c r="A33" t="s">
        <v>39</v>
      </c>
      <c r="B33" t="s">
        <v>100</v>
      </c>
      <c r="C33" t="str">
        <f t="shared" si="0"/>
        <v>熊本県合志市幾久富</v>
      </c>
      <c r="D33" s="2" t="str">
        <f t="shared" si="9"/>
        <v>http://geocode.csis.u-tokyo.ac.jp/cgi-bin/simple_geocode.cgi?charset=UTF8&amp;addr=%E7%86%8A%E6%9C%AC%E7%9C%8C%E5%90%88%E5%BF%97%E5%B8%82%E5%B9%BE%E4%B9%85%E5%AF%8C</v>
      </c>
      <c r="E33" t="str">
        <f t="shared" si="10"/>
        <v xml:space="preserve">&lt;?xml version="1.0" encoding="UTF-8" ?&gt;
&lt;results&gt;
&lt;query&gt;熊本県合志市幾久富&lt;/query&gt;
&lt;geodetic&gt;wgs1984&lt;/geodetic&gt;
&lt;iConf&gt;5&lt;/iConf&gt;
&lt;converted&gt;熊本県合志市幾久富&lt;/converted&gt;
&lt;candidate&gt;
&lt;address&gt;熊本県/合志市/幾久富&lt;/address&gt;
&lt;longitude&gt;130.789139&lt;/longitude&gt;
&lt;latitude&gt;32.887196&lt;/latitude&gt;
&lt;iLvl&gt;5&lt;/iLvl&gt;
&lt;/candidate&gt;
&lt;/results&gt;
</v>
      </c>
      <c r="F33" cm="1">
        <f t="array" ref="F33">INDEX(_xlfn.FILTERXML(E33,"//latitude"),1)</f>
        <v>32.887196000000003</v>
      </c>
      <c r="G33" cm="1">
        <f t="array" ref="G33">INDEX(_xlfn.FILTERXML(E33,"//longitude"),1)</f>
        <v>130.78913900000001</v>
      </c>
      <c r="H33">
        <v>32.887196000000003</v>
      </c>
      <c r="I33">
        <v>130.78913900000001</v>
      </c>
    </row>
    <row r="34" spans="1:9" x14ac:dyDescent="0.4">
      <c r="A34" t="s">
        <v>11</v>
      </c>
      <c r="B34" t="s">
        <v>101</v>
      </c>
      <c r="C34" t="str">
        <f t="shared" si="0"/>
        <v>大阪府豊能郡豊能町ときわ台４丁目</v>
      </c>
      <c r="D34" s="2" t="str">
        <f t="shared" si="9"/>
        <v>http://geocode.csis.u-tokyo.ac.jp/cgi-bin/simple_geocode.cgi?charset=UTF8&amp;addr=%E5%A4%A7%E9%98%AA%E5%BA%9C%E8%B1%8A%E8%83%BD%E9%83%A1%E8%B1%8A%E8%83%BD%E7%94%BA%E3%81%A8%E3%81%8D%E3%82%8F%E5%8F%B0%EF%BC%94%E4%B8%81%E7%9B%AE</v>
      </c>
      <c r="E34" t="str">
        <f t="shared" si="10"/>
        <v xml:space="preserve">&lt;?xml version="1.0" encoding="UTF-8" ?&gt;
&lt;results&gt;
&lt;query&gt;大阪府豊能郡豊能町ときわ台４丁目&lt;/query&gt;
&lt;geodetic&gt;wgs1984&lt;/geodetic&gt;
&lt;iConf&gt;5&lt;/iConf&gt;
&lt;converted&gt;大阪府豊能郡豊能町ときわ台４丁目&lt;/converted&gt;
&lt;candidate&gt;
&lt;address&gt;大阪府/豊能郡/豊能町/ときわ台/四丁目&lt;/address&gt;
&lt;longitude&gt;135.440918&lt;/longitude&gt;
&lt;latitude&gt;34.904015&lt;/latitude&gt;
&lt;iLvl&gt;6&lt;/iLvl&gt;
&lt;/candidate&gt;
&lt;/results&gt;
</v>
      </c>
      <c r="F34" cm="1">
        <f t="array" ref="F34">INDEX(_xlfn.FILTERXML(E34,"//latitude"),1)</f>
        <v>34.904015000000001</v>
      </c>
      <c r="G34" cm="1">
        <f t="array" ref="G34">INDEX(_xlfn.FILTERXML(E34,"//longitude"),1)</f>
        <v>135.44091800000001</v>
      </c>
      <c r="H34">
        <v>34.904015000000001</v>
      </c>
      <c r="I34">
        <v>135.44091800000001</v>
      </c>
    </row>
    <row r="35" spans="1:9" x14ac:dyDescent="0.4">
      <c r="A35" t="s">
        <v>70</v>
      </c>
      <c r="B35" t="s">
        <v>102</v>
      </c>
      <c r="C35" t="str">
        <f t="shared" si="0"/>
        <v>徳島県板野郡上板町神宅字滝ノ宮西</v>
      </c>
      <c r="D35" s="2" t="str">
        <f t="shared" si="9"/>
        <v>http://geocode.csis.u-tokyo.ac.jp/cgi-bin/simple_geocode.cgi?charset=UTF8&amp;addr=%E5%BE%B3%E5%B3%B6%E7%9C%8C%E6%9D%BF%E9%87%8E%E9%83%A1%E4%B8%8A%E6%9D%BF%E7%94%BA%E7%A5%9E%E5%AE%85%E5%AD%97%E6%BB%9D%E3%83%8E%E5%AE%AE%E8%A5%BF</v>
      </c>
      <c r="E35" t="str">
        <f t="shared" si="10"/>
        <v xml:space="preserve">&lt;?xml version="1.0" encoding="UTF-8" ?&gt;
&lt;results&gt;
&lt;query&gt;徳島県板野郡上板町神宅字滝ノ宮西&lt;/query&gt;
&lt;geodetic&gt;wgs1984&lt;/geodetic&gt;
&lt;iConf&gt;5&lt;/iConf&gt;
&lt;converted&gt;徳島県板野郡上板町神宅字&lt;/converted&gt;
&lt;candidate&gt;
&lt;address&gt;徳島県/板野郡/上板町/神宅&lt;/address&gt;
&lt;longitude&gt;134.411072&lt;/longitude&gt;
&lt;latitude&gt;34.145168&lt;/latitude&gt;
&lt;iLvl&gt;5&lt;/iLvl&gt;
&lt;/candidate&gt;
&lt;/results&gt;
</v>
      </c>
      <c r="F35" cm="1">
        <f t="array" ref="F35">INDEX(_xlfn.FILTERXML(E35,"//latitude"),1)</f>
        <v>34.145167999999998</v>
      </c>
      <c r="G35" cm="1">
        <f t="array" ref="G35">INDEX(_xlfn.FILTERXML(E35,"//longitude"),1)</f>
        <v>134.41107199999999</v>
      </c>
      <c r="H35">
        <v>34.145167999999998</v>
      </c>
      <c r="I35">
        <v>134.41107199999999</v>
      </c>
    </row>
    <row r="36" spans="1:9" x14ac:dyDescent="0.4">
      <c r="A36" t="s">
        <v>10</v>
      </c>
      <c r="B36" t="s">
        <v>103</v>
      </c>
      <c r="C36" t="str">
        <f t="shared" si="0"/>
        <v>神奈川県横浜市神奈川区栄町</v>
      </c>
      <c r="D36" s="2" t="str">
        <f t="shared" si="9"/>
        <v>http://geocode.csis.u-tokyo.ac.jp/cgi-bin/simple_geocode.cgi?charset=UTF8&amp;addr=%E7%A5%9E%E5%A5%88%E5%B7%9D%E7%9C%8C%E6%A8%AA%E6%B5%9C%E5%B8%82%E7%A5%9E%E5%A5%88%E5%B7%9D%E5%8C%BA%E6%A0%84%E7%94%BA</v>
      </c>
      <c r="E36" t="str">
        <f t="shared" si="10"/>
        <v xml:space="preserve">&lt;?xml version="1.0" encoding="UTF-8" ?&gt;
&lt;results&gt;
&lt;query&gt;神奈川県横浜市神奈川区栄町&lt;/query&gt;
&lt;geodetic&gt;wgs1984&lt;/geodetic&gt;
&lt;iConf&gt;5&lt;/iConf&gt;
&lt;converted&gt;神奈川県横浜市神奈川区栄町&lt;/converted&gt;
&lt;candidate&gt;
&lt;address&gt;神奈川県/横浜市/神奈川区/栄町&lt;/address&gt;
&lt;longitude&gt;139.630966&lt;/longitude&gt;
&lt;latitude&gt;35.469910&lt;/latitude&gt;
&lt;iLvl&gt;5&lt;/iLvl&gt;
&lt;/candidate&gt;
&lt;/results&gt;
</v>
      </c>
      <c r="F36" cm="1">
        <f t="array" ref="F36">INDEX(_xlfn.FILTERXML(E36,"//latitude"),1)</f>
        <v>35.469909999999999</v>
      </c>
      <c r="G36" cm="1">
        <f t="array" ref="G36">INDEX(_xlfn.FILTERXML(E36,"//longitude"),1)</f>
        <v>139.630966</v>
      </c>
      <c r="H36">
        <v>35.469909999999999</v>
      </c>
      <c r="I36">
        <v>139.630966</v>
      </c>
    </row>
    <row r="37" spans="1:9" x14ac:dyDescent="0.4">
      <c r="A37" t="s">
        <v>12</v>
      </c>
      <c r="B37" t="s">
        <v>48</v>
      </c>
      <c r="C37" t="str">
        <f t="shared" si="0"/>
        <v>奈良県吉野郡大淀町福神</v>
      </c>
      <c r="D37" s="2" t="str">
        <f t="shared" si="9"/>
        <v>http://geocode.csis.u-tokyo.ac.jp/cgi-bin/simple_geocode.cgi?charset=UTF8&amp;addr=%E5%A5%88%E8%89%AF%E7%9C%8C%E5%90%89%E9%87%8E%E9%83%A1%E5%A4%A7%E6%B7%80%E7%94%BA%E7%A6%8F%E7%A5%9E</v>
      </c>
      <c r="E37" t="str">
        <f t="shared" si="10"/>
        <v xml:space="preserve">&lt;?xml version="1.0" encoding="UTF-8" ?&gt;
&lt;results&gt;
&lt;query&gt;奈良県吉野郡大淀町福神&lt;/query&gt;
&lt;geodetic&gt;wgs1984&lt;/geodetic&gt;
&lt;iConf&gt;5&lt;/iConf&gt;
&lt;converted&gt;奈良県吉野郡大淀町福神&lt;/converted&gt;
&lt;candidate&gt;
&lt;address&gt;奈良県/吉野郡/大淀町/福神&lt;/address&gt;
&lt;longitude&gt;135.747253&lt;/longitude&gt;
&lt;latitude&gt;34.394787&lt;/latitude&gt;
&lt;iLvl&gt;5&lt;/iLvl&gt;
&lt;/candidate&gt;
&lt;/results&gt;
</v>
      </c>
      <c r="F37" cm="1">
        <f t="array" ref="F37">INDEX(_xlfn.FILTERXML(E37,"//latitude"),1)</f>
        <v>34.394787000000001</v>
      </c>
      <c r="G37" cm="1">
        <f t="array" ref="G37">INDEX(_xlfn.FILTERXML(E37,"//longitude"),1)</f>
        <v>135.747253</v>
      </c>
      <c r="H37">
        <v>34.394787000000001</v>
      </c>
      <c r="I37">
        <v>135.747253</v>
      </c>
    </row>
    <row r="38" spans="1:9" x14ac:dyDescent="0.4">
      <c r="A38" t="s">
        <v>10</v>
      </c>
      <c r="B38" t="s">
        <v>69</v>
      </c>
      <c r="C38" t="str">
        <f t="shared" si="0"/>
        <v>神奈川県横浜市戸塚区川上町</v>
      </c>
      <c r="D38" s="2" t="str">
        <f t="shared" si="9"/>
        <v>http://geocode.csis.u-tokyo.ac.jp/cgi-bin/simple_geocode.cgi?charset=UTF8&amp;addr=%E7%A5%9E%E5%A5%88%E5%B7%9D%E7%9C%8C%E6%A8%AA%E6%B5%9C%E5%B8%82%E6%88%B8%E5%A1%9A%E5%8C%BA%E5%B7%9D%E4%B8%8A%E7%94%BA</v>
      </c>
      <c r="E38" t="str">
        <f t="shared" si="10"/>
        <v xml:space="preserve">&lt;?xml version="1.0" encoding="UTF-8" ?&gt;
&lt;results&gt;
&lt;query&gt;神奈川県横浜市戸塚区川上町&lt;/query&gt;
&lt;geodetic&gt;wgs1984&lt;/geodetic&gt;
&lt;iConf&gt;5&lt;/iConf&gt;
&lt;converted&gt;神奈川県横浜市戸塚区川上町&lt;/converted&gt;
&lt;candidate&gt;
&lt;address&gt;神奈川県/横浜市/戸塚区/川上町&lt;/address&gt;
&lt;longitude&gt;139.544785&lt;/longitude&gt;
&lt;latitude&gt;35.436321&lt;/latitude&gt;
&lt;iLvl&gt;5&lt;/iLvl&gt;
&lt;/candidate&gt;
&lt;/results&gt;
</v>
      </c>
      <c r="F38" cm="1">
        <f t="array" ref="F38">INDEX(_xlfn.FILTERXML(E38,"//latitude"),1)</f>
        <v>35.436321</v>
      </c>
      <c r="G38" cm="1">
        <f t="array" ref="G38">INDEX(_xlfn.FILTERXML(E38,"//longitude"),1)</f>
        <v>139.54478499999999</v>
      </c>
      <c r="H38">
        <v>35.436321</v>
      </c>
      <c r="I38">
        <v>139.54478499999999</v>
      </c>
    </row>
    <row r="39" spans="1:9" x14ac:dyDescent="0.4">
      <c r="A39" t="s">
        <v>9</v>
      </c>
      <c r="B39" t="s">
        <v>104</v>
      </c>
      <c r="C39" t="str">
        <f t="shared" si="0"/>
        <v>東京都東大和市蔵敷3-799-7</v>
      </c>
      <c r="D39" s="2" t="str">
        <f t="shared" si="9"/>
        <v>http://geocode.csis.u-tokyo.ac.jp/cgi-bin/simple_geocode.cgi?charset=UTF8&amp;addr=%E6%9D%B1%E4%BA%AC%E9%83%BD%E6%9D%B1%E5%A4%A7%E5%92%8C%E5%B8%82%E8%94%B5%E6%95%B73-799-7</v>
      </c>
      <c r="E39" t="str">
        <f t="shared" si="10"/>
        <v xml:space="preserve">&lt;?xml version="1.0" encoding="UTF-8" ?&gt;
&lt;results&gt;
&lt;query&gt;東京都東大和市蔵敷3-799-7&lt;/query&gt;
&lt;geodetic&gt;wgs1984&lt;/geodetic&gt;
&lt;iConf&gt;5&lt;/iConf&gt;
&lt;converted&gt;東京都東大和市蔵敷3-799-&lt;/converted&gt;
&lt;candidate&gt;
&lt;address&gt;東京都/東大和市/蔵敷/三丁目/７９９番地&lt;/address&gt;
&lt;longitude&gt;139.420853&lt;/longitude&gt;
&lt;latitude&gt;35.748875&lt;/latitude&gt;
&lt;iLvl&gt;7&lt;/iLvl&gt;
&lt;/candidate&gt;
&lt;/results&gt;
</v>
      </c>
      <c r="F39" cm="1">
        <f t="array" ref="F39">INDEX(_xlfn.FILTERXML(E39,"//latitude"),1)</f>
        <v>35.748874999999998</v>
      </c>
      <c r="G39" cm="1">
        <f t="array" ref="G39">INDEX(_xlfn.FILTERXML(E39,"//longitude"),1)</f>
        <v>139.42085299999999</v>
      </c>
      <c r="H39">
        <v>35.748874999999998</v>
      </c>
      <c r="I39">
        <v>139.42085299999999</v>
      </c>
    </row>
    <row r="40" spans="1:9" x14ac:dyDescent="0.4">
      <c r="A40" t="s">
        <v>30</v>
      </c>
      <c r="B40" t="s">
        <v>105</v>
      </c>
      <c r="C40" t="str">
        <f t="shared" si="0"/>
        <v>静岡県浜松市中央区蜆塚</v>
      </c>
      <c r="D40" s="2" t="str">
        <f t="shared" si="9"/>
        <v>http://geocode.csis.u-tokyo.ac.jp/cgi-bin/simple_geocode.cgi?charset=UTF8&amp;addr=%E9%9D%99%E5%B2%A1%E7%9C%8C%E6%B5%9C%E6%9D%BE%E5%B8%82%E4%B8%AD%E5%A4%AE%E5%8C%BA%E8%9C%86%E5%A1%9A</v>
      </c>
      <c r="E40" t="str">
        <f t="shared" si="10"/>
        <v xml:space="preserve">&lt;?xml version="1.0" encoding="UTF-8" ?&gt;
&lt;results&gt;
&lt;query&gt;静岡県浜松市中央区蜆塚&lt;/query&gt;
&lt;geodetic&gt;wgs1984&lt;/geodetic&gt;
&lt;iConf&gt;5&lt;/iConf&gt;
&lt;converted&gt;静岡県浜松市中央区蜆塚&lt;/converted&gt;
&lt;candidate&gt;
&lt;address&gt;静岡県/浜松市/中央区/蜆塚&lt;/address&gt;
&lt;longitude&gt;137.712830&lt;/longitude&gt;
&lt;latitude&gt;34.712185&lt;/latitude&gt;
&lt;iLvl&gt;5&lt;/iLvl&gt;
&lt;/candidate&gt;
&lt;/results&gt;
</v>
      </c>
      <c r="F40" cm="1">
        <f t="array" ref="F40">INDEX(_xlfn.FILTERXML(E40,"//latitude"),1)</f>
        <v>34.712184999999998</v>
      </c>
      <c r="G40" cm="1">
        <f t="array" ref="G40">INDEX(_xlfn.FILTERXML(E40,"//longitude"),1)</f>
        <v>137.71283</v>
      </c>
      <c r="H40">
        <v>34.712184999999998</v>
      </c>
      <c r="I40">
        <v>137.71283</v>
      </c>
    </row>
    <row r="41" spans="1:9" x14ac:dyDescent="0.4">
      <c r="A41" t="s">
        <v>21</v>
      </c>
      <c r="B41" t="s">
        <v>106</v>
      </c>
      <c r="C41" t="str">
        <f t="shared" si="0"/>
        <v>福岡県福岡市博多区住吉2-4-7-807</v>
      </c>
      <c r="D41" s="2" t="str">
        <f t="shared" si="9"/>
        <v>http://geocode.csis.u-tokyo.ac.jp/cgi-bin/simple_geocode.cgi?charset=UTF8&amp;addr=%E7%A6%8F%E5%B2%A1%E7%9C%8C%E7%A6%8F%E5%B2%A1%E5%B8%82%E5%8D%9A%E5%A4%9A%E5%8C%BA%E4%BD%8F%E5%90%892-4-7-807</v>
      </c>
      <c r="E41" t="str">
        <f t="shared" si="10"/>
        <v xml:space="preserve">&lt;?xml version="1.0" encoding="UTF-8" ?&gt;
&lt;results&gt;
&lt;query&gt;福岡県福岡市博多区住吉2-4-7-807&lt;/query&gt;
&lt;geodetic&gt;wgs1984&lt;/geodetic&gt;
&lt;iConf&gt;5&lt;/iConf&gt;
&lt;converted&gt;福岡県福岡市博多区住吉2-4-7-&lt;/converted&gt;
&lt;candidate&gt;
&lt;address&gt;福岡県/福岡市/博多区/住吉/二丁目/４番/７号&lt;/address&gt;
&lt;longitude&gt;130.412949&lt;/longitude&gt;
&lt;latitude&gt;33.588085&lt;/latitude&gt;
&lt;iLvl&gt;8&lt;/iLvl&gt;
&lt;/candidate&gt;
&lt;/results&gt;
</v>
      </c>
      <c r="F41" cm="1">
        <f t="array" ref="F41">INDEX(_xlfn.FILTERXML(E41,"//latitude"),1)</f>
        <v>33.588085</v>
      </c>
      <c r="G41" cm="1">
        <f t="array" ref="G41">INDEX(_xlfn.FILTERXML(E41,"//longitude"),1)</f>
        <v>130.412949</v>
      </c>
      <c r="H41">
        <v>33.588085</v>
      </c>
      <c r="I41">
        <v>130.412949</v>
      </c>
    </row>
    <row r="42" spans="1:9" x14ac:dyDescent="0.4">
      <c r="A42" t="s">
        <v>24</v>
      </c>
      <c r="B42" t="s">
        <v>107</v>
      </c>
      <c r="C42" t="str">
        <f t="shared" si="0"/>
        <v>栃木県宇都宮市ゆいの杜</v>
      </c>
      <c r="D42" s="2" t="str">
        <f t="shared" si="9"/>
        <v>http://geocode.csis.u-tokyo.ac.jp/cgi-bin/simple_geocode.cgi?charset=UTF8&amp;addr=%E6%A0%83%E6%9C%A8%E7%9C%8C%E5%AE%87%E9%83%BD%E5%AE%AE%E5%B8%82%E3%82%86%E3%81%84%E3%81%AE%E6%9D%9C</v>
      </c>
      <c r="E42" t="str">
        <f t="shared" si="10"/>
        <v xml:space="preserve">&lt;?xml version="1.0" encoding="UTF-8" ?&gt;
&lt;results&gt;
&lt;query&gt;栃木県宇都宮市ゆいの杜&lt;/query&gt;
&lt;geodetic&gt;wgs1984&lt;/geodetic&gt;
&lt;iConf&gt;5&lt;/iConf&gt;
&lt;converted&gt;栃木県宇都宮市ゆいの杜&lt;/converted&gt;
&lt;candidate&gt;
&lt;address&gt;栃木県/宇都宮市/ゆいの杜&lt;/address&gt;
&lt;longitude&gt;139.985641&lt;/longitude&gt;
&lt;latitude&gt;36.571667&lt;/latitude&gt;
&lt;iLvl&gt;5&lt;/iLvl&gt;
&lt;/candidate&gt;
&lt;/results&gt;
</v>
      </c>
      <c r="F42" cm="1">
        <f t="array" ref="F42">INDEX(_xlfn.FILTERXML(E42,"//latitude"),1)</f>
        <v>36.571666999999998</v>
      </c>
      <c r="G42" cm="1">
        <f t="array" ref="G42">INDEX(_xlfn.FILTERXML(E42,"//longitude"),1)</f>
        <v>139.98564099999999</v>
      </c>
      <c r="H42">
        <v>36.571666999999998</v>
      </c>
      <c r="I42">
        <v>139.98564099999999</v>
      </c>
    </row>
    <row r="43" spans="1:9" x14ac:dyDescent="0.4">
      <c r="A43" t="s">
        <v>13</v>
      </c>
      <c r="B43" t="s">
        <v>65</v>
      </c>
      <c r="C43" t="str">
        <f t="shared" si="0"/>
        <v>埼玉県新座市</v>
      </c>
      <c r="D43" s="2" t="str">
        <f t="shared" si="9"/>
        <v>http://geocode.csis.u-tokyo.ac.jp/cgi-bin/simple_geocode.cgi?charset=UTF8&amp;addr=%E5%9F%BC%E7%8E%89%E7%9C%8C%E6%96%B0%E5%BA%A7%E5%B8%82</v>
      </c>
      <c r="E43" t="str">
        <f t="shared" si="10"/>
        <v xml:space="preserve">&lt;?xml version="1.0" encoding="UTF-8" ?&gt;
&lt;results&gt;
&lt;query&gt;埼玉県新座市&lt;/query&gt;
&lt;geodetic&gt;wgs1984&lt;/geodetic&gt;
&lt;iConf&gt;5&lt;/iConf&gt;
&lt;converted&gt;埼玉県新座市&lt;/converted&gt;
&lt;candidate&gt;
&lt;address&gt;埼玉県/新座市&lt;/address&gt;
&lt;longitude&gt;139.565323&lt;/longitude&gt;
&lt;latitude&gt;35.793495&lt;/latitude&gt;
&lt;iLvl&gt;3&lt;/iLvl&gt;
&lt;/candidate&gt;
&lt;/results&gt;
</v>
      </c>
      <c r="F43" cm="1">
        <f t="array" ref="F43">INDEX(_xlfn.FILTERXML(E43,"//latitude"),1)</f>
        <v>35.793495</v>
      </c>
      <c r="G43" cm="1">
        <f t="array" ref="G43">INDEX(_xlfn.FILTERXML(E43,"//longitude"),1)</f>
        <v>139.56532300000001</v>
      </c>
      <c r="H43">
        <v>35.793495</v>
      </c>
      <c r="I43">
        <v>139.56532300000001</v>
      </c>
    </row>
    <row r="44" spans="1:9" x14ac:dyDescent="0.4">
      <c r="A44" t="s">
        <v>17</v>
      </c>
      <c r="B44" t="s">
        <v>108</v>
      </c>
      <c r="C44" t="str">
        <f t="shared" si="0"/>
        <v>愛知県豊橋市北山町</v>
      </c>
      <c r="D44" s="2" t="str">
        <f t="shared" si="9"/>
        <v>http://geocode.csis.u-tokyo.ac.jp/cgi-bin/simple_geocode.cgi?charset=UTF8&amp;addr=%E6%84%9B%E7%9F%A5%E7%9C%8C%E8%B1%8A%E6%A9%8B%E5%B8%82%E5%8C%97%E5%B1%B1%E7%94%BA</v>
      </c>
      <c r="E44" t="str">
        <f t="shared" si="10"/>
        <v xml:space="preserve">&lt;?xml version="1.0" encoding="UTF-8" ?&gt;
&lt;results&gt;
&lt;query&gt;愛知県豊橋市北山町&lt;/query&gt;
&lt;geodetic&gt;wgs1984&lt;/geodetic&gt;
&lt;iConf&gt;5&lt;/iConf&gt;
&lt;converted&gt;愛知県豊橋市北山町&lt;/converted&gt;
&lt;candidate&gt;
&lt;address&gt;愛知県/豊橋市/北山町&lt;/address&gt;
&lt;longitude&gt;137.391006&lt;/longitude&gt;
&lt;latitude&gt;34.735825&lt;/latitude&gt;
&lt;iLvl&gt;5&lt;/iLvl&gt;
&lt;/candidate&gt;
&lt;/results&gt;
</v>
      </c>
      <c r="F44" cm="1">
        <f t="array" ref="F44">INDEX(_xlfn.FILTERXML(E44,"//latitude"),1)</f>
        <v>34.735824999999998</v>
      </c>
      <c r="G44" cm="1">
        <f t="array" ref="G44">INDEX(_xlfn.FILTERXML(E44,"//longitude"),1)</f>
        <v>137.391006</v>
      </c>
      <c r="H44">
        <v>34.735824999999998</v>
      </c>
      <c r="I44">
        <v>137.391006</v>
      </c>
    </row>
    <row r="45" spans="1:9" x14ac:dyDescent="0.4">
      <c r="A45" t="s">
        <v>13</v>
      </c>
      <c r="B45" t="s">
        <v>109</v>
      </c>
      <c r="C45" t="str">
        <f t="shared" si="0"/>
        <v>埼玉県さいたま市桜区白鍬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http://geocode.csis.u-tokyo.ac.jp/cgi-bin/simple_geocode.cgi?charset=UTF8&amp;addr=%E5%9F%BC%E7%8E%89%E7%9C%8C%E3%81%95%E3%81%84%E3%81%9F%E3%81%BE%E5%B8%82%E6%A1%9C%E5%8C%BA%E7%99%BD%E9%8D%AC</v>
      </c>
      <c r="E45" t="str">
        <f t="shared" ref="E45:E57" si="12" xml:space="preserve"> _xlfn.WEBSERVICE(D45)</f>
        <v xml:space="preserve">&lt;?xml version="1.0" encoding="UTF-8" ?&gt;
&lt;results&gt;
&lt;query&gt;埼玉県さいたま市桜区白鍬&lt;/query&gt;
&lt;geodetic&gt;wgs1984&lt;/geodetic&gt;
&lt;iConf&gt;5&lt;/iConf&gt;
&lt;converted&gt;埼玉県さいたま市桜区白鍬&lt;/converted&gt;
&lt;candidate&gt;
&lt;address&gt;埼玉県/さいたま市/桜区/白鍬&lt;/address&gt;
&lt;longitude&gt;139.603363&lt;/longitude&gt;
&lt;latitude&gt;35.881569&lt;/latitude&gt;
&lt;iLvl&gt;5&lt;/iLvl&gt;
&lt;/candidate&gt;
&lt;/results&gt;
</v>
      </c>
      <c r="F45" cm="1">
        <f t="array" ref="F45">INDEX(_xlfn.FILTERXML(E45,"//latitude"),1)</f>
        <v>35.881568999999999</v>
      </c>
      <c r="G45" cm="1">
        <f t="array" ref="G45">INDEX(_xlfn.FILTERXML(E45,"//longitude"),1)</f>
        <v>139.603363</v>
      </c>
      <c r="H45">
        <v>35.881568999999999</v>
      </c>
      <c r="I45">
        <v>139.603363</v>
      </c>
    </row>
    <row r="46" spans="1:9" x14ac:dyDescent="0.4">
      <c r="A46" t="s">
        <v>15</v>
      </c>
      <c r="B46" t="s">
        <v>110</v>
      </c>
      <c r="C46" t="str">
        <f t="shared" si="0"/>
        <v>兵庫県神戸市垂水区舞多聞東</v>
      </c>
      <c r="D46" s="2" t="str">
        <f t="shared" si="11"/>
        <v>http://geocode.csis.u-tokyo.ac.jp/cgi-bin/simple_geocode.cgi?charset=UTF8&amp;addr=%E5%85%B5%E5%BA%AB%E7%9C%8C%E7%A5%9E%E6%88%B8%E5%B8%82%E5%9E%82%E6%B0%B4%E5%8C%BA%E8%88%9E%E5%A4%9A%E8%81%9E%E6%9D%B1</v>
      </c>
      <c r="E46" t="str">
        <f t="shared" si="12"/>
        <v xml:space="preserve">&lt;?xml version="1.0" encoding="UTF-8" ?&gt;
&lt;results&gt;
&lt;query&gt;兵庫県神戸市垂水区舞多聞東&lt;/query&gt;
&lt;geodetic&gt;wgs1984&lt;/geodetic&gt;
&lt;iConf&gt;5&lt;/iConf&gt;
&lt;converted&gt;兵庫県神戸市垂水区舞多聞東&lt;/converted&gt;
&lt;candidate&gt;
&lt;address&gt;兵庫県/神戸市/垂水区/舞多聞東&lt;/address&gt;
&lt;longitude&gt;135.056030&lt;/longitude&gt;
&lt;latitude&gt;34.663113&lt;/latitude&gt;
&lt;iLvl&gt;5&lt;/iLvl&gt;
&lt;/candidate&gt;
&lt;/results&gt;
</v>
      </c>
      <c r="F46" cm="1">
        <f t="array" ref="F46">INDEX(_xlfn.FILTERXML(E46,"//latitude"),1)</f>
        <v>34.663113000000003</v>
      </c>
      <c r="G46" cm="1">
        <f t="array" ref="G46">INDEX(_xlfn.FILTERXML(E46,"//longitude"),1)</f>
        <v>135.05602999999999</v>
      </c>
      <c r="H46">
        <v>34.663113000000003</v>
      </c>
      <c r="I46">
        <v>135.05602999999999</v>
      </c>
    </row>
    <row r="47" spans="1:9" x14ac:dyDescent="0.4">
      <c r="A47" t="s">
        <v>11</v>
      </c>
      <c r="B47" t="s">
        <v>111</v>
      </c>
      <c r="C47" t="str">
        <f t="shared" si="0"/>
        <v>大阪府茨木市</v>
      </c>
      <c r="D47" s="2" t="str">
        <f t="shared" si="11"/>
        <v>http://geocode.csis.u-tokyo.ac.jp/cgi-bin/simple_geocode.cgi?charset=UTF8&amp;addr=%E5%A4%A7%E9%98%AA%E5%BA%9C%E8%8C%A8%E6%9C%A8%E5%B8%82</v>
      </c>
      <c r="E47" t="str">
        <f t="shared" si="12"/>
        <v xml:space="preserve">&lt;?xml version="1.0" encoding="UTF-8" ?&gt;
&lt;results&gt;
&lt;query&gt;大阪府茨木市&lt;/query&gt;
&lt;geodetic&gt;wgs1984&lt;/geodetic&gt;
&lt;iConf&gt;5&lt;/iConf&gt;
&lt;converted&gt;大阪府茨木市&lt;/converted&gt;
&lt;candidate&gt;
&lt;address&gt;大阪府/茨木市&lt;/address&gt;
&lt;longitude&gt;135.568497&lt;/longitude&gt;
&lt;latitude&gt;34.816154&lt;/latitude&gt;
&lt;iLvl&gt;3&lt;/iLvl&gt;
&lt;/candidate&gt;
&lt;/results&gt;
</v>
      </c>
      <c r="F47" cm="1">
        <f t="array" ref="F47">INDEX(_xlfn.FILTERXML(E47,"//latitude"),1)</f>
        <v>34.816153999999997</v>
      </c>
      <c r="G47" cm="1">
        <f t="array" ref="G47">INDEX(_xlfn.FILTERXML(E47,"//longitude"),1)</f>
        <v>135.56849700000001</v>
      </c>
      <c r="H47">
        <v>34.816153999999997</v>
      </c>
      <c r="I47">
        <v>135.56849700000001</v>
      </c>
    </row>
    <row r="48" spans="1:9" x14ac:dyDescent="0.4">
      <c r="A48" t="s">
        <v>16</v>
      </c>
      <c r="B48" t="s">
        <v>112</v>
      </c>
      <c r="C48" t="str">
        <f t="shared" si="0"/>
        <v>長野県長野市川中島町上氷鉋</v>
      </c>
      <c r="D48" s="2" t="str">
        <f t="shared" si="11"/>
        <v>http://geocode.csis.u-tokyo.ac.jp/cgi-bin/simple_geocode.cgi?charset=UTF8&amp;addr=%E9%95%B7%E9%87%8E%E7%9C%8C%E9%95%B7%E9%87%8E%E5%B8%82%E5%B7%9D%E4%B8%AD%E5%B3%B6%E7%94%BA%E4%B8%8A%E6%B0%B7%E9%89%8B</v>
      </c>
      <c r="E48" t="str">
        <f t="shared" si="12"/>
        <v xml:space="preserve">&lt;?xml version="1.0" encoding="UTF-8" ?&gt;
&lt;results&gt;
&lt;query&gt;長野県長野市川中島町上氷鉋&lt;/query&gt;
&lt;geodetic&gt;wgs1984&lt;/geodetic&gt;
&lt;iConf&gt;5&lt;/iConf&gt;
&lt;converted&gt;長野県長野市川中島町上氷鉋&lt;/converted&gt;
&lt;candidate&gt;
&lt;address&gt;長野県/長野市/川中島町上氷鉋&lt;/address&gt;
&lt;longitude&gt;138.157059&lt;/longitude&gt;
&lt;latitude&gt;36.611912&lt;/latitude&gt;
&lt;iLvl&gt;5&lt;/iLvl&gt;
&lt;/candidate&gt;
&lt;/results&gt;
</v>
      </c>
      <c r="F48" cm="1">
        <f t="array" ref="F48">INDEX(_xlfn.FILTERXML(E48,"//latitude"),1)</f>
        <v>36.611911999999997</v>
      </c>
      <c r="G48" cm="1">
        <f t="array" ref="G48">INDEX(_xlfn.FILTERXML(E48,"//longitude"),1)</f>
        <v>138.157059</v>
      </c>
      <c r="H48">
        <v>36.611911999999997</v>
      </c>
      <c r="I48">
        <v>138.157059</v>
      </c>
    </row>
    <row r="49" spans="1:9" x14ac:dyDescent="0.4">
      <c r="A49" t="s">
        <v>18</v>
      </c>
      <c r="B49" t="s">
        <v>113</v>
      </c>
      <c r="C49" t="str">
        <f t="shared" si="0"/>
        <v>千葉県君津市南子安</v>
      </c>
      <c r="D49" s="2" t="str">
        <f t="shared" si="11"/>
        <v>http://geocode.csis.u-tokyo.ac.jp/cgi-bin/simple_geocode.cgi?charset=UTF8&amp;addr=%E5%8D%83%E8%91%89%E7%9C%8C%E5%90%9B%E6%B4%A5%E5%B8%82%E5%8D%97%E5%AD%90%E5%AE%89</v>
      </c>
      <c r="E49" t="str">
        <f t="shared" si="12"/>
        <v xml:space="preserve">&lt;?xml version="1.0" encoding="UTF-8" ?&gt;
&lt;results&gt;
&lt;query&gt;千葉県君津市南子安&lt;/query&gt;
&lt;geodetic&gt;wgs1984&lt;/geodetic&gt;
&lt;iConf&gt;5&lt;/iConf&gt;
&lt;converted&gt;千葉県君津市南子安&lt;/converted&gt;
&lt;candidate&gt;
&lt;address&gt;千葉県/君津市/南子安&lt;/address&gt;
&lt;longitude&gt;139.932068&lt;/longitude&gt;
&lt;latitude&gt;35.333130&lt;/latitude&gt;
&lt;iLvl&gt;5&lt;/iLvl&gt;
&lt;/candidate&gt;
&lt;/results&gt;
</v>
      </c>
      <c r="F49" cm="1">
        <f t="array" ref="F49">INDEX(_xlfn.FILTERXML(E49,"//latitude"),1)</f>
        <v>35.333129999999997</v>
      </c>
      <c r="G49" cm="1">
        <f t="array" ref="G49">INDEX(_xlfn.FILTERXML(E49,"//longitude"),1)</f>
        <v>139.93206799999999</v>
      </c>
      <c r="H49">
        <v>35.333129999999997</v>
      </c>
      <c r="I49">
        <v>139.93206799999999</v>
      </c>
    </row>
    <row r="50" spans="1:9" x14ac:dyDescent="0.4">
      <c r="A50" t="s">
        <v>20</v>
      </c>
      <c r="B50" t="s">
        <v>114</v>
      </c>
      <c r="C50" t="str">
        <f t="shared" si="0"/>
        <v>茨城県桜川市富士見台</v>
      </c>
      <c r="D50" s="2" t="str">
        <f t="shared" si="11"/>
        <v>http://geocode.csis.u-tokyo.ac.jp/cgi-bin/simple_geocode.cgi?charset=UTF8&amp;addr=%E8%8C%A8%E5%9F%8E%E7%9C%8C%E6%A1%9C%E5%B7%9D%E5%B8%82%E5%AF%8C%E5%A3%AB%E8%A6%8B%E5%8F%B0</v>
      </c>
      <c r="E50" t="str">
        <f t="shared" si="12"/>
        <v xml:space="preserve">&lt;?xml version="1.0" encoding="UTF-8" ?&gt;
&lt;results&gt;
&lt;query&gt;茨城県桜川市富士見台&lt;/query&gt;
&lt;geodetic&gt;wgs1984&lt;/geodetic&gt;
&lt;iConf&gt;5&lt;/iConf&gt;
&lt;converted&gt;茨城県桜川市富士見台&lt;/converted&gt;
&lt;candidate&gt;
&lt;address&gt;茨城県/桜川市/富士見台&lt;/address&gt;
&lt;longitude&gt;140.114319&lt;/longitude&gt;
&lt;latitude&gt;36.364380&lt;/latitude&gt;
&lt;iLvl&gt;5&lt;/iLvl&gt;
&lt;/candidate&gt;
&lt;/results&gt;
</v>
      </c>
      <c r="F50" cm="1">
        <f t="array" ref="F50">INDEX(_xlfn.FILTERXML(E50,"//latitude"),1)</f>
        <v>36.364379999999997</v>
      </c>
      <c r="G50" cm="1">
        <f t="array" ref="G50">INDEX(_xlfn.FILTERXML(E50,"//longitude"),1)</f>
        <v>140.11431899999999</v>
      </c>
      <c r="H50">
        <v>36.364379999999997</v>
      </c>
      <c r="I50">
        <v>140.11431899999999</v>
      </c>
    </row>
    <row r="51" spans="1:9" x14ac:dyDescent="0.4">
      <c r="A51" t="s">
        <v>9</v>
      </c>
      <c r="B51" t="s">
        <v>68</v>
      </c>
      <c r="C51" t="str">
        <f t="shared" si="0"/>
        <v>東京都日野市</v>
      </c>
      <c r="D51" s="2" t="str">
        <f t="shared" si="11"/>
        <v>http://geocode.csis.u-tokyo.ac.jp/cgi-bin/simple_geocode.cgi?charset=UTF8&amp;addr=%E6%9D%B1%E4%BA%AC%E9%83%BD%E6%97%A5%E9%87%8E%E5%B8%82</v>
      </c>
      <c r="E51" t="str">
        <f t="shared" si="12"/>
        <v xml:space="preserve">&lt;?xml version="1.0" encoding="UTF-8" ?&gt;
&lt;results&gt;
&lt;query&gt;東京都日野市&lt;/query&gt;
&lt;geodetic&gt;wgs1984&lt;/geodetic&gt;
&lt;iConf&gt;5&lt;/iConf&gt;
&lt;converted&gt;東京都日野市&lt;/converted&gt;
&lt;candidate&gt;
&lt;address&gt;東京都/日野市&lt;/address&gt;
&lt;longitude&gt;139.394974&lt;/longitude&gt;
&lt;latitude&gt;35.671349&lt;/latitude&gt;
&lt;iLvl&gt;3&lt;/iLvl&gt;
&lt;/candidate&gt;
&lt;/results&gt;
</v>
      </c>
      <c r="F51" cm="1">
        <f t="array" ref="F51">INDEX(_xlfn.FILTERXML(E51,"//latitude"),1)</f>
        <v>35.671348999999999</v>
      </c>
      <c r="G51" cm="1">
        <f t="array" ref="G51">INDEX(_xlfn.FILTERXML(E51,"//longitude"),1)</f>
        <v>139.39497399999999</v>
      </c>
      <c r="H51">
        <v>35.671348999999999</v>
      </c>
      <c r="I51">
        <v>139.39497399999999</v>
      </c>
    </row>
    <row r="52" spans="1:9" x14ac:dyDescent="0.4">
      <c r="A52" t="s">
        <v>21</v>
      </c>
      <c r="B52" t="s">
        <v>115</v>
      </c>
      <c r="C52" t="str">
        <f t="shared" si="0"/>
        <v>福岡県福岡市南区若久五丁目</v>
      </c>
      <c r="D52" s="2" t="str">
        <f t="shared" si="11"/>
        <v>http://geocode.csis.u-tokyo.ac.jp/cgi-bin/simple_geocode.cgi?charset=UTF8&amp;addr=%E7%A6%8F%E5%B2%A1%E7%9C%8C%E7%A6%8F%E5%B2%A1%E5%B8%82%E5%8D%97%E5%8C%BA%E8%8B%A5%E4%B9%85%E4%BA%94%E4%B8%81%E7%9B%AE</v>
      </c>
      <c r="E52" t="str">
        <f t="shared" si="12"/>
        <v xml:space="preserve">&lt;?xml version="1.0" encoding="UTF-8" ?&gt;
&lt;results&gt;
&lt;query&gt;福岡県福岡市南区若久五丁目&lt;/query&gt;
&lt;geodetic&gt;wgs1984&lt;/geodetic&gt;
&lt;iConf&gt;5&lt;/iConf&gt;
&lt;converted&gt;福岡県福岡市南区若久五丁目&lt;/converted&gt;
&lt;candidate&gt;
&lt;address&gt;福岡県/福岡市/南区/若久/五丁目&lt;/address&gt;
&lt;longitude&gt;130.408447&lt;/longitude&gt;
&lt;latitude&gt;33.548313&lt;/latitude&gt;
&lt;iLvl&gt;6&lt;/iLvl&gt;
&lt;/candidate&gt;
&lt;/results&gt;
</v>
      </c>
      <c r="F52" cm="1">
        <f t="array" ref="F52">INDEX(_xlfn.FILTERXML(E52,"//latitude"),1)</f>
        <v>33.548313</v>
      </c>
      <c r="G52" cm="1">
        <f t="array" ref="G52">INDEX(_xlfn.FILTERXML(E52,"//longitude"),1)</f>
        <v>130.408447</v>
      </c>
      <c r="H52">
        <v>33.548313</v>
      </c>
      <c r="I52">
        <v>130.408447</v>
      </c>
    </row>
    <row r="53" spans="1:9" x14ac:dyDescent="0.4">
      <c r="A53" t="s">
        <v>45</v>
      </c>
      <c r="B53" t="s">
        <v>116</v>
      </c>
      <c r="C53" t="str">
        <f t="shared" si="0"/>
        <v>岐阜県安八郡安八町牧</v>
      </c>
      <c r="D53" s="2" t="str">
        <f t="shared" si="11"/>
        <v>http://geocode.csis.u-tokyo.ac.jp/cgi-bin/simple_geocode.cgi?charset=UTF8&amp;addr=%E5%B2%90%E9%98%9C%E7%9C%8C%E5%AE%89%E5%85%AB%E9%83%A1%E5%AE%89%E5%85%AB%E7%94%BA%E7%89%A7</v>
      </c>
      <c r="E53" t="str">
        <f t="shared" si="12"/>
        <v xml:space="preserve">&lt;?xml version="1.0" encoding="UTF-8" ?&gt;
&lt;results&gt;
&lt;query&gt;岐阜県安八郡安八町牧&lt;/query&gt;
&lt;geodetic&gt;wgs1984&lt;/geodetic&gt;
&lt;iConf&gt;5&lt;/iConf&gt;
&lt;converted&gt;岐阜県安八郡安八町牧&lt;/converted&gt;
&lt;candidate&gt;
&lt;address&gt;岐阜県/安八郡/安八町/牧&lt;/address&gt;
&lt;longitude&gt;136.644455&lt;/longitude&gt;
&lt;latitude&gt;35.324661&lt;/latitude&gt;
&lt;iLvl&gt;5&lt;/iLvl&gt;
&lt;/candidate&gt;
&lt;/results&gt;
</v>
      </c>
      <c r="F53" cm="1">
        <f t="array" ref="F53">INDEX(_xlfn.FILTERXML(E53,"//latitude"),1)</f>
        <v>35.324660999999999</v>
      </c>
      <c r="G53" cm="1">
        <f t="array" ref="G53">INDEX(_xlfn.FILTERXML(E53,"//longitude"),1)</f>
        <v>136.64445499999999</v>
      </c>
      <c r="H53">
        <v>35.324660999999999</v>
      </c>
      <c r="I53">
        <v>136.64445499999999</v>
      </c>
    </row>
    <row r="54" spans="1:9" x14ac:dyDescent="0.4">
      <c r="A54" t="s">
        <v>10</v>
      </c>
      <c r="B54" t="s">
        <v>117</v>
      </c>
      <c r="C54" t="str">
        <f t="shared" si="0"/>
        <v>神奈川県横浜市鶴見中央３丁目</v>
      </c>
      <c r="D54" s="2" t="str">
        <f t="shared" si="11"/>
        <v>http://geocode.csis.u-tokyo.ac.jp/cgi-bin/simple_geocode.cgi?charset=UTF8&amp;addr=%E7%A5%9E%E5%A5%88%E5%B7%9D%E7%9C%8C%E6%A8%AA%E6%B5%9C%E5%B8%82%E9%B6%B4%E8%A6%8B%E4%B8%AD%E5%A4%AE%EF%BC%93%E4%B8%81%E7%9B%AE</v>
      </c>
      <c r="E54" t="str">
        <f t="shared" si="12"/>
        <v xml:space="preserve">&lt;?xml version="1.0" encoding="UTF-8" ?&gt;
&lt;results&gt;
&lt;query&gt;神奈川県横浜市鶴見中央３丁目&lt;/query&gt;
&lt;geodetic&gt;wgs1984&lt;/geodetic&gt;
&lt;iConf&gt;5&lt;/iConf&gt;
&lt;converted&gt;神奈川県横浜市鶴見&lt;/converted&gt;
&lt;candidate&gt;
&lt;address&gt;神奈川県/横浜市/鶴見区&lt;/address&gt;
&lt;longitude&gt;139.682388&lt;/longitude&gt;
&lt;latitude&gt;35.508396&lt;/latitude&gt;
&lt;iLvl&gt;4&lt;/iLvl&gt;
&lt;/candidate&gt;
&lt;/results&gt;
</v>
      </c>
      <c r="F54" cm="1">
        <f t="array" ref="F54">INDEX(_xlfn.FILTERXML(E54,"//latitude"),1)</f>
        <v>35.508395999999998</v>
      </c>
      <c r="G54" cm="1">
        <f t="array" ref="G54">INDEX(_xlfn.FILTERXML(E54,"//longitude"),1)</f>
        <v>139.682388</v>
      </c>
      <c r="H54">
        <v>35.508395999999998</v>
      </c>
      <c r="I54">
        <v>139.682388</v>
      </c>
    </row>
    <row r="55" spans="1:9" x14ac:dyDescent="0.4">
      <c r="A55" t="s">
        <v>17</v>
      </c>
      <c r="B55" t="s">
        <v>118</v>
      </c>
      <c r="C55" t="str">
        <f t="shared" si="0"/>
        <v>愛知県名古屋市</v>
      </c>
      <c r="D55" s="2" t="str">
        <f t="shared" si="11"/>
        <v>http://geocode.csis.u-tokyo.ac.jp/cgi-bin/simple_geocode.cgi?charset=UTF8&amp;addr=%E6%84%9B%E7%9F%A5%E7%9C%8C%E5%90%8D%E5%8F%A4%E5%B1%8B%E5%B8%82</v>
      </c>
      <c r="E55" t="str">
        <f t="shared" si="12"/>
        <v xml:space="preserve">&lt;?xml version="1.0" encoding="UTF-8" ?&gt;
&lt;results&gt;
&lt;query&gt;愛知県名古屋市&lt;/query&gt;
&lt;geodetic&gt;wgs1984&lt;/geodetic&gt;
&lt;iConf&gt;5&lt;/iConf&gt;
&lt;converted&gt;愛知県名古屋市&lt;/converted&gt;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55" cm="1">
        <f t="array" ref="F55">INDEX(_xlfn.FILTERXML(E55,"//latitude"),1)</f>
        <v>35.181435</v>
      </c>
      <c r="G55" cm="1">
        <f t="array" ref="G55">INDEX(_xlfn.FILTERXML(E55,"//longitude"),1)</f>
        <v>136.906418</v>
      </c>
      <c r="H55">
        <v>35.181435</v>
      </c>
      <c r="I55">
        <v>136.906418</v>
      </c>
    </row>
    <row r="56" spans="1:9" x14ac:dyDescent="0.4">
      <c r="A56" t="s">
        <v>9</v>
      </c>
      <c r="B56" t="s">
        <v>119</v>
      </c>
      <c r="C56" t="str">
        <f t="shared" si="0"/>
        <v>東京都小平市</v>
      </c>
      <c r="D56" s="2" t="str">
        <f t="shared" si="11"/>
        <v>http://geocode.csis.u-tokyo.ac.jp/cgi-bin/simple_geocode.cgi?charset=UTF8&amp;addr=%E6%9D%B1%E4%BA%AC%E9%83%BD%E5%B0%8F%E5%B9%B3%E5%B8%82</v>
      </c>
      <c r="E56" t="str">
        <f t="shared" si="12"/>
        <v xml:space="preserve">&lt;?xml version="1.0" encoding="UTF-8" ?&gt;
&lt;results&gt;
&lt;query&gt;東京都小平市&lt;/query&gt;
&lt;geodetic&gt;wgs1984&lt;/geodetic&gt;
&lt;iConf&gt;5&lt;/iConf&gt;
&lt;converted&gt;東京都小平市&lt;/converted&gt;
&lt;candidate&gt;
&lt;address&gt;東京都/小平市&lt;/address&gt;
&lt;longitude&gt;139.477478&lt;/longitude&gt;
&lt;latitude&gt;35.728497&lt;/latitude&gt;
&lt;iLvl&gt;3&lt;/iLvl&gt;
&lt;/candidate&gt;
&lt;/results&gt;
</v>
      </c>
      <c r="F56" cm="1">
        <f t="array" ref="F56">INDEX(_xlfn.FILTERXML(E56,"//latitude"),1)</f>
        <v>35.728496999999997</v>
      </c>
      <c r="G56" cm="1">
        <f t="array" ref="G56">INDEX(_xlfn.FILTERXML(E56,"//longitude"),1)</f>
        <v>139.47747799999999</v>
      </c>
      <c r="H56">
        <v>35.728496999999997</v>
      </c>
      <c r="I56">
        <v>139.47747799999999</v>
      </c>
    </row>
    <row r="57" spans="1:9" x14ac:dyDescent="0.4">
      <c r="A57" t="s">
        <v>19</v>
      </c>
      <c r="B57" t="s">
        <v>120</v>
      </c>
      <c r="C57" t="str">
        <f t="shared" si="0"/>
        <v>滋賀県彦根市西沼波町</v>
      </c>
      <c r="D57" s="2" t="str">
        <f t="shared" si="11"/>
        <v>http://geocode.csis.u-tokyo.ac.jp/cgi-bin/simple_geocode.cgi?charset=UTF8&amp;addr=%E6%BB%8B%E8%B3%80%E7%9C%8C%E5%BD%A6%E6%A0%B9%E5%B8%82%E8%A5%BF%E6%B2%BC%E6%B3%A2%E7%94%BA</v>
      </c>
      <c r="E57" t="str">
        <f t="shared" si="12"/>
        <v xml:space="preserve">&lt;?xml version="1.0" encoding="UTF-8" ?&gt;
&lt;results&gt;
&lt;query&gt;滋賀県彦根市西沼波町&lt;/query&gt;
&lt;geodetic&gt;wgs1984&lt;/geodetic&gt;
&lt;iConf&gt;5&lt;/iConf&gt;
&lt;converted&gt;滋賀県彦根市西沼波町&lt;/converted&gt;
&lt;candidate&gt;
&lt;address&gt;滋賀県/彦根市/西沼波町&lt;/address&gt;
&lt;longitude&gt;136.263443&lt;/longitude&gt;
&lt;latitude&gt;35.256908&lt;/latitude&gt;
&lt;iLvl&gt;5&lt;/iLvl&gt;
&lt;/candidate&gt;
&lt;/results&gt;
</v>
      </c>
      <c r="F57" cm="1">
        <f t="array" ref="F57">INDEX(_xlfn.FILTERXML(E57,"//latitude"),1)</f>
        <v>35.256908000000003</v>
      </c>
      <c r="G57" cm="1">
        <f t="array" ref="G57">INDEX(_xlfn.FILTERXML(E57,"//longitude"),1)</f>
        <v>136.263443</v>
      </c>
      <c r="H57">
        <v>35.256908000000003</v>
      </c>
      <c r="I57">
        <v>136.263443</v>
      </c>
    </row>
    <row r="58" spans="1:9" x14ac:dyDescent="0.4">
      <c r="A58" t="s">
        <v>18</v>
      </c>
      <c r="B58" t="s">
        <v>121</v>
      </c>
      <c r="C58" t="str">
        <f t="shared" si="0"/>
        <v>千葉県柏市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http://geocode.csis.u-tokyo.ac.jp/cgi-bin/simple_geocode.cgi?charset=UTF8&amp;addr=%E5%8D%83%E8%91%89%E7%9C%8C%E6%9F%8F%E5%B8%82</v>
      </c>
      <c r="E58" t="str">
        <f t="shared" ref="E58:E70" si="14" xml:space="preserve"> _xlfn.WEBSERVICE(D58)</f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58" cm="1">
        <f t="array" ref="F58">INDEX(_xlfn.FILTERXML(E58,"//latitude"),1)</f>
        <v>35.868293999999999</v>
      </c>
      <c r="G58" cm="1">
        <f t="array" ref="G58">INDEX(_xlfn.FILTERXML(E58,"//longitude"),1)</f>
        <v>139.97619599999999</v>
      </c>
      <c r="H58">
        <v>35.868293999999999</v>
      </c>
      <c r="I58">
        <v>139.97619599999999</v>
      </c>
    </row>
    <row r="59" spans="1:9" x14ac:dyDescent="0.4">
      <c r="A59" t="s">
        <v>30</v>
      </c>
      <c r="B59" t="s">
        <v>122</v>
      </c>
      <c r="C59" t="str">
        <f t="shared" si="0"/>
        <v>静岡県藤枝市大東町</v>
      </c>
      <c r="D59" s="2" t="str">
        <f t="shared" si="13"/>
        <v>http://geocode.csis.u-tokyo.ac.jp/cgi-bin/simple_geocode.cgi?charset=UTF8&amp;addr=%E9%9D%99%E5%B2%A1%E7%9C%8C%E8%97%A4%E6%9E%9D%E5%B8%82%E5%A4%A7%E6%9D%B1%E7%94%BA</v>
      </c>
      <c r="E59" t="str">
        <f t="shared" si="14"/>
        <v xml:space="preserve">&lt;?xml version="1.0" encoding="UTF-8" ?&gt;
&lt;results&gt;
&lt;query&gt;静岡県藤枝市大東町&lt;/query&gt;
&lt;geodetic&gt;wgs1984&lt;/geodetic&gt;
&lt;iConf&gt;5&lt;/iConf&gt;
&lt;converted&gt;静岡県藤枝市大東町&lt;/converted&gt;
&lt;candidate&gt;
&lt;address&gt;静岡県/藤枝市/大東町&lt;/address&gt;
&lt;longitude&gt;138.269363&lt;/longitude&gt;
&lt;latitude&gt;34.825703&lt;/latitude&gt;
&lt;iLvl&gt;5&lt;/iLvl&gt;
&lt;/candidate&gt;
&lt;/results&gt;
</v>
      </c>
      <c r="F59" cm="1">
        <f t="array" ref="F59">INDEX(_xlfn.FILTERXML(E59,"//latitude"),1)</f>
        <v>34.825702999999997</v>
      </c>
      <c r="G59" cm="1">
        <f t="array" ref="G59">INDEX(_xlfn.FILTERXML(E59,"//longitude"),1)</f>
        <v>138.269363</v>
      </c>
      <c r="H59">
        <v>34.825702999999997</v>
      </c>
      <c r="I59">
        <v>138.269363</v>
      </c>
    </row>
    <row r="60" spans="1:9" x14ac:dyDescent="0.4">
      <c r="A60" t="s">
        <v>10</v>
      </c>
      <c r="B60" t="s">
        <v>123</v>
      </c>
      <c r="C60" t="str">
        <f t="shared" si="0"/>
        <v>神奈川県横浜市都筑区川和台</v>
      </c>
      <c r="D60" s="2" t="str">
        <f t="shared" si="13"/>
        <v>http://geocode.csis.u-tokyo.ac.jp/cgi-bin/simple_geocode.cgi?charset=UTF8&amp;addr=%E7%A5%9E%E5%A5%88%E5%B7%9D%E7%9C%8C%E6%A8%AA%E6%B5%9C%E5%B8%82%E9%83%BD%E7%AD%91%E5%8C%BA%E5%B7%9D%E5%92%8C%E5%8F%B0</v>
      </c>
      <c r="E60" t="str">
        <f t="shared" si="14"/>
        <v xml:space="preserve">&lt;?xml version="1.0" encoding="UTF-8" ?&gt;
&lt;results&gt;
&lt;query&gt;神奈川県横浜市都筑区川和台&lt;/query&gt;
&lt;geodetic&gt;wgs1984&lt;/geodetic&gt;
&lt;iConf&gt;5&lt;/iConf&gt;
&lt;converted&gt;神奈川県横浜市都筑区川和台&lt;/converted&gt;
&lt;candidate&gt;
&lt;address&gt;神奈川県/横浜市/都筑区/川和台&lt;/address&gt;
&lt;longitude&gt;139.554443&lt;/longitude&gt;
&lt;latitude&gt;35.528160&lt;/latitude&gt;
&lt;iLvl&gt;5&lt;/iLvl&gt;
&lt;/candidate&gt;
&lt;/results&gt;
</v>
      </c>
      <c r="F60" cm="1">
        <f t="array" ref="F60">INDEX(_xlfn.FILTERXML(E60,"//latitude"),1)</f>
        <v>35.52816</v>
      </c>
      <c r="G60" cm="1">
        <f t="array" ref="G60">INDEX(_xlfn.FILTERXML(E60,"//longitude"),1)</f>
        <v>139.55444299999999</v>
      </c>
      <c r="H60">
        <v>35.52816</v>
      </c>
      <c r="I60">
        <v>139.55444299999999</v>
      </c>
    </row>
    <row r="61" spans="1:9" x14ac:dyDescent="0.4">
      <c r="A61" t="s">
        <v>9</v>
      </c>
      <c r="B61" t="s">
        <v>124</v>
      </c>
      <c r="C61" t="str">
        <f t="shared" si="0"/>
        <v>東京都西東京市</v>
      </c>
      <c r="D61" s="2" t="str">
        <f t="shared" si="13"/>
        <v>http://geocode.csis.u-tokyo.ac.jp/cgi-bin/simple_geocode.cgi?charset=UTF8&amp;addr=%E6%9D%B1%E4%BA%AC%E9%83%BD%E8%A5%BF%E6%9D%B1%E4%BA%AC%E5%B8%82</v>
      </c>
      <c r="E61" t="str">
        <f t="shared" si="14"/>
        <v xml:space="preserve">&lt;?xml version="1.0" encoding="UTF-8" ?&gt;
&lt;results&gt;
&lt;query&gt;東京都西東京市&lt;/query&gt;
&lt;geodetic&gt;wgs1984&lt;/geodetic&gt;
&lt;iConf&gt;5&lt;/iConf&gt;
&lt;converted&gt;東京都西東京市&lt;/converted&gt;
&lt;candidate&gt;
&lt;address&gt;東京都/西東京市&lt;/address&gt;
&lt;longitude&gt;139.538162&lt;/longitude&gt;
&lt;latitude&gt;35.725498&lt;/latitude&gt;
&lt;iLvl&gt;3&lt;/iLvl&gt;
&lt;/candidate&gt;
&lt;/results&gt;
</v>
      </c>
      <c r="F61" cm="1">
        <f t="array" ref="F61">INDEX(_xlfn.FILTERXML(E61,"//latitude"),1)</f>
        <v>35.725498000000002</v>
      </c>
      <c r="G61" cm="1">
        <f t="array" ref="G61">INDEX(_xlfn.FILTERXML(E61,"//longitude"),1)</f>
        <v>139.538162</v>
      </c>
      <c r="H61">
        <v>35.725498000000002</v>
      </c>
      <c r="I61">
        <v>139.538162</v>
      </c>
    </row>
    <row r="62" spans="1:9" x14ac:dyDescent="0.4">
      <c r="A62" t="s">
        <v>17</v>
      </c>
      <c r="B62" t="s">
        <v>125</v>
      </c>
      <c r="C62" t="str">
        <f t="shared" si="0"/>
        <v>愛知県刈谷市松坂町</v>
      </c>
      <c r="D62" s="2" t="str">
        <f t="shared" si="13"/>
        <v>http://geocode.csis.u-tokyo.ac.jp/cgi-bin/simple_geocode.cgi?charset=UTF8&amp;addr=%E6%84%9B%E7%9F%A5%E7%9C%8C%E5%88%88%E8%B0%B7%E5%B8%82%E6%9D%BE%E5%9D%82%E7%94%BA</v>
      </c>
      <c r="E62" t="str">
        <f t="shared" si="14"/>
        <v xml:space="preserve">&lt;?xml version="1.0" encoding="UTF-8" ?&gt;
&lt;results&gt;
&lt;query&gt;愛知県刈谷市松坂町&lt;/query&gt;
&lt;geodetic&gt;wgs1984&lt;/geodetic&gt;
&lt;iConf&gt;5&lt;/iConf&gt;
&lt;converted&gt;愛知県刈谷市松坂町&lt;/converted&gt;
&lt;candidate&gt;
&lt;address&gt;愛知県/刈谷市/松坂町&lt;/address&gt;
&lt;longitude&gt;136.994446&lt;/longitude&gt;
&lt;latitude&gt;34.979610&lt;/latitude&gt;
&lt;iLvl&gt;5&lt;/iLvl&gt;
&lt;/candidate&gt;
&lt;/results&gt;
</v>
      </c>
      <c r="F62" cm="1">
        <f t="array" ref="F62">INDEX(_xlfn.FILTERXML(E62,"//latitude"),1)</f>
        <v>34.979610000000001</v>
      </c>
      <c r="G62" cm="1">
        <f t="array" ref="G62">INDEX(_xlfn.FILTERXML(E62,"//longitude"),1)</f>
        <v>136.99444600000001</v>
      </c>
      <c r="H62">
        <v>34.979610000000001</v>
      </c>
      <c r="I62">
        <v>136.99444600000001</v>
      </c>
    </row>
    <row r="63" spans="1:9" x14ac:dyDescent="0.4">
      <c r="A63" t="s">
        <v>30</v>
      </c>
      <c r="B63" t="s">
        <v>122</v>
      </c>
      <c r="C63" t="str">
        <f t="shared" si="0"/>
        <v>静岡県藤枝市大東町</v>
      </c>
      <c r="D63" s="2" t="str">
        <f t="shared" si="13"/>
        <v>http://geocode.csis.u-tokyo.ac.jp/cgi-bin/simple_geocode.cgi?charset=UTF8&amp;addr=%E9%9D%99%E5%B2%A1%E7%9C%8C%E8%97%A4%E6%9E%9D%E5%B8%82%E5%A4%A7%E6%9D%B1%E7%94%BA</v>
      </c>
      <c r="E63" t="str">
        <f t="shared" si="14"/>
        <v xml:space="preserve">&lt;?xml version="1.0" encoding="UTF-8" ?&gt;
&lt;results&gt;
&lt;query&gt;静岡県藤枝市大東町&lt;/query&gt;
&lt;geodetic&gt;wgs1984&lt;/geodetic&gt;
&lt;iConf&gt;5&lt;/iConf&gt;
&lt;converted&gt;静岡県藤枝市大東町&lt;/converted&gt;
&lt;candidate&gt;
&lt;address&gt;静岡県/藤枝市/大東町&lt;/address&gt;
&lt;longitude&gt;138.269363&lt;/longitude&gt;
&lt;latitude&gt;34.825703&lt;/latitude&gt;
&lt;iLvl&gt;5&lt;/iLvl&gt;
&lt;/candidate&gt;
&lt;/results&gt;
</v>
      </c>
      <c r="F63" cm="1">
        <f t="array" ref="F63">INDEX(_xlfn.FILTERXML(E63,"//latitude"),1)</f>
        <v>34.825702999999997</v>
      </c>
      <c r="G63" cm="1">
        <f t="array" ref="G63">INDEX(_xlfn.FILTERXML(E63,"//longitude"),1)</f>
        <v>138.269363</v>
      </c>
      <c r="H63">
        <v>34.825702999999997</v>
      </c>
      <c r="I63">
        <v>138.269363</v>
      </c>
    </row>
    <row r="64" spans="1:9" x14ac:dyDescent="0.4">
      <c r="A64" t="s">
        <v>17</v>
      </c>
      <c r="B64" t="s">
        <v>126</v>
      </c>
      <c r="C64" t="str">
        <f t="shared" si="0"/>
        <v>愛知県東海市富貴ノ台</v>
      </c>
      <c r="D64" s="2" t="str">
        <f t="shared" si="13"/>
        <v>http://geocode.csis.u-tokyo.ac.jp/cgi-bin/simple_geocode.cgi?charset=UTF8&amp;addr=%E6%84%9B%E7%9F%A5%E7%9C%8C%E6%9D%B1%E6%B5%B7%E5%B8%82%E5%AF%8C%E8%B2%B4%E3%83%8E%E5%8F%B0</v>
      </c>
      <c r="E64" t="str">
        <f t="shared" si="14"/>
        <v xml:space="preserve">&lt;?xml version="1.0" encoding="UTF-8" ?&gt;
&lt;results&gt;
&lt;query&gt;愛知県東海市富貴ノ台&lt;/query&gt;
&lt;geodetic&gt;wgs1984&lt;/geodetic&gt;
&lt;iConf&gt;5&lt;/iConf&gt;
&lt;converted&gt;愛知県東海市富貴ノ台&lt;/converted&gt;
&lt;candidate&gt;
&lt;address&gt;愛知県/東海市/富貴ノ台&lt;/address&gt;
&lt;longitude&gt;136.901062&lt;/longitude&gt;
&lt;latitude&gt;35.030575&lt;/latitude&gt;
&lt;iLvl&gt;5&lt;/iLvl&gt;
&lt;/candidate&gt;
&lt;/results&gt;
</v>
      </c>
      <c r="F64" cm="1">
        <f t="array" ref="F64">INDEX(_xlfn.FILTERXML(E64,"//latitude"),1)</f>
        <v>35.030574999999999</v>
      </c>
      <c r="G64" cm="1">
        <f t="array" ref="G64">INDEX(_xlfn.FILTERXML(E64,"//longitude"),1)</f>
        <v>136.901062</v>
      </c>
      <c r="H64">
        <v>35.030574999999999</v>
      </c>
      <c r="I64">
        <v>136.901062</v>
      </c>
    </row>
    <row r="65" spans="1:9" x14ac:dyDescent="0.4">
      <c r="A65" t="s">
        <v>46</v>
      </c>
      <c r="B65" t="s">
        <v>127</v>
      </c>
      <c r="C65" t="str">
        <f t="shared" si="0"/>
        <v>宮崎県宮崎市出来町</v>
      </c>
      <c r="D65" s="2" t="str">
        <f t="shared" si="13"/>
        <v>http://geocode.csis.u-tokyo.ac.jp/cgi-bin/simple_geocode.cgi?charset=UTF8&amp;addr=%E5%AE%AE%E5%B4%8E%E7%9C%8C%E5%AE%AE%E5%B4%8E%E5%B8%82%E5%87%BA%E6%9D%A5%E7%94%BA</v>
      </c>
      <c r="E65" t="str">
        <f t="shared" si="14"/>
        <v xml:space="preserve">&lt;?xml version="1.0" encoding="UTF-8" ?&gt;
&lt;results&gt;
&lt;query&gt;宮崎県宮崎市出来町&lt;/query&gt;
&lt;geodetic&gt;wgs1984&lt;/geodetic&gt;
&lt;iConf&gt;5&lt;/iConf&gt;
&lt;converted&gt;宮崎県宮崎市出来&lt;/converted&gt;
&lt;candidate&gt;
&lt;address&gt;宮崎県/宮崎市/出来島町&lt;/address&gt;
&lt;longitude&gt;131.436569&lt;/longitude&gt;
&lt;latitude&gt;31.901690&lt;/latitude&gt;
&lt;iLvl&gt;5&lt;/iLvl&gt;
&lt;/candidate&gt;
&lt;/results&gt;
</v>
      </c>
      <c r="F65" cm="1">
        <f t="array" ref="F65">INDEX(_xlfn.FILTERXML(E65,"//latitude"),1)</f>
        <v>31.901689999999999</v>
      </c>
      <c r="G65" cm="1">
        <f t="array" ref="G65">INDEX(_xlfn.FILTERXML(E65,"//longitude"),1)</f>
        <v>131.43656899999999</v>
      </c>
      <c r="H65">
        <v>31.901689999999999</v>
      </c>
      <c r="I65">
        <v>131.43656899999999</v>
      </c>
    </row>
    <row r="66" spans="1:9" x14ac:dyDescent="0.4">
      <c r="A66" t="s">
        <v>11</v>
      </c>
      <c r="B66" t="s">
        <v>57</v>
      </c>
      <c r="C66" t="str">
        <f t="shared" si="0"/>
        <v>大阪府池田市</v>
      </c>
      <c r="D66" s="2" t="str">
        <f t="shared" si="13"/>
        <v>http://geocode.csis.u-tokyo.ac.jp/cgi-bin/simple_geocode.cgi?charset=UTF8&amp;addr=%E5%A4%A7%E9%98%AA%E5%BA%9C%E6%B1%A0%E7%94%B0%E5%B8%82</v>
      </c>
      <c r="E66" t="str">
        <f t="shared" si="14"/>
        <v xml:space="preserve">&lt;?xml version="1.0" encoding="UTF-8" ?&gt;
&lt;results&gt;
&lt;query&gt;大阪府池田市&lt;/query&gt;
&lt;geodetic&gt;wgs1984&lt;/geodetic&gt;
&lt;iConf&gt;5&lt;/iConf&gt;
&lt;converted&gt;大阪府池田市&lt;/converted&gt;
&lt;candidate&gt;
&lt;address&gt;大阪府/池田市&lt;/address&gt;
&lt;longitude&gt;135.428558&lt;/longitude&gt;
&lt;latitude&gt;34.821686&lt;/latitude&gt;
&lt;iLvl&gt;3&lt;/iLvl&gt;
&lt;/candidate&gt;
&lt;/results&gt;
</v>
      </c>
      <c r="F66" cm="1">
        <f t="array" ref="F66">INDEX(_xlfn.FILTERXML(E66,"//latitude"),1)</f>
        <v>34.821686</v>
      </c>
      <c r="G66" cm="1">
        <f t="array" ref="G66">INDEX(_xlfn.FILTERXML(E66,"//longitude"),1)</f>
        <v>135.42855800000001</v>
      </c>
      <c r="H66">
        <v>34.821686</v>
      </c>
      <c r="I66">
        <v>135.42855800000001</v>
      </c>
    </row>
    <row r="67" spans="1:9" x14ac:dyDescent="0.4">
      <c r="A67" t="s">
        <v>9</v>
      </c>
      <c r="B67" t="s">
        <v>128</v>
      </c>
      <c r="C67" t="str">
        <f t="shared" ref="C67:C130" si="15">+A67&amp;B67</f>
        <v>東京都墨田区</v>
      </c>
      <c r="D67" s="2" t="str">
        <f t="shared" si="13"/>
        <v>http://geocode.csis.u-tokyo.ac.jp/cgi-bin/simple_geocode.cgi?charset=UTF8&amp;addr=%E6%9D%B1%E4%BA%AC%E9%83%BD%E5%A2%A8%E7%94%B0%E5%8C%BA</v>
      </c>
      <c r="E67" t="str">
        <f t="shared" si="14"/>
        <v xml:space="preserve">&lt;?xml version="1.0" encoding="UTF-8" ?&gt;
&lt;results&gt;
&lt;query&gt;東京都墨田区&lt;/query&gt;
&lt;geodetic&gt;wgs1984&lt;/geodetic&gt;
&lt;iConf&gt;5&lt;/iConf&gt;
&lt;converted&gt;東京都墨田区&lt;/converted&gt;
&lt;candidate&gt;
&lt;address&gt;東京都/墨田区&lt;/address&gt;
&lt;longitude&gt;139.801498&lt;/longitude&gt;
&lt;latitude&gt;35.710724&lt;/latitude&gt;
&lt;iLvl&gt;3&lt;/iLvl&gt;
&lt;/candidate&gt;
&lt;/results&gt;
</v>
      </c>
      <c r="F67" cm="1">
        <f t="array" ref="F67">INDEX(_xlfn.FILTERXML(E67,"//latitude"),1)</f>
        <v>35.710723999999999</v>
      </c>
      <c r="G67" cm="1">
        <f t="array" ref="G67">INDEX(_xlfn.FILTERXML(E67,"//longitude"),1)</f>
        <v>139.80149800000001</v>
      </c>
      <c r="H67">
        <v>35.710723999999999</v>
      </c>
      <c r="I67">
        <v>139.80149800000001</v>
      </c>
    </row>
    <row r="68" spans="1:9" x14ac:dyDescent="0.4">
      <c r="A68" t="s">
        <v>29</v>
      </c>
      <c r="B68" t="s">
        <v>129</v>
      </c>
      <c r="C68" t="str">
        <f t="shared" si="15"/>
        <v>沖縄県那覇市銘苅</v>
      </c>
      <c r="D68" s="2" t="str">
        <f t="shared" si="13"/>
        <v>http://geocode.csis.u-tokyo.ac.jp/cgi-bin/simple_geocode.cgi?charset=UTF8&amp;addr=%E6%B2%96%E7%B8%84%E7%9C%8C%E9%82%A3%E8%A6%87%E5%B8%82%E9%8A%98%E8%8B%85</v>
      </c>
      <c r="E68" t="str">
        <f t="shared" si="14"/>
        <v xml:space="preserve">&lt;?xml version="1.0" encoding="UTF-8" ?&gt;
&lt;results&gt;
&lt;query&gt;沖縄県那覇市銘苅&lt;/query&gt;
&lt;geodetic&gt;wgs1984&lt;/geodetic&gt;
&lt;iConf&gt;5&lt;/iConf&gt;
&lt;converted&gt;沖縄県那覇市銘苅&lt;/converted&gt;
&lt;candidate&gt;
&lt;address&gt;沖縄県/那覇市/銘苅&lt;/address&gt;
&lt;longitude&gt;127.701256&lt;/longitude&gt;
&lt;latitude&gt;26.230446&lt;/latitude&gt;
&lt;iLvl&gt;5&lt;/iLvl&gt;
&lt;/candidate&gt;
&lt;/results&gt;
</v>
      </c>
      <c r="F68" cm="1">
        <f t="array" ref="F68">INDEX(_xlfn.FILTERXML(E68,"//latitude"),1)</f>
        <v>26.230446000000001</v>
      </c>
      <c r="G68" cm="1">
        <f t="array" ref="G68">INDEX(_xlfn.FILTERXML(E68,"//longitude"),1)</f>
        <v>127.701256</v>
      </c>
      <c r="H68">
        <v>26.230446000000001</v>
      </c>
      <c r="I68">
        <v>127.701256</v>
      </c>
    </row>
    <row r="69" spans="1:9" x14ac:dyDescent="0.4">
      <c r="A69" t="s">
        <v>9</v>
      </c>
      <c r="B69" t="s">
        <v>130</v>
      </c>
      <c r="C69" t="str">
        <f t="shared" si="15"/>
        <v>東京都調布市入間町</v>
      </c>
      <c r="D69" s="2" t="str">
        <f t="shared" si="13"/>
        <v>http://geocode.csis.u-tokyo.ac.jp/cgi-bin/simple_geocode.cgi?charset=UTF8&amp;addr=%E6%9D%B1%E4%BA%AC%E9%83%BD%E8%AA%BF%E5%B8%83%E5%B8%82%E5%85%A5%E9%96%93%E7%94%BA</v>
      </c>
      <c r="E69" t="str">
        <f t="shared" si="14"/>
        <v xml:space="preserve">&lt;?xml version="1.0" encoding="UTF-8" ?&gt;
&lt;results&gt;
&lt;query&gt;東京都調布市入間町&lt;/query&gt;
&lt;geodetic&gt;wgs1984&lt;/geodetic&gt;
&lt;iConf&gt;5&lt;/iConf&gt;
&lt;converted&gt;東京都調布市入間町&lt;/converted&gt;
&lt;candidate&gt;
&lt;address&gt;東京都/調布市/入間町&lt;/address&gt;
&lt;longitude&gt;139.588669&lt;/longitude&gt;
&lt;latitude&gt;35.652493&lt;/latitude&gt;
&lt;iLvl&gt;5&lt;/iLvl&gt;
&lt;/candidate&gt;
&lt;/results&gt;
</v>
      </c>
      <c r="F69" cm="1">
        <f t="array" ref="F69">INDEX(_xlfn.FILTERXML(E69,"//latitude"),1)</f>
        <v>35.652493</v>
      </c>
      <c r="G69" cm="1">
        <f t="array" ref="G69">INDEX(_xlfn.FILTERXML(E69,"//longitude"),1)</f>
        <v>139.58866900000001</v>
      </c>
      <c r="H69">
        <v>35.652493</v>
      </c>
      <c r="I69">
        <v>139.58866900000001</v>
      </c>
    </row>
    <row r="70" spans="1:9" x14ac:dyDescent="0.4">
      <c r="A70" t="s">
        <v>13</v>
      </c>
      <c r="B70" t="s">
        <v>131</v>
      </c>
      <c r="C70" t="str">
        <f t="shared" si="15"/>
        <v>埼玉県上尾市愛宕</v>
      </c>
      <c r="D70" s="2" t="str">
        <f t="shared" si="13"/>
        <v>http://geocode.csis.u-tokyo.ac.jp/cgi-bin/simple_geocode.cgi?charset=UTF8&amp;addr=%E5%9F%BC%E7%8E%89%E7%9C%8C%E4%B8%8A%E5%B0%BE%E5%B8%82%E6%84%9B%E5%AE%95</v>
      </c>
      <c r="E70" t="str">
        <f t="shared" si="14"/>
        <v xml:space="preserve">&lt;?xml version="1.0" encoding="UTF-8" ?&gt;
&lt;results&gt;
&lt;query&gt;埼玉県上尾市愛宕&lt;/query&gt;
&lt;geodetic&gt;wgs1984&lt;/geodetic&gt;
&lt;iConf&gt;5&lt;/iConf&gt;
&lt;converted&gt;埼玉県上尾市愛宕&lt;/converted&gt;
&lt;candidate&gt;
&lt;address&gt;埼玉県/上尾市/愛宕&lt;/address&gt;
&lt;longitude&gt;139.594437&lt;/longitude&gt;
&lt;latitude&gt;35.969353&lt;/latitude&gt;
&lt;iLvl&gt;5&lt;/iLvl&gt;
&lt;/candidate&gt;
&lt;/results&gt;
</v>
      </c>
      <c r="F70" cm="1">
        <f t="array" ref="F70">INDEX(_xlfn.FILTERXML(E70,"//latitude"),1)</f>
        <v>35.969352999999998</v>
      </c>
      <c r="G70" cm="1">
        <f t="array" ref="G70">INDEX(_xlfn.FILTERXML(E70,"//longitude"),1)</f>
        <v>139.594437</v>
      </c>
      <c r="H70">
        <v>35.969352999999998</v>
      </c>
      <c r="I70">
        <v>139.594437</v>
      </c>
    </row>
    <row r="71" spans="1:9" x14ac:dyDescent="0.4">
      <c r="A71" t="s">
        <v>52</v>
      </c>
      <c r="B71" t="s">
        <v>53</v>
      </c>
      <c r="C71" t="str">
        <f t="shared" si="15"/>
        <v>愛媛県松山市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http://geocode.csis.u-tokyo.ac.jp/cgi-bin/simple_geocode.cgi?charset=UTF8&amp;addr=%E6%84%9B%E5%AA%9B%E7%9C%8C%E6%9D%BE%E5%B1%B1%E5%B8%82</v>
      </c>
      <c r="E71" t="str">
        <f t="shared" ref="E71:E95" si="17" xml:space="preserve"> _xlfn.WEBSERVICE(D71)</f>
        <v xml:space="preserve">&lt;?xml version="1.0" encoding="UTF-8" ?&gt;
&lt;results&gt;
&lt;query&gt;愛媛県松山市&lt;/query&gt;
&lt;geodetic&gt;wgs1984&lt;/geodetic&gt;
&lt;iConf&gt;5&lt;/iConf&gt;
&lt;converted&gt;愛媛県松山市&lt;/converted&gt;
&lt;candidate&gt;
&lt;address&gt;愛媛県/松山市&lt;/address&gt;
&lt;longitude&gt;132.765549&lt;/longitude&gt;
&lt;latitude&gt;33.839157&lt;/latitude&gt;
&lt;iLvl&gt;3&lt;/iLvl&gt;
&lt;/candidate&gt;
&lt;/results&gt;
</v>
      </c>
      <c r="F71" cm="1">
        <f t="array" ref="F71">INDEX(_xlfn.FILTERXML(E71,"//latitude"),1)</f>
        <v>33.839157</v>
      </c>
      <c r="G71" cm="1">
        <f t="array" ref="G71">INDEX(_xlfn.FILTERXML(E71,"//longitude"),1)</f>
        <v>132.76554899999999</v>
      </c>
      <c r="H71">
        <v>33.839157</v>
      </c>
      <c r="I71">
        <v>132.76554899999999</v>
      </c>
    </row>
    <row r="72" spans="1:9" x14ac:dyDescent="0.4">
      <c r="A72" t="s">
        <v>9</v>
      </c>
      <c r="B72" t="s">
        <v>132</v>
      </c>
      <c r="C72" t="str">
        <f t="shared" si="15"/>
        <v>東京都台東区池之端</v>
      </c>
      <c r="D72" s="2" t="str">
        <f t="shared" si="16"/>
        <v>http://geocode.csis.u-tokyo.ac.jp/cgi-bin/simple_geocode.cgi?charset=UTF8&amp;addr=%E6%9D%B1%E4%BA%AC%E9%83%BD%E5%8F%B0%E6%9D%B1%E5%8C%BA%E6%B1%A0%E4%B9%8B%E7%AB%AF</v>
      </c>
      <c r="E72" t="str">
        <f t="shared" si="17"/>
        <v xml:space="preserve">&lt;?xml version="1.0" encoding="UTF-8" ?&gt;
&lt;results&gt;
&lt;query&gt;東京都台東区池之端&lt;/query&gt;
&lt;geodetic&gt;wgs1984&lt;/geodetic&gt;
&lt;iConf&gt;5&lt;/iConf&gt;
&lt;converted&gt;東京都台東区池之端&lt;/converted&gt;
&lt;candidate&gt;
&lt;address&gt;東京都/台東区/池之端&lt;/address&gt;
&lt;longitude&gt;139.767853&lt;/longitude&gt;
&lt;latitude&gt;35.709766&lt;/latitude&gt;
&lt;iLvl&gt;5&lt;/iLvl&gt;
&lt;/candidate&gt;
&lt;/results&gt;
</v>
      </c>
      <c r="F72" cm="1">
        <f t="array" ref="F72">INDEX(_xlfn.FILTERXML(E72,"//latitude"),1)</f>
        <v>35.709766000000002</v>
      </c>
      <c r="G72" cm="1">
        <f t="array" ref="G72">INDEX(_xlfn.FILTERXML(E72,"//longitude"),1)</f>
        <v>139.767853</v>
      </c>
      <c r="H72">
        <v>35.709766000000002</v>
      </c>
      <c r="I72">
        <v>139.767853</v>
      </c>
    </row>
    <row r="73" spans="1:9" x14ac:dyDescent="0.4">
      <c r="A73" t="s">
        <v>9</v>
      </c>
      <c r="B73" t="s">
        <v>58</v>
      </c>
      <c r="C73" t="str">
        <f t="shared" si="15"/>
        <v>東京都足立区加平</v>
      </c>
      <c r="D73" s="2" t="str">
        <f t="shared" si="16"/>
        <v>http://geocode.csis.u-tokyo.ac.jp/cgi-bin/simple_geocode.cgi?charset=UTF8&amp;addr=%E6%9D%B1%E4%BA%AC%E9%83%BD%E8%B6%B3%E7%AB%8B%E5%8C%BA%E5%8A%A0%E5%B9%B3</v>
      </c>
      <c r="E73" t="str">
        <f t="shared" si="17"/>
        <v xml:space="preserve">&lt;?xml version="1.0" encoding="UTF-8" ?&gt;
&lt;results&gt;
&lt;query&gt;東京都足立区加平&lt;/query&gt;
&lt;geodetic&gt;wgs1984&lt;/geodetic&gt;
&lt;iConf&gt;5&lt;/iConf&gt;
&lt;converted&gt;東京都足立区加平&lt;/converted&gt;
&lt;candidate&gt;
&lt;address&gt;東京都/足立区/加平&lt;/address&gt;
&lt;longitude&gt;139.826859&lt;/longitude&gt;
&lt;latitude&gt;35.775902&lt;/latitude&gt;
&lt;iLvl&gt;5&lt;/iLvl&gt;
&lt;/candidate&gt;
&lt;/results&gt;
</v>
      </c>
      <c r="F73" cm="1">
        <f t="array" ref="F73">INDEX(_xlfn.FILTERXML(E73,"//latitude"),1)</f>
        <v>35.775902000000002</v>
      </c>
      <c r="G73" cm="1">
        <f t="array" ref="G73">INDEX(_xlfn.FILTERXML(E73,"//longitude"),1)</f>
        <v>139.82685900000001</v>
      </c>
      <c r="H73">
        <v>35.775902000000002</v>
      </c>
      <c r="I73">
        <v>139.82685900000001</v>
      </c>
    </row>
    <row r="74" spans="1:9" x14ac:dyDescent="0.4">
      <c r="A74" t="s">
        <v>9</v>
      </c>
      <c r="B74" t="s">
        <v>133</v>
      </c>
      <c r="C74" t="str">
        <f t="shared" si="15"/>
        <v>東京都目黒区</v>
      </c>
      <c r="D74" s="2" t="str">
        <f t="shared" si="16"/>
        <v>http://geocode.csis.u-tokyo.ac.jp/cgi-bin/simple_geocode.cgi?charset=UTF8&amp;addr=%E6%9D%B1%E4%BA%AC%E9%83%BD%E7%9B%AE%E9%BB%92%E5%8C%BA</v>
      </c>
      <c r="E74" t="str">
        <f t="shared" si="17"/>
        <v xml:space="preserve">&lt;?xml version="1.0" encoding="UTF-8" ?&gt;
&lt;results&gt;
&lt;query&gt;東京都目黒区&lt;/query&gt;
&lt;geodetic&gt;wgs1984&lt;/geodetic&gt;
&lt;iConf&gt;5&lt;/iConf&gt;
&lt;converted&gt;東京都目黒区&lt;/converted&gt;
&lt;candidate&gt;
&lt;address&gt;東京都/目黒区&lt;/address&gt;
&lt;longitude&gt;139.698120&lt;/longitude&gt;
&lt;latitude&gt;35.641411&lt;/latitude&gt;
&lt;iLvl&gt;3&lt;/iLvl&gt;
&lt;/candidate&gt;
&lt;/results&gt;
</v>
      </c>
      <c r="F74" cm="1">
        <f t="array" ref="F74">INDEX(_xlfn.FILTERXML(E74,"//latitude"),1)</f>
        <v>35.641410999999998</v>
      </c>
      <c r="G74" cm="1">
        <f t="array" ref="G74">INDEX(_xlfn.FILTERXML(E74,"//longitude"),1)</f>
        <v>139.69811999999999</v>
      </c>
      <c r="H74">
        <v>35.641410999999998</v>
      </c>
      <c r="I74">
        <v>139.69811999999999</v>
      </c>
    </row>
    <row r="75" spans="1:9" x14ac:dyDescent="0.4">
      <c r="A75" t="s">
        <v>9</v>
      </c>
      <c r="B75" t="s">
        <v>134</v>
      </c>
      <c r="C75" t="str">
        <f t="shared" si="15"/>
        <v>東京都文京区根津2-14-9</v>
      </c>
      <c r="D75" s="2" t="str">
        <f t="shared" si="16"/>
        <v>http://geocode.csis.u-tokyo.ac.jp/cgi-bin/simple_geocode.cgi?charset=UTF8&amp;addr=%E6%9D%B1%E4%BA%AC%E9%83%BD%E6%96%87%E4%BA%AC%E5%8C%BA%E6%A0%B9%E6%B4%A52-14-9</v>
      </c>
      <c r="E75" t="str">
        <f t="shared" si="17"/>
        <v xml:space="preserve">&lt;?xml version="1.0" encoding="UTF-8" ?&gt;
&lt;results&gt;
&lt;query&gt;東京都文京区根津2-14-9&lt;/query&gt;
&lt;geodetic&gt;wgs1984&lt;/geodetic&gt;
&lt;iConf&gt;5&lt;/iConf&gt;
&lt;converted&gt;東京都文京区根津2-14-9&lt;/converted&gt;
&lt;candidate&gt;
&lt;address&gt;東京都/文京区/根津/二丁目/１４番/９号&lt;/address&gt;
&lt;longitude&gt;139.766129&lt;/longitude&gt;
&lt;latitude&gt;35.718487&lt;/latitude&gt;
&lt;iLvl&gt;8&lt;/iLvl&gt;
&lt;/candidate&gt;
&lt;/results&gt;
</v>
      </c>
      <c r="F75" cm="1">
        <f t="array" ref="F75">INDEX(_xlfn.FILTERXML(E75,"//latitude"),1)</f>
        <v>35.718487000000003</v>
      </c>
      <c r="G75" cm="1">
        <f t="array" ref="G75">INDEX(_xlfn.FILTERXML(E75,"//longitude"),1)</f>
        <v>139.76612900000001</v>
      </c>
      <c r="H75">
        <v>35.718487000000003</v>
      </c>
      <c r="I75">
        <v>139.76612900000001</v>
      </c>
    </row>
    <row r="76" spans="1:9" x14ac:dyDescent="0.4">
      <c r="A76" t="s">
        <v>21</v>
      </c>
      <c r="B76" t="s">
        <v>135</v>
      </c>
      <c r="C76" t="str">
        <f t="shared" si="15"/>
        <v>福岡県宮若市</v>
      </c>
      <c r="D76" s="2" t="str">
        <f t="shared" si="16"/>
        <v>http://geocode.csis.u-tokyo.ac.jp/cgi-bin/simple_geocode.cgi?charset=UTF8&amp;addr=%E7%A6%8F%E5%B2%A1%E7%9C%8C%E5%AE%AE%E8%8B%A5%E5%B8%82</v>
      </c>
      <c r="E76" t="str">
        <f t="shared" si="17"/>
        <v xml:space="preserve">&lt;?xml version="1.0" encoding="UTF-8" ?&gt;
&lt;results&gt;
&lt;query&gt;福岡県宮若市&lt;/query&gt;
&lt;geodetic&gt;wgs1984&lt;/geodetic&gt;
&lt;iConf&gt;5&lt;/iConf&gt;
&lt;converted&gt;福岡県宮若市&lt;/converted&gt;
&lt;candidate&gt;
&lt;address&gt;福岡県/宮若市&lt;/address&gt;
&lt;longitude&gt;130.666718&lt;/longitude&gt;
&lt;latitude&gt;33.723522&lt;/latitude&gt;
&lt;iLvl&gt;3&lt;/iLvl&gt;
&lt;/candidate&gt;
&lt;/results&gt;
</v>
      </c>
      <c r="F76" cm="1">
        <f t="array" ref="F76">INDEX(_xlfn.FILTERXML(E76,"//latitude"),1)</f>
        <v>33.723522000000003</v>
      </c>
      <c r="G76" cm="1">
        <f t="array" ref="G76">INDEX(_xlfn.FILTERXML(E76,"//longitude"),1)</f>
        <v>130.666718</v>
      </c>
      <c r="H76">
        <v>33.723522000000003</v>
      </c>
      <c r="I76">
        <v>130.666718</v>
      </c>
    </row>
    <row r="77" spans="1:9" x14ac:dyDescent="0.4">
      <c r="A77" t="s">
        <v>21</v>
      </c>
      <c r="B77" t="s">
        <v>136</v>
      </c>
      <c r="C77" t="str">
        <f t="shared" si="15"/>
        <v>福岡県福津市</v>
      </c>
      <c r="D77" s="2" t="str">
        <f t="shared" si="16"/>
        <v>http://geocode.csis.u-tokyo.ac.jp/cgi-bin/simple_geocode.cgi?charset=UTF8&amp;addr=%E7%A6%8F%E5%B2%A1%E7%9C%8C%E7%A6%8F%E6%B4%A5%E5%B8%82</v>
      </c>
      <c r="E77" t="str">
        <f t="shared" si="17"/>
        <v xml:space="preserve">&lt;?xml version="1.0" encoding="UTF-8" ?&gt;
&lt;results&gt;
&lt;query&gt;福岡県福津市&lt;/query&gt;
&lt;geodetic&gt;wgs1984&lt;/geodetic&gt;
&lt;iConf&gt;5&lt;/iConf&gt;
&lt;converted&gt;福岡県福津市&lt;/converted&gt;
&lt;candidate&gt;
&lt;address&gt;福岡県/福津市&lt;/address&gt;
&lt;longitude&gt;130.491043&lt;/longitude&gt;
&lt;latitude&gt;33.766895&lt;/latitude&gt;
&lt;iLvl&gt;3&lt;/iLvl&gt;
&lt;/candidate&gt;
&lt;/results&gt;
</v>
      </c>
      <c r="F77" cm="1">
        <f t="array" ref="F77">INDEX(_xlfn.FILTERXML(E77,"//latitude"),1)</f>
        <v>33.766894999999998</v>
      </c>
      <c r="G77" cm="1">
        <f t="array" ref="G77">INDEX(_xlfn.FILTERXML(E77,"//longitude"),1)</f>
        <v>130.49104299999999</v>
      </c>
      <c r="H77">
        <v>33.766894999999998</v>
      </c>
      <c r="I77">
        <v>130.49104299999999</v>
      </c>
    </row>
    <row r="78" spans="1:9" x14ac:dyDescent="0.4">
      <c r="A78" t="s">
        <v>30</v>
      </c>
      <c r="B78" t="s">
        <v>137</v>
      </c>
      <c r="C78" t="str">
        <f t="shared" si="15"/>
        <v>静岡県浜松市中央区西伊場</v>
      </c>
      <c r="D78" s="2" t="str">
        <f t="shared" si="16"/>
        <v>http://geocode.csis.u-tokyo.ac.jp/cgi-bin/simple_geocode.cgi?charset=UTF8&amp;addr=%E9%9D%99%E5%B2%A1%E7%9C%8C%E6%B5%9C%E6%9D%BE%E5%B8%82%E4%B8%AD%E5%A4%AE%E5%8C%BA%E8%A5%BF%E4%BC%8A%E5%A0%B4</v>
      </c>
      <c r="E78" t="str">
        <f t="shared" si="17"/>
        <v xml:space="preserve">&lt;?xml version="1.0" encoding="UTF-8" ?&gt;
&lt;results&gt;
&lt;query&gt;静岡県浜松市中央区西伊場&lt;/query&gt;
&lt;geodetic&gt;wgs1984&lt;/geodetic&gt;
&lt;iConf&gt;5&lt;/iConf&gt;
&lt;converted&gt;静岡県浜松市中央区西伊場&lt;/converted&gt;
&lt;candidate&gt;
&lt;address&gt;静岡県/浜松市/中央区/西伊場町&lt;/address&gt;
&lt;longitude&gt;137.704849&lt;/longitude&gt;
&lt;latitude&gt;34.700233&lt;/latitude&gt;
&lt;iLvl&gt;5&lt;/iLvl&gt;
&lt;/candidate&gt;
&lt;/results&gt;
</v>
      </c>
      <c r="F78" cm="1">
        <f t="array" ref="F78">INDEX(_xlfn.FILTERXML(E78,"//latitude"),1)</f>
        <v>34.700232999999997</v>
      </c>
      <c r="G78" cm="1">
        <f t="array" ref="G78">INDEX(_xlfn.FILTERXML(E78,"//longitude"),1)</f>
        <v>137.704849</v>
      </c>
      <c r="H78">
        <v>34.700232999999997</v>
      </c>
      <c r="I78">
        <v>137.704849</v>
      </c>
    </row>
    <row r="79" spans="1:9" x14ac:dyDescent="0.4">
      <c r="A79" t="s">
        <v>9</v>
      </c>
      <c r="B79" t="s">
        <v>60</v>
      </c>
      <c r="C79" t="str">
        <f t="shared" si="15"/>
        <v>東京都大田区</v>
      </c>
      <c r="D79" s="2" t="str">
        <f t="shared" si="16"/>
        <v>http://geocode.csis.u-tokyo.ac.jp/cgi-bin/simple_geocode.cgi?charset=UTF8&amp;addr=%E6%9D%B1%E4%BA%AC%E9%83%BD%E5%A4%A7%E7%94%B0%E5%8C%BA</v>
      </c>
      <c r="E79" t="str">
        <f t="shared" si="17"/>
        <v xml:space="preserve">&lt;?xml version="1.0" encoding="UTF-8" ?&gt;
&lt;results&gt;
&lt;query&gt;東京都大田区&lt;/query&gt;
&lt;geodetic&gt;wgs1984&lt;/geodetic&gt;
&lt;iConf&gt;5&lt;/iConf&gt;
&lt;converted&gt;東京都大田区&lt;/converted&gt;
&lt;candidate&gt;
&lt;address&gt;東京都/大田区&lt;/address&gt;
&lt;longitude&gt;139.715988&lt;/longitude&gt;
&lt;latitude&gt;35.561260&lt;/latitude&gt;
&lt;iLvl&gt;3&lt;/iLvl&gt;
&lt;/candidate&gt;
&lt;/results&gt;
</v>
      </c>
      <c r="F79" cm="1">
        <f t="array" ref="F79">INDEX(_xlfn.FILTERXML(E79,"//latitude"),1)</f>
        <v>35.561259999999997</v>
      </c>
      <c r="G79" cm="1">
        <f t="array" ref="G79">INDEX(_xlfn.FILTERXML(E79,"//longitude"),1)</f>
        <v>139.71598800000001</v>
      </c>
      <c r="H79">
        <v>35.561259999999997</v>
      </c>
      <c r="I79">
        <v>139.71598800000001</v>
      </c>
    </row>
    <row r="80" spans="1:9" x14ac:dyDescent="0.4">
      <c r="A80" t="s">
        <v>18</v>
      </c>
      <c r="B80" t="s">
        <v>138</v>
      </c>
      <c r="C80" t="str">
        <f t="shared" si="15"/>
        <v>千葉県香取市</v>
      </c>
      <c r="D80" s="2" t="str">
        <f t="shared" si="16"/>
        <v>http://geocode.csis.u-tokyo.ac.jp/cgi-bin/simple_geocode.cgi?charset=UTF8&amp;addr=%E5%8D%83%E8%91%89%E7%9C%8C%E9%A6%99%E5%8F%96%E5%B8%82</v>
      </c>
      <c r="E80" t="str">
        <f t="shared" si="17"/>
        <v xml:space="preserve">&lt;?xml version="1.0" encoding="UTF-8" ?&gt;
&lt;results&gt;
&lt;query&gt;千葉県香取市&lt;/query&gt;
&lt;geodetic&gt;wgs1984&lt;/geodetic&gt;
&lt;iConf&gt;5&lt;/iConf&gt;
&lt;converted&gt;千葉県香取市&lt;/converted&gt;
&lt;candidate&gt;
&lt;address&gt;千葉県/香取市&lt;/address&gt;
&lt;longitude&gt;140.499252&lt;/longitude&gt;
&lt;latitude&gt;35.897732&lt;/latitude&gt;
&lt;iLvl&gt;3&lt;/iLvl&gt;
&lt;/candidate&gt;
&lt;/results&gt;
</v>
      </c>
      <c r="F80" cm="1">
        <f t="array" ref="F80">INDEX(_xlfn.FILTERXML(E80,"//latitude"),1)</f>
        <v>35.897731999999998</v>
      </c>
      <c r="G80" cm="1">
        <f t="array" ref="G80">INDEX(_xlfn.FILTERXML(E80,"//longitude"),1)</f>
        <v>140.49925200000001</v>
      </c>
      <c r="H80">
        <v>35.897731999999998</v>
      </c>
      <c r="I80">
        <v>140.49925200000001</v>
      </c>
    </row>
    <row r="81" spans="1:9" x14ac:dyDescent="0.4">
      <c r="A81" t="s">
        <v>9</v>
      </c>
      <c r="B81" t="s">
        <v>139</v>
      </c>
      <c r="C81" t="str">
        <f t="shared" si="15"/>
        <v>東京都練馬区石神井町</v>
      </c>
      <c r="D81" s="2" t="str">
        <f t="shared" si="16"/>
        <v>http://geocode.csis.u-tokyo.ac.jp/cgi-bin/simple_geocode.cgi?charset=UTF8&amp;addr=%E6%9D%B1%E4%BA%AC%E9%83%BD%E7%B7%B4%E9%A6%AC%E5%8C%BA%E7%9F%B3%E7%A5%9E%E4%BA%95%E7%94%BA</v>
      </c>
      <c r="E81" t="str">
        <f t="shared" si="17"/>
        <v xml:space="preserve">&lt;?xml version="1.0" encoding="UTF-8" ?&gt;
&lt;results&gt;
&lt;query&gt;東京都練馬区石神井町&lt;/query&gt;
&lt;geodetic&gt;wgs1984&lt;/geodetic&gt;
&lt;iConf&gt;5&lt;/iConf&gt;
&lt;converted&gt;東京都練馬区石神井町&lt;/converted&gt;
&lt;candidate&gt;
&lt;address&gt;東京都/練馬区/石神井町&lt;/address&gt;
&lt;longitude&gt;139.611557&lt;/longitude&gt;
&lt;latitude&gt;35.741249&lt;/latitude&gt;
&lt;iLvl&gt;5&lt;/iLvl&gt;
&lt;/candidate&gt;
&lt;/results&gt;
</v>
      </c>
      <c r="F81" cm="1">
        <f t="array" ref="F81">INDEX(_xlfn.FILTERXML(E81,"//latitude"),1)</f>
        <v>35.741249000000003</v>
      </c>
      <c r="G81" cm="1">
        <f t="array" ref="G81">INDEX(_xlfn.FILTERXML(E81,"//longitude"),1)</f>
        <v>139.611557</v>
      </c>
      <c r="H81">
        <v>35.741249000000003</v>
      </c>
      <c r="I81">
        <v>139.611557</v>
      </c>
    </row>
    <row r="82" spans="1:9" x14ac:dyDescent="0.4">
      <c r="A82" t="s">
        <v>22</v>
      </c>
      <c r="B82" t="s">
        <v>140</v>
      </c>
      <c r="C82" t="str">
        <f t="shared" si="15"/>
        <v>群馬県前橋市大手町</v>
      </c>
      <c r="D82" s="2" t="str">
        <f t="shared" si="16"/>
        <v>http://geocode.csis.u-tokyo.ac.jp/cgi-bin/simple_geocode.cgi?charset=UTF8&amp;addr=%E7%BE%A4%E9%A6%AC%E7%9C%8C%E5%89%8D%E6%A9%8B%E5%B8%82%E5%A4%A7%E6%89%8B%E7%94%BA</v>
      </c>
      <c r="E82" t="str">
        <f t="shared" si="17"/>
        <v xml:space="preserve">&lt;?xml version="1.0" encoding="UTF-8" ?&gt;
&lt;results&gt;
&lt;query&gt;群馬県前橋市大手町&lt;/query&gt;
&lt;geodetic&gt;wgs1984&lt;/geodetic&gt;
&lt;iConf&gt;5&lt;/iConf&gt;
&lt;converted&gt;群馬県前橋市大手町&lt;/converted&gt;
&lt;candidate&gt;
&lt;address&gt;群馬県/前橋市/大手町&lt;/address&gt;
&lt;longitude&gt;139.060120&lt;/longitude&gt;
&lt;latitude&gt;36.390335&lt;/latitude&gt;
&lt;iLvl&gt;5&lt;/iLvl&gt;
&lt;/candidate&gt;
&lt;/results&gt;
</v>
      </c>
      <c r="F82" cm="1">
        <f t="array" ref="F82">INDEX(_xlfn.FILTERXML(E82,"//latitude"),1)</f>
        <v>36.390335</v>
      </c>
      <c r="G82" cm="1">
        <f t="array" ref="G82">INDEX(_xlfn.FILTERXML(E82,"//longitude"),1)</f>
        <v>139.06012000000001</v>
      </c>
      <c r="H82">
        <v>36.390335</v>
      </c>
      <c r="I82">
        <v>139.06012000000001</v>
      </c>
    </row>
    <row r="83" spans="1:9" x14ac:dyDescent="0.4">
      <c r="A83" t="s">
        <v>63</v>
      </c>
      <c r="B83" t="s">
        <v>64</v>
      </c>
      <c r="C83" t="str">
        <f t="shared" si="15"/>
        <v>石川県金沢市</v>
      </c>
      <c r="D83" s="2" t="str">
        <f t="shared" si="16"/>
        <v>http://geocode.csis.u-tokyo.ac.jp/cgi-bin/simple_geocode.cgi?charset=UTF8&amp;addr=%E7%9F%B3%E5%B7%9D%E7%9C%8C%E9%87%91%E6%B2%A2%E5%B8%82</v>
      </c>
      <c r="E83" t="str">
        <f t="shared" si="17"/>
        <v xml:space="preserve">&lt;?xml version="1.0" encoding="UTF-8" ?&gt;
&lt;results&gt;
&lt;query&gt;石川県金沢市&lt;/query&gt;
&lt;geodetic&gt;wgs1984&lt;/geodetic&gt;
&lt;iConf&gt;5&lt;/iConf&gt;
&lt;converted&gt;石川県金沢市&lt;/converted&gt;
&lt;candidate&gt;
&lt;address&gt;石川県/金沢市&lt;/address&gt;
&lt;longitude&gt;136.656631&lt;/longitude&gt;
&lt;latitude&gt;36.561050&lt;/latitude&gt;
&lt;iLvl&gt;3&lt;/iLvl&gt;
&lt;/candidate&gt;
&lt;/results&gt;
</v>
      </c>
      <c r="F83" cm="1">
        <f t="array" ref="F83">INDEX(_xlfn.FILTERXML(E83,"//latitude"),1)</f>
        <v>36.561050000000002</v>
      </c>
      <c r="G83" cm="1">
        <f t="array" ref="G83">INDEX(_xlfn.FILTERXML(E83,"//longitude"),1)</f>
        <v>136.656631</v>
      </c>
      <c r="H83">
        <v>36.561050000000002</v>
      </c>
      <c r="I83">
        <v>136.656631</v>
      </c>
    </row>
    <row r="84" spans="1:9" x14ac:dyDescent="0.4">
      <c r="A84" t="s">
        <v>25</v>
      </c>
      <c r="B84" t="s">
        <v>141</v>
      </c>
      <c r="C84" t="str">
        <f t="shared" si="15"/>
        <v>香川県高松市屋島西</v>
      </c>
      <c r="D84" s="2" t="str">
        <f t="shared" si="16"/>
        <v>http://geocode.csis.u-tokyo.ac.jp/cgi-bin/simple_geocode.cgi?charset=UTF8&amp;addr=%E9%A6%99%E5%B7%9D%E7%9C%8C%E9%AB%98%E6%9D%BE%E5%B8%82%E5%B1%8B%E5%B3%B6%E8%A5%BF</v>
      </c>
      <c r="E84" t="str">
        <f t="shared" si="17"/>
        <v xml:space="preserve">&lt;?xml version="1.0" encoding="UTF-8" ?&gt;
&lt;results&gt;
&lt;query&gt;香川県高松市屋島西&lt;/query&gt;
&lt;geodetic&gt;wgs1984&lt;/geodetic&gt;
&lt;iConf&gt;5&lt;/iConf&gt;
&lt;converted&gt;香川県高松市屋島西&lt;/converted&gt;
&lt;candidate&gt;
&lt;address&gt;香川県/高松市/屋島西町&lt;/address&gt;
&lt;longitude&gt;134.097061&lt;/longitude&gt;
&lt;latitude&gt;34.361237&lt;/latitude&gt;
&lt;iLvl&gt;5&lt;/iLvl&gt;
&lt;/candidate&gt;
&lt;/results&gt;
</v>
      </c>
      <c r="F84" cm="1">
        <f t="array" ref="F84">INDEX(_xlfn.FILTERXML(E84,"//latitude"),1)</f>
        <v>34.361237000000003</v>
      </c>
      <c r="G84" cm="1">
        <f t="array" ref="G84">INDEX(_xlfn.FILTERXML(E84,"//longitude"),1)</f>
        <v>134.097061</v>
      </c>
      <c r="H84">
        <v>34.361237000000003</v>
      </c>
      <c r="I84">
        <v>134.097061</v>
      </c>
    </row>
    <row r="85" spans="1:9" x14ac:dyDescent="0.4">
      <c r="A85" t="s">
        <v>24</v>
      </c>
      <c r="B85" t="s">
        <v>142</v>
      </c>
      <c r="C85" t="str">
        <f t="shared" si="15"/>
        <v>栃木県宇都宮市下岡本町</v>
      </c>
      <c r="D85" s="2" t="str">
        <f t="shared" si="16"/>
        <v>http://geocode.csis.u-tokyo.ac.jp/cgi-bin/simple_geocode.cgi?charset=UTF8&amp;addr=%E6%A0%83%E6%9C%A8%E7%9C%8C%E5%AE%87%E9%83%BD%E5%AE%AE%E5%B8%82%E4%B8%8B%E5%B2%A1%E6%9C%AC%E7%94%BA</v>
      </c>
      <c r="E85" t="str">
        <f t="shared" si="17"/>
        <v xml:space="preserve">&lt;?xml version="1.0" encoding="UTF-8" ?&gt;
&lt;results&gt;
&lt;query&gt;栃木県宇都宮市下岡本町&lt;/query&gt;
&lt;geodetic&gt;wgs1984&lt;/geodetic&gt;
&lt;iConf&gt;5&lt;/iConf&gt;
&lt;converted&gt;栃木県宇都宮市下岡本町&lt;/converted&gt;
&lt;candidate&gt;
&lt;address&gt;栃木県/宇都宮市/下岡本町&lt;/address&gt;
&lt;longitude&gt;139.956757&lt;/longitude&gt;
&lt;latitude&gt;36.593567&lt;/latitude&gt;
&lt;iLvl&gt;5&lt;/iLvl&gt;
&lt;/candidate&gt;
&lt;/results&gt;
</v>
      </c>
      <c r="F85" cm="1">
        <f t="array" ref="F85">INDEX(_xlfn.FILTERXML(E85,"//latitude"),1)</f>
        <v>36.593567</v>
      </c>
      <c r="G85" cm="1">
        <f t="array" ref="G85">INDEX(_xlfn.FILTERXML(E85,"//longitude"),1)</f>
        <v>139.95675700000001</v>
      </c>
      <c r="H85">
        <v>36.593567</v>
      </c>
      <c r="I85">
        <v>139.95675700000001</v>
      </c>
    </row>
    <row r="86" spans="1:9" x14ac:dyDescent="0.4">
      <c r="A86" t="s">
        <v>45</v>
      </c>
      <c r="B86" t="s">
        <v>143</v>
      </c>
      <c r="C86" t="str">
        <f t="shared" si="15"/>
        <v>岐阜県岐阜市</v>
      </c>
      <c r="D86" s="2" t="str">
        <f t="shared" si="16"/>
        <v>http://geocode.csis.u-tokyo.ac.jp/cgi-bin/simple_geocode.cgi?charset=UTF8&amp;addr=%E5%B2%90%E9%98%9C%E7%9C%8C%E5%B2%90%E9%98%9C%E5%B8%82</v>
      </c>
      <c r="E86" t="str">
        <f t="shared" si="17"/>
        <v xml:space="preserve">&lt;?xml version="1.0" encoding="UTF-8" ?&gt;
&lt;results&gt;
&lt;query&gt;岐阜県岐阜市&lt;/query&gt;
&lt;geodetic&gt;wgs1984&lt;/geodetic&gt;
&lt;iConf&gt;5&lt;/iConf&gt;
&lt;converted&gt;岐阜県岐阜市&lt;/converted&gt;
&lt;candidate&gt;
&lt;address&gt;岐阜県/岐阜市&lt;/address&gt;
&lt;longitude&gt;136.760651&lt;/longitude&gt;
&lt;latitude&gt;35.423302&lt;/latitude&gt;
&lt;iLvl&gt;3&lt;/iLvl&gt;
&lt;/candidate&gt;
&lt;/results&gt;
</v>
      </c>
      <c r="F86" cm="1">
        <f t="array" ref="F86">INDEX(_xlfn.FILTERXML(E86,"//latitude"),1)</f>
        <v>35.423302</v>
      </c>
      <c r="G86" cm="1">
        <f t="array" ref="G86">INDEX(_xlfn.FILTERXML(E86,"//longitude"),1)</f>
        <v>136.760651</v>
      </c>
      <c r="H86">
        <v>35.423302</v>
      </c>
      <c r="I86">
        <v>136.760651</v>
      </c>
    </row>
    <row r="87" spans="1:9" x14ac:dyDescent="0.4">
      <c r="A87" t="s">
        <v>10</v>
      </c>
      <c r="B87" t="s">
        <v>144</v>
      </c>
      <c r="C87" t="str">
        <f t="shared" si="15"/>
        <v>神奈川県厚木市</v>
      </c>
      <c r="D87" s="2" t="str">
        <f t="shared" si="16"/>
        <v>http://geocode.csis.u-tokyo.ac.jp/cgi-bin/simple_geocode.cgi?charset=UTF8&amp;addr=%E7%A5%9E%E5%A5%88%E5%B7%9D%E7%9C%8C%E5%8E%9A%E6%9C%A8%E5%B8%82</v>
      </c>
      <c r="E87" t="str">
        <f t="shared" si="17"/>
        <v xml:space="preserve">&lt;?xml version="1.0" encoding="UTF-8" ?&gt;
&lt;results&gt;
&lt;query&gt;神奈川県厚木市&lt;/query&gt;
&lt;geodetic&gt;wgs1984&lt;/geodetic&gt;
&lt;iConf&gt;5&lt;/iConf&gt;
&lt;converted&gt;神奈川県厚木市&lt;/converted&gt;
&lt;candidate&gt;
&lt;address&gt;神奈川県/厚木市&lt;/address&gt;
&lt;longitude&gt;139.362442&lt;/longitude&gt;
&lt;latitude&gt;35.443050&lt;/latitude&gt;
&lt;iLvl&gt;3&lt;/iLvl&gt;
&lt;/candidate&gt;
&lt;/results&gt;
</v>
      </c>
      <c r="F87" cm="1">
        <f t="array" ref="F87">INDEX(_xlfn.FILTERXML(E87,"//latitude"),1)</f>
        <v>35.443049999999999</v>
      </c>
      <c r="G87" cm="1">
        <f t="array" ref="G87">INDEX(_xlfn.FILTERXML(E87,"//longitude"),1)</f>
        <v>139.36244199999999</v>
      </c>
      <c r="H87">
        <v>35.443049999999999</v>
      </c>
      <c r="I87">
        <v>139.36244199999999</v>
      </c>
    </row>
    <row r="88" spans="1:9" x14ac:dyDescent="0.4">
      <c r="A88" t="s">
        <v>9</v>
      </c>
      <c r="B88" t="s">
        <v>145</v>
      </c>
      <c r="C88" t="str">
        <f t="shared" si="15"/>
        <v>東京都あきる野市野辺</v>
      </c>
      <c r="D88" s="2" t="str">
        <f t="shared" si="16"/>
        <v>http://geocode.csis.u-tokyo.ac.jp/cgi-bin/simple_geocode.cgi?charset=UTF8&amp;addr=%E6%9D%B1%E4%BA%AC%E9%83%BD%E3%81%82%E3%81%8D%E3%82%8B%E9%87%8E%E5%B8%82%E9%87%8E%E8%BE%BA</v>
      </c>
      <c r="E88" t="str">
        <f t="shared" si="17"/>
        <v xml:space="preserve">&lt;?xml version="1.0" encoding="UTF-8" ?&gt;
&lt;results&gt;
&lt;query&gt;東京都あきる野市野辺&lt;/query&gt;
&lt;geodetic&gt;wgs1984&lt;/geodetic&gt;
&lt;iConf&gt;5&lt;/iConf&gt;
&lt;converted&gt;東京都あきる野市野辺&lt;/converted&gt;
&lt;candidate&gt;
&lt;address&gt;東京都/あきる野市/野辺&lt;/address&gt;
&lt;longitude&gt;139.307983&lt;/longitude&gt;
&lt;latitude&gt;35.721210&lt;/latitude&gt;
&lt;iLvl&gt;5&lt;/iLvl&gt;
&lt;/candidate&gt;
&lt;/results&gt;
</v>
      </c>
      <c r="F88" cm="1">
        <f t="array" ref="F88">INDEX(_xlfn.FILTERXML(E88,"//latitude"),1)</f>
        <v>35.721209999999999</v>
      </c>
      <c r="G88" cm="1">
        <f t="array" ref="G88">INDEX(_xlfn.FILTERXML(E88,"//longitude"),1)</f>
        <v>139.30798300000001</v>
      </c>
      <c r="H88">
        <v>35.721209999999999</v>
      </c>
      <c r="I88">
        <v>139.30798300000001</v>
      </c>
    </row>
    <row r="89" spans="1:9" x14ac:dyDescent="0.4">
      <c r="A89" t="s">
        <v>9</v>
      </c>
      <c r="B89" t="s">
        <v>59</v>
      </c>
      <c r="C89" t="str">
        <f t="shared" si="15"/>
        <v>東京都品川区</v>
      </c>
      <c r="D89" s="2" t="str">
        <f t="shared" si="16"/>
        <v>http://geocode.csis.u-tokyo.ac.jp/cgi-bin/simple_geocode.cgi?charset=UTF8&amp;addr=%E6%9D%B1%E4%BA%AC%E9%83%BD%E5%93%81%E5%B7%9D%E5%8C%BA</v>
      </c>
      <c r="E89" t="str">
        <f t="shared" si="17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89" cm="1">
        <f t="array" ref="F89">INDEX(_xlfn.FILTERXML(E89,"//latitude"),1)</f>
        <v>35.609065999999999</v>
      </c>
      <c r="G89" cm="1">
        <f t="array" ref="G89">INDEX(_xlfn.FILTERXML(E89,"//longitude"),1)</f>
        <v>139.730255</v>
      </c>
      <c r="H89">
        <v>35.609065999999999</v>
      </c>
      <c r="I89">
        <v>139.730255</v>
      </c>
    </row>
    <row r="90" spans="1:9" x14ac:dyDescent="0.4">
      <c r="A90" t="s">
        <v>9</v>
      </c>
      <c r="B90" t="s">
        <v>146</v>
      </c>
      <c r="C90" t="str">
        <f t="shared" si="15"/>
        <v>東京都江戸川区西瑞江</v>
      </c>
      <c r="D90" s="2" t="str">
        <f t="shared" si="16"/>
        <v>http://geocode.csis.u-tokyo.ac.jp/cgi-bin/simple_geocode.cgi?charset=UTF8&amp;addr=%E6%9D%B1%E4%BA%AC%E9%83%BD%E6%B1%9F%E6%88%B8%E5%B7%9D%E5%8C%BA%E8%A5%BF%E7%91%9E%E6%B1%9F</v>
      </c>
      <c r="E90" t="str">
        <f t="shared" si="17"/>
        <v xml:space="preserve">&lt;?xml version="1.0" encoding="UTF-8" ?&gt;
&lt;results&gt;
&lt;query&gt;東京都江戸川区西瑞江&lt;/query&gt;
&lt;geodetic&gt;wgs1984&lt;/geodetic&gt;
&lt;iConf&gt;5&lt;/iConf&gt;
&lt;converted&gt;東京都江戸川区西瑞江&lt;/converted&gt;
&lt;candidate&gt;
&lt;address&gt;東京都/江戸川区/西瑞江&lt;/address&gt;
&lt;longitude&gt;139.890442&lt;/longitude&gt;
&lt;latitude&gt;35.688530&lt;/latitude&gt;
&lt;iLvl&gt;5&lt;/iLvl&gt;
&lt;/candidate&gt;
&lt;/results&gt;
</v>
      </c>
      <c r="F90" cm="1">
        <f t="array" ref="F90">INDEX(_xlfn.FILTERXML(E90,"//latitude"),1)</f>
        <v>35.68853</v>
      </c>
      <c r="G90" cm="1">
        <f t="array" ref="G90">INDEX(_xlfn.FILTERXML(E90,"//longitude"),1)</f>
        <v>139.89044200000001</v>
      </c>
      <c r="H90">
        <v>35.68853</v>
      </c>
      <c r="I90">
        <v>139.89044200000001</v>
      </c>
    </row>
    <row r="91" spans="1:9" x14ac:dyDescent="0.4">
      <c r="A91" t="s">
        <v>30</v>
      </c>
      <c r="B91" t="s">
        <v>147</v>
      </c>
      <c r="C91" t="str">
        <f t="shared" si="15"/>
        <v>静岡県沼津市原町中</v>
      </c>
      <c r="D91" s="2" t="str">
        <f t="shared" si="16"/>
        <v>http://geocode.csis.u-tokyo.ac.jp/cgi-bin/simple_geocode.cgi?charset=UTF8&amp;addr=%E9%9D%99%E5%B2%A1%E7%9C%8C%E6%B2%BC%E6%B4%A5%E5%B8%82%E5%8E%9F%E7%94%BA%E4%B8%AD</v>
      </c>
      <c r="E91" t="str">
        <f t="shared" si="17"/>
        <v xml:space="preserve">&lt;?xml version="1.0" encoding="UTF-8" ?&gt;
&lt;results&gt;
&lt;query&gt;静岡県沼津市原町中&lt;/query&gt;
&lt;geodetic&gt;wgs1984&lt;/geodetic&gt;
&lt;iConf&gt;5&lt;/iConf&gt;
&lt;converted&gt;静岡県沼津市原町中&lt;/converted&gt;
&lt;candidate&gt;
&lt;address&gt;静岡県/沼津市/原町中&lt;/address&gt;
&lt;longitude&gt;138.796204&lt;/longitude&gt;
&lt;latitude&gt;35.130215&lt;/latitude&gt;
&lt;iLvl&gt;5&lt;/iLvl&gt;
&lt;/candidate&gt;
&lt;/results&gt;
</v>
      </c>
      <c r="F91" cm="1">
        <f t="array" ref="F91">INDEX(_xlfn.FILTERXML(E91,"//latitude"),1)</f>
        <v>35.130215</v>
      </c>
      <c r="G91" cm="1">
        <f t="array" ref="G91">INDEX(_xlfn.FILTERXML(E91,"//longitude"),1)</f>
        <v>138.79620399999999</v>
      </c>
      <c r="H91">
        <v>35.130215</v>
      </c>
      <c r="I91">
        <v>138.79620399999999</v>
      </c>
    </row>
    <row r="92" spans="1:9" x14ac:dyDescent="0.4">
      <c r="A92" t="s">
        <v>17</v>
      </c>
      <c r="B92" t="s">
        <v>148</v>
      </c>
      <c r="C92" t="str">
        <f t="shared" si="15"/>
        <v>愛知県西尾市錦城町</v>
      </c>
      <c r="D92" s="2" t="str">
        <f t="shared" si="16"/>
        <v>http://geocode.csis.u-tokyo.ac.jp/cgi-bin/simple_geocode.cgi?charset=UTF8&amp;addr=%E6%84%9B%E7%9F%A5%E7%9C%8C%E8%A5%BF%E5%B0%BE%E5%B8%82%E9%8C%A6%E5%9F%8E%E7%94%BA</v>
      </c>
      <c r="E92" t="str">
        <f t="shared" si="17"/>
        <v xml:space="preserve">&lt;?xml version="1.0" encoding="UTF-8" ?&gt;
&lt;results&gt;
&lt;query&gt;愛知県西尾市錦城町&lt;/query&gt;
&lt;geodetic&gt;wgs1984&lt;/geodetic&gt;
&lt;iConf&gt;5&lt;/iConf&gt;
&lt;converted&gt;愛知県西尾市錦城町&lt;/converted&gt;
&lt;candidate&gt;
&lt;address&gt;愛知県/西尾市/錦城町&lt;/address&gt;
&lt;longitude&gt;137.049454&lt;/longitude&gt;
&lt;latitude&gt;34.866512&lt;/latitude&gt;
&lt;iLvl&gt;5&lt;/iLvl&gt;
&lt;/candidate&gt;
&lt;/results&gt;
</v>
      </c>
      <c r="F92" cm="1">
        <f t="array" ref="F92">INDEX(_xlfn.FILTERXML(E92,"//latitude"),1)</f>
        <v>34.866512</v>
      </c>
      <c r="G92" cm="1">
        <f t="array" ref="G92">INDEX(_xlfn.FILTERXML(E92,"//longitude"),1)</f>
        <v>137.049454</v>
      </c>
      <c r="H92">
        <v>34.866512</v>
      </c>
      <c r="I92">
        <v>137.049454</v>
      </c>
    </row>
    <row r="93" spans="1:9" x14ac:dyDescent="0.4">
      <c r="A93" t="s">
        <v>10</v>
      </c>
      <c r="B93" t="s">
        <v>149</v>
      </c>
      <c r="C93" t="str">
        <f t="shared" si="15"/>
        <v>神奈川県横浜市港北区新横浜1-14-8</v>
      </c>
      <c r="D93" s="2" t="str">
        <f t="shared" si="16"/>
        <v>http://geocode.csis.u-tokyo.ac.jp/cgi-bin/simple_geocode.cgi?charset=UTF8&amp;addr=%E7%A5%9E%E5%A5%88%E5%B7%9D%E7%9C%8C%E6%A8%AA%E6%B5%9C%E5%B8%82%E6%B8%AF%E5%8C%97%E5%8C%BA%E6%96%B0%E6%A8%AA%E6%B5%9C1-14-8</v>
      </c>
      <c r="E93" t="str">
        <f t="shared" si="17"/>
        <v xml:space="preserve">&lt;?xml version="1.0" encoding="UTF-8" ?&gt;
&lt;results&gt;
&lt;query&gt;神奈川県横浜市港北区新横浜1-14-8&lt;/query&gt;
&lt;geodetic&gt;wgs1984&lt;/geodetic&gt;
&lt;iConf&gt;5&lt;/iConf&gt;
&lt;converted&gt;神奈川県横浜市港北区新横浜1-14-&lt;/converted&gt;
&lt;candidate&gt;
&lt;address&gt;神奈川県/横浜市/港北区/新横浜/一丁目/１４番&lt;/address&gt;
&lt;longitude&gt;139.609467&lt;/longitude&gt;
&lt;latitude&gt;35.502243&lt;/latitude&gt;
&lt;iLvl&gt;7&lt;/iLvl&gt;
&lt;/candidate&gt;
&lt;/results&gt;
</v>
      </c>
      <c r="F93" cm="1">
        <f t="array" ref="F93">INDEX(_xlfn.FILTERXML(E93,"//latitude"),1)</f>
        <v>35.502243</v>
      </c>
      <c r="G93" cm="1">
        <f t="array" ref="G93">INDEX(_xlfn.FILTERXML(E93,"//longitude"),1)</f>
        <v>139.609467</v>
      </c>
      <c r="H93">
        <v>35.502243</v>
      </c>
      <c r="I93">
        <v>139.609467</v>
      </c>
    </row>
    <row r="94" spans="1:9" x14ac:dyDescent="0.4">
      <c r="A94" t="s">
        <v>9</v>
      </c>
      <c r="B94" t="s">
        <v>150</v>
      </c>
      <c r="C94" t="str">
        <f t="shared" si="15"/>
        <v>東京都港区南青山</v>
      </c>
      <c r="D94" s="2" t="str">
        <f t="shared" si="16"/>
        <v>http://geocode.csis.u-tokyo.ac.jp/cgi-bin/simple_geocode.cgi?charset=UTF8&amp;addr=%E6%9D%B1%E4%BA%AC%E9%83%BD%E6%B8%AF%E5%8C%BA%E5%8D%97%E9%9D%92%E5%B1%B1</v>
      </c>
      <c r="E94" t="str">
        <f t="shared" si="17"/>
        <v xml:space="preserve">&lt;?xml version="1.0" encoding="UTF-8" ?&gt;
&lt;results&gt;
&lt;query&gt;東京都港区南青山&lt;/query&gt;
&lt;geodetic&gt;wgs1984&lt;/geodetic&gt;
&lt;iConf&gt;5&lt;/iConf&gt;
&lt;converted&gt;東京都港区南青山&lt;/converted&gt;
&lt;candidate&gt;
&lt;address&gt;東京都/港区/南青山&lt;/address&gt;
&lt;longitude&gt;139.725235&lt;/longitude&gt;
&lt;latitude&gt;35.669693&lt;/latitude&gt;
&lt;iLvl&gt;5&lt;/iLvl&gt;
&lt;/candidate&gt;
&lt;/results&gt;
</v>
      </c>
      <c r="F94" cm="1">
        <f t="array" ref="F94">INDEX(_xlfn.FILTERXML(E94,"//latitude"),1)</f>
        <v>35.669693000000002</v>
      </c>
      <c r="G94" cm="1">
        <f t="array" ref="G94">INDEX(_xlfn.FILTERXML(E94,"//longitude"),1)</f>
        <v>139.725235</v>
      </c>
      <c r="H94">
        <v>35.669693000000002</v>
      </c>
      <c r="I94">
        <v>139.725235</v>
      </c>
    </row>
    <row r="95" spans="1:9" x14ac:dyDescent="0.4">
      <c r="A95" t="s">
        <v>10</v>
      </c>
      <c r="B95" t="s">
        <v>151</v>
      </c>
      <c r="C95" t="str">
        <f t="shared" si="15"/>
        <v>神奈川県横浜市港南区下永谷</v>
      </c>
      <c r="D95" s="2" t="str">
        <f t="shared" si="16"/>
        <v>http://geocode.csis.u-tokyo.ac.jp/cgi-bin/simple_geocode.cgi?charset=UTF8&amp;addr=%E7%A5%9E%E5%A5%88%E5%B7%9D%E7%9C%8C%E6%A8%AA%E6%B5%9C%E5%B8%82%E6%B8%AF%E5%8D%97%E5%8C%BA%E4%B8%8B%E6%B0%B8%E8%B0%B7</v>
      </c>
      <c r="E95" t="str">
        <f t="shared" si="17"/>
        <v xml:space="preserve">&lt;?xml version="1.0" encoding="UTF-8" ?&gt;
&lt;results&gt;
&lt;query&gt;神奈川県横浜市港南区下永谷&lt;/query&gt;
&lt;geodetic&gt;wgs1984&lt;/geodetic&gt;
&lt;iConf&gt;5&lt;/iConf&gt;
&lt;converted&gt;神奈川県横浜市港南区下永谷&lt;/converted&gt;
&lt;candidate&gt;
&lt;address&gt;神奈川県/横浜市/港南区/下永谷&lt;/address&gt;
&lt;longitude&gt;139.561920&lt;/longitude&gt;
&lt;latitude&gt;35.415848&lt;/latitude&gt;
&lt;iLvl&gt;5&lt;/iLvl&gt;
&lt;/candidate&gt;
&lt;/results&gt;
</v>
      </c>
      <c r="F95" cm="1">
        <f t="array" ref="F95">INDEX(_xlfn.FILTERXML(E95,"//latitude"),1)</f>
        <v>35.415847999999997</v>
      </c>
      <c r="G95" cm="1">
        <f t="array" ref="G95">INDEX(_xlfn.FILTERXML(E95,"//longitude"),1)</f>
        <v>139.56191999999999</v>
      </c>
      <c r="H95">
        <v>35.415847999999997</v>
      </c>
      <c r="I95">
        <v>139.56191999999999</v>
      </c>
    </row>
    <row r="96" spans="1:9" x14ac:dyDescent="0.4">
      <c r="A96" t="s">
        <v>11</v>
      </c>
      <c r="B96" t="s">
        <v>152</v>
      </c>
      <c r="C96" t="str">
        <f t="shared" si="15"/>
        <v>大阪府大阪市中央区内久宝寺町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http://geocode.csis.u-tokyo.ac.jp/cgi-bin/simple_geocode.cgi?charset=UTF8&amp;addr=%E5%A4%A7%E9%98%AA%E5%BA%9C%E5%A4%A7%E9%98%AA%E5%B8%82%E4%B8%AD%E5%A4%AE%E5%8C%BA%E5%86%85%E4%B9%85%E5%AE%9D%E5%AF%BA%E7%94%BA</v>
      </c>
      <c r="E96" t="str">
        <f t="shared" ref="E96:E122" si="19" xml:space="preserve"> _xlfn.WEBSERVICE(D96)</f>
        <v xml:space="preserve">&lt;?xml version="1.0" encoding="UTF-8" ?&gt;
&lt;results&gt;
&lt;query&gt;大阪府大阪市中央区内久宝寺町&lt;/query&gt;
&lt;geodetic&gt;wgs1984&lt;/geodetic&gt;
&lt;iConf&gt;5&lt;/iConf&gt;
&lt;converted&gt;大阪府大阪市中央区内久宝寺町&lt;/converted&gt;
&lt;candidate&gt;
&lt;address&gt;大阪府/大阪市/中央区/内久宝寺町&lt;/address&gt;
&lt;longitude&gt;135.519196&lt;/longitude&gt;
&lt;latitude&gt;34.677696&lt;/latitude&gt;
&lt;iLvl&gt;5&lt;/iLvl&gt;
&lt;/candidate&gt;
&lt;/results&gt;
</v>
      </c>
      <c r="F96" cm="1">
        <f t="array" ref="F96">INDEX(_xlfn.FILTERXML(E96,"//latitude"),1)</f>
        <v>34.677695999999997</v>
      </c>
      <c r="G96" cm="1">
        <f t="array" ref="G96">INDEX(_xlfn.FILTERXML(E96,"//longitude"),1)</f>
        <v>135.51919599999999</v>
      </c>
      <c r="H96">
        <v>34.677695999999997</v>
      </c>
      <c r="I96">
        <v>135.51919599999999</v>
      </c>
    </row>
    <row r="97" spans="1:9" x14ac:dyDescent="0.4">
      <c r="A97" t="s">
        <v>13</v>
      </c>
      <c r="B97" t="s">
        <v>153</v>
      </c>
      <c r="C97" t="str">
        <f t="shared" si="15"/>
        <v>埼玉県さいたま市大宮区寿能町1-31</v>
      </c>
      <c r="D97" s="2" t="str">
        <f t="shared" si="18"/>
        <v>http://geocode.csis.u-tokyo.ac.jp/cgi-bin/simple_geocode.cgi?charset=UTF8&amp;addr=%E5%9F%BC%E7%8E%89%E7%9C%8C%E3%81%95%E3%81%84%E3%81%9F%E3%81%BE%E5%B8%82%E5%A4%A7%E5%AE%AE%E5%8C%BA%E5%AF%BF%E8%83%BD%E7%94%BA1-31</v>
      </c>
      <c r="E97" t="str">
        <f t="shared" si="19"/>
        <v xml:space="preserve">&lt;?xml version="1.0" encoding="UTF-8" ?&gt;
&lt;results&gt;
&lt;query&gt;埼玉県さいたま市大宮区寿能町1-31&lt;/query&gt;
&lt;geodetic&gt;wgs1984&lt;/geodetic&gt;
&lt;iConf&gt;5&lt;/iConf&gt;
&lt;converted&gt;埼玉県さいたま市大宮区寿能町1-31&lt;/converted&gt;
&lt;candidate&gt;
&lt;address&gt;埼玉県/さいたま市/大宮区/寿能町/一丁目/３１番地&lt;/address&gt;
&lt;longitude&gt;139.631439&lt;/longitude&gt;
&lt;latitude&gt;35.922859&lt;/latitude&gt;
&lt;iLvl&gt;7&lt;/iLvl&gt;
&lt;/candidate&gt;
&lt;/results&gt;
</v>
      </c>
      <c r="F97" cm="1">
        <f t="array" ref="F97">INDEX(_xlfn.FILTERXML(E97,"//latitude"),1)</f>
        <v>35.922859000000003</v>
      </c>
      <c r="G97" cm="1">
        <f t="array" ref="G97">INDEX(_xlfn.FILTERXML(E97,"//longitude"),1)</f>
        <v>139.631439</v>
      </c>
      <c r="H97">
        <v>35.922859000000003</v>
      </c>
      <c r="I97">
        <v>139.631439</v>
      </c>
    </row>
    <row r="98" spans="1:9" x14ac:dyDescent="0.4">
      <c r="A98" t="s">
        <v>9</v>
      </c>
      <c r="B98" t="s">
        <v>154</v>
      </c>
      <c r="C98" t="str">
        <f t="shared" si="15"/>
        <v>東京都国立市青柳</v>
      </c>
      <c r="D98" s="2" t="str">
        <f t="shared" si="18"/>
        <v>http://geocode.csis.u-tokyo.ac.jp/cgi-bin/simple_geocode.cgi?charset=UTF8&amp;addr=%E6%9D%B1%E4%BA%AC%E9%83%BD%E5%9B%BD%E7%AB%8B%E5%B8%82%E9%9D%92%E6%9F%B3</v>
      </c>
      <c r="E98" t="str">
        <f t="shared" si="19"/>
        <v xml:space="preserve">&lt;?xml version="1.0" encoding="UTF-8" ?&gt;
&lt;results&gt;
&lt;query&gt;東京都国立市青柳&lt;/query&gt;
&lt;geodetic&gt;wgs1984&lt;/geodetic&gt;
&lt;iConf&gt;5&lt;/iConf&gt;
&lt;converted&gt;東京都国立市青柳&lt;/converted&gt;
&lt;candidate&gt;
&lt;address&gt;東京都/国立市/青柳&lt;/address&gt;
&lt;longitude&gt;139.424179&lt;/longitude&gt;
&lt;latitude&gt;35.685329&lt;/latitude&gt;
&lt;iLvl&gt;5&lt;/iLvl&gt;
&lt;/candidate&gt;
&lt;/results&gt;
</v>
      </c>
      <c r="F98" cm="1">
        <f t="array" ref="F98">INDEX(_xlfn.FILTERXML(E98,"//latitude"),1)</f>
        <v>35.685329000000003</v>
      </c>
      <c r="G98" cm="1">
        <f t="array" ref="G98">INDEX(_xlfn.FILTERXML(E98,"//longitude"),1)</f>
        <v>139.42417900000001</v>
      </c>
      <c r="H98">
        <v>35.685329000000003</v>
      </c>
      <c r="I98">
        <v>139.42417900000001</v>
      </c>
    </row>
    <row r="99" spans="1:9" x14ac:dyDescent="0.4">
      <c r="A99" t="s">
        <v>16</v>
      </c>
      <c r="B99" t="s">
        <v>155</v>
      </c>
      <c r="C99" t="str">
        <f t="shared" si="15"/>
        <v>長野県飯田市</v>
      </c>
      <c r="D99" s="2" t="str">
        <f t="shared" si="18"/>
        <v>http://geocode.csis.u-tokyo.ac.jp/cgi-bin/simple_geocode.cgi?charset=UTF8&amp;addr=%E9%95%B7%E9%87%8E%E7%9C%8C%E9%A3%AF%E7%94%B0%E5%B8%82</v>
      </c>
      <c r="E99" t="str">
        <f t="shared" si="19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99" cm="1">
        <f t="array" ref="F99">INDEX(_xlfn.FILTERXML(E99,"//latitude"),1)</f>
        <v>35.514702</v>
      </c>
      <c r="G99" cm="1">
        <f t="array" ref="G99">INDEX(_xlfn.FILTERXML(E99,"//longitude"),1)</f>
        <v>137.82182299999999</v>
      </c>
      <c r="H99">
        <v>35.514702</v>
      </c>
      <c r="I99">
        <v>137.82182299999999</v>
      </c>
    </row>
    <row r="100" spans="1:9" x14ac:dyDescent="0.4">
      <c r="A100" t="s">
        <v>10</v>
      </c>
      <c r="B100" t="s">
        <v>156</v>
      </c>
      <c r="C100" t="str">
        <f t="shared" si="15"/>
        <v>神奈川県川崎市幸区堀川町</v>
      </c>
      <c r="D100" s="2" t="str">
        <f t="shared" si="18"/>
        <v>http://geocode.csis.u-tokyo.ac.jp/cgi-bin/simple_geocode.cgi?charset=UTF8&amp;addr=%E7%A5%9E%E5%A5%88%E5%B7%9D%E7%9C%8C%E5%B7%9D%E5%B4%8E%E5%B8%82%E5%B9%B8%E5%8C%BA%E5%A0%80%E5%B7%9D%E7%94%BA</v>
      </c>
      <c r="E100" t="str">
        <f t="shared" si="19"/>
        <v xml:space="preserve">&lt;?xml version="1.0" encoding="UTF-8" ?&gt;
&lt;results&gt;
&lt;query&gt;神奈川県川崎市幸区堀川町&lt;/query&gt;
&lt;geodetic&gt;wgs1984&lt;/geodetic&gt;
&lt;iConf&gt;5&lt;/iConf&gt;
&lt;converted&gt;神奈川県川崎市幸区堀川町&lt;/converted&gt;
&lt;candidate&gt;
&lt;address&gt;神奈川県/川崎市/幸区/堀川町&lt;/address&gt;
&lt;longitude&gt;139.695312&lt;/longitude&gt;
&lt;latitude&gt;35.534286&lt;/latitude&gt;
&lt;iLvl&gt;5&lt;/iLvl&gt;
&lt;/candidate&gt;
&lt;/results&gt;
</v>
      </c>
      <c r="F100" cm="1">
        <f t="array" ref="F100">INDEX(_xlfn.FILTERXML(E100,"//latitude"),1)</f>
        <v>35.534286000000002</v>
      </c>
      <c r="G100" cm="1">
        <f t="array" ref="G100">INDEX(_xlfn.FILTERXML(E100,"//longitude"),1)</f>
        <v>139.695312</v>
      </c>
      <c r="H100">
        <v>35.534286000000002</v>
      </c>
      <c r="I100">
        <v>139.695312</v>
      </c>
    </row>
    <row r="101" spans="1:9" x14ac:dyDescent="0.4">
      <c r="A101" t="s">
        <v>63</v>
      </c>
      <c r="B101" t="s">
        <v>157</v>
      </c>
      <c r="C101" t="str">
        <f t="shared" si="15"/>
        <v>石川県金沢市直江北1丁目</v>
      </c>
      <c r="D101" s="2" t="str">
        <f t="shared" si="18"/>
        <v>http://geocode.csis.u-tokyo.ac.jp/cgi-bin/simple_geocode.cgi?charset=UTF8&amp;addr=%E7%9F%B3%E5%B7%9D%E7%9C%8C%E9%87%91%E6%B2%A2%E5%B8%82%E7%9B%B4%E6%B1%9F%E5%8C%971%E4%B8%81%E7%9B%AE</v>
      </c>
      <c r="E101" t="str">
        <f t="shared" si="19"/>
        <v xml:space="preserve">&lt;?xml version="1.0" encoding="UTF-8" ?&gt;
&lt;results&gt;
&lt;query&gt;石川県金沢市直江北1丁目&lt;/query&gt;
&lt;geodetic&gt;wgs1984&lt;/geodetic&gt;
&lt;iConf&gt;5&lt;/iConf&gt;
&lt;converted&gt;石川県金沢市直江北1丁目&lt;/converted&gt;
&lt;candidate&gt;
&lt;address&gt;石川県/金沢市/直江北/一丁目&lt;/address&gt;
&lt;longitude&gt;136.633713&lt;/longitude&gt;
&lt;latitude&gt;36.615669&lt;/latitude&gt;
&lt;iLvl&gt;6&lt;/iLvl&gt;
&lt;/candidate&gt;
&lt;/results&gt;
</v>
      </c>
      <c r="F101" cm="1">
        <f t="array" ref="F101">INDEX(_xlfn.FILTERXML(E101,"//latitude"),1)</f>
        <v>36.615668999999997</v>
      </c>
      <c r="G101" cm="1">
        <f t="array" ref="G101">INDEX(_xlfn.FILTERXML(E101,"//longitude"),1)</f>
        <v>136.633713</v>
      </c>
      <c r="H101">
        <v>36.615668999999997</v>
      </c>
      <c r="I101">
        <v>136.633713</v>
      </c>
    </row>
    <row r="102" spans="1:9" x14ac:dyDescent="0.4">
      <c r="A102" t="s">
        <v>23</v>
      </c>
      <c r="B102" t="s">
        <v>158</v>
      </c>
      <c r="C102" t="str">
        <f t="shared" si="15"/>
        <v>宮城県岩沼市館下</v>
      </c>
      <c r="D102" s="2" t="str">
        <f t="shared" si="18"/>
        <v>http://geocode.csis.u-tokyo.ac.jp/cgi-bin/simple_geocode.cgi?charset=UTF8&amp;addr=%E5%AE%AE%E5%9F%8E%E7%9C%8C%E5%B2%A9%E6%B2%BC%E5%B8%82%E9%A4%A8%E4%B8%8B</v>
      </c>
      <c r="E102" t="str">
        <f t="shared" si="19"/>
        <v xml:space="preserve">&lt;?xml version="1.0" encoding="UTF-8" ?&gt;
&lt;results&gt;
&lt;query&gt;宮城県岩沼市館下&lt;/query&gt;
&lt;geodetic&gt;wgs1984&lt;/geodetic&gt;
&lt;iConf&gt;5&lt;/iConf&gt;
&lt;converted&gt;宮城県岩沼市館下&lt;/converted&gt;
&lt;candidate&gt;
&lt;address&gt;宮城県/岩沼市/館下&lt;/address&gt;
&lt;longitude&gt;140.863663&lt;/longitude&gt;
&lt;latitude&gt;38.110527&lt;/latitude&gt;
&lt;iLvl&gt;5&lt;/iLvl&gt;
&lt;/candidate&gt;
&lt;/results&gt;
</v>
      </c>
      <c r="F102" cm="1">
        <f t="array" ref="F102">INDEX(_xlfn.FILTERXML(E102,"//latitude"),1)</f>
        <v>38.110526999999998</v>
      </c>
      <c r="G102" cm="1">
        <f t="array" ref="G102">INDEX(_xlfn.FILTERXML(E102,"//longitude"),1)</f>
        <v>140.863663</v>
      </c>
      <c r="H102">
        <v>38.110526999999998</v>
      </c>
      <c r="I102">
        <v>140.863663</v>
      </c>
    </row>
    <row r="103" spans="1:9" x14ac:dyDescent="0.4">
      <c r="A103" t="s">
        <v>14</v>
      </c>
      <c r="B103" t="s">
        <v>72</v>
      </c>
      <c r="C103" t="str">
        <f t="shared" si="15"/>
        <v>広島県広島市中区河原町</v>
      </c>
      <c r="D103" s="2" t="str">
        <f t="shared" si="18"/>
        <v>http://geocode.csis.u-tokyo.ac.jp/cgi-bin/simple_geocode.cgi?charset=UTF8&amp;addr=%E5%BA%83%E5%B3%B6%E7%9C%8C%E5%BA%83%E5%B3%B6%E5%B8%82%E4%B8%AD%E5%8C%BA%E6%B2%B3%E5%8E%9F%E7%94%BA</v>
      </c>
      <c r="E103" t="str">
        <f t="shared" si="19"/>
        <v xml:space="preserve">&lt;?xml version="1.0" encoding="UTF-8" ?&gt;
&lt;results&gt;
&lt;query&gt;広島県広島市中区河原町&lt;/query&gt;
&lt;geodetic&gt;wgs1984&lt;/geodetic&gt;
&lt;iConf&gt;5&lt;/iConf&gt;
&lt;converted&gt;広島県広島市中区河原町&lt;/converted&gt;
&lt;candidate&gt;
&lt;address&gt;広島県/広島市/中区/河原町&lt;/address&gt;
&lt;longitude&gt;132.446747&lt;/longitude&gt;
&lt;latitude&gt;34.389961&lt;/latitude&gt;
&lt;iLvl&gt;5&lt;/iLvl&gt;
&lt;/candidate&gt;
&lt;/results&gt;
</v>
      </c>
      <c r="F103" cm="1">
        <f t="array" ref="F103">INDEX(_xlfn.FILTERXML(E103,"//latitude"),1)</f>
        <v>34.389961</v>
      </c>
      <c r="G103" cm="1">
        <f t="array" ref="G103">INDEX(_xlfn.FILTERXML(E103,"//longitude"),1)</f>
        <v>132.44674699999999</v>
      </c>
      <c r="H103">
        <v>34.389961</v>
      </c>
      <c r="I103">
        <v>132.44674699999999</v>
      </c>
    </row>
    <row r="104" spans="1:9" x14ac:dyDescent="0.4">
      <c r="A104" t="s">
        <v>55</v>
      </c>
      <c r="B104" t="s">
        <v>159</v>
      </c>
      <c r="C104" t="str">
        <f t="shared" si="15"/>
        <v>富山県魚津市本新</v>
      </c>
      <c r="D104" s="2" t="str">
        <f t="shared" si="18"/>
        <v>http://geocode.csis.u-tokyo.ac.jp/cgi-bin/simple_geocode.cgi?charset=UTF8&amp;addr=%E5%AF%8C%E5%B1%B1%E7%9C%8C%E9%AD%9A%E6%B4%A5%E5%B8%82%E6%9C%AC%E6%96%B0</v>
      </c>
      <c r="E104" t="str">
        <f t="shared" si="19"/>
        <v xml:space="preserve">&lt;?xml version="1.0" encoding="UTF-8" ?&gt;
&lt;results&gt;
&lt;query&gt;富山県魚津市本新&lt;/query&gt;
&lt;geodetic&gt;wgs1984&lt;/geodetic&gt;
&lt;iConf&gt;5&lt;/iConf&gt;
&lt;converted&gt;富山県魚津市本新&lt;/converted&gt;
&lt;candidate&gt;
&lt;address&gt;富山県/魚津市/本新&lt;/address&gt;
&lt;longitude&gt;137.398315&lt;/longitude&gt;
&lt;latitude&gt;36.826561&lt;/latitude&gt;
&lt;iLvl&gt;5&lt;/iLvl&gt;
&lt;/candidate&gt;
&lt;/results&gt;
</v>
      </c>
      <c r="F104" cm="1">
        <f t="array" ref="F104">INDEX(_xlfn.FILTERXML(E104,"//latitude"),1)</f>
        <v>36.826560999999998</v>
      </c>
      <c r="G104" cm="1">
        <f t="array" ref="G104">INDEX(_xlfn.FILTERXML(E104,"//longitude"),1)</f>
        <v>137.398315</v>
      </c>
      <c r="H104">
        <v>36.826560999999998</v>
      </c>
      <c r="I104">
        <v>137.398315</v>
      </c>
    </row>
    <row r="105" spans="1:9" x14ac:dyDescent="0.4">
      <c r="A105" t="s">
        <v>17</v>
      </c>
      <c r="B105" t="s">
        <v>160</v>
      </c>
      <c r="C105" t="str">
        <f t="shared" si="15"/>
        <v>愛知県一宮市玉野字塚原</v>
      </c>
      <c r="D105" s="2" t="str">
        <f t="shared" si="18"/>
        <v>http://geocode.csis.u-tokyo.ac.jp/cgi-bin/simple_geocode.cgi?charset=UTF8&amp;addr=%E6%84%9B%E7%9F%A5%E7%9C%8C%E4%B8%80%E5%AE%AE%E5%B8%82%E7%8E%89%E9%87%8E%E5%AD%97%E5%A1%9A%E5%8E%9F</v>
      </c>
      <c r="E105" t="str">
        <f t="shared" si="19"/>
        <v xml:space="preserve">&lt;?xml version="1.0" encoding="UTF-8" ?&gt;
&lt;results&gt;
&lt;query&gt;愛知県一宮市玉野字塚原&lt;/query&gt;
&lt;geodetic&gt;wgs1984&lt;/geodetic&gt;
&lt;iConf&gt;5&lt;/iConf&gt;
&lt;converted&gt;愛知県一宮市玉野字塚原&lt;/converted&gt;
&lt;candidate&gt;
&lt;address&gt;愛知県/一宮市/玉野/塚原&lt;/address&gt;
&lt;longitude&gt;136.743500&lt;/longitude&gt;
&lt;latitude&gt;35.273254&lt;/latitude&gt;
&lt;iLvl&gt;6&lt;/iLvl&gt;
&lt;/candidate&gt;
&lt;/results&gt;
</v>
      </c>
      <c r="F105" cm="1">
        <f t="array" ref="F105">INDEX(_xlfn.FILTERXML(E105,"//latitude"),1)</f>
        <v>35.273254000000001</v>
      </c>
      <c r="G105" cm="1">
        <f t="array" ref="G105">INDEX(_xlfn.FILTERXML(E105,"//longitude"),1)</f>
        <v>136.74350000000001</v>
      </c>
      <c r="H105">
        <v>35.273254000000001</v>
      </c>
      <c r="I105">
        <v>136.74350000000001</v>
      </c>
    </row>
    <row r="106" spans="1:9" x14ac:dyDescent="0.4">
      <c r="A106" t="s">
        <v>20</v>
      </c>
      <c r="B106" t="s">
        <v>161</v>
      </c>
      <c r="C106" t="str">
        <f t="shared" si="15"/>
        <v>茨城県土浦市神立町</v>
      </c>
      <c r="D106" s="2" t="str">
        <f t="shared" si="18"/>
        <v>http://geocode.csis.u-tokyo.ac.jp/cgi-bin/simple_geocode.cgi?charset=UTF8&amp;addr=%E8%8C%A8%E5%9F%8E%E7%9C%8C%E5%9C%9F%E6%B5%A6%E5%B8%82%E7%A5%9E%E7%AB%8B%E7%94%BA</v>
      </c>
      <c r="E106" t="str">
        <f t="shared" si="19"/>
        <v xml:space="preserve">&lt;?xml version="1.0" encoding="UTF-8" ?&gt;
&lt;results&gt;
&lt;query&gt;茨城県土浦市神立町&lt;/query&gt;
&lt;geodetic&gt;wgs1984&lt;/geodetic&gt;
&lt;iConf&gt;5&lt;/iConf&gt;
&lt;converted&gt;茨城県土浦市神立町&lt;/converted&gt;
&lt;candidate&gt;
&lt;address&gt;茨城県/土浦市/神立町&lt;/address&gt;
&lt;longitude&gt;140.229950&lt;/longitude&gt;
&lt;latitude&gt;36.109219&lt;/latitude&gt;
&lt;iLvl&gt;5&lt;/iLvl&gt;
&lt;/candidate&gt;
&lt;/results&gt;
</v>
      </c>
      <c r="F106" cm="1">
        <f t="array" ref="F106">INDEX(_xlfn.FILTERXML(E106,"//latitude"),1)</f>
        <v>36.109219000000003</v>
      </c>
      <c r="G106" cm="1">
        <f t="array" ref="G106">INDEX(_xlfn.FILTERXML(E106,"//longitude"),1)</f>
        <v>140.22995</v>
      </c>
      <c r="H106">
        <v>36.109219000000003</v>
      </c>
      <c r="I106">
        <v>140.22995</v>
      </c>
    </row>
    <row r="107" spans="1:9" x14ac:dyDescent="0.4">
      <c r="A107" t="s">
        <v>45</v>
      </c>
      <c r="B107" t="s">
        <v>162</v>
      </c>
      <c r="C107" t="str">
        <f t="shared" si="15"/>
        <v>岐阜県羽島市上中町長間</v>
      </c>
      <c r="D107" s="2" t="str">
        <f t="shared" si="18"/>
        <v>http://geocode.csis.u-tokyo.ac.jp/cgi-bin/simple_geocode.cgi?charset=UTF8&amp;addr=%E5%B2%90%E9%98%9C%E7%9C%8C%E7%BE%BD%E5%B3%B6%E5%B8%82%E4%B8%8A%E4%B8%AD%E7%94%BA%E9%95%B7%E9%96%93</v>
      </c>
      <c r="E107" t="str">
        <f t="shared" si="19"/>
        <v xml:space="preserve">&lt;?xml version="1.0" encoding="UTF-8" ?&gt;
&lt;results&gt;
&lt;query&gt;岐阜県羽島市上中町長間&lt;/query&gt;
&lt;geodetic&gt;wgs1984&lt;/geodetic&gt;
&lt;iConf&gt;5&lt;/iConf&gt;
&lt;converted&gt;岐阜県羽島市上中町長間&lt;/converted&gt;
&lt;candidate&gt;
&lt;address&gt;岐阜県/羽島市/上中町長間&lt;/address&gt;
&lt;longitude&gt;136.700821&lt;/longitude&gt;
&lt;latitude&gt;35.304909&lt;/latitude&gt;
&lt;iLvl&gt;5&lt;/iLvl&gt;
&lt;/candidate&gt;
&lt;/results&gt;
</v>
      </c>
      <c r="F107" cm="1">
        <f t="array" ref="F107">INDEX(_xlfn.FILTERXML(E107,"//latitude"),1)</f>
        <v>35.304909000000002</v>
      </c>
      <c r="G107" cm="1">
        <f t="array" ref="G107">INDEX(_xlfn.FILTERXML(E107,"//longitude"),1)</f>
        <v>136.70082099999999</v>
      </c>
      <c r="H107">
        <v>35.304909000000002</v>
      </c>
      <c r="I107">
        <v>136.70082099999999</v>
      </c>
    </row>
    <row r="108" spans="1:9" x14ac:dyDescent="0.4">
      <c r="A108" t="s">
        <v>30</v>
      </c>
      <c r="B108" t="s">
        <v>163</v>
      </c>
      <c r="C108" t="str">
        <f t="shared" si="15"/>
        <v>静岡県富士市松岡1164-11</v>
      </c>
      <c r="D108" s="2" t="str">
        <f t="shared" si="18"/>
        <v>http://geocode.csis.u-tokyo.ac.jp/cgi-bin/simple_geocode.cgi?charset=UTF8&amp;addr=%E9%9D%99%E5%B2%A1%E7%9C%8C%E5%AF%8C%E5%A3%AB%E5%B8%82%E6%9D%BE%E5%B2%A11164-11</v>
      </c>
      <c r="E108" t="str">
        <f t="shared" si="19"/>
        <v xml:space="preserve">&lt;?xml version="1.0" encoding="UTF-8" ?&gt;
&lt;results&gt;
&lt;query&gt;静岡県富士市松岡1164-11&lt;/query&gt;
&lt;geodetic&gt;wgs1984&lt;/geodetic&gt;
&lt;iConf&gt;5&lt;/iConf&gt;
&lt;converted&gt;静岡県富士市松岡1164-&lt;/converted&gt;
&lt;candidate&gt;
&lt;address&gt;静岡県/富士市/松岡/１１６４番地&lt;/address&gt;
&lt;longitude&gt;138.642654&lt;/longitude&gt;
&lt;latitude&gt;35.155643&lt;/latitude&gt;
&lt;iLvl&gt;7&lt;/iLvl&gt;
&lt;/candidate&gt;
&lt;/results&gt;
</v>
      </c>
      <c r="F108" cm="1">
        <f t="array" ref="F108">INDEX(_xlfn.FILTERXML(E108,"//latitude"),1)</f>
        <v>35.155642999999998</v>
      </c>
      <c r="G108" cm="1">
        <f t="array" ref="G108">INDEX(_xlfn.FILTERXML(E108,"//longitude"),1)</f>
        <v>138.64265399999999</v>
      </c>
      <c r="H108">
        <v>35.155642999999998</v>
      </c>
      <c r="I108">
        <v>138.64265399999999</v>
      </c>
    </row>
    <row r="109" spans="1:9" x14ac:dyDescent="0.4">
      <c r="A109" t="s">
        <v>13</v>
      </c>
      <c r="B109" t="s">
        <v>164</v>
      </c>
      <c r="C109" t="str">
        <f t="shared" si="15"/>
        <v>埼玉県川越市</v>
      </c>
      <c r="D109" s="2" t="str">
        <f t="shared" si="18"/>
        <v>http://geocode.csis.u-tokyo.ac.jp/cgi-bin/simple_geocode.cgi?charset=UTF8&amp;addr=%E5%9F%BC%E7%8E%89%E7%9C%8C%E5%B7%9D%E8%B6%8A%E5%B8%82</v>
      </c>
      <c r="E109" t="str">
        <f t="shared" si="19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109" cm="1">
        <f t="array" ref="F109">INDEX(_xlfn.FILTERXML(E109,"//latitude"),1)</f>
        <v>35.925114000000001</v>
      </c>
      <c r="G109" cm="1">
        <f t="array" ref="G109">INDEX(_xlfn.FILTERXML(E109,"//longitude"),1)</f>
        <v>139.48584</v>
      </c>
      <c r="H109">
        <v>35.925114000000001</v>
      </c>
      <c r="I109">
        <v>139.48584</v>
      </c>
    </row>
    <row r="110" spans="1:9" x14ac:dyDescent="0.4">
      <c r="A110" t="s">
        <v>10</v>
      </c>
      <c r="B110" t="s">
        <v>71</v>
      </c>
      <c r="C110" t="str">
        <f t="shared" si="15"/>
        <v>神奈川県川崎市中原区</v>
      </c>
      <c r="D110" s="2" t="str">
        <f t="shared" si="18"/>
        <v>http://geocode.csis.u-tokyo.ac.jp/cgi-bin/simple_geocode.cgi?charset=UTF8&amp;addr=%E7%A5%9E%E5%A5%88%E5%B7%9D%E7%9C%8C%E5%B7%9D%E5%B4%8E%E5%B8%82%E4%B8%AD%E5%8E%9F%E5%8C%BA</v>
      </c>
      <c r="E110" t="str">
        <f t="shared" si="19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110" cm="1">
        <f t="array" ref="F110">INDEX(_xlfn.FILTERXML(E110,"//latitude"),1)</f>
        <v>35.576259999999998</v>
      </c>
      <c r="G110" cm="1">
        <f t="array" ref="G110">INDEX(_xlfn.FILTERXML(E110,"//longitude"),1)</f>
        <v>139.65576200000001</v>
      </c>
      <c r="H110">
        <v>35.576259999999998</v>
      </c>
      <c r="I110">
        <v>139.65576200000001</v>
      </c>
    </row>
    <row r="111" spans="1:9" x14ac:dyDescent="0.4">
      <c r="A111" t="s">
        <v>18</v>
      </c>
      <c r="B111" t="s">
        <v>121</v>
      </c>
      <c r="C111" t="str">
        <f t="shared" si="15"/>
        <v>千葉県柏市</v>
      </c>
      <c r="D111" s="2" t="str">
        <f t="shared" si="18"/>
        <v>http://geocode.csis.u-tokyo.ac.jp/cgi-bin/simple_geocode.cgi?charset=UTF8&amp;addr=%E5%8D%83%E8%91%89%E7%9C%8C%E6%9F%8F%E5%B8%82</v>
      </c>
      <c r="E111" t="str">
        <f t="shared" si="19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111" cm="1">
        <f t="array" ref="F111">INDEX(_xlfn.FILTERXML(E111,"//latitude"),1)</f>
        <v>35.868293999999999</v>
      </c>
      <c r="G111" cm="1">
        <f t="array" ref="G111">INDEX(_xlfn.FILTERXML(E111,"//longitude"),1)</f>
        <v>139.97619599999999</v>
      </c>
      <c r="H111">
        <v>35.868293999999999</v>
      </c>
      <c r="I111">
        <v>139.97619599999999</v>
      </c>
    </row>
    <row r="112" spans="1:9" x14ac:dyDescent="0.4">
      <c r="A112" t="s">
        <v>16</v>
      </c>
      <c r="B112" t="s">
        <v>165</v>
      </c>
      <c r="C112" t="str">
        <f t="shared" si="15"/>
        <v>長野県塩尻市広丘郷原１７８０</v>
      </c>
      <c r="D112" s="2" t="str">
        <f t="shared" si="18"/>
        <v>http://geocode.csis.u-tokyo.ac.jp/cgi-bin/simple_geocode.cgi?charset=UTF8&amp;addr=%E9%95%B7%E9%87%8E%E7%9C%8C%E5%A1%A9%E5%B0%BB%E5%B8%82%E5%BA%83%E4%B8%98%E9%83%B7%E5%8E%9F%EF%BC%91%EF%BC%97%EF%BC%98%EF%BC%90</v>
      </c>
      <c r="E112" t="str">
        <f t="shared" si="19"/>
        <v xml:space="preserve">&lt;?xml version="1.0" encoding="UTF-8" ?&gt;
&lt;results&gt;
&lt;query&gt;長野県塩尻市広丘郷原１７８０&lt;/query&gt;
&lt;geodetic&gt;wgs1984&lt;/geodetic&gt;
&lt;iConf&gt;5&lt;/iConf&gt;
&lt;converted&gt;長野県塩尻市広丘郷原１７８０&lt;/converted&gt;
&lt;candidate&gt;
&lt;address&gt;長野県/塩尻市/広丘郷原/１７８０番地&lt;/address&gt;
&lt;longitude&gt;137.939728&lt;/longitude&gt;
&lt;latitude&gt;36.127342&lt;/latitude&gt;
&lt;iLvl&gt;7&lt;/iLvl&gt;
&lt;/candidate&gt;
&lt;/results&gt;
</v>
      </c>
      <c r="F112" cm="1">
        <f t="array" ref="F112">INDEX(_xlfn.FILTERXML(E112,"//latitude"),1)</f>
        <v>36.127341999999999</v>
      </c>
      <c r="G112" cm="1">
        <f t="array" ref="G112">INDEX(_xlfn.FILTERXML(E112,"//longitude"),1)</f>
        <v>137.939728</v>
      </c>
      <c r="H112">
        <v>36.127341999999999</v>
      </c>
      <c r="I112">
        <v>137.939728</v>
      </c>
    </row>
    <row r="113" spans="1:9" x14ac:dyDescent="0.4">
      <c r="A113" t="s">
        <v>10</v>
      </c>
      <c r="B113" t="s">
        <v>166</v>
      </c>
      <c r="C113" t="str">
        <f t="shared" si="15"/>
        <v>神奈川県逗子市久木</v>
      </c>
      <c r="D113" s="2" t="str">
        <f t="shared" si="18"/>
        <v>http://geocode.csis.u-tokyo.ac.jp/cgi-bin/simple_geocode.cgi?charset=UTF8&amp;addr=%E7%A5%9E%E5%A5%88%E5%B7%9D%E7%9C%8C%E9%80%97%E5%AD%90%E5%B8%82%E4%B9%85%E6%9C%A8</v>
      </c>
      <c r="E113" t="str">
        <f t="shared" si="19"/>
        <v xml:space="preserve">&lt;?xml version="1.0" encoding="UTF-8" ?&gt;
&lt;results&gt;
&lt;query&gt;神奈川県逗子市久木&lt;/query&gt;
&lt;geodetic&gt;wgs1984&lt;/geodetic&gt;
&lt;iConf&gt;5&lt;/iConf&gt;
&lt;converted&gt;神奈川県逗子市久木&lt;/converted&gt;
&lt;candidate&gt;
&lt;address&gt;神奈川県/逗子市/久木&lt;/address&gt;
&lt;longitude&gt;139.576447&lt;/longitude&gt;
&lt;latitude&gt;35.300365&lt;/latitude&gt;
&lt;iLvl&gt;5&lt;/iLvl&gt;
&lt;/candidate&gt;
&lt;/results&gt;
</v>
      </c>
      <c r="F113" cm="1">
        <f t="array" ref="F113">INDEX(_xlfn.FILTERXML(E113,"//latitude"),1)</f>
        <v>35.300364999999999</v>
      </c>
      <c r="G113" cm="1">
        <f t="array" ref="G113">INDEX(_xlfn.FILTERXML(E113,"//longitude"),1)</f>
        <v>139.576447</v>
      </c>
      <c r="H113">
        <v>35.300364999999999</v>
      </c>
      <c r="I113">
        <v>139.576447</v>
      </c>
    </row>
    <row r="114" spans="1:9" x14ac:dyDescent="0.4">
      <c r="A114" t="s">
        <v>49</v>
      </c>
      <c r="B114" t="s">
        <v>167</v>
      </c>
      <c r="C114" t="str">
        <f t="shared" si="15"/>
        <v>三重県度会郡玉城町佐田</v>
      </c>
      <c r="D114" s="2" t="str">
        <f t="shared" si="18"/>
        <v>http://geocode.csis.u-tokyo.ac.jp/cgi-bin/simple_geocode.cgi?charset=UTF8&amp;addr=%E4%B8%89%E9%87%8D%E7%9C%8C%E5%BA%A6%E4%BC%9A%E9%83%A1%E7%8E%89%E5%9F%8E%E7%94%BA%E4%BD%90%E7%94%B0</v>
      </c>
      <c r="E114" t="str">
        <f t="shared" si="19"/>
        <v xml:space="preserve">&lt;?xml version="1.0" encoding="UTF-8" ?&gt;
&lt;results&gt;
&lt;query&gt;三重県度会郡玉城町佐田&lt;/query&gt;
&lt;geodetic&gt;wgs1984&lt;/geodetic&gt;
&lt;iConf&gt;5&lt;/iConf&gt;
&lt;converted&gt;三重県度会郡玉城町佐田&lt;/converted&gt;
&lt;candidate&gt;
&lt;address&gt;三重県/度会郡/玉城町/佐田&lt;/address&gt;
&lt;longitude&gt;136.639542&lt;/longitude&gt;
&lt;latitude&gt;34.488438&lt;/latitude&gt;
&lt;iLvl&gt;5&lt;/iLvl&gt;
&lt;/candidate&gt;
&lt;/results&gt;
</v>
      </c>
      <c r="F114" cm="1">
        <f t="array" ref="F114">INDEX(_xlfn.FILTERXML(E114,"//latitude"),1)</f>
        <v>34.488438000000002</v>
      </c>
      <c r="G114" cm="1">
        <f t="array" ref="G114">INDEX(_xlfn.FILTERXML(E114,"//longitude"),1)</f>
        <v>136.63954200000001</v>
      </c>
      <c r="H114">
        <v>34.488438000000002</v>
      </c>
      <c r="I114">
        <v>136.63954200000001</v>
      </c>
    </row>
    <row r="115" spans="1:9" x14ac:dyDescent="0.4">
      <c r="A115" t="s">
        <v>11</v>
      </c>
      <c r="B115" t="s">
        <v>168</v>
      </c>
      <c r="C115" t="str">
        <f t="shared" si="15"/>
        <v>大阪府大阪市生野区中川西</v>
      </c>
      <c r="D115" s="2" t="str">
        <f t="shared" si="18"/>
        <v>http://geocode.csis.u-tokyo.ac.jp/cgi-bin/simple_geocode.cgi?charset=UTF8&amp;addr=%E5%A4%A7%E9%98%AA%E5%BA%9C%E5%A4%A7%E9%98%AA%E5%B8%82%E7%94%9F%E9%87%8E%E5%8C%BA%E4%B8%AD%E5%B7%9D%E8%A5%BF</v>
      </c>
      <c r="E115" t="str">
        <f t="shared" si="19"/>
        <v xml:space="preserve">&lt;?xml version="1.0" encoding="UTF-8" ?&gt;
&lt;results&gt;
&lt;query&gt;大阪府大阪市生野区中川西&lt;/query&gt;
&lt;geodetic&gt;wgs1984&lt;/geodetic&gt;
&lt;iConf&gt;5&lt;/iConf&gt;
&lt;converted&gt;大阪府大阪市生野区中川西&lt;/converted&gt;
&lt;candidate&gt;
&lt;address&gt;大阪府/大阪市/生野区/中川西&lt;/address&gt;
&lt;longitude&gt;135.540833&lt;/longitude&gt;
&lt;latitude&gt;34.663853&lt;/latitude&gt;
&lt;iLvl&gt;5&lt;/iLvl&gt;
&lt;/candidate&gt;
&lt;/results&gt;
</v>
      </c>
      <c r="F115" cm="1">
        <f t="array" ref="F115">INDEX(_xlfn.FILTERXML(E115,"//latitude"),1)</f>
        <v>34.663853000000003</v>
      </c>
      <c r="G115" cm="1">
        <f t="array" ref="G115">INDEX(_xlfn.FILTERXML(E115,"//longitude"),1)</f>
        <v>135.54083299999999</v>
      </c>
      <c r="H115">
        <v>34.663853000000003</v>
      </c>
      <c r="I115">
        <v>135.54083299999999</v>
      </c>
    </row>
    <row r="116" spans="1:9" x14ac:dyDescent="0.4">
      <c r="A116" t="s">
        <v>56</v>
      </c>
      <c r="B116" t="s">
        <v>169</v>
      </c>
      <c r="C116" t="str">
        <f t="shared" si="15"/>
        <v>大分県大分市下郡東</v>
      </c>
      <c r="D116" s="2" t="str">
        <f t="shared" si="18"/>
        <v>http://geocode.csis.u-tokyo.ac.jp/cgi-bin/simple_geocode.cgi?charset=UTF8&amp;addr=%E5%A4%A7%E5%88%86%E7%9C%8C%E5%A4%A7%E5%88%86%E5%B8%82%E4%B8%8B%E9%83%A1%E6%9D%B1</v>
      </c>
      <c r="E116" t="str">
        <f t="shared" si="19"/>
        <v xml:space="preserve">&lt;?xml version="1.0" encoding="UTF-8" ?&gt;
&lt;results&gt;
&lt;query&gt;大分県大分市下郡東&lt;/query&gt;
&lt;geodetic&gt;wgs1984&lt;/geodetic&gt;
&lt;iConf&gt;5&lt;/iConf&gt;
&lt;converted&gt;大分県大分市下郡東&lt;/converted&gt;
&lt;candidate&gt;
&lt;address&gt;大分県/大分市/下郡東&lt;/address&gt;
&lt;longitude&gt;131.636215&lt;/longitude&gt;
&lt;latitude&gt;33.229465&lt;/latitude&gt;
&lt;iLvl&gt;5&lt;/iLvl&gt;
&lt;/candidate&gt;
&lt;/results&gt;
</v>
      </c>
      <c r="F116" cm="1">
        <f t="array" ref="F116">INDEX(_xlfn.FILTERXML(E116,"//latitude"),1)</f>
        <v>33.229464999999998</v>
      </c>
      <c r="G116" cm="1">
        <f t="array" ref="G116">INDEX(_xlfn.FILTERXML(E116,"//longitude"),1)</f>
        <v>131.63621499999999</v>
      </c>
      <c r="H116">
        <v>33.229464999999998</v>
      </c>
      <c r="I116">
        <v>131.63621499999999</v>
      </c>
    </row>
    <row r="117" spans="1:9" x14ac:dyDescent="0.4">
      <c r="A117" t="s">
        <v>11</v>
      </c>
      <c r="B117" t="s">
        <v>170</v>
      </c>
      <c r="C117" t="str">
        <f t="shared" si="15"/>
        <v>大阪府泉北郡忠岡町忠岡南</v>
      </c>
      <c r="D117" s="2" t="str">
        <f t="shared" si="18"/>
        <v>http://geocode.csis.u-tokyo.ac.jp/cgi-bin/simple_geocode.cgi?charset=UTF8&amp;addr=%E5%A4%A7%E9%98%AA%E5%BA%9C%E6%B3%89%E5%8C%97%E9%83%A1%E5%BF%A0%E5%B2%A1%E7%94%BA%E5%BF%A0%E5%B2%A1%E5%8D%97</v>
      </c>
      <c r="E117" t="str">
        <f t="shared" si="19"/>
        <v xml:space="preserve">&lt;?xml version="1.0" encoding="UTF-8" ?&gt;
&lt;results&gt;
&lt;query&gt;大阪府泉北郡忠岡町忠岡南&lt;/query&gt;
&lt;geodetic&gt;wgs1984&lt;/geodetic&gt;
&lt;iConf&gt;5&lt;/iConf&gt;
&lt;converted&gt;大阪府泉北郡忠岡町忠岡南&lt;/converted&gt;
&lt;candidate&gt;
&lt;address&gt;大阪府/泉北郡/忠岡町/忠岡南&lt;/address&gt;
&lt;longitude&gt;135.395370&lt;/longitude&gt;
&lt;latitude&gt;34.489090&lt;/latitude&gt;
&lt;iLvl&gt;5&lt;/iLvl&gt;
&lt;/candidate&gt;
&lt;/results&gt;
</v>
      </c>
      <c r="F117" cm="1">
        <f t="array" ref="F117">INDEX(_xlfn.FILTERXML(E117,"//latitude"),1)</f>
        <v>34.489089999999997</v>
      </c>
      <c r="G117" cm="1">
        <f t="array" ref="G117">INDEX(_xlfn.FILTERXML(E117,"//longitude"),1)</f>
        <v>135.39537000000001</v>
      </c>
      <c r="H117">
        <v>34.489089999999997</v>
      </c>
      <c r="I117">
        <v>135.39537000000001</v>
      </c>
    </row>
    <row r="118" spans="1:9" x14ac:dyDescent="0.4">
      <c r="A118" t="s">
        <v>22</v>
      </c>
      <c r="B118" t="s">
        <v>171</v>
      </c>
      <c r="C118" t="str">
        <f t="shared" si="15"/>
        <v>群馬県高崎市</v>
      </c>
      <c r="D118" s="2" t="str">
        <f t="shared" si="18"/>
        <v>http://geocode.csis.u-tokyo.ac.jp/cgi-bin/simple_geocode.cgi?charset=UTF8&amp;addr=%E7%BE%A4%E9%A6%AC%E7%9C%8C%E9%AB%98%E5%B4%8E%E5%B8%82</v>
      </c>
      <c r="E118" t="str">
        <f t="shared" si="19"/>
        <v xml:space="preserve">&lt;?xml version="1.0" encoding="UTF-8" ?&gt;
&lt;results&gt;
&lt;query&gt;群馬県高崎市&lt;/query&gt;
&lt;geodetic&gt;wgs1984&lt;/geodetic&gt;
&lt;iConf&gt;5&lt;/iConf&gt;
&lt;converted&gt;群馬県高崎市&lt;/converted&gt;
&lt;candidate&gt;
&lt;address&gt;群馬県/高崎市&lt;/address&gt;
&lt;longitude&gt;139.003357&lt;/longitude&gt;
&lt;latitude&gt;36.321949&lt;/latitude&gt;
&lt;iLvl&gt;3&lt;/iLvl&gt;
&lt;/candidate&gt;
&lt;/results&gt;
</v>
      </c>
      <c r="F118" cm="1">
        <f t="array" ref="F118">INDEX(_xlfn.FILTERXML(E118,"//latitude"),1)</f>
        <v>36.321948999999996</v>
      </c>
      <c r="G118" cm="1">
        <f t="array" ref="G118">INDEX(_xlfn.FILTERXML(E118,"//longitude"),1)</f>
        <v>139.00335699999999</v>
      </c>
      <c r="H118">
        <v>36.321948999999996</v>
      </c>
      <c r="I118">
        <v>139.00335699999999</v>
      </c>
    </row>
    <row r="119" spans="1:9" x14ac:dyDescent="0.4">
      <c r="A119" t="s">
        <v>10</v>
      </c>
      <c r="B119" t="s">
        <v>172</v>
      </c>
      <c r="C119" t="str">
        <f t="shared" si="15"/>
        <v>神奈川県横浜市南区庚台</v>
      </c>
      <c r="D119" s="2" t="str">
        <f t="shared" si="18"/>
        <v>http://geocode.csis.u-tokyo.ac.jp/cgi-bin/simple_geocode.cgi?charset=UTF8&amp;addr=%E7%A5%9E%E5%A5%88%E5%B7%9D%E7%9C%8C%E6%A8%AA%E6%B5%9C%E5%B8%82%E5%8D%97%E5%8C%BA%E5%BA%9A%E5%8F%B0</v>
      </c>
      <c r="E119" t="str">
        <f t="shared" si="19"/>
        <v xml:space="preserve">&lt;?xml version="1.0" encoding="UTF-8" ?&gt;
&lt;results&gt;
&lt;query&gt;神奈川県横浜市南区庚台&lt;/query&gt;
&lt;geodetic&gt;wgs1984&lt;/geodetic&gt;
&lt;iConf&gt;5&lt;/iConf&gt;
&lt;converted&gt;神奈川県横浜市南区庚台&lt;/converted&gt;
&lt;candidate&gt;
&lt;address&gt;神奈川県/横浜市/南区/庚台&lt;/address&gt;
&lt;longitude&gt;139.612701&lt;/longitude&gt;
&lt;latitude&gt;35.440964&lt;/latitude&gt;
&lt;iLvl&gt;5&lt;/iLvl&gt;
&lt;/candidate&gt;
&lt;/results&gt;
</v>
      </c>
      <c r="F119" cm="1">
        <f t="array" ref="F119">INDEX(_xlfn.FILTERXML(E119,"//latitude"),1)</f>
        <v>35.440964000000001</v>
      </c>
      <c r="G119" cm="1">
        <f t="array" ref="G119">INDEX(_xlfn.FILTERXML(E119,"//longitude"),1)</f>
        <v>139.61270099999999</v>
      </c>
      <c r="H119">
        <v>35.440964000000001</v>
      </c>
      <c r="I119">
        <v>139.61270099999999</v>
      </c>
    </row>
    <row r="120" spans="1:9" x14ac:dyDescent="0.4">
      <c r="A120" t="s">
        <v>17</v>
      </c>
      <c r="B120" t="s">
        <v>173</v>
      </c>
      <c r="C120" t="str">
        <f t="shared" si="15"/>
        <v>愛知県豊橋市曙町字若松</v>
      </c>
      <c r="D120" s="2" t="str">
        <f t="shared" si="18"/>
        <v>http://geocode.csis.u-tokyo.ac.jp/cgi-bin/simple_geocode.cgi?charset=UTF8&amp;addr=%E6%84%9B%E7%9F%A5%E7%9C%8C%E8%B1%8A%E6%A9%8B%E5%B8%82%E6%9B%99%E7%94%BA%E5%AD%97%E8%8B%A5%E6%9D%BE</v>
      </c>
      <c r="E120" t="str">
        <f t="shared" si="19"/>
        <v xml:space="preserve">&lt;?xml version="1.0" encoding="UTF-8" ?&gt;
&lt;results&gt;
&lt;query&gt;愛知県豊橋市曙町字若松&lt;/query&gt;
&lt;geodetic&gt;wgs1984&lt;/geodetic&gt;
&lt;iConf&gt;5&lt;/iConf&gt;
&lt;converted&gt;愛知県豊橋市曙町字若松&lt;/converted&gt;
&lt;candidate&gt;
&lt;address&gt;愛知県/豊橋市/曙町/若松&lt;/address&gt;
&lt;longitude&gt;137.395432&lt;/longitude&gt;
&lt;latitude&gt;34.728065&lt;/latitude&gt;
&lt;iLvl&gt;6&lt;/iLvl&gt;
&lt;/candidate&gt;
&lt;/results&gt;
</v>
      </c>
      <c r="F120" cm="1">
        <f t="array" ref="F120">INDEX(_xlfn.FILTERXML(E120,"//latitude"),1)</f>
        <v>34.728065000000001</v>
      </c>
      <c r="G120" cm="1">
        <f t="array" ref="G120">INDEX(_xlfn.FILTERXML(E120,"//longitude"),1)</f>
        <v>137.395432</v>
      </c>
      <c r="H120">
        <v>34.728065000000001</v>
      </c>
      <c r="I120">
        <v>137.395432</v>
      </c>
    </row>
    <row r="121" spans="1:9" x14ac:dyDescent="0.4">
      <c r="A121" t="s">
        <v>17</v>
      </c>
      <c r="B121" t="s">
        <v>66</v>
      </c>
      <c r="C121" t="str">
        <f t="shared" si="15"/>
        <v>愛知県名古屋市西区鳥見町</v>
      </c>
      <c r="D121" s="2" t="str">
        <f t="shared" si="18"/>
        <v>http://geocode.csis.u-tokyo.ac.jp/cgi-bin/simple_geocode.cgi?charset=UTF8&amp;addr=%E6%84%9B%E7%9F%A5%E7%9C%8C%E5%90%8D%E5%8F%A4%E5%B1%8B%E5%B8%82%E8%A5%BF%E5%8C%BA%E9%B3%A5%E8%A6%8B%E7%94%BA</v>
      </c>
      <c r="E121" t="str">
        <f t="shared" si="19"/>
        <v xml:space="preserve">&lt;?xml version="1.0" encoding="UTF-8" ?&gt;
&lt;results&gt;
&lt;query&gt;愛知県名古屋市西区鳥見町&lt;/query&gt;
&lt;geodetic&gt;wgs1984&lt;/geodetic&gt;
&lt;iConf&gt;5&lt;/iConf&gt;
&lt;converted&gt;愛知県名古屋市西区鳥見町&lt;/converted&gt;
&lt;candidate&gt;
&lt;address&gt;愛知県/名古屋市/西区/鳥見町&lt;/address&gt;
&lt;longitude&gt;136.886322&lt;/longitude&gt;
&lt;latitude&gt;35.201611&lt;/latitude&gt;
&lt;iLvl&gt;5&lt;/iLvl&gt;
&lt;/candidate&gt;
&lt;/results&gt;
</v>
      </c>
      <c r="F121" cm="1">
        <f t="array" ref="F121">INDEX(_xlfn.FILTERXML(E121,"//latitude"),1)</f>
        <v>35.201611</v>
      </c>
      <c r="G121" cm="1">
        <f t="array" ref="G121">INDEX(_xlfn.FILTERXML(E121,"//longitude"),1)</f>
        <v>136.88632200000001</v>
      </c>
      <c r="H121">
        <v>35.201611</v>
      </c>
      <c r="I121">
        <v>136.88632200000001</v>
      </c>
    </row>
    <row r="122" spans="1:9" x14ac:dyDescent="0.4">
      <c r="A122" t="s">
        <v>9</v>
      </c>
      <c r="B122" t="s">
        <v>174</v>
      </c>
      <c r="C122" t="str">
        <f t="shared" si="15"/>
        <v>東京都渋谷区元代々木町</v>
      </c>
      <c r="D122" s="2" t="str">
        <f t="shared" si="18"/>
        <v>http://geocode.csis.u-tokyo.ac.jp/cgi-bin/simple_geocode.cgi?charset=UTF8&amp;addr=%E6%9D%B1%E4%BA%AC%E9%83%BD%E6%B8%8B%E8%B0%B7%E5%8C%BA%E5%85%83%E4%BB%A3%E3%80%85%E6%9C%A8%E7%94%BA</v>
      </c>
      <c r="E122" t="str">
        <f t="shared" si="19"/>
        <v xml:space="preserve">&lt;?xml version="1.0" encoding="UTF-8" ?&gt;
&lt;results&gt;
&lt;query&gt;東京都渋谷区元代々木町&lt;/query&gt;
&lt;geodetic&gt;wgs1984&lt;/geodetic&gt;
&lt;iConf&gt;5&lt;/iConf&gt;
&lt;converted&gt;東京都渋谷区元代々木町&lt;/converted&gt;
&lt;candidate&gt;
&lt;address&gt;東京都/渋谷区/元代々木町&lt;/address&gt;
&lt;longitude&gt;139.685486&lt;/longitude&gt;
&lt;latitude&gt;35.671867&lt;/latitude&gt;
&lt;iLvl&gt;5&lt;/iLvl&gt;
&lt;/candidate&gt;
&lt;/results&gt;
</v>
      </c>
      <c r="F122" cm="1">
        <f t="array" ref="F122">INDEX(_xlfn.FILTERXML(E122,"//latitude"),1)</f>
        <v>35.671866999999999</v>
      </c>
      <c r="G122" cm="1">
        <f t="array" ref="G122">INDEX(_xlfn.FILTERXML(E122,"//longitude"),1)</f>
        <v>139.685486</v>
      </c>
      <c r="H122">
        <v>35.671866999999999</v>
      </c>
      <c r="I122">
        <v>139.685486</v>
      </c>
    </row>
    <row r="123" spans="1:9" x14ac:dyDescent="0.4">
      <c r="A123" t="s">
        <v>56</v>
      </c>
      <c r="B123" t="s">
        <v>175</v>
      </c>
      <c r="C123" t="str">
        <f t="shared" si="15"/>
        <v>大分県速見郡日出町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http://geocode.csis.u-tokyo.ac.jp/cgi-bin/simple_geocode.cgi?charset=UTF8&amp;addr=%E5%A4%A7%E5%88%86%E7%9C%8C%E9%80%9F%E8%A6%8B%E9%83%A1%E6%97%A5%E5%87%BA%E7%94%BA</v>
      </c>
      <c r="E123" t="str">
        <f t="shared" ref="E123:E186" si="21" xml:space="preserve"> _xlfn.WEBSERVICE(D123)</f>
        <v xml:space="preserve">&lt;?xml version="1.0" encoding="UTF-8" ?&gt;
&lt;results&gt;
&lt;query&gt;大分県速見郡日出町&lt;/query&gt;
&lt;geodetic&gt;wgs1984&lt;/geodetic&gt;
&lt;iConf&gt;5&lt;/iConf&gt;
&lt;converted&gt;大分県速見郡日出町&lt;/converted&gt;
&lt;candidate&gt;
&lt;address&gt;大分県/速見郡/日出町&lt;/address&gt;
&lt;longitude&gt;131.532532&lt;/longitude&gt;
&lt;latitude&gt;33.369442&lt;/latitude&gt;
&lt;iLvl&gt;3&lt;/iLvl&gt;
&lt;/candidate&gt;
&lt;/results&gt;
</v>
      </c>
      <c r="F123" cm="1">
        <f t="array" ref="F123">INDEX(_xlfn.FILTERXML(E123,"//latitude"),1)</f>
        <v>33.369441999999999</v>
      </c>
      <c r="G123" cm="1">
        <f t="array" ref="G123">INDEX(_xlfn.FILTERXML(E123,"//longitude"),1)</f>
        <v>131.532532</v>
      </c>
      <c r="H123">
        <v>33.369441999999999</v>
      </c>
      <c r="I123">
        <v>131.532532</v>
      </c>
    </row>
    <row r="124" spans="1:9" x14ac:dyDescent="0.4">
      <c r="A124" t="s">
        <v>39</v>
      </c>
      <c r="B124" t="s">
        <v>176</v>
      </c>
      <c r="C124" t="str">
        <f t="shared" si="15"/>
        <v>熊本県荒尾市川登</v>
      </c>
      <c r="D124" s="2" t="str">
        <f t="shared" si="20"/>
        <v>http://geocode.csis.u-tokyo.ac.jp/cgi-bin/simple_geocode.cgi?charset=UTF8&amp;addr=%E7%86%8A%E6%9C%AC%E7%9C%8C%E8%8D%92%E5%B0%BE%E5%B8%82%E5%B7%9D%E7%99%BB</v>
      </c>
      <c r="E124" t="str">
        <f t="shared" si="21"/>
        <v xml:space="preserve">&lt;?xml version="1.0" encoding="UTF-8" ?&gt;
&lt;results&gt;
&lt;query&gt;熊本県荒尾市川登&lt;/query&gt;
&lt;geodetic&gt;wgs1984&lt;/geodetic&gt;
&lt;iConf&gt;5&lt;/iConf&gt;
&lt;converted&gt;熊本県荒尾市川登&lt;/converted&gt;
&lt;candidate&gt;
&lt;address&gt;熊本県/荒尾市/川登&lt;/address&gt;
&lt;longitude&gt;130.477173&lt;/longitude&gt;
&lt;latitude&gt;32.972832&lt;/latitude&gt;
&lt;iLvl&gt;5&lt;/iLvl&gt;
&lt;/candidate&gt;
&lt;/results&gt;
</v>
      </c>
      <c r="F124" cm="1">
        <f t="array" ref="F124">INDEX(_xlfn.FILTERXML(E124,"//latitude"),1)</f>
        <v>32.972831999999997</v>
      </c>
      <c r="G124" cm="1">
        <f t="array" ref="G124">INDEX(_xlfn.FILTERXML(E124,"//longitude"),1)</f>
        <v>130.47717299999999</v>
      </c>
      <c r="H124">
        <v>32.972831999999997</v>
      </c>
      <c r="I124">
        <v>130.47717299999999</v>
      </c>
    </row>
    <row r="125" spans="1:9" x14ac:dyDescent="0.4">
      <c r="A125" t="s">
        <v>9</v>
      </c>
      <c r="B125" t="s">
        <v>177</v>
      </c>
      <c r="C125" t="str">
        <f t="shared" si="15"/>
        <v>東京都品川区八潮5-2-7-1007</v>
      </c>
      <c r="D125" s="2" t="str">
        <f t="shared" si="20"/>
        <v>http://geocode.csis.u-tokyo.ac.jp/cgi-bin/simple_geocode.cgi?charset=UTF8&amp;addr=%E6%9D%B1%E4%BA%AC%E9%83%BD%E5%93%81%E5%B7%9D%E5%8C%BA%E5%85%AB%E6%BD%AE5-2-7-1007</v>
      </c>
      <c r="E125" t="str">
        <f t="shared" si="21"/>
        <v xml:space="preserve">&lt;?xml version="1.0" encoding="UTF-8" ?&gt;
&lt;results&gt;
&lt;query&gt;東京都品川区八潮5-2-7-1007&lt;/query&gt;
&lt;geodetic&gt;wgs1984&lt;/geodetic&gt;
&lt;iConf&gt;5&lt;/iConf&gt;
&lt;converted&gt;東京都品川区八潮5-2-7-&lt;/converted&gt;
&lt;candidate&gt;
&lt;address&gt;東京都/品川区/八潮/五丁目/２番/７号&lt;/address&gt;
&lt;longitude&gt;139.754059&lt;/longitude&gt;
&lt;latitude&gt;35.603226&lt;/latitude&gt;
&lt;iLvl&gt;8&lt;/iLvl&gt;
&lt;/candidate&gt;
&lt;/results&gt;
</v>
      </c>
      <c r="F125" cm="1">
        <f t="array" ref="F125">INDEX(_xlfn.FILTERXML(E125,"//latitude"),1)</f>
        <v>35.603225999999999</v>
      </c>
      <c r="G125" cm="1">
        <f t="array" ref="G125">INDEX(_xlfn.FILTERXML(E125,"//longitude"),1)</f>
        <v>139.75405900000001</v>
      </c>
      <c r="H125">
        <v>35.603225999999999</v>
      </c>
      <c r="I125">
        <v>139.75405900000001</v>
      </c>
    </row>
    <row r="126" spans="1:9" x14ac:dyDescent="0.4">
      <c r="A126" t="s">
        <v>26</v>
      </c>
      <c r="B126" t="s">
        <v>178</v>
      </c>
      <c r="C126" t="str">
        <f t="shared" si="15"/>
        <v>京都府舞鶴市万願寺</v>
      </c>
      <c r="D126" s="2" t="str">
        <f t="shared" si="20"/>
        <v>http://geocode.csis.u-tokyo.ac.jp/cgi-bin/simple_geocode.cgi?charset=UTF8&amp;addr=%E4%BA%AC%E9%83%BD%E5%BA%9C%E8%88%9E%E9%B6%B4%E5%B8%82%E4%B8%87%E9%A1%98%E5%AF%BA</v>
      </c>
      <c r="E126" t="str">
        <f t="shared" si="21"/>
        <v xml:space="preserve">&lt;?xml version="1.0" encoding="UTF-8" ?&gt;
&lt;results&gt;
&lt;query&gt;京都府舞鶴市万願寺&lt;/query&gt;
&lt;geodetic&gt;wgs1984&lt;/geodetic&gt;
&lt;iConf&gt;5&lt;/iConf&gt;
&lt;converted&gt;京都府舞鶴市万願寺&lt;/converted&gt;
&lt;candidate&gt;
&lt;address&gt;京都府/舞鶴市/万願寺&lt;/address&gt;
&lt;longitude&gt;135.342911&lt;/longitude&gt;
&lt;latitude&gt;35.430481&lt;/latitude&gt;
&lt;iLvl&gt;5&lt;/iLvl&gt;
&lt;/candidate&gt;
&lt;/results&gt;
</v>
      </c>
      <c r="F126" cm="1">
        <f t="array" ref="F126">INDEX(_xlfn.FILTERXML(E126,"//latitude"),1)</f>
        <v>35.430481</v>
      </c>
      <c r="G126" cm="1">
        <f t="array" ref="G126">INDEX(_xlfn.FILTERXML(E126,"//longitude"),1)</f>
        <v>135.34291099999999</v>
      </c>
      <c r="H126">
        <v>35.430481</v>
      </c>
      <c r="I126">
        <v>135.34291099999999</v>
      </c>
    </row>
    <row r="127" spans="1:9" x14ac:dyDescent="0.4">
      <c r="A127" t="s">
        <v>30</v>
      </c>
      <c r="B127" t="s">
        <v>179</v>
      </c>
      <c r="C127" t="str">
        <f t="shared" si="15"/>
        <v>静岡県熱海市</v>
      </c>
      <c r="D127" s="2" t="str">
        <f t="shared" si="20"/>
        <v>http://geocode.csis.u-tokyo.ac.jp/cgi-bin/simple_geocode.cgi?charset=UTF8&amp;addr=%E9%9D%99%E5%B2%A1%E7%9C%8C%E7%86%B1%E6%B5%B7%E5%B8%82</v>
      </c>
      <c r="E127" t="str">
        <f t="shared" si="21"/>
        <v xml:space="preserve">&lt;?xml version="1.0" encoding="UTF-8" ?&gt;
&lt;results&gt;
&lt;query&gt;静岡県熱海市&lt;/query&gt;
&lt;geodetic&gt;wgs1984&lt;/geodetic&gt;
&lt;iConf&gt;5&lt;/iConf&gt;
&lt;converted&gt;静岡県熱海市&lt;/converted&gt;
&lt;candidate&gt;
&lt;address&gt;静岡県/熱海市&lt;/address&gt;
&lt;longitude&gt;139.071548&lt;/longitude&gt;
&lt;latitude&gt;35.095985&lt;/latitude&gt;
&lt;iLvl&gt;3&lt;/iLvl&gt;
&lt;/candidate&gt;
&lt;/results&gt;
</v>
      </c>
      <c r="F127" cm="1">
        <f t="array" ref="F127">INDEX(_xlfn.FILTERXML(E127,"//latitude"),1)</f>
        <v>35.095984999999999</v>
      </c>
      <c r="G127" cm="1">
        <f t="array" ref="G127">INDEX(_xlfn.FILTERXML(E127,"//longitude"),1)</f>
        <v>139.07154800000001</v>
      </c>
      <c r="H127">
        <v>35.095984999999999</v>
      </c>
      <c r="I127">
        <v>139.07154800000001</v>
      </c>
    </row>
    <row r="128" spans="1:9" x14ac:dyDescent="0.4">
      <c r="A128" t="s">
        <v>10</v>
      </c>
      <c r="B128" t="s">
        <v>180</v>
      </c>
      <c r="C128" t="str">
        <f t="shared" si="15"/>
        <v>神奈川県相模原市南区若松</v>
      </c>
      <c r="D128" s="2" t="str">
        <f t="shared" si="20"/>
        <v>http://geocode.csis.u-tokyo.ac.jp/cgi-bin/simple_geocode.cgi?charset=UTF8&amp;addr=%E7%A5%9E%E5%A5%88%E5%B7%9D%E7%9C%8C%E7%9B%B8%E6%A8%A1%E5%8E%9F%E5%B8%82%E5%8D%97%E5%8C%BA%E8%8B%A5%E6%9D%BE</v>
      </c>
      <c r="E128" t="str">
        <f t="shared" si="21"/>
        <v xml:space="preserve">&lt;?xml version="1.0" encoding="UTF-8" ?&gt;
&lt;results&gt;
&lt;query&gt;神奈川県相模原市南区若松&lt;/query&gt;
&lt;geodetic&gt;wgs1984&lt;/geodetic&gt;
&lt;iConf&gt;5&lt;/iConf&gt;
&lt;converted&gt;神奈川県相模原市南区若松&lt;/converted&gt;
&lt;candidate&gt;
&lt;address&gt;神奈川県/相模原市/南区/若松&lt;/address&gt;
&lt;longitude&gt;139.425140&lt;/longitude&gt;
&lt;latitude&gt;35.543491&lt;/latitude&gt;
&lt;iLvl&gt;5&lt;/iLvl&gt;
&lt;/candidate&gt;
&lt;/results&gt;
</v>
      </c>
      <c r="F128" cm="1">
        <f t="array" ref="F128">INDEX(_xlfn.FILTERXML(E128,"//latitude"),1)</f>
        <v>35.543491000000003</v>
      </c>
      <c r="G128" cm="1">
        <f t="array" ref="G128">INDEX(_xlfn.FILTERXML(E128,"//longitude"),1)</f>
        <v>139.42514</v>
      </c>
      <c r="H128">
        <v>35.543491000000003</v>
      </c>
      <c r="I128">
        <v>139.42514</v>
      </c>
    </row>
    <row r="129" spans="1:9" x14ac:dyDescent="0.4">
      <c r="A129" t="s">
        <v>10</v>
      </c>
      <c r="B129" t="s">
        <v>181</v>
      </c>
      <c r="C129" t="str">
        <f t="shared" si="15"/>
        <v>神奈川県横浜市金沢区並木</v>
      </c>
      <c r="D129" s="2" t="str">
        <f t="shared" si="20"/>
        <v>http://geocode.csis.u-tokyo.ac.jp/cgi-bin/simple_geocode.cgi?charset=UTF8&amp;addr=%E7%A5%9E%E5%A5%88%E5%B7%9D%E7%9C%8C%E6%A8%AA%E6%B5%9C%E5%B8%82%E9%87%91%E6%B2%A2%E5%8C%BA%E4%B8%A6%E6%9C%A8</v>
      </c>
      <c r="E129" t="str">
        <f t="shared" si="21"/>
        <v xml:space="preserve">&lt;?xml version="1.0" encoding="UTF-8" ?&gt;
&lt;results&gt;
&lt;query&gt;神奈川県横浜市金沢区並木&lt;/query&gt;
&lt;geodetic&gt;wgs1984&lt;/geodetic&gt;
&lt;iConf&gt;5&lt;/iConf&gt;
&lt;converted&gt;神奈川県横浜市金沢区並木&lt;/converted&gt;
&lt;candidate&gt;
&lt;address&gt;神奈川県/横浜市/金沢区/並木&lt;/address&gt;
&lt;longitude&gt;139.639221&lt;/longitude&gt;
&lt;latitude&gt;35.371910&lt;/latitude&gt;
&lt;iLvl&gt;5&lt;/iLvl&gt;
&lt;/candidate&gt;
&lt;/results&gt;
</v>
      </c>
      <c r="F129" cm="1">
        <f t="array" ref="F129">INDEX(_xlfn.FILTERXML(E129,"//latitude"),1)</f>
        <v>35.37191</v>
      </c>
      <c r="G129" cm="1">
        <f t="array" ref="G129">INDEX(_xlfn.FILTERXML(E129,"//longitude"),1)</f>
        <v>139.63922099999999</v>
      </c>
      <c r="H129">
        <v>35.37191</v>
      </c>
      <c r="I129">
        <v>139.63922099999999</v>
      </c>
    </row>
    <row r="130" spans="1:9" x14ac:dyDescent="0.4">
      <c r="A130" t="s">
        <v>18</v>
      </c>
      <c r="B130" t="s">
        <v>182</v>
      </c>
      <c r="C130" t="str">
        <f t="shared" si="15"/>
        <v>千葉県旭市</v>
      </c>
      <c r="D130" s="2" t="str">
        <f t="shared" si="20"/>
        <v>http://geocode.csis.u-tokyo.ac.jp/cgi-bin/simple_geocode.cgi?charset=UTF8&amp;addr=%E5%8D%83%E8%91%89%E7%9C%8C%E6%97%AD%E5%B8%82</v>
      </c>
      <c r="E130" t="str">
        <f t="shared" si="21"/>
        <v xml:space="preserve">&lt;?xml version="1.0" encoding="UTF-8" ?&gt;
&lt;results&gt;
&lt;query&gt;千葉県旭市&lt;/query&gt;
&lt;geodetic&gt;wgs1984&lt;/geodetic&gt;
&lt;iConf&gt;5&lt;/iConf&gt;
&lt;converted&gt;千葉県旭市&lt;/converted&gt;
&lt;candidate&gt;
&lt;address&gt;千葉県/旭市&lt;/address&gt;
&lt;longitude&gt;140.646591&lt;/longitude&gt;
&lt;latitude&gt;35.720455&lt;/latitude&gt;
&lt;iLvl&gt;3&lt;/iLvl&gt;
&lt;/candidate&gt;
&lt;/results&gt;
</v>
      </c>
      <c r="F130" cm="1">
        <f t="array" ref="F130">INDEX(_xlfn.FILTERXML(E130,"//latitude"),1)</f>
        <v>35.720455000000001</v>
      </c>
      <c r="G130" cm="1">
        <f t="array" ref="G130">INDEX(_xlfn.FILTERXML(E130,"//longitude"),1)</f>
        <v>140.646591</v>
      </c>
      <c r="H130">
        <v>35.720455000000001</v>
      </c>
      <c r="I130">
        <v>140.646591</v>
      </c>
    </row>
    <row r="131" spans="1:9" x14ac:dyDescent="0.4">
      <c r="A131" t="s">
        <v>61</v>
      </c>
      <c r="B131" t="s">
        <v>183</v>
      </c>
      <c r="C131" t="str">
        <f t="shared" ref="C131:C194" si="22">+A131&amp;B131</f>
        <v>山口県宇部市</v>
      </c>
      <c r="D131" s="2" t="str">
        <f t="shared" si="20"/>
        <v>http://geocode.csis.u-tokyo.ac.jp/cgi-bin/simple_geocode.cgi?charset=UTF8&amp;addr=%E5%B1%B1%E5%8F%A3%E7%9C%8C%E5%AE%87%E9%83%A8%E5%B8%82</v>
      </c>
      <c r="E131" t="str">
        <f t="shared" si="21"/>
        <v xml:space="preserve">&lt;?xml version="1.0" encoding="UTF-8" ?&gt;
&lt;results&gt;
&lt;query&gt;山口県宇部市&lt;/query&gt;
&lt;geodetic&gt;wgs1984&lt;/geodetic&gt;
&lt;iConf&gt;5&lt;/iConf&gt;
&lt;converted&gt;山口県宇部市&lt;/converted&gt;
&lt;candidate&gt;
&lt;address&gt;山口県/宇部市&lt;/address&gt;
&lt;longitude&gt;131.246765&lt;/longitude&gt;
&lt;latitude&gt;33.951622&lt;/latitude&gt;
&lt;iLvl&gt;3&lt;/iLvl&gt;
&lt;/candidate&gt;
&lt;/results&gt;
</v>
      </c>
      <c r="F131" cm="1">
        <f t="array" ref="F131">INDEX(_xlfn.FILTERXML(E131,"//latitude"),1)</f>
        <v>33.951622</v>
      </c>
      <c r="G131" cm="1">
        <f t="array" ref="G131">INDEX(_xlfn.FILTERXML(E131,"//longitude"),1)</f>
        <v>131.24676500000001</v>
      </c>
      <c r="H131">
        <v>33.951622</v>
      </c>
      <c r="I131">
        <v>131.24676500000001</v>
      </c>
    </row>
    <row r="132" spans="1:9" x14ac:dyDescent="0.4">
      <c r="A132" t="s">
        <v>16</v>
      </c>
      <c r="B132" t="s">
        <v>184</v>
      </c>
      <c r="C132" t="str">
        <f t="shared" si="22"/>
        <v>長野県駒ヶ根市</v>
      </c>
      <c r="D132" s="2" t="str">
        <f t="shared" si="20"/>
        <v>http://geocode.csis.u-tokyo.ac.jp/cgi-bin/simple_geocode.cgi?charset=UTF8&amp;addr=%E9%95%B7%E9%87%8E%E7%9C%8C%E9%A7%92%E3%83%B6%E6%A0%B9%E5%B8%82</v>
      </c>
      <c r="E132" t="str">
        <f t="shared" si="21"/>
        <v xml:space="preserve">&lt;?xml version="1.0" encoding="UTF-8" ?&gt;
&lt;results&gt;
&lt;query&gt;長野県駒ヶ根市&lt;/query&gt;
&lt;geodetic&gt;wgs1984&lt;/geodetic&gt;
&lt;iConf&gt;5&lt;/iConf&gt;
&lt;converted&gt;長野県駒ヶ根市&lt;/converted&gt;
&lt;candidate&gt;
&lt;address&gt;長野県/駒ヶ根市&lt;/address&gt;
&lt;longitude&gt;137.933990&lt;/longitude&gt;
&lt;latitude&gt;35.728863&lt;/latitude&gt;
&lt;iLvl&gt;3&lt;/iLvl&gt;
&lt;/candidate&gt;
&lt;/results&gt;
</v>
      </c>
      <c r="F132" cm="1">
        <f t="array" ref="F132">INDEX(_xlfn.FILTERXML(E132,"//latitude"),1)</f>
        <v>35.728862999999997</v>
      </c>
      <c r="G132" cm="1">
        <f t="array" ref="G132">INDEX(_xlfn.FILTERXML(E132,"//longitude"),1)</f>
        <v>137.93398999999999</v>
      </c>
      <c r="H132">
        <v>35.728862999999997</v>
      </c>
      <c r="I132">
        <v>137.93398999999999</v>
      </c>
    </row>
    <row r="133" spans="1:9" x14ac:dyDescent="0.4">
      <c r="A133" t="s">
        <v>9</v>
      </c>
      <c r="B133" t="s">
        <v>185</v>
      </c>
      <c r="C133" t="str">
        <f t="shared" si="22"/>
        <v>東京都新宿区</v>
      </c>
      <c r="D133" s="2" t="str">
        <f t="shared" si="20"/>
        <v>http://geocode.csis.u-tokyo.ac.jp/cgi-bin/simple_geocode.cgi?charset=UTF8&amp;addr=%E6%9D%B1%E4%BA%AC%E9%83%BD%E6%96%B0%E5%AE%BF%E5%8C%BA</v>
      </c>
      <c r="E133" t="str">
        <f xml:space="preserve"> _xlfn.WEBSERVICE(D133)</f>
        <v xml:space="preserve">&lt;?xml version="1.0" encoding="UTF-8" ?&gt;
&lt;results&gt;
&lt;query&gt;東京都新宿区&lt;/query&gt;
&lt;geodetic&gt;wgs1984&lt;/geodetic&gt;
&lt;iConf&gt;5&lt;/iConf&gt;
&lt;converted&gt;東京都新宿区&lt;/converted&gt;
&lt;candidate&gt;
&lt;address&gt;東京都/新宿区&lt;/address&gt;
&lt;longitude&gt;139.703461&lt;/longitude&gt;
&lt;latitude&gt;35.693890&lt;/latitude&gt;
&lt;iLvl&gt;3&lt;/iLvl&gt;
&lt;/candidate&gt;
&lt;/results&gt;
</v>
      </c>
      <c r="F133" cm="1">
        <f t="array" ref="F133">INDEX(_xlfn.FILTERXML(E133,"//latitude"),1)</f>
        <v>35.693890000000003</v>
      </c>
      <c r="G133" cm="1">
        <f t="array" ref="G133">INDEX(_xlfn.FILTERXML(E133,"//longitude"),1)</f>
        <v>139.703461</v>
      </c>
      <c r="H133">
        <v>35.693890000000003</v>
      </c>
      <c r="I133">
        <v>139.703461</v>
      </c>
    </row>
    <row r="134" spans="1:9" x14ac:dyDescent="0.4">
      <c r="A134" t="s">
        <v>9</v>
      </c>
      <c r="B134" t="s">
        <v>186</v>
      </c>
      <c r="C134" t="str">
        <f t="shared" si="22"/>
        <v>東京都品川区東五反田</v>
      </c>
      <c r="D134" s="2" t="str">
        <f t="shared" si="20"/>
        <v>http://geocode.csis.u-tokyo.ac.jp/cgi-bin/simple_geocode.cgi?charset=UTF8&amp;addr=%E6%9D%B1%E4%BA%AC%E9%83%BD%E5%93%81%E5%B7%9D%E5%8C%BA%E6%9D%B1%E4%BA%94%E5%8F%8D%E7%94%B0</v>
      </c>
      <c r="E134" t="str">
        <f t="shared" si="21"/>
        <v xml:space="preserve">&lt;?xml version="1.0" encoding="UTF-8" ?&gt;
&lt;results&gt;
&lt;query&gt;東京都品川区東五反田&lt;/query&gt;
&lt;geodetic&gt;wgs1984&lt;/geodetic&gt;
&lt;iConf&gt;5&lt;/iConf&gt;
&lt;converted&gt;東京都品川区東五反田&lt;/converted&gt;
&lt;candidate&gt;
&lt;address&gt;東京都/品川区/東五反田&lt;/address&gt;
&lt;longitude&gt;139.726425&lt;/longitude&gt;
&lt;latitude&gt;35.627762&lt;/latitude&gt;
&lt;iLvl&gt;5&lt;/iLvl&gt;
&lt;/candidate&gt;
&lt;/results&gt;
</v>
      </c>
      <c r="F134" cm="1">
        <f t="array" ref="F134">INDEX(_xlfn.FILTERXML(E134,"//latitude"),1)</f>
        <v>35.627761999999997</v>
      </c>
      <c r="G134" cm="1">
        <f t="array" ref="G134">INDEX(_xlfn.FILTERXML(E134,"//longitude"),1)</f>
        <v>139.72642500000001</v>
      </c>
      <c r="H134">
        <v>35.627761999999997</v>
      </c>
      <c r="I134">
        <v>139.72642500000001</v>
      </c>
    </row>
    <row r="135" spans="1:9" x14ac:dyDescent="0.4">
      <c r="A135" t="s">
        <v>18</v>
      </c>
      <c r="B135" t="s">
        <v>121</v>
      </c>
      <c r="C135" t="str">
        <f t="shared" si="22"/>
        <v>千葉県柏市</v>
      </c>
      <c r="D135" s="2" t="str">
        <f t="shared" si="20"/>
        <v>http://geocode.csis.u-tokyo.ac.jp/cgi-bin/simple_geocode.cgi?charset=UTF8&amp;addr=%E5%8D%83%E8%91%89%E7%9C%8C%E6%9F%8F%E5%B8%82</v>
      </c>
      <c r="E135" t="str">
        <f t="shared" si="21"/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135" cm="1">
        <f t="array" ref="F135">INDEX(_xlfn.FILTERXML(E135,"//latitude"),1)</f>
        <v>35.868293999999999</v>
      </c>
      <c r="G135" cm="1">
        <f t="array" ref="G135">INDEX(_xlfn.FILTERXML(E135,"//longitude"),1)</f>
        <v>139.97619599999999</v>
      </c>
      <c r="H135">
        <v>35.868293999999999</v>
      </c>
      <c r="I135">
        <v>139.97619599999999</v>
      </c>
    </row>
    <row r="136" spans="1:9" x14ac:dyDescent="0.4">
      <c r="A136" t="s">
        <v>10</v>
      </c>
      <c r="B136" t="s">
        <v>187</v>
      </c>
      <c r="C136" t="str">
        <f t="shared" si="22"/>
        <v>神奈川県横浜市</v>
      </c>
      <c r="D136" s="2" t="str">
        <f t="shared" si="20"/>
        <v>http://geocode.csis.u-tokyo.ac.jp/cgi-bin/simple_geocode.cgi?charset=UTF8&amp;addr=%E7%A5%9E%E5%A5%88%E5%B7%9D%E7%9C%8C%E6%A8%AA%E6%B5%9C%E5%B8%82</v>
      </c>
      <c r="E136" t="str">
        <f t="shared" si="21"/>
        <v xml:space="preserve">&lt;?xml version="1.0" encoding="UTF-8" ?&gt;
&lt;results&gt;
&lt;query&gt;神奈川県横浜市&lt;/query&gt;
&lt;geodetic&gt;wgs1984&lt;/geodetic&gt;
&lt;iConf&gt;5&lt;/iConf&gt;
&lt;converted&gt;神奈川県横浜市&lt;/converted&gt;
&lt;candidate&gt;
&lt;address&gt;神奈川県/横浜市&lt;/address&gt;
&lt;longitude&gt;139.637955&lt;/longitude&gt;
&lt;latitude&gt;35.444035&lt;/latitude&gt;
&lt;iLvl&gt;3&lt;/iLvl&gt;
&lt;/candidate&gt;
&lt;/results&gt;
</v>
      </c>
      <c r="F136" cm="1">
        <f t="array" ref="F136">INDEX(_xlfn.FILTERXML(E136,"//latitude"),1)</f>
        <v>35.444035</v>
      </c>
      <c r="G136" cm="1">
        <f t="array" ref="G136">INDEX(_xlfn.FILTERXML(E136,"//longitude"),1)</f>
        <v>139.63795500000001</v>
      </c>
      <c r="H136">
        <v>35.444035</v>
      </c>
      <c r="I136">
        <v>139.63795500000001</v>
      </c>
    </row>
    <row r="137" spans="1:9" x14ac:dyDescent="0.4">
      <c r="A137" t="s">
        <v>13</v>
      </c>
      <c r="B137" t="s">
        <v>164</v>
      </c>
      <c r="C137" t="str">
        <f t="shared" si="22"/>
        <v>埼玉県川越市</v>
      </c>
      <c r="D137" s="2" t="str">
        <f t="shared" si="20"/>
        <v>http://geocode.csis.u-tokyo.ac.jp/cgi-bin/simple_geocode.cgi?charset=UTF8&amp;addr=%E5%9F%BC%E7%8E%89%E7%9C%8C%E5%B7%9D%E8%B6%8A%E5%B8%82</v>
      </c>
      <c r="E137" t="str">
        <f t="shared" si="21"/>
        <v xml:space="preserve">&lt;?xml version="1.0" encoding="UTF-8" ?&gt;
&lt;results&gt;
&lt;query&gt;埼玉県川越市&lt;/query&gt;
&lt;geodetic&gt;wgs1984&lt;/geodetic&gt;
&lt;iConf&gt;5&lt;/iConf&gt;
&lt;converted&gt;埼玉県川越市&lt;/converted&gt;
&lt;candidate&gt;
&lt;address&gt;埼玉県/川越市&lt;/address&gt;
&lt;longitude&gt;139.485840&lt;/longitude&gt;
&lt;latitude&gt;35.925114&lt;/latitude&gt;
&lt;iLvl&gt;3&lt;/iLvl&gt;
&lt;/candidate&gt;
&lt;/results&gt;
</v>
      </c>
      <c r="F137" cm="1">
        <f t="array" ref="F137">INDEX(_xlfn.FILTERXML(E137,"//latitude"),1)</f>
        <v>35.925114000000001</v>
      </c>
      <c r="G137" cm="1">
        <f t="array" ref="G137">INDEX(_xlfn.FILTERXML(E137,"//longitude"),1)</f>
        <v>139.48584</v>
      </c>
      <c r="H137">
        <v>35.925114000000001</v>
      </c>
      <c r="I137">
        <v>139.48584</v>
      </c>
    </row>
    <row r="138" spans="1:9" x14ac:dyDescent="0.4">
      <c r="A138" t="s">
        <v>14</v>
      </c>
      <c r="B138" t="s">
        <v>188</v>
      </c>
      <c r="C138" t="str">
        <f t="shared" si="22"/>
        <v>広島県大竹市</v>
      </c>
      <c r="D138" s="2" t="str">
        <f t="shared" si="20"/>
        <v>http://geocode.csis.u-tokyo.ac.jp/cgi-bin/simple_geocode.cgi?charset=UTF8&amp;addr=%E5%BA%83%E5%B3%B6%E7%9C%8C%E5%A4%A7%E7%AB%B9%E5%B8%82</v>
      </c>
      <c r="E138" t="str">
        <f t="shared" si="21"/>
        <v xml:space="preserve">&lt;?xml version="1.0" encoding="UTF-8" ?&gt;
&lt;results&gt;
&lt;query&gt;広島県大竹市&lt;/query&gt;
&lt;geodetic&gt;wgs1984&lt;/geodetic&gt;
&lt;iConf&gt;5&lt;/iConf&gt;
&lt;converted&gt;広島県大竹市&lt;/converted&gt;
&lt;candidate&gt;
&lt;address&gt;広島県/大竹市&lt;/address&gt;
&lt;longitude&gt;132.222366&lt;/longitude&gt;
&lt;latitude&gt;34.237953&lt;/latitude&gt;
&lt;iLvl&gt;3&lt;/iLvl&gt;
&lt;/candidate&gt;
&lt;/results&gt;
</v>
      </c>
      <c r="F138" cm="1">
        <f t="array" ref="F138">INDEX(_xlfn.FILTERXML(E138,"//latitude"),1)</f>
        <v>34.237952999999997</v>
      </c>
      <c r="G138" cm="1">
        <f t="array" ref="G138">INDEX(_xlfn.FILTERXML(E138,"//longitude"),1)</f>
        <v>132.22236599999999</v>
      </c>
      <c r="H138">
        <v>34.237952999999997</v>
      </c>
      <c r="I138">
        <v>132.22236599999999</v>
      </c>
    </row>
    <row r="139" spans="1:9" x14ac:dyDescent="0.4">
      <c r="A139" t="s">
        <v>49</v>
      </c>
      <c r="B139" t="s">
        <v>189</v>
      </c>
      <c r="C139" t="str">
        <f t="shared" si="22"/>
        <v>三重県桑名市陽だまりの丘三丁目</v>
      </c>
      <c r="D139" s="2" t="str">
        <f t="shared" si="20"/>
        <v>http://geocode.csis.u-tokyo.ac.jp/cgi-bin/simple_geocode.cgi?charset=UTF8&amp;addr=%E4%B8%89%E9%87%8D%E7%9C%8C%E6%A1%91%E5%90%8D%E5%B8%82%E9%99%BD%E3%81%A0%E3%81%BE%E3%82%8A%E3%81%AE%E4%B8%98%E4%B8%89%E4%B8%81%E7%9B%AE</v>
      </c>
      <c r="E139" t="str">
        <f t="shared" si="21"/>
        <v xml:space="preserve">&lt;?xml version="1.0" encoding="UTF-8" ?&gt;
&lt;results&gt;
&lt;query&gt;三重県桑名市陽だまりの丘三丁目&lt;/query&gt;
&lt;geodetic&gt;wgs1984&lt;/geodetic&gt;
&lt;iConf&gt;5&lt;/iConf&gt;
&lt;converted&gt;三重県桑名市陽だまりの丘三丁目&lt;/converted&gt;
&lt;candidate&gt;
&lt;address&gt;三重県/桑名市/陽だまりの丘/三丁目&lt;/address&gt;
&lt;longitude&gt;136.643829&lt;/longitude&gt;
&lt;latitude&gt;35.091190&lt;/latitude&gt;
&lt;iLvl&gt;6&lt;/iLvl&gt;
&lt;/candidate&gt;
&lt;/results&gt;
</v>
      </c>
      <c r="F139" cm="1">
        <f t="array" ref="F139">INDEX(_xlfn.FILTERXML(E139,"//latitude"),1)</f>
        <v>35.091189999999997</v>
      </c>
      <c r="G139" cm="1">
        <f t="array" ref="G139">INDEX(_xlfn.FILTERXML(E139,"//longitude"),1)</f>
        <v>136.64382900000001</v>
      </c>
      <c r="H139">
        <v>35.091189999999997</v>
      </c>
      <c r="I139">
        <v>136.64382900000001</v>
      </c>
    </row>
    <row r="140" spans="1:9" x14ac:dyDescent="0.4">
      <c r="A140" t="s">
        <v>19</v>
      </c>
      <c r="B140" t="s">
        <v>190</v>
      </c>
      <c r="C140" t="str">
        <f t="shared" si="22"/>
        <v>滋賀県大津市</v>
      </c>
      <c r="D140" s="2" t="str">
        <f t="shared" si="20"/>
        <v>http://geocode.csis.u-tokyo.ac.jp/cgi-bin/simple_geocode.cgi?charset=UTF8&amp;addr=%E6%BB%8B%E8%B3%80%E7%9C%8C%E5%A4%A7%E6%B4%A5%E5%B8%82</v>
      </c>
      <c r="E140" t="str">
        <f t="shared" si="21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140" cm="1">
        <f t="array" ref="F140">INDEX(_xlfn.FILTERXML(E140,"//latitude"),1)</f>
        <v>35.018355999999997</v>
      </c>
      <c r="G140" cm="1">
        <f t="array" ref="G140">INDEX(_xlfn.FILTERXML(E140,"//longitude"),1)</f>
        <v>135.85466</v>
      </c>
      <c r="H140">
        <v>35.018355999999997</v>
      </c>
      <c r="I140">
        <v>135.85466</v>
      </c>
    </row>
    <row r="141" spans="1:9" x14ac:dyDescent="0.4">
      <c r="A141" t="s">
        <v>18</v>
      </c>
      <c r="B141" t="s">
        <v>41</v>
      </c>
      <c r="C141" t="str">
        <f t="shared" si="22"/>
        <v>千葉県習志野市東習志野５丁目</v>
      </c>
      <c r="D141" s="2" t="str">
        <f t="shared" si="20"/>
        <v>http://geocode.csis.u-tokyo.ac.jp/cgi-bin/simple_geocode.cgi?charset=UTF8&amp;addr=%E5%8D%83%E8%91%89%E7%9C%8C%E7%BF%92%E5%BF%97%E9%87%8E%E5%B8%82%E6%9D%B1%E7%BF%92%E5%BF%97%E9%87%8E%EF%BC%95%E4%B8%81%E7%9B%AE</v>
      </c>
      <c r="E141" t="str">
        <f t="shared" si="21"/>
        <v xml:space="preserve">&lt;?xml version="1.0" encoding="UTF-8" ?&gt;
&lt;results&gt;
&lt;query&gt;千葉県習志野市東習志野５丁目&lt;/query&gt;
&lt;geodetic&gt;wgs1984&lt;/geodetic&gt;
&lt;iConf&gt;5&lt;/iConf&gt;
&lt;converted&gt;千葉県習志野市東習志野５丁目&lt;/converted&gt;
&lt;candidate&gt;
&lt;address&gt;千葉県/習志野市/東習志野/五丁目&lt;/address&gt;
&lt;longitude&gt;140.078979&lt;/longitude&gt;
&lt;latitude&gt;35.693062&lt;/latitude&gt;
&lt;iLvl&gt;6&lt;/iLvl&gt;
&lt;/candidate&gt;
&lt;/results&gt;
</v>
      </c>
      <c r="F141" cm="1">
        <f t="array" ref="F141">INDEX(_xlfn.FILTERXML(E141,"//latitude"),1)</f>
        <v>35.693061999999998</v>
      </c>
      <c r="G141" cm="1">
        <f t="array" ref="G141">INDEX(_xlfn.FILTERXML(E141,"//longitude"),1)</f>
        <v>140.078979</v>
      </c>
      <c r="H141" s="3">
        <v>35.693061999999998</v>
      </c>
      <c r="I141" s="3">
        <v>140.078979</v>
      </c>
    </row>
    <row r="142" spans="1:9" x14ac:dyDescent="0.4">
      <c r="A142" t="s">
        <v>20</v>
      </c>
      <c r="B142" t="s">
        <v>191</v>
      </c>
      <c r="C142" t="str">
        <f t="shared" si="22"/>
        <v>茨城県つくば市学園南</v>
      </c>
      <c r="D142" s="2" t="str">
        <f t="shared" si="20"/>
        <v>http://geocode.csis.u-tokyo.ac.jp/cgi-bin/simple_geocode.cgi?charset=UTF8&amp;addr=%E8%8C%A8%E5%9F%8E%E7%9C%8C%E3%81%A4%E3%81%8F%E3%81%B0%E5%B8%82%E5%AD%A6%E5%9C%92%E5%8D%97</v>
      </c>
      <c r="E142" t="str">
        <f t="shared" si="21"/>
        <v xml:space="preserve">&lt;?xml version="1.0" encoding="UTF-8" ?&gt;
&lt;results&gt;
&lt;query&gt;茨城県つくば市学園南&lt;/query&gt;
&lt;geodetic&gt;wgs1984&lt;/geodetic&gt;
&lt;iConf&gt;5&lt;/iConf&gt;
&lt;converted&gt;茨城県つくば市学園南&lt;/converted&gt;
&lt;candidate&gt;
&lt;address&gt;茨城県/つくば市/学園南&lt;/address&gt;
&lt;longitude&gt;140.076187&lt;/longitude&gt;
&lt;latitude&gt;36.078640&lt;/latitude&gt;
&lt;iLvl&gt;5&lt;/iLvl&gt;
&lt;/candidate&gt;
&lt;/results&gt;
</v>
      </c>
      <c r="F142" cm="1">
        <f t="array" ref="F142">INDEX(_xlfn.FILTERXML(E142,"//latitude"),1)</f>
        <v>36.07864</v>
      </c>
      <c r="G142" cm="1">
        <f t="array" ref="G142">INDEX(_xlfn.FILTERXML(E142,"//longitude"),1)</f>
        <v>140.076187</v>
      </c>
      <c r="H142">
        <v>36.07864</v>
      </c>
      <c r="I142">
        <v>140.076187</v>
      </c>
    </row>
    <row r="143" spans="1:9" x14ac:dyDescent="0.4">
      <c r="A143" t="s">
        <v>49</v>
      </c>
      <c r="B143" t="s">
        <v>192</v>
      </c>
      <c r="C143" t="str">
        <f t="shared" si="22"/>
        <v>三重県名張市東町</v>
      </c>
      <c r="D143" s="2" t="str">
        <f t="shared" si="20"/>
        <v>http://geocode.csis.u-tokyo.ac.jp/cgi-bin/simple_geocode.cgi?charset=UTF8&amp;addr=%E4%B8%89%E9%87%8D%E7%9C%8C%E5%90%8D%E5%BC%B5%E5%B8%82%E6%9D%B1%E7%94%BA</v>
      </c>
      <c r="E143" t="str">
        <f t="shared" si="21"/>
        <v xml:space="preserve">&lt;?xml version="1.0" encoding="UTF-8" ?&gt;
&lt;results&gt;
&lt;query&gt;三重県名張市東町&lt;/query&gt;
&lt;geodetic&gt;wgs1984&lt;/geodetic&gt;
&lt;iConf&gt;5&lt;/iConf&gt;
&lt;converted&gt;三重県名張市東町&lt;/converted&gt;
&lt;candidate&gt;
&lt;address&gt;三重県/名張市/東町&lt;/address&gt;
&lt;longitude&gt;136.095154&lt;/longitude&gt;
&lt;latitude&gt;34.629440&lt;/latitude&gt;
&lt;iLvl&gt;5&lt;/iLvl&gt;
&lt;/candidate&gt;
&lt;/results&gt;
</v>
      </c>
      <c r="F143" cm="1">
        <f t="array" ref="F143">INDEX(_xlfn.FILTERXML(E143,"//latitude"),1)</f>
        <v>34.629440000000002</v>
      </c>
      <c r="G143" cm="1">
        <f t="array" ref="G143">INDEX(_xlfn.FILTERXML(E143,"//longitude"),1)</f>
        <v>136.09515400000001</v>
      </c>
      <c r="H143">
        <v>34.629440000000002</v>
      </c>
      <c r="I143">
        <v>136.09515400000001</v>
      </c>
    </row>
    <row r="144" spans="1:9" x14ac:dyDescent="0.4">
      <c r="A144" t="s">
        <v>17</v>
      </c>
      <c r="B144" t="s">
        <v>193</v>
      </c>
      <c r="C144" t="str">
        <f t="shared" si="22"/>
        <v>愛知県名古屋市千種区</v>
      </c>
      <c r="D144" s="2" t="str">
        <f t="shared" si="20"/>
        <v>http://geocode.csis.u-tokyo.ac.jp/cgi-bin/simple_geocode.cgi?charset=UTF8&amp;addr=%E6%84%9B%E7%9F%A5%E7%9C%8C%E5%90%8D%E5%8F%A4%E5%B1%8B%E5%B8%82%E5%8D%83%E7%A8%AE%E5%8C%BA</v>
      </c>
      <c r="E144" t="str">
        <f t="shared" si="21"/>
        <v xml:space="preserve">&lt;?xml version="1.0" encoding="UTF-8" ?&gt;
&lt;results&gt;
&lt;query&gt;愛知県名古屋市千種区&lt;/query&gt;
&lt;geodetic&gt;wgs1984&lt;/geodetic&gt;
&lt;iConf&gt;5&lt;/iConf&gt;
&lt;converted&gt;愛知県名古屋市千種区&lt;/converted&gt;
&lt;candidate&gt;
&lt;address&gt;愛知県/名古屋市/千種区&lt;/address&gt;
&lt;longitude&gt;136.946396&lt;/longitude&gt;
&lt;latitude&gt;35.166534&lt;/latitude&gt;
&lt;iLvl&gt;4&lt;/iLvl&gt;
&lt;/candidate&gt;
&lt;/results&gt;
</v>
      </c>
      <c r="F144" cm="1">
        <f t="array" ref="F144">INDEX(_xlfn.FILTERXML(E144,"//latitude"),1)</f>
        <v>35.166533999999999</v>
      </c>
      <c r="G144" cm="1">
        <f t="array" ref="G144">INDEX(_xlfn.FILTERXML(E144,"//longitude"),1)</f>
        <v>136.94639599999999</v>
      </c>
      <c r="H144">
        <v>35.166533999999999</v>
      </c>
      <c r="I144">
        <v>136.94639599999999</v>
      </c>
    </row>
    <row r="145" spans="1:9" x14ac:dyDescent="0.4">
      <c r="A145" t="s">
        <v>10</v>
      </c>
      <c r="B145" t="s">
        <v>194</v>
      </c>
      <c r="C145" t="str">
        <f t="shared" si="22"/>
        <v>神奈川県川崎市宮前区</v>
      </c>
      <c r="D145" s="2" t="str">
        <f t="shared" si="20"/>
        <v>http://geocode.csis.u-tokyo.ac.jp/cgi-bin/simple_geocode.cgi?charset=UTF8&amp;addr=%E7%A5%9E%E5%A5%88%E5%B7%9D%E7%9C%8C%E5%B7%9D%E5%B4%8E%E5%B8%82%E5%AE%AE%E5%89%8D%E5%8C%BA</v>
      </c>
      <c r="E145" t="str">
        <f t="shared" si="21"/>
        <v xml:space="preserve">&lt;?xml version="1.0" encoding="UTF-8" ?&gt;
&lt;results&gt;
&lt;query&gt;神奈川県川崎市宮前区&lt;/query&gt;
&lt;geodetic&gt;wgs1984&lt;/geodetic&gt;
&lt;iConf&gt;5&lt;/iConf&gt;
&lt;converted&gt;神奈川県川崎市宮前区&lt;/converted&gt;
&lt;candidate&gt;
&lt;address&gt;神奈川県/川崎市/宮前区&lt;/address&gt;
&lt;longitude&gt;139.578583&lt;/longitude&gt;
&lt;latitude&gt;35.589214&lt;/latitude&gt;
&lt;iLvl&gt;4&lt;/iLvl&gt;
&lt;/candidate&gt;
&lt;/results&gt;
</v>
      </c>
      <c r="F145" cm="1">
        <f t="array" ref="F145">INDEX(_xlfn.FILTERXML(E145,"//latitude"),1)</f>
        <v>35.589213999999998</v>
      </c>
      <c r="G145" cm="1">
        <f t="array" ref="G145">INDEX(_xlfn.FILTERXML(E145,"//longitude"),1)</f>
        <v>139.57858300000001</v>
      </c>
      <c r="H145">
        <v>35.589213999999998</v>
      </c>
      <c r="I145">
        <v>139.57858300000001</v>
      </c>
    </row>
    <row r="146" spans="1:9" x14ac:dyDescent="0.4">
      <c r="A146" t="s">
        <v>11</v>
      </c>
      <c r="B146" t="s">
        <v>54</v>
      </c>
      <c r="C146" t="str">
        <f t="shared" si="22"/>
        <v>大阪府豊中市</v>
      </c>
      <c r="D146" s="2" t="str">
        <f t="shared" si="20"/>
        <v>http://geocode.csis.u-tokyo.ac.jp/cgi-bin/simple_geocode.cgi?charset=UTF8&amp;addr=%E5%A4%A7%E9%98%AA%E5%BA%9C%E8%B1%8A%E4%B8%AD%E5%B8%82</v>
      </c>
      <c r="E146" t="str">
        <f t="shared" si="21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46" cm="1">
        <f t="array" ref="F146">INDEX(_xlfn.FILTERXML(E146,"//latitude"),1)</f>
        <v>34.781238999999999</v>
      </c>
      <c r="G146" cm="1">
        <f t="array" ref="G146">INDEX(_xlfn.FILTERXML(E146,"//longitude"),1)</f>
        <v>135.46989400000001</v>
      </c>
      <c r="H146">
        <v>34.781238999999999</v>
      </c>
      <c r="I146">
        <v>135.46989400000001</v>
      </c>
    </row>
    <row r="147" spans="1:9" x14ac:dyDescent="0.4">
      <c r="A147" t="s">
        <v>17</v>
      </c>
      <c r="B147" t="s">
        <v>27</v>
      </c>
      <c r="C147" t="str">
        <f t="shared" si="22"/>
        <v>愛知県半田市大伝根町</v>
      </c>
      <c r="D147" s="2" t="str">
        <f t="shared" si="20"/>
        <v>http://geocode.csis.u-tokyo.ac.jp/cgi-bin/simple_geocode.cgi?charset=UTF8&amp;addr=%E6%84%9B%E7%9F%A5%E7%9C%8C%E5%8D%8A%E7%94%B0%E5%B8%82%E5%A4%A7%E4%BC%9D%E6%A0%B9%E7%94%BA</v>
      </c>
      <c r="E147" t="str">
        <f t="shared" si="21"/>
        <v xml:space="preserve">&lt;?xml version="1.0" encoding="UTF-8" ?&gt;
&lt;results&gt;
&lt;query&gt;愛知県半田市大伝根町&lt;/query&gt;
&lt;geodetic&gt;wgs1984&lt;/geodetic&gt;
&lt;iConf&gt;5&lt;/iConf&gt;
&lt;converted&gt;愛知県半田市大伝根町&lt;/converted&gt;
&lt;candidate&gt;
&lt;address&gt;愛知県/半田市/大伝根町&lt;/address&gt;
&lt;longitude&gt;136.941605&lt;/longitude&gt;
&lt;latitude&gt;34.920528&lt;/latitude&gt;
&lt;iLvl&gt;5&lt;/iLvl&gt;
&lt;/candidate&gt;
&lt;/results&gt;
</v>
      </c>
      <c r="F147" cm="1">
        <f t="array" ref="F147">INDEX(_xlfn.FILTERXML(E147,"//latitude"),1)</f>
        <v>34.920527999999997</v>
      </c>
      <c r="G147" cm="1">
        <f t="array" ref="G147">INDEX(_xlfn.FILTERXML(E147,"//longitude"),1)</f>
        <v>136.94160500000001</v>
      </c>
      <c r="H147">
        <v>34.920527999999997</v>
      </c>
      <c r="I147">
        <v>136.94160500000001</v>
      </c>
    </row>
    <row r="148" spans="1:9" x14ac:dyDescent="0.4">
      <c r="A148" t="s">
        <v>18</v>
      </c>
      <c r="B148" t="s">
        <v>195</v>
      </c>
      <c r="C148" t="str">
        <f t="shared" si="22"/>
        <v>千葉県船橋市本町5-2-12</v>
      </c>
      <c r="D148" s="2" t="str">
        <f t="shared" si="20"/>
        <v>http://geocode.csis.u-tokyo.ac.jp/cgi-bin/simple_geocode.cgi?charset=UTF8&amp;addr=%E5%8D%83%E8%91%89%E7%9C%8C%E8%88%B9%E6%A9%8B%E5%B8%82%E6%9C%AC%E7%94%BA5-2-12</v>
      </c>
      <c r="E148" t="str">
        <f t="shared" si="21"/>
        <v xml:space="preserve">&lt;?xml version="1.0" encoding="UTF-8" ?&gt;
&lt;results&gt;
&lt;query&gt;千葉県船橋市本町5-2-12&lt;/query&gt;
&lt;geodetic&gt;wgs1984&lt;/geodetic&gt;
&lt;iConf&gt;5&lt;/iConf&gt;
&lt;converted&gt;千葉県船橋市本町5-2-12&lt;/converted&gt;
&lt;candidate&gt;
&lt;address&gt;千葉県/船橋市/本町/五丁目/２番/１２号&lt;/address&gt;
&lt;longitude&gt;139.988129&lt;/longitude&gt;
&lt;latitude&gt;35.702202&lt;/latitude&gt;
&lt;iLvl&gt;8&lt;/iLvl&gt;
&lt;/candidate&gt;
&lt;/results&gt;
</v>
      </c>
      <c r="F148" cm="1">
        <f t="array" ref="F148">INDEX(_xlfn.FILTERXML(E148,"//latitude"),1)</f>
        <v>35.702202</v>
      </c>
      <c r="G148" cm="1">
        <f t="array" ref="G148">INDEX(_xlfn.FILTERXML(E148,"//longitude"),1)</f>
        <v>139.98812899999999</v>
      </c>
      <c r="H148">
        <v>35.702202</v>
      </c>
      <c r="I148">
        <v>139.98812899999999</v>
      </c>
    </row>
    <row r="149" spans="1:9" x14ac:dyDescent="0.4">
      <c r="A149" t="s">
        <v>18</v>
      </c>
      <c r="B149" t="s">
        <v>196</v>
      </c>
      <c r="C149" t="str">
        <f t="shared" si="22"/>
        <v>千葉県千葉市美浜区若葉</v>
      </c>
      <c r="D149" s="2" t="str">
        <f t="shared" si="20"/>
        <v>http://geocode.csis.u-tokyo.ac.jp/cgi-bin/simple_geocode.cgi?charset=UTF8&amp;addr=%E5%8D%83%E8%91%89%E7%9C%8C%E5%8D%83%E8%91%89%E5%B8%82%E7%BE%8E%E6%B5%9C%E5%8C%BA%E8%8B%A5%E8%91%89</v>
      </c>
      <c r="E149" t="str">
        <f t="shared" si="21"/>
        <v xml:space="preserve">&lt;?xml version="1.0" encoding="UTF-8" ?&gt;
&lt;results&gt;
&lt;query&gt;千葉県千葉市美浜区若葉&lt;/query&gt;
&lt;geodetic&gt;wgs1984&lt;/geodetic&gt;
&lt;iConf&gt;5&lt;/iConf&gt;
&lt;converted&gt;千葉県千葉市美浜区若葉&lt;/converted&gt;
&lt;candidate&gt;
&lt;address&gt;千葉県/千葉市/美浜区/若葉&lt;/address&gt;
&lt;longitude&gt;140.043854&lt;/longitude&gt;
&lt;latitude&gt;35.656223&lt;/latitude&gt;
&lt;iLvl&gt;5&lt;/iLvl&gt;
&lt;/candidate&gt;
&lt;/results&gt;
</v>
      </c>
      <c r="F149" cm="1">
        <f t="array" ref="F149">INDEX(_xlfn.FILTERXML(E149,"//latitude"),1)</f>
        <v>35.656222999999997</v>
      </c>
      <c r="G149" cm="1">
        <f t="array" ref="G149">INDEX(_xlfn.FILTERXML(E149,"//longitude"),1)</f>
        <v>140.04385400000001</v>
      </c>
      <c r="H149">
        <v>35.656222999999997</v>
      </c>
      <c r="I149">
        <v>140.04385400000001</v>
      </c>
    </row>
    <row r="150" spans="1:9" x14ac:dyDescent="0.4">
      <c r="A150" t="s">
        <v>23</v>
      </c>
      <c r="B150" t="s">
        <v>44</v>
      </c>
      <c r="C150" t="str">
        <f t="shared" si="22"/>
        <v>宮城県仙台市</v>
      </c>
      <c r="D150" s="2" t="str">
        <f t="shared" si="20"/>
        <v>http://geocode.csis.u-tokyo.ac.jp/cgi-bin/simple_geocode.cgi?charset=UTF8&amp;addr=%E5%AE%AE%E5%9F%8E%E7%9C%8C%E4%BB%99%E5%8F%B0%E5%B8%82</v>
      </c>
      <c r="E150" t="str">
        <f t="shared" si="21"/>
        <v xml:space="preserve">&lt;?xml version="1.0" encoding="UTF-8" ?&gt;
&lt;results&gt;
&lt;query&gt;宮城県仙台市&lt;/query&gt;
&lt;geodetic&gt;wgs1984&lt;/geodetic&gt;
&lt;iConf&gt;5&lt;/iConf&gt;
&lt;converted&gt;宮城県仙台市&lt;/converted&gt;
&lt;candidate&gt;
&lt;address&gt;宮城県/仙台市&lt;/address&gt;
&lt;longitude&gt;140.869614&lt;/longitude&gt;
&lt;latitude&gt;38.268009&lt;/latitude&gt;
&lt;iLvl&gt;3&lt;/iLvl&gt;
&lt;/candidate&gt;
&lt;/results&gt;
</v>
      </c>
      <c r="F150" cm="1">
        <f t="array" ref="F150">INDEX(_xlfn.FILTERXML(E150,"//latitude"),1)</f>
        <v>38.268008999999999</v>
      </c>
      <c r="G150" cm="1">
        <f t="array" ref="G150">INDEX(_xlfn.FILTERXML(E150,"//longitude"),1)</f>
        <v>140.86961400000001</v>
      </c>
      <c r="H150">
        <v>38.268008999999999</v>
      </c>
      <c r="I150">
        <v>140.86961400000001</v>
      </c>
    </row>
    <row r="151" spans="1:9" x14ac:dyDescent="0.4">
      <c r="A151" t="s">
        <v>11</v>
      </c>
      <c r="B151" t="s">
        <v>197</v>
      </c>
      <c r="C151" t="str">
        <f t="shared" si="22"/>
        <v>大阪府箕面市</v>
      </c>
      <c r="D151" s="2" t="str">
        <f t="shared" si="20"/>
        <v>http://geocode.csis.u-tokyo.ac.jp/cgi-bin/simple_geocode.cgi?charset=UTF8&amp;addr=%E5%A4%A7%E9%98%AA%E5%BA%9C%E7%AE%95%E9%9D%A2%E5%B8%82</v>
      </c>
      <c r="E151" t="str">
        <f t="shared" si="21"/>
        <v xml:space="preserve">&lt;?xml version="1.0" encoding="UTF-8" ?&gt;
&lt;results&gt;
&lt;query&gt;大阪府箕面市&lt;/query&gt;
&lt;geodetic&gt;wgs1984&lt;/geodetic&gt;
&lt;iConf&gt;5&lt;/iConf&gt;
&lt;converted&gt;大阪府箕面市&lt;/converted&gt;
&lt;candidate&gt;
&lt;address&gt;大阪府/箕面市&lt;/address&gt;
&lt;longitude&gt;135.470383&lt;/longitude&gt;
&lt;latitude&gt;34.826927&lt;/latitude&gt;
&lt;iLvl&gt;3&lt;/iLvl&gt;
&lt;/candidate&gt;
&lt;/results&gt;
</v>
      </c>
      <c r="F151" cm="1">
        <f t="array" ref="F151">INDEX(_xlfn.FILTERXML(E151,"//latitude"),1)</f>
        <v>34.826926999999998</v>
      </c>
      <c r="G151" cm="1">
        <f t="array" ref="G151">INDEX(_xlfn.FILTERXML(E151,"//longitude"),1)</f>
        <v>135.470383</v>
      </c>
      <c r="H151">
        <v>34.826926999999998</v>
      </c>
      <c r="I151">
        <v>135.470383</v>
      </c>
    </row>
    <row r="152" spans="1:9" x14ac:dyDescent="0.4">
      <c r="A152" t="s">
        <v>17</v>
      </c>
      <c r="B152" t="s">
        <v>198</v>
      </c>
      <c r="C152" t="str">
        <f t="shared" si="22"/>
        <v>愛知県名古屋市緑区篠の風</v>
      </c>
      <c r="D152" s="2" t="str">
        <f t="shared" si="20"/>
        <v>http://geocode.csis.u-tokyo.ac.jp/cgi-bin/simple_geocode.cgi?charset=UTF8&amp;addr=%E6%84%9B%E7%9F%A5%E7%9C%8C%E5%90%8D%E5%8F%A4%E5%B1%8B%E5%B8%82%E7%B7%91%E5%8C%BA%E7%AF%A0%E3%81%AE%E9%A2%A8</v>
      </c>
      <c r="E152" t="str">
        <f t="shared" si="21"/>
        <v xml:space="preserve">&lt;?xml version="1.0" encoding="UTF-8" ?&gt;
&lt;results&gt;
&lt;query&gt;愛知県名古屋市緑区篠の風&lt;/query&gt;
&lt;geodetic&gt;wgs1984&lt;/geodetic&gt;
&lt;iConf&gt;5&lt;/iConf&gt;
&lt;converted&gt;愛知県名古屋市緑区篠の風&lt;/converted&gt;
&lt;candidate&gt;
&lt;address&gt;愛知県/名古屋市/緑区/篠の風&lt;/address&gt;
&lt;longitude&gt;136.974548&lt;/longitude&gt;
&lt;latitude&gt;35.096909&lt;/latitude&gt;
&lt;iLvl&gt;5&lt;/iLvl&gt;
&lt;/candidate&gt;
&lt;/results&gt;
</v>
      </c>
      <c r="F152" cm="1">
        <f t="array" ref="F152">INDEX(_xlfn.FILTERXML(E152,"//latitude"),1)</f>
        <v>35.096908999999997</v>
      </c>
      <c r="G152" cm="1">
        <f t="array" ref="G152">INDEX(_xlfn.FILTERXML(E152,"//longitude"),1)</f>
        <v>136.974548</v>
      </c>
      <c r="H152">
        <v>35.096908999999997</v>
      </c>
      <c r="I152">
        <v>136.974548</v>
      </c>
    </row>
    <row r="153" spans="1:9" x14ac:dyDescent="0.4">
      <c r="A153" t="s">
        <v>9</v>
      </c>
      <c r="B153" t="s">
        <v>59</v>
      </c>
      <c r="C153" t="str">
        <f t="shared" si="22"/>
        <v>東京都品川区</v>
      </c>
      <c r="D153" s="2" t="str">
        <f t="shared" si="20"/>
        <v>http://geocode.csis.u-tokyo.ac.jp/cgi-bin/simple_geocode.cgi?charset=UTF8&amp;addr=%E6%9D%B1%E4%BA%AC%E9%83%BD%E5%93%81%E5%B7%9D%E5%8C%BA</v>
      </c>
      <c r="E153" t="str">
        <f t="shared" si="21"/>
        <v xml:space="preserve">&lt;?xml version="1.0" encoding="UTF-8" ?&gt;
&lt;results&gt;
&lt;query&gt;東京都品川区&lt;/query&gt;
&lt;geodetic&gt;wgs1984&lt;/geodetic&gt;
&lt;iConf&gt;5&lt;/iConf&gt;
&lt;converted&gt;東京都品川区&lt;/converted&gt;
&lt;candidate&gt;
&lt;address&gt;東京都/品川区&lt;/address&gt;
&lt;longitude&gt;139.730255&lt;/longitude&gt;
&lt;latitude&gt;35.609066&lt;/latitude&gt;
&lt;iLvl&gt;3&lt;/iLvl&gt;
&lt;/candidate&gt;
&lt;/results&gt;
</v>
      </c>
      <c r="F153" cm="1">
        <f t="array" ref="F153">INDEX(_xlfn.FILTERXML(E153,"//latitude"),1)</f>
        <v>35.609065999999999</v>
      </c>
      <c r="G153" cm="1">
        <f t="array" ref="G153">INDEX(_xlfn.FILTERXML(E153,"//longitude"),1)</f>
        <v>139.730255</v>
      </c>
      <c r="H153">
        <v>35.609065999999999</v>
      </c>
      <c r="I153">
        <v>139.730255</v>
      </c>
    </row>
    <row r="154" spans="1:9" x14ac:dyDescent="0.4">
      <c r="A154" t="s">
        <v>30</v>
      </c>
      <c r="B154" t="s">
        <v>199</v>
      </c>
      <c r="C154" t="str">
        <f t="shared" si="22"/>
        <v>静岡県静岡市駿河区</v>
      </c>
      <c r="D154" s="2" t="str">
        <f t="shared" si="20"/>
        <v>http://geocode.csis.u-tokyo.ac.jp/cgi-bin/simple_geocode.cgi?charset=UTF8&amp;addr=%E9%9D%99%E5%B2%A1%E7%9C%8C%E9%9D%99%E5%B2%A1%E5%B8%82%E9%A7%BF%E6%B2%B3%E5%8C%BA</v>
      </c>
      <c r="E154" t="str">
        <f t="shared" si="21"/>
        <v xml:space="preserve">&lt;?xml version="1.0" encoding="UTF-8" ?&gt;
&lt;results&gt;
&lt;query&gt;静岡県静岡市駿河区&lt;/query&gt;
&lt;geodetic&gt;wgs1984&lt;/geodetic&gt;
&lt;iConf&gt;5&lt;/iConf&gt;
&lt;converted&gt;静岡県静岡市駿河区&lt;/converted&gt;
&lt;candidate&gt;
&lt;address&gt;静岡県/静岡市/駿河区&lt;/address&gt;
&lt;longitude&gt;138.404053&lt;/longitude&gt;
&lt;latitude&gt;34.960747&lt;/latitude&gt;
&lt;iLvl&gt;4&lt;/iLvl&gt;
&lt;/candidate&gt;
&lt;/results&gt;
</v>
      </c>
      <c r="F154" cm="1">
        <f t="array" ref="F154">INDEX(_xlfn.FILTERXML(E154,"//latitude"),1)</f>
        <v>34.960746999999998</v>
      </c>
      <c r="G154" cm="1">
        <f t="array" ref="G154">INDEX(_xlfn.FILTERXML(E154,"//longitude"),1)</f>
        <v>138.404053</v>
      </c>
      <c r="H154">
        <v>34.960746999999998</v>
      </c>
      <c r="I154">
        <v>138.404053</v>
      </c>
    </row>
    <row r="155" spans="1:9" x14ac:dyDescent="0.4">
      <c r="A155" t="s">
        <v>18</v>
      </c>
      <c r="B155" t="s">
        <v>200</v>
      </c>
      <c r="C155" t="str">
        <f t="shared" si="22"/>
        <v>千葉県市川市原木1－6－20</v>
      </c>
      <c r="D155" s="2" t="str">
        <f t="shared" si="20"/>
        <v>http://geocode.csis.u-tokyo.ac.jp/cgi-bin/simple_geocode.cgi?charset=UTF8&amp;addr=%E5%8D%83%E8%91%89%E7%9C%8C%E5%B8%82%E5%B7%9D%E5%B8%82%E5%8E%9F%E6%9C%A81%EF%BC%8D6%EF%BC%8D20</v>
      </c>
      <c r="E155" t="str">
        <f t="shared" si="21"/>
        <v xml:space="preserve">&lt;?xml version="1.0" encoding="UTF-8" ?&gt;
&lt;results&gt;
&lt;query&gt;千葉県市川市原木1−6−20&lt;/query&gt;
&lt;geodetic&gt;wgs1984&lt;/geodetic&gt;
&lt;iConf&gt;5&lt;/iConf&gt;
&lt;converted&gt;千葉県市川市原木1−6−20&lt;/converted&gt;
&lt;candidate&gt;
&lt;address&gt;千葉県/市川市/原木/一丁目/６番/２０号&lt;/address&gt;
&lt;longitude&gt;139.944397&lt;/longitude&gt;
&lt;latitude&gt;35.704857&lt;/latitude&gt;
&lt;iLvl&gt;8&lt;/iLvl&gt;
&lt;/candidate&gt;
&lt;/results&gt;
</v>
      </c>
      <c r="F155" cm="1">
        <f t="array" ref="F155">INDEX(_xlfn.FILTERXML(E155,"//latitude"),1)</f>
        <v>35.704856999999997</v>
      </c>
      <c r="G155" cm="1">
        <f t="array" ref="G155">INDEX(_xlfn.FILTERXML(E155,"//longitude"),1)</f>
        <v>139.94439700000001</v>
      </c>
      <c r="H155">
        <v>35.704856999999997</v>
      </c>
      <c r="I155">
        <v>139.94439700000001</v>
      </c>
    </row>
    <row r="156" spans="1:9" x14ac:dyDescent="0.4">
      <c r="A156" t="s">
        <v>40</v>
      </c>
      <c r="B156" t="s">
        <v>201</v>
      </c>
      <c r="C156" t="str">
        <f t="shared" si="22"/>
        <v>佐賀県佐賀市新生町</v>
      </c>
      <c r="D156" s="2" t="str">
        <f t="shared" si="20"/>
        <v>http://geocode.csis.u-tokyo.ac.jp/cgi-bin/simple_geocode.cgi?charset=UTF8&amp;addr=%E4%BD%90%E8%B3%80%E7%9C%8C%E4%BD%90%E8%B3%80%E5%B8%82%E6%96%B0%E7%94%9F%E7%94%BA</v>
      </c>
      <c r="E156" t="str">
        <f t="shared" si="21"/>
        <v xml:space="preserve">&lt;?xml version="1.0" encoding="UTF-8" ?&gt;
&lt;results&gt;
&lt;query&gt;佐賀県佐賀市新生町&lt;/query&gt;
&lt;geodetic&gt;wgs1984&lt;/geodetic&gt;
&lt;iConf&gt;5&lt;/iConf&gt;
&lt;converted&gt;佐賀県佐賀市新生町&lt;/converted&gt;
&lt;candidate&gt;
&lt;address&gt;佐賀県/佐賀市/新生町&lt;/address&gt;
&lt;longitude&gt;130.278671&lt;/longitude&gt;
&lt;latitude&gt;33.253292&lt;/latitude&gt;
&lt;iLvl&gt;5&lt;/iLvl&gt;
&lt;/candidate&gt;
&lt;/results&gt;
</v>
      </c>
      <c r="F156" cm="1">
        <f t="array" ref="F156">INDEX(_xlfn.FILTERXML(E156,"//latitude"),1)</f>
        <v>33.253292000000002</v>
      </c>
      <c r="G156" cm="1">
        <f t="array" ref="G156">INDEX(_xlfn.FILTERXML(E156,"//longitude"),1)</f>
        <v>130.278671</v>
      </c>
      <c r="H156">
        <v>33.253292000000002</v>
      </c>
      <c r="I156">
        <v>130.278671</v>
      </c>
    </row>
    <row r="157" spans="1:9" x14ac:dyDescent="0.4">
      <c r="A157" t="s">
        <v>63</v>
      </c>
      <c r="B157" t="s">
        <v>202</v>
      </c>
      <c r="C157" t="str">
        <f t="shared" si="22"/>
        <v>石川県加賀市大聖寺荒町</v>
      </c>
      <c r="D157" s="2" t="str">
        <f t="shared" si="20"/>
        <v>http://geocode.csis.u-tokyo.ac.jp/cgi-bin/simple_geocode.cgi?charset=UTF8&amp;addr=%E7%9F%B3%E5%B7%9D%E7%9C%8C%E5%8A%A0%E8%B3%80%E5%B8%82%E5%A4%A7%E8%81%96%E5%AF%BA%E8%8D%92%E7%94%BA</v>
      </c>
      <c r="E157" t="str">
        <f t="shared" si="21"/>
        <v xml:space="preserve">&lt;?xml version="1.0" encoding="UTF-8" ?&gt;
&lt;results&gt;
&lt;query&gt;石川県加賀市大聖寺荒町&lt;/query&gt;
&lt;geodetic&gt;wgs1984&lt;/geodetic&gt;
&lt;iConf&gt;5&lt;/iConf&gt;
&lt;converted&gt;石川県加賀市大聖寺荒町&lt;/converted&gt;
&lt;candidate&gt;
&lt;address&gt;石川県/加賀市/大聖寺荒町&lt;/address&gt;
&lt;longitude&gt;136.314590&lt;/longitude&gt;
&lt;latitude&gt;36.305531&lt;/latitude&gt;
&lt;iLvl&gt;5&lt;/iLvl&gt;
&lt;/candidate&gt;
&lt;/results&gt;
</v>
      </c>
      <c r="F157" cm="1">
        <f t="array" ref="F157">INDEX(_xlfn.FILTERXML(E157,"//latitude"),1)</f>
        <v>36.305531000000002</v>
      </c>
      <c r="G157" cm="1">
        <f t="array" ref="G157">INDEX(_xlfn.FILTERXML(E157,"//longitude"),1)</f>
        <v>136.31459000000001</v>
      </c>
      <c r="H157">
        <v>36.305531000000002</v>
      </c>
      <c r="I157">
        <v>136.31459000000001</v>
      </c>
    </row>
    <row r="158" spans="1:9" x14ac:dyDescent="0.4">
      <c r="A158" t="s">
        <v>17</v>
      </c>
      <c r="B158" t="s">
        <v>203</v>
      </c>
      <c r="C158" t="str">
        <f t="shared" si="22"/>
        <v>愛知県豊橋市向山東町</v>
      </c>
      <c r="D158" s="2" t="str">
        <f t="shared" si="20"/>
        <v>http://geocode.csis.u-tokyo.ac.jp/cgi-bin/simple_geocode.cgi?charset=UTF8&amp;addr=%E6%84%9B%E7%9F%A5%E7%9C%8C%E8%B1%8A%E6%A9%8B%E5%B8%82%E5%90%91%E5%B1%B1%E6%9D%B1%E7%94%BA</v>
      </c>
      <c r="E158" t="str">
        <f t="shared" si="21"/>
        <v xml:space="preserve">&lt;?xml version="1.0" encoding="UTF-8" ?&gt;
&lt;results&gt;
&lt;query&gt;愛知県豊橋市向山東町&lt;/query&gt;
&lt;geodetic&gt;wgs1984&lt;/geodetic&gt;
&lt;iConf&gt;5&lt;/iConf&gt;
&lt;converted&gt;愛知県豊橋市向山東町&lt;/converted&gt;
&lt;candidate&gt;
&lt;address&gt;愛知県/豊橋市/向山東町&lt;/address&gt;
&lt;longitude&gt;137.406952&lt;/longitude&gt;
&lt;latitude&gt;34.754700&lt;/latitude&gt;
&lt;iLvl&gt;5&lt;/iLvl&gt;
&lt;/candidate&gt;
&lt;/results&gt;
</v>
      </c>
      <c r="F158" cm="1">
        <f t="array" ref="F158">INDEX(_xlfn.FILTERXML(E158,"//latitude"),1)</f>
        <v>34.7547</v>
      </c>
      <c r="G158" cm="1">
        <f t="array" ref="G158">INDEX(_xlfn.FILTERXML(E158,"//longitude"),1)</f>
        <v>137.40695199999999</v>
      </c>
      <c r="H158">
        <v>34.7547</v>
      </c>
      <c r="I158">
        <v>137.40695199999999</v>
      </c>
    </row>
    <row r="159" spans="1:9" x14ac:dyDescent="0.4">
      <c r="A159" t="s">
        <v>26</v>
      </c>
      <c r="B159" t="s">
        <v>204</v>
      </c>
      <c r="C159" t="str">
        <f t="shared" si="22"/>
        <v>京都府京都市伏見区深草大亀谷大山町</v>
      </c>
      <c r="D159" s="2" t="str">
        <f t="shared" si="20"/>
        <v>http://geocode.csis.u-tokyo.ac.jp/cgi-bin/simple_geocode.cgi?charset=UTF8&amp;addr=%E4%BA%AC%E9%83%BD%E5%BA%9C%E4%BA%AC%E9%83%BD%E5%B8%82%E4%BC%8F%E8%A6%8B%E5%8C%BA%E6%B7%B1%E8%8D%89%E5%A4%A7%E4%BA%80%E8%B0%B7%E5%A4%A7%E5%B1%B1%E7%94%BA</v>
      </c>
      <c r="E159" t="str">
        <f t="shared" si="21"/>
        <v xml:space="preserve">&lt;?xml version="1.0" encoding="UTF-8" ?&gt;
&lt;results&gt;
&lt;query&gt;京都府京都市伏見区深草大亀谷大山町&lt;/query&gt;
&lt;geodetic&gt;wgs1984&lt;/geodetic&gt;
&lt;iConf&gt;5&lt;/iConf&gt;
&lt;converted&gt;京都府京都市伏見区深草大亀谷大山町&lt;/converted&gt;
&lt;candidate&gt;
&lt;address&gt;京都府/京都市/伏見区/深草大亀谷大山町&lt;/address&gt;
&lt;longitude&gt;135.778351&lt;/longitude&gt;
&lt;latitude&gt;34.946857&lt;/latitude&gt;
&lt;iLvl&gt;5&lt;/iLvl&gt;
&lt;/candidate&gt;
&lt;/results&gt;
</v>
      </c>
      <c r="F159" cm="1">
        <f t="array" ref="F159">INDEX(_xlfn.FILTERXML(E159,"//latitude"),1)</f>
        <v>34.946857000000001</v>
      </c>
      <c r="G159" cm="1">
        <f t="array" ref="G159">INDEX(_xlfn.FILTERXML(E159,"//longitude"),1)</f>
        <v>135.77835099999999</v>
      </c>
      <c r="H159">
        <v>34.946857000000001</v>
      </c>
      <c r="I159">
        <v>135.77835099999999</v>
      </c>
    </row>
    <row r="160" spans="1:9" x14ac:dyDescent="0.4">
      <c r="A160" t="s">
        <v>18</v>
      </c>
      <c r="B160" t="s">
        <v>205</v>
      </c>
      <c r="C160" t="str">
        <f t="shared" si="22"/>
        <v>千葉県船橋市咲が丘</v>
      </c>
      <c r="D160" s="2" t="str">
        <f t="shared" si="20"/>
        <v>http://geocode.csis.u-tokyo.ac.jp/cgi-bin/simple_geocode.cgi?charset=UTF8&amp;addr=%E5%8D%83%E8%91%89%E7%9C%8C%E8%88%B9%E6%A9%8B%E5%B8%82%E5%92%B2%E3%81%8C%E4%B8%98</v>
      </c>
      <c r="E160" t="str">
        <f t="shared" si="21"/>
        <v xml:space="preserve">&lt;?xml version="1.0" encoding="UTF-8" ?&gt;
&lt;results&gt;
&lt;query&gt;千葉県船橋市咲が丘&lt;/query&gt;
&lt;geodetic&gt;wgs1984&lt;/geodetic&gt;
&lt;iConf&gt;5&lt;/iConf&gt;
&lt;converted&gt;千葉県船橋市咲が丘&lt;/converted&gt;
&lt;candidate&gt;
&lt;address&gt;千葉県/船橋市/咲が丘&lt;/address&gt;
&lt;longitude&gt;140.017151&lt;/longitude&gt;
&lt;latitude&gt;35.759499&lt;/latitude&gt;
&lt;iLvl&gt;5&lt;/iLvl&gt;
&lt;/candidate&gt;
&lt;/results&gt;
</v>
      </c>
      <c r="F160" cm="1">
        <f t="array" ref="F160">INDEX(_xlfn.FILTERXML(E160,"//latitude"),1)</f>
        <v>35.759498999999998</v>
      </c>
      <c r="G160" cm="1">
        <f t="array" ref="G160">INDEX(_xlfn.FILTERXML(E160,"//longitude"),1)</f>
        <v>140.01715100000001</v>
      </c>
      <c r="H160">
        <v>35.759498999999998</v>
      </c>
      <c r="I160">
        <v>140.01715100000001</v>
      </c>
    </row>
    <row r="161" spans="1:9" x14ac:dyDescent="0.4">
      <c r="A161" t="s">
        <v>10</v>
      </c>
      <c r="B161" t="s">
        <v>206</v>
      </c>
      <c r="C161" t="str">
        <f t="shared" si="22"/>
        <v>神奈川県川崎市幸区小倉</v>
      </c>
      <c r="D161" s="2" t="str">
        <f t="shared" si="20"/>
        <v>http://geocode.csis.u-tokyo.ac.jp/cgi-bin/simple_geocode.cgi?charset=UTF8&amp;addr=%E7%A5%9E%E5%A5%88%E5%B7%9D%E7%9C%8C%E5%B7%9D%E5%B4%8E%E5%B8%82%E5%B9%B8%E5%8C%BA%E5%B0%8F%E5%80%89</v>
      </c>
      <c r="E161" t="str">
        <f t="shared" si="21"/>
        <v xml:space="preserve">&lt;?xml version="1.0" encoding="UTF-8" ?&gt;
&lt;results&gt;
&lt;query&gt;神奈川県川崎市幸区小倉&lt;/query&gt;
&lt;geodetic&gt;wgs1984&lt;/geodetic&gt;
&lt;iConf&gt;5&lt;/iConf&gt;
&lt;converted&gt;神奈川県川崎市幸区小倉&lt;/converted&gt;
&lt;candidate&gt;
&lt;address&gt;神奈川県/川崎市/幸区/小倉&lt;/address&gt;
&lt;longitude&gt;139.670151&lt;/longitude&gt;
&lt;latitude&gt;35.545078&lt;/latitude&gt;
&lt;iLvl&gt;5&lt;/iLvl&gt;
&lt;/candidate&gt;
&lt;/results&gt;
</v>
      </c>
      <c r="F161" cm="1">
        <f t="array" ref="F161">INDEX(_xlfn.FILTERXML(E161,"//latitude"),1)</f>
        <v>35.545077999999997</v>
      </c>
      <c r="G161" cm="1">
        <f t="array" ref="G161">INDEX(_xlfn.FILTERXML(E161,"//longitude"),1)</f>
        <v>139.670151</v>
      </c>
      <c r="H161">
        <v>35.545077999999997</v>
      </c>
      <c r="I161">
        <v>139.670151</v>
      </c>
    </row>
    <row r="162" spans="1:9" x14ac:dyDescent="0.4">
      <c r="A162" t="s">
        <v>15</v>
      </c>
      <c r="B162" t="s">
        <v>207</v>
      </c>
      <c r="C162" t="str">
        <f t="shared" si="22"/>
        <v>兵庫県丹波市</v>
      </c>
      <c r="D162" s="2" t="str">
        <f t="shared" si="20"/>
        <v>http://geocode.csis.u-tokyo.ac.jp/cgi-bin/simple_geocode.cgi?charset=UTF8&amp;addr=%E5%85%B5%E5%BA%AB%E7%9C%8C%E4%B8%B9%E6%B3%A2%E5%B8%82</v>
      </c>
      <c r="E162" t="str">
        <f t="shared" si="21"/>
        <v xml:space="preserve">&lt;?xml version="1.0" encoding="UTF-8" ?&gt;
&lt;results&gt;
&lt;query&gt;兵庫県丹波市&lt;/query&gt;
&lt;geodetic&gt;wgs1984&lt;/geodetic&gt;
&lt;iConf&gt;5&lt;/iConf&gt;
&lt;converted&gt;兵庫県丹波市&lt;/converted&gt;
&lt;candidate&gt;
&lt;address&gt;兵庫県/丹波市&lt;/address&gt;
&lt;longitude&gt;135.035812&lt;/longitude&gt;
&lt;latitude&gt;35.177258&lt;/latitude&gt;
&lt;iLvl&gt;3&lt;/iLvl&gt;
&lt;/candidate&gt;
&lt;/results&gt;
</v>
      </c>
      <c r="F162" cm="1">
        <f t="array" ref="F162">INDEX(_xlfn.FILTERXML(E162,"//latitude"),1)</f>
        <v>35.177258000000002</v>
      </c>
      <c r="G162" cm="1">
        <f t="array" ref="G162">INDEX(_xlfn.FILTERXML(E162,"//longitude"),1)</f>
        <v>135.03581199999999</v>
      </c>
      <c r="H162">
        <v>35.177258000000002</v>
      </c>
      <c r="I162">
        <v>135.03581199999999</v>
      </c>
    </row>
    <row r="163" spans="1:9" x14ac:dyDescent="0.4">
      <c r="A163" t="s">
        <v>18</v>
      </c>
      <c r="B163" t="s">
        <v>208</v>
      </c>
      <c r="C163" t="str">
        <f t="shared" si="22"/>
        <v>千葉県船橋市海神</v>
      </c>
      <c r="D163" s="2" t="str">
        <f t="shared" si="20"/>
        <v>http://geocode.csis.u-tokyo.ac.jp/cgi-bin/simple_geocode.cgi?charset=UTF8&amp;addr=%E5%8D%83%E8%91%89%E7%9C%8C%E8%88%B9%E6%A9%8B%E5%B8%82%E6%B5%B7%E7%A5%9E</v>
      </c>
      <c r="E163" t="str">
        <f t="shared" si="21"/>
        <v xml:space="preserve">&lt;?xml version="1.0" encoding="UTF-8" ?&gt;
&lt;results&gt;
&lt;query&gt;千葉県船橋市海神&lt;/query&gt;
&lt;geodetic&gt;wgs1984&lt;/geodetic&gt;
&lt;iConf&gt;5&lt;/iConf&gt;
&lt;converted&gt;千葉県船橋市海神&lt;/converted&gt;
&lt;candidate&gt;
&lt;address&gt;千葉県/船橋市/海神&lt;/address&gt;
&lt;longitude&gt;139.978531&lt;/longitude&gt;
&lt;latitude&gt;35.700184&lt;/latitude&gt;
&lt;iLvl&gt;5&lt;/iLvl&gt;
&lt;/candidate&gt;
&lt;/results&gt;
</v>
      </c>
      <c r="F163" cm="1">
        <f t="array" ref="F163">INDEX(_xlfn.FILTERXML(E163,"//latitude"),1)</f>
        <v>35.700184</v>
      </c>
      <c r="G163" cm="1">
        <f t="array" ref="G163">INDEX(_xlfn.FILTERXML(E163,"//longitude"),1)</f>
        <v>139.978531</v>
      </c>
      <c r="H163">
        <v>35.700184</v>
      </c>
      <c r="I163">
        <v>139.978531</v>
      </c>
    </row>
    <row r="164" spans="1:9" x14ac:dyDescent="0.4">
      <c r="A164" t="s">
        <v>26</v>
      </c>
      <c r="B164" t="s">
        <v>209</v>
      </c>
      <c r="C164" t="str">
        <f t="shared" si="22"/>
        <v>京都府宇治市小倉町</v>
      </c>
      <c r="D164" s="2" t="str">
        <f t="shared" si="20"/>
        <v>http://geocode.csis.u-tokyo.ac.jp/cgi-bin/simple_geocode.cgi?charset=UTF8&amp;addr=%E4%BA%AC%E9%83%BD%E5%BA%9C%E5%AE%87%E6%B2%BB%E5%B8%82%E5%B0%8F%E5%80%89%E7%94%BA</v>
      </c>
      <c r="E164" t="str">
        <f t="shared" si="21"/>
        <v xml:space="preserve">&lt;?xml version="1.0" encoding="UTF-8" ?&gt;
&lt;results&gt;
&lt;query&gt;京都府宇治市小倉町&lt;/query&gt;
&lt;geodetic&gt;wgs1984&lt;/geodetic&gt;
&lt;iConf&gt;5&lt;/iConf&gt;
&lt;converted&gt;京都府宇治市小倉町&lt;/converted&gt;
&lt;candidate&gt;
&lt;address&gt;京都府/宇治市/小倉町&lt;/address&gt;
&lt;longitude&gt;135.780380&lt;/longitude&gt;
&lt;latitude&gt;34.896271&lt;/latitude&gt;
&lt;iLvl&gt;5&lt;/iLvl&gt;
&lt;/candidate&gt;
&lt;/results&gt;
</v>
      </c>
      <c r="F164" cm="1">
        <f t="array" ref="F164">INDEX(_xlfn.FILTERXML(E164,"//latitude"),1)</f>
        <v>34.896270999999999</v>
      </c>
      <c r="G164" cm="1">
        <f t="array" ref="G164">INDEX(_xlfn.FILTERXML(E164,"//longitude"),1)</f>
        <v>135.78038000000001</v>
      </c>
      <c r="H164">
        <v>34.896270999999999</v>
      </c>
      <c r="I164">
        <v>135.78038000000001</v>
      </c>
    </row>
    <row r="165" spans="1:9" x14ac:dyDescent="0.4">
      <c r="A165" t="s">
        <v>9</v>
      </c>
      <c r="B165" t="s">
        <v>210</v>
      </c>
      <c r="C165" t="str">
        <f t="shared" si="22"/>
        <v>東京都北区田端</v>
      </c>
      <c r="D165" s="2" t="str">
        <f t="shared" si="20"/>
        <v>http://geocode.csis.u-tokyo.ac.jp/cgi-bin/simple_geocode.cgi?charset=UTF8&amp;addr=%E6%9D%B1%E4%BA%AC%E9%83%BD%E5%8C%97%E5%8C%BA%E7%94%B0%E7%AB%AF</v>
      </c>
      <c r="E165" t="str">
        <f t="shared" si="21"/>
        <v xml:space="preserve">&lt;?xml version="1.0" encoding="UTF-8" ?&gt;
&lt;results&gt;
&lt;query&gt;東京都北区田端&lt;/query&gt;
&lt;geodetic&gt;wgs1984&lt;/geodetic&gt;
&lt;iConf&gt;5&lt;/iConf&gt;
&lt;converted&gt;東京都北区田端&lt;/converted&gt;
&lt;candidate&gt;
&lt;address&gt;東京都/北区/田端&lt;/address&gt;
&lt;longitude&gt;139.761551&lt;/longitude&gt;
&lt;latitude&gt;35.734928&lt;/latitude&gt;
&lt;iLvl&gt;5&lt;/iLvl&gt;
&lt;/candidate&gt;
&lt;/results&gt;
</v>
      </c>
      <c r="F165" cm="1">
        <f t="array" ref="F165">INDEX(_xlfn.FILTERXML(E165,"//latitude"),1)</f>
        <v>35.734927999999996</v>
      </c>
      <c r="G165" cm="1">
        <f t="array" ref="G165">INDEX(_xlfn.FILTERXML(E165,"//longitude"),1)</f>
        <v>139.761551</v>
      </c>
      <c r="H165">
        <v>35.734927999999996</v>
      </c>
      <c r="I165">
        <v>139.761551</v>
      </c>
    </row>
    <row r="166" spans="1:9" x14ac:dyDescent="0.4">
      <c r="A166" t="s">
        <v>30</v>
      </c>
      <c r="B166" t="s">
        <v>211</v>
      </c>
      <c r="C166" t="str">
        <f t="shared" si="22"/>
        <v>静岡県静岡市駿河区八幡４丁目</v>
      </c>
      <c r="D166" s="2" t="str">
        <f t="shared" si="20"/>
        <v>http://geocode.csis.u-tokyo.ac.jp/cgi-bin/simple_geocode.cgi?charset=UTF8&amp;addr=%E9%9D%99%E5%B2%A1%E7%9C%8C%E9%9D%99%E5%B2%A1%E5%B8%82%E9%A7%BF%E6%B2%B3%E5%8C%BA%E5%85%AB%E5%B9%A1%EF%BC%94%E4%B8%81%E7%9B%AE</v>
      </c>
      <c r="E166" t="str">
        <f t="shared" si="21"/>
        <v xml:space="preserve">&lt;?xml version="1.0" encoding="UTF-8" ?&gt;
&lt;results&gt;
&lt;query&gt;静岡県静岡市駿河区八幡４丁目&lt;/query&gt;
&lt;geodetic&gt;wgs1984&lt;/geodetic&gt;
&lt;iConf&gt;5&lt;/iConf&gt;
&lt;converted&gt;静岡県静岡市駿河区八幡４丁目&lt;/converted&gt;
&lt;candidate&gt;
&lt;address&gt;静岡県/静岡市/駿河区/八幡/四丁目&lt;/address&gt;
&lt;longitude&gt;138.398468&lt;/longitude&gt;
&lt;latitude&gt;34.967751&lt;/latitude&gt;
&lt;iLvl&gt;6&lt;/iLvl&gt;
&lt;/candidate&gt;
&lt;/results&gt;
</v>
      </c>
      <c r="F166" cm="1">
        <f t="array" ref="F166">INDEX(_xlfn.FILTERXML(E166,"//latitude"),1)</f>
        <v>34.967751</v>
      </c>
      <c r="G166" cm="1">
        <f t="array" ref="G166">INDEX(_xlfn.FILTERXML(E166,"//longitude"),1)</f>
        <v>138.39846800000001</v>
      </c>
      <c r="H166">
        <v>34.967751</v>
      </c>
      <c r="I166">
        <v>138.39846800000001</v>
      </c>
    </row>
    <row r="167" spans="1:9" x14ac:dyDescent="0.4">
      <c r="A167" t="s">
        <v>18</v>
      </c>
      <c r="B167" t="s">
        <v>212</v>
      </c>
      <c r="C167" t="str">
        <f t="shared" si="22"/>
        <v>千葉県野田市</v>
      </c>
      <c r="D167" s="2" t="str">
        <f t="shared" si="20"/>
        <v>http://geocode.csis.u-tokyo.ac.jp/cgi-bin/simple_geocode.cgi?charset=UTF8&amp;addr=%E5%8D%83%E8%91%89%E7%9C%8C%E9%87%8E%E7%94%B0%E5%B8%82</v>
      </c>
      <c r="E167" t="str">
        <f t="shared" si="21"/>
        <v xml:space="preserve">&lt;?xml version="1.0" encoding="UTF-8" ?&gt;
&lt;results&gt;
&lt;query&gt;千葉県野田市&lt;/query&gt;
&lt;geodetic&gt;wgs1984&lt;/geodetic&gt;
&lt;iConf&gt;5&lt;/iConf&gt;
&lt;converted&gt;千葉県野田市&lt;/converted&gt;
&lt;candidate&gt;
&lt;address&gt;千葉県/野田市&lt;/address&gt;
&lt;longitude&gt;139.874832&lt;/longitude&gt;
&lt;latitude&gt;35.955105&lt;/latitude&gt;
&lt;iLvl&gt;3&lt;/iLvl&gt;
&lt;/candidate&gt;
&lt;/results&gt;
</v>
      </c>
      <c r="F167" cm="1">
        <f t="array" ref="F167">INDEX(_xlfn.FILTERXML(E167,"//latitude"),1)</f>
        <v>35.955105000000003</v>
      </c>
      <c r="G167" cm="1">
        <f t="array" ref="G167">INDEX(_xlfn.FILTERXML(E167,"//longitude"),1)</f>
        <v>139.874832</v>
      </c>
      <c r="H167">
        <v>35.955105000000003</v>
      </c>
      <c r="I167">
        <v>139.874832</v>
      </c>
    </row>
    <row r="168" spans="1:9" x14ac:dyDescent="0.4">
      <c r="A168" t="s">
        <v>17</v>
      </c>
      <c r="B168" t="s">
        <v>213</v>
      </c>
      <c r="C168" t="str">
        <f t="shared" si="22"/>
        <v>愛知県北名古屋市</v>
      </c>
      <c r="D168" s="2" t="str">
        <f t="shared" si="20"/>
        <v>http://geocode.csis.u-tokyo.ac.jp/cgi-bin/simple_geocode.cgi?charset=UTF8&amp;addr=%E6%84%9B%E7%9F%A5%E7%9C%8C%E5%8C%97%E5%90%8D%E5%8F%A4%E5%B1%8B%E5%B8%82</v>
      </c>
      <c r="E168" t="str">
        <f t="shared" si="21"/>
        <v xml:space="preserve">&lt;?xml version="1.0" encoding="UTF-8" ?&gt;
&lt;results&gt;
&lt;query&gt;愛知県北名古屋市&lt;/query&gt;
&lt;geodetic&gt;wgs1984&lt;/geodetic&gt;
&lt;iConf&gt;5&lt;/iConf&gt;
&lt;converted&gt;愛知県北名古屋市&lt;/converted&gt;
&lt;candidate&gt;
&lt;address&gt;愛知県/北名古屋市&lt;/address&gt;
&lt;longitude&gt;136.865967&lt;/longitude&gt;
&lt;latitude&gt;35.245659&lt;/latitude&gt;
&lt;iLvl&gt;3&lt;/iLvl&gt;
&lt;/candidate&gt;
&lt;/results&gt;
</v>
      </c>
      <c r="F168" cm="1">
        <f t="array" ref="F168">INDEX(_xlfn.FILTERXML(E168,"//latitude"),1)</f>
        <v>35.245659000000003</v>
      </c>
      <c r="G168" cm="1">
        <f t="array" ref="G168">INDEX(_xlfn.FILTERXML(E168,"//longitude"),1)</f>
        <v>136.86596700000001</v>
      </c>
      <c r="H168">
        <v>35.245659000000003</v>
      </c>
      <c r="I168">
        <v>136.86596700000001</v>
      </c>
    </row>
    <row r="169" spans="1:9" x14ac:dyDescent="0.4">
      <c r="A169" t="s">
        <v>22</v>
      </c>
      <c r="B169" t="s">
        <v>214</v>
      </c>
      <c r="C169" t="str">
        <f t="shared" si="22"/>
        <v>群馬県前橋市上佐鳥町</v>
      </c>
      <c r="D169" s="2" t="str">
        <f t="shared" si="20"/>
        <v>http://geocode.csis.u-tokyo.ac.jp/cgi-bin/simple_geocode.cgi?charset=UTF8&amp;addr=%E7%BE%A4%E9%A6%AC%E7%9C%8C%E5%89%8D%E6%A9%8B%E5%B8%82%E4%B8%8A%E4%BD%90%E9%B3%A5%E7%94%BA</v>
      </c>
      <c r="E169" t="str">
        <f t="shared" si="21"/>
        <v xml:space="preserve">&lt;?xml version="1.0" encoding="UTF-8" ?&gt;
&lt;results&gt;
&lt;query&gt;群馬県前橋市上佐鳥町&lt;/query&gt;
&lt;geodetic&gt;wgs1984&lt;/geodetic&gt;
&lt;iConf&gt;5&lt;/iConf&gt;
&lt;converted&gt;群馬県前橋市上佐鳥町&lt;/converted&gt;
&lt;candidate&gt;
&lt;address&gt;群馬県/前橋市/上佐鳥町&lt;/address&gt;
&lt;longitude&gt;139.083939&lt;/longitude&gt;
&lt;latitude&gt;36.357906&lt;/latitude&gt;
&lt;iLvl&gt;5&lt;/iLvl&gt;
&lt;/candidate&gt;
&lt;/results&gt;
</v>
      </c>
      <c r="F169" cm="1">
        <f t="array" ref="F169">INDEX(_xlfn.FILTERXML(E169,"//latitude"),1)</f>
        <v>36.357906</v>
      </c>
      <c r="G169" cm="1">
        <f t="array" ref="G169">INDEX(_xlfn.FILTERXML(E169,"//longitude"),1)</f>
        <v>139.08393899999999</v>
      </c>
      <c r="H169">
        <v>36.357906</v>
      </c>
      <c r="I169">
        <v>139.08393899999999</v>
      </c>
    </row>
    <row r="170" spans="1:9" x14ac:dyDescent="0.4">
      <c r="A170" t="s">
        <v>11</v>
      </c>
      <c r="B170" t="s">
        <v>215</v>
      </c>
      <c r="C170" t="str">
        <f t="shared" si="22"/>
        <v>大阪府大阪市鶴見区横堤5-5-4-503</v>
      </c>
      <c r="D170" s="2" t="str">
        <f t="shared" si="20"/>
        <v>http://geocode.csis.u-tokyo.ac.jp/cgi-bin/simple_geocode.cgi?charset=UTF8&amp;addr=%E5%A4%A7%E9%98%AA%E5%BA%9C%E5%A4%A7%E9%98%AA%E5%B8%82%E9%B6%B4%E8%A6%8B%E5%8C%BA%E6%A8%AA%E5%A0%A45-5-4-503</v>
      </c>
      <c r="E170" t="str">
        <f t="shared" si="21"/>
        <v xml:space="preserve">&lt;?xml version="1.0" encoding="UTF-8" ?&gt;
&lt;results&gt;
&lt;query&gt;大阪府大阪市鶴見区横堤5-5-4-503&lt;/query&gt;
&lt;geodetic&gt;wgs1984&lt;/geodetic&gt;
&lt;iConf&gt;5&lt;/iConf&gt;
&lt;converted&gt;大阪府大阪市鶴見区横堤5-5-4-&lt;/converted&gt;
&lt;candidate&gt;
&lt;address&gt;大阪府/大阪市/鶴見区/横堤/五丁目/５番/４号&lt;/address&gt;
&lt;longitude&gt;135.573090&lt;/longitude&gt;
&lt;latitude&gt;34.704994&lt;/latitude&gt;
&lt;iLvl&gt;8&lt;/iLvl&gt;
&lt;/candidate&gt;
&lt;/results&gt;
</v>
      </c>
      <c r="F170" cm="1">
        <f t="array" ref="F170">INDEX(_xlfn.FILTERXML(E170,"//latitude"),1)</f>
        <v>34.704993999999999</v>
      </c>
      <c r="G170" cm="1">
        <f t="array" ref="G170">INDEX(_xlfn.FILTERXML(E170,"//longitude"),1)</f>
        <v>135.57309000000001</v>
      </c>
      <c r="H170">
        <v>34.704993999999999</v>
      </c>
      <c r="I170">
        <v>135.57309000000001</v>
      </c>
    </row>
    <row r="171" spans="1:9" x14ac:dyDescent="0.4">
      <c r="A171" t="s">
        <v>9</v>
      </c>
      <c r="B171" t="s">
        <v>32</v>
      </c>
      <c r="C171" t="str">
        <f t="shared" si="22"/>
        <v>東京都江戸川区</v>
      </c>
      <c r="D171" s="2" t="str">
        <f t="shared" si="20"/>
        <v>http://geocode.csis.u-tokyo.ac.jp/cgi-bin/simple_geocode.cgi?charset=UTF8&amp;addr=%E6%9D%B1%E4%BA%AC%E9%83%BD%E6%B1%9F%E6%88%B8%E5%B7%9D%E5%8C%BA</v>
      </c>
      <c r="E171" t="str">
        <f t="shared" si="21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171" cm="1">
        <f t="array" ref="F171">INDEX(_xlfn.FILTERXML(E171,"//latitude"),1)</f>
        <v>35.706650000000003</v>
      </c>
      <c r="G171" cm="1">
        <f t="array" ref="G171">INDEX(_xlfn.FILTERXML(E171,"//longitude"),1)</f>
        <v>139.86831699999999</v>
      </c>
      <c r="H171" s="3">
        <v>35.706650000000003</v>
      </c>
      <c r="I171" s="3">
        <v>139.86831699999999</v>
      </c>
    </row>
    <row r="172" spans="1:9" x14ac:dyDescent="0.4">
      <c r="A172" t="s">
        <v>17</v>
      </c>
      <c r="B172" t="s">
        <v>216</v>
      </c>
      <c r="C172" t="str">
        <f t="shared" si="22"/>
        <v>愛知県名古屋市中区栄1-2-3</v>
      </c>
      <c r="D172" s="2" t="str">
        <f t="shared" si="20"/>
        <v>http://geocode.csis.u-tokyo.ac.jp/cgi-bin/simple_geocode.cgi?charset=UTF8&amp;addr=%E6%84%9B%E7%9F%A5%E7%9C%8C%E5%90%8D%E5%8F%A4%E5%B1%8B%E5%B8%82%E4%B8%AD%E5%8C%BA%E6%A0%841-2-3</v>
      </c>
      <c r="E172" t="str">
        <f t="shared" si="21"/>
        <v xml:space="preserve">&lt;?xml version="1.0" encoding="UTF-8" ?&gt;
&lt;results&gt;
&lt;query&gt;愛知県名古屋市中区栄1-2-3&lt;/query&gt;
&lt;geodetic&gt;wgs1984&lt;/geodetic&gt;
&lt;iConf&gt;5&lt;/iConf&gt;
&lt;converted&gt;愛知県名古屋市中区栄1-2-3&lt;/converted&gt;
&lt;candidate&gt;
&lt;address&gt;愛知県/名古屋市/中区/栄/一丁目/２番/３号&lt;/address&gt;
&lt;longitude&gt;136.892654&lt;/longitude&gt;
&lt;latitude&gt;35.167793&lt;/latitude&gt;
&lt;iLvl&gt;8&lt;/iLvl&gt;
&lt;/candidate&gt;
&lt;/results&gt;
</v>
      </c>
      <c r="F172" cm="1">
        <f t="array" ref="F172">INDEX(_xlfn.FILTERXML(E172,"//latitude"),1)</f>
        <v>35.167793000000003</v>
      </c>
      <c r="G172" cm="1">
        <f t="array" ref="G172">INDEX(_xlfn.FILTERXML(E172,"//longitude"),1)</f>
        <v>136.89265399999999</v>
      </c>
      <c r="H172">
        <v>35.167793000000003</v>
      </c>
      <c r="I172">
        <v>136.89265399999999</v>
      </c>
    </row>
    <row r="173" spans="1:9" x14ac:dyDescent="0.4">
      <c r="A173" t="s">
        <v>10</v>
      </c>
      <c r="B173" t="s">
        <v>85</v>
      </c>
      <c r="C173" t="str">
        <f t="shared" si="22"/>
        <v>神奈川県横浜市港北区大倉山</v>
      </c>
      <c r="D173" s="2" t="str">
        <f t="shared" si="20"/>
        <v>http://geocode.csis.u-tokyo.ac.jp/cgi-bin/simple_geocode.cgi?charset=UTF8&amp;addr=%E7%A5%9E%E5%A5%88%E5%B7%9D%E7%9C%8C%E6%A8%AA%E6%B5%9C%E5%B8%82%E6%B8%AF%E5%8C%97%E5%8C%BA%E5%A4%A7%E5%80%89%E5%B1%B1</v>
      </c>
      <c r="E173" t="str">
        <f t="shared" si="21"/>
        <v xml:space="preserve">&lt;?xml version="1.0" encoding="UTF-8" ?&gt;
&lt;results&gt;
&lt;query&gt;神奈川県横浜市港北区大倉山&lt;/query&gt;
&lt;geodetic&gt;wgs1984&lt;/geodetic&gt;
&lt;iConf&gt;5&lt;/iConf&gt;
&lt;converted&gt;神奈川県横浜市港北区大倉山&lt;/converted&gt;
&lt;candidate&gt;
&lt;address&gt;神奈川県/横浜市/港北区/大倉山&lt;/address&gt;
&lt;longitude&gt;139.631256&lt;/longitude&gt;
&lt;latitude&gt;35.520157&lt;/latitude&gt;
&lt;iLvl&gt;5&lt;/iLvl&gt;
&lt;/candidate&gt;
&lt;/results&gt;
</v>
      </c>
      <c r="F173" cm="1">
        <f t="array" ref="F173">INDEX(_xlfn.FILTERXML(E173,"//latitude"),1)</f>
        <v>35.520156999999998</v>
      </c>
      <c r="G173" cm="1">
        <f t="array" ref="G173">INDEX(_xlfn.FILTERXML(E173,"//longitude"),1)</f>
        <v>139.63125600000001</v>
      </c>
      <c r="H173">
        <v>35.520156999999998</v>
      </c>
      <c r="I173">
        <v>139.63125600000001</v>
      </c>
    </row>
    <row r="174" spans="1:9" x14ac:dyDescent="0.4">
      <c r="A174" t="s">
        <v>11</v>
      </c>
      <c r="B174" t="s">
        <v>217</v>
      </c>
      <c r="C174" t="str">
        <f t="shared" si="22"/>
        <v>大阪府大阪市中央区</v>
      </c>
      <c r="D174" s="2" t="str">
        <f t="shared" si="20"/>
        <v>http://geocode.csis.u-tokyo.ac.jp/cgi-bin/simple_geocode.cgi?charset=UTF8&amp;addr=%E5%A4%A7%E9%98%AA%E5%BA%9C%E5%A4%A7%E9%98%AA%E5%B8%82%E4%B8%AD%E5%A4%AE%E5%8C%BA</v>
      </c>
      <c r="E174" t="str">
        <f t="shared" si="21"/>
        <v xml:space="preserve">&lt;?xml version="1.0" encoding="UTF-8" ?&gt;
&lt;results&gt;
&lt;query&gt;大阪府大阪市中央区&lt;/query&gt;
&lt;geodetic&gt;wgs1984&lt;/geodetic&gt;
&lt;iConf&gt;5&lt;/iConf&gt;
&lt;converted&gt;大阪府大阪市中央区&lt;/converted&gt;
&lt;candidate&gt;
&lt;address&gt;大阪府/大阪市/中央区&lt;/address&gt;
&lt;longitude&gt;135.509689&lt;/longitude&gt;
&lt;latitude&gt;34.681225&lt;/latitude&gt;
&lt;iLvl&gt;4&lt;/iLvl&gt;
&lt;/candidate&gt;
&lt;/results&gt;
</v>
      </c>
      <c r="F174" cm="1">
        <f t="array" ref="F174">INDEX(_xlfn.FILTERXML(E174,"//latitude"),1)</f>
        <v>34.681224999999998</v>
      </c>
      <c r="G174" cm="1">
        <f t="array" ref="G174">INDEX(_xlfn.FILTERXML(E174,"//longitude"),1)</f>
        <v>135.50968900000001</v>
      </c>
      <c r="H174">
        <v>34.681224999999998</v>
      </c>
      <c r="I174">
        <v>135.50968900000001</v>
      </c>
    </row>
    <row r="175" spans="1:9" x14ac:dyDescent="0.4">
      <c r="A175" t="s">
        <v>63</v>
      </c>
      <c r="B175" t="s">
        <v>218</v>
      </c>
      <c r="C175" t="str">
        <f t="shared" si="22"/>
        <v>石川県小松市白江町</v>
      </c>
      <c r="D175" s="2" t="str">
        <f t="shared" si="20"/>
        <v>http://geocode.csis.u-tokyo.ac.jp/cgi-bin/simple_geocode.cgi?charset=UTF8&amp;addr=%E7%9F%B3%E5%B7%9D%E7%9C%8C%E5%B0%8F%E6%9D%BE%E5%B8%82%E7%99%BD%E6%B1%9F%E7%94%BA</v>
      </c>
      <c r="E175" t="str">
        <f t="shared" si="21"/>
        <v xml:space="preserve">&lt;?xml version="1.0" encoding="UTF-8" ?&gt;
&lt;results&gt;
&lt;query&gt;石川県小松市白江町&lt;/query&gt;
&lt;geodetic&gt;wgs1984&lt;/geodetic&gt;
&lt;iConf&gt;5&lt;/iConf&gt;
&lt;converted&gt;石川県小松市白江町&lt;/converted&gt;
&lt;candidate&gt;
&lt;address&gt;石川県/小松市/白江町&lt;/address&gt;
&lt;longitude&gt;136.472824&lt;/longitude&gt;
&lt;latitude&gt;36.408276&lt;/latitude&gt;
&lt;iLvl&gt;5&lt;/iLvl&gt;
&lt;/candidate&gt;
&lt;/results&gt;
</v>
      </c>
      <c r="F175" cm="1">
        <f t="array" ref="F175">INDEX(_xlfn.FILTERXML(E175,"//latitude"),1)</f>
        <v>36.408276000000001</v>
      </c>
      <c r="G175" cm="1">
        <f t="array" ref="G175">INDEX(_xlfn.FILTERXML(E175,"//longitude"),1)</f>
        <v>136.472824</v>
      </c>
      <c r="H175">
        <v>36.408276000000001</v>
      </c>
      <c r="I175">
        <v>136.472824</v>
      </c>
    </row>
    <row r="176" spans="1:9" x14ac:dyDescent="0.4">
      <c r="A176" t="s">
        <v>9</v>
      </c>
      <c r="B176" t="s">
        <v>219</v>
      </c>
      <c r="C176" t="str">
        <f t="shared" si="22"/>
        <v>東京都中野区弥生町３－６－１２</v>
      </c>
      <c r="D176" s="2" t="str">
        <f t="shared" si="20"/>
        <v>http://geocode.csis.u-tokyo.ac.jp/cgi-bin/simple_geocode.cgi?charset=UTF8&amp;addr=%E6%9D%B1%E4%BA%AC%E9%83%BD%E4%B8%AD%E9%87%8E%E5%8C%BA%E5%BC%A5%E7%94%9F%E7%94%BA%EF%BC%93%EF%BC%8D%EF%BC%96%EF%BC%8D%EF%BC%91%EF%BC%92</v>
      </c>
      <c r="E176" t="str">
        <f t="shared" si="21"/>
        <v xml:space="preserve">&lt;?xml version="1.0" encoding="UTF-8" ?&gt;
&lt;results&gt;
&lt;query&gt;東京都中野区弥生町３−６−１２&lt;/query&gt;
&lt;geodetic&gt;wgs1984&lt;/geodetic&gt;
&lt;iConf&gt;5&lt;/iConf&gt;
&lt;converted&gt;東京都中野区弥生町３−６−&lt;/converted&gt;
&lt;candidate&gt;
&lt;address&gt;東京都/中野区/弥生町/三丁目/６番&lt;/address&gt;
&lt;longitude&gt;139.675140&lt;/longitude&gt;
&lt;latitude&gt;35.689625&lt;/latitude&gt;
&lt;iLvl&gt;7&lt;/iLvl&gt;
&lt;/candidate&gt;
&lt;/results&gt;
</v>
      </c>
      <c r="F176" cm="1">
        <f t="array" ref="F176">INDEX(_xlfn.FILTERXML(E176,"//latitude"),1)</f>
        <v>35.689624999999999</v>
      </c>
      <c r="G176" cm="1">
        <f t="array" ref="G176">INDEX(_xlfn.FILTERXML(E176,"//longitude"),1)</f>
        <v>139.67514</v>
      </c>
      <c r="H176">
        <v>35.689624999999999</v>
      </c>
      <c r="I176">
        <v>139.67514</v>
      </c>
    </row>
    <row r="177" spans="1:9" x14ac:dyDescent="0.4">
      <c r="A177" t="s">
        <v>10</v>
      </c>
      <c r="B177" t="s">
        <v>38</v>
      </c>
      <c r="C177" t="str">
        <f t="shared" si="22"/>
        <v>神奈川県横浜市西区浅間台</v>
      </c>
      <c r="D177" s="2" t="str">
        <f t="shared" si="20"/>
        <v>http://geocode.csis.u-tokyo.ac.jp/cgi-bin/simple_geocode.cgi?charset=UTF8&amp;addr=%E7%A5%9E%E5%A5%88%E5%B7%9D%E7%9C%8C%E6%A8%AA%E6%B5%9C%E5%B8%82%E8%A5%BF%E5%8C%BA%E6%B5%85%E9%96%93%E5%8F%B0</v>
      </c>
      <c r="E177" t="str">
        <f t="shared" si="21"/>
        <v xml:space="preserve">&lt;?xml version="1.0" encoding="UTF-8" ?&gt;
&lt;results&gt;
&lt;query&gt;神奈川県横浜市西区浅間台&lt;/query&gt;
&lt;geodetic&gt;wgs1984&lt;/geodetic&gt;
&lt;iConf&gt;5&lt;/iConf&gt;
&lt;converted&gt;神奈川県横浜市西区浅間台&lt;/converted&gt;
&lt;candidate&gt;
&lt;address&gt;神奈川県/横浜市/西区/浅間台&lt;/address&gt;
&lt;longitude&gt;139.607620&lt;/longitude&gt;
&lt;latitude&gt;35.464432&lt;/latitude&gt;
&lt;iLvl&gt;5&lt;/iLvl&gt;
&lt;/candidate&gt;
&lt;/results&gt;
</v>
      </c>
      <c r="F177" cm="1">
        <f t="array" ref="F177">INDEX(_xlfn.FILTERXML(E177,"//latitude"),1)</f>
        <v>35.464432000000002</v>
      </c>
      <c r="G177" cm="1">
        <f t="array" ref="G177">INDEX(_xlfn.FILTERXML(E177,"//longitude"),1)</f>
        <v>139.60762</v>
      </c>
      <c r="H177">
        <v>35.464432000000002</v>
      </c>
      <c r="I177">
        <v>139.60762</v>
      </c>
    </row>
    <row r="178" spans="1:9" x14ac:dyDescent="0.4">
      <c r="A178" t="s">
        <v>24</v>
      </c>
      <c r="B178" t="s">
        <v>28</v>
      </c>
      <c r="C178" t="str">
        <f t="shared" si="22"/>
        <v>栃木県宇都宮市</v>
      </c>
      <c r="D178" s="2" t="str">
        <f t="shared" si="20"/>
        <v>http://geocode.csis.u-tokyo.ac.jp/cgi-bin/simple_geocode.cgi?charset=UTF8&amp;addr=%E6%A0%83%E6%9C%A8%E7%9C%8C%E5%AE%87%E9%83%BD%E5%AE%AE%E5%B8%82</v>
      </c>
      <c r="E178" t="str">
        <f t="shared" si="21"/>
        <v xml:space="preserve">&lt;?xml version="1.0" encoding="UTF-8" ?&gt;
&lt;results&gt;
&lt;query&gt;栃木県宇都宮市&lt;/query&gt;
&lt;geodetic&gt;wgs1984&lt;/geodetic&gt;
&lt;iConf&gt;5&lt;/iConf&gt;
&lt;converted&gt;栃木県宇都宮市&lt;/converted&gt;
&lt;candidate&gt;
&lt;address&gt;栃木県/宇都宮市&lt;/address&gt;
&lt;longitude&gt;139.882812&lt;/longitude&gt;
&lt;latitude&gt;36.555115&lt;/latitude&gt;
&lt;iLvl&gt;3&lt;/iLvl&gt;
&lt;/candidate&gt;
&lt;/results&gt;
</v>
      </c>
      <c r="F178" cm="1">
        <f t="array" ref="F178">INDEX(_xlfn.FILTERXML(E178,"//latitude"),1)</f>
        <v>36.555115000000001</v>
      </c>
      <c r="G178" cm="1">
        <f t="array" ref="G178">INDEX(_xlfn.FILTERXML(E178,"//longitude"),1)</f>
        <v>139.882812</v>
      </c>
      <c r="H178">
        <v>36.555115000000001</v>
      </c>
      <c r="I178">
        <v>139.882812</v>
      </c>
    </row>
    <row r="179" spans="1:9" x14ac:dyDescent="0.4">
      <c r="A179" t="s">
        <v>9</v>
      </c>
      <c r="B179" t="s">
        <v>220</v>
      </c>
      <c r="C179" t="str">
        <f t="shared" si="22"/>
        <v>東京都品川区西五反田</v>
      </c>
      <c r="D179" s="2" t="str">
        <f t="shared" si="20"/>
        <v>http://geocode.csis.u-tokyo.ac.jp/cgi-bin/simple_geocode.cgi?charset=UTF8&amp;addr=%E6%9D%B1%E4%BA%AC%E9%83%BD%E5%93%81%E5%B7%9D%E5%8C%BA%E8%A5%BF%E4%BA%94%E5%8F%8D%E7%94%B0</v>
      </c>
      <c r="E179" t="str">
        <f t="shared" si="21"/>
        <v xml:space="preserve">&lt;?xml version="1.0" encoding="UTF-8" ?&gt;
&lt;results&gt;
&lt;query&gt;東京都品川区西五反田&lt;/query&gt;
&lt;geodetic&gt;wgs1984&lt;/geodetic&gt;
&lt;iConf&gt;5&lt;/iConf&gt;
&lt;converted&gt;東京都品川区西五反田&lt;/converted&gt;
&lt;candidate&gt;
&lt;address&gt;東京都/品川区/西五反田&lt;/address&gt;
&lt;longitude&gt;139.723129&lt;/longitude&gt;
&lt;latitude&gt;35.624512&lt;/latitude&gt;
&lt;iLvl&gt;5&lt;/iLvl&gt;
&lt;/candidate&gt;
&lt;/results&gt;
</v>
      </c>
      <c r="F179" cm="1">
        <f t="array" ref="F179">INDEX(_xlfn.FILTERXML(E179,"//latitude"),1)</f>
        <v>35.624512000000003</v>
      </c>
      <c r="G179" cm="1">
        <f t="array" ref="G179">INDEX(_xlfn.FILTERXML(E179,"//longitude"),1)</f>
        <v>139.723129</v>
      </c>
      <c r="H179">
        <v>35.624512000000003</v>
      </c>
      <c r="I179">
        <v>139.723129</v>
      </c>
    </row>
    <row r="180" spans="1:9" x14ac:dyDescent="0.4">
      <c r="A180" t="s">
        <v>46</v>
      </c>
      <c r="B180" t="s">
        <v>47</v>
      </c>
      <c r="C180" t="str">
        <f t="shared" si="22"/>
        <v>宮崎県児湯郡川南町川南</v>
      </c>
      <c r="D180" s="2" t="str">
        <f t="shared" si="20"/>
        <v>http://geocode.csis.u-tokyo.ac.jp/cgi-bin/simple_geocode.cgi?charset=UTF8&amp;addr=%E5%AE%AE%E5%B4%8E%E7%9C%8C%E5%85%90%E6%B9%AF%E9%83%A1%E5%B7%9D%E5%8D%97%E7%94%BA%E5%B7%9D%E5%8D%97</v>
      </c>
      <c r="E180" t="str">
        <f t="shared" si="21"/>
        <v xml:space="preserve">&lt;?xml version="1.0" encoding="UTF-8" ?&gt;
&lt;results&gt;
&lt;query&gt;宮崎県児湯郡川南町川南&lt;/query&gt;
&lt;geodetic&gt;wgs1984&lt;/geodetic&gt;
&lt;iConf&gt;5&lt;/iConf&gt;
&lt;converted&gt;宮崎県児湯郡川南町川南&lt;/converted&gt;
&lt;candidate&gt;
&lt;address&gt;宮崎県/児湯郡/川南町/川南&lt;/address&gt;
&lt;longitude&gt;131.486862&lt;/longitude&gt;
&lt;latitude&gt;32.210018&lt;/latitude&gt;
&lt;iLvl&gt;5&lt;/iLvl&gt;
&lt;/candidate&gt;
&lt;/results&gt;
</v>
      </c>
      <c r="F180" cm="1">
        <f t="array" ref="F180">INDEX(_xlfn.FILTERXML(E180,"//latitude"),1)</f>
        <v>32.210017999999998</v>
      </c>
      <c r="G180" cm="1">
        <f t="array" ref="G180">INDEX(_xlfn.FILTERXML(E180,"//longitude"),1)</f>
        <v>131.486862</v>
      </c>
      <c r="H180">
        <v>32.210017999999998</v>
      </c>
      <c r="I180">
        <v>131.486862</v>
      </c>
    </row>
    <row r="181" spans="1:9" x14ac:dyDescent="0.4">
      <c r="A181" t="s">
        <v>12</v>
      </c>
      <c r="B181" t="s">
        <v>33</v>
      </c>
      <c r="C181" t="str">
        <f t="shared" si="22"/>
        <v>奈良県大和郡山市筒井町</v>
      </c>
      <c r="D181" s="2" t="str">
        <f t="shared" si="20"/>
        <v>http://geocode.csis.u-tokyo.ac.jp/cgi-bin/simple_geocode.cgi?charset=UTF8&amp;addr=%E5%A5%88%E8%89%AF%E7%9C%8C%E5%A4%A7%E5%92%8C%E9%83%A1%E5%B1%B1%E5%B8%82%E7%AD%92%E4%BA%95%E7%94%BA</v>
      </c>
      <c r="E181" t="str">
        <f t="shared" si="21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181" cm="1">
        <f t="array" ref="F181">INDEX(_xlfn.FILTERXML(E181,"//latitude"),1)</f>
        <v>34.623524000000003</v>
      </c>
      <c r="G181" cm="1">
        <f t="array" ref="G181">INDEX(_xlfn.FILTERXML(E181,"//longitude"),1)</f>
        <v>135.780609</v>
      </c>
      <c r="H181">
        <v>34.623524000000003</v>
      </c>
      <c r="I181">
        <v>135.780609</v>
      </c>
    </row>
    <row r="182" spans="1:9" x14ac:dyDescent="0.4">
      <c r="A182" t="s">
        <v>25</v>
      </c>
      <c r="B182" t="s">
        <v>34</v>
      </c>
      <c r="C182" t="str">
        <f t="shared" si="22"/>
        <v>香川県高松市郷東町</v>
      </c>
      <c r="D182" s="2" t="str">
        <f t="shared" si="20"/>
        <v>http://geocode.csis.u-tokyo.ac.jp/cgi-bin/simple_geocode.cgi?charset=UTF8&amp;addr=%E9%A6%99%E5%B7%9D%E7%9C%8C%E9%AB%98%E6%9D%BE%E5%B8%82%E9%83%B7%E6%9D%B1%E7%94%BA</v>
      </c>
      <c r="E182" t="str">
        <f t="shared" si="21"/>
        <v xml:space="preserve">&lt;?xml version="1.0" encoding="UTF-8" ?&gt;
&lt;results&gt;
&lt;query&gt;香川県高松市郷東町&lt;/query&gt;
&lt;geodetic&gt;wgs1984&lt;/geodetic&gt;
&lt;iConf&gt;5&lt;/iConf&gt;
&lt;converted&gt;香川県高松市郷東町&lt;/converted&gt;
&lt;candidate&gt;
&lt;address&gt;香川県/高松市/郷東町&lt;/address&gt;
&lt;longitude&gt;134.014984&lt;/longitude&gt;
&lt;latitude&gt;34.347263&lt;/latitude&gt;
&lt;iLvl&gt;5&lt;/iLvl&gt;
&lt;/candidate&gt;
&lt;/results&gt;
</v>
      </c>
      <c r="F182" cm="1">
        <f t="array" ref="F182">INDEX(_xlfn.FILTERXML(E182,"//latitude"),1)</f>
        <v>34.347262999999998</v>
      </c>
      <c r="G182" cm="1">
        <f t="array" ref="G182">INDEX(_xlfn.FILTERXML(E182,"//longitude"),1)</f>
        <v>134.014984</v>
      </c>
      <c r="H182">
        <v>34.347262999999998</v>
      </c>
      <c r="I182">
        <v>134.014984</v>
      </c>
    </row>
    <row r="183" spans="1:9" x14ac:dyDescent="0.4">
      <c r="A183" t="s">
        <v>10</v>
      </c>
      <c r="B183" t="s">
        <v>35</v>
      </c>
      <c r="C183" t="str">
        <f t="shared" si="22"/>
        <v>神奈川県川崎市川崎区池田</v>
      </c>
      <c r="D183" s="2" t="str">
        <f t="shared" si="20"/>
        <v>http://geocode.csis.u-tokyo.ac.jp/cgi-bin/simple_geocode.cgi?charset=UTF8&amp;addr=%E7%A5%9E%E5%A5%88%E5%B7%9D%E7%9C%8C%E5%B7%9D%E5%B4%8E%E5%B8%82%E5%B7%9D%E5%B4%8E%E5%8C%BA%E6%B1%A0%E7%94%B0</v>
      </c>
      <c r="E183" t="str">
        <f t="shared" si="21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183" cm="1">
        <f t="array" ref="F183">INDEX(_xlfn.FILTERXML(E183,"//latitude"),1)</f>
        <v>35.521529999999998</v>
      </c>
      <c r="G183" cm="1">
        <f t="array" ref="G183">INDEX(_xlfn.FILTERXML(E183,"//longitude"),1)</f>
        <v>139.691452</v>
      </c>
      <c r="H183">
        <v>35.521529999999998</v>
      </c>
      <c r="I183">
        <v>139.691452</v>
      </c>
    </row>
    <row r="184" spans="1:9" x14ac:dyDescent="0.4">
      <c r="A184" t="s">
        <v>11</v>
      </c>
      <c r="B184" t="s">
        <v>36</v>
      </c>
      <c r="C184" t="str">
        <f t="shared" si="22"/>
        <v>大阪府高槻市赤大路町</v>
      </c>
      <c r="D184" s="2" t="str">
        <f t="shared" si="20"/>
        <v>http://geocode.csis.u-tokyo.ac.jp/cgi-bin/simple_geocode.cgi?charset=UTF8&amp;addr=%E5%A4%A7%E9%98%AA%E5%BA%9C%E9%AB%98%E6%A7%BB%E5%B8%82%E8%B5%A4%E5%A4%A7%E8%B7%AF%E7%94%BA</v>
      </c>
      <c r="E184" t="str">
        <f t="shared" si="21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184" cm="1">
        <f t="array" ref="F184">INDEX(_xlfn.FILTERXML(E184,"//latitude"),1)</f>
        <v>34.835884</v>
      </c>
      <c r="G184" cm="1">
        <f t="array" ref="G184">INDEX(_xlfn.FILTERXML(E184,"//longitude"),1)</f>
        <v>135.58471700000001</v>
      </c>
      <c r="H184">
        <v>34.835884</v>
      </c>
      <c r="I184">
        <v>135.58471700000001</v>
      </c>
    </row>
    <row r="185" spans="1:9" x14ac:dyDescent="0.4">
      <c r="A185" t="s">
        <v>9</v>
      </c>
      <c r="B185" t="s">
        <v>37</v>
      </c>
      <c r="C185" t="str">
        <f t="shared" si="22"/>
        <v>東京都大田区久が原５丁目</v>
      </c>
      <c r="D185" s="2" t="str">
        <f t="shared" si="20"/>
        <v>http://geocode.csis.u-tokyo.ac.jp/cgi-bin/simple_geocode.cgi?charset=UTF8&amp;addr=%E6%9D%B1%E4%BA%AC%E9%83%BD%E5%A4%A7%E7%94%B0%E5%8C%BA%E4%B9%85%E3%81%8C%E5%8E%9F%EF%BC%95%E4%B8%81%E7%9B%AE</v>
      </c>
      <c r="E185" t="str">
        <f t="shared" si="21"/>
        <v xml:space="preserve">&lt;?xml version="1.0" encoding="UTF-8" ?&gt;
&lt;results&gt;
&lt;query&gt;東京都大田区久が原５丁目&lt;/query&gt;
&lt;geodetic&gt;wgs1984&lt;/geodetic&gt;
&lt;iConf&gt;5&lt;/iConf&gt;
&lt;converted&gt;東京都大田区久が原５丁目&lt;/converted&gt;
&lt;candidate&gt;
&lt;address&gt;東京都/大田区/久が原/五丁目&lt;/address&gt;
&lt;longitude&gt;139.697189&lt;/longitude&gt;
&lt;latitude&gt;35.576691&lt;/latitude&gt;
&lt;iLvl&gt;6&lt;/iLvl&gt;
&lt;/candidate&gt;
&lt;/results&gt;
</v>
      </c>
      <c r="F185" cm="1">
        <f t="array" ref="F185">INDEX(_xlfn.FILTERXML(E185,"//latitude"),1)</f>
        <v>35.576690999999997</v>
      </c>
      <c r="G185" cm="1">
        <f t="array" ref="G185">INDEX(_xlfn.FILTERXML(E185,"//longitude"),1)</f>
        <v>139.69718900000001</v>
      </c>
      <c r="H185">
        <v>35.576690999999997</v>
      </c>
      <c r="I185">
        <v>139.69718900000001</v>
      </c>
    </row>
    <row r="186" spans="1:9" x14ac:dyDescent="0.4">
      <c r="A186" t="s">
        <v>9</v>
      </c>
      <c r="B186" t="s">
        <v>32</v>
      </c>
      <c r="C186" t="str">
        <f t="shared" si="22"/>
        <v>東京都江戸川区</v>
      </c>
      <c r="D186" s="2" t="str">
        <f t="shared" si="20"/>
        <v>http://geocode.csis.u-tokyo.ac.jp/cgi-bin/simple_geocode.cgi?charset=UTF8&amp;addr=%E6%9D%B1%E4%BA%AC%E9%83%BD%E6%B1%9F%E6%88%B8%E5%B7%9D%E5%8C%BA</v>
      </c>
      <c r="E186" t="str">
        <f t="shared" si="21"/>
        <v xml:space="preserve">&lt;?xml version="1.0" encoding="UTF-8" ?&gt;
&lt;results&gt;
&lt;query&gt;東京都江戸川区&lt;/query&gt;
&lt;geodetic&gt;wgs1984&lt;/geodetic&gt;
&lt;iConf&gt;5&lt;/iConf&gt;
&lt;converted&gt;東京都江戸川区&lt;/converted&gt;
&lt;candidate&gt;
&lt;address&gt;東京都/江戸川区&lt;/address&gt;
&lt;longitude&gt;139.868317&lt;/longitude&gt;
&lt;latitude&gt;35.706650&lt;/latitude&gt;
&lt;iLvl&gt;3&lt;/iLvl&gt;
&lt;/candidate&gt;
&lt;/results&gt;
</v>
      </c>
      <c r="F186" cm="1">
        <f t="array" ref="F186">INDEX(_xlfn.FILTERXML(E186,"//latitude"),1)</f>
        <v>35.706650000000003</v>
      </c>
      <c r="G186" cm="1">
        <f t="array" ref="G186">INDEX(_xlfn.FILTERXML(E186,"//longitude"),1)</f>
        <v>139.86831699999999</v>
      </c>
      <c r="H186">
        <v>35.706650000000003</v>
      </c>
      <c r="I186">
        <v>139.86831699999999</v>
      </c>
    </row>
    <row r="187" spans="1:9" x14ac:dyDescent="0.4">
      <c r="A187" t="s">
        <v>43</v>
      </c>
      <c r="B187" t="s">
        <v>221</v>
      </c>
      <c r="C187" t="str">
        <f t="shared" si="22"/>
        <v>岩手県滝沢市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http://geocode.csis.u-tokyo.ac.jp/cgi-bin/simple_geocode.cgi?charset=UTF8&amp;addr=%E5%B2%A9%E6%89%8B%E7%9C%8C%E6%BB%9D%E6%B2%A2%E5%B8%82</v>
      </c>
      <c r="E187" t="str">
        <f t="shared" ref="E187:E250" si="24" xml:space="preserve"> _xlfn.WEBSERVICE(D187)</f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187" cm="1">
        <f t="array" ref="F187">INDEX(_xlfn.FILTERXML(E187,"//latitude"),1)</f>
        <v>39.734737000000003</v>
      </c>
      <c r="G187" cm="1">
        <f t="array" ref="G187">INDEX(_xlfn.FILTERXML(E187,"//longitude"),1)</f>
        <v>141.07707199999999</v>
      </c>
      <c r="H187">
        <v>39.734737000000003</v>
      </c>
      <c r="I187">
        <v>141.07707199999999</v>
      </c>
    </row>
    <row r="188" spans="1:9" x14ac:dyDescent="0.4">
      <c r="A188" t="s">
        <v>18</v>
      </c>
      <c r="B188" t="s">
        <v>222</v>
      </c>
      <c r="C188" t="str">
        <f t="shared" si="22"/>
        <v>千葉県市川市</v>
      </c>
      <c r="D188" s="2" t="str">
        <f t="shared" si="23"/>
        <v>http://geocode.csis.u-tokyo.ac.jp/cgi-bin/simple_geocode.cgi?charset=UTF8&amp;addr=%E5%8D%83%E8%91%89%E7%9C%8C%E5%B8%82%E5%B7%9D%E5%B8%82</v>
      </c>
      <c r="E188" t="str">
        <f t="shared" si="24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188" cm="1">
        <f t="array" ref="F188">INDEX(_xlfn.FILTERXML(E188,"//latitude"),1)</f>
        <v>35.721912000000003</v>
      </c>
      <c r="G188" cm="1">
        <f t="array" ref="G188">INDEX(_xlfn.FILTERXML(E188,"//longitude"),1)</f>
        <v>139.931015</v>
      </c>
      <c r="H188">
        <v>35.721912000000003</v>
      </c>
      <c r="I188">
        <v>139.931015</v>
      </c>
    </row>
    <row r="189" spans="1:9" x14ac:dyDescent="0.4">
      <c r="D189" s="2" t="str">
        <f t="shared" si="23"/>
        <v>http://geocode.csis.u-tokyo.ac.jp/cgi-bin/simple_geocode.cgi?charset=UTF8&amp;addr=</v>
      </c>
      <c r="E18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89" t="e" cm="1">
        <f t="array" ref="F189">INDEX(_xlfn.FILTERXML(E189,"//latitude"),1)</f>
        <v>#VALUE!</v>
      </c>
      <c r="G189" t="e" cm="1">
        <f t="array" ref="G189">INDEX(_xlfn.FILTERXML(E189,"//longitude"),1)</f>
        <v>#VALUE!</v>
      </c>
      <c r="H189">
        <v>33.100605000000002</v>
      </c>
      <c r="I189">
        <v>130.45863299999999</v>
      </c>
    </row>
    <row r="190" spans="1:9" x14ac:dyDescent="0.4">
      <c r="D190" s="2" t="str">
        <f t="shared" si="23"/>
        <v>http://geocode.csis.u-tokyo.ac.jp/cgi-bin/simple_geocode.cgi?charset=UTF8&amp;addr=</v>
      </c>
      <c r="E19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0" t="e" cm="1">
        <f t="array" ref="F190">INDEX(_xlfn.FILTERXML(E190,"//latitude"),1)</f>
        <v>#VALUE!</v>
      </c>
      <c r="G190" t="e" cm="1">
        <f t="array" ref="G190">INDEX(_xlfn.FILTERXML(E190,"//longitude"),1)</f>
        <v>#VALUE!</v>
      </c>
      <c r="H190">
        <v>39.388610999999997</v>
      </c>
      <c r="I190">
        <v>141.11685199999999</v>
      </c>
    </row>
    <row r="191" spans="1:9" x14ac:dyDescent="0.4">
      <c r="D191" s="2" t="str">
        <f t="shared" si="23"/>
        <v>http://geocode.csis.u-tokyo.ac.jp/cgi-bin/simple_geocode.cgi?charset=UTF8&amp;addr=</v>
      </c>
      <c r="E19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1" t="e" cm="1">
        <f t="array" ref="F191">INDEX(_xlfn.FILTERXML(E191,"//latitude"),1)</f>
        <v>#VALUE!</v>
      </c>
      <c r="G191" t="e" cm="1">
        <f t="array" ref="G191">INDEX(_xlfn.FILTERXML(E191,"//longitude"),1)</f>
        <v>#VALUE!</v>
      </c>
      <c r="H191">
        <v>35.725833999999999</v>
      </c>
      <c r="I191">
        <v>139.74362199999999</v>
      </c>
    </row>
    <row r="192" spans="1:9" x14ac:dyDescent="0.4">
      <c r="D192" s="2" t="str">
        <f t="shared" si="23"/>
        <v>http://geocode.csis.u-tokyo.ac.jp/cgi-bin/simple_geocode.cgi?charset=UTF8&amp;addr=</v>
      </c>
      <c r="E19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2" t="e" cm="1">
        <f t="array" ref="F192">INDEX(_xlfn.FILTERXML(E192,"//latitude"),1)</f>
        <v>#VALUE!</v>
      </c>
      <c r="G192" t="e" cm="1">
        <f t="array" ref="G192">INDEX(_xlfn.FILTERXML(E192,"//longitude"),1)</f>
        <v>#VALUE!</v>
      </c>
      <c r="H192">
        <v>34.707766999999997</v>
      </c>
      <c r="I192">
        <v>136.517731</v>
      </c>
    </row>
    <row r="193" spans="4:9" x14ac:dyDescent="0.4">
      <c r="D193" s="2" t="str">
        <f t="shared" si="23"/>
        <v>http://geocode.csis.u-tokyo.ac.jp/cgi-bin/simple_geocode.cgi?charset=UTF8&amp;addr=</v>
      </c>
      <c r="E19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3" t="e" cm="1">
        <f t="array" ref="F193">INDEX(_xlfn.FILTERXML(E193,"//latitude"),1)</f>
        <v>#VALUE!</v>
      </c>
      <c r="G193" t="e" cm="1">
        <f t="array" ref="G193">INDEX(_xlfn.FILTERXML(E193,"//longitude"),1)</f>
        <v>#VALUE!</v>
      </c>
      <c r="H193">
        <v>35.146191000000002</v>
      </c>
      <c r="I193">
        <v>136.87998999999999</v>
      </c>
    </row>
    <row r="194" spans="4:9" x14ac:dyDescent="0.4">
      <c r="D194" s="2" t="str">
        <f t="shared" si="23"/>
        <v>http://geocode.csis.u-tokyo.ac.jp/cgi-bin/simple_geocode.cgi?charset=UTF8&amp;addr=</v>
      </c>
      <c r="E19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4" t="e" cm="1">
        <f t="array" ref="F194">INDEX(_xlfn.FILTERXML(E194,"//latitude"),1)</f>
        <v>#VALUE!</v>
      </c>
      <c r="G194" t="e" cm="1">
        <f t="array" ref="G194">INDEX(_xlfn.FILTERXML(E194,"//longitude"),1)</f>
        <v>#VALUE!</v>
      </c>
      <c r="H194">
        <v>34.791454000000002</v>
      </c>
      <c r="I194">
        <v>135.505402</v>
      </c>
    </row>
    <row r="195" spans="4:9" x14ac:dyDescent="0.4">
      <c r="D195" s="2" t="str">
        <f t="shared" si="23"/>
        <v>http://geocode.csis.u-tokyo.ac.jp/cgi-bin/simple_geocode.cgi?charset=UTF8&amp;addr=</v>
      </c>
      <c r="E19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5" t="e" cm="1">
        <f t="array" ref="F195">INDEX(_xlfn.FILTERXML(E195,"//latitude"),1)</f>
        <v>#VALUE!</v>
      </c>
      <c r="G195" t="e" cm="1">
        <f t="array" ref="G195">INDEX(_xlfn.FILTERXML(E195,"//longitude"),1)</f>
        <v>#VALUE!</v>
      </c>
      <c r="H195">
        <v>35.646481000000001</v>
      </c>
      <c r="I195">
        <v>139.65321399999999</v>
      </c>
    </row>
    <row r="196" spans="4:9" x14ac:dyDescent="0.4">
      <c r="D196" s="2" t="str">
        <f t="shared" si="23"/>
        <v>http://geocode.csis.u-tokyo.ac.jp/cgi-bin/simple_geocode.cgi?charset=UTF8&amp;addr=</v>
      </c>
      <c r="E19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6" t="e" cm="1">
        <f t="array" ref="F196">INDEX(_xlfn.FILTERXML(E196,"//latitude"),1)</f>
        <v>#VALUE!</v>
      </c>
      <c r="G196" t="e" cm="1">
        <f t="array" ref="G196">INDEX(_xlfn.FILTERXML(E196,"//longitude"),1)</f>
        <v>#VALUE!</v>
      </c>
      <c r="H196">
        <v>35.977409000000002</v>
      </c>
      <c r="I196">
        <v>139.59320099999999</v>
      </c>
    </row>
    <row r="197" spans="4:9" x14ac:dyDescent="0.4">
      <c r="D197" s="2" t="str">
        <f t="shared" si="23"/>
        <v>http://geocode.csis.u-tokyo.ac.jp/cgi-bin/simple_geocode.cgi?charset=UTF8&amp;addr=</v>
      </c>
      <c r="E19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7" t="e" cm="1">
        <f t="array" ref="F197">INDEX(_xlfn.FILTERXML(E197,"//latitude"),1)</f>
        <v>#VALUE!</v>
      </c>
      <c r="G197" t="e" cm="1">
        <f t="array" ref="G197">INDEX(_xlfn.FILTERXML(E197,"//longitude"),1)</f>
        <v>#VALUE!</v>
      </c>
      <c r="H197">
        <v>35.683307999999997</v>
      </c>
      <c r="I197">
        <v>139.55987500000001</v>
      </c>
    </row>
    <row r="198" spans="4:9" x14ac:dyDescent="0.4">
      <c r="D198" s="2" t="str">
        <f t="shared" si="23"/>
        <v>http://geocode.csis.u-tokyo.ac.jp/cgi-bin/simple_geocode.cgi?charset=UTF8&amp;addr=</v>
      </c>
      <c r="E19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8" t="e" cm="1">
        <f t="array" ref="F198">INDEX(_xlfn.FILTERXML(E198,"//latitude"),1)</f>
        <v>#VALUE!</v>
      </c>
      <c r="G198" t="e" cm="1">
        <f t="array" ref="G198">INDEX(_xlfn.FILTERXML(E198,"//longitude"),1)</f>
        <v>#VALUE!</v>
      </c>
      <c r="H198">
        <v>36.302669999999999</v>
      </c>
      <c r="I198">
        <v>136.314682</v>
      </c>
    </row>
    <row r="199" spans="4:9" x14ac:dyDescent="0.4">
      <c r="D199" s="2" t="str">
        <f t="shared" si="23"/>
        <v>http://geocode.csis.u-tokyo.ac.jp/cgi-bin/simple_geocode.cgi?charset=UTF8&amp;addr=</v>
      </c>
      <c r="E19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199" t="e" cm="1">
        <f t="array" ref="F199">INDEX(_xlfn.FILTERXML(E199,"//latitude"),1)</f>
        <v>#VALUE!</v>
      </c>
      <c r="G199" t="e" cm="1">
        <f t="array" ref="G199">INDEX(_xlfn.FILTERXML(E199,"//longitude"),1)</f>
        <v>#VALUE!</v>
      </c>
      <c r="H199">
        <v>34.854336000000004</v>
      </c>
      <c r="I199">
        <v>136.60240200000001</v>
      </c>
    </row>
    <row r="200" spans="4:9" x14ac:dyDescent="0.4">
      <c r="D200" s="2" t="str">
        <f t="shared" si="23"/>
        <v>http://geocode.csis.u-tokyo.ac.jp/cgi-bin/simple_geocode.cgi?charset=UTF8&amp;addr=</v>
      </c>
      <c r="E20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0" t="e" cm="1">
        <f t="array" ref="F200">INDEX(_xlfn.FILTERXML(E200,"//latitude"),1)</f>
        <v>#VALUE!</v>
      </c>
      <c r="G200" t="e" cm="1">
        <f t="array" ref="G200">INDEX(_xlfn.FILTERXML(E200,"//longitude"),1)</f>
        <v>#VALUE!</v>
      </c>
      <c r="H200">
        <v>35.156281</v>
      </c>
      <c r="I200">
        <v>136.83461</v>
      </c>
    </row>
    <row r="201" spans="4:9" x14ac:dyDescent="0.4">
      <c r="D201" s="2" t="str">
        <f t="shared" si="23"/>
        <v>http://geocode.csis.u-tokyo.ac.jp/cgi-bin/simple_geocode.cgi?charset=UTF8&amp;addr=</v>
      </c>
      <c r="E20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1" t="e" cm="1">
        <f t="array" ref="F201">INDEX(_xlfn.FILTERXML(E201,"//latitude"),1)</f>
        <v>#VALUE!</v>
      </c>
      <c r="G201" t="e" cm="1">
        <f t="array" ref="G201">INDEX(_xlfn.FILTERXML(E201,"//longitude"),1)</f>
        <v>#VALUE!</v>
      </c>
      <c r="H201">
        <v>35.313828000000001</v>
      </c>
      <c r="I201">
        <v>136.01812699999999</v>
      </c>
    </row>
    <row r="202" spans="4:9" x14ac:dyDescent="0.4">
      <c r="D202" s="2" t="str">
        <f t="shared" si="23"/>
        <v>http://geocode.csis.u-tokyo.ac.jp/cgi-bin/simple_geocode.cgi?charset=UTF8&amp;addr=</v>
      </c>
      <c r="E20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2" t="e" cm="1">
        <f t="array" ref="F202">INDEX(_xlfn.FILTERXML(E202,"//latitude"),1)</f>
        <v>#VALUE!</v>
      </c>
      <c r="G202" t="e" cm="1">
        <f t="array" ref="G202">INDEX(_xlfn.FILTERXML(E202,"//longitude"),1)</f>
        <v>#VALUE!</v>
      </c>
      <c r="H202">
        <v>34.825428000000002</v>
      </c>
      <c r="I202">
        <v>135.30084199999999</v>
      </c>
    </row>
    <row r="203" spans="4:9" x14ac:dyDescent="0.4">
      <c r="D203" s="2" t="str">
        <f t="shared" si="23"/>
        <v>http://geocode.csis.u-tokyo.ac.jp/cgi-bin/simple_geocode.cgi?charset=UTF8&amp;addr=</v>
      </c>
      <c r="E20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3" t="e" cm="1">
        <f t="array" ref="F203">INDEX(_xlfn.FILTERXML(E203,"//latitude"),1)</f>
        <v>#VALUE!</v>
      </c>
      <c r="G203" t="e" cm="1">
        <f t="array" ref="G203">INDEX(_xlfn.FILTERXML(E203,"//longitude"),1)</f>
        <v>#VALUE!</v>
      </c>
      <c r="H203">
        <v>35.832332999999998</v>
      </c>
      <c r="I203">
        <v>140.14576700000001</v>
      </c>
    </row>
    <row r="204" spans="4:9" x14ac:dyDescent="0.4">
      <c r="D204" s="2" t="str">
        <f t="shared" si="23"/>
        <v>http://geocode.csis.u-tokyo.ac.jp/cgi-bin/simple_geocode.cgi?charset=UTF8&amp;addr=</v>
      </c>
      <c r="E20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4" t="e" cm="1">
        <f t="array" ref="F204">INDEX(_xlfn.FILTERXML(E204,"//latitude"),1)</f>
        <v>#VALUE!</v>
      </c>
      <c r="G204" t="e" cm="1">
        <f t="array" ref="G204">INDEX(_xlfn.FILTERXML(E204,"//longitude"),1)</f>
        <v>#VALUE!</v>
      </c>
      <c r="H204">
        <v>35.772781000000002</v>
      </c>
      <c r="I204">
        <v>139.946136</v>
      </c>
    </row>
    <row r="205" spans="4:9" x14ac:dyDescent="0.4">
      <c r="D205" s="2" t="str">
        <f t="shared" si="23"/>
        <v>http://geocode.csis.u-tokyo.ac.jp/cgi-bin/simple_geocode.cgi?charset=UTF8&amp;addr=</v>
      </c>
      <c r="E20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5" t="e" cm="1">
        <f t="array" ref="F205">INDEX(_xlfn.FILTERXML(E205,"//latitude"),1)</f>
        <v>#VALUE!</v>
      </c>
      <c r="G205" t="e" cm="1">
        <f t="array" ref="G205">INDEX(_xlfn.FILTERXML(E205,"//longitude"),1)</f>
        <v>#VALUE!</v>
      </c>
      <c r="H205">
        <v>35.584750999999997</v>
      </c>
      <c r="I205">
        <v>139.593445</v>
      </c>
    </row>
    <row r="206" spans="4:9" x14ac:dyDescent="0.4">
      <c r="D206" s="2" t="str">
        <f t="shared" si="23"/>
        <v>http://geocode.csis.u-tokyo.ac.jp/cgi-bin/simple_geocode.cgi?charset=UTF8&amp;addr=</v>
      </c>
      <c r="E20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6" t="e" cm="1">
        <f t="array" ref="F206">INDEX(_xlfn.FILTERXML(E206,"//latitude"),1)</f>
        <v>#VALUE!</v>
      </c>
      <c r="G206" t="e" cm="1">
        <f t="array" ref="G206">INDEX(_xlfn.FILTERXML(E206,"//longitude"),1)</f>
        <v>#VALUE!</v>
      </c>
      <c r="H206">
        <v>33.919617000000002</v>
      </c>
      <c r="I206">
        <v>133.181183</v>
      </c>
    </row>
    <row r="207" spans="4:9" x14ac:dyDescent="0.4">
      <c r="D207" s="2" t="str">
        <f t="shared" si="23"/>
        <v>http://geocode.csis.u-tokyo.ac.jp/cgi-bin/simple_geocode.cgi?charset=UTF8&amp;addr=</v>
      </c>
      <c r="E20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7" t="e" cm="1">
        <f t="array" ref="F207">INDEX(_xlfn.FILTERXML(E207,"//latitude"),1)</f>
        <v>#VALUE!</v>
      </c>
      <c r="G207" t="e" cm="1">
        <f t="array" ref="G207">INDEX(_xlfn.FILTERXML(E207,"//longitude"),1)</f>
        <v>#VALUE!</v>
      </c>
      <c r="H207">
        <v>34.829856999999997</v>
      </c>
      <c r="I207">
        <v>135.36743200000001</v>
      </c>
    </row>
    <row r="208" spans="4:9" x14ac:dyDescent="0.4">
      <c r="D208" s="2" t="str">
        <f t="shared" si="23"/>
        <v>http://geocode.csis.u-tokyo.ac.jp/cgi-bin/simple_geocode.cgi?charset=UTF8&amp;addr=</v>
      </c>
      <c r="E20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8" t="e" cm="1">
        <f t="array" ref="F208">INDEX(_xlfn.FILTERXML(E208,"//latitude"),1)</f>
        <v>#VALUE!</v>
      </c>
      <c r="G208" t="e" cm="1">
        <f t="array" ref="G208">INDEX(_xlfn.FILTERXML(E208,"//longitude"),1)</f>
        <v>#VALUE!</v>
      </c>
      <c r="H208">
        <v>34.665688000000003</v>
      </c>
      <c r="I208">
        <v>135.150848</v>
      </c>
    </row>
    <row r="209" spans="4:9" x14ac:dyDescent="0.4">
      <c r="D209" s="2" t="str">
        <f t="shared" si="23"/>
        <v>http://geocode.csis.u-tokyo.ac.jp/cgi-bin/simple_geocode.cgi?charset=UTF8&amp;addr=</v>
      </c>
      <c r="E20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09" t="e" cm="1">
        <f t="array" ref="F209">INDEX(_xlfn.FILTERXML(E209,"//latitude"),1)</f>
        <v>#VALUE!</v>
      </c>
      <c r="G209" t="e" cm="1">
        <f t="array" ref="G209">INDEX(_xlfn.FILTERXML(E209,"//longitude"),1)</f>
        <v>#VALUE!</v>
      </c>
      <c r="H209">
        <v>34.657131</v>
      </c>
      <c r="I209">
        <v>135.09435999999999</v>
      </c>
    </row>
    <row r="210" spans="4:9" x14ac:dyDescent="0.4">
      <c r="D210" s="2" t="str">
        <f t="shared" si="23"/>
        <v>http://geocode.csis.u-tokyo.ac.jp/cgi-bin/simple_geocode.cgi?charset=UTF8&amp;addr=</v>
      </c>
      <c r="E21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0" t="e" cm="1">
        <f t="array" ref="F210">INDEX(_xlfn.FILTERXML(E210,"//latitude"),1)</f>
        <v>#VALUE!</v>
      </c>
      <c r="G210" t="e" cm="1">
        <f t="array" ref="G210">INDEX(_xlfn.FILTERXML(E210,"//longitude"),1)</f>
        <v>#VALUE!</v>
      </c>
      <c r="H210">
        <v>34.736809000000001</v>
      </c>
      <c r="I210">
        <v>135.57510400000001</v>
      </c>
    </row>
    <row r="211" spans="4:9" x14ac:dyDescent="0.4">
      <c r="D211" s="2" t="str">
        <f t="shared" si="23"/>
        <v>http://geocode.csis.u-tokyo.ac.jp/cgi-bin/simple_geocode.cgi?charset=UTF8&amp;addr=</v>
      </c>
      <c r="E21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1" t="e" cm="1">
        <f t="array" ref="F211">INDEX(_xlfn.FILTERXML(E211,"//latitude"),1)</f>
        <v>#VALUE!</v>
      </c>
      <c r="G211" t="e" cm="1">
        <f t="array" ref="G211">INDEX(_xlfn.FILTERXML(E211,"//longitude"),1)</f>
        <v>#VALUE!</v>
      </c>
      <c r="H211">
        <v>34.9482</v>
      </c>
      <c r="I211">
        <v>135.771469</v>
      </c>
    </row>
    <row r="212" spans="4:9" x14ac:dyDescent="0.4">
      <c r="D212" s="2" t="str">
        <f t="shared" si="23"/>
        <v>http://geocode.csis.u-tokyo.ac.jp/cgi-bin/simple_geocode.cgi?charset=UTF8&amp;addr=</v>
      </c>
      <c r="E21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2" t="e" cm="1">
        <f t="array" ref="F212">INDEX(_xlfn.FILTERXML(E212,"//latitude"),1)</f>
        <v>#VALUE!</v>
      </c>
      <c r="G212" t="e" cm="1">
        <f t="array" ref="G212">INDEX(_xlfn.FILTERXML(E212,"//longitude"),1)</f>
        <v>#VALUE!</v>
      </c>
      <c r="H212">
        <v>35.163071000000002</v>
      </c>
      <c r="I212">
        <v>136.95600899999999</v>
      </c>
    </row>
    <row r="213" spans="4:9" x14ac:dyDescent="0.4">
      <c r="D213" s="2" t="str">
        <f t="shared" si="23"/>
        <v>http://geocode.csis.u-tokyo.ac.jp/cgi-bin/simple_geocode.cgi?charset=UTF8&amp;addr=</v>
      </c>
      <c r="E21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3" t="e" cm="1">
        <f t="array" ref="F213">INDEX(_xlfn.FILTERXML(E213,"//latitude"),1)</f>
        <v>#VALUE!</v>
      </c>
      <c r="G213" t="e" cm="1">
        <f t="array" ref="G213">INDEX(_xlfn.FILTERXML(E213,"//longitude"),1)</f>
        <v>#VALUE!</v>
      </c>
      <c r="H213">
        <v>36.238093999999997</v>
      </c>
      <c r="I213">
        <v>137.97198499999999</v>
      </c>
    </row>
    <row r="214" spans="4:9" x14ac:dyDescent="0.4">
      <c r="D214" s="2" t="str">
        <f t="shared" si="23"/>
        <v>http://geocode.csis.u-tokyo.ac.jp/cgi-bin/simple_geocode.cgi?charset=UTF8&amp;addr=</v>
      </c>
      <c r="E21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4" t="e" cm="1">
        <f t="array" ref="F214">INDEX(_xlfn.FILTERXML(E214,"//latitude"),1)</f>
        <v>#VALUE!</v>
      </c>
      <c r="G214" t="e" cm="1">
        <f t="array" ref="G214">INDEX(_xlfn.FILTERXML(E214,"//longitude"),1)</f>
        <v>#VALUE!</v>
      </c>
      <c r="H214">
        <v>34.894298999999997</v>
      </c>
      <c r="I214">
        <v>137.502197</v>
      </c>
    </row>
    <row r="215" spans="4:9" x14ac:dyDescent="0.4">
      <c r="D215" s="2" t="str">
        <f t="shared" si="23"/>
        <v>http://geocode.csis.u-tokyo.ac.jp/cgi-bin/simple_geocode.cgi?charset=UTF8&amp;addr=</v>
      </c>
      <c r="E21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5" t="e" cm="1">
        <f t="array" ref="F215">INDEX(_xlfn.FILTERXML(E215,"//latitude"),1)</f>
        <v>#VALUE!</v>
      </c>
      <c r="G215" t="e" cm="1">
        <f t="array" ref="G215">INDEX(_xlfn.FILTERXML(E215,"//longitude"),1)</f>
        <v>#VALUE!</v>
      </c>
      <c r="H215">
        <v>34.890864999999998</v>
      </c>
      <c r="I215">
        <v>134.60691800000001</v>
      </c>
    </row>
    <row r="216" spans="4:9" x14ac:dyDescent="0.4">
      <c r="D216" s="2" t="str">
        <f t="shared" si="23"/>
        <v>http://geocode.csis.u-tokyo.ac.jp/cgi-bin/simple_geocode.cgi?charset=UTF8&amp;addr=</v>
      </c>
      <c r="E21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6" t="e" cm="1">
        <f t="array" ref="F216">INDEX(_xlfn.FILTERXML(E216,"//latitude"),1)</f>
        <v>#VALUE!</v>
      </c>
      <c r="G216" t="e" cm="1">
        <f t="array" ref="G216">INDEX(_xlfn.FILTERXML(E216,"//longitude"),1)</f>
        <v>#VALUE!</v>
      </c>
      <c r="H216">
        <v>34.710864999999998</v>
      </c>
      <c r="I216">
        <v>137.72612000000001</v>
      </c>
    </row>
    <row r="217" spans="4:9" x14ac:dyDescent="0.4">
      <c r="D217" s="2" t="str">
        <f t="shared" si="23"/>
        <v>http://geocode.csis.u-tokyo.ac.jp/cgi-bin/simple_geocode.cgi?charset=UTF8&amp;addr=</v>
      </c>
      <c r="E21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7" t="e" cm="1">
        <f t="array" ref="F217">INDEX(_xlfn.FILTERXML(E217,"//latitude"),1)</f>
        <v>#VALUE!</v>
      </c>
      <c r="G217" t="e" cm="1">
        <f t="array" ref="G217">INDEX(_xlfn.FILTERXML(E217,"//longitude"),1)</f>
        <v>#VALUE!</v>
      </c>
      <c r="H217">
        <v>35.659523</v>
      </c>
      <c r="I217">
        <v>139.78616299999999</v>
      </c>
    </row>
    <row r="218" spans="4:9" x14ac:dyDescent="0.4">
      <c r="D218" s="2" t="str">
        <f t="shared" si="23"/>
        <v>http://geocode.csis.u-tokyo.ac.jp/cgi-bin/simple_geocode.cgi?charset=UTF8&amp;addr=</v>
      </c>
      <c r="E21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8" t="e" cm="1">
        <f t="array" ref="F218">INDEX(_xlfn.FILTERXML(E218,"//latitude"),1)</f>
        <v>#VALUE!</v>
      </c>
      <c r="G218" t="e" cm="1">
        <f t="array" ref="G218">INDEX(_xlfn.FILTERXML(E218,"//longitude"),1)</f>
        <v>#VALUE!</v>
      </c>
      <c r="H218">
        <v>35.374802000000003</v>
      </c>
      <c r="I218">
        <v>139.21994000000001</v>
      </c>
    </row>
    <row r="219" spans="4:9" x14ac:dyDescent="0.4">
      <c r="D219" s="2" t="str">
        <f t="shared" si="23"/>
        <v>http://geocode.csis.u-tokyo.ac.jp/cgi-bin/simple_geocode.cgi?charset=UTF8&amp;addr=</v>
      </c>
      <c r="E21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19" t="e" cm="1">
        <f t="array" ref="F219">INDEX(_xlfn.FILTERXML(E219,"//latitude"),1)</f>
        <v>#VALUE!</v>
      </c>
      <c r="G219" t="e" cm="1">
        <f t="array" ref="G219">INDEX(_xlfn.FILTERXML(E219,"//longitude"),1)</f>
        <v>#VALUE!</v>
      </c>
      <c r="H219">
        <v>35.946055999999999</v>
      </c>
      <c r="I219">
        <v>139.881866</v>
      </c>
    </row>
    <row r="220" spans="4:9" x14ac:dyDescent="0.4">
      <c r="D220" s="2" t="str">
        <f t="shared" si="23"/>
        <v>http://geocode.csis.u-tokyo.ac.jp/cgi-bin/simple_geocode.cgi?charset=UTF8&amp;addr=</v>
      </c>
      <c r="E22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0" t="e" cm="1">
        <f t="array" ref="F220">INDEX(_xlfn.FILTERXML(E220,"//latitude"),1)</f>
        <v>#VALUE!</v>
      </c>
      <c r="G220" t="e" cm="1">
        <f t="array" ref="G220">INDEX(_xlfn.FILTERXML(E220,"//longitude"),1)</f>
        <v>#VALUE!</v>
      </c>
      <c r="H220">
        <v>34.732799999999997</v>
      </c>
      <c r="I220">
        <v>135.350876</v>
      </c>
    </row>
    <row r="221" spans="4:9" x14ac:dyDescent="0.4">
      <c r="D221" s="2" t="str">
        <f t="shared" si="23"/>
        <v>http://geocode.csis.u-tokyo.ac.jp/cgi-bin/simple_geocode.cgi?charset=UTF8&amp;addr=</v>
      </c>
      <c r="E22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1" t="e" cm="1">
        <f t="array" ref="F221">INDEX(_xlfn.FILTERXML(E221,"//latitude"),1)</f>
        <v>#VALUE!</v>
      </c>
      <c r="G221" t="e" cm="1">
        <f t="array" ref="G221">INDEX(_xlfn.FILTERXML(E221,"//longitude"),1)</f>
        <v>#VALUE!</v>
      </c>
      <c r="H221">
        <v>35.661037</v>
      </c>
      <c r="I221">
        <v>139.61114499999999</v>
      </c>
    </row>
    <row r="222" spans="4:9" x14ac:dyDescent="0.4">
      <c r="D222" s="2" t="str">
        <f t="shared" si="23"/>
        <v>http://geocode.csis.u-tokyo.ac.jp/cgi-bin/simple_geocode.cgi?charset=UTF8&amp;addr=</v>
      </c>
      <c r="E22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2" t="e" cm="1">
        <f t="array" ref="F222">INDEX(_xlfn.FILTERXML(E222,"//latitude"),1)</f>
        <v>#VALUE!</v>
      </c>
      <c r="G222" t="e" cm="1">
        <f t="array" ref="G222">INDEX(_xlfn.FILTERXML(E222,"//longitude"),1)</f>
        <v>#VALUE!</v>
      </c>
      <c r="H222">
        <v>38.268008999999999</v>
      </c>
      <c r="I222">
        <v>140.86961400000001</v>
      </c>
    </row>
    <row r="223" spans="4:9" x14ac:dyDescent="0.4">
      <c r="D223" s="2" t="str">
        <f t="shared" si="23"/>
        <v>http://geocode.csis.u-tokyo.ac.jp/cgi-bin/simple_geocode.cgi?charset=UTF8&amp;addr=</v>
      </c>
      <c r="E22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3" t="e" cm="1">
        <f t="array" ref="F223">INDEX(_xlfn.FILTERXML(E223,"//latitude"),1)</f>
        <v>#VALUE!</v>
      </c>
      <c r="G223" t="e" cm="1">
        <f t="array" ref="G223">INDEX(_xlfn.FILTERXML(E223,"//longitude"),1)</f>
        <v>#VALUE!</v>
      </c>
      <c r="H223">
        <v>35.690227999999998</v>
      </c>
      <c r="I223">
        <v>139.49568199999999</v>
      </c>
    </row>
    <row r="224" spans="4:9" x14ac:dyDescent="0.4">
      <c r="D224" s="2" t="str">
        <f t="shared" si="23"/>
        <v>http://geocode.csis.u-tokyo.ac.jp/cgi-bin/simple_geocode.cgi?charset=UTF8&amp;addr=</v>
      </c>
      <c r="E22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4" t="e" cm="1">
        <f t="array" ref="F224">INDEX(_xlfn.FILTERXML(E224,"//latitude"),1)</f>
        <v>#VALUE!</v>
      </c>
      <c r="G224" t="e" cm="1">
        <f t="array" ref="G224">INDEX(_xlfn.FILTERXML(E224,"//longitude"),1)</f>
        <v>#VALUE!</v>
      </c>
      <c r="H224">
        <v>35.55283</v>
      </c>
      <c r="I224">
        <v>139.537094</v>
      </c>
    </row>
    <row r="225" spans="4:9" x14ac:dyDescent="0.4">
      <c r="D225" s="2" t="str">
        <f t="shared" si="23"/>
        <v>http://geocode.csis.u-tokyo.ac.jp/cgi-bin/simple_geocode.cgi?charset=UTF8&amp;addr=</v>
      </c>
      <c r="E22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5" t="e" cm="1">
        <f t="array" ref="F225">INDEX(_xlfn.FILTERXML(E225,"//latitude"),1)</f>
        <v>#VALUE!</v>
      </c>
      <c r="G225" t="e" cm="1">
        <f t="array" ref="G225">INDEX(_xlfn.FILTERXML(E225,"//longitude"),1)</f>
        <v>#VALUE!</v>
      </c>
      <c r="H225">
        <v>35.738602</v>
      </c>
      <c r="I225">
        <v>139.32673600000001</v>
      </c>
    </row>
    <row r="226" spans="4:9" x14ac:dyDescent="0.4">
      <c r="D226" s="2" t="str">
        <f t="shared" si="23"/>
        <v>http://geocode.csis.u-tokyo.ac.jp/cgi-bin/simple_geocode.cgi?charset=UTF8&amp;addr=</v>
      </c>
      <c r="E22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6" t="e" cm="1">
        <f t="array" ref="F226">INDEX(_xlfn.FILTERXML(E226,"//latitude"),1)</f>
        <v>#VALUE!</v>
      </c>
      <c r="G226" t="e" cm="1">
        <f t="array" ref="G226">INDEX(_xlfn.FILTERXML(E226,"//longitude"),1)</f>
        <v>#VALUE!</v>
      </c>
      <c r="H226">
        <v>34.608494</v>
      </c>
      <c r="I226">
        <v>133.947205</v>
      </c>
    </row>
    <row r="227" spans="4:9" x14ac:dyDescent="0.4">
      <c r="D227" s="2" t="str">
        <f t="shared" si="23"/>
        <v>http://geocode.csis.u-tokyo.ac.jp/cgi-bin/simple_geocode.cgi?charset=UTF8&amp;addr=</v>
      </c>
      <c r="E22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7" t="e" cm="1">
        <f t="array" ref="F227">INDEX(_xlfn.FILTERXML(E227,"//latitude"),1)</f>
        <v>#VALUE!</v>
      </c>
      <c r="G227" t="e" cm="1">
        <f t="array" ref="G227">INDEX(_xlfn.FILTERXML(E227,"//longitude"),1)</f>
        <v>#VALUE!</v>
      </c>
      <c r="H227">
        <v>34.386654</v>
      </c>
      <c r="I227">
        <v>132.461502</v>
      </c>
    </row>
    <row r="228" spans="4:9" x14ac:dyDescent="0.4">
      <c r="D228" s="2" t="str">
        <f t="shared" si="23"/>
        <v>http://geocode.csis.u-tokyo.ac.jp/cgi-bin/simple_geocode.cgi?charset=UTF8&amp;addr=</v>
      </c>
      <c r="E22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8" t="e" cm="1">
        <f t="array" ref="F228">INDEX(_xlfn.FILTERXML(E228,"//latitude"),1)</f>
        <v>#VALUE!</v>
      </c>
      <c r="G228" t="e" cm="1">
        <f t="array" ref="G228">INDEX(_xlfn.FILTERXML(E228,"//longitude"),1)</f>
        <v>#VALUE!</v>
      </c>
      <c r="H228">
        <v>35.697871999999997</v>
      </c>
      <c r="I228">
        <v>139.74697900000001</v>
      </c>
    </row>
    <row r="229" spans="4:9" x14ac:dyDescent="0.4">
      <c r="D229" s="2" t="str">
        <f t="shared" si="23"/>
        <v>http://geocode.csis.u-tokyo.ac.jp/cgi-bin/simple_geocode.cgi?charset=UTF8&amp;addr=</v>
      </c>
      <c r="E22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29" t="e" cm="1">
        <f t="array" ref="F229">INDEX(_xlfn.FILTERXML(E229,"//latitude"),1)</f>
        <v>#VALUE!</v>
      </c>
      <c r="G229" t="e" cm="1">
        <f t="array" ref="G229">INDEX(_xlfn.FILTERXML(E229,"//longitude"),1)</f>
        <v>#VALUE!</v>
      </c>
      <c r="H229">
        <v>42.987675000000003</v>
      </c>
      <c r="I229">
        <v>141.314301</v>
      </c>
    </row>
    <row r="230" spans="4:9" x14ac:dyDescent="0.4">
      <c r="D230" s="2" t="str">
        <f t="shared" si="23"/>
        <v>http://geocode.csis.u-tokyo.ac.jp/cgi-bin/simple_geocode.cgi?charset=UTF8&amp;addr=</v>
      </c>
      <c r="E23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0" t="e" cm="1">
        <f t="array" ref="F230">INDEX(_xlfn.FILTERXML(E230,"//latitude"),1)</f>
        <v>#VALUE!</v>
      </c>
      <c r="G230" t="e" cm="1">
        <f t="array" ref="G230">INDEX(_xlfn.FILTERXML(E230,"//longitude"),1)</f>
        <v>#VALUE!</v>
      </c>
      <c r="H230">
        <v>35.433525000000003</v>
      </c>
      <c r="I230">
        <v>139.59738200000001</v>
      </c>
    </row>
    <row r="231" spans="4:9" x14ac:dyDescent="0.4">
      <c r="D231" s="2" t="str">
        <f t="shared" si="23"/>
        <v>http://geocode.csis.u-tokyo.ac.jp/cgi-bin/simple_geocode.cgi?charset=UTF8&amp;addr=</v>
      </c>
      <c r="E23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1" t="e" cm="1">
        <f t="array" ref="F231">INDEX(_xlfn.FILTERXML(E231,"//latitude"),1)</f>
        <v>#VALUE!</v>
      </c>
      <c r="G231" t="e" cm="1">
        <f t="array" ref="G231">INDEX(_xlfn.FILTERXML(E231,"//longitude"),1)</f>
        <v>#VALUE!</v>
      </c>
      <c r="H231">
        <v>43.066650000000003</v>
      </c>
      <c r="I231">
        <v>141.33682300000001</v>
      </c>
    </row>
    <row r="232" spans="4:9" x14ac:dyDescent="0.4">
      <c r="D232" s="2" t="str">
        <f t="shared" si="23"/>
        <v>http://geocode.csis.u-tokyo.ac.jp/cgi-bin/simple_geocode.cgi?charset=UTF8&amp;addr=</v>
      </c>
      <c r="E23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2" t="e" cm="1">
        <f t="array" ref="F232">INDEX(_xlfn.FILTERXML(E232,"//latitude"),1)</f>
        <v>#VALUE!</v>
      </c>
      <c r="G232" t="e" cm="1">
        <f t="array" ref="G232">INDEX(_xlfn.FILTERXML(E232,"//longitude"),1)</f>
        <v>#VALUE!</v>
      </c>
      <c r="H232">
        <v>35.092872999999997</v>
      </c>
      <c r="I232">
        <v>137.013138</v>
      </c>
    </row>
    <row r="233" spans="4:9" x14ac:dyDescent="0.4">
      <c r="D233" s="2" t="str">
        <f t="shared" si="23"/>
        <v>http://geocode.csis.u-tokyo.ac.jp/cgi-bin/simple_geocode.cgi?charset=UTF8&amp;addr=</v>
      </c>
      <c r="E23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3" t="e" cm="1">
        <f t="array" ref="F233">INDEX(_xlfn.FILTERXML(E233,"//latitude"),1)</f>
        <v>#VALUE!</v>
      </c>
      <c r="G233" t="e" cm="1">
        <f t="array" ref="G233">INDEX(_xlfn.FILTERXML(E233,"//longitude"),1)</f>
        <v>#VALUE!</v>
      </c>
      <c r="H233">
        <v>35.647598000000002</v>
      </c>
      <c r="I233">
        <v>139.73773199999999</v>
      </c>
    </row>
    <row r="234" spans="4:9" x14ac:dyDescent="0.4">
      <c r="D234" s="2" t="str">
        <f t="shared" si="23"/>
        <v>http://geocode.csis.u-tokyo.ac.jp/cgi-bin/simple_geocode.cgi?charset=UTF8&amp;addr=</v>
      </c>
      <c r="E23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4" t="e" cm="1">
        <f t="array" ref="F234">INDEX(_xlfn.FILTERXML(E234,"//latitude"),1)</f>
        <v>#VALUE!</v>
      </c>
      <c r="G234" t="e" cm="1">
        <f t="array" ref="G234">INDEX(_xlfn.FILTERXML(E234,"//longitude"),1)</f>
        <v>#VALUE!</v>
      </c>
      <c r="H234">
        <v>35.771675000000002</v>
      </c>
      <c r="I234">
        <v>139.66551200000001</v>
      </c>
    </row>
    <row r="235" spans="4:9" x14ac:dyDescent="0.4">
      <c r="D235" s="2" t="str">
        <f t="shared" si="23"/>
        <v>http://geocode.csis.u-tokyo.ac.jp/cgi-bin/simple_geocode.cgi?charset=UTF8&amp;addr=</v>
      </c>
      <c r="E23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5" t="e" cm="1">
        <f t="array" ref="F235">INDEX(_xlfn.FILTERXML(E235,"//latitude"),1)</f>
        <v>#VALUE!</v>
      </c>
      <c r="G235" t="e" cm="1">
        <f t="array" ref="G235">INDEX(_xlfn.FILTERXML(E235,"//longitude"),1)</f>
        <v>#VALUE!</v>
      </c>
      <c r="H235">
        <v>34.485928000000001</v>
      </c>
      <c r="I235">
        <v>133.362335</v>
      </c>
    </row>
    <row r="236" spans="4:9" x14ac:dyDescent="0.4">
      <c r="D236" s="2" t="str">
        <f t="shared" si="23"/>
        <v>http://geocode.csis.u-tokyo.ac.jp/cgi-bin/simple_geocode.cgi?charset=UTF8&amp;addr=</v>
      </c>
      <c r="E23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6" t="e" cm="1">
        <f t="array" ref="F236">INDEX(_xlfn.FILTERXML(E236,"//latitude"),1)</f>
        <v>#VALUE!</v>
      </c>
      <c r="G236" t="e" cm="1">
        <f t="array" ref="G236">INDEX(_xlfn.FILTERXML(E236,"//longitude"),1)</f>
        <v>#VALUE!</v>
      </c>
      <c r="H236">
        <v>34.467650999999996</v>
      </c>
      <c r="I236">
        <v>135.37519800000001</v>
      </c>
    </row>
    <row r="237" spans="4:9" x14ac:dyDescent="0.4">
      <c r="D237" s="2" t="str">
        <f t="shared" si="23"/>
        <v>http://geocode.csis.u-tokyo.ac.jp/cgi-bin/simple_geocode.cgi?charset=UTF8&amp;addr=</v>
      </c>
      <c r="E23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7" t="e" cm="1">
        <f t="array" ref="F237">INDEX(_xlfn.FILTERXML(E237,"//latitude"),1)</f>
        <v>#VALUE!</v>
      </c>
      <c r="G237" t="e" cm="1">
        <f t="array" ref="G237">INDEX(_xlfn.FILTERXML(E237,"//longitude"),1)</f>
        <v>#VALUE!</v>
      </c>
      <c r="H237">
        <v>34.624397000000002</v>
      </c>
      <c r="I237">
        <v>135.58819600000001</v>
      </c>
    </row>
    <row r="238" spans="4:9" x14ac:dyDescent="0.4">
      <c r="D238" s="2" t="str">
        <f t="shared" si="23"/>
        <v>http://geocode.csis.u-tokyo.ac.jp/cgi-bin/simple_geocode.cgi?charset=UTF8&amp;addr=</v>
      </c>
      <c r="E23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8" t="e" cm="1">
        <f t="array" ref="F238">INDEX(_xlfn.FILTERXML(E238,"//latitude"),1)</f>
        <v>#VALUE!</v>
      </c>
      <c r="G238" t="e" cm="1">
        <f t="array" ref="G238">INDEX(_xlfn.FILTERXML(E238,"//longitude"),1)</f>
        <v>#VALUE!</v>
      </c>
      <c r="H238">
        <v>34.737487999999999</v>
      </c>
      <c r="I238">
        <v>135.354736</v>
      </c>
    </row>
    <row r="239" spans="4:9" x14ac:dyDescent="0.4">
      <c r="D239" s="2" t="str">
        <f t="shared" si="23"/>
        <v>http://geocode.csis.u-tokyo.ac.jp/cgi-bin/simple_geocode.cgi?charset=UTF8&amp;addr=</v>
      </c>
      <c r="E23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39" t="e" cm="1">
        <f t="array" ref="F239">INDEX(_xlfn.FILTERXML(E239,"//latitude"),1)</f>
        <v>#VALUE!</v>
      </c>
      <c r="G239" t="e" cm="1">
        <f t="array" ref="G239">INDEX(_xlfn.FILTERXML(E239,"//longitude"),1)</f>
        <v>#VALUE!</v>
      </c>
      <c r="H239">
        <v>36.590164000000001</v>
      </c>
      <c r="I239">
        <v>136.67825300000001</v>
      </c>
    </row>
    <row r="240" spans="4:9" x14ac:dyDescent="0.4">
      <c r="D240" s="2" t="str">
        <f t="shared" si="23"/>
        <v>http://geocode.csis.u-tokyo.ac.jp/cgi-bin/simple_geocode.cgi?charset=UTF8&amp;addr=</v>
      </c>
      <c r="E24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0" t="e" cm="1">
        <f t="array" ref="F240">INDEX(_xlfn.FILTERXML(E240,"//latitude"),1)</f>
        <v>#VALUE!</v>
      </c>
      <c r="G240" t="e" cm="1">
        <f t="array" ref="G240">INDEX(_xlfn.FILTERXML(E240,"//longitude"),1)</f>
        <v>#VALUE!</v>
      </c>
      <c r="H240">
        <v>35.495403000000003</v>
      </c>
      <c r="I240">
        <v>139.63493299999999</v>
      </c>
    </row>
    <row r="241" spans="4:9" x14ac:dyDescent="0.4">
      <c r="D241" s="2" t="str">
        <f t="shared" si="23"/>
        <v>http://geocode.csis.u-tokyo.ac.jp/cgi-bin/simple_geocode.cgi?charset=UTF8&amp;addr=</v>
      </c>
      <c r="E241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1" t="e" cm="1">
        <f t="array" ref="F241">INDEX(_xlfn.FILTERXML(E241,"//latitude"),1)</f>
        <v>#VALUE!</v>
      </c>
      <c r="G241" t="e" cm="1">
        <f t="array" ref="G241">INDEX(_xlfn.FILTERXML(E241,"//longitude"),1)</f>
        <v>#VALUE!</v>
      </c>
      <c r="H241">
        <v>36.561050000000002</v>
      </c>
      <c r="I241">
        <v>136.656631</v>
      </c>
    </row>
    <row r="242" spans="4:9" x14ac:dyDescent="0.4">
      <c r="D242" s="2" t="str">
        <f t="shared" si="23"/>
        <v>http://geocode.csis.u-tokyo.ac.jp/cgi-bin/simple_geocode.cgi?charset=UTF8&amp;addr=</v>
      </c>
      <c r="E242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2" t="e" cm="1">
        <f t="array" ref="F242">INDEX(_xlfn.FILTERXML(E242,"//latitude"),1)</f>
        <v>#VALUE!</v>
      </c>
      <c r="G242" t="e" cm="1">
        <f t="array" ref="G242">INDEX(_xlfn.FILTERXML(E242,"//longitude"),1)</f>
        <v>#VALUE!</v>
      </c>
      <c r="H242">
        <v>35.564982999999998</v>
      </c>
      <c r="I242">
        <v>139.47674599999999</v>
      </c>
    </row>
    <row r="243" spans="4:9" x14ac:dyDescent="0.4">
      <c r="D243" s="2" t="str">
        <f t="shared" si="23"/>
        <v>http://geocode.csis.u-tokyo.ac.jp/cgi-bin/simple_geocode.cgi?charset=UTF8&amp;addr=</v>
      </c>
      <c r="E243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3" t="e" cm="1">
        <f t="array" ref="F243">INDEX(_xlfn.FILTERXML(E243,"//latitude"),1)</f>
        <v>#VALUE!</v>
      </c>
      <c r="G243" t="e" cm="1">
        <f t="array" ref="G243">INDEX(_xlfn.FILTERXML(E243,"//longitude"),1)</f>
        <v>#VALUE!</v>
      </c>
      <c r="H243">
        <v>42.468699999999998</v>
      </c>
      <c r="I243">
        <v>140.869675</v>
      </c>
    </row>
    <row r="244" spans="4:9" x14ac:dyDescent="0.4">
      <c r="D244" s="2" t="str">
        <f t="shared" si="23"/>
        <v>http://geocode.csis.u-tokyo.ac.jp/cgi-bin/simple_geocode.cgi?charset=UTF8&amp;addr=</v>
      </c>
      <c r="E244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4" t="e" cm="1">
        <f t="array" ref="F244">INDEX(_xlfn.FILTERXML(E244,"//latitude"),1)</f>
        <v>#VALUE!</v>
      </c>
      <c r="G244" t="e" cm="1">
        <f t="array" ref="G244">INDEX(_xlfn.FILTERXML(E244,"//longitude"),1)</f>
        <v>#VALUE!</v>
      </c>
      <c r="H244">
        <v>35.751559999999998</v>
      </c>
      <c r="I244">
        <v>139.65885900000001</v>
      </c>
    </row>
    <row r="245" spans="4:9" x14ac:dyDescent="0.4">
      <c r="D245" s="2" t="str">
        <f t="shared" si="23"/>
        <v>http://geocode.csis.u-tokyo.ac.jp/cgi-bin/simple_geocode.cgi?charset=UTF8&amp;addr=</v>
      </c>
      <c r="E245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5" t="e" cm="1">
        <f t="array" ref="F245">INDEX(_xlfn.FILTERXML(E245,"//latitude"),1)</f>
        <v>#VALUE!</v>
      </c>
      <c r="G245" t="e" cm="1">
        <f t="array" ref="G245">INDEX(_xlfn.FILTERXML(E245,"//longitude"),1)</f>
        <v>#VALUE!</v>
      </c>
      <c r="H245">
        <v>35.425949000000003</v>
      </c>
      <c r="I245">
        <v>139.611603</v>
      </c>
    </row>
    <row r="246" spans="4:9" x14ac:dyDescent="0.4">
      <c r="D246" s="2" t="str">
        <f t="shared" si="23"/>
        <v>http://geocode.csis.u-tokyo.ac.jp/cgi-bin/simple_geocode.cgi?charset=UTF8&amp;addr=</v>
      </c>
      <c r="E246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6" t="e" cm="1">
        <f t="array" ref="F246">INDEX(_xlfn.FILTERXML(E246,"//latitude"),1)</f>
        <v>#VALUE!</v>
      </c>
      <c r="G246" t="e" cm="1">
        <f t="array" ref="G246">INDEX(_xlfn.FILTERXML(E246,"//longitude"),1)</f>
        <v>#VALUE!</v>
      </c>
      <c r="H246">
        <v>36.542999000000002</v>
      </c>
      <c r="I246">
        <v>136.646545</v>
      </c>
    </row>
    <row r="247" spans="4:9" x14ac:dyDescent="0.4">
      <c r="D247" s="2" t="str">
        <f t="shared" si="23"/>
        <v>http://geocode.csis.u-tokyo.ac.jp/cgi-bin/simple_geocode.cgi?charset=UTF8&amp;addr=</v>
      </c>
      <c r="E247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7" t="e" cm="1">
        <f t="array" ref="F247">INDEX(_xlfn.FILTERXML(E247,"//latitude"),1)</f>
        <v>#VALUE!</v>
      </c>
      <c r="G247" t="e" cm="1">
        <f t="array" ref="G247">INDEX(_xlfn.FILTERXML(E247,"//longitude"),1)</f>
        <v>#VALUE!</v>
      </c>
      <c r="H247">
        <v>34.561988999999997</v>
      </c>
      <c r="I247">
        <v>135.45713799999999</v>
      </c>
    </row>
    <row r="248" spans="4:9" x14ac:dyDescent="0.4">
      <c r="D248" s="2" t="str">
        <f t="shared" si="23"/>
        <v>http://geocode.csis.u-tokyo.ac.jp/cgi-bin/simple_geocode.cgi?charset=UTF8&amp;addr=</v>
      </c>
      <c r="E248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8" t="e" cm="1">
        <f t="array" ref="F248">INDEX(_xlfn.FILTERXML(E248,"//latitude"),1)</f>
        <v>#VALUE!</v>
      </c>
      <c r="G248" t="e" cm="1">
        <f t="array" ref="G248">INDEX(_xlfn.FILTERXML(E248,"//longitude"),1)</f>
        <v>#VALUE!</v>
      </c>
      <c r="H248">
        <v>34.428516000000002</v>
      </c>
      <c r="I248">
        <v>135.76663199999999</v>
      </c>
    </row>
    <row r="249" spans="4:9" x14ac:dyDescent="0.4">
      <c r="D249" s="2" t="str">
        <f t="shared" si="23"/>
        <v>http://geocode.csis.u-tokyo.ac.jp/cgi-bin/simple_geocode.cgi?charset=UTF8&amp;addr=</v>
      </c>
      <c r="E249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49" t="e" cm="1">
        <f t="array" ref="F249">INDEX(_xlfn.FILTERXML(E249,"//latitude"),1)</f>
        <v>#VALUE!</v>
      </c>
      <c r="G249" t="e" cm="1">
        <f t="array" ref="G249">INDEX(_xlfn.FILTERXML(E249,"//longitude"),1)</f>
        <v>#VALUE!</v>
      </c>
      <c r="H249">
        <v>34.653790000000001</v>
      </c>
      <c r="I249">
        <v>129.45622299999999</v>
      </c>
    </row>
    <row r="250" spans="4:9" x14ac:dyDescent="0.4">
      <c r="D250" s="2" t="str">
        <f t="shared" si="23"/>
        <v>http://geocode.csis.u-tokyo.ac.jp/cgi-bin/simple_geocode.cgi?charset=UTF8&amp;addr=</v>
      </c>
      <c r="E250" t="str">
        <f t="shared" si="24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0" t="e" cm="1">
        <f t="array" ref="F250">INDEX(_xlfn.FILTERXML(E250,"//latitude"),1)</f>
        <v>#VALUE!</v>
      </c>
      <c r="G250" t="e" cm="1">
        <f t="array" ref="G250">INDEX(_xlfn.FILTERXML(E250,"//longitude"),1)</f>
        <v>#VALUE!</v>
      </c>
      <c r="H250">
        <v>34.700561999999998</v>
      </c>
      <c r="I250">
        <v>135.497513</v>
      </c>
    </row>
    <row r="251" spans="4:9" x14ac:dyDescent="0.4">
      <c r="D251" s="2" t="str">
        <f t="shared" ref="D251:D314" si="25" xml:space="preserve"> "http://geocode.csis.u-tokyo.ac.jp/cgi-bin/simple_geocode.cgi?charset=UTF8&amp;addr=" &amp; _xlfn.ENCODEURL(C251)</f>
        <v>http://geocode.csis.u-tokyo.ac.jp/cgi-bin/simple_geocode.cgi?charset=UTF8&amp;addr=</v>
      </c>
      <c r="E251" t="str">
        <f t="shared" ref="E251:E314" si="26" xml:space="preserve"> _xlfn.WEBSERVICE(D251)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251" t="e" cm="1">
        <f t="array" ref="F251">INDEX(_xlfn.FILTERXML(E251,"//latitude"),1)</f>
        <v>#VALUE!</v>
      </c>
      <c r="G251" t="e" cm="1">
        <f t="array" ref="G251">INDEX(_xlfn.FILTERXML(E251,"//longitude"),1)</f>
        <v>#VALUE!</v>
      </c>
      <c r="H251">
        <v>35.646481000000001</v>
      </c>
      <c r="I251">
        <v>139.65321399999999</v>
      </c>
    </row>
    <row r="252" spans="4:9" x14ac:dyDescent="0.4">
      <c r="D252" s="2" t="str">
        <f t="shared" si="25"/>
        <v>http://geocode.csis.u-tokyo.ac.jp/cgi-bin/simple_geocode.cgi?charset=UTF8&amp;addr=</v>
      </c>
      <c r="E25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2" t="e" cm="1">
        <f t="array" ref="F252">INDEX(_xlfn.FILTERXML(E252,"//latitude"),1)</f>
        <v>#VALUE!</v>
      </c>
      <c r="G252" t="e" cm="1">
        <f t="array" ref="G252">INDEX(_xlfn.FILTERXML(E252,"//longitude"),1)</f>
        <v>#VALUE!</v>
      </c>
      <c r="H252">
        <v>35.694004</v>
      </c>
      <c r="I252">
        <v>139.75363200000001</v>
      </c>
    </row>
    <row r="253" spans="4:9" x14ac:dyDescent="0.4">
      <c r="D253" s="2" t="str">
        <f t="shared" si="25"/>
        <v>http://geocode.csis.u-tokyo.ac.jp/cgi-bin/simple_geocode.cgi?charset=UTF8&amp;addr=</v>
      </c>
      <c r="E25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3" t="e" cm="1">
        <f t="array" ref="F253">INDEX(_xlfn.FILTERXML(E253,"//latitude"),1)</f>
        <v>#VALUE!</v>
      </c>
      <c r="G253" t="e" cm="1">
        <f t="array" ref="G253">INDEX(_xlfn.FILTERXML(E253,"//longitude"),1)</f>
        <v>#VALUE!</v>
      </c>
      <c r="H253">
        <v>36.325642000000002</v>
      </c>
      <c r="I253">
        <v>138.869675</v>
      </c>
    </row>
    <row r="254" spans="4:9" x14ac:dyDescent="0.4">
      <c r="D254" s="2" t="str">
        <f t="shared" si="25"/>
        <v>http://geocode.csis.u-tokyo.ac.jp/cgi-bin/simple_geocode.cgi?charset=UTF8&amp;addr=</v>
      </c>
      <c r="E25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4" t="e" cm="1">
        <f t="array" ref="F254">INDEX(_xlfn.FILTERXML(E254,"//latitude"),1)</f>
        <v>#VALUE!</v>
      </c>
      <c r="G254" t="e" cm="1">
        <f t="array" ref="G254">INDEX(_xlfn.FILTERXML(E254,"//longitude"),1)</f>
        <v>#VALUE!</v>
      </c>
      <c r="H254">
        <v>34.241875</v>
      </c>
      <c r="I254">
        <v>135.187805</v>
      </c>
    </row>
    <row r="255" spans="4:9" x14ac:dyDescent="0.4">
      <c r="D255" s="2" t="str">
        <f t="shared" si="25"/>
        <v>http://geocode.csis.u-tokyo.ac.jp/cgi-bin/simple_geocode.cgi?charset=UTF8&amp;addr=</v>
      </c>
      <c r="E25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5" t="e" cm="1">
        <f t="array" ref="F255">INDEX(_xlfn.FILTERXML(E255,"//latitude"),1)</f>
        <v>#VALUE!</v>
      </c>
      <c r="G255" t="e" cm="1">
        <f t="array" ref="G255">INDEX(_xlfn.FILTERXML(E255,"//longitude"),1)</f>
        <v>#VALUE!</v>
      </c>
      <c r="H255">
        <v>35.689048999999997</v>
      </c>
      <c r="I255">
        <v>140.02499399999999</v>
      </c>
    </row>
    <row r="256" spans="4:9" x14ac:dyDescent="0.4">
      <c r="D256" s="2" t="str">
        <f t="shared" si="25"/>
        <v>http://geocode.csis.u-tokyo.ac.jp/cgi-bin/simple_geocode.cgi?charset=UTF8&amp;addr=</v>
      </c>
      <c r="E25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6" t="e" cm="1">
        <f t="array" ref="F256">INDEX(_xlfn.FILTERXML(E256,"//latitude"),1)</f>
        <v>#VALUE!</v>
      </c>
      <c r="G256" t="e" cm="1">
        <f t="array" ref="G256">INDEX(_xlfn.FILTERXML(E256,"//longitude"),1)</f>
        <v>#VALUE!</v>
      </c>
      <c r="H256">
        <v>35.655642999999998</v>
      </c>
      <c r="I256">
        <v>139.700638</v>
      </c>
    </row>
    <row r="257" spans="4:9" x14ac:dyDescent="0.4">
      <c r="D257" s="2" t="str">
        <f t="shared" si="25"/>
        <v>http://geocode.csis.u-tokyo.ac.jp/cgi-bin/simple_geocode.cgi?charset=UTF8&amp;addr=</v>
      </c>
      <c r="E25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7" t="e" cm="1">
        <f t="array" ref="F257">INDEX(_xlfn.FILTERXML(E257,"//latitude"),1)</f>
        <v>#VALUE!</v>
      </c>
      <c r="G257" t="e" cm="1">
        <f t="array" ref="G257">INDEX(_xlfn.FILTERXML(E257,"//longitude"),1)</f>
        <v>#VALUE!</v>
      </c>
      <c r="H257">
        <v>35.501133000000003</v>
      </c>
      <c r="I257">
        <v>134.23509200000001</v>
      </c>
    </row>
    <row r="258" spans="4:9" x14ac:dyDescent="0.4">
      <c r="D258" s="2" t="str">
        <f t="shared" si="25"/>
        <v>http://geocode.csis.u-tokyo.ac.jp/cgi-bin/simple_geocode.cgi?charset=UTF8&amp;addr=</v>
      </c>
      <c r="E25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8" t="e" cm="1">
        <f t="array" ref="F258">INDEX(_xlfn.FILTERXML(E258,"//latitude"),1)</f>
        <v>#VALUE!</v>
      </c>
      <c r="G258" t="e" cm="1">
        <f t="array" ref="G258">INDEX(_xlfn.FILTERXML(E258,"//longitude"),1)</f>
        <v>#VALUE!</v>
      </c>
      <c r="H258">
        <v>35.728287000000002</v>
      </c>
      <c r="I258">
        <v>139.930893</v>
      </c>
    </row>
    <row r="259" spans="4:9" x14ac:dyDescent="0.4">
      <c r="D259" s="2" t="str">
        <f t="shared" si="25"/>
        <v>http://geocode.csis.u-tokyo.ac.jp/cgi-bin/simple_geocode.cgi?charset=UTF8&amp;addr=</v>
      </c>
      <c r="E25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59" t="e" cm="1">
        <f t="array" ref="F259">INDEX(_xlfn.FILTERXML(E259,"//latitude"),1)</f>
        <v>#VALUE!</v>
      </c>
      <c r="G259" t="e" cm="1">
        <f t="array" ref="G259">INDEX(_xlfn.FILTERXML(E259,"//longitude"),1)</f>
        <v>#VALUE!</v>
      </c>
      <c r="H259">
        <v>40.512279999999997</v>
      </c>
      <c r="I259">
        <v>141.48840300000001</v>
      </c>
    </row>
    <row r="260" spans="4:9" x14ac:dyDescent="0.4">
      <c r="D260" s="2" t="str">
        <f t="shared" si="25"/>
        <v>http://geocode.csis.u-tokyo.ac.jp/cgi-bin/simple_geocode.cgi?charset=UTF8&amp;addr=</v>
      </c>
      <c r="E26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0" t="e" cm="1">
        <f t="array" ref="F260">INDEX(_xlfn.FILTERXML(E260,"//latitude"),1)</f>
        <v>#VALUE!</v>
      </c>
      <c r="G260" t="e" cm="1">
        <f t="array" ref="G260">INDEX(_xlfn.FILTERXML(E260,"//longitude"),1)</f>
        <v>#VALUE!</v>
      </c>
      <c r="H260">
        <v>34.684348999999997</v>
      </c>
      <c r="I260">
        <v>134.93396000000001</v>
      </c>
    </row>
    <row r="261" spans="4:9" x14ac:dyDescent="0.4">
      <c r="D261" s="2" t="str">
        <f t="shared" si="25"/>
        <v>http://geocode.csis.u-tokyo.ac.jp/cgi-bin/simple_geocode.cgi?charset=UTF8&amp;addr=</v>
      </c>
      <c r="E26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1" t="e" cm="1">
        <f t="array" ref="F261">INDEX(_xlfn.FILTERXML(E261,"//latitude"),1)</f>
        <v>#VALUE!</v>
      </c>
      <c r="G261" t="e" cm="1">
        <f t="array" ref="G261">INDEX(_xlfn.FILTERXML(E261,"//longitude"),1)</f>
        <v>#VALUE!</v>
      </c>
      <c r="H261">
        <v>35.661366000000001</v>
      </c>
      <c r="I261">
        <v>139.877365</v>
      </c>
    </row>
    <row r="262" spans="4:9" x14ac:dyDescent="0.4">
      <c r="D262" s="2" t="str">
        <f t="shared" si="25"/>
        <v>http://geocode.csis.u-tokyo.ac.jp/cgi-bin/simple_geocode.cgi?charset=UTF8&amp;addr=</v>
      </c>
      <c r="E26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2" t="e" cm="1">
        <f t="array" ref="F262">INDEX(_xlfn.FILTERXML(E262,"//latitude"),1)</f>
        <v>#VALUE!</v>
      </c>
      <c r="G262" t="e" cm="1">
        <f t="array" ref="G262">INDEX(_xlfn.FILTERXML(E262,"//longitude"),1)</f>
        <v>#VALUE!</v>
      </c>
      <c r="H262">
        <v>34.232731000000001</v>
      </c>
      <c r="I262">
        <v>135.41021699999999</v>
      </c>
    </row>
    <row r="263" spans="4:9" x14ac:dyDescent="0.4">
      <c r="D263" s="2" t="str">
        <f t="shared" si="25"/>
        <v>http://geocode.csis.u-tokyo.ac.jp/cgi-bin/simple_geocode.cgi?charset=UTF8&amp;addr=</v>
      </c>
      <c r="E26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3" t="e" cm="1">
        <f t="array" ref="F263">INDEX(_xlfn.FILTERXML(E263,"//latitude"),1)</f>
        <v>#VALUE!</v>
      </c>
      <c r="G263" t="e" cm="1">
        <f t="array" ref="G263">INDEX(_xlfn.FILTERXML(E263,"//longitude"),1)</f>
        <v>#VALUE!</v>
      </c>
      <c r="H263">
        <v>34.715167999999998</v>
      </c>
      <c r="I263">
        <v>136.92993200000001</v>
      </c>
    </row>
    <row r="264" spans="4:9" x14ac:dyDescent="0.4">
      <c r="D264" s="2" t="str">
        <f t="shared" si="25"/>
        <v>http://geocode.csis.u-tokyo.ac.jp/cgi-bin/simple_geocode.cgi?charset=UTF8&amp;addr=</v>
      </c>
      <c r="E26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4" t="e" cm="1">
        <f t="array" ref="F264">INDEX(_xlfn.FILTERXML(E264,"//latitude"),1)</f>
        <v>#VALUE!</v>
      </c>
      <c r="G264" t="e" cm="1">
        <f t="array" ref="G264">INDEX(_xlfn.FILTERXML(E264,"//longitude"),1)</f>
        <v>#VALUE!</v>
      </c>
      <c r="H264">
        <v>32.803108000000002</v>
      </c>
      <c r="I264">
        <v>130.71800200000001</v>
      </c>
    </row>
    <row r="265" spans="4:9" x14ac:dyDescent="0.4">
      <c r="D265" s="2" t="str">
        <f t="shared" si="25"/>
        <v>http://geocode.csis.u-tokyo.ac.jp/cgi-bin/simple_geocode.cgi?charset=UTF8&amp;addr=</v>
      </c>
      <c r="E26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5" t="e" cm="1">
        <f t="array" ref="F265">INDEX(_xlfn.FILTERXML(E265,"//latitude"),1)</f>
        <v>#VALUE!</v>
      </c>
      <c r="G265" t="e" cm="1">
        <f t="array" ref="G265">INDEX(_xlfn.FILTERXML(E265,"//longitude"),1)</f>
        <v>#VALUE!</v>
      </c>
      <c r="H265">
        <v>35.567936000000003</v>
      </c>
      <c r="I265">
        <v>139.55787699999999</v>
      </c>
    </row>
    <row r="266" spans="4:9" x14ac:dyDescent="0.4">
      <c r="D266" s="2" t="str">
        <f t="shared" si="25"/>
        <v>http://geocode.csis.u-tokyo.ac.jp/cgi-bin/simple_geocode.cgi?charset=UTF8&amp;addr=</v>
      </c>
      <c r="E26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6" t="e" cm="1">
        <f t="array" ref="F266">INDEX(_xlfn.FILTERXML(E266,"//latitude"),1)</f>
        <v>#VALUE!</v>
      </c>
      <c r="G266" t="e" cm="1">
        <f t="array" ref="G266">INDEX(_xlfn.FILTERXML(E266,"//longitude"),1)</f>
        <v>#VALUE!</v>
      </c>
      <c r="H266">
        <v>35.685921</v>
      </c>
      <c r="I266">
        <v>139.72860700000001</v>
      </c>
    </row>
    <row r="267" spans="4:9" x14ac:dyDescent="0.4">
      <c r="D267" s="2" t="str">
        <f t="shared" si="25"/>
        <v>http://geocode.csis.u-tokyo.ac.jp/cgi-bin/simple_geocode.cgi?charset=UTF8&amp;addr=</v>
      </c>
      <c r="E26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7" t="e" cm="1">
        <f t="array" ref="F267">INDEX(_xlfn.FILTERXML(E267,"//latitude"),1)</f>
        <v>#VALUE!</v>
      </c>
      <c r="G267" t="e" cm="1">
        <f t="array" ref="G267">INDEX(_xlfn.FILTERXML(E267,"//longitude"),1)</f>
        <v>#VALUE!</v>
      </c>
      <c r="H267">
        <v>35.668163</v>
      </c>
      <c r="I267">
        <v>139.65330499999999</v>
      </c>
    </row>
    <row r="268" spans="4:9" x14ac:dyDescent="0.4">
      <c r="D268" s="2" t="str">
        <f t="shared" si="25"/>
        <v>http://geocode.csis.u-tokyo.ac.jp/cgi-bin/simple_geocode.cgi?charset=UTF8&amp;addr=</v>
      </c>
      <c r="E26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8" t="e" cm="1">
        <f t="array" ref="F268">INDEX(_xlfn.FILTERXML(E268,"//latitude"),1)</f>
        <v>#VALUE!</v>
      </c>
      <c r="G268" t="e" cm="1">
        <f t="array" ref="G268">INDEX(_xlfn.FILTERXML(E268,"//longitude"),1)</f>
        <v>#VALUE!</v>
      </c>
      <c r="H268">
        <v>34.857452000000002</v>
      </c>
      <c r="I268">
        <v>135.69278</v>
      </c>
    </row>
    <row r="269" spans="4:9" x14ac:dyDescent="0.4">
      <c r="D269" s="2" t="str">
        <f t="shared" si="25"/>
        <v>http://geocode.csis.u-tokyo.ac.jp/cgi-bin/simple_geocode.cgi?charset=UTF8&amp;addr=</v>
      </c>
      <c r="E26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69" t="e" cm="1">
        <f t="array" ref="F269">INDEX(_xlfn.FILTERXML(E269,"//latitude"),1)</f>
        <v>#VALUE!</v>
      </c>
      <c r="G269" t="e" cm="1">
        <f t="array" ref="G269">INDEX(_xlfn.FILTERXML(E269,"//longitude"),1)</f>
        <v>#VALUE!</v>
      </c>
      <c r="H269">
        <v>35.503287999999998</v>
      </c>
      <c r="I269">
        <v>139.44250500000001</v>
      </c>
    </row>
    <row r="270" spans="4:9" x14ac:dyDescent="0.4">
      <c r="D270" s="2" t="str">
        <f t="shared" si="25"/>
        <v>http://geocode.csis.u-tokyo.ac.jp/cgi-bin/simple_geocode.cgi?charset=UTF8&amp;addr=</v>
      </c>
      <c r="E27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0" t="e" cm="1">
        <f t="array" ref="F270">INDEX(_xlfn.FILTERXML(E270,"//latitude"),1)</f>
        <v>#VALUE!</v>
      </c>
      <c r="G270" t="e" cm="1">
        <f t="array" ref="G270">INDEX(_xlfn.FILTERXML(E270,"//longitude"),1)</f>
        <v>#VALUE!</v>
      </c>
      <c r="H270">
        <v>35.122886999999999</v>
      </c>
      <c r="I270">
        <v>136.807602</v>
      </c>
    </row>
    <row r="271" spans="4:9" x14ac:dyDescent="0.4">
      <c r="D271" s="2" t="str">
        <f t="shared" si="25"/>
        <v>http://geocode.csis.u-tokyo.ac.jp/cgi-bin/simple_geocode.cgi?charset=UTF8&amp;addr=</v>
      </c>
      <c r="E27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1" t="e" cm="1">
        <f t="array" ref="F271">INDEX(_xlfn.FILTERXML(E271,"//latitude"),1)</f>
        <v>#VALUE!</v>
      </c>
      <c r="G271" t="e" cm="1">
        <f t="array" ref="G271">INDEX(_xlfn.FILTERXML(E271,"//longitude"),1)</f>
        <v>#VALUE!</v>
      </c>
      <c r="H271">
        <v>35.759354000000002</v>
      </c>
      <c r="I271">
        <v>139.436981</v>
      </c>
    </row>
    <row r="272" spans="4:9" x14ac:dyDescent="0.4">
      <c r="D272" s="2" t="str">
        <f t="shared" si="25"/>
        <v>http://geocode.csis.u-tokyo.ac.jp/cgi-bin/simple_geocode.cgi?charset=UTF8&amp;addr=</v>
      </c>
      <c r="E27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2" t="e" cm="1">
        <f t="array" ref="F272">INDEX(_xlfn.FILTERXML(E272,"//latitude"),1)</f>
        <v>#VALUE!</v>
      </c>
      <c r="G272" t="e" cm="1">
        <f t="array" ref="G272">INDEX(_xlfn.FILTERXML(E272,"//longitude"),1)</f>
        <v>#VALUE!</v>
      </c>
      <c r="H272">
        <v>34.955993999999997</v>
      </c>
      <c r="I272">
        <v>136.57809399999999</v>
      </c>
    </row>
    <row r="273" spans="4:9" x14ac:dyDescent="0.4">
      <c r="D273" s="2" t="str">
        <f t="shared" si="25"/>
        <v>http://geocode.csis.u-tokyo.ac.jp/cgi-bin/simple_geocode.cgi?charset=UTF8&amp;addr=</v>
      </c>
      <c r="E27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3" t="e" cm="1">
        <f t="array" ref="F273">INDEX(_xlfn.FILTERXML(E273,"//latitude"),1)</f>
        <v>#VALUE!</v>
      </c>
      <c r="G273" t="e" cm="1">
        <f t="array" ref="G273">INDEX(_xlfn.FILTERXML(E273,"//longitude"),1)</f>
        <v>#VALUE!</v>
      </c>
      <c r="H273">
        <v>35.597110999999998</v>
      </c>
      <c r="I273">
        <v>139.347748</v>
      </c>
    </row>
    <row r="274" spans="4:9" x14ac:dyDescent="0.4">
      <c r="D274" s="2" t="str">
        <f t="shared" si="25"/>
        <v>http://geocode.csis.u-tokyo.ac.jp/cgi-bin/simple_geocode.cgi?charset=UTF8&amp;addr=</v>
      </c>
      <c r="E27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4" t="e" cm="1">
        <f t="array" ref="F274">INDEX(_xlfn.FILTERXML(E274,"//latitude"),1)</f>
        <v>#VALUE!</v>
      </c>
      <c r="G274" t="e" cm="1">
        <f t="array" ref="G274">INDEX(_xlfn.FILTERXML(E274,"//longitude"),1)</f>
        <v>#VALUE!</v>
      </c>
      <c r="H274">
        <v>35.475296</v>
      </c>
      <c r="I274">
        <v>139.45678699999999</v>
      </c>
    </row>
    <row r="275" spans="4:9" x14ac:dyDescent="0.4">
      <c r="D275" s="2" t="str">
        <f t="shared" si="25"/>
        <v>http://geocode.csis.u-tokyo.ac.jp/cgi-bin/simple_geocode.cgi?charset=UTF8&amp;addr=</v>
      </c>
      <c r="E27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5" t="e" cm="1">
        <f t="array" ref="F275">INDEX(_xlfn.FILTERXML(E275,"//latitude"),1)</f>
        <v>#VALUE!</v>
      </c>
      <c r="G275" t="e" cm="1">
        <f t="array" ref="G275">INDEX(_xlfn.FILTERXML(E275,"//longitude"),1)</f>
        <v>#VALUE!</v>
      </c>
      <c r="H275">
        <v>34.665680000000002</v>
      </c>
      <c r="I275">
        <v>134.988235</v>
      </c>
    </row>
    <row r="276" spans="4:9" x14ac:dyDescent="0.4">
      <c r="D276" s="2" t="str">
        <f t="shared" si="25"/>
        <v>http://geocode.csis.u-tokyo.ac.jp/cgi-bin/simple_geocode.cgi?charset=UTF8&amp;addr=</v>
      </c>
      <c r="E27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6" t="e" cm="1">
        <f t="array" ref="F276">INDEX(_xlfn.FILTERXML(E276,"//latitude"),1)</f>
        <v>#VALUE!</v>
      </c>
      <c r="G276" t="e" cm="1">
        <f t="array" ref="G276">INDEX(_xlfn.FILTERXML(E276,"//longitude"),1)</f>
        <v>#VALUE!</v>
      </c>
      <c r="H276">
        <v>35.775157999999998</v>
      </c>
      <c r="I276">
        <v>139.52336099999999</v>
      </c>
    </row>
    <row r="277" spans="4:9" x14ac:dyDescent="0.4">
      <c r="D277" s="2" t="str">
        <f t="shared" si="25"/>
        <v>http://geocode.csis.u-tokyo.ac.jp/cgi-bin/simple_geocode.cgi?charset=UTF8&amp;addr=</v>
      </c>
      <c r="E27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7" t="e" cm="1">
        <f t="array" ref="F277">INDEX(_xlfn.FILTERXML(E277,"//latitude"),1)</f>
        <v>#VALUE!</v>
      </c>
      <c r="G277" t="e" cm="1">
        <f t="array" ref="G277">INDEX(_xlfn.FILTERXML(E277,"//longitude"),1)</f>
        <v>#VALUE!</v>
      </c>
      <c r="H277">
        <v>33.947558999999998</v>
      </c>
      <c r="I277">
        <v>133.29037500000001</v>
      </c>
    </row>
    <row r="278" spans="4:9" x14ac:dyDescent="0.4">
      <c r="D278" s="2" t="str">
        <f t="shared" si="25"/>
        <v>http://geocode.csis.u-tokyo.ac.jp/cgi-bin/simple_geocode.cgi?charset=UTF8&amp;addr=</v>
      </c>
      <c r="E27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8" t="e" cm="1">
        <f t="array" ref="F278">INDEX(_xlfn.FILTERXML(E278,"//latitude"),1)</f>
        <v>#VALUE!</v>
      </c>
      <c r="G278" t="e" cm="1">
        <f t="array" ref="G278">INDEX(_xlfn.FILTERXML(E278,"//longitude"),1)</f>
        <v>#VALUE!</v>
      </c>
      <c r="H278">
        <v>40.602966000000002</v>
      </c>
      <c r="I278">
        <v>140.46400499999999</v>
      </c>
    </row>
    <row r="279" spans="4:9" x14ac:dyDescent="0.4">
      <c r="D279" s="2" t="str">
        <f t="shared" si="25"/>
        <v>http://geocode.csis.u-tokyo.ac.jp/cgi-bin/simple_geocode.cgi?charset=UTF8&amp;addr=</v>
      </c>
      <c r="E27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79" t="e" cm="1">
        <f t="array" ref="F279">INDEX(_xlfn.FILTERXML(E279,"//latitude"),1)</f>
        <v>#VALUE!</v>
      </c>
      <c r="G279" t="e" cm="1">
        <f t="array" ref="G279">INDEX(_xlfn.FILTERXML(E279,"//longitude"),1)</f>
        <v>#VALUE!</v>
      </c>
      <c r="H279">
        <v>34.726844999999997</v>
      </c>
      <c r="I279">
        <v>135.366455</v>
      </c>
    </row>
    <row r="280" spans="4:9" x14ac:dyDescent="0.4">
      <c r="D280" s="2" t="str">
        <f t="shared" si="25"/>
        <v>http://geocode.csis.u-tokyo.ac.jp/cgi-bin/simple_geocode.cgi?charset=UTF8&amp;addr=</v>
      </c>
      <c r="E28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0" t="e" cm="1">
        <f t="array" ref="F280">INDEX(_xlfn.FILTERXML(E280,"//latitude"),1)</f>
        <v>#VALUE!</v>
      </c>
      <c r="G280" t="e" cm="1">
        <f t="array" ref="G280">INDEX(_xlfn.FILTERXML(E280,"//longitude"),1)</f>
        <v>#VALUE!</v>
      </c>
      <c r="H280">
        <v>34.852943000000003</v>
      </c>
      <c r="I280">
        <v>135.581467</v>
      </c>
    </row>
    <row r="281" spans="4:9" x14ac:dyDescent="0.4">
      <c r="D281" s="2" t="str">
        <f t="shared" si="25"/>
        <v>http://geocode.csis.u-tokyo.ac.jp/cgi-bin/simple_geocode.cgi?charset=UTF8&amp;addr=</v>
      </c>
      <c r="E28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1" t="e" cm="1">
        <f t="array" ref="F281">INDEX(_xlfn.FILTERXML(E281,"//latitude"),1)</f>
        <v>#VALUE!</v>
      </c>
      <c r="G281" t="e" cm="1">
        <f t="array" ref="G281">INDEX(_xlfn.FILTERXML(E281,"//longitude"),1)</f>
        <v>#VALUE!</v>
      </c>
      <c r="H281">
        <v>35.661064000000003</v>
      </c>
      <c r="I281">
        <v>139.37876900000001</v>
      </c>
    </row>
    <row r="282" spans="4:9" x14ac:dyDescent="0.4">
      <c r="D282" s="2" t="str">
        <f t="shared" si="25"/>
        <v>http://geocode.csis.u-tokyo.ac.jp/cgi-bin/simple_geocode.cgi?charset=UTF8&amp;addr=</v>
      </c>
      <c r="E28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2" t="e" cm="1">
        <f t="array" ref="F282">INDEX(_xlfn.FILTERXML(E282,"//latitude"),1)</f>
        <v>#VALUE!</v>
      </c>
      <c r="G282" t="e" cm="1">
        <f t="array" ref="G282">INDEX(_xlfn.FILTERXML(E282,"//longitude"),1)</f>
        <v>#VALUE!</v>
      </c>
      <c r="H282">
        <v>35.793495</v>
      </c>
      <c r="I282">
        <v>139.56532300000001</v>
      </c>
    </row>
    <row r="283" spans="4:9" x14ac:dyDescent="0.4">
      <c r="D283" s="2" t="str">
        <f t="shared" si="25"/>
        <v>http://geocode.csis.u-tokyo.ac.jp/cgi-bin/simple_geocode.cgi?charset=UTF8&amp;addr=</v>
      </c>
      <c r="E28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3" t="e" cm="1">
        <f t="array" ref="F283">INDEX(_xlfn.FILTERXML(E283,"//latitude"),1)</f>
        <v>#VALUE!</v>
      </c>
      <c r="G283" t="e" cm="1">
        <f t="array" ref="G283">INDEX(_xlfn.FILTERXML(E283,"//longitude"),1)</f>
        <v>#VALUE!</v>
      </c>
      <c r="H283">
        <v>35.340927000000001</v>
      </c>
      <c r="I283">
        <v>139.63353000000001</v>
      </c>
    </row>
    <row r="284" spans="4:9" x14ac:dyDescent="0.4">
      <c r="D284" s="2" t="str">
        <f t="shared" si="25"/>
        <v>http://geocode.csis.u-tokyo.ac.jp/cgi-bin/simple_geocode.cgi?charset=UTF8&amp;addr=</v>
      </c>
      <c r="E28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4" t="e" cm="1">
        <f t="array" ref="F284">INDEX(_xlfn.FILTERXML(E284,"//latitude"),1)</f>
        <v>#VALUE!</v>
      </c>
      <c r="G284" t="e" cm="1">
        <f t="array" ref="G284">INDEX(_xlfn.FILTERXML(E284,"//longitude"),1)</f>
        <v>#VALUE!</v>
      </c>
      <c r="H284">
        <v>35.495403000000003</v>
      </c>
      <c r="I284">
        <v>139.63493299999999</v>
      </c>
    </row>
    <row r="285" spans="4:9" x14ac:dyDescent="0.4">
      <c r="D285" s="2" t="str">
        <f t="shared" si="25"/>
        <v>http://geocode.csis.u-tokyo.ac.jp/cgi-bin/simple_geocode.cgi?charset=UTF8&amp;addr=</v>
      </c>
      <c r="E28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5" t="e" cm="1">
        <f t="array" ref="F285">INDEX(_xlfn.FILTERXML(E285,"//latitude"),1)</f>
        <v>#VALUE!</v>
      </c>
      <c r="G285" t="e" cm="1">
        <f t="array" ref="G285">INDEX(_xlfn.FILTERXML(E285,"//longitude"),1)</f>
        <v>#VALUE!</v>
      </c>
      <c r="H285">
        <v>36.551772999999997</v>
      </c>
      <c r="I285">
        <v>139.83895899999999</v>
      </c>
    </row>
    <row r="286" spans="4:9" x14ac:dyDescent="0.4">
      <c r="D286" s="2" t="str">
        <f t="shared" si="25"/>
        <v>http://geocode.csis.u-tokyo.ac.jp/cgi-bin/simple_geocode.cgi?charset=UTF8&amp;addr=</v>
      </c>
      <c r="E28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6" t="e" cm="1">
        <f t="array" ref="F286">INDEX(_xlfn.FILTERXML(E286,"//latitude"),1)</f>
        <v>#VALUE!</v>
      </c>
      <c r="G286" t="e" cm="1">
        <f t="array" ref="G286">INDEX(_xlfn.FILTERXML(E286,"//longitude"),1)</f>
        <v>#VALUE!</v>
      </c>
      <c r="H286">
        <v>34.632258999999998</v>
      </c>
      <c r="I286">
        <v>135.036224</v>
      </c>
    </row>
    <row r="287" spans="4:9" x14ac:dyDescent="0.4">
      <c r="D287" s="2" t="str">
        <f t="shared" si="25"/>
        <v>http://geocode.csis.u-tokyo.ac.jp/cgi-bin/simple_geocode.cgi?charset=UTF8&amp;addr=</v>
      </c>
      <c r="E28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7" t="e" cm="1">
        <f t="array" ref="F287">INDEX(_xlfn.FILTERXML(E287,"//latitude"),1)</f>
        <v>#VALUE!</v>
      </c>
      <c r="G287" t="e" cm="1">
        <f t="array" ref="G287">INDEX(_xlfn.FILTERXML(E287,"//longitude"),1)</f>
        <v>#VALUE!</v>
      </c>
      <c r="H287">
        <v>35.744292999999999</v>
      </c>
      <c r="I287">
        <v>140.02825899999999</v>
      </c>
    </row>
    <row r="288" spans="4:9" x14ac:dyDescent="0.4">
      <c r="D288" s="2" t="str">
        <f t="shared" si="25"/>
        <v>http://geocode.csis.u-tokyo.ac.jp/cgi-bin/simple_geocode.cgi?charset=UTF8&amp;addr=</v>
      </c>
      <c r="E28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8" t="e" cm="1">
        <f t="array" ref="F288">INDEX(_xlfn.FILTERXML(E288,"//latitude"),1)</f>
        <v>#VALUE!</v>
      </c>
      <c r="G288" t="e" cm="1">
        <f t="array" ref="G288">INDEX(_xlfn.FILTERXML(E288,"//longitude"),1)</f>
        <v>#VALUE!</v>
      </c>
      <c r="H288">
        <v>34.63261</v>
      </c>
      <c r="I288">
        <v>135.53299000000001</v>
      </c>
    </row>
    <row r="289" spans="4:9" x14ac:dyDescent="0.4">
      <c r="D289" s="2" t="str">
        <f t="shared" si="25"/>
        <v>http://geocode.csis.u-tokyo.ac.jp/cgi-bin/simple_geocode.cgi?charset=UTF8&amp;addr=</v>
      </c>
      <c r="E28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89" t="e" cm="1">
        <f t="array" ref="F289">INDEX(_xlfn.FILTERXML(E289,"//latitude"),1)</f>
        <v>#VALUE!</v>
      </c>
      <c r="G289" t="e" cm="1">
        <f t="array" ref="G289">INDEX(_xlfn.FILTERXML(E289,"//longitude"),1)</f>
        <v>#VALUE!</v>
      </c>
      <c r="H289">
        <v>35.834952999999999</v>
      </c>
      <c r="I289">
        <v>139.67382799999999</v>
      </c>
    </row>
    <row r="290" spans="4:9" x14ac:dyDescent="0.4">
      <c r="D290" s="2" t="str">
        <f t="shared" si="25"/>
        <v>http://geocode.csis.u-tokyo.ac.jp/cgi-bin/simple_geocode.cgi?charset=UTF8&amp;addr=</v>
      </c>
      <c r="E29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0" t="e" cm="1">
        <f t="array" ref="F290">INDEX(_xlfn.FILTERXML(E290,"//latitude"),1)</f>
        <v>#VALUE!</v>
      </c>
      <c r="G290" t="e" cm="1">
        <f t="array" ref="G290">INDEX(_xlfn.FILTERXML(E290,"//longitude"),1)</f>
        <v>#VALUE!</v>
      </c>
      <c r="H290">
        <v>36.653056999999997</v>
      </c>
      <c r="I290">
        <v>137.16297900000001</v>
      </c>
    </row>
    <row r="291" spans="4:9" x14ac:dyDescent="0.4">
      <c r="D291" s="2" t="str">
        <f t="shared" si="25"/>
        <v>http://geocode.csis.u-tokyo.ac.jp/cgi-bin/simple_geocode.cgi?charset=UTF8&amp;addr=</v>
      </c>
      <c r="E29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1" t="e" cm="1">
        <f t="array" ref="F291">INDEX(_xlfn.FILTERXML(E291,"//latitude"),1)</f>
        <v>#VALUE!</v>
      </c>
      <c r="G291" t="e" cm="1">
        <f t="array" ref="G291">INDEX(_xlfn.FILTERXML(E291,"//longitude"),1)</f>
        <v>#VALUE!</v>
      </c>
      <c r="H291">
        <v>35.736229000000002</v>
      </c>
      <c r="I291">
        <v>140.010513</v>
      </c>
    </row>
    <row r="292" spans="4:9" x14ac:dyDescent="0.4">
      <c r="D292" s="2" t="str">
        <f t="shared" si="25"/>
        <v>http://geocode.csis.u-tokyo.ac.jp/cgi-bin/simple_geocode.cgi?charset=UTF8&amp;addr=</v>
      </c>
      <c r="E29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2" t="e" cm="1">
        <f t="array" ref="F292">INDEX(_xlfn.FILTERXML(E292,"//latitude"),1)</f>
        <v>#VALUE!</v>
      </c>
      <c r="G292" t="e" cm="1">
        <f t="array" ref="G292">INDEX(_xlfn.FILTERXML(E292,"//longitude"),1)</f>
        <v>#VALUE!</v>
      </c>
      <c r="H292">
        <v>35.502662999999998</v>
      </c>
      <c r="I292">
        <v>139.64917</v>
      </c>
    </row>
    <row r="293" spans="4:9" x14ac:dyDescent="0.4">
      <c r="D293" s="2" t="str">
        <f t="shared" si="25"/>
        <v>http://geocode.csis.u-tokyo.ac.jp/cgi-bin/simple_geocode.cgi?charset=UTF8&amp;addr=</v>
      </c>
      <c r="E29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3" t="e" cm="1">
        <f t="array" ref="F293">INDEX(_xlfn.FILTERXML(E293,"//latitude"),1)</f>
        <v>#VALUE!</v>
      </c>
      <c r="G293" t="e" cm="1">
        <f t="array" ref="G293">INDEX(_xlfn.FILTERXML(E293,"//longitude"),1)</f>
        <v>#VALUE!</v>
      </c>
      <c r="H293" s="3">
        <v>35.715907999999999</v>
      </c>
      <c r="I293" s="3">
        <v>139.556534</v>
      </c>
    </row>
    <row r="294" spans="4:9" x14ac:dyDescent="0.4">
      <c r="D294" s="2" t="str">
        <f t="shared" si="25"/>
        <v>http://geocode.csis.u-tokyo.ac.jp/cgi-bin/simple_geocode.cgi?charset=UTF8&amp;addr=</v>
      </c>
      <c r="E29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4" t="e" cm="1">
        <f t="array" ref="F294">INDEX(_xlfn.FILTERXML(E294,"//latitude"),1)</f>
        <v>#VALUE!</v>
      </c>
      <c r="G294" t="e" cm="1">
        <f t="array" ref="G294">INDEX(_xlfn.FILTERXML(E294,"//longitude"),1)</f>
        <v>#VALUE!</v>
      </c>
      <c r="H294">
        <v>36.260956</v>
      </c>
      <c r="I294">
        <v>137.94099399999999</v>
      </c>
    </row>
    <row r="295" spans="4:9" x14ac:dyDescent="0.4">
      <c r="D295" s="2" t="str">
        <f t="shared" si="25"/>
        <v>http://geocode.csis.u-tokyo.ac.jp/cgi-bin/simple_geocode.cgi?charset=UTF8&amp;addr=</v>
      </c>
      <c r="E29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5" t="e" cm="1">
        <f t="array" ref="F295">INDEX(_xlfn.FILTERXML(E295,"//latitude"),1)</f>
        <v>#VALUE!</v>
      </c>
      <c r="G295" t="e" cm="1">
        <f t="array" ref="G295">INDEX(_xlfn.FILTERXML(E295,"//longitude"),1)</f>
        <v>#VALUE!</v>
      </c>
      <c r="H295">
        <v>35.313178999999998</v>
      </c>
      <c r="I295">
        <v>139.30728099999999</v>
      </c>
    </row>
    <row r="296" spans="4:9" x14ac:dyDescent="0.4">
      <c r="D296" s="2" t="str">
        <f t="shared" si="25"/>
        <v>http://geocode.csis.u-tokyo.ac.jp/cgi-bin/simple_geocode.cgi?charset=UTF8&amp;addr=</v>
      </c>
      <c r="E29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6" t="e" cm="1">
        <f t="array" ref="F296">INDEX(_xlfn.FILTERXML(E296,"//latitude"),1)</f>
        <v>#VALUE!</v>
      </c>
      <c r="G296" t="e" cm="1">
        <f t="array" ref="G296">INDEX(_xlfn.FILTERXML(E296,"//longitude"),1)</f>
        <v>#VALUE!</v>
      </c>
      <c r="H296">
        <v>35.682789</v>
      </c>
      <c r="I296">
        <v>139.55313100000001</v>
      </c>
    </row>
    <row r="297" spans="4:9" x14ac:dyDescent="0.4">
      <c r="D297" s="2" t="str">
        <f t="shared" si="25"/>
        <v>http://geocode.csis.u-tokyo.ac.jp/cgi-bin/simple_geocode.cgi?charset=UTF8&amp;addr=</v>
      </c>
      <c r="E29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7" t="e" cm="1">
        <f t="array" ref="F297">INDEX(_xlfn.FILTERXML(E297,"//latitude"),1)</f>
        <v>#VALUE!</v>
      </c>
      <c r="G297" t="e" cm="1">
        <f t="array" ref="G297">INDEX(_xlfn.FILTERXML(E297,"//longitude"),1)</f>
        <v>#VALUE!</v>
      </c>
      <c r="H297">
        <v>33.579819000000001</v>
      </c>
      <c r="I297">
        <v>130.352814</v>
      </c>
    </row>
    <row r="298" spans="4:9" x14ac:dyDescent="0.4">
      <c r="D298" s="2" t="str">
        <f t="shared" si="25"/>
        <v>http://geocode.csis.u-tokyo.ac.jp/cgi-bin/simple_geocode.cgi?charset=UTF8&amp;addr=</v>
      </c>
      <c r="E29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8" t="e" cm="1">
        <f t="array" ref="F298">INDEX(_xlfn.FILTERXML(E298,"//latitude"),1)</f>
        <v>#VALUE!</v>
      </c>
      <c r="G298" t="e" cm="1">
        <f t="array" ref="G298">INDEX(_xlfn.FILTERXML(E298,"//longitude"),1)</f>
        <v>#VALUE!</v>
      </c>
      <c r="H298">
        <v>35.699547000000003</v>
      </c>
      <c r="I298">
        <v>139.636414</v>
      </c>
    </row>
    <row r="299" spans="4:9" x14ac:dyDescent="0.4">
      <c r="D299" s="2" t="str">
        <f t="shared" si="25"/>
        <v>http://geocode.csis.u-tokyo.ac.jp/cgi-bin/simple_geocode.cgi?charset=UTF8&amp;addr=</v>
      </c>
      <c r="E29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299" t="e" cm="1">
        <f t="array" ref="F299">INDEX(_xlfn.FILTERXML(E299,"//latitude"),1)</f>
        <v>#VALUE!</v>
      </c>
      <c r="G299" t="e" cm="1">
        <f t="array" ref="G299">INDEX(_xlfn.FILTERXML(E299,"//longitude"),1)</f>
        <v>#VALUE!</v>
      </c>
      <c r="H299">
        <v>35.457146000000002</v>
      </c>
      <c r="I299">
        <v>139.59454299999999</v>
      </c>
    </row>
    <row r="300" spans="4:9" x14ac:dyDescent="0.4">
      <c r="D300" s="2" t="str">
        <f t="shared" si="25"/>
        <v>http://geocode.csis.u-tokyo.ac.jp/cgi-bin/simple_geocode.cgi?charset=UTF8&amp;addr=</v>
      </c>
      <c r="E30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0" t="e" cm="1">
        <f t="array" ref="F300">INDEX(_xlfn.FILTERXML(E300,"//latitude"),1)</f>
        <v>#VALUE!</v>
      </c>
      <c r="G300" t="e" cm="1">
        <f t="array" ref="G300">INDEX(_xlfn.FILTERXML(E300,"//longitude"),1)</f>
        <v>#VALUE!</v>
      </c>
      <c r="H300">
        <v>34.674819999999997</v>
      </c>
      <c r="I300">
        <v>135.47569300000001</v>
      </c>
    </row>
    <row r="301" spans="4:9" x14ac:dyDescent="0.4">
      <c r="D301" s="2" t="str">
        <f t="shared" si="25"/>
        <v>http://geocode.csis.u-tokyo.ac.jp/cgi-bin/simple_geocode.cgi?charset=UTF8&amp;addr=</v>
      </c>
      <c r="E30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1" t="e" cm="1">
        <f t="array" ref="F301">INDEX(_xlfn.FILTERXML(E301,"//latitude"),1)</f>
        <v>#VALUE!</v>
      </c>
      <c r="G301" t="e" cm="1">
        <f t="array" ref="G301">INDEX(_xlfn.FILTERXML(E301,"//longitude"),1)</f>
        <v>#VALUE!</v>
      </c>
      <c r="H301">
        <v>35.685538999999999</v>
      </c>
      <c r="I301">
        <v>139.67417900000001</v>
      </c>
    </row>
    <row r="302" spans="4:9" x14ac:dyDescent="0.4">
      <c r="D302" s="2" t="str">
        <f t="shared" si="25"/>
        <v>http://geocode.csis.u-tokyo.ac.jp/cgi-bin/simple_geocode.cgi?charset=UTF8&amp;addr=</v>
      </c>
      <c r="E30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2" t="e" cm="1">
        <f t="array" ref="F302">INDEX(_xlfn.FILTERXML(E302,"//latitude"),1)</f>
        <v>#VALUE!</v>
      </c>
      <c r="G302" t="e" cm="1">
        <f t="array" ref="G302">INDEX(_xlfn.FILTERXML(E302,"//longitude"),1)</f>
        <v>#VALUE!</v>
      </c>
      <c r="H302">
        <v>35.258277999999997</v>
      </c>
      <c r="I302">
        <v>136.735535</v>
      </c>
    </row>
    <row r="303" spans="4:9" x14ac:dyDescent="0.4">
      <c r="D303" s="2" t="str">
        <f t="shared" si="25"/>
        <v>http://geocode.csis.u-tokyo.ac.jp/cgi-bin/simple_geocode.cgi?charset=UTF8&amp;addr=</v>
      </c>
      <c r="E30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3" t="e" cm="1">
        <f t="array" ref="F303">INDEX(_xlfn.FILTERXML(E303,"//latitude"),1)</f>
        <v>#VALUE!</v>
      </c>
      <c r="G303" t="e" cm="1">
        <f t="array" ref="G303">INDEX(_xlfn.FILTERXML(E303,"//longitude"),1)</f>
        <v>#VALUE!</v>
      </c>
      <c r="H303">
        <v>43.018363999999998</v>
      </c>
      <c r="I303">
        <v>141.36871300000001</v>
      </c>
    </row>
    <row r="304" spans="4:9" x14ac:dyDescent="0.4">
      <c r="D304" s="2" t="str">
        <f t="shared" si="25"/>
        <v>http://geocode.csis.u-tokyo.ac.jp/cgi-bin/simple_geocode.cgi?charset=UTF8&amp;addr=</v>
      </c>
      <c r="E30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4" t="e" cm="1">
        <f t="array" ref="F304">INDEX(_xlfn.FILTERXML(E304,"//latitude"),1)</f>
        <v>#VALUE!</v>
      </c>
      <c r="G304" t="e" cm="1">
        <f t="array" ref="G304">INDEX(_xlfn.FILTERXML(E304,"//longitude"),1)</f>
        <v>#VALUE!</v>
      </c>
      <c r="H304">
        <v>35.727226000000002</v>
      </c>
      <c r="I304">
        <v>139.94253499999999</v>
      </c>
    </row>
    <row r="305" spans="4:9" x14ac:dyDescent="0.4">
      <c r="D305" s="2" t="str">
        <f t="shared" si="25"/>
        <v>http://geocode.csis.u-tokyo.ac.jp/cgi-bin/simple_geocode.cgi?charset=UTF8&amp;addr=</v>
      </c>
      <c r="E305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5" t="e" cm="1">
        <f t="array" ref="F305">INDEX(_xlfn.FILTERXML(E305,"//latitude"),1)</f>
        <v>#VALUE!</v>
      </c>
      <c r="G305" t="e" cm="1">
        <f t="array" ref="G305">INDEX(_xlfn.FILTERXML(E305,"//longitude"),1)</f>
        <v>#VALUE!</v>
      </c>
      <c r="H305">
        <v>26.401008999999998</v>
      </c>
      <c r="I305">
        <v>127.766891</v>
      </c>
    </row>
    <row r="306" spans="4:9" x14ac:dyDescent="0.4">
      <c r="D306" s="2" t="str">
        <f t="shared" si="25"/>
        <v>http://geocode.csis.u-tokyo.ac.jp/cgi-bin/simple_geocode.cgi?charset=UTF8&amp;addr=</v>
      </c>
      <c r="E306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6" t="e" cm="1">
        <f t="array" ref="F306">INDEX(_xlfn.FILTERXML(E306,"//latitude"),1)</f>
        <v>#VALUE!</v>
      </c>
      <c r="G306" t="e" cm="1">
        <f t="array" ref="G306">INDEX(_xlfn.FILTERXML(E306,"//longitude"),1)</f>
        <v>#VALUE!</v>
      </c>
      <c r="H306">
        <v>35.671230000000001</v>
      </c>
      <c r="I306">
        <v>139.481461</v>
      </c>
    </row>
    <row r="307" spans="4:9" x14ac:dyDescent="0.4">
      <c r="D307" s="2" t="str">
        <f t="shared" si="25"/>
        <v>http://geocode.csis.u-tokyo.ac.jp/cgi-bin/simple_geocode.cgi?charset=UTF8&amp;addr=</v>
      </c>
      <c r="E307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7" t="e" cm="1">
        <f t="array" ref="F307">INDEX(_xlfn.FILTERXML(E307,"//latitude"),1)</f>
        <v>#VALUE!</v>
      </c>
      <c r="G307" t="e" cm="1">
        <f t="array" ref="G307">INDEX(_xlfn.FILTERXML(E307,"//longitude"),1)</f>
        <v>#VALUE!</v>
      </c>
      <c r="H307">
        <v>33.548690999999998</v>
      </c>
      <c r="I307">
        <v>133.427582</v>
      </c>
    </row>
    <row r="308" spans="4:9" x14ac:dyDescent="0.4">
      <c r="D308" s="2" t="str">
        <f t="shared" si="25"/>
        <v>http://geocode.csis.u-tokyo.ac.jp/cgi-bin/simple_geocode.cgi?charset=UTF8&amp;addr=</v>
      </c>
      <c r="E308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8" t="e" cm="1">
        <f t="array" ref="F308">INDEX(_xlfn.FILTERXML(E308,"//latitude"),1)</f>
        <v>#VALUE!</v>
      </c>
      <c r="G308" t="e" cm="1">
        <f t="array" ref="G308">INDEX(_xlfn.FILTERXML(E308,"//longitude"),1)</f>
        <v>#VALUE!</v>
      </c>
      <c r="H308">
        <v>34.914062000000001</v>
      </c>
      <c r="I308">
        <v>135.16026299999999</v>
      </c>
    </row>
    <row r="309" spans="4:9" x14ac:dyDescent="0.4">
      <c r="D309" s="2" t="str">
        <f t="shared" si="25"/>
        <v>http://geocode.csis.u-tokyo.ac.jp/cgi-bin/simple_geocode.cgi?charset=UTF8&amp;addr=</v>
      </c>
      <c r="E309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09" t="e" cm="1">
        <f t="array" ref="F309">INDEX(_xlfn.FILTERXML(E309,"//latitude"),1)</f>
        <v>#VALUE!</v>
      </c>
      <c r="G309" t="e" cm="1">
        <f t="array" ref="G309">INDEX(_xlfn.FILTERXML(E309,"//longitude"),1)</f>
        <v>#VALUE!</v>
      </c>
      <c r="H309">
        <v>37.601230999999999</v>
      </c>
      <c r="I309">
        <v>140.91224700000001</v>
      </c>
    </row>
    <row r="310" spans="4:9" x14ac:dyDescent="0.4">
      <c r="D310" s="2" t="str">
        <f t="shared" si="25"/>
        <v>http://geocode.csis.u-tokyo.ac.jp/cgi-bin/simple_geocode.cgi?charset=UTF8&amp;addr=</v>
      </c>
      <c r="E310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0" t="e" cm="1">
        <f t="array" ref="F310">INDEX(_xlfn.FILTERXML(E310,"//latitude"),1)</f>
        <v>#VALUE!</v>
      </c>
      <c r="G310" t="e" cm="1">
        <f t="array" ref="G310">INDEX(_xlfn.FILTERXML(E310,"//longitude"),1)</f>
        <v>#VALUE!</v>
      </c>
      <c r="H310">
        <v>43.066650000000003</v>
      </c>
      <c r="I310">
        <v>141.33682300000001</v>
      </c>
    </row>
    <row r="311" spans="4:9" x14ac:dyDescent="0.4">
      <c r="D311" s="2" t="str">
        <f t="shared" si="25"/>
        <v>http://geocode.csis.u-tokyo.ac.jp/cgi-bin/simple_geocode.cgi?charset=UTF8&amp;addr=</v>
      </c>
      <c r="E311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1" t="e" cm="1">
        <f t="array" ref="F311">INDEX(_xlfn.FILTERXML(E311,"//latitude"),1)</f>
        <v>#VALUE!</v>
      </c>
      <c r="G311" t="e" cm="1">
        <f t="array" ref="G311">INDEX(_xlfn.FILTERXML(E311,"//longitude"),1)</f>
        <v>#VALUE!</v>
      </c>
      <c r="H311">
        <v>35.906483000000001</v>
      </c>
      <c r="I311">
        <v>139.62872300000001</v>
      </c>
    </row>
    <row r="312" spans="4:9" x14ac:dyDescent="0.4">
      <c r="D312" s="2" t="str">
        <f t="shared" si="25"/>
        <v>http://geocode.csis.u-tokyo.ac.jp/cgi-bin/simple_geocode.cgi?charset=UTF8&amp;addr=</v>
      </c>
      <c r="E312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2" t="e" cm="1">
        <f t="array" ref="F312">INDEX(_xlfn.FILTERXML(E312,"//latitude"),1)</f>
        <v>#VALUE!</v>
      </c>
      <c r="G312" t="e" cm="1">
        <f t="array" ref="G312">INDEX(_xlfn.FILTERXML(E312,"//longitude"),1)</f>
        <v>#VALUE!</v>
      </c>
      <c r="H312">
        <v>35.444035</v>
      </c>
      <c r="I312">
        <v>139.63795500000001</v>
      </c>
    </row>
    <row r="313" spans="4:9" x14ac:dyDescent="0.4">
      <c r="D313" s="2" t="str">
        <f t="shared" si="25"/>
        <v>http://geocode.csis.u-tokyo.ac.jp/cgi-bin/simple_geocode.cgi?charset=UTF8&amp;addr=</v>
      </c>
      <c r="E313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3" t="e" cm="1">
        <f t="array" ref="F313">INDEX(_xlfn.FILTERXML(E313,"//latitude"),1)</f>
        <v>#VALUE!</v>
      </c>
      <c r="G313" t="e" cm="1">
        <f t="array" ref="G313">INDEX(_xlfn.FILTERXML(E313,"//longitude"),1)</f>
        <v>#VALUE!</v>
      </c>
      <c r="H313">
        <v>35.247990000000001</v>
      </c>
      <c r="I313">
        <v>139.152649</v>
      </c>
    </row>
    <row r="314" spans="4:9" x14ac:dyDescent="0.4">
      <c r="D314" s="2" t="str">
        <f t="shared" si="25"/>
        <v>http://geocode.csis.u-tokyo.ac.jp/cgi-bin/simple_geocode.cgi?charset=UTF8&amp;addr=</v>
      </c>
      <c r="E314" t="str">
        <f t="shared" si="26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4" t="e" cm="1">
        <f t="array" ref="F314">INDEX(_xlfn.FILTERXML(E314,"//latitude"),1)</f>
        <v>#VALUE!</v>
      </c>
      <c r="G314" t="e" cm="1">
        <f t="array" ref="G314">INDEX(_xlfn.FILTERXML(E314,"//longitude"),1)</f>
        <v>#VALUE!</v>
      </c>
      <c r="H314">
        <v>35.487513999999997</v>
      </c>
      <c r="I314">
        <v>139.45794699999999</v>
      </c>
    </row>
    <row r="315" spans="4:9" x14ac:dyDescent="0.4">
      <c r="D315" s="2" t="str">
        <f t="shared" ref="D315:D378" si="27" xml:space="preserve"> "http://geocode.csis.u-tokyo.ac.jp/cgi-bin/simple_geocode.cgi?charset=UTF8&amp;addr=" &amp; _xlfn.ENCODEURL(C315)</f>
        <v>http://geocode.csis.u-tokyo.ac.jp/cgi-bin/simple_geocode.cgi?charset=UTF8&amp;addr=</v>
      </c>
      <c r="E315" t="str">
        <f t="shared" ref="E315:E378" si="28" xml:space="preserve"> _xlfn.WEBSERVICE(D315)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315" t="e" cm="1">
        <f t="array" ref="F315">INDEX(_xlfn.FILTERXML(E315,"//latitude"),1)</f>
        <v>#VALUE!</v>
      </c>
      <c r="G315" t="e" cm="1">
        <f t="array" ref="G315">INDEX(_xlfn.FILTERXML(E315,"//longitude"),1)</f>
        <v>#VALUE!</v>
      </c>
      <c r="H315">
        <v>34.995384000000001</v>
      </c>
      <c r="I315">
        <v>135.77105700000001</v>
      </c>
    </row>
    <row r="316" spans="4:9" x14ac:dyDescent="0.4">
      <c r="D316" s="2" t="str">
        <f t="shared" si="27"/>
        <v>http://geocode.csis.u-tokyo.ac.jp/cgi-bin/simple_geocode.cgi?charset=UTF8&amp;addr=</v>
      </c>
      <c r="E31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6" t="e" cm="1">
        <f t="array" ref="F316">INDEX(_xlfn.FILTERXML(E316,"//latitude"),1)</f>
        <v>#VALUE!</v>
      </c>
      <c r="G316" t="e" cm="1">
        <f t="array" ref="G316">INDEX(_xlfn.FILTERXML(E316,"//longitude"),1)</f>
        <v>#VALUE!</v>
      </c>
      <c r="H316">
        <v>34.931365999999997</v>
      </c>
      <c r="I316">
        <v>137.21830700000001</v>
      </c>
    </row>
    <row r="317" spans="4:9" x14ac:dyDescent="0.4">
      <c r="D317" s="2" t="str">
        <f t="shared" si="27"/>
        <v>http://geocode.csis.u-tokyo.ac.jp/cgi-bin/simple_geocode.cgi?charset=UTF8&amp;addr=</v>
      </c>
      <c r="E31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7" t="e" cm="1">
        <f t="array" ref="F317">INDEX(_xlfn.FILTERXML(E317,"//latitude"),1)</f>
        <v>#VALUE!</v>
      </c>
      <c r="G317" t="e" cm="1">
        <f t="array" ref="G317">INDEX(_xlfn.FILTERXML(E317,"//longitude"),1)</f>
        <v>#VALUE!</v>
      </c>
      <c r="H317">
        <v>35.339306000000001</v>
      </c>
      <c r="I317">
        <v>139.45109600000001</v>
      </c>
    </row>
    <row r="318" spans="4:9" x14ac:dyDescent="0.4">
      <c r="D318" s="2" t="str">
        <f t="shared" si="27"/>
        <v>http://geocode.csis.u-tokyo.ac.jp/cgi-bin/simple_geocode.cgi?charset=UTF8&amp;addr=</v>
      </c>
      <c r="E31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8" t="e" cm="1">
        <f t="array" ref="F318">INDEX(_xlfn.FILTERXML(E318,"//latitude"),1)</f>
        <v>#VALUE!</v>
      </c>
      <c r="G318" t="e" cm="1">
        <f t="array" ref="G318">INDEX(_xlfn.FILTERXML(E318,"//longitude"),1)</f>
        <v>#VALUE!</v>
      </c>
      <c r="H318">
        <v>35.532825000000003</v>
      </c>
      <c r="I318">
        <v>135.19313</v>
      </c>
    </row>
    <row r="319" spans="4:9" x14ac:dyDescent="0.4">
      <c r="D319" s="2" t="str">
        <f t="shared" si="27"/>
        <v>http://geocode.csis.u-tokyo.ac.jp/cgi-bin/simple_geocode.cgi?charset=UTF8&amp;addr=</v>
      </c>
      <c r="E31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19" t="e" cm="1">
        <f t="array" ref="F319">INDEX(_xlfn.FILTERXML(E319,"//latitude"),1)</f>
        <v>#VALUE!</v>
      </c>
      <c r="G319" t="e" cm="1">
        <f t="array" ref="G319">INDEX(_xlfn.FILTERXML(E319,"//longitude"),1)</f>
        <v>#VALUE!</v>
      </c>
      <c r="H319">
        <v>35.134467999999998</v>
      </c>
      <c r="I319">
        <v>137.018494</v>
      </c>
    </row>
    <row r="320" spans="4:9" x14ac:dyDescent="0.4">
      <c r="D320" s="2" t="str">
        <f t="shared" si="27"/>
        <v>http://geocode.csis.u-tokyo.ac.jp/cgi-bin/simple_geocode.cgi?charset=UTF8&amp;addr=</v>
      </c>
      <c r="E32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0" t="e" cm="1">
        <f t="array" ref="F320">INDEX(_xlfn.FILTERXML(E320,"//latitude"),1)</f>
        <v>#VALUE!</v>
      </c>
      <c r="G320" t="e" cm="1">
        <f t="array" ref="G320">INDEX(_xlfn.FILTERXML(E320,"//longitude"),1)</f>
        <v>#VALUE!</v>
      </c>
      <c r="H320">
        <v>35.670718999999998</v>
      </c>
      <c r="I320">
        <v>139.79028299999999</v>
      </c>
    </row>
    <row r="321" spans="4:9" x14ac:dyDescent="0.4">
      <c r="D321" s="2" t="str">
        <f t="shared" si="27"/>
        <v>http://geocode.csis.u-tokyo.ac.jp/cgi-bin/simple_geocode.cgi?charset=UTF8&amp;addr=</v>
      </c>
      <c r="E32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1" t="e" cm="1">
        <f t="array" ref="F321">INDEX(_xlfn.FILTERXML(E321,"//latitude"),1)</f>
        <v>#VALUE!</v>
      </c>
      <c r="G321" t="e" cm="1">
        <f t="array" ref="G321">INDEX(_xlfn.FILTERXML(E321,"//longitude"),1)</f>
        <v>#VALUE!</v>
      </c>
      <c r="H321">
        <v>35.820205999999999</v>
      </c>
      <c r="I321">
        <v>139.66570999999999</v>
      </c>
    </row>
    <row r="322" spans="4:9" x14ac:dyDescent="0.4">
      <c r="D322" s="2" t="str">
        <f t="shared" si="27"/>
        <v>http://geocode.csis.u-tokyo.ac.jp/cgi-bin/simple_geocode.cgi?charset=UTF8&amp;addr=</v>
      </c>
      <c r="E32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2" t="e" cm="1">
        <f t="array" ref="F322">INDEX(_xlfn.FILTERXML(E322,"//latitude"),1)</f>
        <v>#VALUE!</v>
      </c>
      <c r="G322" t="e" cm="1">
        <f t="array" ref="G322">INDEX(_xlfn.FILTERXML(E322,"//longitude"),1)</f>
        <v>#VALUE!</v>
      </c>
      <c r="H322">
        <v>34.954807000000002</v>
      </c>
      <c r="I322">
        <v>137.17300399999999</v>
      </c>
    </row>
    <row r="323" spans="4:9" x14ac:dyDescent="0.4">
      <c r="D323" s="2" t="str">
        <f t="shared" si="27"/>
        <v>http://geocode.csis.u-tokyo.ac.jp/cgi-bin/simple_geocode.cgi?charset=UTF8&amp;addr=</v>
      </c>
      <c r="E32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3" t="e" cm="1">
        <f t="array" ref="F323">INDEX(_xlfn.FILTERXML(E323,"//latitude"),1)</f>
        <v>#VALUE!</v>
      </c>
      <c r="G323" t="e" cm="1">
        <f t="array" ref="G323">INDEX(_xlfn.FILTERXML(E323,"//longitude"),1)</f>
        <v>#VALUE!</v>
      </c>
      <c r="H323">
        <v>35.051127999999999</v>
      </c>
      <c r="I323">
        <v>135.78089900000001</v>
      </c>
    </row>
    <row r="324" spans="4:9" x14ac:dyDescent="0.4">
      <c r="D324" s="2" t="str">
        <f t="shared" si="27"/>
        <v>http://geocode.csis.u-tokyo.ac.jp/cgi-bin/simple_geocode.cgi?charset=UTF8&amp;addr=</v>
      </c>
      <c r="E32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4" t="e" cm="1">
        <f t="array" ref="F324">INDEX(_xlfn.FILTERXML(E324,"//latitude"),1)</f>
        <v>#VALUE!</v>
      </c>
      <c r="G324" t="e" cm="1">
        <f t="array" ref="G324">INDEX(_xlfn.FILTERXML(E324,"//longitude"),1)</f>
        <v>#VALUE!</v>
      </c>
      <c r="H324">
        <v>35.552619999999997</v>
      </c>
      <c r="I324">
        <v>139.720291</v>
      </c>
    </row>
    <row r="325" spans="4:9" x14ac:dyDescent="0.4">
      <c r="D325" s="2" t="str">
        <f t="shared" si="27"/>
        <v>http://geocode.csis.u-tokyo.ac.jp/cgi-bin/simple_geocode.cgi?charset=UTF8&amp;addr=</v>
      </c>
      <c r="E32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5" t="e" cm="1">
        <f t="array" ref="F325">INDEX(_xlfn.FILTERXML(E325,"//latitude"),1)</f>
        <v>#VALUE!</v>
      </c>
      <c r="G325" t="e" cm="1">
        <f t="array" ref="G325">INDEX(_xlfn.FILTERXML(E325,"//longitude"),1)</f>
        <v>#VALUE!</v>
      </c>
      <c r="H325">
        <v>35.487513999999997</v>
      </c>
      <c r="I325">
        <v>139.45794699999999</v>
      </c>
    </row>
    <row r="326" spans="4:9" x14ac:dyDescent="0.4">
      <c r="D326" s="2" t="str">
        <f t="shared" si="27"/>
        <v>http://geocode.csis.u-tokyo.ac.jp/cgi-bin/simple_geocode.cgi?charset=UTF8&amp;addr=</v>
      </c>
      <c r="E32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6" t="e" cm="1">
        <f t="array" ref="F326">INDEX(_xlfn.FILTERXML(E326,"//latitude"),1)</f>
        <v>#VALUE!</v>
      </c>
      <c r="G326" t="e" cm="1">
        <f t="array" ref="G326">INDEX(_xlfn.FILTERXML(E326,"//longitude"),1)</f>
        <v>#VALUE!</v>
      </c>
      <c r="H326">
        <v>36.184154999999997</v>
      </c>
      <c r="I326">
        <v>139.27830499999999</v>
      </c>
    </row>
    <row r="327" spans="4:9" x14ac:dyDescent="0.4">
      <c r="D327" s="2" t="str">
        <f t="shared" si="27"/>
        <v>http://geocode.csis.u-tokyo.ac.jp/cgi-bin/simple_geocode.cgi?charset=UTF8&amp;addr=</v>
      </c>
      <c r="E32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7" t="e" cm="1">
        <f t="array" ref="F327">INDEX(_xlfn.FILTERXML(E327,"//latitude"),1)</f>
        <v>#VALUE!</v>
      </c>
      <c r="G327" t="e" cm="1">
        <f t="array" ref="G327">INDEX(_xlfn.FILTERXML(E327,"//longitude"),1)</f>
        <v>#VALUE!</v>
      </c>
      <c r="H327">
        <v>35.726551000000001</v>
      </c>
      <c r="I327">
        <v>140.84262100000001</v>
      </c>
    </row>
    <row r="328" spans="4:9" x14ac:dyDescent="0.4">
      <c r="D328" s="2" t="str">
        <f t="shared" si="27"/>
        <v>http://geocode.csis.u-tokyo.ac.jp/cgi-bin/simple_geocode.cgi?charset=UTF8&amp;addr=</v>
      </c>
      <c r="E32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8" t="e" cm="1">
        <f t="array" ref="F328">INDEX(_xlfn.FILTERXML(E328,"//latitude"),1)</f>
        <v>#VALUE!</v>
      </c>
      <c r="G328" t="e" cm="1">
        <f t="array" ref="G328">INDEX(_xlfn.FILTERXML(E328,"//longitude"),1)</f>
        <v>#VALUE!</v>
      </c>
      <c r="H328">
        <v>35.829841999999999</v>
      </c>
      <c r="I328">
        <v>139.68298300000001</v>
      </c>
    </row>
    <row r="329" spans="4:9" x14ac:dyDescent="0.4">
      <c r="D329" s="2" t="str">
        <f t="shared" si="27"/>
        <v>http://geocode.csis.u-tokyo.ac.jp/cgi-bin/simple_geocode.cgi?charset=UTF8&amp;addr=</v>
      </c>
      <c r="E32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29" t="e" cm="1">
        <f t="array" ref="F329">INDEX(_xlfn.FILTERXML(E329,"//latitude"),1)</f>
        <v>#VALUE!</v>
      </c>
      <c r="G329" t="e" cm="1">
        <f t="array" ref="G329">INDEX(_xlfn.FILTERXML(E329,"//longitude"),1)</f>
        <v>#VALUE!</v>
      </c>
      <c r="H329">
        <v>34.092606000000004</v>
      </c>
      <c r="I329">
        <v>131.400284</v>
      </c>
    </row>
    <row r="330" spans="4:9" x14ac:dyDescent="0.4">
      <c r="D330" s="2" t="str">
        <f t="shared" si="27"/>
        <v>http://geocode.csis.u-tokyo.ac.jp/cgi-bin/simple_geocode.cgi?charset=UTF8&amp;addr=</v>
      </c>
      <c r="E33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0" t="e" cm="1">
        <f t="array" ref="F330">INDEX(_xlfn.FILTERXML(E330,"//latitude"),1)</f>
        <v>#VALUE!</v>
      </c>
      <c r="G330" t="e" cm="1">
        <f t="array" ref="G330">INDEX(_xlfn.FILTERXML(E330,"//longitude"),1)</f>
        <v>#VALUE!</v>
      </c>
      <c r="H330">
        <v>35.965800999999999</v>
      </c>
      <c r="I330">
        <v>139.68446399999999</v>
      </c>
    </row>
    <row r="331" spans="4:9" x14ac:dyDescent="0.4">
      <c r="D331" s="2" t="str">
        <f t="shared" si="27"/>
        <v>http://geocode.csis.u-tokyo.ac.jp/cgi-bin/simple_geocode.cgi?charset=UTF8&amp;addr=</v>
      </c>
      <c r="E33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1" t="e" cm="1">
        <f t="array" ref="F331">INDEX(_xlfn.FILTERXML(E331,"//latitude"),1)</f>
        <v>#VALUE!</v>
      </c>
      <c r="G331" t="e" cm="1">
        <f t="array" ref="G331">INDEX(_xlfn.FILTERXML(E331,"//longitude"),1)</f>
        <v>#VALUE!</v>
      </c>
      <c r="H331">
        <v>35.609946999999998</v>
      </c>
      <c r="I331">
        <v>139.74998500000001</v>
      </c>
    </row>
    <row r="332" spans="4:9" x14ac:dyDescent="0.4">
      <c r="D332" s="2" t="str">
        <f t="shared" si="27"/>
        <v>http://geocode.csis.u-tokyo.ac.jp/cgi-bin/simple_geocode.cgi?charset=UTF8&amp;addr=</v>
      </c>
      <c r="E33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2" t="e" cm="1">
        <f t="array" ref="F332">INDEX(_xlfn.FILTERXML(E332,"//latitude"),1)</f>
        <v>#VALUE!</v>
      </c>
      <c r="G332" t="e" cm="1">
        <f t="array" ref="G332">INDEX(_xlfn.FILTERXML(E332,"//longitude"),1)</f>
        <v>#VALUE!</v>
      </c>
      <c r="H332">
        <v>35.201611</v>
      </c>
      <c r="I332">
        <v>136.88632200000001</v>
      </c>
    </row>
    <row r="333" spans="4:9" x14ac:dyDescent="0.4">
      <c r="D333" s="2" t="str">
        <f t="shared" si="27"/>
        <v>http://geocode.csis.u-tokyo.ac.jp/cgi-bin/simple_geocode.cgi?charset=UTF8&amp;addr=</v>
      </c>
      <c r="E33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3" t="e" cm="1">
        <f t="array" ref="F333">INDEX(_xlfn.FILTERXML(E333,"//latitude"),1)</f>
        <v>#VALUE!</v>
      </c>
      <c r="G333" t="e" cm="1">
        <f t="array" ref="G333">INDEX(_xlfn.FILTERXML(E333,"//longitude"),1)</f>
        <v>#VALUE!</v>
      </c>
      <c r="H333">
        <v>35.458587999999999</v>
      </c>
      <c r="I333">
        <v>139.57551599999999</v>
      </c>
    </row>
    <row r="334" spans="4:9" x14ac:dyDescent="0.4">
      <c r="D334" s="2" t="str">
        <f t="shared" si="27"/>
        <v>http://geocode.csis.u-tokyo.ac.jp/cgi-bin/simple_geocode.cgi?charset=UTF8&amp;addr=</v>
      </c>
      <c r="E33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4" t="e" cm="1">
        <f t="array" ref="F334">INDEX(_xlfn.FILTERXML(E334,"//latitude"),1)</f>
        <v>#VALUE!</v>
      </c>
      <c r="G334" t="e" cm="1">
        <f t="array" ref="G334">INDEX(_xlfn.FILTERXML(E334,"//longitude"),1)</f>
        <v>#VALUE!</v>
      </c>
      <c r="H334">
        <v>35.697510000000001</v>
      </c>
      <c r="I334">
        <v>139.441284</v>
      </c>
    </row>
    <row r="335" spans="4:9" x14ac:dyDescent="0.4">
      <c r="D335" s="2" t="str">
        <f t="shared" si="27"/>
        <v>http://geocode.csis.u-tokyo.ac.jp/cgi-bin/simple_geocode.cgi?charset=UTF8&amp;addr=</v>
      </c>
      <c r="E33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5" t="e" cm="1">
        <f t="array" ref="F335">INDEX(_xlfn.FILTERXML(E335,"//latitude"),1)</f>
        <v>#VALUE!</v>
      </c>
      <c r="G335" t="e" cm="1">
        <f t="array" ref="G335">INDEX(_xlfn.FILTERXML(E335,"//longitude"),1)</f>
        <v>#VALUE!</v>
      </c>
      <c r="H335">
        <v>34.723351000000001</v>
      </c>
      <c r="I335">
        <v>137.75895700000001</v>
      </c>
    </row>
    <row r="336" spans="4:9" x14ac:dyDescent="0.4">
      <c r="D336" s="2" t="str">
        <f t="shared" si="27"/>
        <v>http://geocode.csis.u-tokyo.ac.jp/cgi-bin/simple_geocode.cgi?charset=UTF8&amp;addr=</v>
      </c>
      <c r="E33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6" t="e" cm="1">
        <f t="array" ref="F336">INDEX(_xlfn.FILTERXML(E336,"//latitude"),1)</f>
        <v>#VALUE!</v>
      </c>
      <c r="G336" t="e" cm="1">
        <f t="array" ref="G336">INDEX(_xlfn.FILTERXML(E336,"//longitude"),1)</f>
        <v>#VALUE!</v>
      </c>
      <c r="H336">
        <v>35.503287999999998</v>
      </c>
      <c r="I336">
        <v>139.44250500000001</v>
      </c>
    </row>
    <row r="337" spans="4:9" x14ac:dyDescent="0.4">
      <c r="D337" s="2" t="str">
        <f t="shared" si="27"/>
        <v>http://geocode.csis.u-tokyo.ac.jp/cgi-bin/simple_geocode.cgi?charset=UTF8&amp;addr=</v>
      </c>
      <c r="E33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7" t="e" cm="1">
        <f t="array" ref="F337">INDEX(_xlfn.FILTERXML(E337,"//latitude"),1)</f>
        <v>#VALUE!</v>
      </c>
      <c r="G337" t="e" cm="1">
        <f t="array" ref="G337">INDEX(_xlfn.FILTERXML(E337,"//longitude"),1)</f>
        <v>#VALUE!</v>
      </c>
      <c r="H337">
        <v>34.051758</v>
      </c>
      <c r="I337">
        <v>131.562622</v>
      </c>
    </row>
    <row r="338" spans="4:9" x14ac:dyDescent="0.4">
      <c r="D338" s="2" t="str">
        <f t="shared" si="27"/>
        <v>http://geocode.csis.u-tokyo.ac.jp/cgi-bin/simple_geocode.cgi?charset=UTF8&amp;addr=</v>
      </c>
      <c r="E33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8" t="e" cm="1">
        <f t="array" ref="F338">INDEX(_xlfn.FILTERXML(E338,"//latitude"),1)</f>
        <v>#VALUE!</v>
      </c>
      <c r="G338" t="e" cm="1">
        <f t="array" ref="G338">INDEX(_xlfn.FILTERXML(E338,"//longitude"),1)</f>
        <v>#VALUE!</v>
      </c>
      <c r="H338">
        <v>35.433525000000003</v>
      </c>
      <c r="I338">
        <v>139.59738200000001</v>
      </c>
    </row>
    <row r="339" spans="4:9" x14ac:dyDescent="0.4">
      <c r="D339" s="2" t="str">
        <f t="shared" si="27"/>
        <v>http://geocode.csis.u-tokyo.ac.jp/cgi-bin/simple_geocode.cgi?charset=UTF8&amp;addr=</v>
      </c>
      <c r="E33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39" t="e" cm="1">
        <f t="array" ref="F339">INDEX(_xlfn.FILTERXML(E339,"//latitude"),1)</f>
        <v>#VALUE!</v>
      </c>
      <c r="G339" t="e" cm="1">
        <f t="array" ref="G339">INDEX(_xlfn.FILTERXML(E339,"//longitude"),1)</f>
        <v>#VALUE!</v>
      </c>
      <c r="H339">
        <v>35.338383</v>
      </c>
      <c r="I339">
        <v>137.11308299999999</v>
      </c>
    </row>
    <row r="340" spans="4:9" x14ac:dyDescent="0.4">
      <c r="D340" s="2" t="str">
        <f t="shared" si="27"/>
        <v>http://geocode.csis.u-tokyo.ac.jp/cgi-bin/simple_geocode.cgi?charset=UTF8&amp;addr=</v>
      </c>
      <c r="E34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0" t="e" cm="1">
        <f t="array" ref="F340">INDEX(_xlfn.FILTERXML(E340,"//latitude"),1)</f>
        <v>#VALUE!</v>
      </c>
      <c r="G340" t="e" cm="1">
        <f t="array" ref="G340">INDEX(_xlfn.FILTERXML(E340,"//longitude"),1)</f>
        <v>#VALUE!</v>
      </c>
      <c r="H340">
        <v>34.770943000000003</v>
      </c>
      <c r="I340">
        <v>135.475525</v>
      </c>
    </row>
    <row r="341" spans="4:9" x14ac:dyDescent="0.4">
      <c r="D341" s="2" t="str">
        <f t="shared" si="27"/>
        <v>http://geocode.csis.u-tokyo.ac.jp/cgi-bin/simple_geocode.cgi?charset=UTF8&amp;addr=</v>
      </c>
      <c r="E34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1" t="e" cm="1">
        <f t="array" ref="F341">INDEX(_xlfn.FILTERXML(E341,"//latitude"),1)</f>
        <v>#VALUE!</v>
      </c>
      <c r="G341" t="e" cm="1">
        <f t="array" ref="G341">INDEX(_xlfn.FILTERXML(E341,"//longitude"),1)</f>
        <v>#VALUE!</v>
      </c>
      <c r="H341">
        <v>35.753070999999998</v>
      </c>
      <c r="I341">
        <v>139.70214799999999</v>
      </c>
    </row>
    <row r="342" spans="4:9" x14ac:dyDescent="0.4">
      <c r="D342" s="2" t="str">
        <f t="shared" si="27"/>
        <v>http://geocode.csis.u-tokyo.ac.jp/cgi-bin/simple_geocode.cgi?charset=UTF8&amp;addr=</v>
      </c>
      <c r="E34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2" t="e" cm="1">
        <f t="array" ref="F342">INDEX(_xlfn.FILTERXML(E342,"//latitude"),1)</f>
        <v>#VALUE!</v>
      </c>
      <c r="G342" t="e" cm="1">
        <f t="array" ref="G342">INDEX(_xlfn.FILTERXML(E342,"//longitude"),1)</f>
        <v>#VALUE!</v>
      </c>
      <c r="H342">
        <v>35.757992000000002</v>
      </c>
      <c r="I342">
        <v>139.52967799999999</v>
      </c>
    </row>
    <row r="343" spans="4:9" x14ac:dyDescent="0.4">
      <c r="D343" s="2" t="str">
        <f t="shared" si="27"/>
        <v>http://geocode.csis.u-tokyo.ac.jp/cgi-bin/simple_geocode.cgi?charset=UTF8&amp;addr=</v>
      </c>
      <c r="E34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3" t="e" cm="1">
        <f t="array" ref="F343">INDEX(_xlfn.FILTERXML(E343,"//latitude"),1)</f>
        <v>#VALUE!</v>
      </c>
      <c r="G343" t="e" cm="1">
        <f t="array" ref="G343">INDEX(_xlfn.FILTERXML(E343,"//longitude"),1)</f>
        <v>#VALUE!</v>
      </c>
      <c r="H343">
        <v>34.835686000000003</v>
      </c>
      <c r="I343">
        <v>135.418442</v>
      </c>
    </row>
    <row r="344" spans="4:9" x14ac:dyDescent="0.4">
      <c r="D344" s="2" t="str">
        <f t="shared" si="27"/>
        <v>http://geocode.csis.u-tokyo.ac.jp/cgi-bin/simple_geocode.cgi?charset=UTF8&amp;addr=</v>
      </c>
      <c r="E34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4" t="e" cm="1">
        <f t="array" ref="F344">INDEX(_xlfn.FILTERXML(E344,"//latitude"),1)</f>
        <v>#VALUE!</v>
      </c>
      <c r="G344" t="e" cm="1">
        <f t="array" ref="G344">INDEX(_xlfn.FILTERXML(E344,"//longitude"),1)</f>
        <v>#VALUE!</v>
      </c>
      <c r="H344">
        <v>35.771675000000002</v>
      </c>
      <c r="I344">
        <v>139.66551200000001</v>
      </c>
    </row>
    <row r="345" spans="4:9" x14ac:dyDescent="0.4">
      <c r="D345" s="2" t="str">
        <f t="shared" si="27"/>
        <v>http://geocode.csis.u-tokyo.ac.jp/cgi-bin/simple_geocode.cgi?charset=UTF8&amp;addr=</v>
      </c>
      <c r="E34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5" t="e" cm="1">
        <f t="array" ref="F345">INDEX(_xlfn.FILTERXML(E345,"//latitude"),1)</f>
        <v>#VALUE!</v>
      </c>
      <c r="G345" t="e" cm="1">
        <f t="array" ref="G345">INDEX(_xlfn.FILTERXML(E345,"//longitude"),1)</f>
        <v>#VALUE!</v>
      </c>
      <c r="H345">
        <v>35.862247000000004</v>
      </c>
      <c r="I345">
        <v>139.78457599999999</v>
      </c>
    </row>
    <row r="346" spans="4:9" x14ac:dyDescent="0.4">
      <c r="D346" s="2" t="str">
        <f t="shared" si="27"/>
        <v>http://geocode.csis.u-tokyo.ac.jp/cgi-bin/simple_geocode.cgi?charset=UTF8&amp;addr=</v>
      </c>
      <c r="E34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6" t="e" cm="1">
        <f t="array" ref="F346">INDEX(_xlfn.FILTERXML(E346,"//latitude"),1)</f>
        <v>#VALUE!</v>
      </c>
      <c r="G346" t="e" cm="1">
        <f t="array" ref="G346">INDEX(_xlfn.FILTERXML(E346,"//longitude"),1)</f>
        <v>#VALUE!</v>
      </c>
      <c r="H346">
        <v>34.502276999999999</v>
      </c>
      <c r="I346">
        <v>133.388138</v>
      </c>
    </row>
    <row r="347" spans="4:9" x14ac:dyDescent="0.4">
      <c r="D347" s="2" t="str">
        <f t="shared" si="27"/>
        <v>http://geocode.csis.u-tokyo.ac.jp/cgi-bin/simple_geocode.cgi?charset=UTF8&amp;addr=</v>
      </c>
      <c r="E34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7" t="e" cm="1">
        <f t="array" ref="F347">INDEX(_xlfn.FILTERXML(E347,"//latitude"),1)</f>
        <v>#VALUE!</v>
      </c>
      <c r="G347" t="e" cm="1">
        <f t="array" ref="G347">INDEX(_xlfn.FILTERXML(E347,"//longitude"),1)</f>
        <v>#VALUE!</v>
      </c>
      <c r="H347">
        <v>35.333877999999999</v>
      </c>
      <c r="I347">
        <v>139.404709</v>
      </c>
    </row>
    <row r="348" spans="4:9" x14ac:dyDescent="0.4">
      <c r="D348" s="2" t="str">
        <f t="shared" si="27"/>
        <v>http://geocode.csis.u-tokyo.ac.jp/cgi-bin/simple_geocode.cgi?charset=UTF8&amp;addr=</v>
      </c>
      <c r="E34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8" t="e" cm="1">
        <f t="array" ref="F348">INDEX(_xlfn.FILTERXML(E348,"//latitude"),1)</f>
        <v>#VALUE!</v>
      </c>
      <c r="G348" t="e" cm="1">
        <f t="array" ref="G348">INDEX(_xlfn.FILTERXML(E348,"//longitude"),1)</f>
        <v>#VALUE!</v>
      </c>
      <c r="H348">
        <v>35.669144000000003</v>
      </c>
      <c r="I348">
        <v>139.67579699999999</v>
      </c>
    </row>
    <row r="349" spans="4:9" x14ac:dyDescent="0.4">
      <c r="D349" s="2" t="str">
        <f t="shared" si="27"/>
        <v>http://geocode.csis.u-tokyo.ac.jp/cgi-bin/simple_geocode.cgi?charset=UTF8&amp;addr=</v>
      </c>
      <c r="E34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49" t="e" cm="1">
        <f t="array" ref="F349">INDEX(_xlfn.FILTERXML(E349,"//latitude"),1)</f>
        <v>#VALUE!</v>
      </c>
      <c r="G349" t="e" cm="1">
        <f t="array" ref="G349">INDEX(_xlfn.FILTERXML(E349,"//longitude"),1)</f>
        <v>#VALUE!</v>
      </c>
      <c r="H349">
        <v>34.320213000000003</v>
      </c>
      <c r="I349">
        <v>133.84059099999999</v>
      </c>
    </row>
    <row r="350" spans="4:9" x14ac:dyDescent="0.4">
      <c r="D350" s="2" t="str">
        <f t="shared" si="27"/>
        <v>http://geocode.csis.u-tokyo.ac.jp/cgi-bin/simple_geocode.cgi?charset=UTF8&amp;addr=</v>
      </c>
      <c r="E35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0" t="e" cm="1">
        <f t="array" ref="F350">INDEX(_xlfn.FILTERXML(E350,"//latitude"),1)</f>
        <v>#VALUE!</v>
      </c>
      <c r="G350" t="e" cm="1">
        <f t="array" ref="G350">INDEX(_xlfn.FILTERXML(E350,"//longitude"),1)</f>
        <v>#VALUE!</v>
      </c>
      <c r="H350">
        <v>35.927376000000002</v>
      </c>
      <c r="I350">
        <v>139.66270399999999</v>
      </c>
    </row>
    <row r="351" spans="4:9" x14ac:dyDescent="0.4">
      <c r="D351" s="2" t="str">
        <f t="shared" si="27"/>
        <v>http://geocode.csis.u-tokyo.ac.jp/cgi-bin/simple_geocode.cgi?charset=UTF8&amp;addr=</v>
      </c>
      <c r="E35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1" t="e" cm="1">
        <f t="array" ref="F351">INDEX(_xlfn.FILTERXML(E351,"//latitude"),1)</f>
        <v>#VALUE!</v>
      </c>
      <c r="G351" t="e" cm="1">
        <f t="array" ref="G351">INDEX(_xlfn.FILTERXML(E351,"//longitude"),1)</f>
        <v>#VALUE!</v>
      </c>
      <c r="H351">
        <v>34.588470000000001</v>
      </c>
      <c r="I351">
        <v>135.48254399999999</v>
      </c>
    </row>
    <row r="352" spans="4:9" x14ac:dyDescent="0.4">
      <c r="D352" s="2" t="str">
        <f t="shared" si="27"/>
        <v>http://geocode.csis.u-tokyo.ac.jp/cgi-bin/simple_geocode.cgi?charset=UTF8&amp;addr=</v>
      </c>
      <c r="E35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2" t="e" cm="1">
        <f t="array" ref="F352">INDEX(_xlfn.FILTERXML(E352,"//latitude"),1)</f>
        <v>#VALUE!</v>
      </c>
      <c r="G352" t="e" cm="1">
        <f t="array" ref="G352">INDEX(_xlfn.FILTERXML(E352,"//longitude"),1)</f>
        <v>#VALUE!</v>
      </c>
      <c r="H352">
        <v>35.240566000000001</v>
      </c>
      <c r="I352">
        <v>136.94551100000001</v>
      </c>
    </row>
    <row r="353" spans="4:9" x14ac:dyDescent="0.4">
      <c r="D353" s="2" t="str">
        <f t="shared" si="27"/>
        <v>http://geocode.csis.u-tokyo.ac.jp/cgi-bin/simple_geocode.cgi?charset=UTF8&amp;addr=</v>
      </c>
      <c r="E35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3" t="e" cm="1">
        <f t="array" ref="F353">INDEX(_xlfn.FILTERXML(E353,"//latitude"),1)</f>
        <v>#VALUE!</v>
      </c>
      <c r="G353" t="e" cm="1">
        <f t="array" ref="G353">INDEX(_xlfn.FILTERXML(E353,"//longitude"),1)</f>
        <v>#VALUE!</v>
      </c>
      <c r="H353">
        <v>43.770797999999999</v>
      </c>
      <c r="I353">
        <v>142.36479199999999</v>
      </c>
    </row>
    <row r="354" spans="4:9" x14ac:dyDescent="0.4">
      <c r="D354" s="2" t="str">
        <f t="shared" si="27"/>
        <v>http://geocode.csis.u-tokyo.ac.jp/cgi-bin/simple_geocode.cgi?charset=UTF8&amp;addr=</v>
      </c>
      <c r="E35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4" t="e" cm="1">
        <f t="array" ref="F354">INDEX(_xlfn.FILTERXML(E354,"//latitude"),1)</f>
        <v>#VALUE!</v>
      </c>
      <c r="G354" t="e" cm="1">
        <f t="array" ref="G354">INDEX(_xlfn.FILTERXML(E354,"//longitude"),1)</f>
        <v>#VALUE!</v>
      </c>
      <c r="H354">
        <v>35.708111000000002</v>
      </c>
      <c r="I354">
        <v>139.78387499999999</v>
      </c>
    </row>
    <row r="355" spans="4:9" x14ac:dyDescent="0.4">
      <c r="D355" s="2" t="str">
        <f t="shared" si="27"/>
        <v>http://geocode.csis.u-tokyo.ac.jp/cgi-bin/simple_geocode.cgi?charset=UTF8&amp;addr=</v>
      </c>
      <c r="E35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5" t="e" cm="1">
        <f t="array" ref="F355">INDEX(_xlfn.FILTERXML(E355,"//latitude"),1)</f>
        <v>#VALUE!</v>
      </c>
      <c r="G355" t="e" cm="1">
        <f t="array" ref="G355">INDEX(_xlfn.FILTERXML(E355,"//longitude"),1)</f>
        <v>#VALUE!</v>
      </c>
      <c r="H355">
        <v>35.579971</v>
      </c>
      <c r="I355">
        <v>139.555374</v>
      </c>
    </row>
    <row r="356" spans="4:9" x14ac:dyDescent="0.4">
      <c r="D356" s="2" t="str">
        <f t="shared" si="27"/>
        <v>http://geocode.csis.u-tokyo.ac.jp/cgi-bin/simple_geocode.cgi?charset=UTF8&amp;addr=</v>
      </c>
      <c r="E35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6" t="e" cm="1">
        <f t="array" ref="F356">INDEX(_xlfn.FILTERXML(E356,"//latitude"),1)</f>
        <v>#VALUE!</v>
      </c>
      <c r="G356" t="e" cm="1">
        <f t="array" ref="G356">INDEX(_xlfn.FILTERXML(E356,"//longitude"),1)</f>
        <v>#VALUE!</v>
      </c>
      <c r="H356">
        <v>35.694065000000002</v>
      </c>
      <c r="I356">
        <v>139.40458699999999</v>
      </c>
    </row>
    <row r="357" spans="4:9" x14ac:dyDescent="0.4">
      <c r="D357" s="2" t="str">
        <f t="shared" si="27"/>
        <v>http://geocode.csis.u-tokyo.ac.jp/cgi-bin/simple_geocode.cgi?charset=UTF8&amp;addr=</v>
      </c>
      <c r="E35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7" t="e" cm="1">
        <f t="array" ref="F357">INDEX(_xlfn.FILTERXML(E357,"//latitude"),1)</f>
        <v>#VALUE!</v>
      </c>
      <c r="G357" t="e" cm="1">
        <f t="array" ref="G357">INDEX(_xlfn.FILTERXML(E357,"//longitude"),1)</f>
        <v>#VALUE!</v>
      </c>
      <c r="H357">
        <v>34.737690000000001</v>
      </c>
      <c r="I357">
        <v>135.34182699999999</v>
      </c>
    </row>
    <row r="358" spans="4:9" x14ac:dyDescent="0.4">
      <c r="D358" s="2" t="str">
        <f t="shared" si="27"/>
        <v>http://geocode.csis.u-tokyo.ac.jp/cgi-bin/simple_geocode.cgi?charset=UTF8&amp;addr=</v>
      </c>
      <c r="E35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8" t="e" cm="1">
        <f t="array" ref="F358">INDEX(_xlfn.FILTERXML(E358,"//latitude"),1)</f>
        <v>#VALUE!</v>
      </c>
      <c r="G358" t="e" cm="1">
        <f t="array" ref="G358">INDEX(_xlfn.FILTERXML(E358,"//longitude"),1)</f>
        <v>#VALUE!</v>
      </c>
      <c r="H358">
        <v>34.701037999999997</v>
      </c>
      <c r="I358">
        <v>135.54368600000001</v>
      </c>
    </row>
    <row r="359" spans="4:9" x14ac:dyDescent="0.4">
      <c r="D359" s="2" t="str">
        <f t="shared" si="27"/>
        <v>http://geocode.csis.u-tokyo.ac.jp/cgi-bin/simple_geocode.cgi?charset=UTF8&amp;addr=</v>
      </c>
      <c r="E35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59" t="e" cm="1">
        <f t="array" ref="F359">INDEX(_xlfn.FILTERXML(E359,"//latitude"),1)</f>
        <v>#VALUE!</v>
      </c>
      <c r="G359" t="e" cm="1">
        <f t="array" ref="G359">INDEX(_xlfn.FILTERXML(E359,"//longitude"),1)</f>
        <v>#VALUE!</v>
      </c>
      <c r="H359">
        <v>32.784813</v>
      </c>
      <c r="I359">
        <v>130.795975</v>
      </c>
    </row>
    <row r="360" spans="4:9" x14ac:dyDescent="0.4">
      <c r="D360" s="2" t="str">
        <f t="shared" si="27"/>
        <v>http://geocode.csis.u-tokyo.ac.jp/cgi-bin/simple_geocode.cgi?charset=UTF8&amp;addr=</v>
      </c>
      <c r="E36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0" t="e" cm="1">
        <f t="array" ref="F360">INDEX(_xlfn.FILTERXML(E360,"//latitude"),1)</f>
        <v>#VALUE!</v>
      </c>
      <c r="G360" t="e" cm="1">
        <f t="array" ref="G360">INDEX(_xlfn.FILTERXML(E360,"//longitude"),1)</f>
        <v>#VALUE!</v>
      </c>
      <c r="H360">
        <v>36.190842000000004</v>
      </c>
      <c r="I360">
        <v>140.28724700000001</v>
      </c>
    </row>
    <row r="361" spans="4:9" x14ac:dyDescent="0.4">
      <c r="D361" s="2" t="str">
        <f t="shared" si="27"/>
        <v>http://geocode.csis.u-tokyo.ac.jp/cgi-bin/simple_geocode.cgi?charset=UTF8&amp;addr=</v>
      </c>
      <c r="E36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1" t="e" cm="1">
        <f t="array" ref="F361">INDEX(_xlfn.FILTERXML(E361,"//latitude"),1)</f>
        <v>#VALUE!</v>
      </c>
      <c r="G361" t="e" cm="1">
        <f t="array" ref="G361">INDEX(_xlfn.FILTERXML(E361,"//longitude"),1)</f>
        <v>#VALUE!</v>
      </c>
      <c r="H361">
        <v>38.437328000000001</v>
      </c>
      <c r="I361">
        <v>140.88630699999999</v>
      </c>
    </row>
    <row r="362" spans="4:9" x14ac:dyDescent="0.4">
      <c r="D362" s="2" t="str">
        <f t="shared" si="27"/>
        <v>http://geocode.csis.u-tokyo.ac.jp/cgi-bin/simple_geocode.cgi?charset=UTF8&amp;addr=</v>
      </c>
      <c r="E36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2" t="e" cm="1">
        <f t="array" ref="F362">INDEX(_xlfn.FILTERXML(E362,"//latitude"),1)</f>
        <v>#VALUE!</v>
      </c>
      <c r="G362" t="e" cm="1">
        <f t="array" ref="G362">INDEX(_xlfn.FILTERXML(E362,"//longitude"),1)</f>
        <v>#VALUE!</v>
      </c>
      <c r="H362">
        <v>35.524231</v>
      </c>
      <c r="I362">
        <v>140.29426599999999</v>
      </c>
    </row>
    <row r="363" spans="4:9" x14ac:dyDescent="0.4">
      <c r="D363" s="2" t="str">
        <f t="shared" si="27"/>
        <v>http://geocode.csis.u-tokyo.ac.jp/cgi-bin/simple_geocode.cgi?charset=UTF8&amp;addr=</v>
      </c>
      <c r="E36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3" t="e" cm="1">
        <f t="array" ref="F363">INDEX(_xlfn.FILTERXML(E363,"//latitude"),1)</f>
        <v>#VALUE!</v>
      </c>
      <c r="G363" t="e" cm="1">
        <f t="array" ref="G363">INDEX(_xlfn.FILTERXML(E363,"//longitude"),1)</f>
        <v>#VALUE!</v>
      </c>
      <c r="H363">
        <v>35.386459000000002</v>
      </c>
      <c r="I363">
        <v>136.265488</v>
      </c>
    </row>
    <row r="364" spans="4:9" x14ac:dyDescent="0.4">
      <c r="D364" s="2" t="str">
        <f t="shared" si="27"/>
        <v>http://geocode.csis.u-tokyo.ac.jp/cgi-bin/simple_geocode.cgi?charset=UTF8&amp;addr=</v>
      </c>
      <c r="E36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4" t="e" cm="1">
        <f t="array" ref="F364">INDEX(_xlfn.FILTERXML(E364,"//latitude"),1)</f>
        <v>#VALUE!</v>
      </c>
      <c r="G364" t="e" cm="1">
        <f t="array" ref="G364">INDEX(_xlfn.FILTERXML(E364,"//longitude"),1)</f>
        <v>#VALUE!</v>
      </c>
      <c r="H364">
        <v>35.400677000000002</v>
      </c>
      <c r="I364">
        <v>139.591217</v>
      </c>
    </row>
    <row r="365" spans="4:9" x14ac:dyDescent="0.4">
      <c r="D365" s="2" t="str">
        <f t="shared" si="27"/>
        <v>http://geocode.csis.u-tokyo.ac.jp/cgi-bin/simple_geocode.cgi?charset=UTF8&amp;addr=</v>
      </c>
      <c r="E36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5" t="e" cm="1">
        <f t="array" ref="F365">INDEX(_xlfn.FILTERXML(E365,"//latitude"),1)</f>
        <v>#VALUE!</v>
      </c>
      <c r="G365" t="e" cm="1">
        <f t="array" ref="G365">INDEX(_xlfn.FILTERXML(E365,"//longitude"),1)</f>
        <v>#VALUE!</v>
      </c>
      <c r="H365">
        <v>35.710940999999998</v>
      </c>
      <c r="I365">
        <v>139.46225000000001</v>
      </c>
    </row>
    <row r="366" spans="4:9" x14ac:dyDescent="0.4">
      <c r="D366" s="2" t="str">
        <f t="shared" si="27"/>
        <v>http://geocode.csis.u-tokyo.ac.jp/cgi-bin/simple_geocode.cgi?charset=UTF8&amp;addr=</v>
      </c>
      <c r="E36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6" t="e" cm="1">
        <f t="array" ref="F366">INDEX(_xlfn.FILTERXML(E366,"//latitude"),1)</f>
        <v>#VALUE!</v>
      </c>
      <c r="G366" t="e" cm="1">
        <f t="array" ref="G366">INDEX(_xlfn.FILTERXML(E366,"//longitude"),1)</f>
        <v>#VALUE!</v>
      </c>
      <c r="H366">
        <v>35.021614</v>
      </c>
      <c r="I366">
        <v>135.997986</v>
      </c>
    </row>
    <row r="367" spans="4:9" x14ac:dyDescent="0.4">
      <c r="D367" s="2" t="str">
        <f t="shared" si="27"/>
        <v>http://geocode.csis.u-tokyo.ac.jp/cgi-bin/simple_geocode.cgi?charset=UTF8&amp;addr=</v>
      </c>
      <c r="E36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7" t="e" cm="1">
        <f t="array" ref="F367">INDEX(_xlfn.FILTERXML(E367,"//latitude"),1)</f>
        <v>#VALUE!</v>
      </c>
      <c r="G367" t="e" cm="1">
        <f t="array" ref="G367">INDEX(_xlfn.FILTERXML(E367,"//longitude"),1)</f>
        <v>#VALUE!</v>
      </c>
      <c r="H367">
        <v>35.429161000000001</v>
      </c>
      <c r="I367">
        <v>136.80055200000001</v>
      </c>
    </row>
    <row r="368" spans="4:9" x14ac:dyDescent="0.4">
      <c r="D368" s="2" t="str">
        <f t="shared" si="27"/>
        <v>http://geocode.csis.u-tokyo.ac.jp/cgi-bin/simple_geocode.cgi?charset=UTF8&amp;addr=</v>
      </c>
      <c r="E36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8" t="e" cm="1">
        <f t="array" ref="F368">INDEX(_xlfn.FILTERXML(E368,"//latitude"),1)</f>
        <v>#VALUE!</v>
      </c>
      <c r="G368" t="e" cm="1">
        <f t="array" ref="G368">INDEX(_xlfn.FILTERXML(E368,"//longitude"),1)</f>
        <v>#VALUE!</v>
      </c>
      <c r="H368">
        <v>37.437866</v>
      </c>
      <c r="I368">
        <v>138.843964</v>
      </c>
    </row>
    <row r="369" spans="4:9" x14ac:dyDescent="0.4">
      <c r="D369" s="2" t="str">
        <f t="shared" si="27"/>
        <v>http://geocode.csis.u-tokyo.ac.jp/cgi-bin/simple_geocode.cgi?charset=UTF8&amp;addr=</v>
      </c>
      <c r="E369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69" t="e" cm="1">
        <f t="array" ref="F369">INDEX(_xlfn.FILTERXML(E369,"//latitude"),1)</f>
        <v>#VALUE!</v>
      </c>
      <c r="G369" t="e" cm="1">
        <f t="array" ref="G369">INDEX(_xlfn.FILTERXML(E369,"//longitude"),1)</f>
        <v>#VALUE!</v>
      </c>
      <c r="H369">
        <v>35.408203</v>
      </c>
      <c r="I369">
        <v>139.937668</v>
      </c>
    </row>
    <row r="370" spans="4:9" x14ac:dyDescent="0.4">
      <c r="D370" s="2" t="str">
        <f t="shared" si="27"/>
        <v>http://geocode.csis.u-tokyo.ac.jp/cgi-bin/simple_geocode.cgi?charset=UTF8&amp;addr=</v>
      </c>
      <c r="E370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0" t="e" cm="1">
        <f t="array" ref="F370">INDEX(_xlfn.FILTERXML(E370,"//latitude"),1)</f>
        <v>#VALUE!</v>
      </c>
      <c r="G370" t="e" cm="1">
        <f t="array" ref="G370">INDEX(_xlfn.FILTERXML(E370,"//longitude"),1)</f>
        <v>#VALUE!</v>
      </c>
      <c r="H370">
        <v>33.728008000000003</v>
      </c>
      <c r="I370">
        <v>135.377655</v>
      </c>
    </row>
    <row r="371" spans="4:9" x14ac:dyDescent="0.4">
      <c r="D371" s="2" t="str">
        <f t="shared" si="27"/>
        <v>http://geocode.csis.u-tokyo.ac.jp/cgi-bin/simple_geocode.cgi?charset=UTF8&amp;addr=</v>
      </c>
      <c r="E371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1" t="e" cm="1">
        <f t="array" ref="F371">INDEX(_xlfn.FILTERXML(E371,"//latitude"),1)</f>
        <v>#VALUE!</v>
      </c>
      <c r="G371" t="e" cm="1">
        <f t="array" ref="G371">INDEX(_xlfn.FILTERXML(E371,"//longitude"),1)</f>
        <v>#VALUE!</v>
      </c>
      <c r="H371">
        <v>34.917926999999999</v>
      </c>
      <c r="I371">
        <v>134.75614899999999</v>
      </c>
    </row>
    <row r="372" spans="4:9" x14ac:dyDescent="0.4">
      <c r="D372" s="2" t="str">
        <f t="shared" si="27"/>
        <v>http://geocode.csis.u-tokyo.ac.jp/cgi-bin/simple_geocode.cgi?charset=UTF8&amp;addr=</v>
      </c>
      <c r="E372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2" t="e" cm="1">
        <f t="array" ref="F372">INDEX(_xlfn.FILTERXML(E372,"//latitude"),1)</f>
        <v>#VALUE!</v>
      </c>
      <c r="G372" t="e" cm="1">
        <f t="array" ref="G372">INDEX(_xlfn.FILTERXML(E372,"//longitude"),1)</f>
        <v>#VALUE!</v>
      </c>
      <c r="H372">
        <v>36.043582999999998</v>
      </c>
      <c r="I372">
        <v>139.64726300000001</v>
      </c>
    </row>
    <row r="373" spans="4:9" x14ac:dyDescent="0.4">
      <c r="D373" s="2" t="str">
        <f t="shared" si="27"/>
        <v>http://geocode.csis.u-tokyo.ac.jp/cgi-bin/simple_geocode.cgi?charset=UTF8&amp;addr=</v>
      </c>
      <c r="E373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3" t="e" cm="1">
        <f t="array" ref="F373">INDEX(_xlfn.FILTERXML(E373,"//latitude"),1)</f>
        <v>#VALUE!</v>
      </c>
      <c r="G373" t="e" cm="1">
        <f t="array" ref="G373">INDEX(_xlfn.FILTERXML(E373,"//longitude"),1)</f>
        <v>#VALUE!</v>
      </c>
      <c r="H373">
        <v>34.982532999999997</v>
      </c>
      <c r="I373">
        <v>135.728058</v>
      </c>
    </row>
    <row r="374" spans="4:9" x14ac:dyDescent="0.4">
      <c r="D374" s="2" t="str">
        <f t="shared" si="27"/>
        <v>http://geocode.csis.u-tokyo.ac.jp/cgi-bin/simple_geocode.cgi?charset=UTF8&amp;addr=</v>
      </c>
      <c r="E374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4" t="e" cm="1">
        <f t="array" ref="F374">INDEX(_xlfn.FILTERXML(E374,"//latitude"),1)</f>
        <v>#VALUE!</v>
      </c>
      <c r="G374" t="e" cm="1">
        <f t="array" ref="G374">INDEX(_xlfn.FILTERXML(E374,"//longitude"),1)</f>
        <v>#VALUE!</v>
      </c>
      <c r="H374">
        <v>35.493454</v>
      </c>
      <c r="I374">
        <v>135.58235199999999</v>
      </c>
    </row>
    <row r="375" spans="4:9" x14ac:dyDescent="0.4">
      <c r="D375" s="2" t="str">
        <f t="shared" si="27"/>
        <v>http://geocode.csis.u-tokyo.ac.jp/cgi-bin/simple_geocode.cgi?charset=UTF8&amp;addr=</v>
      </c>
      <c r="E375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5" t="e" cm="1">
        <f t="array" ref="F375">INDEX(_xlfn.FILTERXML(E375,"//latitude"),1)</f>
        <v>#VALUE!</v>
      </c>
      <c r="G375" t="e" cm="1">
        <f t="array" ref="G375">INDEX(_xlfn.FILTERXML(E375,"//longitude"),1)</f>
        <v>#VALUE!</v>
      </c>
      <c r="H375">
        <v>35.015732</v>
      </c>
      <c r="I375">
        <v>138.489609</v>
      </c>
    </row>
    <row r="376" spans="4:9" x14ac:dyDescent="0.4">
      <c r="D376" s="2" t="str">
        <f t="shared" si="27"/>
        <v>http://geocode.csis.u-tokyo.ac.jp/cgi-bin/simple_geocode.cgi?charset=UTF8&amp;addr=</v>
      </c>
      <c r="E376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6" t="e" cm="1">
        <f t="array" ref="F376">INDEX(_xlfn.FILTERXML(E376,"//latitude"),1)</f>
        <v>#VALUE!</v>
      </c>
      <c r="G376" t="e" cm="1">
        <f t="array" ref="G376">INDEX(_xlfn.FILTERXML(E376,"//longitude"),1)</f>
        <v>#VALUE!</v>
      </c>
      <c r="H376">
        <v>35.078803999999998</v>
      </c>
      <c r="I376">
        <v>136.79115300000001</v>
      </c>
    </row>
    <row r="377" spans="4:9" x14ac:dyDescent="0.4">
      <c r="D377" s="2" t="str">
        <f t="shared" si="27"/>
        <v>http://geocode.csis.u-tokyo.ac.jp/cgi-bin/simple_geocode.cgi?charset=UTF8&amp;addr=</v>
      </c>
      <c r="E377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7" t="e" cm="1">
        <f t="array" ref="F377">INDEX(_xlfn.FILTERXML(E377,"//latitude"),1)</f>
        <v>#VALUE!</v>
      </c>
      <c r="G377" t="e" cm="1">
        <f t="array" ref="G377">INDEX(_xlfn.FILTERXML(E377,"//longitude"),1)</f>
        <v>#VALUE!</v>
      </c>
      <c r="H377">
        <v>34.856026</v>
      </c>
      <c r="I377">
        <v>134.705963</v>
      </c>
    </row>
    <row r="378" spans="4:9" x14ac:dyDescent="0.4">
      <c r="D378" s="2" t="str">
        <f t="shared" si="27"/>
        <v>http://geocode.csis.u-tokyo.ac.jp/cgi-bin/simple_geocode.cgi?charset=UTF8&amp;addr=</v>
      </c>
      <c r="E378" t="str">
        <f t="shared" si="28"/>
        <v xml:space="preserve">&lt;?xml version="1.0" encoding="UTF-8" ?&gt;
&lt;results&gt;
&lt;query&gt;&lt;/query&gt;
&lt;geodetic&gt;wgs1984&lt;/geodetic&gt;
&lt;iConf&gt;0&lt;/iConf&gt;
&lt;converted&gt;&lt;/converted&gt;
&lt;/results&gt;
</v>
      </c>
      <c r="F378" t="e" cm="1">
        <f t="array" ref="F378">INDEX(_xlfn.FILTERXML(E378,"//latitude"),1)</f>
        <v>#VALUE!</v>
      </c>
      <c r="G378" t="e" cm="1">
        <f t="array" ref="G378">INDEX(_xlfn.FILTERXML(E378,"//longitude"),1)</f>
        <v>#VALUE!</v>
      </c>
      <c r="H378">
        <v>38.751883999999997</v>
      </c>
      <c r="I378">
        <v>139.84021000000001</v>
      </c>
    </row>
    <row r="379" spans="4:9" x14ac:dyDescent="0.4">
      <c r="D379" s="2" t="str">
        <f t="shared" ref="D379:D442" si="29" xml:space="preserve"> "http://geocode.csis.u-tokyo.ac.jp/cgi-bin/simple_geocode.cgi?charset=UTF8&amp;addr=" &amp; _xlfn.ENCODEURL(C379)</f>
        <v>http://geocode.csis.u-tokyo.ac.jp/cgi-bin/simple_geocode.cgi?charset=UTF8&amp;addr=</v>
      </c>
      <c r="E379" t="str">
        <f t="shared" ref="E379:E442" si="30" xml:space="preserve"> _xlfn.WEBSERVICE(D379)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379" t="e" cm="1">
        <f t="array" ref="F379">INDEX(_xlfn.FILTERXML(E379,"//latitude"),1)</f>
        <v>#VALUE!</v>
      </c>
      <c r="G379" t="e" cm="1">
        <f t="array" ref="G379">INDEX(_xlfn.FILTERXML(E379,"//longitude"),1)</f>
        <v>#VALUE!</v>
      </c>
      <c r="H379">
        <v>33.142017000000003</v>
      </c>
      <c r="I379">
        <v>130.44596899999999</v>
      </c>
    </row>
    <row r="380" spans="4:9" x14ac:dyDescent="0.4">
      <c r="D380" s="2" t="str">
        <f t="shared" si="29"/>
        <v>http://geocode.csis.u-tokyo.ac.jp/cgi-bin/simple_geocode.cgi?charset=UTF8&amp;addr=</v>
      </c>
      <c r="E38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0" t="e" cm="1">
        <f t="array" ref="F380">INDEX(_xlfn.FILTERXML(E380,"//latitude"),1)</f>
        <v>#VALUE!</v>
      </c>
      <c r="G380" t="e" cm="1">
        <f t="array" ref="G380">INDEX(_xlfn.FILTERXML(E380,"//longitude"),1)</f>
        <v>#VALUE!</v>
      </c>
      <c r="H380">
        <v>35.590125999999998</v>
      </c>
      <c r="I380">
        <v>139.73457300000001</v>
      </c>
    </row>
    <row r="381" spans="4:9" x14ac:dyDescent="0.4">
      <c r="D381" s="2" t="str">
        <f t="shared" si="29"/>
        <v>http://geocode.csis.u-tokyo.ac.jp/cgi-bin/simple_geocode.cgi?charset=UTF8&amp;addr=</v>
      </c>
      <c r="E38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1" t="e" cm="1">
        <f t="array" ref="F381">INDEX(_xlfn.FILTERXML(E381,"//latitude"),1)</f>
        <v>#VALUE!</v>
      </c>
      <c r="G381" t="e" cm="1">
        <f t="array" ref="G381">INDEX(_xlfn.FILTERXML(E381,"//longitude"),1)</f>
        <v>#VALUE!</v>
      </c>
      <c r="H381" s="3">
        <v>35.671348999999999</v>
      </c>
      <c r="I381" s="3">
        <v>139.39497399999999</v>
      </c>
    </row>
    <row r="382" spans="4:9" x14ac:dyDescent="0.4">
      <c r="D382" s="2" t="str">
        <f t="shared" si="29"/>
        <v>http://geocode.csis.u-tokyo.ac.jp/cgi-bin/simple_geocode.cgi?charset=UTF8&amp;addr=</v>
      </c>
      <c r="E38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2" t="e" cm="1">
        <f t="array" ref="F382">INDEX(_xlfn.FILTERXML(E382,"//latitude"),1)</f>
        <v>#VALUE!</v>
      </c>
      <c r="G382" t="e" cm="1">
        <f t="array" ref="G382">INDEX(_xlfn.FILTERXML(E382,"//longitude"),1)</f>
        <v>#VALUE!</v>
      </c>
      <c r="H382">
        <v>36.648570999999997</v>
      </c>
      <c r="I382">
        <v>138.18942300000001</v>
      </c>
    </row>
    <row r="383" spans="4:9" x14ac:dyDescent="0.4">
      <c r="D383" s="2" t="str">
        <f t="shared" si="29"/>
        <v>http://geocode.csis.u-tokyo.ac.jp/cgi-bin/simple_geocode.cgi?charset=UTF8&amp;addr=</v>
      </c>
      <c r="E38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3" t="e" cm="1">
        <f t="array" ref="F383">INDEX(_xlfn.FILTERXML(E383,"//latitude"),1)</f>
        <v>#VALUE!</v>
      </c>
      <c r="G383" t="e" cm="1">
        <f t="array" ref="G383">INDEX(_xlfn.FILTERXML(E383,"//longitude"),1)</f>
        <v>#VALUE!</v>
      </c>
      <c r="H383">
        <v>35.203014000000003</v>
      </c>
      <c r="I383">
        <v>136.994629</v>
      </c>
    </row>
    <row r="384" spans="4:9" x14ac:dyDescent="0.4">
      <c r="D384" s="2" t="str">
        <f t="shared" si="29"/>
        <v>http://geocode.csis.u-tokyo.ac.jp/cgi-bin/simple_geocode.cgi?charset=UTF8&amp;addr=</v>
      </c>
      <c r="E38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4" t="e" cm="1">
        <f t="array" ref="F384">INDEX(_xlfn.FILTERXML(E384,"//latitude"),1)</f>
        <v>#VALUE!</v>
      </c>
      <c r="G384" t="e" cm="1">
        <f t="array" ref="G384">INDEX(_xlfn.FILTERXML(E384,"//longitude"),1)</f>
        <v>#VALUE!</v>
      </c>
      <c r="H384">
        <v>34.770797999999999</v>
      </c>
      <c r="I384">
        <v>135.634964</v>
      </c>
    </row>
    <row r="385" spans="4:9" x14ac:dyDescent="0.4">
      <c r="D385" s="2" t="str">
        <f t="shared" si="29"/>
        <v>http://geocode.csis.u-tokyo.ac.jp/cgi-bin/simple_geocode.cgi?charset=UTF8&amp;addr=</v>
      </c>
      <c r="E38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5" t="e" cm="1">
        <f t="array" ref="F385">INDEX(_xlfn.FILTERXML(E385,"//latitude"),1)</f>
        <v>#VALUE!</v>
      </c>
      <c r="G385" t="e" cm="1">
        <f t="array" ref="G385">INDEX(_xlfn.FILTERXML(E385,"//longitude"),1)</f>
        <v>#VALUE!</v>
      </c>
      <c r="H385">
        <v>34.743552999999999</v>
      </c>
      <c r="I385">
        <v>135.51869199999999</v>
      </c>
    </row>
    <row r="386" spans="4:9" x14ac:dyDescent="0.4">
      <c r="D386" s="2" t="str">
        <f t="shared" si="29"/>
        <v>http://geocode.csis.u-tokyo.ac.jp/cgi-bin/simple_geocode.cgi?charset=UTF8&amp;addr=</v>
      </c>
      <c r="E38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6" t="e" cm="1">
        <f t="array" ref="F386">INDEX(_xlfn.FILTERXML(E386,"//latitude"),1)</f>
        <v>#VALUE!</v>
      </c>
      <c r="G386" t="e" cm="1">
        <f t="array" ref="G386">INDEX(_xlfn.FILTERXML(E386,"//longitude"),1)</f>
        <v>#VALUE!</v>
      </c>
      <c r="H386">
        <v>35.646481000000001</v>
      </c>
      <c r="I386">
        <v>139.65321399999999</v>
      </c>
    </row>
    <row r="387" spans="4:9" x14ac:dyDescent="0.4">
      <c r="D387" s="2" t="str">
        <f t="shared" si="29"/>
        <v>http://geocode.csis.u-tokyo.ac.jp/cgi-bin/simple_geocode.cgi?charset=UTF8&amp;addr=</v>
      </c>
      <c r="E38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7" t="e" cm="1">
        <f t="array" ref="F387">INDEX(_xlfn.FILTERXML(E387,"//latitude"),1)</f>
        <v>#VALUE!</v>
      </c>
      <c r="G387" t="e" cm="1">
        <f t="array" ref="G387">INDEX(_xlfn.FILTERXML(E387,"//longitude"),1)</f>
        <v>#VALUE!</v>
      </c>
      <c r="H387">
        <v>36.297339999999998</v>
      </c>
      <c r="I387">
        <v>139.87222299999999</v>
      </c>
    </row>
    <row r="388" spans="4:9" x14ac:dyDescent="0.4">
      <c r="D388" s="2" t="str">
        <f t="shared" si="29"/>
        <v>http://geocode.csis.u-tokyo.ac.jp/cgi-bin/simple_geocode.cgi?charset=UTF8&amp;addr=</v>
      </c>
      <c r="E38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8" t="e" cm="1">
        <f t="array" ref="F388">INDEX(_xlfn.FILTERXML(E388,"//latitude"),1)</f>
        <v>#VALUE!</v>
      </c>
      <c r="G388" t="e" cm="1">
        <f t="array" ref="G388">INDEX(_xlfn.FILTERXML(E388,"//longitude"),1)</f>
        <v>#VALUE!</v>
      </c>
      <c r="H388">
        <v>35.668331000000002</v>
      </c>
      <c r="I388">
        <v>139.27056899999999</v>
      </c>
    </row>
    <row r="389" spans="4:9" x14ac:dyDescent="0.4">
      <c r="D389" s="2" t="str">
        <f t="shared" si="29"/>
        <v>http://geocode.csis.u-tokyo.ac.jp/cgi-bin/simple_geocode.cgi?charset=UTF8&amp;addr=</v>
      </c>
      <c r="E38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89" t="e" cm="1">
        <f t="array" ref="F389">INDEX(_xlfn.FILTERXML(E389,"//latitude"),1)</f>
        <v>#VALUE!</v>
      </c>
      <c r="G389" t="e" cm="1">
        <f t="array" ref="G389">INDEX(_xlfn.FILTERXML(E389,"//longitude"),1)</f>
        <v>#VALUE!</v>
      </c>
      <c r="H389">
        <v>36.232761000000004</v>
      </c>
      <c r="I389">
        <v>139.27096599999999</v>
      </c>
    </row>
    <row r="390" spans="4:9" x14ac:dyDescent="0.4">
      <c r="D390" s="2" t="str">
        <f t="shared" si="29"/>
        <v>http://geocode.csis.u-tokyo.ac.jp/cgi-bin/simple_geocode.cgi?charset=UTF8&amp;addr=</v>
      </c>
      <c r="E39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0" t="e" cm="1">
        <f t="array" ref="F390">INDEX(_xlfn.FILTERXML(E390,"//latitude"),1)</f>
        <v>#VALUE!</v>
      </c>
      <c r="G390" t="e" cm="1">
        <f t="array" ref="G390">INDEX(_xlfn.FILTERXML(E390,"//longitude"),1)</f>
        <v>#VALUE!</v>
      </c>
      <c r="H390">
        <v>35.535587</v>
      </c>
      <c r="I390">
        <v>139.63743600000001</v>
      </c>
    </row>
    <row r="391" spans="4:9" x14ac:dyDescent="0.4">
      <c r="D391" s="2" t="str">
        <f t="shared" si="29"/>
        <v>http://geocode.csis.u-tokyo.ac.jp/cgi-bin/simple_geocode.cgi?charset=UTF8&amp;addr=</v>
      </c>
      <c r="E39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1" t="e" cm="1">
        <f t="array" ref="F391">INDEX(_xlfn.FILTERXML(E391,"//latitude"),1)</f>
        <v>#VALUE!</v>
      </c>
      <c r="G391" t="e" cm="1">
        <f t="array" ref="G391">INDEX(_xlfn.FILTERXML(E391,"//longitude"),1)</f>
        <v>#VALUE!</v>
      </c>
      <c r="H391">
        <v>35.436321</v>
      </c>
      <c r="I391">
        <v>139.54478499999999</v>
      </c>
    </row>
    <row r="392" spans="4:9" x14ac:dyDescent="0.4">
      <c r="D392" s="2" t="str">
        <f t="shared" si="29"/>
        <v>http://geocode.csis.u-tokyo.ac.jp/cgi-bin/simple_geocode.cgi?charset=UTF8&amp;addr=</v>
      </c>
      <c r="E39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2" t="e" cm="1">
        <f t="array" ref="F392">INDEX(_xlfn.FILTERXML(E392,"//latitude"),1)</f>
        <v>#VALUE!</v>
      </c>
      <c r="G392" t="e" cm="1">
        <f t="array" ref="G392">INDEX(_xlfn.FILTERXML(E392,"//longitude"),1)</f>
        <v>#VALUE!</v>
      </c>
      <c r="H392">
        <v>35.791167999999999</v>
      </c>
      <c r="I392">
        <v>139.47584499999999</v>
      </c>
    </row>
    <row r="393" spans="4:9" x14ac:dyDescent="0.4">
      <c r="D393" s="2" t="str">
        <f t="shared" si="29"/>
        <v>http://geocode.csis.u-tokyo.ac.jp/cgi-bin/simple_geocode.cgi?charset=UTF8&amp;addr=</v>
      </c>
      <c r="E39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3" t="e" cm="1">
        <f t="array" ref="F393">INDEX(_xlfn.FILTERXML(E393,"//latitude"),1)</f>
        <v>#VALUE!</v>
      </c>
      <c r="G393" t="e" cm="1">
        <f t="array" ref="G393">INDEX(_xlfn.FILTERXML(E393,"//longitude"),1)</f>
        <v>#VALUE!</v>
      </c>
      <c r="H393">
        <v>34.694656000000002</v>
      </c>
      <c r="I393">
        <v>135.48904400000001</v>
      </c>
    </row>
    <row r="394" spans="4:9" x14ac:dyDescent="0.4">
      <c r="D394" s="2" t="str">
        <f t="shared" si="29"/>
        <v>http://geocode.csis.u-tokyo.ac.jp/cgi-bin/simple_geocode.cgi?charset=UTF8&amp;addr=</v>
      </c>
      <c r="E39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4" t="e" cm="1">
        <f t="array" ref="F394">INDEX(_xlfn.FILTERXML(E394,"//latitude"),1)</f>
        <v>#VALUE!</v>
      </c>
      <c r="G394" t="e" cm="1">
        <f t="array" ref="G394">INDEX(_xlfn.FILTERXML(E394,"//longitude"),1)</f>
        <v>#VALUE!</v>
      </c>
      <c r="H394">
        <v>35.751244</v>
      </c>
      <c r="I394">
        <v>139.70924400000001</v>
      </c>
    </row>
    <row r="395" spans="4:9" x14ac:dyDescent="0.4">
      <c r="D395" s="2" t="str">
        <f t="shared" si="29"/>
        <v>http://geocode.csis.u-tokyo.ac.jp/cgi-bin/simple_geocode.cgi?charset=UTF8&amp;addr=</v>
      </c>
      <c r="E39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5" t="e" cm="1">
        <f t="array" ref="F395">INDEX(_xlfn.FILTERXML(E395,"//latitude"),1)</f>
        <v>#VALUE!</v>
      </c>
      <c r="G395" t="e" cm="1">
        <f t="array" ref="G395">INDEX(_xlfn.FILTERXML(E395,"//longitude"),1)</f>
        <v>#VALUE!</v>
      </c>
      <c r="H395">
        <v>34.654510000000002</v>
      </c>
      <c r="I395">
        <v>134.02383399999999</v>
      </c>
    </row>
    <row r="396" spans="4:9" x14ac:dyDescent="0.4">
      <c r="D396" s="2" t="str">
        <f t="shared" si="29"/>
        <v>http://geocode.csis.u-tokyo.ac.jp/cgi-bin/simple_geocode.cgi?charset=UTF8&amp;addr=</v>
      </c>
      <c r="E39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6" t="e" cm="1">
        <f t="array" ref="F396">INDEX(_xlfn.FILTERXML(E396,"//latitude"),1)</f>
        <v>#VALUE!</v>
      </c>
      <c r="G396" t="e" cm="1">
        <f t="array" ref="G396">INDEX(_xlfn.FILTERXML(E396,"//longitude"),1)</f>
        <v>#VALUE!</v>
      </c>
      <c r="H396">
        <v>35.591079999999998</v>
      </c>
      <c r="I396">
        <v>139.37553399999999</v>
      </c>
    </row>
    <row r="397" spans="4:9" x14ac:dyDescent="0.4">
      <c r="D397" s="2" t="str">
        <f t="shared" si="29"/>
        <v>http://geocode.csis.u-tokyo.ac.jp/cgi-bin/simple_geocode.cgi?charset=UTF8&amp;addr=</v>
      </c>
      <c r="E39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7" t="e" cm="1">
        <f t="array" ref="F397">INDEX(_xlfn.FILTERXML(E397,"//latitude"),1)</f>
        <v>#VALUE!</v>
      </c>
      <c r="G397" t="e" cm="1">
        <f t="array" ref="G397">INDEX(_xlfn.FILTERXML(E397,"//longitude"),1)</f>
        <v>#VALUE!</v>
      </c>
      <c r="H397">
        <v>39.401054000000002</v>
      </c>
      <c r="I397">
        <v>140.03457599999999</v>
      </c>
    </row>
    <row r="398" spans="4:9" x14ac:dyDescent="0.4">
      <c r="D398" s="2" t="str">
        <f t="shared" si="29"/>
        <v>http://geocode.csis.u-tokyo.ac.jp/cgi-bin/simple_geocode.cgi?charset=UTF8&amp;addr=</v>
      </c>
      <c r="E39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8" t="e" cm="1">
        <f t="array" ref="F398">INDEX(_xlfn.FILTERXML(E398,"//latitude"),1)</f>
        <v>#VALUE!</v>
      </c>
      <c r="G398" t="e" cm="1">
        <f t="array" ref="G398">INDEX(_xlfn.FILTERXML(E398,"//longitude"),1)</f>
        <v>#VALUE!</v>
      </c>
      <c r="H398">
        <v>35.817635000000003</v>
      </c>
      <c r="I398">
        <v>139.677933</v>
      </c>
    </row>
    <row r="399" spans="4:9" x14ac:dyDescent="0.4">
      <c r="D399" s="2" t="str">
        <f t="shared" si="29"/>
        <v>http://geocode.csis.u-tokyo.ac.jp/cgi-bin/simple_geocode.cgi?charset=UTF8&amp;addr=</v>
      </c>
      <c r="E39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399" t="e" cm="1">
        <f t="array" ref="F399">INDEX(_xlfn.FILTERXML(E399,"//latitude"),1)</f>
        <v>#VALUE!</v>
      </c>
      <c r="G399" t="e" cm="1">
        <f t="array" ref="G399">INDEX(_xlfn.FILTERXML(E399,"//longitude"),1)</f>
        <v>#VALUE!</v>
      </c>
      <c r="H399">
        <v>36.302546999999997</v>
      </c>
      <c r="I399">
        <v>139.14781199999999</v>
      </c>
    </row>
    <row r="400" spans="4:9" x14ac:dyDescent="0.4">
      <c r="D400" s="2" t="str">
        <f t="shared" si="29"/>
        <v>http://geocode.csis.u-tokyo.ac.jp/cgi-bin/simple_geocode.cgi?charset=UTF8&amp;addr=</v>
      </c>
      <c r="E40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0" t="e" cm="1">
        <f t="array" ref="F400">INDEX(_xlfn.FILTERXML(E400,"//latitude"),1)</f>
        <v>#VALUE!</v>
      </c>
      <c r="G400" t="e" cm="1">
        <f t="array" ref="G400">INDEX(_xlfn.FILTERXML(E400,"//longitude"),1)</f>
        <v>#VALUE!</v>
      </c>
      <c r="H400">
        <v>35.545493999999998</v>
      </c>
      <c r="I400">
        <v>139.51821899999999</v>
      </c>
    </row>
    <row r="401" spans="4:9" x14ac:dyDescent="0.4">
      <c r="D401" s="2" t="str">
        <f t="shared" si="29"/>
        <v>http://geocode.csis.u-tokyo.ac.jp/cgi-bin/simple_geocode.cgi?charset=UTF8&amp;addr=</v>
      </c>
      <c r="E40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1" t="e" cm="1">
        <f t="array" ref="F401">INDEX(_xlfn.FILTERXML(E401,"//latitude"),1)</f>
        <v>#VALUE!</v>
      </c>
      <c r="G401" t="e" cm="1">
        <f t="array" ref="G401">INDEX(_xlfn.FILTERXML(E401,"//longitude"),1)</f>
        <v>#VALUE!</v>
      </c>
      <c r="H401">
        <v>26.192719</v>
      </c>
      <c r="I401">
        <v>127.679405</v>
      </c>
    </row>
    <row r="402" spans="4:9" x14ac:dyDescent="0.4">
      <c r="D402" s="2" t="str">
        <f t="shared" si="29"/>
        <v>http://geocode.csis.u-tokyo.ac.jp/cgi-bin/simple_geocode.cgi?charset=UTF8&amp;addr=</v>
      </c>
      <c r="E40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2" t="e" cm="1">
        <f t="array" ref="F402">INDEX(_xlfn.FILTERXML(E402,"//latitude"),1)</f>
        <v>#VALUE!</v>
      </c>
      <c r="G402" t="e" cm="1">
        <f t="array" ref="G402">INDEX(_xlfn.FILTERXML(E402,"//longitude"),1)</f>
        <v>#VALUE!</v>
      </c>
      <c r="H402">
        <v>36.097225000000002</v>
      </c>
      <c r="I402">
        <v>140.16476399999999</v>
      </c>
    </row>
    <row r="403" spans="4:9" x14ac:dyDescent="0.4">
      <c r="D403" s="2" t="str">
        <f t="shared" si="29"/>
        <v>http://geocode.csis.u-tokyo.ac.jp/cgi-bin/simple_geocode.cgi?charset=UTF8&amp;addr=</v>
      </c>
      <c r="E40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3" t="e" cm="1">
        <f t="array" ref="F403">INDEX(_xlfn.FILTERXML(E403,"//latitude"),1)</f>
        <v>#VALUE!</v>
      </c>
      <c r="G403" t="e" cm="1">
        <f t="array" ref="G403">INDEX(_xlfn.FILTERXML(E403,"//longitude"),1)</f>
        <v>#VALUE!</v>
      </c>
      <c r="H403" s="3">
        <v>38.915461999999998</v>
      </c>
      <c r="I403" s="3">
        <v>141.53405799999999</v>
      </c>
    </row>
    <row r="404" spans="4:9" x14ac:dyDescent="0.4">
      <c r="D404" s="2" t="str">
        <f t="shared" si="29"/>
        <v>http://geocode.csis.u-tokyo.ac.jp/cgi-bin/simple_geocode.cgi?charset=UTF8&amp;addr=</v>
      </c>
      <c r="E40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4" t="e" cm="1">
        <f t="array" ref="F404">INDEX(_xlfn.FILTERXML(E404,"//latitude"),1)</f>
        <v>#VALUE!</v>
      </c>
      <c r="G404" t="e" cm="1">
        <f t="array" ref="G404">INDEX(_xlfn.FILTERXML(E404,"//longitude"),1)</f>
        <v>#VALUE!</v>
      </c>
      <c r="H404">
        <v>35.660933999999997</v>
      </c>
      <c r="I404">
        <v>139.56935100000001</v>
      </c>
    </row>
    <row r="405" spans="4:9" x14ac:dyDescent="0.4">
      <c r="D405" s="2" t="str">
        <f t="shared" si="29"/>
        <v>http://geocode.csis.u-tokyo.ac.jp/cgi-bin/simple_geocode.cgi?charset=UTF8&amp;addr=</v>
      </c>
      <c r="E40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5" t="e" cm="1">
        <f t="array" ref="F405">INDEX(_xlfn.FILTERXML(E405,"//latitude"),1)</f>
        <v>#VALUE!</v>
      </c>
      <c r="G405" t="e" cm="1">
        <f t="array" ref="G405">INDEX(_xlfn.FILTERXML(E405,"//longitude"),1)</f>
        <v>#VALUE!</v>
      </c>
      <c r="H405">
        <v>35.383468999999998</v>
      </c>
      <c r="I405">
        <v>139.54186999999999</v>
      </c>
    </row>
    <row r="406" spans="4:9" x14ac:dyDescent="0.4">
      <c r="D406" s="2" t="str">
        <f t="shared" si="29"/>
        <v>http://geocode.csis.u-tokyo.ac.jp/cgi-bin/simple_geocode.cgi?charset=UTF8&amp;addr=</v>
      </c>
      <c r="E40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6" t="e" cm="1">
        <f t="array" ref="F406">INDEX(_xlfn.FILTERXML(E406,"//latitude"),1)</f>
        <v>#VALUE!</v>
      </c>
      <c r="G406" t="e" cm="1">
        <f t="array" ref="G406">INDEX(_xlfn.FILTERXML(E406,"//longitude"),1)</f>
        <v>#VALUE!</v>
      </c>
      <c r="H406">
        <v>35.252380000000002</v>
      </c>
      <c r="I406">
        <v>139.163162</v>
      </c>
    </row>
    <row r="407" spans="4:9" x14ac:dyDescent="0.4">
      <c r="D407" s="2" t="str">
        <f t="shared" si="29"/>
        <v>http://geocode.csis.u-tokyo.ac.jp/cgi-bin/simple_geocode.cgi?charset=UTF8&amp;addr=</v>
      </c>
      <c r="E40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7" t="e" cm="1">
        <f t="array" ref="F407">INDEX(_xlfn.FILTERXML(E407,"//latitude"),1)</f>
        <v>#VALUE!</v>
      </c>
      <c r="G407" t="e" cm="1">
        <f t="array" ref="G407">INDEX(_xlfn.FILTERXML(E407,"//longitude"),1)</f>
        <v>#VALUE!</v>
      </c>
      <c r="H407">
        <v>33.595066000000003</v>
      </c>
      <c r="I407">
        <v>130.393753</v>
      </c>
    </row>
    <row r="408" spans="4:9" x14ac:dyDescent="0.4">
      <c r="D408" s="2" t="str">
        <f t="shared" si="29"/>
        <v>http://geocode.csis.u-tokyo.ac.jp/cgi-bin/simple_geocode.cgi?charset=UTF8&amp;addr=</v>
      </c>
      <c r="E40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8" t="e" cm="1">
        <f t="array" ref="F408">INDEX(_xlfn.FILTERXML(E408,"//latitude"),1)</f>
        <v>#VALUE!</v>
      </c>
      <c r="G408" t="e" cm="1">
        <f t="array" ref="G408">INDEX(_xlfn.FILTERXML(E408,"//longitude"),1)</f>
        <v>#VALUE!</v>
      </c>
      <c r="H408">
        <v>35.164901999999998</v>
      </c>
      <c r="I408">
        <v>138.66790800000001</v>
      </c>
    </row>
    <row r="409" spans="4:9" x14ac:dyDescent="0.4">
      <c r="D409" s="2" t="str">
        <f t="shared" si="29"/>
        <v>http://geocode.csis.u-tokyo.ac.jp/cgi-bin/simple_geocode.cgi?charset=UTF8&amp;addr=</v>
      </c>
      <c r="E40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09" t="e" cm="1">
        <f t="array" ref="F409">INDEX(_xlfn.FILTERXML(E409,"//latitude"),1)</f>
        <v>#VALUE!</v>
      </c>
      <c r="G409" t="e" cm="1">
        <f t="array" ref="G409">INDEX(_xlfn.FILTERXML(E409,"//longitude"),1)</f>
        <v>#VALUE!</v>
      </c>
      <c r="H409">
        <v>35.034531000000001</v>
      </c>
      <c r="I409">
        <v>135.75730899999999</v>
      </c>
    </row>
    <row r="410" spans="4:9" x14ac:dyDescent="0.4">
      <c r="D410" s="2" t="str">
        <f t="shared" si="29"/>
        <v>http://geocode.csis.u-tokyo.ac.jp/cgi-bin/simple_geocode.cgi?charset=UTF8&amp;addr=</v>
      </c>
      <c r="E41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0" t="e" cm="1">
        <f t="array" ref="F410">INDEX(_xlfn.FILTERXML(E410,"//latitude"),1)</f>
        <v>#VALUE!</v>
      </c>
      <c r="G410" t="e" cm="1">
        <f t="array" ref="G410">INDEX(_xlfn.FILTERXML(E410,"//longitude"),1)</f>
        <v>#VALUE!</v>
      </c>
      <c r="H410">
        <v>34.395401</v>
      </c>
      <c r="I410">
        <v>132.512451</v>
      </c>
    </row>
    <row r="411" spans="4:9" x14ac:dyDescent="0.4">
      <c r="D411" s="2" t="str">
        <f t="shared" si="29"/>
        <v>http://geocode.csis.u-tokyo.ac.jp/cgi-bin/simple_geocode.cgi?charset=UTF8&amp;addr=</v>
      </c>
      <c r="E41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1" t="e" cm="1">
        <f t="array" ref="F411">INDEX(_xlfn.FILTERXML(E411,"//latitude"),1)</f>
        <v>#VALUE!</v>
      </c>
      <c r="G411" t="e" cm="1">
        <f t="array" ref="G411">INDEX(_xlfn.FILTERXML(E411,"//longitude"),1)</f>
        <v>#VALUE!</v>
      </c>
      <c r="H411">
        <v>40.512279999999997</v>
      </c>
      <c r="I411">
        <v>141.48840300000001</v>
      </c>
    </row>
    <row r="412" spans="4:9" x14ac:dyDescent="0.4">
      <c r="D412" s="2" t="str">
        <f t="shared" si="29"/>
        <v>http://geocode.csis.u-tokyo.ac.jp/cgi-bin/simple_geocode.cgi?charset=UTF8&amp;addr=</v>
      </c>
      <c r="E41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2" t="e" cm="1">
        <f t="array" ref="F412">INDEX(_xlfn.FILTERXML(E412,"//latitude"),1)</f>
        <v>#VALUE!</v>
      </c>
      <c r="G412" t="e" cm="1">
        <f t="array" ref="G412">INDEX(_xlfn.FILTERXML(E412,"//longitude"),1)</f>
        <v>#VALUE!</v>
      </c>
      <c r="H412">
        <v>35.257247999999997</v>
      </c>
      <c r="I412">
        <v>136.788681</v>
      </c>
    </row>
    <row r="413" spans="4:9" x14ac:dyDescent="0.4">
      <c r="D413" s="2" t="str">
        <f t="shared" si="29"/>
        <v>http://geocode.csis.u-tokyo.ac.jp/cgi-bin/simple_geocode.cgi?charset=UTF8&amp;addr=</v>
      </c>
      <c r="E41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3" t="e" cm="1">
        <f t="array" ref="F413">INDEX(_xlfn.FILTERXML(E413,"//latitude"),1)</f>
        <v>#VALUE!</v>
      </c>
      <c r="G413" t="e" cm="1">
        <f t="array" ref="G413">INDEX(_xlfn.FILTERXML(E413,"//longitude"),1)</f>
        <v>#VALUE!</v>
      </c>
      <c r="H413">
        <v>34.717827</v>
      </c>
      <c r="I413">
        <v>135.25147999999999</v>
      </c>
    </row>
    <row r="414" spans="4:9" x14ac:dyDescent="0.4">
      <c r="D414" s="2" t="str">
        <f t="shared" si="29"/>
        <v>http://geocode.csis.u-tokyo.ac.jp/cgi-bin/simple_geocode.cgi?charset=UTF8&amp;addr=</v>
      </c>
      <c r="E41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4" t="e" cm="1">
        <f t="array" ref="F414">INDEX(_xlfn.FILTERXML(E414,"//latitude"),1)</f>
        <v>#VALUE!</v>
      </c>
      <c r="G414" t="e" cm="1">
        <f t="array" ref="G414">INDEX(_xlfn.FILTERXML(E414,"//longitude"),1)</f>
        <v>#VALUE!</v>
      </c>
      <c r="H414">
        <v>34.676383999999999</v>
      </c>
      <c r="I414">
        <v>135.48611500000001</v>
      </c>
    </row>
    <row r="415" spans="4:9" x14ac:dyDescent="0.4">
      <c r="D415" s="2" t="str">
        <f t="shared" si="29"/>
        <v>http://geocode.csis.u-tokyo.ac.jp/cgi-bin/simple_geocode.cgi?charset=UTF8&amp;addr=</v>
      </c>
      <c r="E41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5" t="e" cm="1">
        <f t="array" ref="F415">INDEX(_xlfn.FILTERXML(E415,"//latitude"),1)</f>
        <v>#VALUE!</v>
      </c>
      <c r="G415" t="e" cm="1">
        <f t="array" ref="G415">INDEX(_xlfn.FILTERXML(E415,"//longitude"),1)</f>
        <v>#VALUE!</v>
      </c>
      <c r="H415">
        <v>34.182594000000002</v>
      </c>
      <c r="I415">
        <v>134.60554500000001</v>
      </c>
    </row>
    <row r="416" spans="4:9" x14ac:dyDescent="0.4">
      <c r="D416" s="2" t="str">
        <f t="shared" si="29"/>
        <v>http://geocode.csis.u-tokyo.ac.jp/cgi-bin/simple_geocode.cgi?charset=UTF8&amp;addr=</v>
      </c>
      <c r="E41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6" t="e" cm="1">
        <f t="array" ref="F416">INDEX(_xlfn.FILTERXML(E416,"//latitude"),1)</f>
        <v>#VALUE!</v>
      </c>
      <c r="G416" t="e" cm="1">
        <f t="array" ref="G416">INDEX(_xlfn.FILTERXML(E416,"//longitude"),1)</f>
        <v>#VALUE!</v>
      </c>
      <c r="H416">
        <v>35.993088</v>
      </c>
      <c r="I416">
        <v>139.72413599999999</v>
      </c>
    </row>
    <row r="417" spans="4:9" x14ac:dyDescent="0.4">
      <c r="D417" s="2" t="str">
        <f t="shared" si="29"/>
        <v>http://geocode.csis.u-tokyo.ac.jp/cgi-bin/simple_geocode.cgi?charset=UTF8&amp;addr=</v>
      </c>
      <c r="E41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7" t="e" cm="1">
        <f t="array" ref="F417">INDEX(_xlfn.FILTERXML(E417,"//latitude"),1)</f>
        <v>#VALUE!</v>
      </c>
      <c r="G417" t="e" cm="1">
        <f t="array" ref="G417">INDEX(_xlfn.FILTERXML(E417,"//longitude"),1)</f>
        <v>#VALUE!</v>
      </c>
      <c r="H417">
        <v>26.250996000000001</v>
      </c>
      <c r="I417">
        <v>127.771294</v>
      </c>
    </row>
    <row r="418" spans="4:9" x14ac:dyDescent="0.4">
      <c r="D418" s="2" t="str">
        <f t="shared" si="29"/>
        <v>http://geocode.csis.u-tokyo.ac.jp/cgi-bin/simple_geocode.cgi?charset=UTF8&amp;addr=</v>
      </c>
      <c r="E41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8" t="e" cm="1">
        <f t="array" ref="F418">INDEX(_xlfn.FILTERXML(E418,"//latitude"),1)</f>
        <v>#VALUE!</v>
      </c>
      <c r="G418" t="e" cm="1">
        <f t="array" ref="G418">INDEX(_xlfn.FILTERXML(E418,"//longitude"),1)</f>
        <v>#VALUE!</v>
      </c>
      <c r="H418">
        <v>34.694656000000002</v>
      </c>
      <c r="I418">
        <v>135.48904400000001</v>
      </c>
    </row>
    <row r="419" spans="4:9" x14ac:dyDescent="0.4">
      <c r="D419" s="2" t="str">
        <f t="shared" si="29"/>
        <v>http://geocode.csis.u-tokyo.ac.jp/cgi-bin/simple_geocode.cgi?charset=UTF8&amp;addr=</v>
      </c>
      <c r="E41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19" t="e" cm="1">
        <f t="array" ref="F419">INDEX(_xlfn.FILTERXML(E419,"//latitude"),1)</f>
        <v>#VALUE!</v>
      </c>
      <c r="G419" t="e" cm="1">
        <f t="array" ref="G419">INDEX(_xlfn.FILTERXML(E419,"//longitude"),1)</f>
        <v>#VALUE!</v>
      </c>
      <c r="H419">
        <v>36.714607000000001</v>
      </c>
      <c r="I419">
        <v>137.21710200000001</v>
      </c>
    </row>
    <row r="420" spans="4:9" x14ac:dyDescent="0.4">
      <c r="D420" s="2" t="str">
        <f t="shared" si="29"/>
        <v>http://geocode.csis.u-tokyo.ac.jp/cgi-bin/simple_geocode.cgi?charset=UTF8&amp;addr=</v>
      </c>
      <c r="E42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0" t="e" cm="1">
        <f t="array" ref="F420">INDEX(_xlfn.FILTERXML(E420,"//latitude"),1)</f>
        <v>#VALUE!</v>
      </c>
      <c r="G420" t="e" cm="1">
        <f t="array" ref="G420">INDEX(_xlfn.FILTERXML(E420,"//longitude"),1)</f>
        <v>#VALUE!</v>
      </c>
      <c r="H420">
        <v>35.062424</v>
      </c>
      <c r="I420">
        <v>135.78616299999999</v>
      </c>
    </row>
    <row r="421" spans="4:9" x14ac:dyDescent="0.4">
      <c r="D421" s="2" t="str">
        <f t="shared" si="29"/>
        <v>http://geocode.csis.u-tokyo.ac.jp/cgi-bin/simple_geocode.cgi?charset=UTF8&amp;addr=</v>
      </c>
      <c r="E42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1" t="e" cm="1">
        <f t="array" ref="F421">INDEX(_xlfn.FILTERXML(E421,"//latitude"),1)</f>
        <v>#VALUE!</v>
      </c>
      <c r="G421" t="e" cm="1">
        <f t="array" ref="G421">INDEX(_xlfn.FILTERXML(E421,"//longitude"),1)</f>
        <v>#VALUE!</v>
      </c>
      <c r="H421">
        <v>34.675128999999998</v>
      </c>
      <c r="I421">
        <v>135.51170300000001</v>
      </c>
    </row>
    <row r="422" spans="4:9" x14ac:dyDescent="0.4">
      <c r="D422" s="2" t="str">
        <f t="shared" si="29"/>
        <v>http://geocode.csis.u-tokyo.ac.jp/cgi-bin/simple_geocode.cgi?charset=UTF8&amp;addr=</v>
      </c>
      <c r="E42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2" t="e" cm="1">
        <f t="array" ref="F422">INDEX(_xlfn.FILTERXML(E422,"//latitude"),1)</f>
        <v>#VALUE!</v>
      </c>
      <c r="G422" t="e" cm="1">
        <f t="array" ref="G422">INDEX(_xlfn.FILTERXML(E422,"//longitude"),1)</f>
        <v>#VALUE!</v>
      </c>
      <c r="H422">
        <v>34.701037999999997</v>
      </c>
      <c r="I422">
        <v>135.54368600000001</v>
      </c>
    </row>
    <row r="423" spans="4:9" x14ac:dyDescent="0.4">
      <c r="D423" s="2" t="str">
        <f t="shared" si="29"/>
        <v>http://geocode.csis.u-tokyo.ac.jp/cgi-bin/simple_geocode.cgi?charset=UTF8&amp;addr=</v>
      </c>
      <c r="E42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3" t="e" cm="1">
        <f t="array" ref="F423">INDEX(_xlfn.FILTERXML(E423,"//latitude"),1)</f>
        <v>#VALUE!</v>
      </c>
      <c r="G423" t="e" cm="1">
        <f t="array" ref="G423">INDEX(_xlfn.FILTERXML(E423,"//longitude"),1)</f>
        <v>#VALUE!</v>
      </c>
      <c r="H423">
        <v>35.025832999999999</v>
      </c>
      <c r="I423">
        <v>135.97669999999999</v>
      </c>
    </row>
    <row r="424" spans="4:9" x14ac:dyDescent="0.4">
      <c r="D424" s="2" t="str">
        <f t="shared" si="29"/>
        <v>http://geocode.csis.u-tokyo.ac.jp/cgi-bin/simple_geocode.cgi?charset=UTF8&amp;addr=</v>
      </c>
      <c r="E42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4" t="e" cm="1">
        <f t="array" ref="F424">INDEX(_xlfn.FILTERXML(E424,"//latitude"),1)</f>
        <v>#VALUE!</v>
      </c>
      <c r="G424" t="e" cm="1">
        <f t="array" ref="G424">INDEX(_xlfn.FILTERXML(E424,"//longitude"),1)</f>
        <v>#VALUE!</v>
      </c>
      <c r="H424">
        <v>35.701385000000002</v>
      </c>
      <c r="I424">
        <v>139.82347100000001</v>
      </c>
    </row>
    <row r="425" spans="4:9" x14ac:dyDescent="0.4">
      <c r="D425" s="2" t="str">
        <f t="shared" si="29"/>
        <v>http://geocode.csis.u-tokyo.ac.jp/cgi-bin/simple_geocode.cgi?charset=UTF8&amp;addr=</v>
      </c>
      <c r="E42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5" t="e" cm="1">
        <f t="array" ref="F425">INDEX(_xlfn.FILTERXML(E425,"//latitude"),1)</f>
        <v>#VALUE!</v>
      </c>
      <c r="G425" t="e" cm="1">
        <f t="array" ref="G425">INDEX(_xlfn.FILTERXML(E425,"//longitude"),1)</f>
        <v>#VALUE!</v>
      </c>
      <c r="H425">
        <v>34.314391999999998</v>
      </c>
      <c r="I425">
        <v>134.046753</v>
      </c>
    </row>
    <row r="426" spans="4:9" x14ac:dyDescent="0.4">
      <c r="D426" s="2" t="str">
        <f t="shared" si="29"/>
        <v>http://geocode.csis.u-tokyo.ac.jp/cgi-bin/simple_geocode.cgi?charset=UTF8&amp;addr=</v>
      </c>
      <c r="E42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6" t="e" cm="1">
        <f t="array" ref="F426">INDEX(_xlfn.FILTERXML(E426,"//latitude"),1)</f>
        <v>#VALUE!</v>
      </c>
      <c r="G426" t="e" cm="1">
        <f t="array" ref="G426">INDEX(_xlfn.FILTERXML(E426,"//longitude"),1)</f>
        <v>#VALUE!</v>
      </c>
      <c r="H426">
        <v>35.172825000000003</v>
      </c>
      <c r="I426">
        <v>136.828217</v>
      </c>
    </row>
    <row r="427" spans="4:9" x14ac:dyDescent="0.4">
      <c r="D427" s="2" t="str">
        <f t="shared" si="29"/>
        <v>http://geocode.csis.u-tokyo.ac.jp/cgi-bin/simple_geocode.cgi?charset=UTF8&amp;addr=</v>
      </c>
      <c r="E42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7" t="e" cm="1">
        <f t="array" ref="F427">INDEX(_xlfn.FILTERXML(E427,"//latitude"),1)</f>
        <v>#VALUE!</v>
      </c>
      <c r="G427" t="e" cm="1">
        <f t="array" ref="G427">INDEX(_xlfn.FILTERXML(E427,"//longitude"),1)</f>
        <v>#VALUE!</v>
      </c>
      <c r="H427">
        <v>34.878776999999999</v>
      </c>
      <c r="I427">
        <v>138.27742000000001</v>
      </c>
    </row>
    <row r="428" spans="4:9" x14ac:dyDescent="0.4">
      <c r="D428" s="2" t="str">
        <f t="shared" si="29"/>
        <v>http://geocode.csis.u-tokyo.ac.jp/cgi-bin/simple_geocode.cgi?charset=UTF8&amp;addr=</v>
      </c>
      <c r="E42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8" t="e" cm="1">
        <f t="array" ref="F428">INDEX(_xlfn.FILTERXML(E428,"//latitude"),1)</f>
        <v>#VALUE!</v>
      </c>
      <c r="G428" t="e" cm="1">
        <f t="array" ref="G428">INDEX(_xlfn.FILTERXML(E428,"//longitude"),1)</f>
        <v>#VALUE!</v>
      </c>
      <c r="H428">
        <v>34.831173</v>
      </c>
      <c r="I428">
        <v>137.32749899999999</v>
      </c>
    </row>
    <row r="429" spans="4:9" x14ac:dyDescent="0.4">
      <c r="D429" s="2" t="str">
        <f t="shared" si="29"/>
        <v>http://geocode.csis.u-tokyo.ac.jp/cgi-bin/simple_geocode.cgi?charset=UTF8&amp;addr=</v>
      </c>
      <c r="E42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29" t="e" cm="1">
        <f t="array" ref="F429">INDEX(_xlfn.FILTERXML(E429,"//latitude"),1)</f>
        <v>#VALUE!</v>
      </c>
      <c r="G429" t="e" cm="1">
        <f t="array" ref="G429">INDEX(_xlfn.FILTERXML(E429,"//longitude"),1)</f>
        <v>#VALUE!</v>
      </c>
      <c r="H429">
        <v>35.682167</v>
      </c>
      <c r="I429">
        <v>138.662262</v>
      </c>
    </row>
    <row r="430" spans="4:9" x14ac:dyDescent="0.4">
      <c r="D430" s="2" t="str">
        <f t="shared" si="29"/>
        <v>http://geocode.csis.u-tokyo.ac.jp/cgi-bin/simple_geocode.cgi?charset=UTF8&amp;addr=</v>
      </c>
      <c r="E43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0" t="e" cm="1">
        <f t="array" ref="F430">INDEX(_xlfn.FILTERXML(E430,"//latitude"),1)</f>
        <v>#VALUE!</v>
      </c>
      <c r="G430" t="e" cm="1">
        <f t="array" ref="G430">INDEX(_xlfn.FILTERXML(E430,"//longitude"),1)</f>
        <v>#VALUE!</v>
      </c>
      <c r="H430">
        <v>35.609946999999998</v>
      </c>
      <c r="I430">
        <v>139.74998500000001</v>
      </c>
    </row>
    <row r="431" spans="4:9" x14ac:dyDescent="0.4">
      <c r="D431" s="2" t="str">
        <f t="shared" si="29"/>
        <v>http://geocode.csis.u-tokyo.ac.jp/cgi-bin/simple_geocode.cgi?charset=UTF8&amp;addr=</v>
      </c>
      <c r="E43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1" t="e" cm="1">
        <f t="array" ref="F431">INDEX(_xlfn.FILTERXML(E431,"//latitude"),1)</f>
        <v>#VALUE!</v>
      </c>
      <c r="G431" t="e" cm="1">
        <f t="array" ref="G431">INDEX(_xlfn.FILTERXML(E431,"//longitude"),1)</f>
        <v>#VALUE!</v>
      </c>
      <c r="H431">
        <v>35.576259999999998</v>
      </c>
      <c r="I431">
        <v>139.65576200000001</v>
      </c>
    </row>
    <row r="432" spans="4:9" x14ac:dyDescent="0.4">
      <c r="D432" s="2" t="str">
        <f t="shared" si="29"/>
        <v>http://geocode.csis.u-tokyo.ac.jp/cgi-bin/simple_geocode.cgi?charset=UTF8&amp;addr=</v>
      </c>
      <c r="E43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2" t="e" cm="1">
        <f t="array" ref="F432">INDEX(_xlfn.FILTERXML(E432,"//latitude"),1)</f>
        <v>#VALUE!</v>
      </c>
      <c r="G432" t="e" cm="1">
        <f t="array" ref="G432">INDEX(_xlfn.FILTERXML(E432,"//longitude"),1)</f>
        <v>#VALUE!</v>
      </c>
      <c r="H432">
        <v>35.671230000000001</v>
      </c>
      <c r="I432">
        <v>139.481461</v>
      </c>
    </row>
    <row r="433" spans="4:9" x14ac:dyDescent="0.4">
      <c r="D433" s="2" t="str">
        <f t="shared" si="29"/>
        <v>http://geocode.csis.u-tokyo.ac.jp/cgi-bin/simple_geocode.cgi?charset=UTF8&amp;addr=</v>
      </c>
      <c r="E433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3" t="e" cm="1">
        <f t="array" ref="F433">INDEX(_xlfn.FILTERXML(E433,"//latitude"),1)</f>
        <v>#VALUE!</v>
      </c>
      <c r="G433" t="e" cm="1">
        <f t="array" ref="G433">INDEX(_xlfn.FILTERXML(E433,"//longitude"),1)</f>
        <v>#VALUE!</v>
      </c>
      <c r="H433">
        <v>34.378234999999997</v>
      </c>
      <c r="I433">
        <v>135.272186</v>
      </c>
    </row>
    <row r="434" spans="4:9" x14ac:dyDescent="0.4">
      <c r="D434" s="2" t="str">
        <f t="shared" si="29"/>
        <v>http://geocode.csis.u-tokyo.ac.jp/cgi-bin/simple_geocode.cgi?charset=UTF8&amp;addr=</v>
      </c>
      <c r="E434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4" t="e" cm="1">
        <f t="array" ref="F434">INDEX(_xlfn.FILTERXML(E434,"//latitude"),1)</f>
        <v>#VALUE!</v>
      </c>
      <c r="G434" t="e" cm="1">
        <f t="array" ref="G434">INDEX(_xlfn.FILTERXML(E434,"//longitude"),1)</f>
        <v>#VALUE!</v>
      </c>
      <c r="H434">
        <v>34.74588</v>
      </c>
      <c r="I434">
        <v>135.31373600000001</v>
      </c>
    </row>
    <row r="435" spans="4:9" x14ac:dyDescent="0.4">
      <c r="D435" s="2" t="str">
        <f t="shared" si="29"/>
        <v>http://geocode.csis.u-tokyo.ac.jp/cgi-bin/simple_geocode.cgi?charset=UTF8&amp;addr=</v>
      </c>
      <c r="E435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5" t="e" cm="1">
        <f t="array" ref="F435">INDEX(_xlfn.FILTERXML(E435,"//latitude"),1)</f>
        <v>#VALUE!</v>
      </c>
      <c r="G435" t="e" cm="1">
        <f t="array" ref="G435">INDEX(_xlfn.FILTERXML(E435,"//longitude"),1)</f>
        <v>#VALUE!</v>
      </c>
      <c r="H435">
        <v>34.799816</v>
      </c>
      <c r="I435">
        <v>135.36009200000001</v>
      </c>
    </row>
    <row r="436" spans="4:9" x14ac:dyDescent="0.4">
      <c r="D436" s="2" t="str">
        <f t="shared" si="29"/>
        <v>http://geocode.csis.u-tokyo.ac.jp/cgi-bin/simple_geocode.cgi?charset=UTF8&amp;addr=</v>
      </c>
      <c r="E436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6" t="e" cm="1">
        <f t="array" ref="F436">INDEX(_xlfn.FILTERXML(E436,"//latitude"),1)</f>
        <v>#VALUE!</v>
      </c>
      <c r="G436" t="e" cm="1">
        <f t="array" ref="G436">INDEX(_xlfn.FILTERXML(E436,"//longitude"),1)</f>
        <v>#VALUE!</v>
      </c>
      <c r="H436">
        <v>35.247112000000001</v>
      </c>
      <c r="I436">
        <v>136.951187</v>
      </c>
    </row>
    <row r="437" spans="4:9" x14ac:dyDescent="0.4">
      <c r="D437" s="2" t="str">
        <f t="shared" si="29"/>
        <v>http://geocode.csis.u-tokyo.ac.jp/cgi-bin/simple_geocode.cgi?charset=UTF8&amp;addr=</v>
      </c>
      <c r="E437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7" t="e" cm="1">
        <f t="array" ref="F437">INDEX(_xlfn.FILTERXML(E437,"//latitude"),1)</f>
        <v>#VALUE!</v>
      </c>
      <c r="G437" t="e" cm="1">
        <f t="array" ref="G437">INDEX(_xlfn.FILTERXML(E437,"//longitude"),1)</f>
        <v>#VALUE!</v>
      </c>
      <c r="H437">
        <v>35.335560000000001</v>
      </c>
      <c r="I437">
        <v>139.54847699999999</v>
      </c>
    </row>
    <row r="438" spans="4:9" x14ac:dyDescent="0.4">
      <c r="D438" s="2" t="str">
        <f t="shared" si="29"/>
        <v>http://geocode.csis.u-tokyo.ac.jp/cgi-bin/simple_geocode.cgi?charset=UTF8&amp;addr=</v>
      </c>
      <c r="E438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8" t="e" cm="1">
        <f t="array" ref="F438">INDEX(_xlfn.FILTERXML(E438,"//latitude"),1)</f>
        <v>#VALUE!</v>
      </c>
      <c r="G438" t="e" cm="1">
        <f t="array" ref="G438">INDEX(_xlfn.FILTERXML(E438,"//longitude"),1)</f>
        <v>#VALUE!</v>
      </c>
      <c r="H438">
        <v>34.230514999999997</v>
      </c>
      <c r="I438">
        <v>135.170807</v>
      </c>
    </row>
    <row r="439" spans="4:9" x14ac:dyDescent="0.4">
      <c r="D439" s="2" t="str">
        <f t="shared" si="29"/>
        <v>http://geocode.csis.u-tokyo.ac.jp/cgi-bin/simple_geocode.cgi?charset=UTF8&amp;addr=</v>
      </c>
      <c r="E439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39" t="e" cm="1">
        <f t="array" ref="F439">INDEX(_xlfn.FILTERXML(E439,"//latitude"),1)</f>
        <v>#VALUE!</v>
      </c>
      <c r="G439" t="e" cm="1">
        <f t="array" ref="G439">INDEX(_xlfn.FILTERXML(E439,"//longitude"),1)</f>
        <v>#VALUE!</v>
      </c>
      <c r="H439">
        <v>35.789409999999997</v>
      </c>
      <c r="I439">
        <v>139.81364400000001</v>
      </c>
    </row>
    <row r="440" spans="4:9" x14ac:dyDescent="0.4">
      <c r="D440" s="2" t="str">
        <f t="shared" si="29"/>
        <v>http://geocode.csis.u-tokyo.ac.jp/cgi-bin/simple_geocode.cgi?charset=UTF8&amp;addr=</v>
      </c>
      <c r="E440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0" t="e" cm="1">
        <f t="array" ref="F440">INDEX(_xlfn.FILTERXML(E440,"//latitude"),1)</f>
        <v>#VALUE!</v>
      </c>
      <c r="G440" t="e" cm="1">
        <f t="array" ref="G440">INDEX(_xlfn.FILTERXML(E440,"//longitude"),1)</f>
        <v>#VALUE!</v>
      </c>
      <c r="H440">
        <v>34.066043999999998</v>
      </c>
      <c r="I440">
        <v>132.99766500000001</v>
      </c>
    </row>
    <row r="441" spans="4:9" x14ac:dyDescent="0.4">
      <c r="D441" s="2" t="str">
        <f t="shared" si="29"/>
        <v>http://geocode.csis.u-tokyo.ac.jp/cgi-bin/simple_geocode.cgi?charset=UTF8&amp;addr=</v>
      </c>
      <c r="E441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1" t="e" cm="1">
        <f t="array" ref="F441">INDEX(_xlfn.FILTERXML(E441,"//latitude"),1)</f>
        <v>#VALUE!</v>
      </c>
      <c r="G441" t="e" cm="1">
        <f t="array" ref="G441">INDEX(_xlfn.FILTERXML(E441,"//longitude"),1)</f>
        <v>#VALUE!</v>
      </c>
      <c r="H441">
        <v>35.855758999999999</v>
      </c>
      <c r="I441">
        <v>139.327789</v>
      </c>
    </row>
    <row r="442" spans="4:9" x14ac:dyDescent="0.4">
      <c r="D442" s="2" t="str">
        <f t="shared" si="29"/>
        <v>http://geocode.csis.u-tokyo.ac.jp/cgi-bin/simple_geocode.cgi?charset=UTF8&amp;addr=</v>
      </c>
      <c r="E442" t="str">
        <f t="shared" si="30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2" t="e" cm="1">
        <f t="array" ref="F442">INDEX(_xlfn.FILTERXML(E442,"//latitude"),1)</f>
        <v>#VALUE!</v>
      </c>
      <c r="G442" t="e" cm="1">
        <f t="array" ref="G442">INDEX(_xlfn.FILTERXML(E442,"//longitude"),1)</f>
        <v>#VALUE!</v>
      </c>
      <c r="H442">
        <v>40.517029000000001</v>
      </c>
      <c r="I442">
        <v>141.51950099999999</v>
      </c>
    </row>
    <row r="443" spans="4:9" x14ac:dyDescent="0.4">
      <c r="D443" s="2" t="str">
        <f t="shared" ref="D443:D506" si="31" xml:space="preserve"> "http://geocode.csis.u-tokyo.ac.jp/cgi-bin/simple_geocode.cgi?charset=UTF8&amp;addr=" &amp; _xlfn.ENCODEURL(C443)</f>
        <v>http://geocode.csis.u-tokyo.ac.jp/cgi-bin/simple_geocode.cgi?charset=UTF8&amp;addr=</v>
      </c>
      <c r="E443" t="str">
        <f t="shared" ref="E443:E506" si="32" xml:space="preserve"> _xlfn.WEBSERVICE(D443)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443" t="e" cm="1">
        <f t="array" ref="F443">INDEX(_xlfn.FILTERXML(E443,"//latitude"),1)</f>
        <v>#VALUE!</v>
      </c>
      <c r="G443" t="e" cm="1">
        <f t="array" ref="G443">INDEX(_xlfn.FILTERXML(E443,"//longitude"),1)</f>
        <v>#VALUE!</v>
      </c>
      <c r="H443">
        <v>35.617579999999997</v>
      </c>
      <c r="I443">
        <v>140.10957300000001</v>
      </c>
    </row>
    <row r="444" spans="4:9" x14ac:dyDescent="0.4">
      <c r="D444" s="2" t="str">
        <f t="shared" si="31"/>
        <v>http://geocode.csis.u-tokyo.ac.jp/cgi-bin/simple_geocode.cgi?charset=UTF8&amp;addr=</v>
      </c>
      <c r="E44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4" t="e" cm="1">
        <f t="array" ref="F444">INDEX(_xlfn.FILTERXML(E444,"//latitude"),1)</f>
        <v>#VALUE!</v>
      </c>
      <c r="G444" t="e" cm="1">
        <f t="array" ref="G444">INDEX(_xlfn.FILTERXML(E444,"//longitude"),1)</f>
        <v>#VALUE!</v>
      </c>
      <c r="H444">
        <v>34.678322000000001</v>
      </c>
      <c r="I444">
        <v>135.645126</v>
      </c>
    </row>
    <row r="445" spans="4:9" x14ac:dyDescent="0.4">
      <c r="D445" s="2" t="str">
        <f t="shared" si="31"/>
        <v>http://geocode.csis.u-tokyo.ac.jp/cgi-bin/simple_geocode.cgi?charset=UTF8&amp;addr=</v>
      </c>
      <c r="E44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5" t="e" cm="1">
        <f t="array" ref="F445">INDEX(_xlfn.FILTERXML(E445,"//latitude"),1)</f>
        <v>#VALUE!</v>
      </c>
      <c r="G445" t="e" cm="1">
        <f t="array" ref="G445">INDEX(_xlfn.FILTERXML(E445,"//longitude"),1)</f>
        <v>#VALUE!</v>
      </c>
      <c r="H445">
        <v>34.630614999999999</v>
      </c>
      <c r="I445">
        <v>135.54518100000001</v>
      </c>
    </row>
    <row r="446" spans="4:9" x14ac:dyDescent="0.4">
      <c r="D446" s="2" t="str">
        <f t="shared" si="31"/>
        <v>http://geocode.csis.u-tokyo.ac.jp/cgi-bin/simple_geocode.cgi?charset=UTF8&amp;addr=</v>
      </c>
      <c r="E44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6" t="e" cm="1">
        <f t="array" ref="F446">INDEX(_xlfn.FILTERXML(E446,"//latitude"),1)</f>
        <v>#VALUE!</v>
      </c>
      <c r="G446" t="e" cm="1">
        <f t="array" ref="G446">INDEX(_xlfn.FILTERXML(E446,"//longitude"),1)</f>
        <v>#VALUE!</v>
      </c>
      <c r="H446">
        <v>35.397472</v>
      </c>
      <c r="I446">
        <v>139.301559</v>
      </c>
    </row>
    <row r="447" spans="4:9" x14ac:dyDescent="0.4">
      <c r="D447" s="2" t="str">
        <f t="shared" si="31"/>
        <v>http://geocode.csis.u-tokyo.ac.jp/cgi-bin/simple_geocode.cgi?charset=UTF8&amp;addr=</v>
      </c>
      <c r="E44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7" t="e" cm="1">
        <f t="array" ref="F447">INDEX(_xlfn.FILTERXML(E447,"//latitude"),1)</f>
        <v>#VALUE!</v>
      </c>
      <c r="G447" t="e" cm="1">
        <f t="array" ref="G447">INDEX(_xlfn.FILTERXML(E447,"//longitude"),1)</f>
        <v>#VALUE!</v>
      </c>
      <c r="H447">
        <v>34.786307999999998</v>
      </c>
      <c r="I447">
        <v>135.546494</v>
      </c>
    </row>
    <row r="448" spans="4:9" x14ac:dyDescent="0.4">
      <c r="D448" s="2" t="str">
        <f t="shared" si="31"/>
        <v>http://geocode.csis.u-tokyo.ac.jp/cgi-bin/simple_geocode.cgi?charset=UTF8&amp;addr=</v>
      </c>
      <c r="E44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8" t="e" cm="1">
        <f t="array" ref="F448">INDEX(_xlfn.FILTERXML(E448,"//latitude"),1)</f>
        <v>#VALUE!</v>
      </c>
      <c r="G448" t="e" cm="1">
        <f t="array" ref="G448">INDEX(_xlfn.FILTERXML(E448,"//longitude"),1)</f>
        <v>#VALUE!</v>
      </c>
      <c r="H448">
        <v>35.751778000000002</v>
      </c>
      <c r="I448">
        <v>139.82429500000001</v>
      </c>
    </row>
    <row r="449" spans="4:9" x14ac:dyDescent="0.4">
      <c r="D449" s="2" t="str">
        <f t="shared" si="31"/>
        <v>http://geocode.csis.u-tokyo.ac.jp/cgi-bin/simple_geocode.cgi?charset=UTF8&amp;addr=</v>
      </c>
      <c r="E44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49" t="e" cm="1">
        <f t="array" ref="F449">INDEX(_xlfn.FILTERXML(E449,"//latitude"),1)</f>
        <v>#VALUE!</v>
      </c>
      <c r="G449" t="e" cm="1">
        <f t="array" ref="G449">INDEX(_xlfn.FILTERXML(E449,"//longitude"),1)</f>
        <v>#VALUE!</v>
      </c>
      <c r="H449">
        <v>35.739773</v>
      </c>
      <c r="I449">
        <v>139.676086</v>
      </c>
    </row>
    <row r="450" spans="4:9" x14ac:dyDescent="0.4">
      <c r="D450" s="2" t="str">
        <f t="shared" si="31"/>
        <v>http://geocode.csis.u-tokyo.ac.jp/cgi-bin/simple_geocode.cgi?charset=UTF8&amp;addr=</v>
      </c>
      <c r="E45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0" t="e" cm="1">
        <f t="array" ref="F450">INDEX(_xlfn.FILTERXML(E450,"//latitude"),1)</f>
        <v>#VALUE!</v>
      </c>
      <c r="G450" t="e" cm="1">
        <f t="array" ref="G450">INDEX(_xlfn.FILTERXML(E450,"//longitude"),1)</f>
        <v>#VALUE!</v>
      </c>
      <c r="H450">
        <v>34.706600000000002</v>
      </c>
      <c r="I450">
        <v>135.580399</v>
      </c>
    </row>
    <row r="451" spans="4:9" x14ac:dyDescent="0.4">
      <c r="D451" s="2" t="str">
        <f t="shared" si="31"/>
        <v>http://geocode.csis.u-tokyo.ac.jp/cgi-bin/simple_geocode.cgi?charset=UTF8&amp;addr=</v>
      </c>
      <c r="E45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1" t="e" cm="1">
        <f t="array" ref="F451">INDEX(_xlfn.FILTERXML(E451,"//latitude"),1)</f>
        <v>#VALUE!</v>
      </c>
      <c r="G451" t="e" cm="1">
        <f t="array" ref="G451">INDEX(_xlfn.FILTERXML(E451,"//longitude"),1)</f>
        <v>#VALUE!</v>
      </c>
      <c r="H451">
        <v>35.464924000000003</v>
      </c>
      <c r="I451">
        <v>139.52809099999999</v>
      </c>
    </row>
    <row r="452" spans="4:9" x14ac:dyDescent="0.4">
      <c r="D452" s="2" t="str">
        <f t="shared" si="31"/>
        <v>http://geocode.csis.u-tokyo.ac.jp/cgi-bin/simple_geocode.cgi?charset=UTF8&amp;addr=</v>
      </c>
      <c r="E45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2" t="e" cm="1">
        <f t="array" ref="F452">INDEX(_xlfn.FILTERXML(E452,"//latitude"),1)</f>
        <v>#VALUE!</v>
      </c>
      <c r="G452" t="e" cm="1">
        <f t="array" ref="G452">INDEX(_xlfn.FILTERXML(E452,"//longitude"),1)</f>
        <v>#VALUE!</v>
      </c>
      <c r="H452">
        <v>34.695919000000004</v>
      </c>
      <c r="I452">
        <v>135.61558500000001</v>
      </c>
    </row>
    <row r="453" spans="4:9" x14ac:dyDescent="0.4">
      <c r="D453" s="2" t="str">
        <f t="shared" si="31"/>
        <v>http://geocode.csis.u-tokyo.ac.jp/cgi-bin/simple_geocode.cgi?charset=UTF8&amp;addr=</v>
      </c>
      <c r="E45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3" t="e" cm="1">
        <f t="array" ref="F453">INDEX(_xlfn.FILTERXML(E453,"//latitude"),1)</f>
        <v>#VALUE!</v>
      </c>
      <c r="G453" t="e" cm="1">
        <f t="array" ref="G453">INDEX(_xlfn.FILTERXML(E453,"//longitude"),1)</f>
        <v>#VALUE!</v>
      </c>
      <c r="H453">
        <v>39.312344000000003</v>
      </c>
      <c r="I453">
        <v>140.56246899999999</v>
      </c>
    </row>
    <row r="454" spans="4:9" x14ac:dyDescent="0.4">
      <c r="D454" s="2" t="str">
        <f t="shared" si="31"/>
        <v>http://geocode.csis.u-tokyo.ac.jp/cgi-bin/simple_geocode.cgi?charset=UTF8&amp;addr=</v>
      </c>
      <c r="E45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4" t="e" cm="1">
        <f t="array" ref="F454">INDEX(_xlfn.FILTERXML(E454,"//latitude"),1)</f>
        <v>#VALUE!</v>
      </c>
      <c r="G454" t="e" cm="1">
        <f t="array" ref="G454">INDEX(_xlfn.FILTERXML(E454,"//longitude"),1)</f>
        <v>#VALUE!</v>
      </c>
      <c r="H454">
        <v>36.389361999999998</v>
      </c>
      <c r="I454">
        <v>140.55647300000001</v>
      </c>
    </row>
    <row r="455" spans="4:9" x14ac:dyDescent="0.4">
      <c r="D455" s="2" t="str">
        <f t="shared" si="31"/>
        <v>http://geocode.csis.u-tokyo.ac.jp/cgi-bin/simple_geocode.cgi?charset=UTF8&amp;addr=</v>
      </c>
      <c r="E45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5" t="e" cm="1">
        <f t="array" ref="F455">INDEX(_xlfn.FILTERXML(E455,"//latitude"),1)</f>
        <v>#VALUE!</v>
      </c>
      <c r="G455" t="e" cm="1">
        <f t="array" ref="G455">INDEX(_xlfn.FILTERXML(E455,"//longitude"),1)</f>
        <v>#VALUE!</v>
      </c>
      <c r="H455">
        <v>35.561259999999997</v>
      </c>
      <c r="I455">
        <v>139.71598800000001</v>
      </c>
    </row>
    <row r="456" spans="4:9" x14ac:dyDescent="0.4">
      <c r="D456" s="2" t="str">
        <f t="shared" si="31"/>
        <v>http://geocode.csis.u-tokyo.ac.jp/cgi-bin/simple_geocode.cgi?charset=UTF8&amp;addr=</v>
      </c>
      <c r="E45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6" t="e" cm="1">
        <f t="array" ref="F456">INDEX(_xlfn.FILTERXML(E456,"//latitude"),1)</f>
        <v>#VALUE!</v>
      </c>
      <c r="G456" t="e" cm="1">
        <f t="array" ref="G456">INDEX(_xlfn.FILTERXML(E456,"//longitude"),1)</f>
        <v>#VALUE!</v>
      </c>
      <c r="H456">
        <v>35.152039000000002</v>
      </c>
      <c r="I456">
        <v>136.93937700000001</v>
      </c>
    </row>
    <row r="457" spans="4:9" x14ac:dyDescent="0.4">
      <c r="D457" s="2" t="str">
        <f t="shared" si="31"/>
        <v>http://geocode.csis.u-tokyo.ac.jp/cgi-bin/simple_geocode.cgi?charset=UTF8&amp;addr=</v>
      </c>
      <c r="E45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7" t="e" cm="1">
        <f t="array" ref="F457">INDEX(_xlfn.FILTERXML(E457,"//latitude"),1)</f>
        <v>#VALUE!</v>
      </c>
      <c r="G457" t="e" cm="1">
        <f t="array" ref="G457">INDEX(_xlfn.FILTERXML(E457,"//longitude"),1)</f>
        <v>#VALUE!</v>
      </c>
      <c r="H457">
        <v>35.032390999999997</v>
      </c>
      <c r="I457">
        <v>138.45751999999999</v>
      </c>
    </row>
    <row r="458" spans="4:9" x14ac:dyDescent="0.4">
      <c r="D458" s="2" t="str">
        <f t="shared" si="31"/>
        <v>http://geocode.csis.u-tokyo.ac.jp/cgi-bin/simple_geocode.cgi?charset=UTF8&amp;addr=</v>
      </c>
      <c r="E45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8" t="e" cm="1">
        <f t="array" ref="F458">INDEX(_xlfn.FILTERXML(E458,"//latitude"),1)</f>
        <v>#VALUE!</v>
      </c>
      <c r="G458" t="e" cm="1">
        <f t="array" ref="G458">INDEX(_xlfn.FILTERXML(E458,"//longitude"),1)</f>
        <v>#VALUE!</v>
      </c>
      <c r="H458">
        <v>37.754387000000001</v>
      </c>
      <c r="I458">
        <v>140.47622699999999</v>
      </c>
    </row>
    <row r="459" spans="4:9" x14ac:dyDescent="0.4">
      <c r="D459" s="2" t="str">
        <f t="shared" si="31"/>
        <v>http://geocode.csis.u-tokyo.ac.jp/cgi-bin/simple_geocode.cgi?charset=UTF8&amp;addr=</v>
      </c>
      <c r="E45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59" t="e" cm="1">
        <f t="array" ref="F459">INDEX(_xlfn.FILTERXML(E459,"//latitude"),1)</f>
        <v>#VALUE!</v>
      </c>
      <c r="G459" t="e" cm="1">
        <f t="array" ref="G459">INDEX(_xlfn.FILTERXML(E459,"//longitude"),1)</f>
        <v>#VALUE!</v>
      </c>
      <c r="H459">
        <v>35.701999999999998</v>
      </c>
      <c r="I459">
        <v>139.459091</v>
      </c>
    </row>
    <row r="460" spans="4:9" x14ac:dyDescent="0.4">
      <c r="D460" s="2" t="str">
        <f t="shared" si="31"/>
        <v>http://geocode.csis.u-tokyo.ac.jp/cgi-bin/simple_geocode.cgi?charset=UTF8&amp;addr=</v>
      </c>
      <c r="E46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0" t="e" cm="1">
        <f t="array" ref="F460">INDEX(_xlfn.FILTERXML(E460,"//latitude"),1)</f>
        <v>#VALUE!</v>
      </c>
      <c r="G460" t="e" cm="1">
        <f t="array" ref="G460">INDEX(_xlfn.FILTERXML(E460,"//longitude"),1)</f>
        <v>#VALUE!</v>
      </c>
      <c r="H460">
        <v>34.385254000000003</v>
      </c>
      <c r="I460">
        <v>132.45533800000001</v>
      </c>
    </row>
    <row r="461" spans="4:9" x14ac:dyDescent="0.4">
      <c r="D461" s="2" t="str">
        <f t="shared" si="31"/>
        <v>http://geocode.csis.u-tokyo.ac.jp/cgi-bin/simple_geocode.cgi?charset=UTF8&amp;addr=</v>
      </c>
      <c r="E46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1" t="e" cm="1">
        <f t="array" ref="F461">INDEX(_xlfn.FILTERXML(E461,"//latitude"),1)</f>
        <v>#VALUE!</v>
      </c>
      <c r="G461" t="e" cm="1">
        <f t="array" ref="G461">INDEX(_xlfn.FILTERXML(E461,"//longitude"),1)</f>
        <v>#VALUE!</v>
      </c>
      <c r="H461">
        <v>35.895339999999997</v>
      </c>
      <c r="I461">
        <v>139.463348</v>
      </c>
    </row>
    <row r="462" spans="4:9" x14ac:dyDescent="0.4">
      <c r="D462" s="2" t="str">
        <f t="shared" si="31"/>
        <v>http://geocode.csis.u-tokyo.ac.jp/cgi-bin/simple_geocode.cgi?charset=UTF8&amp;addr=</v>
      </c>
      <c r="E46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2" t="e" cm="1">
        <f t="array" ref="F462">INDEX(_xlfn.FILTERXML(E462,"//latitude"),1)</f>
        <v>#VALUE!</v>
      </c>
      <c r="G462" t="e" cm="1">
        <f t="array" ref="G462">INDEX(_xlfn.FILTERXML(E462,"//longitude"),1)</f>
        <v>#VALUE!</v>
      </c>
      <c r="H462">
        <v>35.581547</v>
      </c>
      <c r="I462">
        <v>139.58741800000001</v>
      </c>
    </row>
    <row r="463" spans="4:9" x14ac:dyDescent="0.4">
      <c r="D463" s="2" t="str">
        <f t="shared" si="31"/>
        <v>http://geocode.csis.u-tokyo.ac.jp/cgi-bin/simple_geocode.cgi?charset=UTF8&amp;addr=</v>
      </c>
      <c r="E46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3" t="e" cm="1">
        <f t="array" ref="F463">INDEX(_xlfn.FILTERXML(E463,"//latitude"),1)</f>
        <v>#VALUE!</v>
      </c>
      <c r="G463" t="e" cm="1">
        <f t="array" ref="G463">INDEX(_xlfn.FILTERXML(E463,"//longitude"),1)</f>
        <v>#VALUE!</v>
      </c>
      <c r="H463">
        <v>35.683143999999999</v>
      </c>
      <c r="I463">
        <v>140.160934</v>
      </c>
    </row>
    <row r="464" spans="4:9" x14ac:dyDescent="0.4">
      <c r="D464" s="2" t="str">
        <f t="shared" si="31"/>
        <v>http://geocode.csis.u-tokyo.ac.jp/cgi-bin/simple_geocode.cgi?charset=UTF8&amp;addr=</v>
      </c>
      <c r="E46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4" t="e" cm="1">
        <f t="array" ref="F464">INDEX(_xlfn.FILTERXML(E464,"//latitude"),1)</f>
        <v>#VALUE!</v>
      </c>
      <c r="G464" t="e" cm="1">
        <f t="array" ref="G464">INDEX(_xlfn.FILTERXML(E464,"//longitude"),1)</f>
        <v>#VALUE!</v>
      </c>
      <c r="H464">
        <v>36.389412</v>
      </c>
      <c r="I464">
        <v>139.063492</v>
      </c>
    </row>
    <row r="465" spans="4:9" x14ac:dyDescent="0.4">
      <c r="D465" s="2" t="str">
        <f t="shared" si="31"/>
        <v>http://geocode.csis.u-tokyo.ac.jp/cgi-bin/simple_geocode.cgi?charset=UTF8&amp;addr=</v>
      </c>
      <c r="E46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5" t="e" cm="1">
        <f t="array" ref="F465">INDEX(_xlfn.FILTERXML(E465,"//latitude"),1)</f>
        <v>#VALUE!</v>
      </c>
      <c r="G465" t="e" cm="1">
        <f t="array" ref="G465">INDEX(_xlfn.FILTERXML(E465,"//longitude"),1)</f>
        <v>#VALUE!</v>
      </c>
      <c r="H465">
        <v>40.612701000000001</v>
      </c>
      <c r="I465">
        <v>141.205917</v>
      </c>
    </row>
    <row r="466" spans="4:9" x14ac:dyDescent="0.4">
      <c r="D466" s="2" t="str">
        <f t="shared" si="31"/>
        <v>http://geocode.csis.u-tokyo.ac.jp/cgi-bin/simple_geocode.cgi?charset=UTF8&amp;addr=</v>
      </c>
      <c r="E46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6" t="e" cm="1">
        <f t="array" ref="F466">INDEX(_xlfn.FILTERXML(E466,"//latitude"),1)</f>
        <v>#VALUE!</v>
      </c>
      <c r="G466" t="e" cm="1">
        <f t="array" ref="G466">INDEX(_xlfn.FILTERXML(E466,"//longitude"),1)</f>
        <v>#VALUE!</v>
      </c>
      <c r="H466">
        <v>34.717880000000001</v>
      </c>
      <c r="I466">
        <v>137.851517</v>
      </c>
    </row>
    <row r="467" spans="4:9" x14ac:dyDescent="0.4">
      <c r="D467" s="2" t="str">
        <f t="shared" si="31"/>
        <v>http://geocode.csis.u-tokyo.ac.jp/cgi-bin/simple_geocode.cgi?charset=UTF8&amp;addr=</v>
      </c>
      <c r="E46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7" t="e" cm="1">
        <f t="array" ref="F467">INDEX(_xlfn.FILTERXML(E467,"//latitude"),1)</f>
        <v>#VALUE!</v>
      </c>
      <c r="G467" t="e" cm="1">
        <f t="array" ref="G467">INDEX(_xlfn.FILTERXML(E467,"//longitude"),1)</f>
        <v>#VALUE!</v>
      </c>
      <c r="H467">
        <v>35.694710000000001</v>
      </c>
      <c r="I467">
        <v>139.98262</v>
      </c>
    </row>
    <row r="468" spans="4:9" x14ac:dyDescent="0.4">
      <c r="D468" s="2" t="str">
        <f t="shared" si="31"/>
        <v>http://geocode.csis.u-tokyo.ac.jp/cgi-bin/simple_geocode.cgi?charset=UTF8&amp;addr=</v>
      </c>
      <c r="E46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8" t="e" cm="1">
        <f t="array" ref="F468">INDEX(_xlfn.FILTERXML(E468,"//latitude"),1)</f>
        <v>#VALUE!</v>
      </c>
      <c r="G468" t="e" cm="1">
        <f t="array" ref="G468">INDEX(_xlfn.FILTERXML(E468,"//longitude"),1)</f>
        <v>#VALUE!</v>
      </c>
      <c r="H468">
        <v>35.021614</v>
      </c>
      <c r="I468">
        <v>135.997986</v>
      </c>
    </row>
    <row r="469" spans="4:9" x14ac:dyDescent="0.4">
      <c r="D469" s="2" t="str">
        <f t="shared" si="31"/>
        <v>http://geocode.csis.u-tokyo.ac.jp/cgi-bin/simple_geocode.cgi?charset=UTF8&amp;addr=</v>
      </c>
      <c r="E46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69" t="e" cm="1">
        <f t="array" ref="F469">INDEX(_xlfn.FILTERXML(E469,"//latitude"),1)</f>
        <v>#VALUE!</v>
      </c>
      <c r="G469" t="e" cm="1">
        <f t="array" ref="G469">INDEX(_xlfn.FILTERXML(E469,"//longitude"),1)</f>
        <v>#VALUE!</v>
      </c>
      <c r="H469">
        <v>35.767344999999999</v>
      </c>
      <c r="I469">
        <v>139.60675000000001</v>
      </c>
    </row>
    <row r="470" spans="4:9" x14ac:dyDescent="0.4">
      <c r="D470" s="2" t="str">
        <f t="shared" si="31"/>
        <v>http://geocode.csis.u-tokyo.ac.jp/cgi-bin/simple_geocode.cgi?charset=UTF8&amp;addr=</v>
      </c>
      <c r="E47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0" t="e" cm="1">
        <f t="array" ref="F470">INDEX(_xlfn.FILTERXML(E470,"//latitude"),1)</f>
        <v>#VALUE!</v>
      </c>
      <c r="G470" t="e" cm="1">
        <f t="array" ref="G470">INDEX(_xlfn.FILTERXML(E470,"//longitude"),1)</f>
        <v>#VALUE!</v>
      </c>
      <c r="H470">
        <v>34.553246000000001</v>
      </c>
      <c r="I470">
        <v>135.73344399999999</v>
      </c>
    </row>
    <row r="471" spans="4:9" x14ac:dyDescent="0.4">
      <c r="D471" s="2" t="str">
        <f t="shared" si="31"/>
        <v>http://geocode.csis.u-tokyo.ac.jp/cgi-bin/simple_geocode.cgi?charset=UTF8&amp;addr=</v>
      </c>
      <c r="E47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1" t="e" cm="1">
        <f t="array" ref="F471">INDEX(_xlfn.FILTERXML(E471,"//latitude"),1)</f>
        <v>#VALUE!</v>
      </c>
      <c r="G471" t="e" cm="1">
        <f t="array" ref="G471">INDEX(_xlfn.FILTERXML(E471,"//longitude"),1)</f>
        <v>#VALUE!</v>
      </c>
      <c r="H471">
        <v>35.717055999999999</v>
      </c>
      <c r="I471">
        <v>139.81958</v>
      </c>
    </row>
    <row r="472" spans="4:9" x14ac:dyDescent="0.4">
      <c r="D472" s="2" t="str">
        <f t="shared" si="31"/>
        <v>http://geocode.csis.u-tokyo.ac.jp/cgi-bin/simple_geocode.cgi?charset=UTF8&amp;addr=</v>
      </c>
      <c r="E47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2" t="e" cm="1">
        <f t="array" ref="F472">INDEX(_xlfn.FILTERXML(E472,"//latitude"),1)</f>
        <v>#VALUE!</v>
      </c>
      <c r="G472" t="e" cm="1">
        <f t="array" ref="G472">INDEX(_xlfn.FILTERXML(E472,"//longitude"),1)</f>
        <v>#VALUE!</v>
      </c>
      <c r="H472">
        <v>35.707267999999999</v>
      </c>
      <c r="I472">
        <v>139.66374200000001</v>
      </c>
    </row>
    <row r="473" spans="4:9" x14ac:dyDescent="0.4">
      <c r="D473" s="2" t="str">
        <f t="shared" si="31"/>
        <v>http://geocode.csis.u-tokyo.ac.jp/cgi-bin/simple_geocode.cgi?charset=UTF8&amp;addr=</v>
      </c>
      <c r="E47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3" t="e" cm="1">
        <f t="array" ref="F473">INDEX(_xlfn.FILTERXML(E473,"//latitude"),1)</f>
        <v>#VALUE!</v>
      </c>
      <c r="G473" t="e" cm="1">
        <f t="array" ref="G473">INDEX(_xlfn.FILTERXML(E473,"//longitude"),1)</f>
        <v>#VALUE!</v>
      </c>
      <c r="H473">
        <v>34.358443999999999</v>
      </c>
      <c r="I473">
        <v>135.30772400000001</v>
      </c>
    </row>
    <row r="474" spans="4:9" x14ac:dyDescent="0.4">
      <c r="D474" s="2" t="str">
        <f t="shared" si="31"/>
        <v>http://geocode.csis.u-tokyo.ac.jp/cgi-bin/simple_geocode.cgi?charset=UTF8&amp;addr=</v>
      </c>
      <c r="E47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4" t="e" cm="1">
        <f t="array" ref="F474">INDEX(_xlfn.FILTERXML(E474,"//latitude"),1)</f>
        <v>#VALUE!</v>
      </c>
      <c r="G474" t="e" cm="1">
        <f t="array" ref="G474">INDEX(_xlfn.FILTERXML(E474,"//longitude"),1)</f>
        <v>#VALUE!</v>
      </c>
      <c r="H474">
        <v>35.620331</v>
      </c>
      <c r="I474">
        <v>139.575897</v>
      </c>
    </row>
    <row r="475" spans="4:9" x14ac:dyDescent="0.4">
      <c r="D475" s="2" t="str">
        <f t="shared" si="31"/>
        <v>http://geocode.csis.u-tokyo.ac.jp/cgi-bin/simple_geocode.cgi?charset=UTF8&amp;addr=</v>
      </c>
      <c r="E47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5" t="e" cm="1">
        <f t="array" ref="F475">INDEX(_xlfn.FILTERXML(E475,"//latitude"),1)</f>
        <v>#VALUE!</v>
      </c>
      <c r="G475" t="e" cm="1">
        <f t="array" ref="G475">INDEX(_xlfn.FILTERXML(E475,"//longitude"),1)</f>
        <v>#VALUE!</v>
      </c>
      <c r="H475">
        <v>35.460430000000002</v>
      </c>
      <c r="I475">
        <v>139.561813</v>
      </c>
    </row>
    <row r="476" spans="4:9" x14ac:dyDescent="0.4">
      <c r="D476" s="2" t="str">
        <f t="shared" si="31"/>
        <v>http://geocode.csis.u-tokyo.ac.jp/cgi-bin/simple_geocode.cgi?charset=UTF8&amp;addr=</v>
      </c>
      <c r="E47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6" t="e" cm="1">
        <f t="array" ref="F476">INDEX(_xlfn.FILTERXML(E476,"//latitude"),1)</f>
        <v>#VALUE!</v>
      </c>
      <c r="G476" t="e" cm="1">
        <f t="array" ref="G476">INDEX(_xlfn.FILTERXML(E476,"//longitude"),1)</f>
        <v>#VALUE!</v>
      </c>
      <c r="H476">
        <v>35.001506999999997</v>
      </c>
      <c r="I476">
        <v>138.329758</v>
      </c>
    </row>
    <row r="477" spans="4:9" x14ac:dyDescent="0.4">
      <c r="D477" s="2" t="str">
        <f t="shared" si="31"/>
        <v>http://geocode.csis.u-tokyo.ac.jp/cgi-bin/simple_geocode.cgi?charset=UTF8&amp;addr=</v>
      </c>
      <c r="E47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7" t="e" cm="1">
        <f t="array" ref="F477">INDEX(_xlfn.FILTERXML(E477,"//latitude"),1)</f>
        <v>#VALUE!</v>
      </c>
      <c r="G477" t="e" cm="1">
        <f t="array" ref="G477">INDEX(_xlfn.FILTERXML(E477,"//longitude"),1)</f>
        <v>#VALUE!</v>
      </c>
      <c r="H477">
        <v>36.234549999999999</v>
      </c>
      <c r="I477">
        <v>137.95657299999999</v>
      </c>
    </row>
    <row r="478" spans="4:9" x14ac:dyDescent="0.4">
      <c r="D478" s="2" t="str">
        <f t="shared" si="31"/>
        <v>http://geocode.csis.u-tokyo.ac.jp/cgi-bin/simple_geocode.cgi?charset=UTF8&amp;addr=</v>
      </c>
      <c r="E47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8" t="e" cm="1">
        <f t="array" ref="F478">INDEX(_xlfn.FILTERXML(E478,"//latitude"),1)</f>
        <v>#VALUE!</v>
      </c>
      <c r="G478" t="e" cm="1">
        <f t="array" ref="G478">INDEX(_xlfn.FILTERXML(E478,"//longitude"),1)</f>
        <v>#VALUE!</v>
      </c>
      <c r="H478">
        <v>35.535789000000001</v>
      </c>
      <c r="I478">
        <v>139.689728</v>
      </c>
    </row>
    <row r="479" spans="4:9" x14ac:dyDescent="0.4">
      <c r="D479" s="2" t="str">
        <f t="shared" si="31"/>
        <v>http://geocode.csis.u-tokyo.ac.jp/cgi-bin/simple_geocode.cgi?charset=UTF8&amp;addr=</v>
      </c>
      <c r="E47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79" t="e" cm="1">
        <f t="array" ref="F479">INDEX(_xlfn.FILTERXML(E479,"//latitude"),1)</f>
        <v>#VALUE!</v>
      </c>
      <c r="G479" t="e" cm="1">
        <f t="array" ref="G479">INDEX(_xlfn.FILTERXML(E479,"//longitude"),1)</f>
        <v>#VALUE!</v>
      </c>
      <c r="H479">
        <v>34.441788000000003</v>
      </c>
      <c r="I479">
        <v>132.47837799999999</v>
      </c>
    </row>
    <row r="480" spans="4:9" x14ac:dyDescent="0.4">
      <c r="D480" s="2" t="str">
        <f t="shared" si="31"/>
        <v>http://geocode.csis.u-tokyo.ac.jp/cgi-bin/simple_geocode.cgi?charset=UTF8&amp;addr=</v>
      </c>
      <c r="E48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0" t="e" cm="1">
        <f t="array" ref="F480">INDEX(_xlfn.FILTERXML(E480,"//latitude"),1)</f>
        <v>#VALUE!</v>
      </c>
      <c r="G480" t="e" cm="1">
        <f t="array" ref="G480">INDEX(_xlfn.FILTERXML(E480,"//longitude"),1)</f>
        <v>#VALUE!</v>
      </c>
      <c r="H480">
        <v>36.389361999999998</v>
      </c>
      <c r="I480">
        <v>140.55647300000001</v>
      </c>
    </row>
    <row r="481" spans="4:9" x14ac:dyDescent="0.4">
      <c r="D481" s="2" t="str">
        <f t="shared" si="31"/>
        <v>http://geocode.csis.u-tokyo.ac.jp/cgi-bin/simple_geocode.cgi?charset=UTF8&amp;addr=</v>
      </c>
      <c r="E48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1" t="e" cm="1">
        <f t="array" ref="F481">INDEX(_xlfn.FILTERXML(E481,"//latitude"),1)</f>
        <v>#VALUE!</v>
      </c>
      <c r="G481" t="e" cm="1">
        <f t="array" ref="G481">INDEX(_xlfn.FILTERXML(E481,"//longitude"),1)</f>
        <v>#VALUE!</v>
      </c>
      <c r="H481" s="3">
        <v>35.662768999999997</v>
      </c>
      <c r="I481" s="3">
        <v>139.67283599999999</v>
      </c>
    </row>
    <row r="482" spans="4:9" x14ac:dyDescent="0.4">
      <c r="D482" s="2" t="str">
        <f t="shared" si="31"/>
        <v>http://geocode.csis.u-tokyo.ac.jp/cgi-bin/simple_geocode.cgi?charset=UTF8&amp;addr=</v>
      </c>
      <c r="E48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2" t="e" cm="1">
        <f t="array" ref="F482">INDEX(_xlfn.FILTERXML(E482,"//latitude"),1)</f>
        <v>#VALUE!</v>
      </c>
      <c r="G482" t="e" cm="1">
        <f t="array" ref="G482">INDEX(_xlfn.FILTERXML(E482,"//longitude"),1)</f>
        <v>#VALUE!</v>
      </c>
      <c r="H482">
        <v>34.66666</v>
      </c>
      <c r="I482">
        <v>133.887405</v>
      </c>
    </row>
    <row r="483" spans="4:9" x14ac:dyDescent="0.4">
      <c r="D483" s="2" t="str">
        <f t="shared" si="31"/>
        <v>http://geocode.csis.u-tokyo.ac.jp/cgi-bin/simple_geocode.cgi?charset=UTF8&amp;addr=</v>
      </c>
      <c r="E48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3" t="e" cm="1">
        <f t="array" ref="F483">INDEX(_xlfn.FILTERXML(E483,"//latitude"),1)</f>
        <v>#VALUE!</v>
      </c>
      <c r="G483" t="e" cm="1">
        <f t="array" ref="G483">INDEX(_xlfn.FILTERXML(E483,"//longitude"),1)</f>
        <v>#VALUE!</v>
      </c>
      <c r="H483">
        <v>34.623524000000003</v>
      </c>
      <c r="I483">
        <v>135.780609</v>
      </c>
    </row>
    <row r="484" spans="4:9" x14ac:dyDescent="0.4">
      <c r="D484" s="2" t="str">
        <f t="shared" si="31"/>
        <v>http://geocode.csis.u-tokyo.ac.jp/cgi-bin/simple_geocode.cgi?charset=UTF8&amp;addr=</v>
      </c>
      <c r="E48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4" t="e" cm="1">
        <f t="array" ref="F484">INDEX(_xlfn.FILTERXML(E484,"//latitude"),1)</f>
        <v>#VALUE!</v>
      </c>
      <c r="G484" t="e" cm="1">
        <f t="array" ref="G484">INDEX(_xlfn.FILTERXML(E484,"//longitude"),1)</f>
        <v>#VALUE!</v>
      </c>
      <c r="H484">
        <v>34.347262999999998</v>
      </c>
      <c r="I484">
        <v>134.014984</v>
      </c>
    </row>
    <row r="485" spans="4:9" x14ac:dyDescent="0.4">
      <c r="D485" s="2" t="str">
        <f t="shared" si="31"/>
        <v>http://geocode.csis.u-tokyo.ac.jp/cgi-bin/simple_geocode.cgi?charset=UTF8&amp;addr=</v>
      </c>
      <c r="E48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5" t="e" cm="1">
        <f t="array" ref="F485">INDEX(_xlfn.FILTERXML(E485,"//latitude"),1)</f>
        <v>#VALUE!</v>
      </c>
      <c r="G485" t="e" cm="1">
        <f t="array" ref="G485">INDEX(_xlfn.FILTERXML(E485,"//longitude"),1)</f>
        <v>#VALUE!</v>
      </c>
      <c r="H485">
        <v>35.521529999999998</v>
      </c>
      <c r="I485">
        <v>139.691452</v>
      </c>
    </row>
    <row r="486" spans="4:9" x14ac:dyDescent="0.4">
      <c r="D486" s="2" t="str">
        <f t="shared" si="31"/>
        <v>http://geocode.csis.u-tokyo.ac.jp/cgi-bin/simple_geocode.cgi?charset=UTF8&amp;addr=</v>
      </c>
      <c r="E48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6" t="e" cm="1">
        <f t="array" ref="F486">INDEX(_xlfn.FILTERXML(E486,"//latitude"),1)</f>
        <v>#VALUE!</v>
      </c>
      <c r="G486" t="e" cm="1">
        <f t="array" ref="G486">INDEX(_xlfn.FILTERXML(E486,"//longitude"),1)</f>
        <v>#VALUE!</v>
      </c>
      <c r="H486">
        <v>34.835884</v>
      </c>
      <c r="I486">
        <v>135.58471700000001</v>
      </c>
    </row>
    <row r="487" spans="4:9" x14ac:dyDescent="0.4">
      <c r="D487" s="2" t="str">
        <f t="shared" si="31"/>
        <v>http://geocode.csis.u-tokyo.ac.jp/cgi-bin/simple_geocode.cgi?charset=UTF8&amp;addr=</v>
      </c>
      <c r="E48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7" t="e" cm="1">
        <f t="array" ref="F487">INDEX(_xlfn.FILTERXML(E487,"//latitude"),1)</f>
        <v>#VALUE!</v>
      </c>
      <c r="G487" t="e" cm="1">
        <f t="array" ref="G487">INDEX(_xlfn.FILTERXML(E487,"//longitude"),1)</f>
        <v>#VALUE!</v>
      </c>
      <c r="H487">
        <v>35.576690999999997</v>
      </c>
      <c r="I487">
        <v>139.69718900000001</v>
      </c>
    </row>
    <row r="488" spans="4:9" x14ac:dyDescent="0.4">
      <c r="D488" s="2" t="str">
        <f t="shared" si="31"/>
        <v>http://geocode.csis.u-tokyo.ac.jp/cgi-bin/simple_geocode.cgi?charset=UTF8&amp;addr=</v>
      </c>
      <c r="E48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8" t="e" cm="1">
        <f t="array" ref="F488">INDEX(_xlfn.FILTERXML(E488,"//latitude"),1)</f>
        <v>#VALUE!</v>
      </c>
      <c r="G488" t="e" cm="1">
        <f t="array" ref="G488">INDEX(_xlfn.FILTERXML(E488,"//longitude"),1)</f>
        <v>#VALUE!</v>
      </c>
      <c r="H488">
        <v>35.706650000000003</v>
      </c>
      <c r="I488">
        <v>139.86831699999999</v>
      </c>
    </row>
    <row r="489" spans="4:9" x14ac:dyDescent="0.4">
      <c r="D489" s="2" t="str">
        <f t="shared" si="31"/>
        <v>http://geocode.csis.u-tokyo.ac.jp/cgi-bin/simple_geocode.cgi?charset=UTF8&amp;addr=</v>
      </c>
      <c r="E48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89" t="e" cm="1">
        <f t="array" ref="F489">INDEX(_xlfn.FILTERXML(E489,"//latitude"),1)</f>
        <v>#VALUE!</v>
      </c>
      <c r="G489" t="e" cm="1">
        <f t="array" ref="G489">INDEX(_xlfn.FILTERXML(E489,"//longitude"),1)</f>
        <v>#VALUE!</v>
      </c>
      <c r="H489">
        <v>34.772381000000003</v>
      </c>
      <c r="I489">
        <v>135.59544399999999</v>
      </c>
    </row>
    <row r="490" spans="4:9" x14ac:dyDescent="0.4">
      <c r="D490" s="2" t="str">
        <f t="shared" si="31"/>
        <v>http://geocode.csis.u-tokyo.ac.jp/cgi-bin/simple_geocode.cgi?charset=UTF8&amp;addr=</v>
      </c>
      <c r="E49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0" t="e" cm="1">
        <f t="array" ref="F490">INDEX(_xlfn.FILTERXML(E490,"//latitude"),1)</f>
        <v>#VALUE!</v>
      </c>
      <c r="G490" t="e" cm="1">
        <f t="array" ref="G490">INDEX(_xlfn.FILTERXML(E490,"//longitude"),1)</f>
        <v>#VALUE!</v>
      </c>
      <c r="H490">
        <v>36.426270000000002</v>
      </c>
      <c r="I490">
        <v>139.27853400000001</v>
      </c>
    </row>
    <row r="491" spans="4:9" x14ac:dyDescent="0.4">
      <c r="D491" s="2" t="str">
        <f t="shared" si="31"/>
        <v>http://geocode.csis.u-tokyo.ac.jp/cgi-bin/simple_geocode.cgi?charset=UTF8&amp;addr=</v>
      </c>
      <c r="E49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1" t="e" cm="1">
        <f t="array" ref="F491">INDEX(_xlfn.FILTERXML(E491,"//latitude"),1)</f>
        <v>#VALUE!</v>
      </c>
      <c r="G491" t="e" cm="1">
        <f t="array" ref="G491">INDEX(_xlfn.FILTERXML(E491,"//longitude"),1)</f>
        <v>#VALUE!</v>
      </c>
      <c r="H491">
        <v>37.754387000000001</v>
      </c>
      <c r="I491">
        <v>140.47622699999999</v>
      </c>
    </row>
    <row r="492" spans="4:9" x14ac:dyDescent="0.4">
      <c r="D492" s="2" t="str">
        <f t="shared" si="31"/>
        <v>http://geocode.csis.u-tokyo.ac.jp/cgi-bin/simple_geocode.cgi?charset=UTF8&amp;addr=</v>
      </c>
      <c r="E49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2" t="e" cm="1">
        <f t="array" ref="F492">INDEX(_xlfn.FILTERXML(E492,"//latitude"),1)</f>
        <v>#VALUE!</v>
      </c>
      <c r="G492" t="e" cm="1">
        <f t="array" ref="G492">INDEX(_xlfn.FILTERXML(E492,"//longitude"),1)</f>
        <v>#VALUE!</v>
      </c>
      <c r="H492">
        <v>35.573417999999997</v>
      </c>
      <c r="I492">
        <v>139.54426599999999</v>
      </c>
    </row>
    <row r="493" spans="4:9" x14ac:dyDescent="0.4">
      <c r="D493" s="2" t="str">
        <f t="shared" si="31"/>
        <v>http://geocode.csis.u-tokyo.ac.jp/cgi-bin/simple_geocode.cgi?charset=UTF8&amp;addr=</v>
      </c>
      <c r="E49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3" t="e" cm="1">
        <f t="array" ref="F493">INDEX(_xlfn.FILTERXML(E493,"//latitude"),1)</f>
        <v>#VALUE!</v>
      </c>
      <c r="G493" t="e" cm="1">
        <f t="array" ref="G493">INDEX(_xlfn.FILTERXML(E493,"//longitude"),1)</f>
        <v>#VALUE!</v>
      </c>
      <c r="H493">
        <v>35.052635000000002</v>
      </c>
      <c r="I493">
        <v>136.98921200000001</v>
      </c>
    </row>
    <row r="494" spans="4:9" x14ac:dyDescent="0.4">
      <c r="D494" s="2" t="str">
        <f t="shared" si="31"/>
        <v>http://geocode.csis.u-tokyo.ac.jp/cgi-bin/simple_geocode.cgi?charset=UTF8&amp;addr=</v>
      </c>
      <c r="E49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4" t="e" cm="1">
        <f t="array" ref="F494">INDEX(_xlfn.FILTERXML(E494,"//latitude"),1)</f>
        <v>#VALUE!</v>
      </c>
      <c r="G494" t="e" cm="1">
        <f t="array" ref="G494">INDEX(_xlfn.FILTERXML(E494,"//longitude"),1)</f>
        <v>#VALUE!</v>
      </c>
      <c r="H494">
        <v>35.615791000000002</v>
      </c>
      <c r="I494">
        <v>139.743256</v>
      </c>
    </row>
    <row r="495" spans="4:9" x14ac:dyDescent="0.4">
      <c r="D495" s="2" t="str">
        <f t="shared" si="31"/>
        <v>http://geocode.csis.u-tokyo.ac.jp/cgi-bin/simple_geocode.cgi?charset=UTF8&amp;addr=</v>
      </c>
      <c r="E49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5" t="e" cm="1">
        <f t="array" ref="F495">INDEX(_xlfn.FILTERXML(E495,"//latitude"),1)</f>
        <v>#VALUE!</v>
      </c>
      <c r="G495" t="e" cm="1">
        <f t="array" ref="G495">INDEX(_xlfn.FILTERXML(E495,"//longitude"),1)</f>
        <v>#VALUE!</v>
      </c>
      <c r="H495">
        <v>34.342793</v>
      </c>
      <c r="I495">
        <v>134.04657</v>
      </c>
    </row>
    <row r="496" spans="4:9" x14ac:dyDescent="0.4">
      <c r="D496" s="2" t="str">
        <f t="shared" si="31"/>
        <v>http://geocode.csis.u-tokyo.ac.jp/cgi-bin/simple_geocode.cgi?charset=UTF8&amp;addr=</v>
      </c>
      <c r="E49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6" t="e" cm="1">
        <f t="array" ref="F496">INDEX(_xlfn.FILTERXML(E496,"//latitude"),1)</f>
        <v>#VALUE!</v>
      </c>
      <c r="G496" t="e" cm="1">
        <f t="array" ref="G496">INDEX(_xlfn.FILTERXML(E496,"//longitude"),1)</f>
        <v>#VALUE!</v>
      </c>
      <c r="H496">
        <v>35.771675000000002</v>
      </c>
      <c r="I496">
        <v>139.66551200000001</v>
      </c>
    </row>
    <row r="497" spans="4:9" x14ac:dyDescent="0.4">
      <c r="D497" s="2" t="str">
        <f t="shared" si="31"/>
        <v>http://geocode.csis.u-tokyo.ac.jp/cgi-bin/simple_geocode.cgi?charset=UTF8&amp;addr=</v>
      </c>
      <c r="E497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7" t="e" cm="1">
        <f t="array" ref="F497">INDEX(_xlfn.FILTERXML(E497,"//latitude"),1)</f>
        <v>#VALUE!</v>
      </c>
      <c r="G497" t="e" cm="1">
        <f t="array" ref="G497">INDEX(_xlfn.FILTERXML(E497,"//longitude"),1)</f>
        <v>#VALUE!</v>
      </c>
      <c r="H497">
        <v>35.670836999999999</v>
      </c>
      <c r="I497">
        <v>139.758118</v>
      </c>
    </row>
    <row r="498" spans="4:9" x14ac:dyDescent="0.4">
      <c r="D498" s="2" t="str">
        <f t="shared" si="31"/>
        <v>http://geocode.csis.u-tokyo.ac.jp/cgi-bin/simple_geocode.cgi?charset=UTF8&amp;addr=</v>
      </c>
      <c r="E498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8" t="e" cm="1">
        <f t="array" ref="F498">INDEX(_xlfn.FILTERXML(E498,"//latitude"),1)</f>
        <v>#VALUE!</v>
      </c>
      <c r="G498" t="e" cm="1">
        <f t="array" ref="G498">INDEX(_xlfn.FILTERXML(E498,"//longitude"),1)</f>
        <v>#VALUE!</v>
      </c>
      <c r="H498">
        <v>35.464432000000002</v>
      </c>
      <c r="I498">
        <v>139.60762</v>
      </c>
    </row>
    <row r="499" spans="4:9" x14ac:dyDescent="0.4">
      <c r="D499" s="2" t="str">
        <f t="shared" si="31"/>
        <v>http://geocode.csis.u-tokyo.ac.jp/cgi-bin/simple_geocode.cgi?charset=UTF8&amp;addr=</v>
      </c>
      <c r="E499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499" t="e" cm="1">
        <f t="array" ref="F499">INDEX(_xlfn.FILTERXML(E499,"//latitude"),1)</f>
        <v>#VALUE!</v>
      </c>
      <c r="G499" t="e" cm="1">
        <f t="array" ref="G499">INDEX(_xlfn.FILTERXML(E499,"//longitude"),1)</f>
        <v>#VALUE!</v>
      </c>
      <c r="H499">
        <v>36.555115000000001</v>
      </c>
      <c r="I499">
        <v>139.882812</v>
      </c>
    </row>
    <row r="500" spans="4:9" x14ac:dyDescent="0.4">
      <c r="D500" s="2" t="str">
        <f t="shared" si="31"/>
        <v>http://geocode.csis.u-tokyo.ac.jp/cgi-bin/simple_geocode.cgi?charset=UTF8&amp;addr=</v>
      </c>
      <c r="E500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0" t="e" cm="1">
        <f t="array" ref="F500">INDEX(_xlfn.FILTERXML(E500,"//latitude"),1)</f>
        <v>#VALUE!</v>
      </c>
      <c r="G500" t="e" cm="1">
        <f t="array" ref="G500">INDEX(_xlfn.FILTERXML(E500,"//longitude"),1)</f>
        <v>#VALUE!</v>
      </c>
      <c r="H500">
        <v>35.249766999999999</v>
      </c>
      <c r="I500">
        <v>139.15849299999999</v>
      </c>
    </row>
    <row r="501" spans="4:9" x14ac:dyDescent="0.4">
      <c r="D501" s="2" t="str">
        <f t="shared" si="31"/>
        <v>http://geocode.csis.u-tokyo.ac.jp/cgi-bin/simple_geocode.cgi?charset=UTF8&amp;addr=</v>
      </c>
      <c r="E501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1" t="e" cm="1">
        <f t="array" ref="F501">INDEX(_xlfn.FILTERXML(E501,"//latitude"),1)</f>
        <v>#VALUE!</v>
      </c>
      <c r="G501" t="e" cm="1">
        <f t="array" ref="G501">INDEX(_xlfn.FILTERXML(E501,"//longitude"),1)</f>
        <v>#VALUE!</v>
      </c>
      <c r="H501">
        <v>35.638106999999998</v>
      </c>
      <c r="I501">
        <v>139.688828</v>
      </c>
    </row>
    <row r="502" spans="4:9" x14ac:dyDescent="0.4">
      <c r="D502" s="2" t="str">
        <f t="shared" si="31"/>
        <v>http://geocode.csis.u-tokyo.ac.jp/cgi-bin/simple_geocode.cgi?charset=UTF8&amp;addr=</v>
      </c>
      <c r="E502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2" t="e" cm="1">
        <f t="array" ref="F502">INDEX(_xlfn.FILTERXML(E502,"//latitude"),1)</f>
        <v>#VALUE!</v>
      </c>
      <c r="G502" t="e" cm="1">
        <f t="array" ref="G502">INDEX(_xlfn.FILTERXML(E502,"//longitude"),1)</f>
        <v>#VALUE!</v>
      </c>
      <c r="H502">
        <v>35.701411999999998</v>
      </c>
      <c r="I502">
        <v>139.76461800000001</v>
      </c>
    </row>
    <row r="503" spans="4:9" x14ac:dyDescent="0.4">
      <c r="D503" s="2" t="str">
        <f t="shared" si="31"/>
        <v>http://geocode.csis.u-tokyo.ac.jp/cgi-bin/simple_geocode.cgi?charset=UTF8&amp;addr=</v>
      </c>
      <c r="E503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3" t="e" cm="1">
        <f t="array" ref="F503">INDEX(_xlfn.FILTERXML(E503,"//latitude"),1)</f>
        <v>#VALUE!</v>
      </c>
      <c r="G503" t="e" cm="1">
        <f t="array" ref="G503">INDEX(_xlfn.FILTERXML(E503,"//longitude"),1)</f>
        <v>#VALUE!</v>
      </c>
      <c r="H503">
        <v>35.543315999999997</v>
      </c>
      <c r="I503">
        <v>139.62115499999999</v>
      </c>
    </row>
    <row r="504" spans="4:9" x14ac:dyDescent="0.4">
      <c r="D504" s="2" t="str">
        <f t="shared" si="31"/>
        <v>http://geocode.csis.u-tokyo.ac.jp/cgi-bin/simple_geocode.cgi?charset=UTF8&amp;addr=</v>
      </c>
      <c r="E504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4" t="e" cm="1">
        <f t="array" ref="F504">INDEX(_xlfn.FILTERXML(E504,"//latitude"),1)</f>
        <v>#VALUE!</v>
      </c>
      <c r="G504" t="e" cm="1">
        <f t="array" ref="G504">INDEX(_xlfn.FILTERXML(E504,"//longitude"),1)</f>
        <v>#VALUE!</v>
      </c>
      <c r="H504">
        <v>35.803482000000002</v>
      </c>
      <c r="I504">
        <v>140.15748600000001</v>
      </c>
    </row>
    <row r="505" spans="4:9" x14ac:dyDescent="0.4">
      <c r="D505" s="2" t="str">
        <f t="shared" si="31"/>
        <v>http://geocode.csis.u-tokyo.ac.jp/cgi-bin/simple_geocode.cgi?charset=UTF8&amp;addr=</v>
      </c>
      <c r="E505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5" t="e" cm="1">
        <f t="array" ref="F505">INDEX(_xlfn.FILTERXML(E505,"//latitude"),1)</f>
        <v>#VALUE!</v>
      </c>
      <c r="G505" t="e" cm="1">
        <f t="array" ref="G505">INDEX(_xlfn.FILTERXML(E505,"//longitude"),1)</f>
        <v>#VALUE!</v>
      </c>
      <c r="H505">
        <v>35.717064000000001</v>
      </c>
      <c r="I505">
        <v>139.732788</v>
      </c>
    </row>
    <row r="506" spans="4:9" x14ac:dyDescent="0.4">
      <c r="D506" s="2" t="str">
        <f t="shared" si="31"/>
        <v>http://geocode.csis.u-tokyo.ac.jp/cgi-bin/simple_geocode.cgi?charset=UTF8&amp;addr=</v>
      </c>
      <c r="E506" t="str">
        <f t="shared" si="32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6" t="e" cm="1">
        <f t="array" ref="F506">INDEX(_xlfn.FILTERXML(E506,"//latitude"),1)</f>
        <v>#VALUE!</v>
      </c>
      <c r="G506" t="e" cm="1">
        <f t="array" ref="G506">INDEX(_xlfn.FILTERXML(E506,"//longitude"),1)</f>
        <v>#VALUE!</v>
      </c>
      <c r="H506">
        <v>35.632187000000002</v>
      </c>
      <c r="I506">
        <v>139.450684</v>
      </c>
    </row>
    <row r="507" spans="4:9" x14ac:dyDescent="0.4">
      <c r="D507" s="2" t="str">
        <f t="shared" ref="D507:D570" si="33" xml:space="preserve"> "http://geocode.csis.u-tokyo.ac.jp/cgi-bin/simple_geocode.cgi?charset=UTF8&amp;addr=" &amp; _xlfn.ENCODEURL(C507)</f>
        <v>http://geocode.csis.u-tokyo.ac.jp/cgi-bin/simple_geocode.cgi?charset=UTF8&amp;addr=</v>
      </c>
      <c r="E507" t="str">
        <f t="shared" ref="E507:E570" si="34" xml:space="preserve"> _xlfn.WEBSERVICE(D507)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507" t="e" cm="1">
        <f t="array" ref="F507">INDEX(_xlfn.FILTERXML(E507,"//latitude"),1)</f>
        <v>#VALUE!</v>
      </c>
      <c r="G507" t="e" cm="1">
        <f t="array" ref="G507">INDEX(_xlfn.FILTERXML(E507,"//longitude"),1)</f>
        <v>#VALUE!</v>
      </c>
      <c r="H507">
        <v>34.884841999999999</v>
      </c>
      <c r="I507">
        <v>135.42190600000001</v>
      </c>
    </row>
    <row r="508" spans="4:9" x14ac:dyDescent="0.4">
      <c r="D508" s="2" t="str">
        <f t="shared" si="33"/>
        <v>http://geocode.csis.u-tokyo.ac.jp/cgi-bin/simple_geocode.cgi?charset=UTF8&amp;addr=</v>
      </c>
      <c r="E50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8" t="e" cm="1">
        <f t="array" ref="F508">INDEX(_xlfn.FILTERXML(E508,"//latitude"),1)</f>
        <v>#VALUE!</v>
      </c>
      <c r="G508" t="e" cm="1">
        <f t="array" ref="G508">INDEX(_xlfn.FILTERXML(E508,"//longitude"),1)</f>
        <v>#VALUE!</v>
      </c>
      <c r="H508">
        <v>34.389961</v>
      </c>
      <c r="I508">
        <v>132.44674699999999</v>
      </c>
    </row>
    <row r="509" spans="4:9" x14ac:dyDescent="0.4">
      <c r="D509" s="2" t="str">
        <f t="shared" si="33"/>
        <v>http://geocode.csis.u-tokyo.ac.jp/cgi-bin/simple_geocode.cgi?charset=UTF8&amp;addr=</v>
      </c>
      <c r="E50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09" t="e" cm="1">
        <f t="array" ref="F509">INDEX(_xlfn.FILTERXML(E509,"//latitude"),1)</f>
        <v>#VALUE!</v>
      </c>
      <c r="G509" t="e" cm="1">
        <f t="array" ref="G509">INDEX(_xlfn.FILTERXML(E509,"//longitude"),1)</f>
        <v>#VALUE!</v>
      </c>
      <c r="H509">
        <v>35.775902000000002</v>
      </c>
      <c r="I509">
        <v>139.82685900000001</v>
      </c>
    </row>
    <row r="510" spans="4:9" x14ac:dyDescent="0.4">
      <c r="D510" s="2" t="str">
        <f t="shared" si="33"/>
        <v>http://geocode.csis.u-tokyo.ac.jp/cgi-bin/simple_geocode.cgi?charset=UTF8&amp;addr=</v>
      </c>
      <c r="E51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0" t="e" cm="1">
        <f t="array" ref="F510">INDEX(_xlfn.FILTERXML(E510,"//latitude"),1)</f>
        <v>#VALUE!</v>
      </c>
      <c r="G510" t="e" cm="1">
        <f t="array" ref="G510">INDEX(_xlfn.FILTERXML(E510,"//longitude"),1)</f>
        <v>#VALUE!</v>
      </c>
      <c r="H510">
        <v>34.810214999999999</v>
      </c>
      <c r="I510">
        <v>135.50968900000001</v>
      </c>
    </row>
    <row r="511" spans="4:9" x14ac:dyDescent="0.4">
      <c r="D511" s="2" t="str">
        <f t="shared" si="33"/>
        <v>http://geocode.csis.u-tokyo.ac.jp/cgi-bin/simple_geocode.cgi?charset=UTF8&amp;addr=</v>
      </c>
      <c r="E51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1" t="e" cm="1">
        <f t="array" ref="F511">INDEX(_xlfn.FILTERXML(E511,"//latitude"),1)</f>
        <v>#VALUE!</v>
      </c>
      <c r="G511" t="e" cm="1">
        <f t="array" ref="G511">INDEX(_xlfn.FILTERXML(E511,"//longitude"),1)</f>
        <v>#VALUE!</v>
      </c>
      <c r="H511">
        <v>34.672043000000002</v>
      </c>
      <c r="I511">
        <v>135.64729299999999</v>
      </c>
    </row>
    <row r="512" spans="4:9" x14ac:dyDescent="0.4">
      <c r="D512" s="2" t="str">
        <f t="shared" si="33"/>
        <v>http://geocode.csis.u-tokyo.ac.jp/cgi-bin/simple_geocode.cgi?charset=UTF8&amp;addr=</v>
      </c>
      <c r="E51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2" t="e" cm="1">
        <f t="array" ref="F512">INDEX(_xlfn.FILTERXML(E512,"//latitude"),1)</f>
        <v>#VALUE!</v>
      </c>
      <c r="G512" t="e" cm="1">
        <f t="array" ref="G512">INDEX(_xlfn.FILTERXML(E512,"//longitude"),1)</f>
        <v>#VALUE!</v>
      </c>
      <c r="H512">
        <v>35.807738999999998</v>
      </c>
      <c r="I512">
        <v>139.72416699999999</v>
      </c>
    </row>
    <row r="513" spans="3:9" x14ac:dyDescent="0.4">
      <c r="D513" s="2" t="str">
        <f t="shared" si="33"/>
        <v>http://geocode.csis.u-tokyo.ac.jp/cgi-bin/simple_geocode.cgi?charset=UTF8&amp;addr=</v>
      </c>
      <c r="E51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3" t="e" cm="1">
        <f t="array" ref="F513">INDEX(_xlfn.FILTERXML(E513,"//latitude"),1)</f>
        <v>#VALUE!</v>
      </c>
      <c r="G513" t="e" cm="1">
        <f t="array" ref="G513">INDEX(_xlfn.FILTERXML(E513,"//longitude"),1)</f>
        <v>#VALUE!</v>
      </c>
      <c r="H513">
        <v>35.048580000000001</v>
      </c>
      <c r="I513">
        <v>135.77858000000001</v>
      </c>
    </row>
    <row r="514" spans="3:9" x14ac:dyDescent="0.4">
      <c r="D514" s="2" t="str">
        <f t="shared" si="33"/>
        <v>http://geocode.csis.u-tokyo.ac.jp/cgi-bin/simple_geocode.cgi?charset=UTF8&amp;addr=</v>
      </c>
      <c r="E51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4" t="e" cm="1">
        <f t="array" ref="F514">INDEX(_xlfn.FILTERXML(E514,"//latitude"),1)</f>
        <v>#VALUE!</v>
      </c>
      <c r="G514" t="e" cm="1">
        <f t="array" ref="G514">INDEX(_xlfn.FILTERXML(E514,"//longitude"),1)</f>
        <v>#VALUE!</v>
      </c>
      <c r="H514">
        <v>34.834816000000004</v>
      </c>
      <c r="I514">
        <v>135.36199999999999</v>
      </c>
    </row>
    <row r="515" spans="3:9" x14ac:dyDescent="0.4">
      <c r="D515" s="2" t="str">
        <f t="shared" si="33"/>
        <v>http://geocode.csis.u-tokyo.ac.jp/cgi-bin/simple_geocode.cgi?charset=UTF8&amp;addr=</v>
      </c>
      <c r="E51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5" t="e" cm="1">
        <f t="array" ref="F515">INDEX(_xlfn.FILTERXML(E515,"//latitude"),1)</f>
        <v>#VALUE!</v>
      </c>
      <c r="G515" t="e" cm="1">
        <f t="array" ref="G515">INDEX(_xlfn.FILTERXML(E515,"//longitude"),1)</f>
        <v>#VALUE!</v>
      </c>
      <c r="H515">
        <v>33.569552999999999</v>
      </c>
      <c r="I515">
        <v>130.429474</v>
      </c>
    </row>
    <row r="516" spans="3:9" x14ac:dyDescent="0.4">
      <c r="D516" s="2" t="str">
        <f t="shared" si="33"/>
        <v>http://geocode.csis.u-tokyo.ac.jp/cgi-bin/simple_geocode.cgi?charset=UTF8&amp;addr=</v>
      </c>
      <c r="E51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6" t="e" cm="1">
        <f t="array" ref="F516">INDEX(_xlfn.FILTERXML(E516,"//latitude"),1)</f>
        <v>#VALUE!</v>
      </c>
      <c r="G516" t="e" cm="1">
        <f t="array" ref="G516">INDEX(_xlfn.FILTERXML(E516,"//longitude"),1)</f>
        <v>#VALUE!</v>
      </c>
      <c r="H516">
        <v>34.920527999999997</v>
      </c>
      <c r="I516">
        <v>136.94160500000001</v>
      </c>
    </row>
    <row r="517" spans="3:9" x14ac:dyDescent="0.4">
      <c r="C517" t="str">
        <f t="shared" ref="C515:C578" si="35">+A517&amp;B517</f>
        <v/>
      </c>
      <c r="D517" s="2" t="str">
        <f t="shared" si="33"/>
        <v>http://geocode.csis.u-tokyo.ac.jp/cgi-bin/simple_geocode.cgi?charset=UTF8&amp;addr=</v>
      </c>
      <c r="E51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7" t="e" cm="1">
        <f t="array" ref="F517">INDEX(_xlfn.FILTERXML(E517,"//latitude"),1)</f>
        <v>#VALUE!</v>
      </c>
      <c r="G517" t="e" cm="1">
        <f t="array" ref="G517">INDEX(_xlfn.FILTERXML(E517,"//longitude"),1)</f>
        <v>#VALUE!</v>
      </c>
      <c r="H517">
        <v>35.581375000000001</v>
      </c>
      <c r="I517">
        <v>139.67962600000001</v>
      </c>
    </row>
    <row r="518" spans="3:9" x14ac:dyDescent="0.4">
      <c r="C518" t="str">
        <f t="shared" si="35"/>
        <v/>
      </c>
      <c r="D518" s="2" t="str">
        <f t="shared" si="33"/>
        <v>http://geocode.csis.u-tokyo.ac.jp/cgi-bin/simple_geocode.cgi?charset=UTF8&amp;addr=</v>
      </c>
      <c r="E51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8" t="e" cm="1">
        <f t="array" ref="F518">INDEX(_xlfn.FILTERXML(E518,"//latitude"),1)</f>
        <v>#VALUE!</v>
      </c>
      <c r="G518" t="e" cm="1">
        <f t="array" ref="G518">INDEX(_xlfn.FILTERXML(E518,"//longitude"),1)</f>
        <v>#VALUE!</v>
      </c>
      <c r="H518">
        <v>35.743248000000001</v>
      </c>
      <c r="I518">
        <v>139.856033</v>
      </c>
    </row>
    <row r="519" spans="3:9" x14ac:dyDescent="0.4">
      <c r="C519" t="str">
        <f t="shared" si="35"/>
        <v/>
      </c>
      <c r="D519" s="2" t="str">
        <f t="shared" si="33"/>
        <v>http://geocode.csis.u-tokyo.ac.jp/cgi-bin/simple_geocode.cgi?charset=UTF8&amp;addr=</v>
      </c>
      <c r="E51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19" t="e" cm="1">
        <f t="array" ref="F519">INDEX(_xlfn.FILTERXML(E519,"//latitude"),1)</f>
        <v>#VALUE!</v>
      </c>
      <c r="G519" t="e" cm="1">
        <f t="array" ref="G519">INDEX(_xlfn.FILTERXML(E519,"//longitude"),1)</f>
        <v>#VALUE!</v>
      </c>
      <c r="H519">
        <v>34.759402999999999</v>
      </c>
      <c r="I519">
        <v>135.51679999999999</v>
      </c>
    </row>
    <row r="520" spans="3:9" x14ac:dyDescent="0.4">
      <c r="C520" t="str">
        <f t="shared" si="35"/>
        <v/>
      </c>
      <c r="D520" s="2" t="str">
        <f t="shared" si="33"/>
        <v>http://geocode.csis.u-tokyo.ac.jp/cgi-bin/simple_geocode.cgi?charset=UTF8&amp;addr=</v>
      </c>
      <c r="E52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0" t="e" cm="1">
        <f t="array" ref="F520">INDEX(_xlfn.FILTERXML(E520,"//latitude"),1)</f>
        <v>#VALUE!</v>
      </c>
      <c r="G520" t="e" cm="1">
        <f t="array" ref="G520">INDEX(_xlfn.FILTERXML(E520,"//longitude"),1)</f>
        <v>#VALUE!</v>
      </c>
      <c r="H520">
        <v>34.502276999999999</v>
      </c>
      <c r="I520">
        <v>133.388138</v>
      </c>
    </row>
    <row r="521" spans="3:9" x14ac:dyDescent="0.4">
      <c r="C521" t="str">
        <f t="shared" si="35"/>
        <v/>
      </c>
      <c r="D521" s="2" t="str">
        <f t="shared" si="33"/>
        <v>http://geocode.csis.u-tokyo.ac.jp/cgi-bin/simple_geocode.cgi?charset=UTF8&amp;addr=</v>
      </c>
      <c r="E52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1" t="e" cm="1">
        <f t="array" ref="F521">INDEX(_xlfn.FILTERXML(E521,"//latitude"),1)</f>
        <v>#VALUE!</v>
      </c>
      <c r="G521" t="e" cm="1">
        <f t="array" ref="G521">INDEX(_xlfn.FILTERXML(E521,"//longitude"),1)</f>
        <v>#VALUE!</v>
      </c>
      <c r="H521">
        <v>43.064261999999999</v>
      </c>
      <c r="I521">
        <v>141.34526099999999</v>
      </c>
    </row>
    <row r="522" spans="3:9" x14ac:dyDescent="0.4">
      <c r="C522" t="str">
        <f t="shared" si="35"/>
        <v/>
      </c>
      <c r="D522" s="2" t="str">
        <f t="shared" si="33"/>
        <v>http://geocode.csis.u-tokyo.ac.jp/cgi-bin/simple_geocode.cgi?charset=UTF8&amp;addr=</v>
      </c>
      <c r="E52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2" t="e" cm="1">
        <f t="array" ref="F522">INDEX(_xlfn.FILTERXML(E522,"//latitude"),1)</f>
        <v>#VALUE!</v>
      </c>
      <c r="G522" t="e" cm="1">
        <f t="array" ref="G522">INDEX(_xlfn.FILTERXML(E522,"//longitude"),1)</f>
        <v>#VALUE!</v>
      </c>
      <c r="H522">
        <v>35.333877999999999</v>
      </c>
      <c r="I522">
        <v>139.404709</v>
      </c>
    </row>
    <row r="523" spans="3:9" x14ac:dyDescent="0.4">
      <c r="C523" t="str">
        <f t="shared" si="35"/>
        <v/>
      </c>
      <c r="D523" s="2" t="str">
        <f t="shared" si="33"/>
        <v>http://geocode.csis.u-tokyo.ac.jp/cgi-bin/simple_geocode.cgi?charset=UTF8&amp;addr=</v>
      </c>
      <c r="E52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3" t="e" cm="1">
        <f t="array" ref="F523">INDEX(_xlfn.FILTERXML(E523,"//latitude"),1)</f>
        <v>#VALUE!</v>
      </c>
      <c r="G523" t="e" cm="1">
        <f t="array" ref="G523">INDEX(_xlfn.FILTERXML(E523,"//longitude"),1)</f>
        <v>#VALUE!</v>
      </c>
      <c r="H523">
        <v>35.965800999999999</v>
      </c>
      <c r="I523">
        <v>139.68446399999999</v>
      </c>
    </row>
    <row r="524" spans="3:9" x14ac:dyDescent="0.4">
      <c r="C524" t="str">
        <f t="shared" si="35"/>
        <v/>
      </c>
      <c r="D524" s="2" t="str">
        <f t="shared" si="33"/>
        <v>http://geocode.csis.u-tokyo.ac.jp/cgi-bin/simple_geocode.cgi?charset=UTF8&amp;addr=</v>
      </c>
      <c r="E52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4" t="e" cm="1">
        <f t="array" ref="F524">INDEX(_xlfn.FILTERXML(E524,"//latitude"),1)</f>
        <v>#VALUE!</v>
      </c>
      <c r="G524" t="e" cm="1">
        <f t="array" ref="G524">INDEX(_xlfn.FILTERXML(E524,"//longitude"),1)</f>
        <v>#VALUE!</v>
      </c>
      <c r="H524">
        <v>35.609946999999998</v>
      </c>
      <c r="I524">
        <v>139.74998500000001</v>
      </c>
    </row>
    <row r="525" spans="3:9" x14ac:dyDescent="0.4">
      <c r="C525" t="str">
        <f t="shared" si="35"/>
        <v/>
      </c>
      <c r="D525" s="2" t="str">
        <f t="shared" si="33"/>
        <v>http://geocode.csis.u-tokyo.ac.jp/cgi-bin/simple_geocode.cgi?charset=UTF8&amp;addr=</v>
      </c>
      <c r="E52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5" t="e" cm="1">
        <f t="array" ref="F525">INDEX(_xlfn.FILTERXML(E525,"//latitude"),1)</f>
        <v>#VALUE!</v>
      </c>
      <c r="G525" t="e" cm="1">
        <f t="array" ref="G525">INDEX(_xlfn.FILTERXML(E525,"//longitude"),1)</f>
        <v>#VALUE!</v>
      </c>
      <c r="H525">
        <v>35.201611</v>
      </c>
      <c r="I525">
        <v>136.88632200000001</v>
      </c>
    </row>
    <row r="526" spans="3:9" x14ac:dyDescent="0.4">
      <c r="C526" t="str">
        <f t="shared" si="35"/>
        <v/>
      </c>
      <c r="D526" s="2" t="str">
        <f t="shared" si="33"/>
        <v>http://geocode.csis.u-tokyo.ac.jp/cgi-bin/simple_geocode.cgi?charset=UTF8&amp;addr=</v>
      </c>
      <c r="E52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6" t="e" cm="1">
        <f t="array" ref="F526">INDEX(_xlfn.FILTERXML(E526,"//latitude"),1)</f>
        <v>#VALUE!</v>
      </c>
      <c r="G526" t="e" cm="1">
        <f t="array" ref="G526">INDEX(_xlfn.FILTERXML(E526,"//longitude"),1)</f>
        <v>#VALUE!</v>
      </c>
      <c r="H526">
        <v>35.240566000000001</v>
      </c>
      <c r="I526">
        <v>136.94551100000001</v>
      </c>
    </row>
    <row r="527" spans="3:9" x14ac:dyDescent="0.4">
      <c r="C527" t="str">
        <f t="shared" si="35"/>
        <v/>
      </c>
      <c r="D527" s="2" t="str">
        <f t="shared" si="33"/>
        <v>http://geocode.csis.u-tokyo.ac.jp/cgi-bin/simple_geocode.cgi?charset=UTF8&amp;addr=</v>
      </c>
      <c r="E52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7" t="e" cm="1">
        <f t="array" ref="F527">INDEX(_xlfn.FILTERXML(E527,"//latitude"),1)</f>
        <v>#VALUE!</v>
      </c>
      <c r="G527" t="e" cm="1">
        <f t="array" ref="G527">INDEX(_xlfn.FILTERXML(E527,"//longitude"),1)</f>
        <v>#VALUE!</v>
      </c>
      <c r="H527">
        <v>43.770797999999999</v>
      </c>
      <c r="I527">
        <v>142.36479199999999</v>
      </c>
    </row>
    <row r="528" spans="3:9" x14ac:dyDescent="0.4">
      <c r="C528" t="str">
        <f t="shared" si="35"/>
        <v/>
      </c>
      <c r="D528" s="2" t="str">
        <f t="shared" si="33"/>
        <v>http://geocode.csis.u-tokyo.ac.jp/cgi-bin/simple_geocode.cgi?charset=UTF8&amp;addr=</v>
      </c>
      <c r="E52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8" t="e" cm="1">
        <f t="array" ref="F528">INDEX(_xlfn.FILTERXML(E528,"//latitude"),1)</f>
        <v>#VALUE!</v>
      </c>
      <c r="G528" t="e" cm="1">
        <f t="array" ref="G528">INDEX(_xlfn.FILTERXML(E528,"//longitude"),1)</f>
        <v>#VALUE!</v>
      </c>
      <c r="H528">
        <v>35.50938</v>
      </c>
      <c r="I528">
        <v>139.52281199999999</v>
      </c>
    </row>
    <row r="529" spans="3:9" x14ac:dyDescent="0.4">
      <c r="C529" t="str">
        <f t="shared" si="35"/>
        <v/>
      </c>
      <c r="D529" s="2" t="str">
        <f t="shared" si="33"/>
        <v>http://geocode.csis.u-tokyo.ac.jp/cgi-bin/simple_geocode.cgi?charset=UTF8&amp;addr=</v>
      </c>
      <c r="E52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29" t="e" cm="1">
        <f t="array" ref="F529">INDEX(_xlfn.FILTERXML(E529,"//latitude"),1)</f>
        <v>#VALUE!</v>
      </c>
      <c r="G529" t="e" cm="1">
        <f t="array" ref="G529">INDEX(_xlfn.FILTERXML(E529,"//longitude"),1)</f>
        <v>#VALUE!</v>
      </c>
      <c r="H529">
        <v>35.725268999999997</v>
      </c>
      <c r="I529">
        <v>139.672653</v>
      </c>
    </row>
    <row r="530" spans="3:9" x14ac:dyDescent="0.4">
      <c r="C530" t="str">
        <f t="shared" si="35"/>
        <v/>
      </c>
      <c r="D530" s="2" t="str">
        <f t="shared" si="33"/>
        <v>http://geocode.csis.u-tokyo.ac.jp/cgi-bin/simple_geocode.cgi?charset=UTF8&amp;addr=</v>
      </c>
      <c r="E53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0" t="e" cm="1">
        <f t="array" ref="F530">INDEX(_xlfn.FILTERXML(E530,"//latitude"),1)</f>
        <v>#VALUE!</v>
      </c>
      <c r="G530" t="e" cm="1">
        <f t="array" ref="G530">INDEX(_xlfn.FILTERXML(E530,"//longitude"),1)</f>
        <v>#VALUE!</v>
      </c>
      <c r="H530">
        <v>35.708111000000002</v>
      </c>
      <c r="I530">
        <v>139.78387499999999</v>
      </c>
    </row>
    <row r="531" spans="3:9" x14ac:dyDescent="0.4">
      <c r="C531" t="str">
        <f t="shared" si="35"/>
        <v/>
      </c>
      <c r="D531" s="2" t="str">
        <f t="shared" si="33"/>
        <v>http://geocode.csis.u-tokyo.ac.jp/cgi-bin/simple_geocode.cgi?charset=UTF8&amp;addr=</v>
      </c>
      <c r="E53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1" t="e" cm="1">
        <f t="array" ref="F531">INDEX(_xlfn.FILTERXML(E531,"//latitude"),1)</f>
        <v>#VALUE!</v>
      </c>
      <c r="G531" t="e" cm="1">
        <f t="array" ref="G531">INDEX(_xlfn.FILTERXML(E531,"//longitude"),1)</f>
        <v>#VALUE!</v>
      </c>
      <c r="H531">
        <v>35.590541999999999</v>
      </c>
      <c r="I531">
        <v>139.705521</v>
      </c>
    </row>
    <row r="532" spans="3:9" x14ac:dyDescent="0.4">
      <c r="C532" t="str">
        <f t="shared" si="35"/>
        <v/>
      </c>
      <c r="D532" s="2" t="str">
        <f t="shared" si="33"/>
        <v>http://geocode.csis.u-tokyo.ac.jp/cgi-bin/simple_geocode.cgi?charset=UTF8&amp;addr=</v>
      </c>
      <c r="E53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2" t="e" cm="1">
        <f t="array" ref="F532">INDEX(_xlfn.FILTERXML(E532,"//latitude"),1)</f>
        <v>#VALUE!</v>
      </c>
      <c r="G532" t="e" cm="1">
        <f t="array" ref="G532">INDEX(_xlfn.FILTERXML(E532,"//longitude"),1)</f>
        <v>#VALUE!</v>
      </c>
      <c r="H532">
        <v>35.641410999999998</v>
      </c>
      <c r="I532">
        <v>139.69811999999999</v>
      </c>
    </row>
    <row r="533" spans="3:9" x14ac:dyDescent="0.4">
      <c r="C533" t="str">
        <f t="shared" si="35"/>
        <v/>
      </c>
      <c r="D533" s="2" t="str">
        <f t="shared" si="33"/>
        <v>http://geocode.csis.u-tokyo.ac.jp/cgi-bin/simple_geocode.cgi?charset=UTF8&amp;addr=</v>
      </c>
      <c r="E53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3" t="e" cm="1">
        <f t="array" ref="F533">INDEX(_xlfn.FILTERXML(E533,"//latitude"),1)</f>
        <v>#VALUE!</v>
      </c>
      <c r="G533" t="e" cm="1">
        <f t="array" ref="G533">INDEX(_xlfn.FILTERXML(E533,"//longitude"),1)</f>
        <v>#VALUE!</v>
      </c>
      <c r="H533">
        <v>35.579971</v>
      </c>
      <c r="I533">
        <v>139.555374</v>
      </c>
    </row>
    <row r="534" spans="3:9" x14ac:dyDescent="0.4">
      <c r="C534" t="str">
        <f t="shared" si="35"/>
        <v/>
      </c>
      <c r="D534" s="2" t="str">
        <f t="shared" si="33"/>
        <v>http://geocode.csis.u-tokyo.ac.jp/cgi-bin/simple_geocode.cgi?charset=UTF8&amp;addr=</v>
      </c>
      <c r="E53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4" t="e" cm="1">
        <f t="array" ref="F534">INDEX(_xlfn.FILTERXML(E534,"//latitude"),1)</f>
        <v>#VALUE!</v>
      </c>
      <c r="G534" t="e" cm="1">
        <f t="array" ref="G534">INDEX(_xlfn.FILTERXML(E534,"//longitude"),1)</f>
        <v>#VALUE!</v>
      </c>
      <c r="H534">
        <v>34.716824000000003</v>
      </c>
      <c r="I534">
        <v>135.134567</v>
      </c>
    </row>
    <row r="535" spans="3:9" x14ac:dyDescent="0.4">
      <c r="C535" t="str">
        <f t="shared" si="35"/>
        <v/>
      </c>
      <c r="D535" s="2" t="str">
        <f t="shared" si="33"/>
        <v>http://geocode.csis.u-tokyo.ac.jp/cgi-bin/simple_geocode.cgi?charset=UTF8&amp;addr=</v>
      </c>
      <c r="E53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5" t="e" cm="1">
        <f t="array" ref="F535">INDEX(_xlfn.FILTERXML(E535,"//latitude"),1)</f>
        <v>#VALUE!</v>
      </c>
      <c r="G535" t="e" cm="1">
        <f t="array" ref="G535">INDEX(_xlfn.FILTERXML(E535,"//longitude"),1)</f>
        <v>#VALUE!</v>
      </c>
      <c r="H535">
        <v>33.583885000000002</v>
      </c>
      <c r="I535">
        <v>130.34200999999999</v>
      </c>
    </row>
    <row r="536" spans="3:9" x14ac:dyDescent="0.4">
      <c r="C536" t="str">
        <f t="shared" si="35"/>
        <v/>
      </c>
      <c r="D536" s="2" t="str">
        <f t="shared" si="33"/>
        <v>http://geocode.csis.u-tokyo.ac.jp/cgi-bin/simple_geocode.cgi?charset=UTF8&amp;addr=</v>
      </c>
      <c r="E53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6" t="e" cm="1">
        <f t="array" ref="F536">INDEX(_xlfn.FILTERXML(E536,"//latitude"),1)</f>
        <v>#VALUE!</v>
      </c>
      <c r="G536" t="e" cm="1">
        <f t="array" ref="G536">INDEX(_xlfn.FILTERXML(E536,"//longitude"),1)</f>
        <v>#VALUE!</v>
      </c>
      <c r="H536">
        <v>35.669144000000003</v>
      </c>
      <c r="I536">
        <v>139.67579699999999</v>
      </c>
    </row>
    <row r="537" spans="3:9" x14ac:dyDescent="0.4">
      <c r="C537" t="str">
        <f t="shared" si="35"/>
        <v/>
      </c>
      <c r="D537" s="2" t="str">
        <f t="shared" si="33"/>
        <v>http://geocode.csis.u-tokyo.ac.jp/cgi-bin/simple_geocode.cgi?charset=UTF8&amp;addr=</v>
      </c>
      <c r="E53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7" t="e" cm="1">
        <f t="array" ref="F537">INDEX(_xlfn.FILTERXML(E537,"//latitude"),1)</f>
        <v>#VALUE!</v>
      </c>
      <c r="G537" t="e" cm="1">
        <f t="array" ref="G537">INDEX(_xlfn.FILTERXML(E537,"//longitude"),1)</f>
        <v>#VALUE!</v>
      </c>
      <c r="H537">
        <v>34.320213000000003</v>
      </c>
      <c r="I537">
        <v>133.84059099999999</v>
      </c>
    </row>
    <row r="538" spans="3:9" x14ac:dyDescent="0.4">
      <c r="C538" t="str">
        <f t="shared" si="35"/>
        <v/>
      </c>
      <c r="D538" s="2" t="str">
        <f t="shared" si="33"/>
        <v>http://geocode.csis.u-tokyo.ac.jp/cgi-bin/simple_geocode.cgi?charset=UTF8&amp;addr=</v>
      </c>
      <c r="E53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8" t="e" cm="1">
        <f t="array" ref="F538">INDEX(_xlfn.FILTERXML(E538,"//latitude"),1)</f>
        <v>#VALUE!</v>
      </c>
      <c r="G538" t="e" cm="1">
        <f t="array" ref="G538">INDEX(_xlfn.FILTERXML(E538,"//longitude"),1)</f>
        <v>#VALUE!</v>
      </c>
      <c r="H538">
        <v>35.837893999999999</v>
      </c>
      <c r="I538">
        <v>139.90644800000001</v>
      </c>
    </row>
    <row r="539" spans="3:9" x14ac:dyDescent="0.4">
      <c r="C539" t="str">
        <f t="shared" si="35"/>
        <v/>
      </c>
      <c r="D539" s="2" t="str">
        <f t="shared" si="33"/>
        <v>http://geocode.csis.u-tokyo.ac.jp/cgi-bin/simple_geocode.cgi?charset=UTF8&amp;addr=</v>
      </c>
      <c r="E53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39" t="e" cm="1">
        <f t="array" ref="F539">INDEX(_xlfn.FILTERXML(E539,"//latitude"),1)</f>
        <v>#VALUE!</v>
      </c>
      <c r="G539" t="e" cm="1">
        <f t="array" ref="G539">INDEX(_xlfn.FILTERXML(E539,"//longitude"),1)</f>
        <v>#VALUE!</v>
      </c>
      <c r="H539">
        <v>35.653987999999998</v>
      </c>
      <c r="I539">
        <v>139.90219099999999</v>
      </c>
    </row>
    <row r="540" spans="3:9" x14ac:dyDescent="0.4">
      <c r="C540" t="str">
        <f t="shared" si="35"/>
        <v/>
      </c>
      <c r="D540" s="2" t="str">
        <f t="shared" si="33"/>
        <v>http://geocode.csis.u-tokyo.ac.jp/cgi-bin/simple_geocode.cgi?charset=UTF8&amp;addr=</v>
      </c>
      <c r="E54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0" t="e" cm="1">
        <f t="array" ref="F540">INDEX(_xlfn.FILTERXML(E540,"//latitude"),1)</f>
        <v>#VALUE!</v>
      </c>
      <c r="G540" t="e" cm="1">
        <f t="array" ref="G540">INDEX(_xlfn.FILTERXML(E540,"//longitude"),1)</f>
        <v>#VALUE!</v>
      </c>
      <c r="H540">
        <v>35.694065000000002</v>
      </c>
      <c r="I540">
        <v>139.40458699999999</v>
      </c>
    </row>
    <row r="541" spans="3:9" x14ac:dyDescent="0.4">
      <c r="C541" t="str">
        <f t="shared" si="35"/>
        <v/>
      </c>
      <c r="D541" s="2" t="str">
        <f t="shared" si="33"/>
        <v>http://geocode.csis.u-tokyo.ac.jp/cgi-bin/simple_geocode.cgi?charset=UTF8&amp;addr=</v>
      </c>
      <c r="E54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1" t="e" cm="1">
        <f t="array" ref="F541">INDEX(_xlfn.FILTERXML(E541,"//latitude"),1)</f>
        <v>#VALUE!</v>
      </c>
      <c r="G541" t="e" cm="1">
        <f t="array" ref="G541">INDEX(_xlfn.FILTERXML(E541,"//longitude"),1)</f>
        <v>#VALUE!</v>
      </c>
      <c r="H541">
        <v>37.837375999999999</v>
      </c>
      <c r="I541">
        <v>140.036911</v>
      </c>
    </row>
    <row r="542" spans="3:9" x14ac:dyDescent="0.4">
      <c r="C542" t="str">
        <f t="shared" si="35"/>
        <v/>
      </c>
      <c r="D542" s="2" t="str">
        <f t="shared" si="33"/>
        <v>http://geocode.csis.u-tokyo.ac.jp/cgi-bin/simple_geocode.cgi?charset=UTF8&amp;addr=</v>
      </c>
      <c r="E54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2" t="e" cm="1">
        <f t="array" ref="F542">INDEX(_xlfn.FILTERXML(E542,"//latitude"),1)</f>
        <v>#VALUE!</v>
      </c>
      <c r="G542" t="e" cm="1">
        <f t="array" ref="G542">INDEX(_xlfn.FILTERXML(E542,"//longitude"),1)</f>
        <v>#VALUE!</v>
      </c>
      <c r="H542">
        <v>34.737690000000001</v>
      </c>
      <c r="I542">
        <v>135.34182699999999</v>
      </c>
    </row>
    <row r="543" spans="3:9" x14ac:dyDescent="0.4">
      <c r="C543" t="str">
        <f t="shared" si="35"/>
        <v/>
      </c>
      <c r="D543" s="2" t="str">
        <f t="shared" si="33"/>
        <v>http://geocode.csis.u-tokyo.ac.jp/cgi-bin/simple_geocode.cgi?charset=UTF8&amp;addr=</v>
      </c>
      <c r="E54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3" t="e" cm="1">
        <f t="array" ref="F543">INDEX(_xlfn.FILTERXML(E543,"//latitude"),1)</f>
        <v>#VALUE!</v>
      </c>
      <c r="G543" t="e" cm="1">
        <f t="array" ref="G543">INDEX(_xlfn.FILTERXML(E543,"//longitude"),1)</f>
        <v>#VALUE!</v>
      </c>
      <c r="H543">
        <v>34.701037999999997</v>
      </c>
      <c r="I543">
        <v>135.54368600000001</v>
      </c>
    </row>
    <row r="544" spans="3:9" x14ac:dyDescent="0.4">
      <c r="C544" t="str">
        <f t="shared" si="35"/>
        <v/>
      </c>
      <c r="D544" s="2" t="str">
        <f t="shared" si="33"/>
        <v>http://geocode.csis.u-tokyo.ac.jp/cgi-bin/simple_geocode.cgi?charset=UTF8&amp;addr=</v>
      </c>
      <c r="E54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4" t="e" cm="1">
        <f t="array" ref="F544">INDEX(_xlfn.FILTERXML(E544,"//latitude"),1)</f>
        <v>#VALUE!</v>
      </c>
      <c r="G544" t="e" cm="1">
        <f t="array" ref="G544">INDEX(_xlfn.FILTERXML(E544,"//longitude"),1)</f>
        <v>#VALUE!</v>
      </c>
      <c r="H544">
        <v>32.784813</v>
      </c>
      <c r="I544">
        <v>130.795975</v>
      </c>
    </row>
    <row r="545" spans="3:9" x14ac:dyDescent="0.4">
      <c r="C545" t="str">
        <f t="shared" si="35"/>
        <v/>
      </c>
      <c r="D545" s="2" t="str">
        <f t="shared" si="33"/>
        <v>http://geocode.csis.u-tokyo.ac.jp/cgi-bin/simple_geocode.cgi?charset=UTF8&amp;addr=</v>
      </c>
      <c r="E54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5" t="e" cm="1">
        <f t="array" ref="F545">INDEX(_xlfn.FILTERXML(E545,"//latitude"),1)</f>
        <v>#VALUE!</v>
      </c>
      <c r="G545" t="e" cm="1">
        <f t="array" ref="G545">INDEX(_xlfn.FILTERXML(E545,"//longitude"),1)</f>
        <v>#VALUE!</v>
      </c>
      <c r="H545">
        <v>36.190842000000004</v>
      </c>
      <c r="I545">
        <v>140.28724700000001</v>
      </c>
    </row>
    <row r="546" spans="3:9" x14ac:dyDescent="0.4">
      <c r="C546" t="str">
        <f t="shared" si="35"/>
        <v/>
      </c>
      <c r="D546" s="2" t="str">
        <f t="shared" si="33"/>
        <v>http://geocode.csis.u-tokyo.ac.jp/cgi-bin/simple_geocode.cgi?charset=UTF8&amp;addr=</v>
      </c>
      <c r="E54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6" t="e" cm="1">
        <f t="array" ref="F546">INDEX(_xlfn.FILTERXML(E546,"//latitude"),1)</f>
        <v>#VALUE!</v>
      </c>
      <c r="G546" t="e" cm="1">
        <f t="array" ref="G546">INDEX(_xlfn.FILTERXML(E546,"//longitude"),1)</f>
        <v>#VALUE!</v>
      </c>
      <c r="H546">
        <v>38.437328000000001</v>
      </c>
      <c r="I546">
        <v>140.88630699999999</v>
      </c>
    </row>
    <row r="547" spans="3:9" x14ac:dyDescent="0.4">
      <c r="C547" t="str">
        <f t="shared" si="35"/>
        <v/>
      </c>
      <c r="D547" s="2" t="str">
        <f t="shared" si="33"/>
        <v>http://geocode.csis.u-tokyo.ac.jp/cgi-bin/simple_geocode.cgi?charset=UTF8&amp;addr=</v>
      </c>
      <c r="E54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7" t="e" cm="1">
        <f t="array" ref="F547">INDEX(_xlfn.FILTERXML(E547,"//latitude"),1)</f>
        <v>#VALUE!</v>
      </c>
      <c r="G547" t="e" cm="1">
        <f t="array" ref="G547">INDEX(_xlfn.FILTERXML(E547,"//longitude"),1)</f>
        <v>#VALUE!</v>
      </c>
      <c r="H547">
        <v>35.524231</v>
      </c>
      <c r="I547">
        <v>140.29426599999999</v>
      </c>
    </row>
    <row r="548" spans="3:9" x14ac:dyDescent="0.4">
      <c r="C548" t="str">
        <f t="shared" si="35"/>
        <v/>
      </c>
      <c r="D548" s="2" t="str">
        <f t="shared" si="33"/>
        <v>http://geocode.csis.u-tokyo.ac.jp/cgi-bin/simple_geocode.cgi?charset=UTF8&amp;addr=</v>
      </c>
      <c r="E54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8" t="e" cm="1">
        <f t="array" ref="F548">INDEX(_xlfn.FILTERXML(E548,"//latitude"),1)</f>
        <v>#VALUE!</v>
      </c>
      <c r="G548" t="e" cm="1">
        <f t="array" ref="G548">INDEX(_xlfn.FILTERXML(E548,"//longitude"),1)</f>
        <v>#VALUE!</v>
      </c>
      <c r="H548">
        <v>35.386459000000002</v>
      </c>
      <c r="I548">
        <v>136.265488</v>
      </c>
    </row>
    <row r="549" spans="3:9" x14ac:dyDescent="0.4">
      <c r="C549" t="str">
        <f t="shared" si="35"/>
        <v/>
      </c>
      <c r="D549" s="2" t="str">
        <f t="shared" si="33"/>
        <v>http://geocode.csis.u-tokyo.ac.jp/cgi-bin/simple_geocode.cgi?charset=UTF8&amp;addr=</v>
      </c>
      <c r="E54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49" t="e" cm="1">
        <f t="array" ref="F549">INDEX(_xlfn.FILTERXML(E549,"//latitude"),1)</f>
        <v>#VALUE!</v>
      </c>
      <c r="G549" t="e" cm="1">
        <f t="array" ref="G549">INDEX(_xlfn.FILTERXML(E549,"//longitude"),1)</f>
        <v>#VALUE!</v>
      </c>
      <c r="H549">
        <v>35.400677000000002</v>
      </c>
      <c r="I549">
        <v>139.591217</v>
      </c>
    </row>
    <row r="550" spans="3:9" x14ac:dyDescent="0.4">
      <c r="C550" t="str">
        <f t="shared" si="35"/>
        <v/>
      </c>
      <c r="D550" s="2" t="str">
        <f t="shared" si="33"/>
        <v>http://geocode.csis.u-tokyo.ac.jp/cgi-bin/simple_geocode.cgi?charset=UTF8&amp;addr=</v>
      </c>
      <c r="E55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0" t="e" cm="1">
        <f t="array" ref="F550">INDEX(_xlfn.FILTERXML(E550,"//latitude"),1)</f>
        <v>#VALUE!</v>
      </c>
      <c r="G550" t="e" cm="1">
        <f t="array" ref="G550">INDEX(_xlfn.FILTERXML(E550,"//longitude"),1)</f>
        <v>#VALUE!</v>
      </c>
      <c r="H550">
        <v>35.710940999999998</v>
      </c>
      <c r="I550">
        <v>139.46225000000001</v>
      </c>
    </row>
    <row r="551" spans="3:9" x14ac:dyDescent="0.4">
      <c r="C551" t="str">
        <f t="shared" si="35"/>
        <v/>
      </c>
      <c r="D551" s="2" t="str">
        <f t="shared" si="33"/>
        <v>http://geocode.csis.u-tokyo.ac.jp/cgi-bin/simple_geocode.cgi?charset=UTF8&amp;addr=</v>
      </c>
      <c r="E55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1" t="e" cm="1">
        <f t="array" ref="F551">INDEX(_xlfn.FILTERXML(E551,"//latitude"),1)</f>
        <v>#VALUE!</v>
      </c>
      <c r="G551" t="e" cm="1">
        <f t="array" ref="G551">INDEX(_xlfn.FILTERXML(E551,"//longitude"),1)</f>
        <v>#VALUE!</v>
      </c>
      <c r="H551">
        <v>35.021614</v>
      </c>
      <c r="I551">
        <v>135.997986</v>
      </c>
    </row>
    <row r="552" spans="3:9" x14ac:dyDescent="0.4">
      <c r="C552" t="str">
        <f t="shared" si="35"/>
        <v/>
      </c>
      <c r="D552" s="2" t="str">
        <f t="shared" si="33"/>
        <v>http://geocode.csis.u-tokyo.ac.jp/cgi-bin/simple_geocode.cgi?charset=UTF8&amp;addr=</v>
      </c>
      <c r="E55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2" t="e" cm="1">
        <f t="array" ref="F552">INDEX(_xlfn.FILTERXML(E552,"//latitude"),1)</f>
        <v>#VALUE!</v>
      </c>
      <c r="G552" t="e" cm="1">
        <f t="array" ref="G552">INDEX(_xlfn.FILTERXML(E552,"//longitude"),1)</f>
        <v>#VALUE!</v>
      </c>
      <c r="H552">
        <v>35.429161000000001</v>
      </c>
      <c r="I552">
        <v>136.80055200000001</v>
      </c>
    </row>
    <row r="553" spans="3:9" x14ac:dyDescent="0.4">
      <c r="C553" t="str">
        <f t="shared" si="35"/>
        <v/>
      </c>
      <c r="D553" s="2" t="str">
        <f t="shared" si="33"/>
        <v>http://geocode.csis.u-tokyo.ac.jp/cgi-bin/simple_geocode.cgi?charset=UTF8&amp;addr=</v>
      </c>
      <c r="E55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3" t="e" cm="1">
        <f t="array" ref="F553">INDEX(_xlfn.FILTERXML(E553,"//latitude"),1)</f>
        <v>#VALUE!</v>
      </c>
      <c r="G553" t="e" cm="1">
        <f t="array" ref="G553">INDEX(_xlfn.FILTERXML(E553,"//longitude"),1)</f>
        <v>#VALUE!</v>
      </c>
      <c r="H553">
        <v>37.437866</v>
      </c>
      <c r="I553">
        <v>138.843964</v>
      </c>
    </row>
    <row r="554" spans="3:9" x14ac:dyDescent="0.4">
      <c r="C554" t="str">
        <f t="shared" si="35"/>
        <v/>
      </c>
      <c r="D554" s="2" t="str">
        <f t="shared" si="33"/>
        <v>http://geocode.csis.u-tokyo.ac.jp/cgi-bin/simple_geocode.cgi?charset=UTF8&amp;addr=</v>
      </c>
      <c r="E55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4" t="e" cm="1">
        <f t="array" ref="F554">INDEX(_xlfn.FILTERXML(E554,"//latitude"),1)</f>
        <v>#VALUE!</v>
      </c>
      <c r="G554" t="e" cm="1">
        <f t="array" ref="G554">INDEX(_xlfn.FILTERXML(E554,"//longitude"),1)</f>
        <v>#VALUE!</v>
      </c>
      <c r="H554">
        <v>35.646481000000001</v>
      </c>
      <c r="I554">
        <v>139.65321399999999</v>
      </c>
    </row>
    <row r="555" spans="3:9" x14ac:dyDescent="0.4">
      <c r="C555" t="str">
        <f t="shared" si="35"/>
        <v/>
      </c>
      <c r="D555" s="2" t="str">
        <f t="shared" si="33"/>
        <v>http://geocode.csis.u-tokyo.ac.jp/cgi-bin/simple_geocode.cgi?charset=UTF8&amp;addr=</v>
      </c>
      <c r="E55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5" t="e" cm="1">
        <f t="array" ref="F555">INDEX(_xlfn.FILTERXML(E555,"//latitude"),1)</f>
        <v>#VALUE!</v>
      </c>
      <c r="G555" t="e" cm="1">
        <f t="array" ref="G555">INDEX(_xlfn.FILTERXML(E555,"//longitude"),1)</f>
        <v>#VALUE!</v>
      </c>
      <c r="H555">
        <v>35.668163</v>
      </c>
      <c r="I555">
        <v>139.65330499999999</v>
      </c>
    </row>
    <row r="556" spans="3:9" x14ac:dyDescent="0.4">
      <c r="C556" t="str">
        <f t="shared" si="35"/>
        <v/>
      </c>
      <c r="D556" s="2" t="str">
        <f t="shared" si="33"/>
        <v>http://geocode.csis.u-tokyo.ac.jp/cgi-bin/simple_geocode.cgi?charset=UTF8&amp;addr=</v>
      </c>
      <c r="E55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6" t="e" cm="1">
        <f t="array" ref="F556">INDEX(_xlfn.FILTERXML(E556,"//latitude"),1)</f>
        <v>#VALUE!</v>
      </c>
      <c r="G556" t="e" cm="1">
        <f t="array" ref="G556">INDEX(_xlfn.FILTERXML(E556,"//longitude"),1)</f>
        <v>#VALUE!</v>
      </c>
      <c r="H556">
        <v>35.671348999999999</v>
      </c>
      <c r="I556">
        <v>139.39497399999999</v>
      </c>
    </row>
    <row r="557" spans="3:9" x14ac:dyDescent="0.4">
      <c r="C557" t="str">
        <f t="shared" si="35"/>
        <v/>
      </c>
      <c r="D557" s="2" t="str">
        <f t="shared" si="33"/>
        <v>http://geocode.csis.u-tokyo.ac.jp/cgi-bin/simple_geocode.cgi?charset=UTF8&amp;addr=</v>
      </c>
      <c r="E55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7" t="e" cm="1">
        <f t="array" ref="F557">INDEX(_xlfn.FILTERXML(E557,"//latitude"),1)</f>
        <v>#VALUE!</v>
      </c>
      <c r="G557" t="e" cm="1">
        <f t="array" ref="G557">INDEX(_xlfn.FILTERXML(E557,"//longitude"),1)</f>
        <v>#VALUE!</v>
      </c>
      <c r="H557">
        <v>33.728008000000003</v>
      </c>
      <c r="I557">
        <v>135.377655</v>
      </c>
    </row>
    <row r="558" spans="3:9" x14ac:dyDescent="0.4">
      <c r="C558" t="str">
        <f t="shared" si="35"/>
        <v/>
      </c>
      <c r="D558" s="2" t="str">
        <f t="shared" si="33"/>
        <v>http://geocode.csis.u-tokyo.ac.jp/cgi-bin/simple_geocode.cgi?charset=UTF8&amp;addr=</v>
      </c>
      <c r="E55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8" t="e" cm="1">
        <f t="array" ref="F558">INDEX(_xlfn.FILTERXML(E558,"//latitude"),1)</f>
        <v>#VALUE!</v>
      </c>
      <c r="G558" t="e" cm="1">
        <f t="array" ref="G558">INDEX(_xlfn.FILTERXML(E558,"//longitude"),1)</f>
        <v>#VALUE!</v>
      </c>
      <c r="H558">
        <v>34.917926999999999</v>
      </c>
      <c r="I558">
        <v>134.75614899999999</v>
      </c>
    </row>
    <row r="559" spans="3:9" x14ac:dyDescent="0.4">
      <c r="C559" t="str">
        <f t="shared" si="35"/>
        <v/>
      </c>
      <c r="D559" s="2" t="str">
        <f t="shared" si="33"/>
        <v>http://geocode.csis.u-tokyo.ac.jp/cgi-bin/simple_geocode.cgi?charset=UTF8&amp;addr=</v>
      </c>
      <c r="E55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59" t="e" cm="1">
        <f t="array" ref="F559">INDEX(_xlfn.FILTERXML(E559,"//latitude"),1)</f>
        <v>#VALUE!</v>
      </c>
      <c r="G559" t="e" cm="1">
        <f t="array" ref="G559">INDEX(_xlfn.FILTERXML(E559,"//longitude"),1)</f>
        <v>#VALUE!</v>
      </c>
      <c r="H559">
        <v>36.043582999999998</v>
      </c>
      <c r="I559">
        <v>139.64726300000001</v>
      </c>
    </row>
    <row r="560" spans="3:9" x14ac:dyDescent="0.4">
      <c r="C560" t="str">
        <f t="shared" si="35"/>
        <v/>
      </c>
      <c r="D560" s="2" t="str">
        <f t="shared" si="33"/>
        <v>http://geocode.csis.u-tokyo.ac.jp/cgi-bin/simple_geocode.cgi?charset=UTF8&amp;addr=</v>
      </c>
      <c r="E56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0" t="e" cm="1">
        <f t="array" ref="F560">INDEX(_xlfn.FILTERXML(E560,"//latitude"),1)</f>
        <v>#VALUE!</v>
      </c>
      <c r="G560" t="e" cm="1">
        <f t="array" ref="G560">INDEX(_xlfn.FILTERXML(E560,"//longitude"),1)</f>
        <v>#VALUE!</v>
      </c>
      <c r="H560">
        <v>35.547325000000001</v>
      </c>
      <c r="I560">
        <v>139.72404499999999</v>
      </c>
    </row>
    <row r="561" spans="3:9" x14ac:dyDescent="0.4">
      <c r="C561" t="str">
        <f t="shared" si="35"/>
        <v/>
      </c>
      <c r="D561" s="2" t="str">
        <f t="shared" si="33"/>
        <v>http://geocode.csis.u-tokyo.ac.jp/cgi-bin/simple_geocode.cgi?charset=UTF8&amp;addr=</v>
      </c>
      <c r="E561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1" t="e" cm="1">
        <f t="array" ref="F561">INDEX(_xlfn.FILTERXML(E561,"//latitude"),1)</f>
        <v>#VALUE!</v>
      </c>
      <c r="G561" t="e" cm="1">
        <f t="array" ref="G561">INDEX(_xlfn.FILTERXML(E561,"//longitude"),1)</f>
        <v>#VALUE!</v>
      </c>
      <c r="H561">
        <v>34.982532999999997</v>
      </c>
      <c r="I561">
        <v>135.728058</v>
      </c>
    </row>
    <row r="562" spans="3:9" x14ac:dyDescent="0.4">
      <c r="C562" t="str">
        <f t="shared" si="35"/>
        <v/>
      </c>
      <c r="D562" s="2" t="str">
        <f t="shared" si="33"/>
        <v>http://geocode.csis.u-tokyo.ac.jp/cgi-bin/simple_geocode.cgi?charset=UTF8&amp;addr=</v>
      </c>
      <c r="E562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2" t="e" cm="1">
        <f t="array" ref="F562">INDEX(_xlfn.FILTERXML(E562,"//latitude"),1)</f>
        <v>#VALUE!</v>
      </c>
      <c r="G562" t="e" cm="1">
        <f t="array" ref="G562">INDEX(_xlfn.FILTERXML(E562,"//longitude"),1)</f>
        <v>#VALUE!</v>
      </c>
      <c r="H562">
        <v>35.493454</v>
      </c>
      <c r="I562">
        <v>135.58235199999999</v>
      </c>
    </row>
    <row r="563" spans="3:9" x14ac:dyDescent="0.4">
      <c r="C563" t="str">
        <f t="shared" si="35"/>
        <v/>
      </c>
      <c r="D563" s="2" t="str">
        <f t="shared" si="33"/>
        <v>http://geocode.csis.u-tokyo.ac.jp/cgi-bin/simple_geocode.cgi?charset=UTF8&amp;addr=</v>
      </c>
      <c r="E563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3" t="e" cm="1">
        <f t="array" ref="F563">INDEX(_xlfn.FILTERXML(E563,"//latitude"),1)</f>
        <v>#VALUE!</v>
      </c>
      <c r="G563" t="e" cm="1">
        <f t="array" ref="G563">INDEX(_xlfn.FILTERXML(E563,"//longitude"),1)</f>
        <v>#VALUE!</v>
      </c>
      <c r="H563">
        <v>35.015732</v>
      </c>
      <c r="I563">
        <v>138.489609</v>
      </c>
    </row>
    <row r="564" spans="3:9" x14ac:dyDescent="0.4">
      <c r="C564" t="str">
        <f t="shared" si="35"/>
        <v/>
      </c>
      <c r="D564" s="2" t="str">
        <f t="shared" si="33"/>
        <v>http://geocode.csis.u-tokyo.ac.jp/cgi-bin/simple_geocode.cgi?charset=UTF8&amp;addr=</v>
      </c>
      <c r="E564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4" t="e" cm="1">
        <f t="array" ref="F564">INDEX(_xlfn.FILTERXML(E564,"//latitude"),1)</f>
        <v>#VALUE!</v>
      </c>
      <c r="G564" t="e" cm="1">
        <f t="array" ref="G564">INDEX(_xlfn.FILTERXML(E564,"//longitude"),1)</f>
        <v>#VALUE!</v>
      </c>
      <c r="H564">
        <v>35.078803999999998</v>
      </c>
      <c r="I564">
        <v>136.79115300000001</v>
      </c>
    </row>
    <row r="565" spans="3:9" x14ac:dyDescent="0.4">
      <c r="C565" t="str">
        <f t="shared" si="35"/>
        <v/>
      </c>
      <c r="D565" s="2" t="str">
        <f t="shared" si="33"/>
        <v>http://geocode.csis.u-tokyo.ac.jp/cgi-bin/simple_geocode.cgi?charset=UTF8&amp;addr=</v>
      </c>
      <c r="E565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5" t="e" cm="1">
        <f t="array" ref="F565">INDEX(_xlfn.FILTERXML(E565,"//latitude"),1)</f>
        <v>#VALUE!</v>
      </c>
      <c r="G565" t="e" cm="1">
        <f t="array" ref="G565">INDEX(_xlfn.FILTERXML(E565,"//longitude"),1)</f>
        <v>#VALUE!</v>
      </c>
      <c r="H565">
        <v>34.694656000000002</v>
      </c>
      <c r="I565">
        <v>135.48904400000001</v>
      </c>
    </row>
    <row r="566" spans="3:9" x14ac:dyDescent="0.4">
      <c r="C566" t="str">
        <f t="shared" si="35"/>
        <v/>
      </c>
      <c r="D566" s="2" t="str">
        <f t="shared" si="33"/>
        <v>http://geocode.csis.u-tokyo.ac.jp/cgi-bin/simple_geocode.cgi?charset=UTF8&amp;addr=</v>
      </c>
      <c r="E566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6" t="e" cm="1">
        <f t="array" ref="F566">INDEX(_xlfn.FILTERXML(E566,"//latitude"),1)</f>
        <v>#VALUE!</v>
      </c>
      <c r="G566" t="e" cm="1">
        <f t="array" ref="G566">INDEX(_xlfn.FILTERXML(E566,"//longitude"),1)</f>
        <v>#VALUE!</v>
      </c>
      <c r="H566">
        <v>42.635455999999998</v>
      </c>
      <c r="I566">
        <v>141.55673200000001</v>
      </c>
    </row>
    <row r="567" spans="3:9" x14ac:dyDescent="0.4">
      <c r="C567" t="str">
        <f t="shared" si="35"/>
        <v/>
      </c>
      <c r="D567" s="2" t="str">
        <f t="shared" si="33"/>
        <v>http://geocode.csis.u-tokyo.ac.jp/cgi-bin/simple_geocode.cgi?charset=UTF8&amp;addr=</v>
      </c>
      <c r="E567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7" t="e" cm="1">
        <f t="array" ref="F567">INDEX(_xlfn.FILTERXML(E567,"//latitude"),1)</f>
        <v>#VALUE!</v>
      </c>
      <c r="G567" t="e" cm="1">
        <f t="array" ref="G567">INDEX(_xlfn.FILTERXML(E567,"//longitude"),1)</f>
        <v>#VALUE!</v>
      </c>
      <c r="H567">
        <v>33.142017000000003</v>
      </c>
      <c r="I567">
        <v>130.44596899999999</v>
      </c>
    </row>
    <row r="568" spans="3:9" x14ac:dyDescent="0.4">
      <c r="C568" t="str">
        <f t="shared" si="35"/>
        <v/>
      </c>
      <c r="D568" s="2" t="str">
        <f t="shared" si="33"/>
        <v>http://geocode.csis.u-tokyo.ac.jp/cgi-bin/simple_geocode.cgi?charset=UTF8&amp;addr=</v>
      </c>
      <c r="E568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8" t="e" cm="1">
        <f t="array" ref="F568">INDEX(_xlfn.FILTERXML(E568,"//latitude"),1)</f>
        <v>#VALUE!</v>
      </c>
      <c r="G568" t="e" cm="1">
        <f t="array" ref="G568">INDEX(_xlfn.FILTERXML(E568,"//longitude"),1)</f>
        <v>#VALUE!</v>
      </c>
      <c r="H568">
        <v>35.590125999999998</v>
      </c>
      <c r="I568">
        <v>139.73457300000001</v>
      </c>
    </row>
    <row r="569" spans="3:9" x14ac:dyDescent="0.4">
      <c r="C569" t="str">
        <f t="shared" si="35"/>
        <v/>
      </c>
      <c r="D569" s="2" t="str">
        <f t="shared" si="33"/>
        <v>http://geocode.csis.u-tokyo.ac.jp/cgi-bin/simple_geocode.cgi?charset=UTF8&amp;addr=</v>
      </c>
      <c r="E569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69" t="e" cm="1">
        <f t="array" ref="F569">INDEX(_xlfn.FILTERXML(E569,"//latitude"),1)</f>
        <v>#VALUE!</v>
      </c>
      <c r="G569" t="e" cm="1">
        <f t="array" ref="G569">INDEX(_xlfn.FILTERXML(E569,"//longitude"),1)</f>
        <v>#VALUE!</v>
      </c>
      <c r="H569">
        <v>35.671348999999999</v>
      </c>
      <c r="I569">
        <v>139.39497399999999</v>
      </c>
    </row>
    <row r="570" spans="3:9" x14ac:dyDescent="0.4">
      <c r="C570" t="str">
        <f t="shared" si="35"/>
        <v/>
      </c>
      <c r="D570" s="2" t="str">
        <f t="shared" si="33"/>
        <v>http://geocode.csis.u-tokyo.ac.jp/cgi-bin/simple_geocode.cgi?charset=UTF8&amp;addr=</v>
      </c>
      <c r="E570" t="str">
        <f t="shared" si="34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0" t="e" cm="1">
        <f t="array" ref="F570">INDEX(_xlfn.FILTERXML(E570,"//latitude"),1)</f>
        <v>#VALUE!</v>
      </c>
      <c r="G570" t="e" cm="1">
        <f t="array" ref="G570">INDEX(_xlfn.FILTERXML(E570,"//longitude"),1)</f>
        <v>#VALUE!</v>
      </c>
      <c r="H570">
        <v>36.648570999999997</v>
      </c>
      <c r="I570">
        <v>138.18942300000001</v>
      </c>
    </row>
    <row r="571" spans="3:9" x14ac:dyDescent="0.4">
      <c r="C571" t="str">
        <f t="shared" si="35"/>
        <v/>
      </c>
      <c r="D571" s="2" t="str">
        <f t="shared" ref="D571:D634" si="36" xml:space="preserve"> "http://geocode.csis.u-tokyo.ac.jp/cgi-bin/simple_geocode.cgi?charset=UTF8&amp;addr=" &amp; _xlfn.ENCODEURL(C571)</f>
        <v>http://geocode.csis.u-tokyo.ac.jp/cgi-bin/simple_geocode.cgi?charset=UTF8&amp;addr=</v>
      </c>
      <c r="E571" t="str">
        <f t="shared" ref="E571:E634" si="37" xml:space="preserve"> _xlfn.WEBSERVICE(D571)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571" t="e" cm="1">
        <f t="array" ref="F571">INDEX(_xlfn.FILTERXML(E571,"//latitude"),1)</f>
        <v>#VALUE!</v>
      </c>
      <c r="G571" t="e" cm="1">
        <f t="array" ref="G571">INDEX(_xlfn.FILTERXML(E571,"//longitude"),1)</f>
        <v>#VALUE!</v>
      </c>
      <c r="H571">
        <v>35.203014000000003</v>
      </c>
      <c r="I571">
        <v>136.994629</v>
      </c>
    </row>
    <row r="572" spans="3:9" x14ac:dyDescent="0.4">
      <c r="C572" t="str">
        <f t="shared" si="35"/>
        <v/>
      </c>
      <c r="D572" s="2" t="str">
        <f t="shared" si="36"/>
        <v>http://geocode.csis.u-tokyo.ac.jp/cgi-bin/simple_geocode.cgi?charset=UTF8&amp;addr=</v>
      </c>
      <c r="E572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2" t="e" cm="1">
        <f t="array" ref="F572">INDEX(_xlfn.FILTERXML(E572,"//latitude"),1)</f>
        <v>#VALUE!</v>
      </c>
      <c r="G572" t="e" cm="1">
        <f t="array" ref="G572">INDEX(_xlfn.FILTERXML(E572,"//longitude"),1)</f>
        <v>#VALUE!</v>
      </c>
      <c r="H572">
        <v>34.770797999999999</v>
      </c>
      <c r="I572">
        <v>135.634964</v>
      </c>
    </row>
    <row r="573" spans="3:9" x14ac:dyDescent="0.4">
      <c r="C573" t="str">
        <f t="shared" si="35"/>
        <v/>
      </c>
      <c r="D573" s="2" t="str">
        <f t="shared" si="36"/>
        <v>http://geocode.csis.u-tokyo.ac.jp/cgi-bin/simple_geocode.cgi?charset=UTF8&amp;addr=</v>
      </c>
      <c r="E573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3" t="e" cm="1">
        <f t="array" ref="F573">INDEX(_xlfn.FILTERXML(E573,"//latitude"),1)</f>
        <v>#VALUE!</v>
      </c>
      <c r="G573" t="e" cm="1">
        <f t="array" ref="G573">INDEX(_xlfn.FILTERXML(E573,"//longitude"),1)</f>
        <v>#VALUE!</v>
      </c>
      <c r="H573">
        <v>35.807738999999998</v>
      </c>
      <c r="I573">
        <v>139.72416699999999</v>
      </c>
    </row>
    <row r="574" spans="3:9" x14ac:dyDescent="0.4">
      <c r="C574" t="str">
        <f t="shared" si="35"/>
        <v/>
      </c>
      <c r="D574" s="2" t="str">
        <f t="shared" si="36"/>
        <v>http://geocode.csis.u-tokyo.ac.jp/cgi-bin/simple_geocode.cgi?charset=UTF8&amp;addr=</v>
      </c>
      <c r="E574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4" t="e" cm="1">
        <f t="array" ref="F574">INDEX(_xlfn.FILTERXML(E574,"//latitude"),1)</f>
        <v>#VALUE!</v>
      </c>
      <c r="G574" t="e" cm="1">
        <f t="array" ref="G574">INDEX(_xlfn.FILTERXML(E574,"//longitude"),1)</f>
        <v>#VALUE!</v>
      </c>
      <c r="H574" s="3">
        <v>34.884841999999999</v>
      </c>
      <c r="I574" s="3">
        <v>135.42190600000001</v>
      </c>
    </row>
    <row r="575" spans="3:9" x14ac:dyDescent="0.4">
      <c r="C575" t="str">
        <f t="shared" si="35"/>
        <v/>
      </c>
      <c r="D575" s="2" t="str">
        <f t="shared" si="36"/>
        <v>http://geocode.csis.u-tokyo.ac.jp/cgi-bin/simple_geocode.cgi?charset=UTF8&amp;addr=</v>
      </c>
      <c r="E575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5" t="e" cm="1">
        <f t="array" ref="F575">INDEX(_xlfn.FILTERXML(E575,"//latitude"),1)</f>
        <v>#VALUE!</v>
      </c>
      <c r="G575" t="e" cm="1">
        <f t="array" ref="G575">INDEX(_xlfn.FILTERXML(E575,"//longitude"),1)</f>
        <v>#VALUE!</v>
      </c>
      <c r="H575">
        <v>34.63261</v>
      </c>
      <c r="I575">
        <v>135.53299000000001</v>
      </c>
    </row>
    <row r="576" spans="3:9" x14ac:dyDescent="0.4">
      <c r="C576" t="str">
        <f t="shared" si="35"/>
        <v/>
      </c>
      <c r="D576" s="2" t="str">
        <f t="shared" si="36"/>
        <v>http://geocode.csis.u-tokyo.ac.jp/cgi-bin/simple_geocode.cgi?charset=UTF8&amp;addr=</v>
      </c>
      <c r="E576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6" t="e" cm="1">
        <f t="array" ref="F576">INDEX(_xlfn.FILTERXML(E576,"//latitude"),1)</f>
        <v>#VALUE!</v>
      </c>
      <c r="G576" t="e" cm="1">
        <f t="array" ref="G576">INDEX(_xlfn.FILTERXML(E576,"//longitude"),1)</f>
        <v>#VALUE!</v>
      </c>
      <c r="H576">
        <v>34.63261</v>
      </c>
      <c r="I576">
        <v>135.53299000000001</v>
      </c>
    </row>
    <row r="577" spans="3:9" x14ac:dyDescent="0.4">
      <c r="C577" t="str">
        <f t="shared" si="35"/>
        <v/>
      </c>
      <c r="D577" s="2" t="str">
        <f t="shared" si="36"/>
        <v>http://geocode.csis.u-tokyo.ac.jp/cgi-bin/simple_geocode.cgi?charset=UTF8&amp;addr=</v>
      </c>
      <c r="E577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7" t="e" cm="1">
        <f t="array" ref="F577">INDEX(_xlfn.FILTERXML(E577,"//latitude"),1)</f>
        <v>#VALUE!</v>
      </c>
      <c r="G577" t="e" cm="1">
        <f t="array" ref="G577">INDEX(_xlfn.FILTERXML(E577,"//longitude"),1)</f>
        <v>#VALUE!</v>
      </c>
      <c r="H577">
        <v>34.660946000000003</v>
      </c>
      <c r="I577">
        <v>135.62394699999999</v>
      </c>
    </row>
    <row r="578" spans="3:9" x14ac:dyDescent="0.4">
      <c r="C578" t="str">
        <f t="shared" si="35"/>
        <v/>
      </c>
      <c r="D578" s="2" t="str">
        <f t="shared" si="36"/>
        <v>http://geocode.csis.u-tokyo.ac.jp/cgi-bin/simple_geocode.cgi?charset=UTF8&amp;addr=</v>
      </c>
      <c r="E578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8" t="e" cm="1">
        <f t="array" ref="F578">INDEX(_xlfn.FILTERXML(E578,"//latitude"),1)</f>
        <v>#VALUE!</v>
      </c>
      <c r="G578" t="e" cm="1">
        <f t="array" ref="G578">INDEX(_xlfn.FILTERXML(E578,"//longitude"),1)</f>
        <v>#VALUE!</v>
      </c>
      <c r="H578">
        <v>36.297339999999998</v>
      </c>
      <c r="I578">
        <v>139.87222299999999</v>
      </c>
    </row>
    <row r="579" spans="3:9" x14ac:dyDescent="0.4">
      <c r="C579" t="str">
        <f t="shared" ref="C579:C642" si="38">+A579&amp;B579</f>
        <v/>
      </c>
      <c r="D579" s="2" t="str">
        <f t="shared" si="36"/>
        <v>http://geocode.csis.u-tokyo.ac.jp/cgi-bin/simple_geocode.cgi?charset=UTF8&amp;addr=</v>
      </c>
      <c r="E579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79" t="e" cm="1">
        <f t="array" ref="F579">INDEX(_xlfn.FILTERXML(E579,"//latitude"),1)</f>
        <v>#VALUE!</v>
      </c>
      <c r="G579" t="e" cm="1">
        <f t="array" ref="G579">INDEX(_xlfn.FILTERXML(E579,"//longitude"),1)</f>
        <v>#VALUE!</v>
      </c>
      <c r="H579">
        <v>43.770797999999999</v>
      </c>
      <c r="I579">
        <v>142.36479199999999</v>
      </c>
    </row>
    <row r="580" spans="3:9" x14ac:dyDescent="0.4">
      <c r="C580" t="str">
        <f t="shared" si="38"/>
        <v/>
      </c>
      <c r="D580" s="2" t="str">
        <f t="shared" si="36"/>
        <v>http://geocode.csis.u-tokyo.ac.jp/cgi-bin/simple_geocode.cgi?charset=UTF8&amp;addr=</v>
      </c>
      <c r="E580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0" t="e" cm="1">
        <f t="array" ref="F580">INDEX(_xlfn.FILTERXML(E580,"//latitude"),1)</f>
        <v>#VALUE!</v>
      </c>
      <c r="G580" t="e" cm="1">
        <f t="array" ref="G580">INDEX(_xlfn.FILTERXML(E580,"//longitude"),1)</f>
        <v>#VALUE!</v>
      </c>
      <c r="H580">
        <v>35.817635000000003</v>
      </c>
      <c r="I580">
        <v>139.677933</v>
      </c>
    </row>
    <row r="581" spans="3:9" x14ac:dyDescent="0.4">
      <c r="C581" t="str">
        <f t="shared" si="38"/>
        <v/>
      </c>
      <c r="D581" s="2" t="str">
        <f t="shared" si="36"/>
        <v>http://geocode.csis.u-tokyo.ac.jp/cgi-bin/simple_geocode.cgi?charset=UTF8&amp;addr=</v>
      </c>
      <c r="E581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1" t="e" cm="1">
        <f t="array" ref="F581">INDEX(_xlfn.FILTERXML(E581,"//latitude"),1)</f>
        <v>#VALUE!</v>
      </c>
      <c r="G581" t="e" cm="1">
        <f t="array" ref="G581">INDEX(_xlfn.FILTERXML(E581,"//longitude"),1)</f>
        <v>#VALUE!</v>
      </c>
      <c r="H581">
        <v>34.676383999999999</v>
      </c>
      <c r="I581">
        <v>135.48611500000001</v>
      </c>
    </row>
    <row r="582" spans="3:9" x14ac:dyDescent="0.4">
      <c r="C582" t="str">
        <f t="shared" si="38"/>
        <v/>
      </c>
      <c r="D582" s="2" t="str">
        <f t="shared" si="36"/>
        <v>http://geocode.csis.u-tokyo.ac.jp/cgi-bin/simple_geocode.cgi?charset=UTF8&amp;addr=</v>
      </c>
      <c r="E582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2" t="e" cm="1">
        <f t="array" ref="F582">INDEX(_xlfn.FILTERXML(E582,"//latitude"),1)</f>
        <v>#VALUE!</v>
      </c>
      <c r="G582" t="e" cm="1">
        <f t="array" ref="G582">INDEX(_xlfn.FILTERXML(E582,"//longitude"),1)</f>
        <v>#VALUE!</v>
      </c>
      <c r="H582">
        <v>35.004440000000002</v>
      </c>
      <c r="I582">
        <v>137.03537</v>
      </c>
    </row>
    <row r="583" spans="3:9" x14ac:dyDescent="0.4">
      <c r="C583" t="str">
        <f t="shared" si="38"/>
        <v/>
      </c>
      <c r="D583" s="2" t="str">
        <f t="shared" si="36"/>
        <v>http://geocode.csis.u-tokyo.ac.jp/cgi-bin/simple_geocode.cgi?charset=UTF8&amp;addr=</v>
      </c>
      <c r="E583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3" t="e" cm="1">
        <f t="array" ref="F583">INDEX(_xlfn.FILTERXML(E583,"//latitude"),1)</f>
        <v>#VALUE!</v>
      </c>
      <c r="G583" t="e" cm="1">
        <f t="array" ref="G583">INDEX(_xlfn.FILTERXML(E583,"//longitude"),1)</f>
        <v>#VALUE!</v>
      </c>
      <c r="H583">
        <v>35.861514999999997</v>
      </c>
      <c r="I583">
        <v>139.64550800000001</v>
      </c>
    </row>
    <row r="584" spans="3:9" x14ac:dyDescent="0.4">
      <c r="C584" t="str">
        <f t="shared" si="38"/>
        <v/>
      </c>
      <c r="D584" s="2" t="str">
        <f t="shared" si="36"/>
        <v>http://geocode.csis.u-tokyo.ac.jp/cgi-bin/simple_geocode.cgi?charset=UTF8&amp;addr=</v>
      </c>
      <c r="E584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4" t="e" cm="1">
        <f t="array" ref="F584">INDEX(_xlfn.FILTERXML(E584,"//latitude"),1)</f>
        <v>#VALUE!</v>
      </c>
      <c r="G584" t="e" cm="1">
        <f t="array" ref="G584">INDEX(_xlfn.FILTERXML(E584,"//longitude"),1)</f>
        <v>#VALUE!</v>
      </c>
      <c r="H584">
        <v>34.182594000000002</v>
      </c>
      <c r="I584">
        <v>134.60554500000001</v>
      </c>
    </row>
    <row r="585" spans="3:9" x14ac:dyDescent="0.4">
      <c r="C585" t="str">
        <f t="shared" si="38"/>
        <v/>
      </c>
      <c r="D585" s="2" t="str">
        <f t="shared" si="36"/>
        <v>http://geocode.csis.u-tokyo.ac.jp/cgi-bin/simple_geocode.cgi?charset=UTF8&amp;addr=</v>
      </c>
      <c r="E585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5" t="e" cm="1">
        <f t="array" ref="F585">INDEX(_xlfn.FILTERXML(E585,"//latitude"),1)</f>
        <v>#VALUE!</v>
      </c>
      <c r="G585" t="e" cm="1">
        <f t="array" ref="G585">INDEX(_xlfn.FILTERXML(E585,"//longitude"),1)</f>
        <v>#VALUE!</v>
      </c>
      <c r="H585">
        <v>35.672722</v>
      </c>
      <c r="I585">
        <v>139.77998400000001</v>
      </c>
    </row>
    <row r="586" spans="3:9" x14ac:dyDescent="0.4">
      <c r="C586" t="str">
        <f t="shared" si="38"/>
        <v/>
      </c>
      <c r="D586" s="2" t="str">
        <f t="shared" si="36"/>
        <v>http://geocode.csis.u-tokyo.ac.jp/cgi-bin/simple_geocode.cgi?charset=UTF8&amp;addr=</v>
      </c>
      <c r="E586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6" t="e" cm="1">
        <f t="array" ref="F586">INDEX(_xlfn.FILTERXML(E586,"//latitude"),1)</f>
        <v>#VALUE!</v>
      </c>
      <c r="G586" t="e" cm="1">
        <f t="array" ref="G586">INDEX(_xlfn.FILTERXML(E586,"//longitude"),1)</f>
        <v>#VALUE!</v>
      </c>
      <c r="H586">
        <v>34.507182999999998</v>
      </c>
      <c r="I586">
        <v>133.50744599999999</v>
      </c>
    </row>
    <row r="587" spans="3:9" x14ac:dyDescent="0.4">
      <c r="C587" t="str">
        <f t="shared" si="38"/>
        <v/>
      </c>
      <c r="D587" s="2" t="str">
        <f t="shared" si="36"/>
        <v>http://geocode.csis.u-tokyo.ac.jp/cgi-bin/simple_geocode.cgi?charset=UTF8&amp;addr=</v>
      </c>
      <c r="E587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7" t="e" cm="1">
        <f t="array" ref="F587">INDEX(_xlfn.FILTERXML(E587,"//latitude"),1)</f>
        <v>#VALUE!</v>
      </c>
      <c r="G587" t="e" cm="1">
        <f t="array" ref="G587">INDEX(_xlfn.FILTERXML(E587,"//longitude"),1)</f>
        <v>#VALUE!</v>
      </c>
      <c r="H587">
        <v>34.669925999999997</v>
      </c>
      <c r="I587">
        <v>135.528763</v>
      </c>
    </row>
    <row r="588" spans="3:9" x14ac:dyDescent="0.4">
      <c r="C588" t="str">
        <f t="shared" si="38"/>
        <v/>
      </c>
      <c r="D588" s="2" t="str">
        <f t="shared" si="36"/>
        <v>http://geocode.csis.u-tokyo.ac.jp/cgi-bin/simple_geocode.cgi?charset=UTF8&amp;addr=</v>
      </c>
      <c r="E588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8" t="e" cm="1">
        <f t="array" ref="F588">INDEX(_xlfn.FILTERXML(E588,"//latitude"),1)</f>
        <v>#VALUE!</v>
      </c>
      <c r="G588" t="e" cm="1">
        <f t="array" ref="G588">INDEX(_xlfn.FILTERXML(E588,"//longitude"),1)</f>
        <v>#VALUE!</v>
      </c>
      <c r="H588">
        <v>35.383468999999998</v>
      </c>
      <c r="I588">
        <v>139.54186999999999</v>
      </c>
    </row>
    <row r="589" spans="3:9" x14ac:dyDescent="0.4">
      <c r="C589" t="str">
        <f t="shared" si="38"/>
        <v/>
      </c>
      <c r="D589" s="2" t="str">
        <f t="shared" si="36"/>
        <v>http://geocode.csis.u-tokyo.ac.jp/cgi-bin/simple_geocode.cgi?charset=UTF8&amp;addr=</v>
      </c>
      <c r="E589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89" t="e" cm="1">
        <f t="array" ref="F589">INDEX(_xlfn.FILTERXML(E589,"//latitude"),1)</f>
        <v>#VALUE!</v>
      </c>
      <c r="G589" t="e" cm="1">
        <f t="array" ref="G589">INDEX(_xlfn.FILTERXML(E589,"//longitude"),1)</f>
        <v>#VALUE!</v>
      </c>
      <c r="H589">
        <v>35.252380000000002</v>
      </c>
      <c r="I589">
        <v>139.163162</v>
      </c>
    </row>
    <row r="590" spans="3:9" x14ac:dyDescent="0.4">
      <c r="C590" t="str">
        <f t="shared" si="38"/>
        <v/>
      </c>
      <c r="D590" s="2" t="str">
        <f t="shared" si="36"/>
        <v>http://geocode.csis.u-tokyo.ac.jp/cgi-bin/simple_geocode.cgi?charset=UTF8&amp;addr=</v>
      </c>
      <c r="E590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0" t="e" cm="1">
        <f t="array" ref="F590">INDEX(_xlfn.FILTERXML(E590,"//latitude"),1)</f>
        <v>#VALUE!</v>
      </c>
      <c r="G590" t="e" cm="1">
        <f t="array" ref="G590">INDEX(_xlfn.FILTERXML(E590,"//longitude"),1)</f>
        <v>#VALUE!</v>
      </c>
      <c r="H590">
        <v>35.658070000000002</v>
      </c>
      <c r="I590">
        <v>139.75160199999999</v>
      </c>
    </row>
    <row r="591" spans="3:9" x14ac:dyDescent="0.4">
      <c r="C591" t="str">
        <f t="shared" si="38"/>
        <v/>
      </c>
      <c r="D591" s="2" t="str">
        <f t="shared" si="36"/>
        <v>http://geocode.csis.u-tokyo.ac.jp/cgi-bin/simple_geocode.cgi?charset=UTF8&amp;addr=</v>
      </c>
      <c r="E591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1" t="e" cm="1">
        <f t="array" ref="F591">INDEX(_xlfn.FILTERXML(E591,"//latitude"),1)</f>
        <v>#VALUE!</v>
      </c>
      <c r="G591" t="e" cm="1">
        <f t="array" ref="G591">INDEX(_xlfn.FILTERXML(E591,"//longitude"),1)</f>
        <v>#VALUE!</v>
      </c>
      <c r="H591">
        <v>33.595066000000003</v>
      </c>
      <c r="I591">
        <v>130.393753</v>
      </c>
    </row>
    <row r="592" spans="3:9" x14ac:dyDescent="0.4">
      <c r="C592" t="str">
        <f t="shared" si="38"/>
        <v/>
      </c>
      <c r="D592" s="2" t="str">
        <f t="shared" si="36"/>
        <v>http://geocode.csis.u-tokyo.ac.jp/cgi-bin/simple_geocode.cgi?charset=UTF8&amp;addr=</v>
      </c>
      <c r="E592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2" t="e" cm="1">
        <f t="array" ref="F592">INDEX(_xlfn.FILTERXML(E592,"//latitude"),1)</f>
        <v>#VALUE!</v>
      </c>
      <c r="G592" t="e" cm="1">
        <f t="array" ref="G592">INDEX(_xlfn.FILTERXML(E592,"//longitude"),1)</f>
        <v>#VALUE!</v>
      </c>
      <c r="H592">
        <v>35.164901999999998</v>
      </c>
      <c r="I592">
        <v>138.66790800000001</v>
      </c>
    </row>
    <row r="593" spans="3:9" x14ac:dyDescent="0.4">
      <c r="C593" t="str">
        <f t="shared" si="38"/>
        <v/>
      </c>
      <c r="D593" s="2" t="str">
        <f t="shared" si="36"/>
        <v>http://geocode.csis.u-tokyo.ac.jp/cgi-bin/simple_geocode.cgi?charset=UTF8&amp;addr=</v>
      </c>
      <c r="E593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3" t="e" cm="1">
        <f t="array" ref="F593">INDEX(_xlfn.FILTERXML(E593,"//latitude"),1)</f>
        <v>#VALUE!</v>
      </c>
      <c r="G593" t="e" cm="1">
        <f t="array" ref="G593">INDEX(_xlfn.FILTERXML(E593,"//longitude"),1)</f>
        <v>#VALUE!</v>
      </c>
      <c r="H593">
        <v>35.720013000000002</v>
      </c>
      <c r="I593">
        <v>139.82304400000001</v>
      </c>
    </row>
    <row r="594" spans="3:9" x14ac:dyDescent="0.4">
      <c r="C594" t="str">
        <f t="shared" si="38"/>
        <v/>
      </c>
      <c r="D594" s="2" t="str">
        <f t="shared" si="36"/>
        <v>http://geocode.csis.u-tokyo.ac.jp/cgi-bin/simple_geocode.cgi?charset=UTF8&amp;addr=</v>
      </c>
      <c r="E594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4" t="e" cm="1">
        <f t="array" ref="F594">INDEX(_xlfn.FILTERXML(E594,"//latitude"),1)</f>
        <v>#VALUE!</v>
      </c>
      <c r="G594" t="e" cm="1">
        <f t="array" ref="G594">INDEX(_xlfn.FILTERXML(E594,"//longitude"),1)</f>
        <v>#VALUE!</v>
      </c>
      <c r="H594">
        <v>35.871718999999999</v>
      </c>
      <c r="I594">
        <v>139.84292600000001</v>
      </c>
    </row>
    <row r="595" spans="3:9" x14ac:dyDescent="0.4">
      <c r="C595" t="str">
        <f t="shared" si="38"/>
        <v/>
      </c>
      <c r="D595" s="2" t="str">
        <f t="shared" si="36"/>
        <v>http://geocode.csis.u-tokyo.ac.jp/cgi-bin/simple_geocode.cgi?charset=UTF8&amp;addr=</v>
      </c>
      <c r="E595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5" t="e" cm="1">
        <f t="array" ref="F595">INDEX(_xlfn.FILTERXML(E595,"//latitude"),1)</f>
        <v>#VALUE!</v>
      </c>
      <c r="G595" t="e" cm="1">
        <f t="array" ref="G595">INDEX(_xlfn.FILTERXML(E595,"//longitude"),1)</f>
        <v>#VALUE!</v>
      </c>
      <c r="H595">
        <v>35.034531000000001</v>
      </c>
      <c r="I595">
        <v>135.75730899999999</v>
      </c>
    </row>
    <row r="596" spans="3:9" x14ac:dyDescent="0.4">
      <c r="C596" t="str">
        <f t="shared" si="38"/>
        <v/>
      </c>
      <c r="D596" s="2" t="str">
        <f t="shared" si="36"/>
        <v>http://geocode.csis.u-tokyo.ac.jp/cgi-bin/simple_geocode.cgi?charset=UTF8&amp;addr=</v>
      </c>
      <c r="E596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6" t="e" cm="1">
        <f t="array" ref="F596">INDEX(_xlfn.FILTERXML(E596,"//latitude"),1)</f>
        <v>#VALUE!</v>
      </c>
      <c r="G596" t="e" cm="1">
        <f t="array" ref="G596">INDEX(_xlfn.FILTERXML(E596,"//longitude"),1)</f>
        <v>#VALUE!</v>
      </c>
      <c r="H596">
        <v>34.395401</v>
      </c>
      <c r="I596">
        <v>132.512451</v>
      </c>
    </row>
    <row r="597" spans="3:9" x14ac:dyDescent="0.4">
      <c r="C597" t="str">
        <f t="shared" si="38"/>
        <v/>
      </c>
      <c r="D597" s="2" t="str">
        <f t="shared" si="36"/>
        <v>http://geocode.csis.u-tokyo.ac.jp/cgi-bin/simple_geocode.cgi?charset=UTF8&amp;addr=</v>
      </c>
      <c r="E597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7" t="e" cm="1">
        <f t="array" ref="F597">INDEX(_xlfn.FILTERXML(E597,"//latitude"),1)</f>
        <v>#VALUE!</v>
      </c>
      <c r="G597" t="e" cm="1">
        <f t="array" ref="G597">INDEX(_xlfn.FILTERXML(E597,"//longitude"),1)</f>
        <v>#VALUE!</v>
      </c>
      <c r="H597">
        <v>35.760249999999999</v>
      </c>
      <c r="I597">
        <v>139.69233700000001</v>
      </c>
    </row>
    <row r="598" spans="3:9" x14ac:dyDescent="0.4">
      <c r="C598" t="str">
        <f t="shared" si="38"/>
        <v/>
      </c>
      <c r="D598" s="2" t="str">
        <f t="shared" si="36"/>
        <v>http://geocode.csis.u-tokyo.ac.jp/cgi-bin/simple_geocode.cgi?charset=UTF8&amp;addr=</v>
      </c>
      <c r="E598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8" t="e" cm="1">
        <f t="array" ref="F598">INDEX(_xlfn.FILTERXML(E598,"//latitude"),1)</f>
        <v>#VALUE!</v>
      </c>
      <c r="G598" t="e" cm="1">
        <f t="array" ref="G598">INDEX(_xlfn.FILTERXML(E598,"//longitude"),1)</f>
        <v>#VALUE!</v>
      </c>
      <c r="H598">
        <v>40.512279999999997</v>
      </c>
      <c r="I598">
        <v>141.48840300000001</v>
      </c>
    </row>
    <row r="599" spans="3:9" x14ac:dyDescent="0.4">
      <c r="C599" t="str">
        <f t="shared" si="38"/>
        <v/>
      </c>
      <c r="D599" s="2" t="str">
        <f t="shared" si="36"/>
        <v>http://geocode.csis.u-tokyo.ac.jp/cgi-bin/simple_geocode.cgi?charset=UTF8&amp;addr=</v>
      </c>
      <c r="E599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599" t="e" cm="1">
        <f t="array" ref="F599">INDEX(_xlfn.FILTERXML(E599,"//latitude"),1)</f>
        <v>#VALUE!</v>
      </c>
      <c r="G599" t="e" cm="1">
        <f t="array" ref="G599">INDEX(_xlfn.FILTERXML(E599,"//longitude"),1)</f>
        <v>#VALUE!</v>
      </c>
      <c r="H599">
        <v>35.137604000000003</v>
      </c>
      <c r="I599">
        <v>136.919861</v>
      </c>
    </row>
    <row r="600" spans="3:9" x14ac:dyDescent="0.4">
      <c r="C600" t="str">
        <f t="shared" si="38"/>
        <v/>
      </c>
      <c r="D600" s="2" t="str">
        <f t="shared" si="36"/>
        <v>http://geocode.csis.u-tokyo.ac.jp/cgi-bin/simple_geocode.cgi?charset=UTF8&amp;addr=</v>
      </c>
      <c r="E600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0" t="e" cm="1">
        <f t="array" ref="F600">INDEX(_xlfn.FILTERXML(E600,"//latitude"),1)</f>
        <v>#VALUE!</v>
      </c>
      <c r="G600" t="e" cm="1">
        <f t="array" ref="G600">INDEX(_xlfn.FILTERXML(E600,"//longitude"),1)</f>
        <v>#VALUE!</v>
      </c>
      <c r="H600">
        <v>35.257247999999997</v>
      </c>
      <c r="I600">
        <v>136.788681</v>
      </c>
    </row>
    <row r="601" spans="3:9" x14ac:dyDescent="0.4">
      <c r="C601" t="str">
        <f t="shared" si="38"/>
        <v/>
      </c>
      <c r="D601" s="2" t="str">
        <f t="shared" si="36"/>
        <v>http://geocode.csis.u-tokyo.ac.jp/cgi-bin/simple_geocode.cgi?charset=UTF8&amp;addr=</v>
      </c>
      <c r="E601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1" t="e" cm="1">
        <f t="array" ref="F601">INDEX(_xlfn.FILTERXML(E601,"//latitude"),1)</f>
        <v>#VALUE!</v>
      </c>
      <c r="G601" t="e" cm="1">
        <f t="array" ref="G601">INDEX(_xlfn.FILTERXML(E601,"//longitude"),1)</f>
        <v>#VALUE!</v>
      </c>
      <c r="H601">
        <v>35.717140000000001</v>
      </c>
      <c r="I601">
        <v>139.690247</v>
      </c>
    </row>
    <row r="602" spans="3:9" x14ac:dyDescent="0.4">
      <c r="C602" t="str">
        <f t="shared" si="38"/>
        <v/>
      </c>
      <c r="D602" s="2" t="str">
        <f t="shared" si="36"/>
        <v>http://geocode.csis.u-tokyo.ac.jp/cgi-bin/simple_geocode.cgi?charset=UTF8&amp;addr=</v>
      </c>
      <c r="E602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2" t="e" cm="1">
        <f t="array" ref="F602">INDEX(_xlfn.FILTERXML(E602,"//latitude"),1)</f>
        <v>#VALUE!</v>
      </c>
      <c r="G602" t="e" cm="1">
        <f t="array" ref="G602">INDEX(_xlfn.FILTERXML(E602,"//longitude"),1)</f>
        <v>#VALUE!</v>
      </c>
      <c r="H602">
        <v>34.717827</v>
      </c>
      <c r="I602">
        <v>135.25147999999999</v>
      </c>
    </row>
    <row r="603" spans="3:9" x14ac:dyDescent="0.4">
      <c r="C603" t="str">
        <f t="shared" si="38"/>
        <v/>
      </c>
      <c r="D603" s="2" t="str">
        <f t="shared" si="36"/>
        <v>http://geocode.csis.u-tokyo.ac.jp/cgi-bin/simple_geocode.cgi?charset=UTF8&amp;addr=</v>
      </c>
      <c r="E603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3" t="e" cm="1">
        <f t="array" ref="F603">INDEX(_xlfn.FILTERXML(E603,"//latitude"),1)</f>
        <v>#VALUE!</v>
      </c>
      <c r="G603" t="e" cm="1">
        <f t="array" ref="G603">INDEX(_xlfn.FILTERXML(E603,"//longitude"),1)</f>
        <v>#VALUE!</v>
      </c>
      <c r="H603">
        <v>35.706650000000003</v>
      </c>
      <c r="I603">
        <v>139.86831699999999</v>
      </c>
    </row>
    <row r="604" spans="3:9" x14ac:dyDescent="0.4">
      <c r="C604" t="str">
        <f t="shared" si="38"/>
        <v/>
      </c>
      <c r="D604" s="2" t="str">
        <f t="shared" si="36"/>
        <v>http://geocode.csis.u-tokyo.ac.jp/cgi-bin/simple_geocode.cgi?charset=UTF8&amp;addr=</v>
      </c>
      <c r="E604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4" t="e" cm="1">
        <f t="array" ref="F604">INDEX(_xlfn.FILTERXML(E604,"//latitude"),1)</f>
        <v>#VALUE!</v>
      </c>
      <c r="G604" t="e" cm="1">
        <f t="array" ref="G604">INDEX(_xlfn.FILTERXML(E604,"//longitude"),1)</f>
        <v>#VALUE!</v>
      </c>
      <c r="H604">
        <v>35.720256999999997</v>
      </c>
      <c r="I604">
        <v>139.42082199999999</v>
      </c>
    </row>
    <row r="605" spans="3:9" x14ac:dyDescent="0.4">
      <c r="C605" t="str">
        <f t="shared" si="38"/>
        <v/>
      </c>
      <c r="D605" s="2" t="str">
        <f t="shared" si="36"/>
        <v>http://geocode.csis.u-tokyo.ac.jp/cgi-bin/simple_geocode.cgi?charset=UTF8&amp;addr=</v>
      </c>
      <c r="E605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5" t="e" cm="1">
        <f t="array" ref="F605">INDEX(_xlfn.FILTERXML(E605,"//latitude"),1)</f>
        <v>#VALUE!</v>
      </c>
      <c r="G605" t="e" cm="1">
        <f t="array" ref="G605">INDEX(_xlfn.FILTERXML(E605,"//longitude"),1)</f>
        <v>#VALUE!</v>
      </c>
      <c r="H605">
        <v>34.682277999999997</v>
      </c>
      <c r="I605">
        <v>135.06118799999999</v>
      </c>
    </row>
    <row r="606" spans="3:9" x14ac:dyDescent="0.4">
      <c r="C606" t="str">
        <f t="shared" si="38"/>
        <v/>
      </c>
      <c r="D606" s="2" t="str">
        <f t="shared" si="36"/>
        <v>http://geocode.csis.u-tokyo.ac.jp/cgi-bin/simple_geocode.cgi?charset=UTF8&amp;addr=</v>
      </c>
      <c r="E606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6" t="e" cm="1">
        <f t="array" ref="F606">INDEX(_xlfn.FILTERXML(E606,"//latitude"),1)</f>
        <v>#VALUE!</v>
      </c>
      <c r="G606" t="e" cm="1">
        <f t="array" ref="G606">INDEX(_xlfn.FILTERXML(E606,"//longitude"),1)</f>
        <v>#VALUE!</v>
      </c>
      <c r="H606">
        <v>35.736083999999998</v>
      </c>
      <c r="I606">
        <v>139.78337099999999</v>
      </c>
    </row>
    <row r="607" spans="3:9" x14ac:dyDescent="0.4">
      <c r="C607" t="str">
        <f t="shared" si="38"/>
        <v/>
      </c>
      <c r="D607" s="2" t="str">
        <f t="shared" si="36"/>
        <v>http://geocode.csis.u-tokyo.ac.jp/cgi-bin/simple_geocode.cgi?charset=UTF8&amp;addr=</v>
      </c>
      <c r="E607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7" t="e" cm="1">
        <f t="array" ref="F607">INDEX(_xlfn.FILTERXML(E607,"//latitude"),1)</f>
        <v>#VALUE!</v>
      </c>
      <c r="G607" t="e" cm="1">
        <f t="array" ref="G607">INDEX(_xlfn.FILTERXML(E607,"//longitude"),1)</f>
        <v>#VALUE!</v>
      </c>
      <c r="H607">
        <v>34.662472000000001</v>
      </c>
      <c r="I607">
        <v>135.133972</v>
      </c>
    </row>
    <row r="608" spans="3:9" x14ac:dyDescent="0.4">
      <c r="C608" t="str">
        <f t="shared" si="38"/>
        <v/>
      </c>
      <c r="D608" s="2" t="str">
        <f t="shared" si="36"/>
        <v>http://geocode.csis.u-tokyo.ac.jp/cgi-bin/simple_geocode.cgi?charset=UTF8&amp;addr=</v>
      </c>
      <c r="E608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8" t="e" cm="1">
        <f t="array" ref="F608">INDEX(_xlfn.FILTERXML(E608,"//latitude"),1)</f>
        <v>#VALUE!</v>
      </c>
      <c r="G608" t="e" cm="1">
        <f t="array" ref="G608">INDEX(_xlfn.FILTERXML(E608,"//longitude"),1)</f>
        <v>#VALUE!</v>
      </c>
      <c r="H608">
        <v>35.529651999999999</v>
      </c>
      <c r="I608">
        <v>139.70370500000001</v>
      </c>
    </row>
    <row r="609" spans="3:9" x14ac:dyDescent="0.4">
      <c r="C609" t="str">
        <f t="shared" si="38"/>
        <v/>
      </c>
      <c r="D609" s="2" t="str">
        <f t="shared" si="36"/>
        <v>http://geocode.csis.u-tokyo.ac.jp/cgi-bin/simple_geocode.cgi?charset=UTF8&amp;addr=</v>
      </c>
      <c r="E609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09" t="e" cm="1">
        <f t="array" ref="F609">INDEX(_xlfn.FILTERXML(E609,"//latitude"),1)</f>
        <v>#VALUE!</v>
      </c>
      <c r="G609" t="e" cm="1">
        <f t="array" ref="G609">INDEX(_xlfn.FILTERXML(E609,"//longitude"),1)</f>
        <v>#VALUE!</v>
      </c>
      <c r="H609">
        <v>35.993088</v>
      </c>
      <c r="I609">
        <v>139.72413599999999</v>
      </c>
    </row>
    <row r="610" spans="3:9" x14ac:dyDescent="0.4">
      <c r="C610" t="str">
        <f t="shared" si="38"/>
        <v/>
      </c>
      <c r="D610" s="2" t="str">
        <f t="shared" si="36"/>
        <v>http://geocode.csis.u-tokyo.ac.jp/cgi-bin/simple_geocode.cgi?charset=UTF8&amp;addr=</v>
      </c>
      <c r="E610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0" t="e" cm="1">
        <f t="array" ref="F610">INDEX(_xlfn.FILTERXML(E610,"//latitude"),1)</f>
        <v>#VALUE!</v>
      </c>
      <c r="G610" t="e" cm="1">
        <f t="array" ref="G610">INDEX(_xlfn.FILTERXML(E610,"//longitude"),1)</f>
        <v>#VALUE!</v>
      </c>
      <c r="H610">
        <v>35.732005999999998</v>
      </c>
      <c r="I610">
        <v>139.912903</v>
      </c>
    </row>
    <row r="611" spans="3:9" x14ac:dyDescent="0.4">
      <c r="C611" t="str">
        <f t="shared" si="38"/>
        <v/>
      </c>
      <c r="D611" s="2" t="str">
        <f t="shared" si="36"/>
        <v>http://geocode.csis.u-tokyo.ac.jp/cgi-bin/simple_geocode.cgi?charset=UTF8&amp;addr=</v>
      </c>
      <c r="E611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1" t="e" cm="1">
        <f t="array" ref="F611">INDEX(_xlfn.FILTERXML(E611,"//latitude"),1)</f>
        <v>#VALUE!</v>
      </c>
      <c r="G611" t="e" cm="1">
        <f t="array" ref="G611">INDEX(_xlfn.FILTERXML(E611,"//longitude"),1)</f>
        <v>#VALUE!</v>
      </c>
      <c r="H611">
        <v>26.250996000000001</v>
      </c>
      <c r="I611">
        <v>127.771294</v>
      </c>
    </row>
    <row r="612" spans="3:9" x14ac:dyDescent="0.4">
      <c r="C612" t="str">
        <f t="shared" si="38"/>
        <v/>
      </c>
      <c r="D612" s="2" t="str">
        <f t="shared" si="36"/>
        <v>http://geocode.csis.u-tokyo.ac.jp/cgi-bin/simple_geocode.cgi?charset=UTF8&amp;addr=</v>
      </c>
      <c r="E612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2" t="e" cm="1">
        <f t="array" ref="F612">INDEX(_xlfn.FILTERXML(E612,"//latitude"),1)</f>
        <v>#VALUE!</v>
      </c>
      <c r="G612" t="e" cm="1">
        <f t="array" ref="G612">INDEX(_xlfn.FILTERXML(E612,"//longitude"),1)</f>
        <v>#VALUE!</v>
      </c>
      <c r="H612">
        <v>34.750174999999999</v>
      </c>
      <c r="I612">
        <v>135.15945400000001</v>
      </c>
    </row>
    <row r="613" spans="3:9" x14ac:dyDescent="0.4">
      <c r="C613" t="str">
        <f t="shared" si="38"/>
        <v/>
      </c>
      <c r="D613" s="2" t="str">
        <f t="shared" si="36"/>
        <v>http://geocode.csis.u-tokyo.ac.jp/cgi-bin/simple_geocode.cgi?charset=UTF8&amp;addr=</v>
      </c>
      <c r="E613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3" t="e" cm="1">
        <f t="array" ref="F613">INDEX(_xlfn.FILTERXML(E613,"//latitude"),1)</f>
        <v>#VALUE!</v>
      </c>
      <c r="G613" t="e" cm="1">
        <f t="array" ref="G613">INDEX(_xlfn.FILTERXML(E613,"//longitude"),1)</f>
        <v>#VALUE!</v>
      </c>
      <c r="H613">
        <v>35.599411000000003</v>
      </c>
      <c r="I613">
        <v>139.51391599999999</v>
      </c>
    </row>
    <row r="614" spans="3:9" x14ac:dyDescent="0.4">
      <c r="C614" t="str">
        <f t="shared" si="38"/>
        <v/>
      </c>
      <c r="D614" s="2" t="str">
        <f t="shared" si="36"/>
        <v>http://geocode.csis.u-tokyo.ac.jp/cgi-bin/simple_geocode.cgi?charset=UTF8&amp;addr=</v>
      </c>
      <c r="E614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4" t="e" cm="1">
        <f t="array" ref="F614">INDEX(_xlfn.FILTERXML(E614,"//latitude"),1)</f>
        <v>#VALUE!</v>
      </c>
      <c r="G614" t="e" cm="1">
        <f t="array" ref="G614">INDEX(_xlfn.FILTERXML(E614,"//longitude"),1)</f>
        <v>#VALUE!</v>
      </c>
      <c r="H614">
        <v>37.446587000000001</v>
      </c>
      <c r="I614">
        <v>138.85122699999999</v>
      </c>
    </row>
    <row r="615" spans="3:9" x14ac:dyDescent="0.4">
      <c r="C615" t="str">
        <f t="shared" si="38"/>
        <v/>
      </c>
      <c r="D615" s="2" t="str">
        <f t="shared" si="36"/>
        <v>http://geocode.csis.u-tokyo.ac.jp/cgi-bin/simple_geocode.cgi?charset=UTF8&amp;addr=</v>
      </c>
      <c r="E615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5" t="e" cm="1">
        <f t="array" ref="F615">INDEX(_xlfn.FILTERXML(E615,"//latitude"),1)</f>
        <v>#VALUE!</v>
      </c>
      <c r="G615" t="e" cm="1">
        <f t="array" ref="G615">INDEX(_xlfn.FILTERXML(E615,"//longitude"),1)</f>
        <v>#VALUE!</v>
      </c>
      <c r="H615">
        <v>34.784427999999998</v>
      </c>
      <c r="I615">
        <v>135.554947</v>
      </c>
    </row>
    <row r="616" spans="3:9" x14ac:dyDescent="0.4">
      <c r="C616" t="str">
        <f t="shared" si="38"/>
        <v/>
      </c>
      <c r="D616" s="2" t="str">
        <f t="shared" si="36"/>
        <v>http://geocode.csis.u-tokyo.ac.jp/cgi-bin/simple_geocode.cgi?charset=UTF8&amp;addr=</v>
      </c>
      <c r="E616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6" t="e" cm="1">
        <f t="array" ref="F616">INDEX(_xlfn.FILTERXML(E616,"//latitude"),1)</f>
        <v>#VALUE!</v>
      </c>
      <c r="G616" t="e" cm="1">
        <f t="array" ref="G616">INDEX(_xlfn.FILTERXML(E616,"//longitude"),1)</f>
        <v>#VALUE!</v>
      </c>
      <c r="H616">
        <v>34.694656000000002</v>
      </c>
      <c r="I616">
        <v>135.48904400000001</v>
      </c>
    </row>
    <row r="617" spans="3:9" x14ac:dyDescent="0.4">
      <c r="C617" t="str">
        <f t="shared" si="38"/>
        <v/>
      </c>
      <c r="D617" s="2" t="str">
        <f t="shared" si="36"/>
        <v>http://geocode.csis.u-tokyo.ac.jp/cgi-bin/simple_geocode.cgi?charset=UTF8&amp;addr=</v>
      </c>
      <c r="E617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7" t="e" cm="1">
        <f t="array" ref="F617">INDEX(_xlfn.FILTERXML(E617,"//latitude"),1)</f>
        <v>#VALUE!</v>
      </c>
      <c r="G617" t="e" cm="1">
        <f t="array" ref="G617">INDEX(_xlfn.FILTERXML(E617,"//longitude"),1)</f>
        <v>#VALUE!</v>
      </c>
      <c r="H617">
        <v>36.714607000000001</v>
      </c>
      <c r="I617">
        <v>137.21710200000001</v>
      </c>
    </row>
    <row r="618" spans="3:9" x14ac:dyDescent="0.4">
      <c r="C618" t="str">
        <f t="shared" si="38"/>
        <v/>
      </c>
      <c r="D618" s="2" t="str">
        <f t="shared" si="36"/>
        <v>http://geocode.csis.u-tokyo.ac.jp/cgi-bin/simple_geocode.cgi?charset=UTF8&amp;addr=</v>
      </c>
      <c r="E618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8" t="e" cm="1">
        <f t="array" ref="F618">INDEX(_xlfn.FILTERXML(E618,"//latitude"),1)</f>
        <v>#VALUE!</v>
      </c>
      <c r="G618" t="e" cm="1">
        <f t="array" ref="G618">INDEX(_xlfn.FILTERXML(E618,"//longitude"),1)</f>
        <v>#VALUE!</v>
      </c>
      <c r="H618">
        <v>35.062424</v>
      </c>
      <c r="I618">
        <v>135.78616299999999</v>
      </c>
    </row>
    <row r="619" spans="3:9" x14ac:dyDescent="0.4">
      <c r="C619" t="str">
        <f t="shared" si="38"/>
        <v/>
      </c>
      <c r="D619" s="2" t="str">
        <f t="shared" si="36"/>
        <v>http://geocode.csis.u-tokyo.ac.jp/cgi-bin/simple_geocode.cgi?charset=UTF8&amp;addr=</v>
      </c>
      <c r="E619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19" t="e" cm="1">
        <f t="array" ref="F619">INDEX(_xlfn.FILTERXML(E619,"//latitude"),1)</f>
        <v>#VALUE!</v>
      </c>
      <c r="G619" t="e" cm="1">
        <f t="array" ref="G619">INDEX(_xlfn.FILTERXML(E619,"//longitude"),1)</f>
        <v>#VALUE!</v>
      </c>
      <c r="H619">
        <v>35.601883000000001</v>
      </c>
      <c r="I619">
        <v>139.67794799999999</v>
      </c>
    </row>
    <row r="620" spans="3:9" x14ac:dyDescent="0.4">
      <c r="C620" t="str">
        <f t="shared" si="38"/>
        <v/>
      </c>
      <c r="D620" s="2" t="str">
        <f t="shared" si="36"/>
        <v>http://geocode.csis.u-tokyo.ac.jp/cgi-bin/simple_geocode.cgi?charset=UTF8&amp;addr=</v>
      </c>
      <c r="E620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0" t="e" cm="1">
        <f t="array" ref="F620">INDEX(_xlfn.FILTERXML(E620,"//latitude"),1)</f>
        <v>#VALUE!</v>
      </c>
      <c r="G620" t="e" cm="1">
        <f t="array" ref="G620">INDEX(_xlfn.FILTERXML(E620,"//longitude"),1)</f>
        <v>#VALUE!</v>
      </c>
      <c r="H620">
        <v>36.555115000000001</v>
      </c>
      <c r="I620">
        <v>139.882812</v>
      </c>
    </row>
    <row r="621" spans="3:9" x14ac:dyDescent="0.4">
      <c r="C621" t="str">
        <f t="shared" si="38"/>
        <v/>
      </c>
      <c r="D621" s="2" t="str">
        <f t="shared" si="36"/>
        <v>http://geocode.csis.u-tokyo.ac.jp/cgi-bin/simple_geocode.cgi?charset=UTF8&amp;addr=</v>
      </c>
      <c r="E621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1" t="e" cm="1">
        <f t="array" ref="F621">INDEX(_xlfn.FILTERXML(E621,"//latitude"),1)</f>
        <v>#VALUE!</v>
      </c>
      <c r="G621" t="e" cm="1">
        <f t="array" ref="G621">INDEX(_xlfn.FILTERXML(E621,"//longitude"),1)</f>
        <v>#VALUE!</v>
      </c>
      <c r="H621">
        <v>34.675128999999998</v>
      </c>
      <c r="I621">
        <v>135.51170300000001</v>
      </c>
    </row>
    <row r="622" spans="3:9" x14ac:dyDescent="0.4">
      <c r="C622" t="str">
        <f t="shared" si="38"/>
        <v/>
      </c>
      <c r="D622" s="2" t="str">
        <f t="shared" si="36"/>
        <v>http://geocode.csis.u-tokyo.ac.jp/cgi-bin/simple_geocode.cgi?charset=UTF8&amp;addr=</v>
      </c>
      <c r="E622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2" t="e" cm="1">
        <f t="array" ref="F622">INDEX(_xlfn.FILTERXML(E622,"//latitude"),1)</f>
        <v>#VALUE!</v>
      </c>
      <c r="G622" t="e" cm="1">
        <f t="array" ref="G622">INDEX(_xlfn.FILTERXML(E622,"//longitude"),1)</f>
        <v>#VALUE!</v>
      </c>
      <c r="H622">
        <v>34.701037999999997</v>
      </c>
      <c r="I622">
        <v>135.54368600000001</v>
      </c>
    </row>
    <row r="623" spans="3:9" x14ac:dyDescent="0.4">
      <c r="C623" t="str">
        <f t="shared" si="38"/>
        <v/>
      </c>
      <c r="D623" s="2" t="str">
        <f t="shared" si="36"/>
        <v>http://geocode.csis.u-tokyo.ac.jp/cgi-bin/simple_geocode.cgi?charset=UTF8&amp;addr=</v>
      </c>
      <c r="E623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3" t="e" cm="1">
        <f t="array" ref="F623">INDEX(_xlfn.FILTERXML(E623,"//latitude"),1)</f>
        <v>#VALUE!</v>
      </c>
      <c r="G623" t="e" cm="1">
        <f t="array" ref="G623">INDEX(_xlfn.FILTERXML(E623,"//longitude"),1)</f>
        <v>#VALUE!</v>
      </c>
      <c r="H623">
        <v>35.025832999999999</v>
      </c>
      <c r="I623">
        <v>135.97669999999999</v>
      </c>
    </row>
    <row r="624" spans="3:9" x14ac:dyDescent="0.4">
      <c r="C624" t="str">
        <f t="shared" si="38"/>
        <v/>
      </c>
      <c r="D624" s="2" t="str">
        <f t="shared" si="36"/>
        <v>http://geocode.csis.u-tokyo.ac.jp/cgi-bin/simple_geocode.cgi?charset=UTF8&amp;addr=</v>
      </c>
      <c r="E624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4" t="e" cm="1">
        <f t="array" ref="F624">INDEX(_xlfn.FILTERXML(E624,"//latitude"),1)</f>
        <v>#VALUE!</v>
      </c>
      <c r="G624" t="e" cm="1">
        <f t="array" ref="G624">INDEX(_xlfn.FILTERXML(E624,"//longitude"),1)</f>
        <v>#VALUE!</v>
      </c>
      <c r="H624">
        <v>35.701385000000002</v>
      </c>
      <c r="I624">
        <v>139.82347100000001</v>
      </c>
    </row>
    <row r="625" spans="3:9" x14ac:dyDescent="0.4">
      <c r="C625" t="str">
        <f t="shared" si="38"/>
        <v/>
      </c>
      <c r="D625" s="2" t="str">
        <f t="shared" si="36"/>
        <v>http://geocode.csis.u-tokyo.ac.jp/cgi-bin/simple_geocode.cgi?charset=UTF8&amp;addr=</v>
      </c>
      <c r="E625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5" t="e" cm="1">
        <f t="array" ref="F625">INDEX(_xlfn.FILTERXML(E625,"//latitude"),1)</f>
        <v>#VALUE!</v>
      </c>
      <c r="G625" t="e" cm="1">
        <f t="array" ref="G625">INDEX(_xlfn.FILTERXML(E625,"//longitude"),1)</f>
        <v>#VALUE!</v>
      </c>
      <c r="H625">
        <v>34.314391999999998</v>
      </c>
      <c r="I625">
        <v>134.046753</v>
      </c>
    </row>
    <row r="626" spans="3:9" x14ac:dyDescent="0.4">
      <c r="C626" t="str">
        <f t="shared" si="38"/>
        <v/>
      </c>
      <c r="D626" s="2" t="str">
        <f t="shared" si="36"/>
        <v>http://geocode.csis.u-tokyo.ac.jp/cgi-bin/simple_geocode.cgi?charset=UTF8&amp;addr=</v>
      </c>
      <c r="E626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6" t="e" cm="1">
        <f t="array" ref="F626">INDEX(_xlfn.FILTERXML(E626,"//latitude"),1)</f>
        <v>#VALUE!</v>
      </c>
      <c r="G626" t="e" cm="1">
        <f t="array" ref="G626">INDEX(_xlfn.FILTERXML(E626,"//longitude"),1)</f>
        <v>#VALUE!</v>
      </c>
      <c r="H626">
        <v>35.334567999999997</v>
      </c>
      <c r="I626">
        <v>139.434845</v>
      </c>
    </row>
    <row r="627" spans="3:9" x14ac:dyDescent="0.4">
      <c r="C627" t="str">
        <f t="shared" si="38"/>
        <v/>
      </c>
      <c r="D627" s="2" t="str">
        <f t="shared" si="36"/>
        <v>http://geocode.csis.u-tokyo.ac.jp/cgi-bin/simple_geocode.cgi?charset=UTF8&amp;addr=</v>
      </c>
      <c r="E627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7" t="e" cm="1">
        <f t="array" ref="F627">INDEX(_xlfn.FILTERXML(E627,"//latitude"),1)</f>
        <v>#VALUE!</v>
      </c>
      <c r="G627" t="e" cm="1">
        <f t="array" ref="G627">INDEX(_xlfn.FILTERXML(E627,"//longitude"),1)</f>
        <v>#VALUE!</v>
      </c>
      <c r="H627">
        <v>35.172825000000003</v>
      </c>
      <c r="I627">
        <v>136.828217</v>
      </c>
    </row>
    <row r="628" spans="3:9" x14ac:dyDescent="0.4">
      <c r="C628" t="str">
        <f t="shared" si="38"/>
        <v/>
      </c>
      <c r="D628" s="2" t="str">
        <f t="shared" si="36"/>
        <v>http://geocode.csis.u-tokyo.ac.jp/cgi-bin/simple_geocode.cgi?charset=UTF8&amp;addr=</v>
      </c>
      <c r="E628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8" t="e" cm="1">
        <f t="array" ref="F628">INDEX(_xlfn.FILTERXML(E628,"//latitude"),1)</f>
        <v>#VALUE!</v>
      </c>
      <c r="G628" t="e" cm="1">
        <f t="array" ref="G628">INDEX(_xlfn.FILTERXML(E628,"//longitude"),1)</f>
        <v>#VALUE!</v>
      </c>
      <c r="H628">
        <v>35.247664999999998</v>
      </c>
      <c r="I628">
        <v>136.972229</v>
      </c>
    </row>
    <row r="629" spans="3:9" x14ac:dyDescent="0.4">
      <c r="C629" t="str">
        <f t="shared" si="38"/>
        <v/>
      </c>
      <c r="D629" s="2" t="str">
        <f t="shared" si="36"/>
        <v>http://geocode.csis.u-tokyo.ac.jp/cgi-bin/simple_geocode.cgi?charset=UTF8&amp;addr=</v>
      </c>
      <c r="E629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29" t="e" cm="1">
        <f t="array" ref="F629">INDEX(_xlfn.FILTERXML(E629,"//latitude"),1)</f>
        <v>#VALUE!</v>
      </c>
      <c r="G629" t="e" cm="1">
        <f t="array" ref="G629">INDEX(_xlfn.FILTERXML(E629,"//longitude"),1)</f>
        <v>#VALUE!</v>
      </c>
      <c r="H629">
        <v>34.878776999999999</v>
      </c>
      <c r="I629">
        <v>138.27742000000001</v>
      </c>
    </row>
    <row r="630" spans="3:9" x14ac:dyDescent="0.4">
      <c r="C630" t="str">
        <f t="shared" si="38"/>
        <v/>
      </c>
      <c r="D630" s="2" t="str">
        <f t="shared" si="36"/>
        <v>http://geocode.csis.u-tokyo.ac.jp/cgi-bin/simple_geocode.cgi?charset=UTF8&amp;addr=</v>
      </c>
      <c r="E630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0" t="e" cm="1">
        <f t="array" ref="F630">INDEX(_xlfn.FILTERXML(E630,"//latitude"),1)</f>
        <v>#VALUE!</v>
      </c>
      <c r="G630" t="e" cm="1">
        <f t="array" ref="G630">INDEX(_xlfn.FILTERXML(E630,"//longitude"),1)</f>
        <v>#VALUE!</v>
      </c>
      <c r="H630">
        <v>34.831173</v>
      </c>
      <c r="I630">
        <v>137.32749899999999</v>
      </c>
    </row>
    <row r="631" spans="3:9" x14ac:dyDescent="0.4">
      <c r="C631" t="str">
        <f t="shared" si="38"/>
        <v/>
      </c>
      <c r="D631" s="2" t="str">
        <f t="shared" si="36"/>
        <v>http://geocode.csis.u-tokyo.ac.jp/cgi-bin/simple_geocode.cgi?charset=UTF8&amp;addr=</v>
      </c>
      <c r="E631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1" t="e" cm="1">
        <f t="array" ref="F631">INDEX(_xlfn.FILTERXML(E631,"//latitude"),1)</f>
        <v>#VALUE!</v>
      </c>
      <c r="G631" t="e" cm="1">
        <f t="array" ref="G631">INDEX(_xlfn.FILTERXML(E631,"//longitude"),1)</f>
        <v>#VALUE!</v>
      </c>
      <c r="H631">
        <v>35.682167</v>
      </c>
      <c r="I631">
        <v>138.662262</v>
      </c>
    </row>
    <row r="632" spans="3:9" x14ac:dyDescent="0.4">
      <c r="C632" t="str">
        <f t="shared" si="38"/>
        <v/>
      </c>
      <c r="D632" s="2" t="str">
        <f t="shared" si="36"/>
        <v>http://geocode.csis.u-tokyo.ac.jp/cgi-bin/simple_geocode.cgi?charset=UTF8&amp;addr=</v>
      </c>
      <c r="E632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2" t="e" cm="1">
        <f t="array" ref="F632">INDEX(_xlfn.FILTERXML(E632,"//latitude"),1)</f>
        <v>#VALUE!</v>
      </c>
      <c r="G632" t="e" cm="1">
        <f t="array" ref="G632">INDEX(_xlfn.FILTERXML(E632,"//longitude"),1)</f>
        <v>#VALUE!</v>
      </c>
      <c r="H632">
        <v>34.661987000000003</v>
      </c>
      <c r="I632">
        <v>135.50640899999999</v>
      </c>
    </row>
    <row r="633" spans="3:9" x14ac:dyDescent="0.4">
      <c r="C633" t="str">
        <f t="shared" si="38"/>
        <v/>
      </c>
      <c r="D633" s="2" t="str">
        <f t="shared" si="36"/>
        <v>http://geocode.csis.u-tokyo.ac.jp/cgi-bin/simple_geocode.cgi?charset=UTF8&amp;addr=</v>
      </c>
      <c r="E633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3" t="e" cm="1">
        <f t="array" ref="F633">INDEX(_xlfn.FILTERXML(E633,"//latitude"),1)</f>
        <v>#VALUE!</v>
      </c>
      <c r="G633" t="e" cm="1">
        <f t="array" ref="G633">INDEX(_xlfn.FILTERXML(E633,"//longitude"),1)</f>
        <v>#VALUE!</v>
      </c>
      <c r="H633" s="3">
        <v>35.362087000000002</v>
      </c>
      <c r="I633" s="3">
        <v>136.61917099999999</v>
      </c>
    </row>
    <row r="634" spans="3:9" x14ac:dyDescent="0.4">
      <c r="C634" t="str">
        <f t="shared" si="38"/>
        <v/>
      </c>
      <c r="D634" s="2" t="str">
        <f t="shared" si="36"/>
        <v>http://geocode.csis.u-tokyo.ac.jp/cgi-bin/simple_geocode.cgi?charset=UTF8&amp;addr=</v>
      </c>
      <c r="E634" t="str">
        <f t="shared" si="37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4" t="e" cm="1">
        <f t="array" ref="F634">INDEX(_xlfn.FILTERXML(E634,"//latitude"),1)</f>
        <v>#VALUE!</v>
      </c>
      <c r="G634" t="e" cm="1">
        <f t="array" ref="G634">INDEX(_xlfn.FILTERXML(E634,"//longitude"),1)</f>
        <v>#VALUE!</v>
      </c>
      <c r="H634">
        <v>35.609946999999998</v>
      </c>
      <c r="I634">
        <v>139.74998500000001</v>
      </c>
    </row>
    <row r="635" spans="3:9" x14ac:dyDescent="0.4">
      <c r="C635" t="str">
        <f t="shared" si="38"/>
        <v/>
      </c>
      <c r="D635" s="2" t="str">
        <f t="shared" ref="D635:D698" si="39" xml:space="preserve"> "http://geocode.csis.u-tokyo.ac.jp/cgi-bin/simple_geocode.cgi?charset=UTF8&amp;addr=" &amp; _xlfn.ENCODEURL(C635)</f>
        <v>http://geocode.csis.u-tokyo.ac.jp/cgi-bin/simple_geocode.cgi?charset=UTF8&amp;addr=</v>
      </c>
      <c r="E635" t="str">
        <f t="shared" ref="E635:E698" si="40" xml:space="preserve"> _xlfn.WEBSERVICE(D635)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635" t="e" cm="1">
        <f t="array" ref="F635">INDEX(_xlfn.FILTERXML(E635,"//latitude"),1)</f>
        <v>#VALUE!</v>
      </c>
      <c r="G635" t="e" cm="1">
        <f t="array" ref="G635">INDEX(_xlfn.FILTERXML(E635,"//longitude"),1)</f>
        <v>#VALUE!</v>
      </c>
      <c r="H635">
        <v>37.403061000000001</v>
      </c>
      <c r="I635">
        <v>140.53779599999999</v>
      </c>
    </row>
    <row r="636" spans="3:9" x14ac:dyDescent="0.4">
      <c r="C636" t="str">
        <f t="shared" si="38"/>
        <v/>
      </c>
      <c r="D636" s="2" t="str">
        <f t="shared" si="39"/>
        <v>http://geocode.csis.u-tokyo.ac.jp/cgi-bin/simple_geocode.cgi?charset=UTF8&amp;addr=</v>
      </c>
      <c r="E63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6" t="e" cm="1">
        <f t="array" ref="F636">INDEX(_xlfn.FILTERXML(E636,"//latitude"),1)</f>
        <v>#VALUE!</v>
      </c>
      <c r="G636" t="e" cm="1">
        <f t="array" ref="G636">INDEX(_xlfn.FILTERXML(E636,"//longitude"),1)</f>
        <v>#VALUE!</v>
      </c>
      <c r="H636">
        <v>34.693890000000003</v>
      </c>
      <c r="I636">
        <v>135.50204500000001</v>
      </c>
    </row>
    <row r="637" spans="3:9" x14ac:dyDescent="0.4">
      <c r="C637" t="str">
        <f t="shared" si="38"/>
        <v/>
      </c>
      <c r="D637" s="2" t="str">
        <f t="shared" si="39"/>
        <v>http://geocode.csis.u-tokyo.ac.jp/cgi-bin/simple_geocode.cgi?charset=UTF8&amp;addr=</v>
      </c>
      <c r="E63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7" t="e" cm="1">
        <f t="array" ref="F637">INDEX(_xlfn.FILTERXML(E637,"//latitude"),1)</f>
        <v>#VALUE!</v>
      </c>
      <c r="G637" t="e" cm="1">
        <f t="array" ref="G637">INDEX(_xlfn.FILTERXML(E637,"//longitude"),1)</f>
        <v>#VALUE!</v>
      </c>
      <c r="H637">
        <v>36.232761000000004</v>
      </c>
      <c r="I637">
        <v>139.27096599999999</v>
      </c>
    </row>
    <row r="638" spans="3:9" x14ac:dyDescent="0.4">
      <c r="C638" t="str">
        <f t="shared" si="38"/>
        <v/>
      </c>
      <c r="D638" s="2" t="str">
        <f t="shared" si="39"/>
        <v>http://geocode.csis.u-tokyo.ac.jp/cgi-bin/simple_geocode.cgi?charset=UTF8&amp;addr=</v>
      </c>
      <c r="E63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8" t="e" cm="1">
        <f t="array" ref="F638">INDEX(_xlfn.FILTERXML(E638,"//latitude"),1)</f>
        <v>#VALUE!</v>
      </c>
      <c r="G638" t="e" cm="1">
        <f t="array" ref="G638">INDEX(_xlfn.FILTERXML(E638,"//longitude"),1)</f>
        <v>#VALUE!</v>
      </c>
      <c r="H638">
        <v>35.657471000000001</v>
      </c>
      <c r="I638">
        <v>139.67712399999999</v>
      </c>
    </row>
    <row r="639" spans="3:9" x14ac:dyDescent="0.4">
      <c r="C639" t="str">
        <f t="shared" si="38"/>
        <v/>
      </c>
      <c r="D639" s="2" t="str">
        <f t="shared" si="39"/>
        <v>http://geocode.csis.u-tokyo.ac.jp/cgi-bin/simple_geocode.cgi?charset=UTF8&amp;addr=</v>
      </c>
      <c r="E63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39" t="e" cm="1">
        <f t="array" ref="F639">INDEX(_xlfn.FILTERXML(E639,"//latitude"),1)</f>
        <v>#VALUE!</v>
      </c>
      <c r="G639" t="e" cm="1">
        <f t="array" ref="G639">INDEX(_xlfn.FILTERXML(E639,"//longitude"),1)</f>
        <v>#VALUE!</v>
      </c>
      <c r="H639">
        <v>35.576259999999998</v>
      </c>
      <c r="I639">
        <v>139.65576200000001</v>
      </c>
    </row>
    <row r="640" spans="3:9" x14ac:dyDescent="0.4">
      <c r="C640" t="str">
        <f t="shared" si="38"/>
        <v/>
      </c>
      <c r="D640" s="2" t="str">
        <f t="shared" si="39"/>
        <v>http://geocode.csis.u-tokyo.ac.jp/cgi-bin/simple_geocode.cgi?charset=UTF8&amp;addr=</v>
      </c>
      <c r="E64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0" t="e" cm="1">
        <f t="array" ref="F640">INDEX(_xlfn.FILTERXML(E640,"//latitude"),1)</f>
        <v>#VALUE!</v>
      </c>
      <c r="G640" t="e" cm="1">
        <f t="array" ref="G640">INDEX(_xlfn.FILTERXML(E640,"//longitude"),1)</f>
        <v>#VALUE!</v>
      </c>
      <c r="H640">
        <v>35.671230000000001</v>
      </c>
      <c r="I640">
        <v>139.481461</v>
      </c>
    </row>
    <row r="641" spans="3:9" x14ac:dyDescent="0.4">
      <c r="C641" t="str">
        <f t="shared" si="38"/>
        <v/>
      </c>
      <c r="D641" s="2" t="str">
        <f t="shared" si="39"/>
        <v>http://geocode.csis.u-tokyo.ac.jp/cgi-bin/simple_geocode.cgi?charset=UTF8&amp;addr=</v>
      </c>
      <c r="E64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1" t="e" cm="1">
        <f t="array" ref="F641">INDEX(_xlfn.FILTERXML(E641,"//latitude"),1)</f>
        <v>#VALUE!</v>
      </c>
      <c r="G641" t="e" cm="1">
        <f t="array" ref="G641">INDEX(_xlfn.FILTERXML(E641,"//longitude"),1)</f>
        <v>#VALUE!</v>
      </c>
      <c r="H641">
        <v>34.378234999999997</v>
      </c>
      <c r="I641">
        <v>135.272186</v>
      </c>
    </row>
    <row r="642" spans="3:9" x14ac:dyDescent="0.4">
      <c r="C642" t="str">
        <f t="shared" si="38"/>
        <v/>
      </c>
      <c r="D642" s="2" t="str">
        <f t="shared" si="39"/>
        <v>http://geocode.csis.u-tokyo.ac.jp/cgi-bin/simple_geocode.cgi?charset=UTF8&amp;addr=</v>
      </c>
      <c r="E64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2" t="e" cm="1">
        <f t="array" ref="F642">INDEX(_xlfn.FILTERXML(E642,"//latitude"),1)</f>
        <v>#VALUE!</v>
      </c>
      <c r="G642" t="e" cm="1">
        <f t="array" ref="G642">INDEX(_xlfn.FILTERXML(E642,"//longitude"),1)</f>
        <v>#VALUE!</v>
      </c>
      <c r="H642">
        <v>34.74588</v>
      </c>
      <c r="I642">
        <v>135.31373600000001</v>
      </c>
    </row>
    <row r="643" spans="3:9" x14ac:dyDescent="0.4">
      <c r="C643" t="str">
        <f t="shared" ref="C643:C706" si="41">+A643&amp;B643</f>
        <v/>
      </c>
      <c r="D643" s="2" t="str">
        <f t="shared" si="39"/>
        <v>http://geocode.csis.u-tokyo.ac.jp/cgi-bin/simple_geocode.cgi?charset=UTF8&amp;addr=</v>
      </c>
      <c r="E64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3" t="e" cm="1">
        <f t="array" ref="F643">INDEX(_xlfn.FILTERXML(E643,"//latitude"),1)</f>
        <v>#VALUE!</v>
      </c>
      <c r="G643" t="e" cm="1">
        <f t="array" ref="G643">INDEX(_xlfn.FILTERXML(E643,"//longitude"),1)</f>
        <v>#VALUE!</v>
      </c>
      <c r="H643">
        <v>36.343730999999998</v>
      </c>
      <c r="I643">
        <v>138.557953</v>
      </c>
    </row>
    <row r="644" spans="3:9" x14ac:dyDescent="0.4">
      <c r="C644" t="str">
        <f t="shared" si="41"/>
        <v/>
      </c>
      <c r="D644" s="2" t="str">
        <f t="shared" si="39"/>
        <v>http://geocode.csis.u-tokyo.ac.jp/cgi-bin/simple_geocode.cgi?charset=UTF8&amp;addr=</v>
      </c>
      <c r="E64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4" t="e" cm="1">
        <f t="array" ref="F644">INDEX(_xlfn.FILTERXML(E644,"//latitude"),1)</f>
        <v>#VALUE!</v>
      </c>
      <c r="G644" t="e" cm="1">
        <f t="array" ref="G644">INDEX(_xlfn.FILTERXML(E644,"//longitude"),1)</f>
        <v>#VALUE!</v>
      </c>
      <c r="H644">
        <v>35.377170999999997</v>
      </c>
      <c r="I644">
        <v>139.62434400000001</v>
      </c>
    </row>
    <row r="645" spans="3:9" x14ac:dyDescent="0.4">
      <c r="C645" t="str">
        <f t="shared" si="41"/>
        <v/>
      </c>
      <c r="D645" s="2" t="str">
        <f t="shared" si="39"/>
        <v>http://geocode.csis.u-tokyo.ac.jp/cgi-bin/simple_geocode.cgi?charset=UTF8&amp;addr=</v>
      </c>
      <c r="E64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5" t="e" cm="1">
        <f t="array" ref="F645">INDEX(_xlfn.FILTERXML(E645,"//latitude"),1)</f>
        <v>#VALUE!</v>
      </c>
      <c r="G645" t="e" cm="1">
        <f t="array" ref="G645">INDEX(_xlfn.FILTERXML(E645,"//longitude"),1)</f>
        <v>#VALUE!</v>
      </c>
      <c r="H645">
        <v>34.927630999999998</v>
      </c>
      <c r="I645">
        <v>136.98765599999999</v>
      </c>
    </row>
    <row r="646" spans="3:9" x14ac:dyDescent="0.4">
      <c r="C646" t="str">
        <f t="shared" si="41"/>
        <v/>
      </c>
      <c r="D646" s="2" t="str">
        <f t="shared" si="39"/>
        <v>http://geocode.csis.u-tokyo.ac.jp/cgi-bin/simple_geocode.cgi?charset=UTF8&amp;addr=</v>
      </c>
      <c r="E64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6" t="e" cm="1">
        <f t="array" ref="F646">INDEX(_xlfn.FILTERXML(E646,"//latitude"),1)</f>
        <v>#VALUE!</v>
      </c>
      <c r="G646" t="e" cm="1">
        <f t="array" ref="G646">INDEX(_xlfn.FILTERXML(E646,"//longitude"),1)</f>
        <v>#VALUE!</v>
      </c>
      <c r="H646" s="3">
        <v>34.799816</v>
      </c>
      <c r="I646" s="3">
        <v>135.36009200000001</v>
      </c>
    </row>
    <row r="647" spans="3:9" x14ac:dyDescent="0.4">
      <c r="C647" t="str">
        <f t="shared" si="41"/>
        <v/>
      </c>
      <c r="D647" s="2" t="str">
        <f t="shared" si="39"/>
        <v>http://geocode.csis.u-tokyo.ac.jp/cgi-bin/simple_geocode.cgi?charset=UTF8&amp;addr=</v>
      </c>
      <c r="E64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7" t="e" cm="1">
        <f t="array" ref="F647">INDEX(_xlfn.FILTERXML(E647,"//latitude"),1)</f>
        <v>#VALUE!</v>
      </c>
      <c r="G647" t="e" cm="1">
        <f t="array" ref="G647">INDEX(_xlfn.FILTERXML(E647,"//longitude"),1)</f>
        <v>#VALUE!</v>
      </c>
      <c r="H647">
        <v>32.979484999999997</v>
      </c>
      <c r="I647">
        <v>130.81324799999999</v>
      </c>
    </row>
    <row r="648" spans="3:9" x14ac:dyDescent="0.4">
      <c r="C648" t="str">
        <f t="shared" si="41"/>
        <v/>
      </c>
      <c r="D648" s="2" t="str">
        <f t="shared" si="39"/>
        <v>http://geocode.csis.u-tokyo.ac.jp/cgi-bin/simple_geocode.cgi?charset=UTF8&amp;addr=</v>
      </c>
      <c r="E64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8" t="e" cm="1">
        <f t="array" ref="F648">INDEX(_xlfn.FILTERXML(E648,"//latitude"),1)</f>
        <v>#VALUE!</v>
      </c>
      <c r="G648" t="e" cm="1">
        <f t="array" ref="G648">INDEX(_xlfn.FILTERXML(E648,"//longitude"),1)</f>
        <v>#VALUE!</v>
      </c>
      <c r="H648">
        <v>35.247112000000001</v>
      </c>
      <c r="I648">
        <v>136.951187</v>
      </c>
    </row>
    <row r="649" spans="3:9" x14ac:dyDescent="0.4">
      <c r="C649" t="str">
        <f t="shared" si="41"/>
        <v/>
      </c>
      <c r="D649" s="2" t="str">
        <f t="shared" si="39"/>
        <v>http://geocode.csis.u-tokyo.ac.jp/cgi-bin/simple_geocode.cgi?charset=UTF8&amp;addr=</v>
      </c>
      <c r="E64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49" t="e" cm="1">
        <f t="array" ref="F649">INDEX(_xlfn.FILTERXML(E649,"//latitude"),1)</f>
        <v>#VALUE!</v>
      </c>
      <c r="G649" t="e" cm="1">
        <f t="array" ref="G649">INDEX(_xlfn.FILTERXML(E649,"//longitude"),1)</f>
        <v>#VALUE!</v>
      </c>
      <c r="H649">
        <v>35.335560000000001</v>
      </c>
      <c r="I649">
        <v>139.54847699999999</v>
      </c>
    </row>
    <row r="650" spans="3:9" x14ac:dyDescent="0.4">
      <c r="C650" t="str">
        <f t="shared" si="41"/>
        <v/>
      </c>
      <c r="D650" s="2" t="str">
        <f t="shared" si="39"/>
        <v>http://geocode.csis.u-tokyo.ac.jp/cgi-bin/simple_geocode.cgi?charset=UTF8&amp;addr=</v>
      </c>
      <c r="E65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0" t="e" cm="1">
        <f t="array" ref="F650">INDEX(_xlfn.FILTERXML(E650,"//latitude"),1)</f>
        <v>#VALUE!</v>
      </c>
      <c r="G650" t="e" cm="1">
        <f t="array" ref="G650">INDEX(_xlfn.FILTERXML(E650,"//longitude"),1)</f>
        <v>#VALUE!</v>
      </c>
      <c r="H650">
        <v>33.823276999999997</v>
      </c>
      <c r="I650">
        <v>132.74648999999999</v>
      </c>
    </row>
    <row r="651" spans="3:9" x14ac:dyDescent="0.4">
      <c r="C651" t="str">
        <f t="shared" si="41"/>
        <v/>
      </c>
      <c r="D651" s="2" t="str">
        <f t="shared" si="39"/>
        <v>http://geocode.csis.u-tokyo.ac.jp/cgi-bin/simple_geocode.cgi?charset=UTF8&amp;addr=</v>
      </c>
      <c r="E65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1" t="e" cm="1">
        <f t="array" ref="F651">INDEX(_xlfn.FILTERXML(E651,"//latitude"),1)</f>
        <v>#VALUE!</v>
      </c>
      <c r="G651" t="e" cm="1">
        <f t="array" ref="G651">INDEX(_xlfn.FILTERXML(E651,"//longitude"),1)</f>
        <v>#VALUE!</v>
      </c>
      <c r="H651">
        <v>35.636203999999999</v>
      </c>
      <c r="I651">
        <v>140.107101</v>
      </c>
    </row>
    <row r="652" spans="3:9" x14ac:dyDescent="0.4">
      <c r="C652" t="str">
        <f t="shared" si="41"/>
        <v/>
      </c>
      <c r="D652" s="2" t="str">
        <f t="shared" si="39"/>
        <v>http://geocode.csis.u-tokyo.ac.jp/cgi-bin/simple_geocode.cgi?charset=UTF8&amp;addr=</v>
      </c>
      <c r="E65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2" t="e" cm="1">
        <f t="array" ref="F652">INDEX(_xlfn.FILTERXML(E652,"//latitude"),1)</f>
        <v>#VALUE!</v>
      </c>
      <c r="G652" t="e" cm="1">
        <f t="array" ref="G652">INDEX(_xlfn.FILTERXML(E652,"//longitude"),1)</f>
        <v>#VALUE!</v>
      </c>
      <c r="H652">
        <v>43.047375000000002</v>
      </c>
      <c r="I652">
        <v>141.396423</v>
      </c>
    </row>
    <row r="653" spans="3:9" x14ac:dyDescent="0.4">
      <c r="C653" t="str">
        <f t="shared" si="41"/>
        <v/>
      </c>
      <c r="D653" s="2" t="str">
        <f t="shared" si="39"/>
        <v>http://geocode.csis.u-tokyo.ac.jp/cgi-bin/simple_geocode.cgi?charset=UTF8&amp;addr=</v>
      </c>
      <c r="E65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3" t="e" cm="1">
        <f t="array" ref="F653">INDEX(_xlfn.FILTERXML(E653,"//latitude"),1)</f>
        <v>#VALUE!</v>
      </c>
      <c r="G653" t="e" cm="1">
        <f t="array" ref="G653">INDEX(_xlfn.FILTERXML(E653,"//longitude"),1)</f>
        <v>#VALUE!</v>
      </c>
      <c r="H653">
        <v>36.555115000000001</v>
      </c>
      <c r="I653">
        <v>139.882812</v>
      </c>
    </row>
    <row r="654" spans="3:9" x14ac:dyDescent="0.4">
      <c r="C654" t="str">
        <f t="shared" si="41"/>
        <v/>
      </c>
      <c r="D654" s="2" t="str">
        <f t="shared" si="39"/>
        <v>http://geocode.csis.u-tokyo.ac.jp/cgi-bin/simple_geocode.cgi?charset=UTF8&amp;addr=</v>
      </c>
      <c r="E65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4" t="e" cm="1">
        <f t="array" ref="F654">INDEX(_xlfn.FILTERXML(E654,"//latitude"),1)</f>
        <v>#VALUE!</v>
      </c>
      <c r="G654" t="e" cm="1">
        <f t="array" ref="G654">INDEX(_xlfn.FILTERXML(E654,"//longitude"),1)</f>
        <v>#VALUE!</v>
      </c>
      <c r="H654">
        <v>34.230514999999997</v>
      </c>
      <c r="I654">
        <v>135.170807</v>
      </c>
    </row>
    <row r="655" spans="3:9" x14ac:dyDescent="0.4">
      <c r="C655" t="str">
        <f t="shared" si="41"/>
        <v/>
      </c>
      <c r="D655" s="2" t="str">
        <f t="shared" si="39"/>
        <v>http://geocode.csis.u-tokyo.ac.jp/cgi-bin/simple_geocode.cgi?charset=UTF8&amp;addr=</v>
      </c>
      <c r="E65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5" t="e" cm="1">
        <f t="array" ref="F655">INDEX(_xlfn.FILTERXML(E655,"//latitude"),1)</f>
        <v>#VALUE!</v>
      </c>
      <c r="G655" t="e" cm="1">
        <f t="array" ref="G655">INDEX(_xlfn.FILTERXML(E655,"//longitude"),1)</f>
        <v>#VALUE!</v>
      </c>
      <c r="H655">
        <v>34.696258999999998</v>
      </c>
      <c r="I655">
        <v>135.71032700000001</v>
      </c>
    </row>
    <row r="656" spans="3:9" x14ac:dyDescent="0.4">
      <c r="C656" t="str">
        <f t="shared" si="41"/>
        <v/>
      </c>
      <c r="D656" s="2" t="str">
        <f t="shared" si="39"/>
        <v>http://geocode.csis.u-tokyo.ac.jp/cgi-bin/simple_geocode.cgi?charset=UTF8&amp;addr=</v>
      </c>
      <c r="E65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6" t="e" cm="1">
        <f t="array" ref="F656">INDEX(_xlfn.FILTERXML(E656,"//latitude"),1)</f>
        <v>#VALUE!</v>
      </c>
      <c r="G656" t="e" cm="1">
        <f t="array" ref="G656">INDEX(_xlfn.FILTERXML(E656,"//longitude"),1)</f>
        <v>#VALUE!</v>
      </c>
      <c r="H656">
        <v>35.695945999999999</v>
      </c>
      <c r="I656">
        <v>139.45811499999999</v>
      </c>
    </row>
    <row r="657" spans="3:9" x14ac:dyDescent="0.4">
      <c r="C657" t="str">
        <f t="shared" si="41"/>
        <v/>
      </c>
      <c r="D657" s="2" t="str">
        <f t="shared" si="39"/>
        <v>http://geocode.csis.u-tokyo.ac.jp/cgi-bin/simple_geocode.cgi?charset=UTF8&amp;addr=</v>
      </c>
      <c r="E65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7" t="e" cm="1">
        <f t="array" ref="F657">INDEX(_xlfn.FILTERXML(E657,"//latitude"),1)</f>
        <v>#VALUE!</v>
      </c>
      <c r="G657" t="e" cm="1">
        <f t="array" ref="G657">INDEX(_xlfn.FILTERXML(E657,"//longitude"),1)</f>
        <v>#VALUE!</v>
      </c>
      <c r="H657">
        <v>35.789409999999997</v>
      </c>
      <c r="I657">
        <v>139.81364400000001</v>
      </c>
    </row>
    <row r="658" spans="3:9" x14ac:dyDescent="0.4">
      <c r="C658" t="str">
        <f t="shared" si="41"/>
        <v/>
      </c>
      <c r="D658" s="2" t="str">
        <f t="shared" si="39"/>
        <v>http://geocode.csis.u-tokyo.ac.jp/cgi-bin/simple_geocode.cgi?charset=UTF8&amp;addr=</v>
      </c>
      <c r="E65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8" t="e" cm="1">
        <f t="array" ref="F658">INDEX(_xlfn.FILTERXML(E658,"//latitude"),1)</f>
        <v>#VALUE!</v>
      </c>
      <c r="G658" t="e" cm="1">
        <f t="array" ref="G658">INDEX(_xlfn.FILTERXML(E658,"//longitude"),1)</f>
        <v>#VALUE!</v>
      </c>
      <c r="H658">
        <v>35.707977</v>
      </c>
      <c r="I658">
        <v>139.75247200000001</v>
      </c>
    </row>
    <row r="659" spans="3:9" x14ac:dyDescent="0.4">
      <c r="C659" t="str">
        <f t="shared" si="41"/>
        <v/>
      </c>
      <c r="D659" s="2" t="str">
        <f t="shared" si="39"/>
        <v>http://geocode.csis.u-tokyo.ac.jp/cgi-bin/simple_geocode.cgi?charset=UTF8&amp;addr=</v>
      </c>
      <c r="E65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59" t="e" cm="1">
        <f t="array" ref="F659">INDEX(_xlfn.FILTERXML(E659,"//latitude"),1)</f>
        <v>#VALUE!</v>
      </c>
      <c r="G659" t="e" cm="1">
        <f t="array" ref="G659">INDEX(_xlfn.FILTERXML(E659,"//longitude"),1)</f>
        <v>#VALUE!</v>
      </c>
      <c r="H659">
        <v>34.597861999999999</v>
      </c>
      <c r="I659">
        <v>133.75798</v>
      </c>
    </row>
    <row r="660" spans="3:9" x14ac:dyDescent="0.4">
      <c r="C660" t="str">
        <f t="shared" si="41"/>
        <v/>
      </c>
      <c r="D660" s="2" t="str">
        <f t="shared" si="39"/>
        <v>http://geocode.csis.u-tokyo.ac.jp/cgi-bin/simple_geocode.cgi?charset=UTF8&amp;addr=</v>
      </c>
      <c r="E66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0" t="e" cm="1">
        <f t="array" ref="F660">INDEX(_xlfn.FILTERXML(E660,"//latitude"),1)</f>
        <v>#VALUE!</v>
      </c>
      <c r="G660" t="e" cm="1">
        <f t="array" ref="G660">INDEX(_xlfn.FILTERXML(E660,"//longitude"),1)</f>
        <v>#VALUE!</v>
      </c>
      <c r="H660">
        <v>36.024405999999999</v>
      </c>
      <c r="I660">
        <v>139.425262</v>
      </c>
    </row>
    <row r="661" spans="3:9" x14ac:dyDescent="0.4">
      <c r="C661" t="str">
        <f t="shared" si="41"/>
        <v/>
      </c>
      <c r="D661" s="2" t="str">
        <f t="shared" si="39"/>
        <v>http://geocode.csis.u-tokyo.ac.jp/cgi-bin/simple_geocode.cgi?charset=UTF8&amp;addr=</v>
      </c>
      <c r="E66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1" t="e" cm="1">
        <f t="array" ref="F661">INDEX(_xlfn.FILTERXML(E661,"//latitude"),1)</f>
        <v>#VALUE!</v>
      </c>
      <c r="G661" t="e" cm="1">
        <f t="array" ref="G661">INDEX(_xlfn.FILTERXML(E661,"//longitude"),1)</f>
        <v>#VALUE!</v>
      </c>
      <c r="H661">
        <v>35.138714</v>
      </c>
      <c r="I661">
        <v>136.78869599999999</v>
      </c>
    </row>
    <row r="662" spans="3:9" x14ac:dyDescent="0.4">
      <c r="C662" t="str">
        <f t="shared" si="41"/>
        <v/>
      </c>
      <c r="D662" s="2" t="str">
        <f t="shared" si="39"/>
        <v>http://geocode.csis.u-tokyo.ac.jp/cgi-bin/simple_geocode.cgi?charset=UTF8&amp;addr=</v>
      </c>
      <c r="E66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2" t="e" cm="1">
        <f t="array" ref="F662">INDEX(_xlfn.FILTERXML(E662,"//latitude"),1)</f>
        <v>#VALUE!</v>
      </c>
      <c r="G662" t="e" cm="1">
        <f t="array" ref="G662">INDEX(_xlfn.FILTERXML(E662,"//longitude"),1)</f>
        <v>#VALUE!</v>
      </c>
      <c r="H662">
        <v>31.597090000000001</v>
      </c>
      <c r="I662">
        <v>130.55995200000001</v>
      </c>
    </row>
    <row r="663" spans="3:9" x14ac:dyDescent="0.4">
      <c r="C663" t="str">
        <f t="shared" si="41"/>
        <v/>
      </c>
      <c r="D663" s="2" t="str">
        <f t="shared" si="39"/>
        <v>http://geocode.csis.u-tokyo.ac.jp/cgi-bin/simple_geocode.cgi?charset=UTF8&amp;addr=</v>
      </c>
      <c r="E66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3" t="e" cm="1">
        <f t="array" ref="F663">INDEX(_xlfn.FILTERXML(E663,"//latitude"),1)</f>
        <v>#VALUE!</v>
      </c>
      <c r="G663" t="e" cm="1">
        <f t="array" ref="G663">INDEX(_xlfn.FILTERXML(E663,"//longitude"),1)</f>
        <v>#VALUE!</v>
      </c>
      <c r="H663">
        <v>34.066043999999998</v>
      </c>
      <c r="I663">
        <v>132.99766500000001</v>
      </c>
    </row>
    <row r="664" spans="3:9" x14ac:dyDescent="0.4">
      <c r="C664" t="str">
        <f t="shared" si="41"/>
        <v/>
      </c>
      <c r="D664" s="2" t="str">
        <f t="shared" si="39"/>
        <v>http://geocode.csis.u-tokyo.ac.jp/cgi-bin/simple_geocode.cgi?charset=UTF8&amp;addr=</v>
      </c>
      <c r="E66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4" t="e" cm="1">
        <f t="array" ref="F664">INDEX(_xlfn.FILTERXML(E664,"//latitude"),1)</f>
        <v>#VALUE!</v>
      </c>
      <c r="G664" t="e" cm="1">
        <f t="array" ref="G664">INDEX(_xlfn.FILTERXML(E664,"//longitude"),1)</f>
        <v>#VALUE!</v>
      </c>
      <c r="H664">
        <v>34.584679000000001</v>
      </c>
      <c r="I664">
        <v>133.772278</v>
      </c>
    </row>
    <row r="665" spans="3:9" x14ac:dyDescent="0.4">
      <c r="C665" t="str">
        <f t="shared" si="41"/>
        <v/>
      </c>
      <c r="D665" s="2" t="str">
        <f t="shared" si="39"/>
        <v>http://geocode.csis.u-tokyo.ac.jp/cgi-bin/simple_geocode.cgi?charset=UTF8&amp;addr=</v>
      </c>
      <c r="E66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5" t="e" cm="1">
        <f t="array" ref="F665">INDEX(_xlfn.FILTERXML(E665,"//latitude"),1)</f>
        <v>#VALUE!</v>
      </c>
      <c r="G665" t="e" cm="1">
        <f t="array" ref="G665">INDEX(_xlfn.FILTERXML(E665,"//longitude"),1)</f>
        <v>#VALUE!</v>
      </c>
      <c r="H665">
        <v>35.855758999999999</v>
      </c>
      <c r="I665">
        <v>139.327789</v>
      </c>
    </row>
    <row r="666" spans="3:9" x14ac:dyDescent="0.4">
      <c r="C666" t="str">
        <f t="shared" si="41"/>
        <v/>
      </c>
      <c r="D666" s="2" t="str">
        <f t="shared" si="39"/>
        <v>http://geocode.csis.u-tokyo.ac.jp/cgi-bin/simple_geocode.cgi?charset=UTF8&amp;addr=</v>
      </c>
      <c r="E66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6" t="e" cm="1">
        <f t="array" ref="F666">INDEX(_xlfn.FILTERXML(E666,"//latitude"),1)</f>
        <v>#VALUE!</v>
      </c>
      <c r="G666" t="e" cm="1">
        <f t="array" ref="G666">INDEX(_xlfn.FILTERXML(E666,"//longitude"),1)</f>
        <v>#VALUE!</v>
      </c>
      <c r="H666">
        <v>35.896701999999998</v>
      </c>
      <c r="I666">
        <v>139.729919</v>
      </c>
    </row>
    <row r="667" spans="3:9" x14ac:dyDescent="0.4">
      <c r="C667" t="str">
        <f t="shared" si="41"/>
        <v/>
      </c>
      <c r="D667" s="2" t="str">
        <f t="shared" si="39"/>
        <v>http://geocode.csis.u-tokyo.ac.jp/cgi-bin/simple_geocode.cgi?charset=UTF8&amp;addr=</v>
      </c>
      <c r="E66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7" t="e" cm="1">
        <f t="array" ref="F667">INDEX(_xlfn.FILTERXML(E667,"//latitude"),1)</f>
        <v>#VALUE!</v>
      </c>
      <c r="G667" t="e" cm="1">
        <f t="array" ref="G667">INDEX(_xlfn.FILTERXML(E667,"//longitude"),1)</f>
        <v>#VALUE!</v>
      </c>
      <c r="H667">
        <v>35.428345</v>
      </c>
      <c r="I667">
        <v>139.58883700000001</v>
      </c>
    </row>
    <row r="668" spans="3:9" x14ac:dyDescent="0.4">
      <c r="C668" t="str">
        <f t="shared" si="41"/>
        <v/>
      </c>
      <c r="D668" s="2" t="str">
        <f t="shared" si="39"/>
        <v>http://geocode.csis.u-tokyo.ac.jp/cgi-bin/simple_geocode.cgi?charset=UTF8&amp;addr=</v>
      </c>
      <c r="E66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8" t="e" cm="1">
        <f t="array" ref="F668">INDEX(_xlfn.FILTERXML(E668,"//latitude"),1)</f>
        <v>#VALUE!</v>
      </c>
      <c r="G668" t="e" cm="1">
        <f t="array" ref="G668">INDEX(_xlfn.FILTERXML(E668,"//longitude"),1)</f>
        <v>#VALUE!</v>
      </c>
      <c r="H668">
        <v>40.517029000000001</v>
      </c>
      <c r="I668">
        <v>141.51950099999999</v>
      </c>
    </row>
    <row r="669" spans="3:9" x14ac:dyDescent="0.4">
      <c r="C669" t="str">
        <f t="shared" si="41"/>
        <v/>
      </c>
      <c r="D669" s="2" t="str">
        <f t="shared" si="39"/>
        <v>http://geocode.csis.u-tokyo.ac.jp/cgi-bin/simple_geocode.cgi?charset=UTF8&amp;addr=</v>
      </c>
      <c r="E66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69" t="e" cm="1">
        <f t="array" ref="F669">INDEX(_xlfn.FILTERXML(E669,"//latitude"),1)</f>
        <v>#VALUE!</v>
      </c>
      <c r="G669" t="e" cm="1">
        <f t="array" ref="G669">INDEX(_xlfn.FILTERXML(E669,"//longitude"),1)</f>
        <v>#VALUE!</v>
      </c>
      <c r="H669">
        <v>35.617579999999997</v>
      </c>
      <c r="I669">
        <v>140.10957300000001</v>
      </c>
    </row>
    <row r="670" spans="3:9" x14ac:dyDescent="0.4">
      <c r="C670" t="str">
        <f t="shared" si="41"/>
        <v/>
      </c>
      <c r="D670" s="2" t="str">
        <f t="shared" si="39"/>
        <v>http://geocode.csis.u-tokyo.ac.jp/cgi-bin/simple_geocode.cgi?charset=UTF8&amp;addr=</v>
      </c>
      <c r="E67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0" t="e" cm="1">
        <f t="array" ref="F670">INDEX(_xlfn.FILTERXML(E670,"//latitude"),1)</f>
        <v>#VALUE!</v>
      </c>
      <c r="G670" t="e" cm="1">
        <f t="array" ref="G670">INDEX(_xlfn.FILTERXML(E670,"//longitude"),1)</f>
        <v>#VALUE!</v>
      </c>
      <c r="H670">
        <v>35.868293999999999</v>
      </c>
      <c r="I670">
        <v>139.97619599999999</v>
      </c>
    </row>
    <row r="671" spans="3:9" x14ac:dyDescent="0.4">
      <c r="C671" t="str">
        <f t="shared" si="41"/>
        <v/>
      </c>
      <c r="D671" s="2" t="str">
        <f t="shared" si="39"/>
        <v>http://geocode.csis.u-tokyo.ac.jp/cgi-bin/simple_geocode.cgi?charset=UTF8&amp;addr=</v>
      </c>
      <c r="E67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1" t="e" cm="1">
        <f t="array" ref="F671">INDEX(_xlfn.FILTERXML(E671,"//latitude"),1)</f>
        <v>#VALUE!</v>
      </c>
      <c r="G671" t="e" cm="1">
        <f t="array" ref="G671">INDEX(_xlfn.FILTERXML(E671,"//longitude"),1)</f>
        <v>#VALUE!</v>
      </c>
      <c r="H671">
        <v>34.678322000000001</v>
      </c>
      <c r="I671">
        <v>135.645126</v>
      </c>
    </row>
    <row r="672" spans="3:9" x14ac:dyDescent="0.4">
      <c r="C672" t="str">
        <f t="shared" si="41"/>
        <v/>
      </c>
      <c r="D672" s="2" t="str">
        <f t="shared" si="39"/>
        <v>http://geocode.csis.u-tokyo.ac.jp/cgi-bin/simple_geocode.cgi?charset=UTF8&amp;addr=</v>
      </c>
      <c r="E67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2" t="e" cm="1">
        <f t="array" ref="F672">INDEX(_xlfn.FILTERXML(E672,"//latitude"),1)</f>
        <v>#VALUE!</v>
      </c>
      <c r="G672" t="e" cm="1">
        <f t="array" ref="G672">INDEX(_xlfn.FILTERXML(E672,"//longitude"),1)</f>
        <v>#VALUE!</v>
      </c>
      <c r="H672">
        <v>34.630614999999999</v>
      </c>
      <c r="I672">
        <v>135.54518100000001</v>
      </c>
    </row>
    <row r="673" spans="3:9" x14ac:dyDescent="0.4">
      <c r="C673" t="str">
        <f t="shared" si="41"/>
        <v/>
      </c>
      <c r="D673" s="2" t="str">
        <f t="shared" si="39"/>
        <v>http://geocode.csis.u-tokyo.ac.jp/cgi-bin/simple_geocode.cgi?charset=UTF8&amp;addr=</v>
      </c>
      <c r="E67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3" t="e" cm="1">
        <f t="array" ref="F673">INDEX(_xlfn.FILTERXML(E673,"//latitude"),1)</f>
        <v>#VALUE!</v>
      </c>
      <c r="G673" t="e" cm="1">
        <f t="array" ref="G673">INDEX(_xlfn.FILTERXML(E673,"//longitude"),1)</f>
        <v>#VALUE!</v>
      </c>
      <c r="H673">
        <v>38.244179000000003</v>
      </c>
      <c r="I673">
        <v>140.90074200000001</v>
      </c>
    </row>
    <row r="674" spans="3:9" x14ac:dyDescent="0.4">
      <c r="C674" t="str">
        <f t="shared" si="41"/>
        <v/>
      </c>
      <c r="D674" s="2" t="str">
        <f t="shared" si="39"/>
        <v>http://geocode.csis.u-tokyo.ac.jp/cgi-bin/simple_geocode.cgi?charset=UTF8&amp;addr=</v>
      </c>
      <c r="E67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4" t="e" cm="1">
        <f t="array" ref="F674">INDEX(_xlfn.FILTERXML(E674,"//latitude"),1)</f>
        <v>#VALUE!</v>
      </c>
      <c r="G674" t="e" cm="1">
        <f t="array" ref="G674">INDEX(_xlfn.FILTERXML(E674,"//longitude"),1)</f>
        <v>#VALUE!</v>
      </c>
      <c r="H674">
        <v>35.661518000000001</v>
      </c>
      <c r="I674">
        <v>140.04731799999999</v>
      </c>
    </row>
    <row r="675" spans="3:9" x14ac:dyDescent="0.4">
      <c r="C675" t="str">
        <f t="shared" si="41"/>
        <v/>
      </c>
      <c r="D675" s="2" t="str">
        <f t="shared" si="39"/>
        <v>http://geocode.csis.u-tokyo.ac.jp/cgi-bin/simple_geocode.cgi?charset=UTF8&amp;addr=</v>
      </c>
      <c r="E67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5" t="e" cm="1">
        <f t="array" ref="F675">INDEX(_xlfn.FILTERXML(E675,"//latitude"),1)</f>
        <v>#VALUE!</v>
      </c>
      <c r="G675" t="e" cm="1">
        <f t="array" ref="G675">INDEX(_xlfn.FILTERXML(E675,"//longitude"),1)</f>
        <v>#VALUE!</v>
      </c>
      <c r="H675">
        <v>35.397472</v>
      </c>
      <c r="I675">
        <v>139.301559</v>
      </c>
    </row>
    <row r="676" spans="3:9" x14ac:dyDescent="0.4">
      <c r="C676" t="str">
        <f t="shared" si="41"/>
        <v/>
      </c>
      <c r="D676" s="2" t="str">
        <f t="shared" si="39"/>
        <v>http://geocode.csis.u-tokyo.ac.jp/cgi-bin/simple_geocode.cgi?charset=UTF8&amp;addr=</v>
      </c>
      <c r="E67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6" t="e" cm="1">
        <f t="array" ref="F676">INDEX(_xlfn.FILTERXML(E676,"//latitude"),1)</f>
        <v>#VALUE!</v>
      </c>
      <c r="G676" t="e" cm="1">
        <f t="array" ref="G676">INDEX(_xlfn.FILTERXML(E676,"//longitude"),1)</f>
        <v>#VALUE!</v>
      </c>
      <c r="H676">
        <v>34.786307999999998</v>
      </c>
      <c r="I676">
        <v>135.546494</v>
      </c>
    </row>
    <row r="677" spans="3:9" x14ac:dyDescent="0.4">
      <c r="C677" t="str">
        <f t="shared" si="41"/>
        <v/>
      </c>
      <c r="D677" s="2" t="str">
        <f t="shared" si="39"/>
        <v>http://geocode.csis.u-tokyo.ac.jp/cgi-bin/simple_geocode.cgi?charset=UTF8&amp;addr=</v>
      </c>
      <c r="E67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7" t="e" cm="1">
        <f t="array" ref="F677">INDEX(_xlfn.FILTERXML(E677,"//latitude"),1)</f>
        <v>#VALUE!</v>
      </c>
      <c r="G677" t="e" cm="1">
        <f t="array" ref="G677">INDEX(_xlfn.FILTERXML(E677,"//longitude"),1)</f>
        <v>#VALUE!</v>
      </c>
      <c r="H677">
        <v>35.751778000000002</v>
      </c>
      <c r="I677">
        <v>139.82429500000001</v>
      </c>
    </row>
    <row r="678" spans="3:9" x14ac:dyDescent="0.4">
      <c r="C678" t="str">
        <f t="shared" si="41"/>
        <v/>
      </c>
      <c r="D678" s="2" t="str">
        <f t="shared" si="39"/>
        <v>http://geocode.csis.u-tokyo.ac.jp/cgi-bin/simple_geocode.cgi?charset=UTF8&amp;addr=</v>
      </c>
      <c r="E67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8" t="e" cm="1">
        <f t="array" ref="F678">INDEX(_xlfn.FILTERXML(E678,"//latitude"),1)</f>
        <v>#VALUE!</v>
      </c>
      <c r="G678" t="e" cm="1">
        <f t="array" ref="G678">INDEX(_xlfn.FILTERXML(E678,"//longitude"),1)</f>
        <v>#VALUE!</v>
      </c>
      <c r="H678">
        <v>35.991680000000002</v>
      </c>
      <c r="I678">
        <v>139.08547999999999</v>
      </c>
    </row>
    <row r="679" spans="3:9" x14ac:dyDescent="0.4">
      <c r="C679" t="str">
        <f t="shared" si="41"/>
        <v/>
      </c>
      <c r="D679" s="2" t="str">
        <f t="shared" si="39"/>
        <v>http://geocode.csis.u-tokyo.ac.jp/cgi-bin/simple_geocode.cgi?charset=UTF8&amp;addr=</v>
      </c>
      <c r="E67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79" t="e" cm="1">
        <f t="array" ref="F679">INDEX(_xlfn.FILTERXML(E679,"//latitude"),1)</f>
        <v>#VALUE!</v>
      </c>
      <c r="G679" t="e" cm="1">
        <f t="array" ref="G679">INDEX(_xlfn.FILTERXML(E679,"//longitude"),1)</f>
        <v>#VALUE!</v>
      </c>
      <c r="H679">
        <v>35.739773</v>
      </c>
      <c r="I679">
        <v>139.676086</v>
      </c>
    </row>
    <row r="680" spans="3:9" x14ac:dyDescent="0.4">
      <c r="C680" t="str">
        <f t="shared" si="41"/>
        <v/>
      </c>
      <c r="D680" s="2" t="str">
        <f t="shared" si="39"/>
        <v>http://geocode.csis.u-tokyo.ac.jp/cgi-bin/simple_geocode.cgi?charset=UTF8&amp;addr=</v>
      </c>
      <c r="E68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0" t="e" cm="1">
        <f t="array" ref="F680">INDEX(_xlfn.FILTERXML(E680,"//latitude"),1)</f>
        <v>#VALUE!</v>
      </c>
      <c r="G680" t="e" cm="1">
        <f t="array" ref="G680">INDEX(_xlfn.FILTERXML(E680,"//longitude"),1)</f>
        <v>#VALUE!</v>
      </c>
      <c r="H680">
        <v>34.632679000000003</v>
      </c>
      <c r="I680">
        <v>135.50645399999999</v>
      </c>
    </row>
    <row r="681" spans="3:9" x14ac:dyDescent="0.4">
      <c r="C681" t="str">
        <f t="shared" si="41"/>
        <v/>
      </c>
      <c r="D681" s="2" t="str">
        <f t="shared" si="39"/>
        <v>http://geocode.csis.u-tokyo.ac.jp/cgi-bin/simple_geocode.cgi?charset=UTF8&amp;addr=</v>
      </c>
      <c r="E68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1" t="e" cm="1">
        <f t="array" ref="F681">INDEX(_xlfn.FILTERXML(E681,"//latitude"),1)</f>
        <v>#VALUE!</v>
      </c>
      <c r="G681" t="e" cm="1">
        <f t="array" ref="G681">INDEX(_xlfn.FILTERXML(E681,"//longitude"),1)</f>
        <v>#VALUE!</v>
      </c>
      <c r="H681">
        <v>34.706600000000002</v>
      </c>
      <c r="I681">
        <v>135.580399</v>
      </c>
    </row>
    <row r="682" spans="3:9" x14ac:dyDescent="0.4">
      <c r="C682" t="str">
        <f t="shared" si="41"/>
        <v/>
      </c>
      <c r="D682" s="2" t="str">
        <f t="shared" si="39"/>
        <v>http://geocode.csis.u-tokyo.ac.jp/cgi-bin/simple_geocode.cgi?charset=UTF8&amp;addr=</v>
      </c>
      <c r="E68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2" t="e" cm="1">
        <f t="array" ref="F682">INDEX(_xlfn.FILTERXML(E682,"//latitude"),1)</f>
        <v>#VALUE!</v>
      </c>
      <c r="G682" t="e" cm="1">
        <f t="array" ref="G682">INDEX(_xlfn.FILTERXML(E682,"//longitude"),1)</f>
        <v>#VALUE!</v>
      </c>
      <c r="H682">
        <v>35.464924000000003</v>
      </c>
      <c r="I682">
        <v>139.52809099999999</v>
      </c>
    </row>
    <row r="683" spans="3:9" x14ac:dyDescent="0.4">
      <c r="C683" t="str">
        <f t="shared" si="41"/>
        <v/>
      </c>
      <c r="D683" s="2" t="str">
        <f t="shared" si="39"/>
        <v>http://geocode.csis.u-tokyo.ac.jp/cgi-bin/simple_geocode.cgi?charset=UTF8&amp;addr=</v>
      </c>
      <c r="E68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3" t="e" cm="1">
        <f t="array" ref="F683">INDEX(_xlfn.FILTERXML(E683,"//latitude"),1)</f>
        <v>#VALUE!</v>
      </c>
      <c r="G683" t="e" cm="1">
        <f t="array" ref="G683">INDEX(_xlfn.FILTERXML(E683,"//longitude"),1)</f>
        <v>#VALUE!</v>
      </c>
      <c r="H683">
        <v>35.517364999999998</v>
      </c>
      <c r="I683">
        <v>139.509109</v>
      </c>
    </row>
    <row r="684" spans="3:9" x14ac:dyDescent="0.4">
      <c r="C684" t="str">
        <f t="shared" si="41"/>
        <v/>
      </c>
      <c r="D684" s="2" t="str">
        <f t="shared" si="39"/>
        <v>http://geocode.csis.u-tokyo.ac.jp/cgi-bin/simple_geocode.cgi?charset=UTF8&amp;addr=</v>
      </c>
      <c r="E68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4" t="e" cm="1">
        <f t="array" ref="F684">INDEX(_xlfn.FILTERXML(E684,"//latitude"),1)</f>
        <v>#VALUE!</v>
      </c>
      <c r="G684" t="e" cm="1">
        <f t="array" ref="G684">INDEX(_xlfn.FILTERXML(E684,"//longitude"),1)</f>
        <v>#VALUE!</v>
      </c>
      <c r="H684">
        <v>34.66666</v>
      </c>
      <c r="I684">
        <v>133.887405</v>
      </c>
    </row>
    <row r="685" spans="3:9" x14ac:dyDescent="0.4">
      <c r="C685" t="str">
        <f t="shared" si="41"/>
        <v/>
      </c>
      <c r="D685" s="2" t="str">
        <f t="shared" si="39"/>
        <v>http://geocode.csis.u-tokyo.ac.jp/cgi-bin/simple_geocode.cgi?charset=UTF8&amp;addr=</v>
      </c>
      <c r="E68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5" t="e" cm="1">
        <f t="array" ref="F685">INDEX(_xlfn.FILTERXML(E685,"//latitude"),1)</f>
        <v>#VALUE!</v>
      </c>
      <c r="G685" t="e" cm="1">
        <f t="array" ref="G685">INDEX(_xlfn.FILTERXML(E685,"//longitude"),1)</f>
        <v>#VALUE!</v>
      </c>
      <c r="H685">
        <v>35.751244</v>
      </c>
      <c r="I685">
        <v>139.70924400000001</v>
      </c>
    </row>
    <row r="686" spans="3:9" x14ac:dyDescent="0.4">
      <c r="C686" t="str">
        <f t="shared" si="41"/>
        <v/>
      </c>
      <c r="D686" s="2" t="str">
        <f t="shared" si="39"/>
        <v>http://geocode.csis.u-tokyo.ac.jp/cgi-bin/simple_geocode.cgi?charset=UTF8&amp;addr=</v>
      </c>
      <c r="E68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6" t="e" cm="1">
        <f t="array" ref="F686">INDEX(_xlfn.FILTERXML(E686,"//latitude"),1)</f>
        <v>#VALUE!</v>
      </c>
      <c r="G686" t="e" cm="1">
        <f t="array" ref="G686">INDEX(_xlfn.FILTERXML(E686,"//longitude"),1)</f>
        <v>#VALUE!</v>
      </c>
      <c r="H686">
        <v>34.654510000000002</v>
      </c>
      <c r="I686">
        <v>134.02383399999999</v>
      </c>
    </row>
    <row r="687" spans="3:9" x14ac:dyDescent="0.4">
      <c r="C687" t="str">
        <f t="shared" si="41"/>
        <v/>
      </c>
      <c r="D687" s="2" t="str">
        <f t="shared" si="39"/>
        <v>http://geocode.csis.u-tokyo.ac.jp/cgi-bin/simple_geocode.cgi?charset=UTF8&amp;addr=</v>
      </c>
      <c r="E68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7" t="e" cm="1">
        <f t="array" ref="F687">INDEX(_xlfn.FILTERXML(E687,"//latitude"),1)</f>
        <v>#VALUE!</v>
      </c>
      <c r="G687" t="e" cm="1">
        <f t="array" ref="G687">INDEX(_xlfn.FILTERXML(E687,"//longitude"),1)</f>
        <v>#VALUE!</v>
      </c>
      <c r="H687">
        <v>35.591079999999998</v>
      </c>
      <c r="I687">
        <v>139.37553399999999</v>
      </c>
    </row>
    <row r="688" spans="3:9" x14ac:dyDescent="0.4">
      <c r="C688" t="str">
        <f t="shared" si="41"/>
        <v/>
      </c>
      <c r="D688" s="2" t="str">
        <f t="shared" si="39"/>
        <v>http://geocode.csis.u-tokyo.ac.jp/cgi-bin/simple_geocode.cgi?charset=UTF8&amp;addr=</v>
      </c>
      <c r="E68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8" t="e" cm="1">
        <f t="array" ref="F688">INDEX(_xlfn.FILTERXML(E688,"//latitude"),1)</f>
        <v>#VALUE!</v>
      </c>
      <c r="G688" t="e" cm="1">
        <f t="array" ref="G688">INDEX(_xlfn.FILTERXML(E688,"//longitude"),1)</f>
        <v>#VALUE!</v>
      </c>
      <c r="H688">
        <v>34.695919000000004</v>
      </c>
      <c r="I688">
        <v>135.61558500000001</v>
      </c>
    </row>
    <row r="689" spans="3:9" x14ac:dyDescent="0.4">
      <c r="C689" t="str">
        <f t="shared" si="41"/>
        <v/>
      </c>
      <c r="D689" s="2" t="str">
        <f t="shared" si="39"/>
        <v>http://geocode.csis.u-tokyo.ac.jp/cgi-bin/simple_geocode.cgi?charset=UTF8&amp;addr=</v>
      </c>
      <c r="E689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89" t="e" cm="1">
        <f t="array" ref="F689">INDEX(_xlfn.FILTERXML(E689,"//latitude"),1)</f>
        <v>#VALUE!</v>
      </c>
      <c r="G689" t="e" cm="1">
        <f t="array" ref="G689">INDEX(_xlfn.FILTERXML(E689,"//longitude"),1)</f>
        <v>#VALUE!</v>
      </c>
      <c r="H689">
        <v>33.567059</v>
      </c>
      <c r="I689">
        <v>130.40254200000001</v>
      </c>
    </row>
    <row r="690" spans="3:9" x14ac:dyDescent="0.4">
      <c r="C690" t="str">
        <f t="shared" si="41"/>
        <v/>
      </c>
      <c r="D690" s="2" t="str">
        <f t="shared" si="39"/>
        <v>http://geocode.csis.u-tokyo.ac.jp/cgi-bin/simple_geocode.cgi?charset=UTF8&amp;addr=</v>
      </c>
      <c r="E690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0" t="e" cm="1">
        <f t="array" ref="F690">INDEX(_xlfn.FILTERXML(E690,"//latitude"),1)</f>
        <v>#VALUE!</v>
      </c>
      <c r="G690" t="e" cm="1">
        <f t="array" ref="G690">INDEX(_xlfn.FILTERXML(E690,"//longitude"),1)</f>
        <v>#VALUE!</v>
      </c>
      <c r="H690">
        <v>35.895339999999997</v>
      </c>
      <c r="I690">
        <v>139.463348</v>
      </c>
    </row>
    <row r="691" spans="3:9" x14ac:dyDescent="0.4">
      <c r="C691" t="str">
        <f t="shared" si="41"/>
        <v/>
      </c>
      <c r="D691" s="2" t="str">
        <f t="shared" si="39"/>
        <v>http://geocode.csis.u-tokyo.ac.jp/cgi-bin/simple_geocode.cgi?charset=UTF8&amp;addr=</v>
      </c>
      <c r="E691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1" t="e" cm="1">
        <f t="array" ref="F691">INDEX(_xlfn.FILTERXML(E691,"//latitude"),1)</f>
        <v>#VALUE!</v>
      </c>
      <c r="G691" t="e" cm="1">
        <f t="array" ref="G691">INDEX(_xlfn.FILTERXML(E691,"//longitude"),1)</f>
        <v>#VALUE!</v>
      </c>
      <c r="H691">
        <v>34.588470000000001</v>
      </c>
      <c r="I691">
        <v>135.48254399999999</v>
      </c>
    </row>
    <row r="692" spans="3:9" x14ac:dyDescent="0.4">
      <c r="C692" t="str">
        <f t="shared" si="41"/>
        <v/>
      </c>
      <c r="D692" s="2" t="str">
        <f t="shared" si="39"/>
        <v>http://geocode.csis.u-tokyo.ac.jp/cgi-bin/simple_geocode.cgi?charset=UTF8&amp;addr=</v>
      </c>
      <c r="E692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2" t="e" cm="1">
        <f t="array" ref="F692">INDEX(_xlfn.FILTERXML(E692,"//latitude"),1)</f>
        <v>#VALUE!</v>
      </c>
      <c r="G692" t="e" cm="1">
        <f t="array" ref="G692">INDEX(_xlfn.FILTERXML(E692,"//longitude"),1)</f>
        <v>#VALUE!</v>
      </c>
      <c r="H692">
        <v>35.889674999999997</v>
      </c>
      <c r="I692">
        <v>139.912048</v>
      </c>
    </row>
    <row r="693" spans="3:9" x14ac:dyDescent="0.4">
      <c r="C693" t="str">
        <f t="shared" si="41"/>
        <v/>
      </c>
      <c r="D693" s="2" t="str">
        <f t="shared" si="39"/>
        <v>http://geocode.csis.u-tokyo.ac.jp/cgi-bin/simple_geocode.cgi?charset=UTF8&amp;addr=</v>
      </c>
      <c r="E693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3" t="e" cm="1">
        <f t="array" ref="F693">INDEX(_xlfn.FILTERXML(E693,"//latitude"),1)</f>
        <v>#VALUE!</v>
      </c>
      <c r="G693" t="e" cm="1">
        <f t="array" ref="G693">INDEX(_xlfn.FILTERXML(E693,"//longitude"),1)</f>
        <v>#VALUE!</v>
      </c>
      <c r="H693">
        <v>35.581547</v>
      </c>
      <c r="I693">
        <v>139.58741800000001</v>
      </c>
    </row>
    <row r="694" spans="3:9" x14ac:dyDescent="0.4">
      <c r="C694" t="str">
        <f t="shared" si="41"/>
        <v/>
      </c>
      <c r="D694" s="2" t="str">
        <f t="shared" si="39"/>
        <v>http://geocode.csis.u-tokyo.ac.jp/cgi-bin/simple_geocode.cgi?charset=UTF8&amp;addr=</v>
      </c>
      <c r="E694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4" t="e" cm="1">
        <f t="array" ref="F694">INDEX(_xlfn.FILTERXML(E694,"//latitude"),1)</f>
        <v>#VALUE!</v>
      </c>
      <c r="G694" t="e" cm="1">
        <f t="array" ref="G694">INDEX(_xlfn.FILTERXML(E694,"//longitude"),1)</f>
        <v>#VALUE!</v>
      </c>
      <c r="H694">
        <v>35.498283000000001</v>
      </c>
      <c r="I694">
        <v>139.56752</v>
      </c>
    </row>
    <row r="695" spans="3:9" x14ac:dyDescent="0.4">
      <c r="C695" t="str">
        <f t="shared" si="41"/>
        <v/>
      </c>
      <c r="D695" s="2" t="str">
        <f t="shared" si="39"/>
        <v>http://geocode.csis.u-tokyo.ac.jp/cgi-bin/simple_geocode.cgi?charset=UTF8&amp;addr=</v>
      </c>
      <c r="E695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5" t="e" cm="1">
        <f t="array" ref="F695">INDEX(_xlfn.FILTERXML(E695,"//latitude"),1)</f>
        <v>#VALUE!</v>
      </c>
      <c r="G695" t="e" cm="1">
        <f t="array" ref="G695">INDEX(_xlfn.FILTERXML(E695,"//longitude"),1)</f>
        <v>#VALUE!</v>
      </c>
      <c r="H695">
        <v>35.683143999999999</v>
      </c>
      <c r="I695">
        <v>140.160934</v>
      </c>
    </row>
    <row r="696" spans="3:9" x14ac:dyDescent="0.4">
      <c r="C696" t="str">
        <f t="shared" si="41"/>
        <v/>
      </c>
      <c r="D696" s="2" t="str">
        <f t="shared" si="39"/>
        <v>http://geocode.csis.u-tokyo.ac.jp/cgi-bin/simple_geocode.cgi?charset=UTF8&amp;addr=</v>
      </c>
      <c r="E696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6" t="e" cm="1">
        <f t="array" ref="F696">INDEX(_xlfn.FILTERXML(E696,"//latitude"),1)</f>
        <v>#VALUE!</v>
      </c>
      <c r="G696" t="e" cm="1">
        <f t="array" ref="G696">INDEX(_xlfn.FILTERXML(E696,"//longitude"),1)</f>
        <v>#VALUE!</v>
      </c>
      <c r="H696">
        <v>35.384765999999999</v>
      </c>
      <c r="I696">
        <v>139.61575300000001</v>
      </c>
    </row>
    <row r="697" spans="3:9" x14ac:dyDescent="0.4">
      <c r="C697" t="str">
        <f t="shared" si="41"/>
        <v/>
      </c>
      <c r="D697" s="2" t="str">
        <f t="shared" si="39"/>
        <v>http://geocode.csis.u-tokyo.ac.jp/cgi-bin/simple_geocode.cgi?charset=UTF8&amp;addr=</v>
      </c>
      <c r="E697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7" t="e" cm="1">
        <f t="array" ref="F697">INDEX(_xlfn.FILTERXML(E697,"//latitude"),1)</f>
        <v>#VALUE!</v>
      </c>
      <c r="G697" t="e" cm="1">
        <f t="array" ref="G697">INDEX(_xlfn.FILTERXML(E697,"//longitude"),1)</f>
        <v>#VALUE!</v>
      </c>
      <c r="H697">
        <v>36.389412</v>
      </c>
      <c r="I697">
        <v>139.063492</v>
      </c>
    </row>
    <row r="698" spans="3:9" x14ac:dyDescent="0.4">
      <c r="C698" t="str">
        <f t="shared" si="41"/>
        <v/>
      </c>
      <c r="D698" s="2" t="str">
        <f t="shared" si="39"/>
        <v>http://geocode.csis.u-tokyo.ac.jp/cgi-bin/simple_geocode.cgi?charset=UTF8&amp;addr=</v>
      </c>
      <c r="E698" t="str">
        <f t="shared" si="40"/>
        <v xml:space="preserve">&lt;?xml version="1.0" encoding="UTF-8" ?&gt;
&lt;results&gt;
&lt;query&gt;&lt;/query&gt;
&lt;geodetic&gt;wgs1984&lt;/geodetic&gt;
&lt;iConf&gt;0&lt;/iConf&gt;
&lt;converted&gt;&lt;/converted&gt;
&lt;/results&gt;
</v>
      </c>
      <c r="F698" t="e" cm="1">
        <f t="array" ref="F698">INDEX(_xlfn.FILTERXML(E698,"//latitude"),1)</f>
        <v>#VALUE!</v>
      </c>
      <c r="G698" t="e" cm="1">
        <f t="array" ref="G698">INDEX(_xlfn.FILTERXML(E698,"//longitude"),1)</f>
        <v>#VALUE!</v>
      </c>
      <c r="H698">
        <v>34.335087000000001</v>
      </c>
      <c r="I698">
        <v>134.05017100000001</v>
      </c>
    </row>
    <row r="699" spans="3:9" x14ac:dyDescent="0.4">
      <c r="C699" t="str">
        <f t="shared" si="41"/>
        <v/>
      </c>
      <c r="D699" s="2" t="str">
        <f t="shared" ref="D699:D755" si="42" xml:space="preserve"> "http://geocode.csis.u-tokyo.ac.jp/cgi-bin/simple_geocode.cgi?charset=UTF8&amp;addr=" &amp; _xlfn.ENCODEURL(C699)</f>
        <v>http://geocode.csis.u-tokyo.ac.jp/cgi-bin/simple_geocode.cgi?charset=UTF8&amp;addr=</v>
      </c>
      <c r="E699" t="str">
        <f t="shared" ref="E699:E755" si="43" xml:space="preserve"> _xlfn.WEBSERVICE(D699)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699" t="e" cm="1">
        <f t="array" ref="F699">INDEX(_xlfn.FILTERXML(E699,"//latitude"),1)</f>
        <v>#VALUE!</v>
      </c>
      <c r="G699" t="e" cm="1">
        <f t="array" ref="G699">INDEX(_xlfn.FILTERXML(E699,"//longitude"),1)</f>
        <v>#VALUE!</v>
      </c>
      <c r="H699">
        <v>40.612701000000001</v>
      </c>
      <c r="I699">
        <v>141.205917</v>
      </c>
    </row>
    <row r="700" spans="3:9" x14ac:dyDescent="0.4">
      <c r="C700" t="str">
        <f t="shared" si="41"/>
        <v/>
      </c>
      <c r="D700" s="2" t="str">
        <f t="shared" si="42"/>
        <v>http://geocode.csis.u-tokyo.ac.jp/cgi-bin/simple_geocode.cgi?charset=UTF8&amp;addr=</v>
      </c>
      <c r="E700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0" t="e" cm="1">
        <f t="array" ref="F700">INDEX(_xlfn.FILTERXML(E700,"//latitude"),1)</f>
        <v>#VALUE!</v>
      </c>
      <c r="G700" t="e" cm="1">
        <f t="array" ref="G700">INDEX(_xlfn.FILTERXML(E700,"//longitude"),1)</f>
        <v>#VALUE!</v>
      </c>
      <c r="H700">
        <v>35.736274999999999</v>
      </c>
      <c r="I700">
        <v>139.89154099999999</v>
      </c>
    </row>
    <row r="701" spans="3:9" x14ac:dyDescent="0.4">
      <c r="C701" t="str">
        <f t="shared" si="41"/>
        <v/>
      </c>
      <c r="D701" s="2" t="str">
        <f t="shared" si="42"/>
        <v>http://geocode.csis.u-tokyo.ac.jp/cgi-bin/simple_geocode.cgi?charset=UTF8&amp;addr=</v>
      </c>
      <c r="E701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1" t="e" cm="1">
        <f t="array" ref="F701">INDEX(_xlfn.FILTERXML(E701,"//latitude"),1)</f>
        <v>#VALUE!</v>
      </c>
      <c r="G701" t="e" cm="1">
        <f t="array" ref="G701">INDEX(_xlfn.FILTERXML(E701,"//longitude"),1)</f>
        <v>#VALUE!</v>
      </c>
      <c r="H701">
        <v>34.717517999999998</v>
      </c>
      <c r="I701">
        <v>135.526016</v>
      </c>
    </row>
    <row r="702" spans="3:9" x14ac:dyDescent="0.4">
      <c r="C702" t="str">
        <f t="shared" si="41"/>
        <v/>
      </c>
      <c r="D702" s="2" t="str">
        <f t="shared" si="42"/>
        <v>http://geocode.csis.u-tokyo.ac.jp/cgi-bin/simple_geocode.cgi?charset=UTF8&amp;addr=</v>
      </c>
      <c r="E702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2" t="e" cm="1">
        <f t="array" ref="F702">INDEX(_xlfn.FILTERXML(E702,"//latitude"),1)</f>
        <v>#VALUE!</v>
      </c>
      <c r="G702" t="e" cm="1">
        <f t="array" ref="G702">INDEX(_xlfn.FILTERXML(E702,"//longitude"),1)</f>
        <v>#VALUE!</v>
      </c>
      <c r="H702">
        <v>35.203341999999999</v>
      </c>
      <c r="I702">
        <v>136.97633400000001</v>
      </c>
    </row>
    <row r="703" spans="3:9" x14ac:dyDescent="0.4">
      <c r="C703" t="str">
        <f t="shared" si="41"/>
        <v/>
      </c>
      <c r="D703" s="2" t="str">
        <f t="shared" si="42"/>
        <v>http://geocode.csis.u-tokyo.ac.jp/cgi-bin/simple_geocode.cgi?charset=UTF8&amp;addr=</v>
      </c>
      <c r="E703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3" t="e" cm="1">
        <f t="array" ref="F703">INDEX(_xlfn.FILTERXML(E703,"//latitude"),1)</f>
        <v>#VALUE!</v>
      </c>
      <c r="G703" t="e" cm="1">
        <f t="array" ref="G703">INDEX(_xlfn.FILTERXML(E703,"//longitude"),1)</f>
        <v>#VALUE!</v>
      </c>
      <c r="H703">
        <v>35.078491</v>
      </c>
      <c r="I703">
        <v>136.788162</v>
      </c>
    </row>
    <row r="704" spans="3:9" x14ac:dyDescent="0.4">
      <c r="C704" t="str">
        <f t="shared" si="41"/>
        <v/>
      </c>
      <c r="D704" s="2" t="str">
        <f t="shared" si="42"/>
        <v>http://geocode.csis.u-tokyo.ac.jp/cgi-bin/simple_geocode.cgi?charset=UTF8&amp;addr=</v>
      </c>
      <c r="E704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4" t="e" cm="1">
        <f t="array" ref="F704">INDEX(_xlfn.FILTERXML(E704,"//latitude"),1)</f>
        <v>#VALUE!</v>
      </c>
      <c r="G704" t="e" cm="1">
        <f t="array" ref="G704">INDEX(_xlfn.FILTERXML(E704,"//longitude"),1)</f>
        <v>#VALUE!</v>
      </c>
      <c r="H704">
        <v>35.755443999999997</v>
      </c>
      <c r="I704">
        <v>139.77156099999999</v>
      </c>
    </row>
    <row r="705" spans="3:9" x14ac:dyDescent="0.4">
      <c r="C705" t="str">
        <f t="shared" si="41"/>
        <v/>
      </c>
      <c r="D705" s="2" t="str">
        <f t="shared" si="42"/>
        <v>http://geocode.csis.u-tokyo.ac.jp/cgi-bin/simple_geocode.cgi?charset=UTF8&amp;addr=</v>
      </c>
      <c r="E705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5" t="e" cm="1">
        <f t="array" ref="F705">INDEX(_xlfn.FILTERXML(E705,"//latitude"),1)</f>
        <v>#VALUE!</v>
      </c>
      <c r="G705" t="e" cm="1">
        <f t="array" ref="G705">INDEX(_xlfn.FILTERXML(E705,"//longitude"),1)</f>
        <v>#VALUE!</v>
      </c>
      <c r="H705">
        <v>34.717880000000001</v>
      </c>
      <c r="I705">
        <v>137.851517</v>
      </c>
    </row>
    <row r="706" spans="3:9" x14ac:dyDescent="0.4">
      <c r="C706" t="str">
        <f t="shared" si="41"/>
        <v/>
      </c>
      <c r="D706" s="2" t="str">
        <f t="shared" si="42"/>
        <v>http://geocode.csis.u-tokyo.ac.jp/cgi-bin/simple_geocode.cgi?charset=UTF8&amp;addr=</v>
      </c>
      <c r="E706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6" t="e" cm="1">
        <f t="array" ref="F706">INDEX(_xlfn.FILTERXML(E706,"//latitude"),1)</f>
        <v>#VALUE!</v>
      </c>
      <c r="G706" t="e" cm="1">
        <f t="array" ref="G706">INDEX(_xlfn.FILTERXML(E706,"//longitude"),1)</f>
        <v>#VALUE!</v>
      </c>
      <c r="H706">
        <v>35.017574000000003</v>
      </c>
      <c r="I706">
        <v>136.95594800000001</v>
      </c>
    </row>
    <row r="707" spans="3:9" x14ac:dyDescent="0.4">
      <c r="C707" t="str">
        <f t="shared" ref="C707:C770" si="44">+A707&amp;B707</f>
        <v/>
      </c>
      <c r="D707" s="2" t="str">
        <f t="shared" si="42"/>
        <v>http://geocode.csis.u-tokyo.ac.jp/cgi-bin/simple_geocode.cgi?charset=UTF8&amp;addr=</v>
      </c>
      <c r="E707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7" t="e" cm="1">
        <f t="array" ref="F707">INDEX(_xlfn.FILTERXML(E707,"//latitude"),1)</f>
        <v>#VALUE!</v>
      </c>
      <c r="G707" t="e" cm="1">
        <f t="array" ref="G707">INDEX(_xlfn.FILTERXML(E707,"//longitude"),1)</f>
        <v>#VALUE!</v>
      </c>
      <c r="H707">
        <v>33.474437999999999</v>
      </c>
      <c r="I707">
        <v>130.536652</v>
      </c>
    </row>
    <row r="708" spans="3:9" x14ac:dyDescent="0.4">
      <c r="C708" t="str">
        <f t="shared" si="44"/>
        <v/>
      </c>
      <c r="D708" s="2" t="str">
        <f t="shared" si="42"/>
        <v>http://geocode.csis.u-tokyo.ac.jp/cgi-bin/simple_geocode.cgi?charset=UTF8&amp;addr=</v>
      </c>
      <c r="E708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8" t="e" cm="1">
        <f t="array" ref="F708">INDEX(_xlfn.FILTERXML(E708,"//latitude"),1)</f>
        <v>#VALUE!</v>
      </c>
      <c r="G708" t="e" cm="1">
        <f t="array" ref="G708">INDEX(_xlfn.FILTERXML(E708,"//longitude"),1)</f>
        <v>#VALUE!</v>
      </c>
      <c r="H708">
        <v>35.694710000000001</v>
      </c>
      <c r="I708">
        <v>139.98262</v>
      </c>
    </row>
    <row r="709" spans="3:9" x14ac:dyDescent="0.4">
      <c r="C709" t="str">
        <f t="shared" si="44"/>
        <v/>
      </c>
      <c r="D709" s="2" t="str">
        <f t="shared" si="42"/>
        <v>http://geocode.csis.u-tokyo.ac.jp/cgi-bin/simple_geocode.cgi?charset=UTF8&amp;addr=</v>
      </c>
      <c r="E709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09" t="e" cm="1">
        <f t="array" ref="F709">INDEX(_xlfn.FILTERXML(E709,"//latitude"),1)</f>
        <v>#VALUE!</v>
      </c>
      <c r="G709" t="e" cm="1">
        <f t="array" ref="G709">INDEX(_xlfn.FILTERXML(E709,"//longitude"),1)</f>
        <v>#VALUE!</v>
      </c>
      <c r="H709">
        <v>34.545414000000001</v>
      </c>
      <c r="I709">
        <v>135.486816</v>
      </c>
    </row>
    <row r="710" spans="3:9" x14ac:dyDescent="0.4">
      <c r="C710" t="str">
        <f t="shared" si="44"/>
        <v/>
      </c>
      <c r="D710" s="2" t="str">
        <f t="shared" si="42"/>
        <v>http://geocode.csis.u-tokyo.ac.jp/cgi-bin/simple_geocode.cgi?charset=UTF8&amp;addr=</v>
      </c>
      <c r="E710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0" t="e" cm="1">
        <f t="array" ref="F710">INDEX(_xlfn.FILTERXML(E710,"//latitude"),1)</f>
        <v>#VALUE!</v>
      </c>
      <c r="G710" t="e" cm="1">
        <f t="array" ref="G710">INDEX(_xlfn.FILTERXML(E710,"//longitude"),1)</f>
        <v>#VALUE!</v>
      </c>
      <c r="H710">
        <v>35.634067999999999</v>
      </c>
      <c r="I710">
        <v>139.72326699999999</v>
      </c>
    </row>
    <row r="711" spans="3:9" x14ac:dyDescent="0.4">
      <c r="C711" t="str">
        <f t="shared" si="44"/>
        <v/>
      </c>
      <c r="D711" s="2" t="str">
        <f t="shared" si="42"/>
        <v>http://geocode.csis.u-tokyo.ac.jp/cgi-bin/simple_geocode.cgi?charset=UTF8&amp;addr=</v>
      </c>
      <c r="E711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1" t="e" cm="1">
        <f t="array" ref="F711">INDEX(_xlfn.FILTERXML(E711,"//latitude"),1)</f>
        <v>#VALUE!</v>
      </c>
      <c r="G711" t="e" cm="1">
        <f t="array" ref="G711">INDEX(_xlfn.FILTERXML(E711,"//longitude"),1)</f>
        <v>#VALUE!</v>
      </c>
      <c r="H711">
        <v>36.302546999999997</v>
      </c>
      <c r="I711">
        <v>139.14781199999999</v>
      </c>
    </row>
    <row r="712" spans="3:9" x14ac:dyDescent="0.4">
      <c r="C712" t="str">
        <f t="shared" si="44"/>
        <v/>
      </c>
      <c r="D712" s="2" t="str">
        <f t="shared" si="42"/>
        <v>http://geocode.csis.u-tokyo.ac.jp/cgi-bin/simple_geocode.cgi?charset=UTF8&amp;addr=</v>
      </c>
      <c r="E712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2" t="e" cm="1">
        <f t="array" ref="F712">INDEX(_xlfn.FILTERXML(E712,"//latitude"),1)</f>
        <v>#VALUE!</v>
      </c>
      <c r="G712" t="e" cm="1">
        <f t="array" ref="G712">INDEX(_xlfn.FILTERXML(E712,"//longitude"),1)</f>
        <v>#VALUE!</v>
      </c>
      <c r="H712">
        <v>35.781104999999997</v>
      </c>
      <c r="I712">
        <v>139.60569799999999</v>
      </c>
    </row>
    <row r="713" spans="3:9" x14ac:dyDescent="0.4">
      <c r="C713" t="str">
        <f t="shared" si="44"/>
        <v/>
      </c>
      <c r="D713" s="2" t="str">
        <f t="shared" si="42"/>
        <v>http://geocode.csis.u-tokyo.ac.jp/cgi-bin/simple_geocode.cgi?charset=UTF8&amp;addr=</v>
      </c>
      <c r="E713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3" t="e" cm="1">
        <f t="array" ref="F713">INDEX(_xlfn.FILTERXML(E713,"//latitude"),1)</f>
        <v>#VALUE!</v>
      </c>
      <c r="G713" t="e" cm="1">
        <f t="array" ref="G713">INDEX(_xlfn.FILTERXML(E713,"//longitude"),1)</f>
        <v>#VALUE!</v>
      </c>
      <c r="H713">
        <v>33.396450000000002</v>
      </c>
      <c r="I713">
        <v>130.555542</v>
      </c>
    </row>
    <row r="714" spans="3:9" x14ac:dyDescent="0.4">
      <c r="C714" t="str">
        <f t="shared" si="44"/>
        <v/>
      </c>
      <c r="D714" s="2" t="str">
        <f t="shared" si="42"/>
        <v>http://geocode.csis.u-tokyo.ac.jp/cgi-bin/simple_geocode.cgi?charset=UTF8&amp;addr=</v>
      </c>
      <c r="E714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4" t="e" cm="1">
        <f t="array" ref="F714">INDEX(_xlfn.FILTERXML(E714,"//latitude"),1)</f>
        <v>#VALUE!</v>
      </c>
      <c r="G714" t="e" cm="1">
        <f t="array" ref="G714">INDEX(_xlfn.FILTERXML(E714,"//longitude"),1)</f>
        <v>#VALUE!</v>
      </c>
      <c r="H714">
        <v>35.021614</v>
      </c>
      <c r="I714">
        <v>135.997986</v>
      </c>
    </row>
    <row r="715" spans="3:9" x14ac:dyDescent="0.4">
      <c r="C715" t="str">
        <f t="shared" si="44"/>
        <v/>
      </c>
      <c r="D715" s="2" t="str">
        <f t="shared" si="42"/>
        <v>http://geocode.csis.u-tokyo.ac.jp/cgi-bin/simple_geocode.cgi?charset=UTF8&amp;addr=</v>
      </c>
      <c r="E715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5" t="e" cm="1">
        <f t="array" ref="F715">INDEX(_xlfn.FILTERXML(E715,"//latitude"),1)</f>
        <v>#VALUE!</v>
      </c>
      <c r="G715" t="e" cm="1">
        <f t="array" ref="G715">INDEX(_xlfn.FILTERXML(E715,"//longitude"),1)</f>
        <v>#VALUE!</v>
      </c>
      <c r="H715">
        <v>35.672859000000003</v>
      </c>
      <c r="I715">
        <v>139.81736799999999</v>
      </c>
    </row>
    <row r="716" spans="3:9" x14ac:dyDescent="0.4">
      <c r="C716" t="str">
        <f t="shared" si="44"/>
        <v/>
      </c>
      <c r="D716" s="2" t="str">
        <f t="shared" si="42"/>
        <v>http://geocode.csis.u-tokyo.ac.jp/cgi-bin/simple_geocode.cgi?charset=UTF8&amp;addr=</v>
      </c>
      <c r="E716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6" t="e" cm="1">
        <f t="array" ref="F716">INDEX(_xlfn.FILTERXML(E716,"//latitude"),1)</f>
        <v>#VALUE!</v>
      </c>
      <c r="G716" t="e" cm="1">
        <f t="array" ref="G716">INDEX(_xlfn.FILTERXML(E716,"//longitude"),1)</f>
        <v>#VALUE!</v>
      </c>
      <c r="H716">
        <v>36.362152000000002</v>
      </c>
      <c r="I716">
        <v>139.784302</v>
      </c>
    </row>
    <row r="717" spans="3:9" x14ac:dyDescent="0.4">
      <c r="C717" t="str">
        <f t="shared" si="44"/>
        <v/>
      </c>
      <c r="D717" s="2" t="str">
        <f t="shared" si="42"/>
        <v>http://geocode.csis.u-tokyo.ac.jp/cgi-bin/simple_geocode.cgi?charset=UTF8&amp;addr=</v>
      </c>
      <c r="E717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7" t="e" cm="1">
        <f t="array" ref="F717">INDEX(_xlfn.FILTERXML(E717,"//latitude"),1)</f>
        <v>#VALUE!</v>
      </c>
      <c r="G717" t="e" cm="1">
        <f t="array" ref="G717">INDEX(_xlfn.FILTERXML(E717,"//longitude"),1)</f>
        <v>#VALUE!</v>
      </c>
      <c r="H717">
        <v>35.767344999999999</v>
      </c>
      <c r="I717">
        <v>139.60675000000001</v>
      </c>
    </row>
    <row r="718" spans="3:9" x14ac:dyDescent="0.4">
      <c r="C718" t="str">
        <f t="shared" si="44"/>
        <v/>
      </c>
      <c r="D718" s="2" t="str">
        <f t="shared" si="42"/>
        <v>http://geocode.csis.u-tokyo.ac.jp/cgi-bin/simple_geocode.cgi?charset=UTF8&amp;addr=</v>
      </c>
      <c r="E718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8" t="e" cm="1">
        <f t="array" ref="F718">INDEX(_xlfn.FILTERXML(E718,"//latitude"),1)</f>
        <v>#VALUE!</v>
      </c>
      <c r="G718" t="e" cm="1">
        <f t="array" ref="G718">INDEX(_xlfn.FILTERXML(E718,"//longitude"),1)</f>
        <v>#VALUE!</v>
      </c>
      <c r="H718">
        <v>34.553246000000001</v>
      </c>
      <c r="I718">
        <v>135.73344399999999</v>
      </c>
    </row>
    <row r="719" spans="3:9" x14ac:dyDescent="0.4">
      <c r="C719" t="str">
        <f t="shared" si="44"/>
        <v/>
      </c>
      <c r="D719" s="2" t="str">
        <f t="shared" si="42"/>
        <v>http://geocode.csis.u-tokyo.ac.jp/cgi-bin/simple_geocode.cgi?charset=UTF8&amp;addr=</v>
      </c>
      <c r="E719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19" t="e" cm="1">
        <f t="array" ref="F719">INDEX(_xlfn.FILTERXML(E719,"//latitude"),1)</f>
        <v>#VALUE!</v>
      </c>
      <c r="G719" t="e" cm="1">
        <f t="array" ref="G719">INDEX(_xlfn.FILTERXML(E719,"//longitude"),1)</f>
        <v>#VALUE!</v>
      </c>
      <c r="H719">
        <v>35.717055999999999</v>
      </c>
      <c r="I719">
        <v>139.81958</v>
      </c>
    </row>
    <row r="720" spans="3:9" x14ac:dyDescent="0.4">
      <c r="C720" t="str">
        <f t="shared" si="44"/>
        <v/>
      </c>
      <c r="D720" s="2" t="str">
        <f t="shared" si="42"/>
        <v>http://geocode.csis.u-tokyo.ac.jp/cgi-bin/simple_geocode.cgi?charset=UTF8&amp;addr=</v>
      </c>
      <c r="E720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0" t="e" cm="1">
        <f t="array" ref="F720">INDEX(_xlfn.FILTERXML(E720,"//latitude"),1)</f>
        <v>#VALUE!</v>
      </c>
      <c r="G720" t="e" cm="1">
        <f t="array" ref="G720">INDEX(_xlfn.FILTERXML(E720,"//longitude"),1)</f>
        <v>#VALUE!</v>
      </c>
      <c r="H720">
        <v>37.880324999999999</v>
      </c>
      <c r="I720">
        <v>138.96933000000001</v>
      </c>
    </row>
    <row r="721" spans="3:9" x14ac:dyDescent="0.4">
      <c r="C721" t="str">
        <f t="shared" si="44"/>
        <v/>
      </c>
      <c r="D721" s="2" t="str">
        <f t="shared" si="42"/>
        <v>http://geocode.csis.u-tokyo.ac.jp/cgi-bin/simple_geocode.cgi?charset=UTF8&amp;addr=</v>
      </c>
      <c r="E721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1" t="e" cm="1">
        <f t="array" ref="F721">INDEX(_xlfn.FILTERXML(E721,"//latitude"),1)</f>
        <v>#VALUE!</v>
      </c>
      <c r="G721" t="e" cm="1">
        <f t="array" ref="G721">INDEX(_xlfn.FILTERXML(E721,"//longitude"),1)</f>
        <v>#VALUE!</v>
      </c>
      <c r="H721">
        <v>35.744255000000003</v>
      </c>
      <c r="I721">
        <v>139.562805</v>
      </c>
    </row>
    <row r="722" spans="3:9" x14ac:dyDescent="0.4">
      <c r="C722" t="str">
        <f t="shared" si="44"/>
        <v/>
      </c>
      <c r="D722" s="2" t="str">
        <f t="shared" si="42"/>
        <v>http://geocode.csis.u-tokyo.ac.jp/cgi-bin/simple_geocode.cgi?charset=UTF8&amp;addr=</v>
      </c>
      <c r="E722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2" t="e" cm="1">
        <f t="array" ref="F722">INDEX(_xlfn.FILTERXML(E722,"//latitude"),1)</f>
        <v>#VALUE!</v>
      </c>
      <c r="G722" t="e" cm="1">
        <f t="array" ref="G722">INDEX(_xlfn.FILTERXML(E722,"//longitude"),1)</f>
        <v>#VALUE!</v>
      </c>
      <c r="H722">
        <v>35.710979000000002</v>
      </c>
      <c r="I722">
        <v>139.70642100000001</v>
      </c>
    </row>
    <row r="723" spans="3:9" x14ac:dyDescent="0.4">
      <c r="C723" t="str">
        <f t="shared" si="44"/>
        <v/>
      </c>
      <c r="D723" s="2" t="str">
        <f t="shared" si="42"/>
        <v>http://geocode.csis.u-tokyo.ac.jp/cgi-bin/simple_geocode.cgi?charset=UTF8&amp;addr=</v>
      </c>
      <c r="E723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3" t="e" cm="1">
        <f t="array" ref="F723">INDEX(_xlfn.FILTERXML(E723,"//latitude"),1)</f>
        <v>#VALUE!</v>
      </c>
      <c r="G723" t="e" cm="1">
        <f t="array" ref="G723">INDEX(_xlfn.FILTERXML(E723,"//longitude"),1)</f>
        <v>#VALUE!</v>
      </c>
      <c r="H723">
        <v>35.655498999999999</v>
      </c>
      <c r="I723">
        <v>139.90167199999999</v>
      </c>
    </row>
    <row r="724" spans="3:9" x14ac:dyDescent="0.4">
      <c r="C724" t="str">
        <f t="shared" si="44"/>
        <v/>
      </c>
      <c r="D724" s="2" t="str">
        <f t="shared" si="42"/>
        <v>http://geocode.csis.u-tokyo.ac.jp/cgi-bin/simple_geocode.cgi?charset=UTF8&amp;addr=</v>
      </c>
      <c r="E724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4" t="e" cm="1">
        <f t="array" ref="F724">INDEX(_xlfn.FILTERXML(E724,"//latitude"),1)</f>
        <v>#VALUE!</v>
      </c>
      <c r="G724" t="e" cm="1">
        <f t="array" ref="G724">INDEX(_xlfn.FILTERXML(E724,"//longitude"),1)</f>
        <v>#VALUE!</v>
      </c>
      <c r="H724">
        <v>35.961323</v>
      </c>
      <c r="I724">
        <v>139.640747</v>
      </c>
    </row>
    <row r="725" spans="3:9" x14ac:dyDescent="0.4">
      <c r="C725" t="str">
        <f t="shared" si="44"/>
        <v/>
      </c>
      <c r="D725" s="2" t="str">
        <f t="shared" si="42"/>
        <v>http://geocode.csis.u-tokyo.ac.jp/cgi-bin/simple_geocode.cgi?charset=UTF8&amp;addr=</v>
      </c>
      <c r="E725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5" t="e" cm="1">
        <f t="array" ref="F725">INDEX(_xlfn.FILTERXML(E725,"//latitude"),1)</f>
        <v>#VALUE!</v>
      </c>
      <c r="G725" t="e" cm="1">
        <f t="array" ref="G725">INDEX(_xlfn.FILTERXML(E725,"//longitude"),1)</f>
        <v>#VALUE!</v>
      </c>
      <c r="H725">
        <v>34.070231999999997</v>
      </c>
      <c r="I725">
        <v>134.55471800000001</v>
      </c>
    </row>
    <row r="726" spans="3:9" x14ac:dyDescent="0.4">
      <c r="C726" t="str">
        <f t="shared" si="44"/>
        <v/>
      </c>
      <c r="D726" s="2" t="str">
        <f t="shared" si="42"/>
        <v>http://geocode.csis.u-tokyo.ac.jp/cgi-bin/simple_geocode.cgi?charset=UTF8&amp;addr=</v>
      </c>
      <c r="E726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6" t="e" cm="1">
        <f t="array" ref="F726">INDEX(_xlfn.FILTERXML(E726,"//latitude"),1)</f>
        <v>#VALUE!</v>
      </c>
      <c r="G726" t="e" cm="1">
        <f t="array" ref="G726">INDEX(_xlfn.FILTERXML(E726,"//longitude"),1)</f>
        <v>#VALUE!</v>
      </c>
      <c r="H726">
        <v>33.557448999999998</v>
      </c>
      <c r="I726">
        <v>130.19549599999999</v>
      </c>
    </row>
    <row r="727" spans="3:9" x14ac:dyDescent="0.4">
      <c r="C727" t="str">
        <f t="shared" si="44"/>
        <v/>
      </c>
      <c r="D727" s="2" t="str">
        <f t="shared" si="42"/>
        <v>http://geocode.csis.u-tokyo.ac.jp/cgi-bin/simple_geocode.cgi?charset=UTF8&amp;addr=</v>
      </c>
      <c r="E727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7" t="e" cm="1">
        <f t="array" ref="F727">INDEX(_xlfn.FILTERXML(E727,"//latitude"),1)</f>
        <v>#VALUE!</v>
      </c>
      <c r="G727" t="e" cm="1">
        <f t="array" ref="G727">INDEX(_xlfn.FILTERXML(E727,"//longitude"),1)</f>
        <v>#VALUE!</v>
      </c>
      <c r="H727">
        <v>35.900351999999998</v>
      </c>
      <c r="I727">
        <v>140.064087</v>
      </c>
    </row>
    <row r="728" spans="3:9" x14ac:dyDescent="0.4">
      <c r="C728" t="str">
        <f t="shared" si="44"/>
        <v/>
      </c>
      <c r="D728" s="2" t="str">
        <f t="shared" si="42"/>
        <v>http://geocode.csis.u-tokyo.ac.jp/cgi-bin/simple_geocode.cgi?charset=UTF8&amp;addr=</v>
      </c>
      <c r="E728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8" t="e" cm="1">
        <f t="array" ref="F728">INDEX(_xlfn.FILTERXML(E728,"//latitude"),1)</f>
        <v>#VALUE!</v>
      </c>
      <c r="G728" t="e" cm="1">
        <f t="array" ref="G728">INDEX(_xlfn.FILTERXML(E728,"//longitude"),1)</f>
        <v>#VALUE!</v>
      </c>
      <c r="H728">
        <v>35.900351999999998</v>
      </c>
      <c r="I728">
        <v>140.064087</v>
      </c>
    </row>
    <row r="729" spans="3:9" x14ac:dyDescent="0.4">
      <c r="C729" t="str">
        <f t="shared" si="44"/>
        <v/>
      </c>
      <c r="D729" s="2" t="str">
        <f t="shared" si="42"/>
        <v>http://geocode.csis.u-tokyo.ac.jp/cgi-bin/simple_geocode.cgi?charset=UTF8&amp;addr=</v>
      </c>
      <c r="E729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29" t="e" cm="1">
        <f t="array" ref="F729">INDEX(_xlfn.FILTERXML(E729,"//latitude"),1)</f>
        <v>#VALUE!</v>
      </c>
      <c r="G729" t="e" cm="1">
        <f t="array" ref="G729">INDEX(_xlfn.FILTERXML(E729,"//longitude"),1)</f>
        <v>#VALUE!</v>
      </c>
      <c r="H729">
        <v>35.457199000000003</v>
      </c>
      <c r="I729">
        <v>133.32463100000001</v>
      </c>
    </row>
    <row r="730" spans="3:9" x14ac:dyDescent="0.4">
      <c r="C730" t="str">
        <f t="shared" si="44"/>
        <v/>
      </c>
      <c r="D730" s="2" t="str">
        <f t="shared" si="42"/>
        <v>http://geocode.csis.u-tokyo.ac.jp/cgi-bin/simple_geocode.cgi?charset=UTF8&amp;addr=</v>
      </c>
      <c r="E730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0" t="e" cm="1">
        <f t="array" ref="F730">INDEX(_xlfn.FILTERXML(E730,"//latitude"),1)</f>
        <v>#VALUE!</v>
      </c>
      <c r="G730" t="e" cm="1">
        <f t="array" ref="G730">INDEX(_xlfn.FILTERXML(E730,"//longitude"),1)</f>
        <v>#VALUE!</v>
      </c>
      <c r="H730">
        <v>39.312344000000003</v>
      </c>
      <c r="I730">
        <v>140.56246899999999</v>
      </c>
    </row>
    <row r="731" spans="3:9" x14ac:dyDescent="0.4">
      <c r="C731" t="str">
        <f t="shared" si="44"/>
        <v/>
      </c>
      <c r="D731" s="2" t="str">
        <f t="shared" si="42"/>
        <v>http://geocode.csis.u-tokyo.ac.jp/cgi-bin/simple_geocode.cgi?charset=UTF8&amp;addr=</v>
      </c>
      <c r="E731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1" t="e" cm="1">
        <f t="array" ref="F731">INDEX(_xlfn.FILTERXML(E731,"//latitude"),1)</f>
        <v>#VALUE!</v>
      </c>
      <c r="G731" t="e" cm="1">
        <f t="array" ref="G731">INDEX(_xlfn.FILTERXML(E731,"//longitude"),1)</f>
        <v>#VALUE!</v>
      </c>
      <c r="H731">
        <v>36.389361999999998</v>
      </c>
      <c r="I731">
        <v>140.55647300000001</v>
      </c>
    </row>
    <row r="732" spans="3:9" x14ac:dyDescent="0.4">
      <c r="C732" t="str">
        <f t="shared" si="44"/>
        <v/>
      </c>
      <c r="D732" s="2" t="str">
        <f t="shared" si="42"/>
        <v>http://geocode.csis.u-tokyo.ac.jp/cgi-bin/simple_geocode.cgi?charset=UTF8&amp;addr=</v>
      </c>
      <c r="E732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2" t="e" cm="1">
        <f t="array" ref="F732">INDEX(_xlfn.FILTERXML(E732,"//latitude"),1)</f>
        <v>#VALUE!</v>
      </c>
      <c r="G732" t="e" cm="1">
        <f t="array" ref="G732">INDEX(_xlfn.FILTERXML(E732,"//longitude"),1)</f>
        <v>#VALUE!</v>
      </c>
      <c r="H732">
        <v>35.561259999999997</v>
      </c>
      <c r="I732">
        <v>139.71598800000001</v>
      </c>
    </row>
    <row r="733" spans="3:9" x14ac:dyDescent="0.4">
      <c r="C733" t="str">
        <f t="shared" si="44"/>
        <v/>
      </c>
      <c r="D733" s="2" t="str">
        <f t="shared" si="42"/>
        <v>http://geocode.csis.u-tokyo.ac.jp/cgi-bin/simple_geocode.cgi?charset=UTF8&amp;addr=</v>
      </c>
      <c r="E733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3" t="e" cm="1">
        <f t="array" ref="F733">INDEX(_xlfn.FILTERXML(E733,"//latitude"),1)</f>
        <v>#VALUE!</v>
      </c>
      <c r="G733" t="e" cm="1">
        <f t="array" ref="G733">INDEX(_xlfn.FILTERXML(E733,"//longitude"),1)</f>
        <v>#VALUE!</v>
      </c>
      <c r="H733">
        <v>35.707267999999999</v>
      </c>
      <c r="I733">
        <v>139.66374200000001</v>
      </c>
    </row>
    <row r="734" spans="3:9" x14ac:dyDescent="0.4">
      <c r="C734" t="str">
        <f t="shared" si="44"/>
        <v/>
      </c>
      <c r="D734" s="2" t="str">
        <f t="shared" si="42"/>
        <v>http://geocode.csis.u-tokyo.ac.jp/cgi-bin/simple_geocode.cgi?charset=UTF8&amp;addr=</v>
      </c>
      <c r="E734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4" t="e" cm="1">
        <f t="array" ref="F734">INDEX(_xlfn.FILTERXML(E734,"//latitude"),1)</f>
        <v>#VALUE!</v>
      </c>
      <c r="G734" t="e" cm="1">
        <f t="array" ref="G734">INDEX(_xlfn.FILTERXML(E734,"//longitude"),1)</f>
        <v>#VALUE!</v>
      </c>
      <c r="H734">
        <v>35.001506999999997</v>
      </c>
      <c r="I734">
        <v>138.329758</v>
      </c>
    </row>
    <row r="735" spans="3:9" x14ac:dyDescent="0.4">
      <c r="C735" t="str">
        <f t="shared" si="44"/>
        <v/>
      </c>
      <c r="D735" s="2" t="str">
        <f t="shared" si="42"/>
        <v>http://geocode.csis.u-tokyo.ac.jp/cgi-bin/simple_geocode.cgi?charset=UTF8&amp;addr=</v>
      </c>
      <c r="E735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5" t="e" cm="1">
        <f t="array" ref="F735">INDEX(_xlfn.FILTERXML(E735,"//latitude"),1)</f>
        <v>#VALUE!</v>
      </c>
      <c r="G735" t="e" cm="1">
        <f t="array" ref="G735">INDEX(_xlfn.FILTERXML(E735,"//longitude"),1)</f>
        <v>#VALUE!</v>
      </c>
      <c r="H735" s="3">
        <v>31.850027000000001</v>
      </c>
      <c r="I735" s="3">
        <v>131.42971800000001</v>
      </c>
    </row>
    <row r="736" spans="3:9" x14ac:dyDescent="0.4">
      <c r="C736" t="str">
        <f t="shared" si="44"/>
        <v/>
      </c>
      <c r="D736" s="2" t="str">
        <f t="shared" si="42"/>
        <v>http://geocode.csis.u-tokyo.ac.jp/cgi-bin/simple_geocode.cgi?charset=UTF8&amp;addr=</v>
      </c>
      <c r="E736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6" t="e" cm="1">
        <f t="array" ref="F736">INDEX(_xlfn.FILTERXML(E736,"//latitude"),1)</f>
        <v>#VALUE!</v>
      </c>
      <c r="G736" t="e" cm="1">
        <f t="array" ref="G736">INDEX(_xlfn.FILTERXML(E736,"//longitude"),1)</f>
        <v>#VALUE!</v>
      </c>
      <c r="H736">
        <v>35.439793000000002</v>
      </c>
      <c r="I736">
        <v>139.607834</v>
      </c>
    </row>
    <row r="737" spans="3:9" x14ac:dyDescent="0.4">
      <c r="C737" t="str">
        <f t="shared" si="44"/>
        <v/>
      </c>
      <c r="D737" s="2" t="str">
        <f t="shared" si="42"/>
        <v>http://geocode.csis.u-tokyo.ac.jp/cgi-bin/simple_geocode.cgi?charset=UTF8&amp;addr=</v>
      </c>
      <c r="E737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7" t="e" cm="1">
        <f t="array" ref="F737">INDEX(_xlfn.FILTERXML(E737,"//latitude"),1)</f>
        <v>#VALUE!</v>
      </c>
      <c r="G737" t="e" cm="1">
        <f t="array" ref="G737">INDEX(_xlfn.FILTERXML(E737,"//longitude"),1)</f>
        <v>#VALUE!</v>
      </c>
      <c r="H737">
        <v>35.55283</v>
      </c>
      <c r="I737">
        <v>139.537094</v>
      </c>
    </row>
    <row r="738" spans="3:9" x14ac:dyDescent="0.4">
      <c r="C738" t="str">
        <f t="shared" si="44"/>
        <v/>
      </c>
      <c r="D738" s="2" t="str">
        <f t="shared" si="42"/>
        <v>http://geocode.csis.u-tokyo.ac.jp/cgi-bin/simple_geocode.cgi?charset=UTF8&amp;addr=</v>
      </c>
      <c r="E738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8" t="e" cm="1">
        <f t="array" ref="F738">INDEX(_xlfn.FILTERXML(E738,"//latitude"),1)</f>
        <v>#VALUE!</v>
      </c>
      <c r="G738" t="e" cm="1">
        <f t="array" ref="G738">INDEX(_xlfn.FILTERXML(E738,"//longitude"),1)</f>
        <v>#VALUE!</v>
      </c>
      <c r="H738">
        <v>33.545440999999997</v>
      </c>
      <c r="I738">
        <v>130.42590300000001</v>
      </c>
    </row>
    <row r="739" spans="3:9" x14ac:dyDescent="0.4">
      <c r="C739" t="str">
        <f t="shared" si="44"/>
        <v/>
      </c>
      <c r="D739" s="2" t="str">
        <f t="shared" si="42"/>
        <v>http://geocode.csis.u-tokyo.ac.jp/cgi-bin/simple_geocode.cgi?charset=UTF8&amp;addr=</v>
      </c>
      <c r="E739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39" t="e" cm="1">
        <f t="array" ref="F739">INDEX(_xlfn.FILTERXML(E739,"//latitude"),1)</f>
        <v>#VALUE!</v>
      </c>
      <c r="G739" t="e" cm="1">
        <f t="array" ref="G739">INDEX(_xlfn.FILTERXML(E739,"//longitude"),1)</f>
        <v>#VALUE!</v>
      </c>
      <c r="H739">
        <v>36.234549999999999</v>
      </c>
      <c r="I739">
        <v>137.95657299999999</v>
      </c>
    </row>
    <row r="740" spans="3:9" x14ac:dyDescent="0.4">
      <c r="C740" t="str">
        <f t="shared" si="44"/>
        <v/>
      </c>
      <c r="D740" s="2" t="str">
        <f t="shared" si="42"/>
        <v>http://geocode.csis.u-tokyo.ac.jp/cgi-bin/simple_geocode.cgi?charset=UTF8&amp;addr=</v>
      </c>
      <c r="E740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0" t="e" cm="1">
        <f t="array" ref="F740">INDEX(_xlfn.FILTERXML(E740,"//latitude"),1)</f>
        <v>#VALUE!</v>
      </c>
      <c r="G740" t="e" cm="1">
        <f t="array" ref="G740">INDEX(_xlfn.FILTERXML(E740,"//longitude"),1)</f>
        <v>#VALUE!</v>
      </c>
      <c r="H740">
        <v>35.417900000000003</v>
      </c>
      <c r="I740">
        <v>139.48869300000001</v>
      </c>
    </row>
    <row r="741" spans="3:9" x14ac:dyDescent="0.4">
      <c r="C741" t="str">
        <f t="shared" si="44"/>
        <v/>
      </c>
      <c r="D741" s="2" t="str">
        <f t="shared" si="42"/>
        <v>http://geocode.csis.u-tokyo.ac.jp/cgi-bin/simple_geocode.cgi?charset=UTF8&amp;addr=</v>
      </c>
      <c r="E741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1" t="e" cm="1">
        <f t="array" ref="F741">INDEX(_xlfn.FILTERXML(E741,"//latitude"),1)</f>
        <v>#VALUE!</v>
      </c>
      <c r="G741" t="e" cm="1">
        <f t="array" ref="G741">INDEX(_xlfn.FILTERXML(E741,"//longitude"),1)</f>
        <v>#VALUE!</v>
      </c>
      <c r="H741">
        <v>35.576690999999997</v>
      </c>
      <c r="I741">
        <v>139.69718900000001</v>
      </c>
    </row>
    <row r="742" spans="3:9" x14ac:dyDescent="0.4">
      <c r="C742" t="str">
        <f t="shared" si="44"/>
        <v/>
      </c>
      <c r="D742" s="2" t="str">
        <f t="shared" si="42"/>
        <v>http://geocode.csis.u-tokyo.ac.jp/cgi-bin/simple_geocode.cgi?charset=UTF8&amp;addr=</v>
      </c>
      <c r="E742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2" t="e" cm="1">
        <f t="array" ref="F742">INDEX(_xlfn.FILTERXML(E742,"//latitude"),1)</f>
        <v>#VALUE!</v>
      </c>
      <c r="G742" t="e" cm="1">
        <f t="array" ref="G742">INDEX(_xlfn.FILTERXML(E742,"//longitude"),1)</f>
        <v>#VALUE!</v>
      </c>
      <c r="H742">
        <v>35.535789000000001</v>
      </c>
      <c r="I742">
        <v>139.689728</v>
      </c>
    </row>
    <row r="743" spans="3:9" x14ac:dyDescent="0.4">
      <c r="C743" t="str">
        <f t="shared" si="44"/>
        <v/>
      </c>
      <c r="D743" s="2" t="str">
        <f t="shared" si="42"/>
        <v>http://geocode.csis.u-tokyo.ac.jp/cgi-bin/simple_geocode.cgi?charset=UTF8&amp;addr=</v>
      </c>
      <c r="E743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3" t="e" cm="1">
        <f t="array" ref="F743">INDEX(_xlfn.FILTERXML(E743,"//latitude"),1)</f>
        <v>#VALUE!</v>
      </c>
      <c r="G743" t="e" cm="1">
        <f t="array" ref="G743">INDEX(_xlfn.FILTERXML(E743,"//longitude"),1)</f>
        <v>#VALUE!</v>
      </c>
      <c r="H743">
        <v>35.684834000000002</v>
      </c>
      <c r="I743">
        <v>139.782196</v>
      </c>
    </row>
    <row r="744" spans="3:9" x14ac:dyDescent="0.4">
      <c r="C744" t="str">
        <f t="shared" si="44"/>
        <v/>
      </c>
      <c r="D744" s="2" t="str">
        <f t="shared" si="42"/>
        <v>http://geocode.csis.u-tokyo.ac.jp/cgi-bin/simple_geocode.cgi?charset=UTF8&amp;addr=</v>
      </c>
      <c r="E744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4" t="e" cm="1">
        <f t="array" ref="F744">INDEX(_xlfn.FILTERXML(E744,"//latitude"),1)</f>
        <v>#VALUE!</v>
      </c>
      <c r="G744" t="e" cm="1">
        <f t="array" ref="G744">INDEX(_xlfn.FILTERXML(E744,"//longitude"),1)</f>
        <v>#VALUE!</v>
      </c>
      <c r="H744">
        <v>35.520156999999998</v>
      </c>
      <c r="I744">
        <v>139.63125600000001</v>
      </c>
    </row>
    <row r="745" spans="3:9" x14ac:dyDescent="0.4">
      <c r="C745" t="str">
        <f t="shared" si="44"/>
        <v/>
      </c>
      <c r="D745" s="2" t="str">
        <f t="shared" si="42"/>
        <v>http://geocode.csis.u-tokyo.ac.jp/cgi-bin/simple_geocode.cgi?charset=UTF8&amp;addr=</v>
      </c>
      <c r="E745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5" t="e" cm="1">
        <f t="array" ref="F745">INDEX(_xlfn.FILTERXML(E745,"//latitude"),1)</f>
        <v>#VALUE!</v>
      </c>
      <c r="G745" t="e" cm="1">
        <f t="array" ref="G745">INDEX(_xlfn.FILTERXML(E745,"//longitude"),1)</f>
        <v>#VALUE!</v>
      </c>
      <c r="H745">
        <v>37.050457000000002</v>
      </c>
      <c r="I745">
        <v>140.88767999999999</v>
      </c>
    </row>
    <row r="746" spans="3:9" x14ac:dyDescent="0.4">
      <c r="C746" t="str">
        <f t="shared" si="44"/>
        <v/>
      </c>
      <c r="D746" s="2" t="str">
        <f t="shared" si="42"/>
        <v>http://geocode.csis.u-tokyo.ac.jp/cgi-bin/simple_geocode.cgi?charset=UTF8&amp;addr=</v>
      </c>
      <c r="E746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6" t="e" cm="1">
        <f t="array" ref="F746">INDEX(_xlfn.FILTERXML(E746,"//latitude"),1)</f>
        <v>#VALUE!</v>
      </c>
      <c r="G746" t="e" cm="1">
        <f t="array" ref="G746">INDEX(_xlfn.FILTERXML(E746,"//longitude"),1)</f>
        <v>#VALUE!</v>
      </c>
      <c r="H746">
        <v>35.741688000000003</v>
      </c>
      <c r="I746">
        <v>139.67121900000001</v>
      </c>
    </row>
    <row r="747" spans="3:9" x14ac:dyDescent="0.4">
      <c r="C747" t="str">
        <f t="shared" si="44"/>
        <v/>
      </c>
      <c r="D747" s="2" t="str">
        <f t="shared" si="42"/>
        <v>http://geocode.csis.u-tokyo.ac.jp/cgi-bin/simple_geocode.cgi?charset=UTF8&amp;addr=</v>
      </c>
      <c r="E747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7" t="e" cm="1">
        <f t="array" ref="F747">INDEX(_xlfn.FILTERXML(E747,"//latitude"),1)</f>
        <v>#VALUE!</v>
      </c>
      <c r="G747" t="e" cm="1">
        <f t="array" ref="G747">INDEX(_xlfn.FILTERXML(E747,"//longitude"),1)</f>
        <v>#VALUE!</v>
      </c>
      <c r="H747">
        <v>34.441788000000003</v>
      </c>
      <c r="I747">
        <v>132.47837799999999</v>
      </c>
    </row>
    <row r="748" spans="3:9" x14ac:dyDescent="0.4">
      <c r="C748" t="str">
        <f t="shared" si="44"/>
        <v/>
      </c>
      <c r="D748" s="2" t="str">
        <f t="shared" si="42"/>
        <v>http://geocode.csis.u-tokyo.ac.jp/cgi-bin/simple_geocode.cgi?charset=UTF8&amp;addr=</v>
      </c>
      <c r="E748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8" t="e" cm="1">
        <f t="array" ref="F748">INDEX(_xlfn.FILTERXML(E748,"//latitude"),1)</f>
        <v>#VALUE!</v>
      </c>
      <c r="G748" t="e" cm="1">
        <f t="array" ref="G748">INDEX(_xlfn.FILTERXML(E748,"//longitude"),1)</f>
        <v>#VALUE!</v>
      </c>
      <c r="H748">
        <v>35.751244</v>
      </c>
      <c r="I748">
        <v>139.70924400000001</v>
      </c>
    </row>
    <row r="749" spans="3:9" x14ac:dyDescent="0.4">
      <c r="C749" t="str">
        <f t="shared" si="44"/>
        <v/>
      </c>
      <c r="D749" s="2" t="str">
        <f t="shared" si="42"/>
        <v>http://geocode.csis.u-tokyo.ac.jp/cgi-bin/simple_geocode.cgi?charset=UTF8&amp;addr=</v>
      </c>
      <c r="E749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49" t="e" cm="1">
        <f t="array" ref="F749">INDEX(_xlfn.FILTERXML(E749,"//latitude"),1)</f>
        <v>#VALUE!</v>
      </c>
      <c r="G749" t="e" cm="1">
        <f t="array" ref="G749">INDEX(_xlfn.FILTERXML(E749,"//longitude"),1)</f>
        <v>#VALUE!</v>
      </c>
      <c r="H749">
        <v>34.607841000000001</v>
      </c>
      <c r="I749">
        <v>135.69708299999999</v>
      </c>
    </row>
    <row r="750" spans="3:9" x14ac:dyDescent="0.4">
      <c r="C750" t="str">
        <f t="shared" si="44"/>
        <v/>
      </c>
      <c r="D750" s="2" t="str">
        <f t="shared" si="42"/>
        <v>http://geocode.csis.u-tokyo.ac.jp/cgi-bin/simple_geocode.cgi?charset=UTF8&amp;addr=</v>
      </c>
      <c r="E750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0" t="e" cm="1">
        <f t="array" ref="F750">INDEX(_xlfn.FILTERXML(E750,"//latitude"),1)</f>
        <v>#VALUE!</v>
      </c>
      <c r="G750" t="e" cm="1">
        <f t="array" ref="G750">INDEX(_xlfn.FILTERXML(E750,"//longitude"),1)</f>
        <v>#VALUE!</v>
      </c>
      <c r="H750">
        <v>38.314587000000003</v>
      </c>
      <c r="I750">
        <v>140.343536</v>
      </c>
    </row>
    <row r="751" spans="3:9" x14ac:dyDescent="0.4">
      <c r="C751" t="str">
        <f t="shared" si="44"/>
        <v/>
      </c>
      <c r="D751" s="2" t="str">
        <f t="shared" si="42"/>
        <v>http://geocode.csis.u-tokyo.ac.jp/cgi-bin/simple_geocode.cgi?charset=UTF8&amp;addr=</v>
      </c>
      <c r="E751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1" t="e" cm="1">
        <f t="array" ref="F751">INDEX(_xlfn.FILTERXML(E751,"//latitude"),1)</f>
        <v>#VALUE!</v>
      </c>
      <c r="G751" t="e" cm="1">
        <f t="array" ref="G751">INDEX(_xlfn.FILTERXML(E751,"//longitude"),1)</f>
        <v>#VALUE!</v>
      </c>
      <c r="H751">
        <v>34.623524000000003</v>
      </c>
      <c r="I751">
        <v>135.780609</v>
      </c>
    </row>
    <row r="752" spans="3:9" x14ac:dyDescent="0.4">
      <c r="C752" t="str">
        <f t="shared" si="44"/>
        <v/>
      </c>
      <c r="D752" s="2" t="str">
        <f t="shared" si="42"/>
        <v>http://geocode.csis.u-tokyo.ac.jp/cgi-bin/simple_geocode.cgi?charset=UTF8&amp;addr=</v>
      </c>
      <c r="E752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2" t="e" cm="1">
        <f t="array" ref="F752">INDEX(_xlfn.FILTERXML(E752,"//latitude"),1)</f>
        <v>#VALUE!</v>
      </c>
      <c r="G752" t="e" cm="1">
        <f t="array" ref="G752">INDEX(_xlfn.FILTERXML(E752,"//longitude"),1)</f>
        <v>#VALUE!</v>
      </c>
      <c r="H752">
        <v>34.347262999999998</v>
      </c>
      <c r="I752">
        <v>134.014984</v>
      </c>
    </row>
    <row r="753" spans="3:9" x14ac:dyDescent="0.4">
      <c r="C753" t="str">
        <f t="shared" si="44"/>
        <v/>
      </c>
      <c r="D753" s="2" t="str">
        <f t="shared" si="42"/>
        <v>http://geocode.csis.u-tokyo.ac.jp/cgi-bin/simple_geocode.cgi?charset=UTF8&amp;addr=</v>
      </c>
      <c r="E753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3" t="e" cm="1">
        <f t="array" ref="F753">INDEX(_xlfn.FILTERXML(E753,"//latitude"),1)</f>
        <v>#VALUE!</v>
      </c>
      <c r="G753" t="e" cm="1">
        <f t="array" ref="G753">INDEX(_xlfn.FILTERXML(E753,"//longitude"),1)</f>
        <v>#VALUE!</v>
      </c>
      <c r="H753">
        <v>35.521529999999998</v>
      </c>
      <c r="I753">
        <v>139.691452</v>
      </c>
    </row>
    <row r="754" spans="3:9" x14ac:dyDescent="0.4">
      <c r="C754" t="str">
        <f t="shared" si="44"/>
        <v/>
      </c>
      <c r="D754" s="2" t="str">
        <f t="shared" si="42"/>
        <v>http://geocode.csis.u-tokyo.ac.jp/cgi-bin/simple_geocode.cgi?charset=UTF8&amp;addr=</v>
      </c>
      <c r="E754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4" t="e" cm="1">
        <f t="array" ref="F754">INDEX(_xlfn.FILTERXML(E754,"//latitude"),1)</f>
        <v>#VALUE!</v>
      </c>
      <c r="G754" t="e" cm="1">
        <f t="array" ref="G754">INDEX(_xlfn.FILTERXML(E754,"//longitude"),1)</f>
        <v>#VALUE!</v>
      </c>
      <c r="H754">
        <v>34.835884</v>
      </c>
      <c r="I754">
        <v>135.58471700000001</v>
      </c>
    </row>
    <row r="755" spans="3:9" x14ac:dyDescent="0.4">
      <c r="C755" t="str">
        <f t="shared" si="44"/>
        <v/>
      </c>
      <c r="D755" s="2" t="str">
        <f t="shared" si="42"/>
        <v>http://geocode.csis.u-tokyo.ac.jp/cgi-bin/simple_geocode.cgi?charset=UTF8&amp;addr=</v>
      </c>
      <c r="E755" t="str">
        <f t="shared" si="43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5" t="e" cm="1">
        <f t="array" ref="F755">INDEX(_xlfn.FILTERXML(E755,"//latitude"),1)</f>
        <v>#VALUE!</v>
      </c>
      <c r="G755" t="e" cm="1">
        <f t="array" ref="G755">INDEX(_xlfn.FILTERXML(E755,"//longitude"),1)</f>
        <v>#VALUE!</v>
      </c>
      <c r="H755">
        <v>35.576690999999997</v>
      </c>
      <c r="I755">
        <v>139.69718900000001</v>
      </c>
    </row>
    <row r="756" spans="3:9" x14ac:dyDescent="0.4">
      <c r="C756" t="str">
        <f t="shared" si="44"/>
        <v/>
      </c>
      <c r="D756" s="2" t="str">
        <f t="shared" ref="D756:D819" si="45" xml:space="preserve"> "http://geocode.csis.u-tokyo.ac.jp/cgi-bin/simple_geocode.cgi?charset=UTF8&amp;addr=" &amp; _xlfn.ENCODEURL(C756)</f>
        <v>http://geocode.csis.u-tokyo.ac.jp/cgi-bin/simple_geocode.cgi?charset=UTF8&amp;addr=</v>
      </c>
      <c r="E756" t="str">
        <f t="shared" ref="E756:E819" si="46" xml:space="preserve"> _xlfn.WEBSERVICE(D756)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756" t="e" cm="1">
        <f t="array" ref="F756">INDEX(_xlfn.FILTERXML(E756,"//latitude"),1)</f>
        <v>#VALUE!</v>
      </c>
      <c r="G756" t="e" cm="1">
        <f t="array" ref="G756">INDEX(_xlfn.FILTERXML(E756,"//longitude"),1)</f>
        <v>#VALUE!</v>
      </c>
      <c r="H756">
        <v>36.563419000000003</v>
      </c>
      <c r="I756">
        <v>136.64683500000001</v>
      </c>
    </row>
    <row r="757" spans="3:9" x14ac:dyDescent="0.4">
      <c r="C757" t="str">
        <f t="shared" si="44"/>
        <v/>
      </c>
      <c r="D757" s="2" t="str">
        <f t="shared" si="45"/>
        <v>http://geocode.csis.u-tokyo.ac.jp/cgi-bin/simple_geocode.cgi?charset=UTF8&amp;addr=</v>
      </c>
      <c r="E757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7" t="e" cm="1">
        <f t="array" ref="F757">INDEX(_xlfn.FILTERXML(E757,"//latitude"),1)</f>
        <v>#VALUE!</v>
      </c>
      <c r="G757" t="e" cm="1">
        <f t="array" ref="G757">INDEX(_xlfn.FILTERXML(E757,"//longitude"),1)</f>
        <v>#VALUE!</v>
      </c>
      <c r="H757">
        <v>34.454849000000003</v>
      </c>
      <c r="I757">
        <v>136.44168099999999</v>
      </c>
    </row>
    <row r="758" spans="3:9" x14ac:dyDescent="0.4">
      <c r="C758" t="str">
        <f t="shared" si="44"/>
        <v/>
      </c>
      <c r="D758" s="2" t="str">
        <f t="shared" si="45"/>
        <v>http://geocode.csis.u-tokyo.ac.jp/cgi-bin/simple_geocode.cgi?charset=UTF8&amp;addr=</v>
      </c>
      <c r="E758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8" t="e" cm="1">
        <f t="array" ref="F758">INDEX(_xlfn.FILTERXML(E758,"//latitude"),1)</f>
        <v>#VALUE!</v>
      </c>
      <c r="G758" t="e" cm="1">
        <f t="array" ref="G758">INDEX(_xlfn.FILTERXML(E758,"//longitude"),1)</f>
        <v>#VALUE!</v>
      </c>
      <c r="H758">
        <v>36.218165999999997</v>
      </c>
      <c r="I758">
        <v>137.95114100000001</v>
      </c>
    </row>
    <row r="759" spans="3:9" x14ac:dyDescent="0.4">
      <c r="C759" t="str">
        <f t="shared" si="44"/>
        <v/>
      </c>
      <c r="D759" s="2" t="str">
        <f t="shared" si="45"/>
        <v>http://geocode.csis.u-tokyo.ac.jp/cgi-bin/simple_geocode.cgi?charset=UTF8&amp;addr=</v>
      </c>
      <c r="E759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59" t="e" cm="1">
        <f t="array" ref="F759">INDEX(_xlfn.FILTERXML(E759,"//latitude"),1)</f>
        <v>#VALUE!</v>
      </c>
      <c r="G759" t="e" cm="1">
        <f t="array" ref="G759">INDEX(_xlfn.FILTERXML(E759,"//longitude"),1)</f>
        <v>#VALUE!</v>
      </c>
      <c r="H759">
        <v>34.90316</v>
      </c>
      <c r="I759">
        <v>135.36084</v>
      </c>
    </row>
    <row r="760" spans="3:9" x14ac:dyDescent="0.4">
      <c r="C760" t="str">
        <f t="shared" si="44"/>
        <v/>
      </c>
      <c r="D760" s="2" t="str">
        <f t="shared" si="45"/>
        <v>http://geocode.csis.u-tokyo.ac.jp/cgi-bin/simple_geocode.cgi?charset=UTF8&amp;addr=</v>
      </c>
      <c r="E760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0" t="e" cm="1">
        <f t="array" ref="F760">INDEX(_xlfn.FILTERXML(E760,"//latitude"),1)</f>
        <v>#VALUE!</v>
      </c>
      <c r="G760" t="e" cm="1">
        <f t="array" ref="G760">INDEX(_xlfn.FILTERXML(E760,"//longitude"),1)</f>
        <v>#VALUE!</v>
      </c>
      <c r="H760">
        <v>35.706650000000003</v>
      </c>
      <c r="I760">
        <v>139.86831699999999</v>
      </c>
    </row>
    <row r="761" spans="3:9" x14ac:dyDescent="0.4">
      <c r="C761" t="str">
        <f t="shared" si="44"/>
        <v/>
      </c>
      <c r="D761" s="2" t="str">
        <f t="shared" si="45"/>
        <v>http://geocode.csis.u-tokyo.ac.jp/cgi-bin/simple_geocode.cgi?charset=UTF8&amp;addr=</v>
      </c>
      <c r="E761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1" t="e" cm="1">
        <f t="array" ref="F761">INDEX(_xlfn.FILTERXML(E761,"//latitude"),1)</f>
        <v>#VALUE!</v>
      </c>
      <c r="G761" t="e" cm="1">
        <f t="array" ref="G761">INDEX(_xlfn.FILTERXML(E761,"//longitude"),1)</f>
        <v>#VALUE!</v>
      </c>
      <c r="H761">
        <v>26.401008999999998</v>
      </c>
      <c r="I761">
        <v>127.766891</v>
      </c>
    </row>
    <row r="762" spans="3:9" x14ac:dyDescent="0.4">
      <c r="C762" t="str">
        <f t="shared" si="44"/>
        <v/>
      </c>
      <c r="D762" s="2" t="str">
        <f t="shared" si="45"/>
        <v>http://geocode.csis.u-tokyo.ac.jp/cgi-bin/simple_geocode.cgi?charset=UTF8&amp;addr=</v>
      </c>
      <c r="E762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2" t="e" cm="1">
        <f t="array" ref="F762">INDEX(_xlfn.FILTERXML(E762,"//latitude"),1)</f>
        <v>#VALUE!</v>
      </c>
      <c r="G762" t="e" cm="1">
        <f t="array" ref="G762">INDEX(_xlfn.FILTERXML(E762,"//longitude"),1)</f>
        <v>#VALUE!</v>
      </c>
      <c r="H762">
        <v>33.540568999999998</v>
      </c>
      <c r="I762">
        <v>133.75422699999999</v>
      </c>
    </row>
    <row r="763" spans="3:9" x14ac:dyDescent="0.4">
      <c r="C763" t="str">
        <f t="shared" si="44"/>
        <v/>
      </c>
      <c r="D763" s="2" t="str">
        <f t="shared" si="45"/>
        <v>http://geocode.csis.u-tokyo.ac.jp/cgi-bin/simple_geocode.cgi?charset=UTF8&amp;addr=</v>
      </c>
      <c r="E763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3" t="e" cm="1">
        <f t="array" ref="F763">INDEX(_xlfn.FILTERXML(E763,"//latitude"),1)</f>
        <v>#VALUE!</v>
      </c>
      <c r="G763" t="e" cm="1">
        <f t="array" ref="G763">INDEX(_xlfn.FILTERXML(E763,"//longitude"),1)</f>
        <v>#VALUE!</v>
      </c>
      <c r="H763">
        <v>35.616016000000002</v>
      </c>
      <c r="I763">
        <v>139.67326399999999</v>
      </c>
    </row>
    <row r="764" spans="3:9" x14ac:dyDescent="0.4">
      <c r="C764" t="str">
        <f t="shared" si="44"/>
        <v/>
      </c>
      <c r="D764" s="2" t="str">
        <f t="shared" si="45"/>
        <v>http://geocode.csis.u-tokyo.ac.jp/cgi-bin/simple_geocode.cgi?charset=UTF8&amp;addr=</v>
      </c>
      <c r="E764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4" t="e" cm="1">
        <f t="array" ref="F764">INDEX(_xlfn.FILTERXML(E764,"//latitude"),1)</f>
        <v>#VALUE!</v>
      </c>
      <c r="G764" t="e" cm="1">
        <f t="array" ref="G764">INDEX(_xlfn.FILTERXML(E764,"//longitude"),1)</f>
        <v>#VALUE!</v>
      </c>
      <c r="H764">
        <v>36.041573</v>
      </c>
      <c r="I764">
        <v>139.55313100000001</v>
      </c>
    </row>
    <row r="765" spans="3:9" x14ac:dyDescent="0.4">
      <c r="C765" t="str">
        <f t="shared" si="44"/>
        <v/>
      </c>
      <c r="D765" s="2" t="str">
        <f t="shared" si="45"/>
        <v>http://geocode.csis.u-tokyo.ac.jp/cgi-bin/simple_geocode.cgi?charset=UTF8&amp;addr=</v>
      </c>
      <c r="E765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5" t="e" cm="1">
        <f t="array" ref="F765">INDEX(_xlfn.FILTERXML(E765,"//latitude"),1)</f>
        <v>#VALUE!</v>
      </c>
      <c r="G765" t="e" cm="1">
        <f t="array" ref="G765">INDEX(_xlfn.FILTERXML(E765,"//longitude"),1)</f>
        <v>#VALUE!</v>
      </c>
      <c r="H765">
        <v>36.580047999999998</v>
      </c>
      <c r="I765">
        <v>136.63986199999999</v>
      </c>
    </row>
    <row r="766" spans="3:9" x14ac:dyDescent="0.4">
      <c r="C766" t="str">
        <f t="shared" si="44"/>
        <v/>
      </c>
      <c r="D766" s="2" t="str">
        <f t="shared" si="45"/>
        <v>http://geocode.csis.u-tokyo.ac.jp/cgi-bin/simple_geocode.cgi?charset=UTF8&amp;addr=</v>
      </c>
      <c r="E766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6" t="e" cm="1">
        <f t="array" ref="F766">INDEX(_xlfn.FILTERXML(E766,"//latitude"),1)</f>
        <v>#VALUE!</v>
      </c>
      <c r="G766" t="e" cm="1">
        <f t="array" ref="G766">INDEX(_xlfn.FILTERXML(E766,"//longitude"),1)</f>
        <v>#VALUE!</v>
      </c>
      <c r="H766">
        <v>34.831038999999997</v>
      </c>
      <c r="I766">
        <v>135.700806</v>
      </c>
    </row>
    <row r="767" spans="3:9" x14ac:dyDescent="0.4">
      <c r="C767" t="str">
        <f t="shared" si="44"/>
        <v/>
      </c>
      <c r="D767" s="2" t="str">
        <f t="shared" si="45"/>
        <v>http://geocode.csis.u-tokyo.ac.jp/cgi-bin/simple_geocode.cgi?charset=UTF8&amp;addr=</v>
      </c>
      <c r="E767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7" t="e" cm="1">
        <f t="array" ref="F767">INDEX(_xlfn.FILTERXML(E767,"//latitude"),1)</f>
        <v>#VALUE!</v>
      </c>
      <c r="G767" t="e" cm="1">
        <f t="array" ref="G767">INDEX(_xlfn.FILTERXML(E767,"//longitude"),1)</f>
        <v>#VALUE!</v>
      </c>
      <c r="H767">
        <v>36.606506000000003</v>
      </c>
      <c r="I767">
        <v>139.667587</v>
      </c>
    </row>
    <row r="768" spans="3:9" x14ac:dyDescent="0.4">
      <c r="C768" t="str">
        <f t="shared" si="44"/>
        <v/>
      </c>
      <c r="D768" s="2" t="str">
        <f t="shared" si="45"/>
        <v>http://geocode.csis.u-tokyo.ac.jp/cgi-bin/simple_geocode.cgi?charset=UTF8&amp;addr=</v>
      </c>
      <c r="E768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8" t="e" cm="1">
        <f t="array" ref="F768">INDEX(_xlfn.FILTERXML(E768,"//latitude"),1)</f>
        <v>#VALUE!</v>
      </c>
      <c r="G768" t="e" cm="1">
        <f t="array" ref="G768">INDEX(_xlfn.FILTERXML(E768,"//longitude"),1)</f>
        <v>#VALUE!</v>
      </c>
      <c r="H768">
        <v>34.737690000000001</v>
      </c>
      <c r="I768">
        <v>135.34182699999999</v>
      </c>
    </row>
    <row r="769" spans="3:9" x14ac:dyDescent="0.4">
      <c r="C769" t="str">
        <f t="shared" si="44"/>
        <v/>
      </c>
      <c r="D769" s="2" t="str">
        <f t="shared" si="45"/>
        <v>http://geocode.csis.u-tokyo.ac.jp/cgi-bin/simple_geocode.cgi?charset=UTF8&amp;addr=</v>
      </c>
      <c r="E769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69" t="e" cm="1">
        <f t="array" ref="F769">INDEX(_xlfn.FILTERXML(E769,"//latitude"),1)</f>
        <v>#VALUE!</v>
      </c>
      <c r="G769" t="e" cm="1">
        <f t="array" ref="G769">INDEX(_xlfn.FILTERXML(E769,"//longitude"),1)</f>
        <v>#VALUE!</v>
      </c>
      <c r="H769">
        <v>38.268008999999999</v>
      </c>
      <c r="I769">
        <v>140.86961400000001</v>
      </c>
    </row>
    <row r="770" spans="3:9" x14ac:dyDescent="0.4">
      <c r="C770" t="str">
        <f t="shared" si="44"/>
        <v/>
      </c>
      <c r="D770" s="2" t="str">
        <f t="shared" si="45"/>
        <v>http://geocode.csis.u-tokyo.ac.jp/cgi-bin/simple_geocode.cgi?charset=UTF8&amp;addr=</v>
      </c>
      <c r="E770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0" t="e" cm="1">
        <f t="array" ref="F770">INDEX(_xlfn.FILTERXML(E770,"//latitude"),1)</f>
        <v>#VALUE!</v>
      </c>
      <c r="G770" t="e" cm="1">
        <f t="array" ref="G770">INDEX(_xlfn.FILTERXML(E770,"//longitude"),1)</f>
        <v>#VALUE!</v>
      </c>
      <c r="H770">
        <v>36.009979000000001</v>
      </c>
      <c r="I770">
        <v>140.161362</v>
      </c>
    </row>
    <row r="771" spans="3:9" x14ac:dyDescent="0.4">
      <c r="C771" t="str">
        <f t="shared" ref="C771:C834" si="47">+A771&amp;B771</f>
        <v/>
      </c>
      <c r="D771" s="2" t="str">
        <f t="shared" si="45"/>
        <v>http://geocode.csis.u-tokyo.ac.jp/cgi-bin/simple_geocode.cgi?charset=UTF8&amp;addr=</v>
      </c>
      <c r="E771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1" t="e" cm="1">
        <f t="array" ref="F771">INDEX(_xlfn.FILTERXML(E771,"//latitude"),1)</f>
        <v>#VALUE!</v>
      </c>
      <c r="G771" t="e" cm="1">
        <f t="array" ref="G771">INDEX(_xlfn.FILTERXML(E771,"//longitude"),1)</f>
        <v>#VALUE!</v>
      </c>
      <c r="H771">
        <v>34.343089999999997</v>
      </c>
      <c r="I771">
        <v>134.02868699999999</v>
      </c>
    </row>
    <row r="772" spans="3:9" x14ac:dyDescent="0.4">
      <c r="C772" t="str">
        <f t="shared" si="47"/>
        <v/>
      </c>
      <c r="D772" s="2" t="str">
        <f t="shared" si="45"/>
        <v>http://geocode.csis.u-tokyo.ac.jp/cgi-bin/simple_geocode.cgi?charset=UTF8&amp;addr=</v>
      </c>
      <c r="E772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2" t="e" cm="1">
        <f t="array" ref="F772">INDEX(_xlfn.FILTERXML(E772,"//latitude"),1)</f>
        <v>#VALUE!</v>
      </c>
      <c r="G772" t="e" cm="1">
        <f t="array" ref="G772">INDEX(_xlfn.FILTERXML(E772,"//longitude"),1)</f>
        <v>#VALUE!</v>
      </c>
      <c r="H772">
        <v>34.835884</v>
      </c>
      <c r="I772">
        <v>135.58471700000001</v>
      </c>
    </row>
    <row r="773" spans="3:9" x14ac:dyDescent="0.4">
      <c r="C773" t="str">
        <f t="shared" si="47"/>
        <v/>
      </c>
      <c r="D773" s="2" t="str">
        <f t="shared" si="45"/>
        <v>http://geocode.csis.u-tokyo.ac.jp/cgi-bin/simple_geocode.cgi?charset=UTF8&amp;addr=</v>
      </c>
      <c r="E773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3" t="e" cm="1">
        <f t="array" ref="F773">INDEX(_xlfn.FILTERXML(E773,"//latitude"),1)</f>
        <v>#VALUE!</v>
      </c>
      <c r="G773" t="e" cm="1">
        <f t="array" ref="G773">INDEX(_xlfn.FILTERXML(E773,"//longitude"),1)</f>
        <v>#VALUE!</v>
      </c>
      <c r="H773">
        <v>34.989986000000002</v>
      </c>
      <c r="I773">
        <v>136.64317299999999</v>
      </c>
    </row>
    <row r="774" spans="3:9" x14ac:dyDescent="0.4">
      <c r="C774" t="str">
        <f t="shared" si="47"/>
        <v/>
      </c>
      <c r="D774" s="2" t="str">
        <f t="shared" si="45"/>
        <v>http://geocode.csis.u-tokyo.ac.jp/cgi-bin/simple_geocode.cgi?charset=UTF8&amp;addr=</v>
      </c>
      <c r="E774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4" t="e" cm="1">
        <f t="array" ref="F774">INDEX(_xlfn.FILTERXML(E774,"//latitude"),1)</f>
        <v>#VALUE!</v>
      </c>
      <c r="G774" t="e" cm="1">
        <f t="array" ref="G774">INDEX(_xlfn.FILTERXML(E774,"//longitude"),1)</f>
        <v>#VALUE!</v>
      </c>
      <c r="H774">
        <v>35.678142999999999</v>
      </c>
      <c r="I774">
        <v>139.76664700000001</v>
      </c>
    </row>
    <row r="775" spans="3:9" x14ac:dyDescent="0.4">
      <c r="C775" t="str">
        <f t="shared" si="47"/>
        <v/>
      </c>
      <c r="D775" s="2" t="str">
        <f t="shared" si="45"/>
        <v>http://geocode.csis.u-tokyo.ac.jp/cgi-bin/simple_geocode.cgi?charset=UTF8&amp;addr=</v>
      </c>
      <c r="E775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5" t="e" cm="1">
        <f t="array" ref="F775">INDEX(_xlfn.FILTERXML(E775,"//latitude"),1)</f>
        <v>#VALUE!</v>
      </c>
      <c r="G775" t="e" cm="1">
        <f t="array" ref="G775">INDEX(_xlfn.FILTERXML(E775,"//longitude"),1)</f>
        <v>#VALUE!</v>
      </c>
      <c r="H775">
        <v>35.678142999999999</v>
      </c>
      <c r="I775">
        <v>139.76664700000001</v>
      </c>
    </row>
    <row r="776" spans="3:9" x14ac:dyDescent="0.4">
      <c r="C776" t="str">
        <f t="shared" si="47"/>
        <v/>
      </c>
      <c r="D776" s="2" t="str">
        <f t="shared" si="45"/>
        <v>http://geocode.csis.u-tokyo.ac.jp/cgi-bin/simple_geocode.cgi?charset=UTF8&amp;addr=</v>
      </c>
      <c r="E776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6" t="e" cm="1">
        <f t="array" ref="F776">INDEX(_xlfn.FILTERXML(E776,"//latitude"),1)</f>
        <v>#VALUE!</v>
      </c>
      <c r="G776" t="e" cm="1">
        <f t="array" ref="G776">INDEX(_xlfn.FILTERXML(E776,"//longitude"),1)</f>
        <v>#VALUE!</v>
      </c>
      <c r="H776">
        <v>34.772381000000003</v>
      </c>
      <c r="I776">
        <v>135.59544399999999</v>
      </c>
    </row>
    <row r="777" spans="3:9" x14ac:dyDescent="0.4">
      <c r="C777" t="str">
        <f t="shared" si="47"/>
        <v/>
      </c>
      <c r="D777" s="2" t="str">
        <f t="shared" si="45"/>
        <v>http://geocode.csis.u-tokyo.ac.jp/cgi-bin/simple_geocode.cgi?charset=UTF8&amp;addr=</v>
      </c>
      <c r="E777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7" t="e" cm="1">
        <f t="array" ref="F777">INDEX(_xlfn.FILTERXML(E777,"//latitude"),1)</f>
        <v>#VALUE!</v>
      </c>
      <c r="G777" t="e" cm="1">
        <f t="array" ref="G777">INDEX(_xlfn.FILTERXML(E777,"//longitude"),1)</f>
        <v>#VALUE!</v>
      </c>
      <c r="H777">
        <v>34.787930000000003</v>
      </c>
      <c r="I777">
        <v>135.47988900000001</v>
      </c>
    </row>
    <row r="778" spans="3:9" x14ac:dyDescent="0.4">
      <c r="C778" t="str">
        <f t="shared" si="47"/>
        <v/>
      </c>
      <c r="D778" s="2" t="str">
        <f t="shared" si="45"/>
        <v>http://geocode.csis.u-tokyo.ac.jp/cgi-bin/simple_geocode.cgi?charset=UTF8&amp;addr=</v>
      </c>
      <c r="E778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8" t="e" cm="1">
        <f t="array" ref="F778">INDEX(_xlfn.FILTERXML(E778,"//latitude"),1)</f>
        <v>#VALUE!</v>
      </c>
      <c r="G778" t="e" cm="1">
        <f t="array" ref="G778">INDEX(_xlfn.FILTERXML(E778,"//longitude"),1)</f>
        <v>#VALUE!</v>
      </c>
      <c r="H778">
        <v>35.685352000000002</v>
      </c>
      <c r="I778">
        <v>139.62011699999999</v>
      </c>
    </row>
    <row r="779" spans="3:9" x14ac:dyDescent="0.4">
      <c r="C779" t="str">
        <f t="shared" si="47"/>
        <v/>
      </c>
      <c r="D779" s="2" t="str">
        <f t="shared" si="45"/>
        <v>http://geocode.csis.u-tokyo.ac.jp/cgi-bin/simple_geocode.cgi?charset=UTF8&amp;addr=</v>
      </c>
      <c r="E779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79" t="e" cm="1">
        <f t="array" ref="F779">INDEX(_xlfn.FILTERXML(E779,"//latitude"),1)</f>
        <v>#VALUE!</v>
      </c>
      <c r="G779" t="e" cm="1">
        <f t="array" ref="G779">INDEX(_xlfn.FILTERXML(E779,"//longitude"),1)</f>
        <v>#VALUE!</v>
      </c>
      <c r="H779">
        <v>35.639740000000003</v>
      </c>
      <c r="I779">
        <v>139.68275499999999</v>
      </c>
    </row>
    <row r="780" spans="3:9" x14ac:dyDescent="0.4">
      <c r="C780" t="str">
        <f t="shared" si="47"/>
        <v/>
      </c>
      <c r="D780" s="2" t="str">
        <f t="shared" si="45"/>
        <v>http://geocode.csis.u-tokyo.ac.jp/cgi-bin/simple_geocode.cgi?charset=UTF8&amp;addr=</v>
      </c>
      <c r="E780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0" t="e" cm="1">
        <f t="array" ref="F780">INDEX(_xlfn.FILTERXML(E780,"//latitude"),1)</f>
        <v>#VALUE!</v>
      </c>
      <c r="G780" t="e" cm="1">
        <f t="array" ref="G780">INDEX(_xlfn.FILTERXML(E780,"//longitude"),1)</f>
        <v>#VALUE!</v>
      </c>
      <c r="H780">
        <v>36.651736999999997</v>
      </c>
      <c r="I780">
        <v>136.94191000000001</v>
      </c>
    </row>
    <row r="781" spans="3:9" x14ac:dyDescent="0.4">
      <c r="C781" t="str">
        <f t="shared" si="47"/>
        <v/>
      </c>
      <c r="D781" s="2" t="str">
        <f t="shared" si="45"/>
        <v>http://geocode.csis.u-tokyo.ac.jp/cgi-bin/simple_geocode.cgi?charset=UTF8&amp;addr=</v>
      </c>
      <c r="E781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1" t="e" cm="1">
        <f t="array" ref="F781">INDEX(_xlfn.FILTERXML(E781,"//latitude"),1)</f>
        <v>#VALUE!</v>
      </c>
      <c r="G781" t="e" cm="1">
        <f t="array" ref="G781">INDEX(_xlfn.FILTERXML(E781,"//longitude"),1)</f>
        <v>#VALUE!</v>
      </c>
      <c r="H781">
        <v>35.682968000000002</v>
      </c>
      <c r="I781">
        <v>139.77737400000001</v>
      </c>
    </row>
    <row r="782" spans="3:9" x14ac:dyDescent="0.4">
      <c r="C782" t="str">
        <f t="shared" si="47"/>
        <v/>
      </c>
      <c r="D782" s="2" t="str">
        <f t="shared" si="45"/>
        <v>http://geocode.csis.u-tokyo.ac.jp/cgi-bin/simple_geocode.cgi?charset=UTF8&amp;addr=</v>
      </c>
      <c r="E782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2" t="e" cm="1">
        <f t="array" ref="F782">INDEX(_xlfn.FILTERXML(E782,"//latitude"),1)</f>
        <v>#VALUE!</v>
      </c>
      <c r="G782" t="e" cm="1">
        <f t="array" ref="G782">INDEX(_xlfn.FILTERXML(E782,"//longitude"),1)</f>
        <v>#VALUE!</v>
      </c>
      <c r="H782">
        <v>35.103909000000002</v>
      </c>
      <c r="I782">
        <v>136.89892599999999</v>
      </c>
    </row>
    <row r="783" spans="3:9" x14ac:dyDescent="0.4">
      <c r="C783" t="str">
        <f t="shared" si="47"/>
        <v/>
      </c>
      <c r="D783" s="2" t="str">
        <f t="shared" si="45"/>
        <v>http://geocode.csis.u-tokyo.ac.jp/cgi-bin/simple_geocode.cgi?charset=UTF8&amp;addr=</v>
      </c>
      <c r="E783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3" t="e" cm="1">
        <f t="array" ref="F783">INDEX(_xlfn.FILTERXML(E783,"//latitude"),1)</f>
        <v>#VALUE!</v>
      </c>
      <c r="G783" t="e" cm="1">
        <f t="array" ref="G783">INDEX(_xlfn.FILTERXML(E783,"//longitude"),1)</f>
        <v>#VALUE!</v>
      </c>
      <c r="H783">
        <v>34.342793</v>
      </c>
      <c r="I783">
        <v>134.04657</v>
      </c>
    </row>
    <row r="784" spans="3:9" x14ac:dyDescent="0.4">
      <c r="C784" t="str">
        <f t="shared" si="47"/>
        <v/>
      </c>
      <c r="D784" s="2" t="str">
        <f t="shared" si="45"/>
        <v>http://geocode.csis.u-tokyo.ac.jp/cgi-bin/simple_geocode.cgi?charset=UTF8&amp;addr=</v>
      </c>
      <c r="E784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4" t="e" cm="1">
        <f t="array" ref="F784">INDEX(_xlfn.FILTERXML(E784,"//latitude"),1)</f>
        <v>#VALUE!</v>
      </c>
      <c r="G784" t="e" cm="1">
        <f t="array" ref="G784">INDEX(_xlfn.FILTERXML(E784,"//longitude"),1)</f>
        <v>#VALUE!</v>
      </c>
      <c r="H784">
        <v>35.771675000000002</v>
      </c>
      <c r="I784">
        <v>139.66551200000001</v>
      </c>
    </row>
    <row r="785" spans="3:9" x14ac:dyDescent="0.4">
      <c r="C785" t="str">
        <f t="shared" si="47"/>
        <v/>
      </c>
      <c r="D785" s="2" t="str">
        <f t="shared" si="45"/>
        <v>http://geocode.csis.u-tokyo.ac.jp/cgi-bin/simple_geocode.cgi?charset=UTF8&amp;addr=</v>
      </c>
      <c r="E785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5" t="e" cm="1">
        <f t="array" ref="F785">INDEX(_xlfn.FILTERXML(E785,"//latitude"),1)</f>
        <v>#VALUE!</v>
      </c>
      <c r="G785" t="e" cm="1">
        <f t="array" ref="G785">INDEX(_xlfn.FILTERXML(E785,"//longitude"),1)</f>
        <v>#VALUE!</v>
      </c>
      <c r="H785">
        <v>35.256774999999998</v>
      </c>
      <c r="I785">
        <v>139.154449</v>
      </c>
    </row>
    <row r="786" spans="3:9" x14ac:dyDescent="0.4">
      <c r="C786" t="str">
        <f t="shared" si="47"/>
        <v/>
      </c>
      <c r="D786" s="2" t="str">
        <f t="shared" si="45"/>
        <v>http://geocode.csis.u-tokyo.ac.jp/cgi-bin/simple_geocode.cgi?charset=UTF8&amp;addr=</v>
      </c>
      <c r="E786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6" t="e" cm="1">
        <f t="array" ref="F786">INDEX(_xlfn.FILTERXML(E786,"//latitude"),1)</f>
        <v>#VALUE!</v>
      </c>
      <c r="G786" t="e" cm="1">
        <f t="array" ref="G786">INDEX(_xlfn.FILTERXML(E786,"//longitude"),1)</f>
        <v>#VALUE!</v>
      </c>
      <c r="H786">
        <v>35.801659000000001</v>
      </c>
      <c r="I786">
        <v>139.934326</v>
      </c>
    </row>
    <row r="787" spans="3:9" x14ac:dyDescent="0.4">
      <c r="C787" t="str">
        <f t="shared" si="47"/>
        <v/>
      </c>
      <c r="D787" s="2" t="str">
        <f t="shared" si="45"/>
        <v>http://geocode.csis.u-tokyo.ac.jp/cgi-bin/simple_geocode.cgi?charset=UTF8&amp;addr=</v>
      </c>
      <c r="E787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7" t="e" cm="1">
        <f t="array" ref="F787">INDEX(_xlfn.FILTERXML(E787,"//latitude"),1)</f>
        <v>#VALUE!</v>
      </c>
      <c r="G787" t="e" cm="1">
        <f t="array" ref="G787">INDEX(_xlfn.FILTERXML(E787,"//longitude"),1)</f>
        <v>#VALUE!</v>
      </c>
      <c r="H787">
        <v>34.856960000000001</v>
      </c>
      <c r="I787">
        <v>134.679642</v>
      </c>
    </row>
    <row r="788" spans="3:9" x14ac:dyDescent="0.4">
      <c r="C788" t="str">
        <f t="shared" si="47"/>
        <v/>
      </c>
      <c r="D788" s="2" t="str">
        <f t="shared" si="45"/>
        <v>http://geocode.csis.u-tokyo.ac.jp/cgi-bin/simple_geocode.cgi?charset=UTF8&amp;addr=</v>
      </c>
      <c r="E788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8" t="e" cm="1">
        <f t="array" ref="F788">INDEX(_xlfn.FILTERXML(E788,"//latitude"),1)</f>
        <v>#VALUE!</v>
      </c>
      <c r="G788" t="e" cm="1">
        <f t="array" ref="G788">INDEX(_xlfn.FILTERXML(E788,"//longitude"),1)</f>
        <v>#VALUE!</v>
      </c>
      <c r="H788">
        <v>34.664012999999997</v>
      </c>
      <c r="I788">
        <v>135.612335</v>
      </c>
    </row>
    <row r="789" spans="3:9" x14ac:dyDescent="0.4">
      <c r="C789" t="str">
        <f t="shared" si="47"/>
        <v/>
      </c>
      <c r="D789" s="2" t="str">
        <f t="shared" si="45"/>
        <v>http://geocode.csis.u-tokyo.ac.jp/cgi-bin/simple_geocode.cgi?charset=UTF8&amp;addr=</v>
      </c>
      <c r="E789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89" t="e" cm="1">
        <f t="array" ref="F789">INDEX(_xlfn.FILTERXML(E789,"//latitude"),1)</f>
        <v>#VALUE!</v>
      </c>
      <c r="G789" t="e" cm="1">
        <f t="array" ref="G789">INDEX(_xlfn.FILTERXML(E789,"//longitude"),1)</f>
        <v>#VALUE!</v>
      </c>
      <c r="H789">
        <v>35.075592</v>
      </c>
      <c r="I789">
        <v>133.75276199999999</v>
      </c>
    </row>
    <row r="790" spans="3:9" x14ac:dyDescent="0.4">
      <c r="C790" t="str">
        <f t="shared" si="47"/>
        <v/>
      </c>
      <c r="D790" s="2" t="str">
        <f t="shared" si="45"/>
        <v>http://geocode.csis.u-tokyo.ac.jp/cgi-bin/simple_geocode.cgi?charset=UTF8&amp;addr=</v>
      </c>
      <c r="E790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0" t="e" cm="1">
        <f t="array" ref="F790">INDEX(_xlfn.FILTERXML(E790,"//latitude"),1)</f>
        <v>#VALUE!</v>
      </c>
      <c r="G790" t="e" cm="1">
        <f t="array" ref="G790">INDEX(_xlfn.FILTERXML(E790,"//longitude"),1)</f>
        <v>#VALUE!</v>
      </c>
      <c r="H790">
        <v>39.100822000000001</v>
      </c>
      <c r="I790">
        <v>140.709991</v>
      </c>
    </row>
    <row r="791" spans="3:9" x14ac:dyDescent="0.4">
      <c r="C791" t="str">
        <f t="shared" si="47"/>
        <v/>
      </c>
      <c r="D791" s="2" t="str">
        <f t="shared" si="45"/>
        <v>http://geocode.csis.u-tokyo.ac.jp/cgi-bin/simple_geocode.cgi?charset=UTF8&amp;addr=</v>
      </c>
      <c r="E791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1" t="e" cm="1">
        <f t="array" ref="F791">INDEX(_xlfn.FILTERXML(E791,"//latitude"),1)</f>
        <v>#VALUE!</v>
      </c>
      <c r="G791" t="e" cm="1">
        <f t="array" ref="G791">INDEX(_xlfn.FILTERXML(E791,"//longitude"),1)</f>
        <v>#VALUE!</v>
      </c>
      <c r="H791">
        <v>35.531604999999999</v>
      </c>
      <c r="I791">
        <v>140.19342</v>
      </c>
    </row>
    <row r="792" spans="3:9" x14ac:dyDescent="0.4">
      <c r="C792" t="str">
        <f t="shared" si="47"/>
        <v/>
      </c>
      <c r="D792" s="2" t="str">
        <f t="shared" si="45"/>
        <v>http://geocode.csis.u-tokyo.ac.jp/cgi-bin/simple_geocode.cgi?charset=UTF8&amp;addr=</v>
      </c>
      <c r="E792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2" t="e" cm="1">
        <f t="array" ref="F792">INDEX(_xlfn.FILTERXML(E792,"//latitude"),1)</f>
        <v>#VALUE!</v>
      </c>
      <c r="G792" t="e" cm="1">
        <f t="array" ref="G792">INDEX(_xlfn.FILTERXML(E792,"//longitude"),1)</f>
        <v>#VALUE!</v>
      </c>
      <c r="H792">
        <v>34.884841999999999</v>
      </c>
      <c r="I792">
        <v>135.42190600000001</v>
      </c>
    </row>
    <row r="793" spans="3:9" x14ac:dyDescent="0.4">
      <c r="C793" t="str">
        <f t="shared" si="47"/>
        <v/>
      </c>
      <c r="D793" s="2" t="str">
        <f t="shared" si="45"/>
        <v>http://geocode.csis.u-tokyo.ac.jp/cgi-bin/simple_geocode.cgi?charset=UTF8&amp;addr=</v>
      </c>
      <c r="E793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3" t="e" cm="1">
        <f t="array" ref="F793">INDEX(_xlfn.FILTERXML(E793,"//latitude"),1)</f>
        <v>#VALUE!</v>
      </c>
      <c r="G793" t="e" cm="1">
        <f t="array" ref="G793">INDEX(_xlfn.FILTERXML(E793,"//longitude"),1)</f>
        <v>#VALUE!</v>
      </c>
      <c r="H793">
        <v>35.126572000000003</v>
      </c>
      <c r="I793">
        <v>135.08140599999999</v>
      </c>
    </row>
    <row r="794" spans="3:9" x14ac:dyDescent="0.4">
      <c r="C794" t="str">
        <f t="shared" si="47"/>
        <v/>
      </c>
      <c r="D794" s="2" t="str">
        <f t="shared" si="45"/>
        <v>http://geocode.csis.u-tokyo.ac.jp/cgi-bin/simple_geocode.cgi?charset=UTF8&amp;addr=</v>
      </c>
      <c r="E794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4" t="e" cm="1">
        <f t="array" ref="F794">INDEX(_xlfn.FILTERXML(E794,"//latitude"),1)</f>
        <v>#VALUE!</v>
      </c>
      <c r="G794" t="e" cm="1">
        <f t="array" ref="G794">INDEX(_xlfn.FILTERXML(E794,"//longitude"),1)</f>
        <v>#VALUE!</v>
      </c>
      <c r="H794">
        <v>35.638038999999999</v>
      </c>
      <c r="I794">
        <v>139.651962</v>
      </c>
    </row>
    <row r="795" spans="3:9" x14ac:dyDescent="0.4">
      <c r="C795" t="str">
        <f t="shared" si="47"/>
        <v/>
      </c>
      <c r="D795" s="2" t="str">
        <f t="shared" si="45"/>
        <v>http://geocode.csis.u-tokyo.ac.jp/cgi-bin/simple_geocode.cgi?charset=UTF8&amp;addr=</v>
      </c>
      <c r="E795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5" t="e" cm="1">
        <f t="array" ref="F795">INDEX(_xlfn.FILTERXML(E795,"//latitude"),1)</f>
        <v>#VALUE!</v>
      </c>
      <c r="G795" t="e" cm="1">
        <f t="array" ref="G795">INDEX(_xlfn.FILTERXML(E795,"//longitude"),1)</f>
        <v>#VALUE!</v>
      </c>
      <c r="H795">
        <v>35.818793999999997</v>
      </c>
      <c r="I795">
        <v>139.59023999999999</v>
      </c>
    </row>
    <row r="796" spans="3:9" x14ac:dyDescent="0.4">
      <c r="C796" t="str">
        <f t="shared" si="47"/>
        <v/>
      </c>
      <c r="D796" s="2" t="str">
        <f t="shared" si="45"/>
        <v>http://geocode.csis.u-tokyo.ac.jp/cgi-bin/simple_geocode.cgi?charset=UTF8&amp;addr=</v>
      </c>
      <c r="E796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6" t="e" cm="1">
        <f t="array" ref="F796">INDEX(_xlfn.FILTERXML(E796,"//latitude"),1)</f>
        <v>#VALUE!</v>
      </c>
      <c r="G796" t="e" cm="1">
        <f t="array" ref="G796">INDEX(_xlfn.FILTERXML(E796,"//longitude"),1)</f>
        <v>#VALUE!</v>
      </c>
      <c r="H796">
        <v>34.389961</v>
      </c>
      <c r="I796">
        <v>132.44674699999999</v>
      </c>
    </row>
    <row r="797" spans="3:9" x14ac:dyDescent="0.4">
      <c r="C797" t="str">
        <f t="shared" si="47"/>
        <v/>
      </c>
      <c r="D797" s="2" t="str">
        <f t="shared" si="45"/>
        <v>http://geocode.csis.u-tokyo.ac.jp/cgi-bin/simple_geocode.cgi?charset=UTF8&amp;addr=</v>
      </c>
      <c r="E797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7" t="e" cm="1">
        <f t="array" ref="F797">INDEX(_xlfn.FILTERXML(E797,"//latitude"),1)</f>
        <v>#VALUE!</v>
      </c>
      <c r="G797" t="e" cm="1">
        <f t="array" ref="G797">INDEX(_xlfn.FILTERXML(E797,"//longitude"),1)</f>
        <v>#VALUE!</v>
      </c>
      <c r="H797">
        <v>35.963794999999998</v>
      </c>
      <c r="I797">
        <v>139.83989</v>
      </c>
    </row>
    <row r="798" spans="3:9" x14ac:dyDescent="0.4">
      <c r="C798" t="str">
        <f t="shared" si="47"/>
        <v/>
      </c>
      <c r="D798" s="2" t="str">
        <f t="shared" si="45"/>
        <v>http://geocode.csis.u-tokyo.ac.jp/cgi-bin/simple_geocode.cgi?charset=UTF8&amp;addr=</v>
      </c>
      <c r="E798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8" t="e" cm="1">
        <f t="array" ref="F798">INDEX(_xlfn.FILTERXML(E798,"//latitude"),1)</f>
        <v>#VALUE!</v>
      </c>
      <c r="G798" t="e" cm="1">
        <f t="array" ref="G798">INDEX(_xlfn.FILTERXML(E798,"//longitude"),1)</f>
        <v>#VALUE!</v>
      </c>
      <c r="H798">
        <v>35.775902000000002</v>
      </c>
      <c r="I798">
        <v>139.82685900000001</v>
      </c>
    </row>
    <row r="799" spans="3:9" x14ac:dyDescent="0.4">
      <c r="C799" t="str">
        <f t="shared" si="47"/>
        <v/>
      </c>
      <c r="D799" s="2" t="str">
        <f t="shared" si="45"/>
        <v>http://geocode.csis.u-tokyo.ac.jp/cgi-bin/simple_geocode.cgi?charset=UTF8&amp;addr=</v>
      </c>
      <c r="E799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799" t="e" cm="1">
        <f t="array" ref="F799">INDEX(_xlfn.FILTERXML(E799,"//latitude"),1)</f>
        <v>#VALUE!</v>
      </c>
      <c r="G799" t="e" cm="1">
        <f t="array" ref="G799">INDEX(_xlfn.FILTERXML(E799,"//longitude"),1)</f>
        <v>#VALUE!</v>
      </c>
      <c r="H799">
        <v>34.081501000000003</v>
      </c>
      <c r="I799">
        <v>134.38752700000001</v>
      </c>
    </row>
    <row r="800" spans="3:9" x14ac:dyDescent="0.4">
      <c r="C800" t="str">
        <f t="shared" si="47"/>
        <v/>
      </c>
      <c r="D800" s="2" t="str">
        <f t="shared" si="45"/>
        <v>http://geocode.csis.u-tokyo.ac.jp/cgi-bin/simple_geocode.cgi?charset=UTF8&amp;addr=</v>
      </c>
      <c r="E800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0" t="e" cm="1">
        <f t="array" ref="F800">INDEX(_xlfn.FILTERXML(E800,"//latitude"),1)</f>
        <v>#VALUE!</v>
      </c>
      <c r="G800" t="e" cm="1">
        <f t="array" ref="G800">INDEX(_xlfn.FILTERXML(E800,"//longitude"),1)</f>
        <v>#VALUE!</v>
      </c>
      <c r="H800">
        <v>43.843322999999998</v>
      </c>
      <c r="I800">
        <v>142.35438500000001</v>
      </c>
    </row>
    <row r="801" spans="3:9" x14ac:dyDescent="0.4">
      <c r="C801" t="str">
        <f t="shared" si="47"/>
        <v/>
      </c>
      <c r="D801" s="2" t="str">
        <f t="shared" si="45"/>
        <v>http://geocode.csis.u-tokyo.ac.jp/cgi-bin/simple_geocode.cgi?charset=UTF8&amp;addr=</v>
      </c>
      <c r="E801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1" t="e" cm="1">
        <f t="array" ref="F801">INDEX(_xlfn.FILTERXML(E801,"//latitude"),1)</f>
        <v>#VALUE!</v>
      </c>
      <c r="G801" t="e" cm="1">
        <f t="array" ref="G801">INDEX(_xlfn.FILTERXML(E801,"//longitude"),1)</f>
        <v>#VALUE!</v>
      </c>
      <c r="H801">
        <v>33.017662000000001</v>
      </c>
      <c r="I801">
        <v>130.43536399999999</v>
      </c>
    </row>
    <row r="802" spans="3:9" x14ac:dyDescent="0.4">
      <c r="C802" t="str">
        <f t="shared" si="47"/>
        <v/>
      </c>
      <c r="D802" s="2" t="str">
        <f t="shared" si="45"/>
        <v>http://geocode.csis.u-tokyo.ac.jp/cgi-bin/simple_geocode.cgi?charset=UTF8&amp;addr=</v>
      </c>
      <c r="E802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2" t="e" cm="1">
        <f t="array" ref="F802">INDEX(_xlfn.FILTERXML(E802,"//latitude"),1)</f>
        <v>#VALUE!</v>
      </c>
      <c r="G802" t="e" cm="1">
        <f t="array" ref="G802">INDEX(_xlfn.FILTERXML(E802,"//longitude"),1)</f>
        <v>#VALUE!</v>
      </c>
      <c r="H802">
        <v>35.579783999999997</v>
      </c>
      <c r="I802">
        <v>139.63780199999999</v>
      </c>
    </row>
    <row r="803" spans="3:9" x14ac:dyDescent="0.4">
      <c r="C803" t="str">
        <f t="shared" si="47"/>
        <v/>
      </c>
      <c r="D803" s="2" t="str">
        <f t="shared" si="45"/>
        <v>http://geocode.csis.u-tokyo.ac.jp/cgi-bin/simple_geocode.cgi?charset=UTF8&amp;addr=</v>
      </c>
      <c r="E803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3" t="e" cm="1">
        <f t="array" ref="F803">INDEX(_xlfn.FILTERXML(E803,"//latitude"),1)</f>
        <v>#VALUE!</v>
      </c>
      <c r="G803" t="e" cm="1">
        <f t="array" ref="G803">INDEX(_xlfn.FILTERXML(E803,"//longitude"),1)</f>
        <v>#VALUE!</v>
      </c>
      <c r="H803">
        <v>35.672801999999997</v>
      </c>
      <c r="I803">
        <v>139.77413899999999</v>
      </c>
    </row>
    <row r="804" spans="3:9" x14ac:dyDescent="0.4">
      <c r="C804" t="str">
        <f t="shared" si="47"/>
        <v/>
      </c>
      <c r="D804" s="2" t="str">
        <f t="shared" si="45"/>
        <v>http://geocode.csis.u-tokyo.ac.jp/cgi-bin/simple_geocode.cgi?charset=UTF8&amp;addr=</v>
      </c>
      <c r="E804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4" t="e" cm="1">
        <f t="array" ref="F804">INDEX(_xlfn.FILTERXML(E804,"//latitude"),1)</f>
        <v>#VALUE!</v>
      </c>
      <c r="G804" t="e" cm="1">
        <f t="array" ref="G804">INDEX(_xlfn.FILTERXML(E804,"//longitude"),1)</f>
        <v>#VALUE!</v>
      </c>
      <c r="H804">
        <v>33.760536000000002</v>
      </c>
      <c r="I804">
        <v>136.02166700000001</v>
      </c>
    </row>
    <row r="805" spans="3:9" x14ac:dyDescent="0.4">
      <c r="C805" t="str">
        <f t="shared" si="47"/>
        <v/>
      </c>
      <c r="D805" s="2" t="str">
        <f t="shared" si="45"/>
        <v>http://geocode.csis.u-tokyo.ac.jp/cgi-bin/simple_geocode.cgi?charset=UTF8&amp;addr=</v>
      </c>
      <c r="E805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5" t="e" cm="1">
        <f t="array" ref="F805">INDEX(_xlfn.FILTERXML(E805,"//latitude"),1)</f>
        <v>#VALUE!</v>
      </c>
      <c r="G805" t="e" cm="1">
        <f t="array" ref="G805">INDEX(_xlfn.FILTERXML(E805,"//longitude"),1)</f>
        <v>#VALUE!</v>
      </c>
      <c r="H805">
        <v>38.104301</v>
      </c>
      <c r="I805">
        <v>140.86994899999999</v>
      </c>
    </row>
    <row r="806" spans="3:9" x14ac:dyDescent="0.4">
      <c r="C806" t="str">
        <f t="shared" si="47"/>
        <v/>
      </c>
      <c r="D806" s="2" t="str">
        <f t="shared" si="45"/>
        <v>http://geocode.csis.u-tokyo.ac.jp/cgi-bin/simple_geocode.cgi?charset=UTF8&amp;addr=</v>
      </c>
      <c r="E806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6" t="e" cm="1">
        <f t="array" ref="F806">INDEX(_xlfn.FILTERXML(E806,"//latitude"),1)</f>
        <v>#VALUE!</v>
      </c>
      <c r="G806" t="e" cm="1">
        <f t="array" ref="G806">INDEX(_xlfn.FILTERXML(E806,"//longitude"),1)</f>
        <v>#VALUE!</v>
      </c>
      <c r="H806" s="3">
        <v>34.647289000000001</v>
      </c>
      <c r="I806" s="3">
        <v>135.50662199999999</v>
      </c>
    </row>
    <row r="807" spans="3:9" x14ac:dyDescent="0.4">
      <c r="C807" t="str">
        <f t="shared" si="47"/>
        <v/>
      </c>
      <c r="D807" s="2" t="str">
        <f t="shared" si="45"/>
        <v>http://geocode.csis.u-tokyo.ac.jp/cgi-bin/simple_geocode.cgi?charset=UTF8&amp;addr=</v>
      </c>
      <c r="E807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7" t="e" cm="1">
        <f t="array" ref="F807">INDEX(_xlfn.FILTERXML(E807,"//latitude"),1)</f>
        <v>#VALUE!</v>
      </c>
      <c r="G807" t="e" cm="1">
        <f t="array" ref="G807">INDEX(_xlfn.FILTERXML(E807,"//longitude"),1)</f>
        <v>#VALUE!</v>
      </c>
      <c r="H807">
        <v>43.100464000000002</v>
      </c>
      <c r="I807">
        <v>141.34390300000001</v>
      </c>
    </row>
    <row r="808" spans="3:9" x14ac:dyDescent="0.4">
      <c r="C808" t="str">
        <f t="shared" si="47"/>
        <v/>
      </c>
      <c r="D808" s="2" t="str">
        <f t="shared" si="45"/>
        <v>http://geocode.csis.u-tokyo.ac.jp/cgi-bin/simple_geocode.cgi?charset=UTF8&amp;addr=</v>
      </c>
      <c r="E808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8" t="e" cm="1">
        <f t="array" ref="F808">INDEX(_xlfn.FILTERXML(E808,"//latitude"),1)</f>
        <v>#VALUE!</v>
      </c>
      <c r="G808" t="e" cm="1">
        <f t="array" ref="G808">INDEX(_xlfn.FILTERXML(E808,"//longitude"),1)</f>
        <v>#VALUE!</v>
      </c>
      <c r="H808">
        <v>35.666820999999999</v>
      </c>
      <c r="I808">
        <v>140.03445400000001</v>
      </c>
    </row>
    <row r="809" spans="3:9" x14ac:dyDescent="0.4">
      <c r="C809" t="str">
        <f t="shared" si="47"/>
        <v/>
      </c>
      <c r="D809" s="2" t="str">
        <f t="shared" si="45"/>
        <v>http://geocode.csis.u-tokyo.ac.jp/cgi-bin/simple_geocode.cgi?charset=UTF8&amp;addr=</v>
      </c>
      <c r="E809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09" t="e" cm="1">
        <f t="array" ref="F809">INDEX(_xlfn.FILTERXML(E809,"//latitude"),1)</f>
        <v>#VALUE!</v>
      </c>
      <c r="G809" t="e" cm="1">
        <f t="array" ref="G809">INDEX(_xlfn.FILTERXML(E809,"//longitude"),1)</f>
        <v>#VALUE!</v>
      </c>
      <c r="H809">
        <v>35.714621999999999</v>
      </c>
      <c r="I809">
        <v>139.56097399999999</v>
      </c>
    </row>
    <row r="810" spans="3:9" x14ac:dyDescent="0.4">
      <c r="C810" t="str">
        <f t="shared" si="47"/>
        <v/>
      </c>
      <c r="D810" s="2" t="str">
        <f t="shared" si="45"/>
        <v>http://geocode.csis.u-tokyo.ac.jp/cgi-bin/simple_geocode.cgi?charset=UTF8&amp;addr=</v>
      </c>
      <c r="E810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0" t="e" cm="1">
        <f t="array" ref="F810">INDEX(_xlfn.FILTERXML(E810,"//latitude"),1)</f>
        <v>#VALUE!</v>
      </c>
      <c r="G810" t="e" cm="1">
        <f t="array" ref="G810">INDEX(_xlfn.FILTERXML(E810,"//longitude"),1)</f>
        <v>#VALUE!</v>
      </c>
      <c r="H810">
        <v>34.672043000000002</v>
      </c>
      <c r="I810">
        <v>135.64729299999999</v>
      </c>
    </row>
    <row r="811" spans="3:9" x14ac:dyDescent="0.4">
      <c r="C811" t="str">
        <f t="shared" si="47"/>
        <v/>
      </c>
      <c r="D811" s="2" t="str">
        <f t="shared" si="45"/>
        <v>http://geocode.csis.u-tokyo.ac.jp/cgi-bin/simple_geocode.cgi?charset=UTF8&amp;addr=</v>
      </c>
      <c r="E811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1" t="e" cm="1">
        <f t="array" ref="F811">INDEX(_xlfn.FILTERXML(E811,"//latitude"),1)</f>
        <v>#VALUE!</v>
      </c>
      <c r="G811" t="e" cm="1">
        <f t="array" ref="G811">INDEX(_xlfn.FILTERXML(E811,"//longitude"),1)</f>
        <v>#VALUE!</v>
      </c>
      <c r="H811">
        <v>35.021614</v>
      </c>
      <c r="I811">
        <v>135.997986</v>
      </c>
    </row>
    <row r="812" spans="3:9" x14ac:dyDescent="0.4">
      <c r="C812" t="str">
        <f t="shared" si="47"/>
        <v/>
      </c>
      <c r="D812" s="2" t="str">
        <f t="shared" si="45"/>
        <v>http://geocode.csis.u-tokyo.ac.jp/cgi-bin/simple_geocode.cgi?charset=UTF8&amp;addr=</v>
      </c>
      <c r="E812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2" t="e" cm="1">
        <f t="array" ref="F812">INDEX(_xlfn.FILTERXML(E812,"//latitude"),1)</f>
        <v>#VALUE!</v>
      </c>
      <c r="G812" t="e" cm="1">
        <f t="array" ref="G812">INDEX(_xlfn.FILTERXML(E812,"//longitude"),1)</f>
        <v>#VALUE!</v>
      </c>
      <c r="H812">
        <v>35.488639999999997</v>
      </c>
      <c r="I812">
        <v>139.40763899999999</v>
      </c>
    </row>
    <row r="813" spans="3:9" x14ac:dyDescent="0.4">
      <c r="C813" t="str">
        <f t="shared" si="47"/>
        <v/>
      </c>
      <c r="D813" s="2" t="str">
        <f t="shared" si="45"/>
        <v>http://geocode.csis.u-tokyo.ac.jp/cgi-bin/simple_geocode.cgi?charset=UTF8&amp;addr=</v>
      </c>
      <c r="E813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3" t="e" cm="1">
        <f t="array" ref="F813">INDEX(_xlfn.FILTERXML(E813,"//latitude"),1)</f>
        <v>#VALUE!</v>
      </c>
      <c r="G813" t="e" cm="1">
        <f t="array" ref="G813">INDEX(_xlfn.FILTERXML(E813,"//longitude"),1)</f>
        <v>#VALUE!</v>
      </c>
      <c r="H813">
        <v>35.807738999999998</v>
      </c>
      <c r="I813">
        <v>139.72416699999999</v>
      </c>
    </row>
    <row r="814" spans="3:9" x14ac:dyDescent="0.4">
      <c r="C814" t="str">
        <f t="shared" si="47"/>
        <v/>
      </c>
      <c r="D814" s="2" t="str">
        <f t="shared" si="45"/>
        <v>http://geocode.csis.u-tokyo.ac.jp/cgi-bin/simple_geocode.cgi?charset=UTF8&amp;addr=</v>
      </c>
      <c r="E814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4" t="e" cm="1">
        <f t="array" ref="F814">INDEX(_xlfn.FILTERXML(E814,"//latitude"),1)</f>
        <v>#VALUE!</v>
      </c>
      <c r="G814" t="e" cm="1">
        <f t="array" ref="G814">INDEX(_xlfn.FILTERXML(E814,"//longitude"),1)</f>
        <v>#VALUE!</v>
      </c>
      <c r="H814">
        <v>35.164901999999998</v>
      </c>
      <c r="I814">
        <v>138.66790800000001</v>
      </c>
    </row>
    <row r="815" spans="3:9" x14ac:dyDescent="0.4">
      <c r="C815" t="str">
        <f t="shared" si="47"/>
        <v/>
      </c>
      <c r="D815" s="2" t="str">
        <f t="shared" si="45"/>
        <v>http://geocode.csis.u-tokyo.ac.jp/cgi-bin/simple_geocode.cgi?charset=UTF8&amp;addr=</v>
      </c>
      <c r="E815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5" t="e" cm="1">
        <f t="array" ref="F815">INDEX(_xlfn.FILTERXML(E815,"//latitude"),1)</f>
        <v>#VALUE!</v>
      </c>
      <c r="G815" t="e" cm="1">
        <f t="array" ref="G815">INDEX(_xlfn.FILTERXML(E815,"//longitude"),1)</f>
        <v>#VALUE!</v>
      </c>
      <c r="H815">
        <v>35.427601000000003</v>
      </c>
      <c r="I815">
        <v>139.52212499999999</v>
      </c>
    </row>
    <row r="816" spans="3:9" x14ac:dyDescent="0.4">
      <c r="C816" t="str">
        <f t="shared" si="47"/>
        <v/>
      </c>
      <c r="D816" s="2" t="str">
        <f t="shared" si="45"/>
        <v>http://geocode.csis.u-tokyo.ac.jp/cgi-bin/simple_geocode.cgi?charset=UTF8&amp;addr=</v>
      </c>
      <c r="E816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6" t="e" cm="1">
        <f t="array" ref="F816">INDEX(_xlfn.FILTERXML(E816,"//latitude"),1)</f>
        <v>#VALUE!</v>
      </c>
      <c r="G816" t="e" cm="1">
        <f t="array" ref="G816">INDEX(_xlfn.FILTERXML(E816,"//longitude"),1)</f>
        <v>#VALUE!</v>
      </c>
      <c r="H816">
        <v>35.730018999999999</v>
      </c>
      <c r="I816">
        <v>139.78872699999999</v>
      </c>
    </row>
    <row r="817" spans="3:9" x14ac:dyDescent="0.4">
      <c r="C817" t="str">
        <f t="shared" si="47"/>
        <v/>
      </c>
      <c r="D817" s="2" t="str">
        <f t="shared" si="45"/>
        <v>http://geocode.csis.u-tokyo.ac.jp/cgi-bin/simple_geocode.cgi?charset=UTF8&amp;addr=</v>
      </c>
      <c r="E817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7" t="e" cm="1">
        <f t="array" ref="F817">INDEX(_xlfn.FILTERXML(E817,"//latitude"),1)</f>
        <v>#VALUE!</v>
      </c>
      <c r="G817" t="e" cm="1">
        <f t="array" ref="G817">INDEX(_xlfn.FILTERXML(E817,"//longitude"),1)</f>
        <v>#VALUE!</v>
      </c>
      <c r="H817">
        <v>35.71096</v>
      </c>
      <c r="I817">
        <v>139.79006999999999</v>
      </c>
    </row>
    <row r="818" spans="3:9" x14ac:dyDescent="0.4">
      <c r="C818" t="str">
        <f t="shared" si="47"/>
        <v/>
      </c>
      <c r="D818" s="2" t="str">
        <f t="shared" si="45"/>
        <v>http://geocode.csis.u-tokyo.ac.jp/cgi-bin/simple_geocode.cgi?charset=UTF8&amp;addr=</v>
      </c>
      <c r="E818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8" t="e" cm="1">
        <f t="array" ref="F818">INDEX(_xlfn.FILTERXML(E818,"//latitude"),1)</f>
        <v>#VALUE!</v>
      </c>
      <c r="G818" t="e" cm="1">
        <f t="array" ref="G818">INDEX(_xlfn.FILTERXML(E818,"//longitude"),1)</f>
        <v>#VALUE!</v>
      </c>
      <c r="H818">
        <v>34.123500999999997</v>
      </c>
      <c r="I818">
        <v>133.707382</v>
      </c>
    </row>
    <row r="819" spans="3:9" x14ac:dyDescent="0.4">
      <c r="C819" t="str">
        <f t="shared" si="47"/>
        <v/>
      </c>
      <c r="D819" s="2" t="str">
        <f t="shared" si="45"/>
        <v>http://geocode.csis.u-tokyo.ac.jp/cgi-bin/simple_geocode.cgi?charset=UTF8&amp;addr=</v>
      </c>
      <c r="E819" t="str">
        <f t="shared" si="46"/>
        <v xml:space="preserve">&lt;?xml version="1.0" encoding="UTF-8" ?&gt;
&lt;results&gt;
&lt;query&gt;&lt;/query&gt;
&lt;geodetic&gt;wgs1984&lt;/geodetic&gt;
&lt;iConf&gt;0&lt;/iConf&gt;
&lt;converted&gt;&lt;/converted&gt;
&lt;/results&gt;
</v>
      </c>
      <c r="F819" t="e" cm="1">
        <f t="array" ref="F819">INDEX(_xlfn.FILTERXML(E819,"//latitude"),1)</f>
        <v>#VALUE!</v>
      </c>
      <c r="G819" t="e" cm="1">
        <f t="array" ref="G819">INDEX(_xlfn.FILTERXML(E819,"//longitude"),1)</f>
        <v>#VALUE!</v>
      </c>
      <c r="H819" s="3">
        <v>35.626038000000001</v>
      </c>
      <c r="I819" s="3">
        <v>139.47615099999999</v>
      </c>
    </row>
    <row r="820" spans="3:9" x14ac:dyDescent="0.4">
      <c r="C820" t="str">
        <f t="shared" si="47"/>
        <v/>
      </c>
      <c r="D820" s="2" t="str">
        <f t="shared" ref="D820:D883" si="48" xml:space="preserve"> "http://geocode.csis.u-tokyo.ac.jp/cgi-bin/simple_geocode.cgi?charset=UTF8&amp;addr=" &amp; _xlfn.ENCODEURL(C820)</f>
        <v>http://geocode.csis.u-tokyo.ac.jp/cgi-bin/simple_geocode.cgi?charset=UTF8&amp;addr=</v>
      </c>
      <c r="E820" t="str">
        <f t="shared" ref="E820:E883" si="49" xml:space="preserve"> _xlfn.WEBSERVICE(D820)</f>
        <v xml:space="preserve">&lt;?xml version="1.0" encoding="UTF-8" ?&gt;
&lt;results&gt;
&lt;query&gt;&lt;/query&gt;
&lt;geodetic&gt;wgs1984&lt;/geodetic&gt;
&lt;iConf&gt;0&lt;/iConf&gt;
&lt;converted&gt;&lt;/converted&gt;
&lt;/results&gt;
</v>
      </c>
      <c r="F820" t="e" cm="1">
        <f t="array" ref="F820">INDEX(_xlfn.FILTERXML(E820,"//latitude"),1)</f>
        <v>#VALUE!</v>
      </c>
      <c r="G820" t="e" cm="1">
        <f t="array" ref="G820">INDEX(_xlfn.FILTERXML(E820,"//longitude"),1)</f>
        <v>#VALUE!</v>
      </c>
      <c r="H820">
        <v>35.577537999999997</v>
      </c>
      <c r="I820">
        <v>139.72467</v>
      </c>
    </row>
    <row r="821" spans="3:9" x14ac:dyDescent="0.4">
      <c r="C821" t="str">
        <f t="shared" si="47"/>
        <v/>
      </c>
      <c r="D821" s="2" t="str">
        <f t="shared" si="48"/>
        <v>http://geocode.csis.u-tokyo.ac.jp/cgi-bin/simple_geocode.cgi?charset=UTF8&amp;addr=</v>
      </c>
      <c r="E821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1" t="e" cm="1">
        <f t="array" ref="F821">INDEX(_xlfn.FILTERXML(E821,"//latitude"),1)</f>
        <v>#VALUE!</v>
      </c>
      <c r="G821" t="e" cm="1">
        <f t="array" ref="G821">INDEX(_xlfn.FILTERXML(E821,"//longitude"),1)</f>
        <v>#VALUE!</v>
      </c>
      <c r="H821">
        <v>35.635711999999998</v>
      </c>
      <c r="I821">
        <v>139.33521999999999</v>
      </c>
    </row>
    <row r="822" spans="3:9" x14ac:dyDescent="0.4">
      <c r="C822" t="str">
        <f t="shared" si="47"/>
        <v/>
      </c>
      <c r="D822" s="2" t="str">
        <f t="shared" si="48"/>
        <v>http://geocode.csis.u-tokyo.ac.jp/cgi-bin/simple_geocode.cgi?charset=UTF8&amp;addr=</v>
      </c>
      <c r="E822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2" t="e" cm="1">
        <f t="array" ref="F822">INDEX(_xlfn.FILTERXML(E822,"//latitude"),1)</f>
        <v>#VALUE!</v>
      </c>
      <c r="G822" t="e" cm="1">
        <f t="array" ref="G822">INDEX(_xlfn.FILTERXML(E822,"//longitude"),1)</f>
        <v>#VALUE!</v>
      </c>
      <c r="H822">
        <v>34.736919</v>
      </c>
      <c r="I822">
        <v>135.53598</v>
      </c>
    </row>
    <row r="823" spans="3:9" x14ac:dyDescent="0.4">
      <c r="C823" t="str">
        <f t="shared" si="47"/>
        <v/>
      </c>
      <c r="D823" s="2" t="str">
        <f t="shared" si="48"/>
        <v>http://geocode.csis.u-tokyo.ac.jp/cgi-bin/simple_geocode.cgi?charset=UTF8&amp;addr=</v>
      </c>
      <c r="E823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3" t="e" cm="1">
        <f t="array" ref="F823">INDEX(_xlfn.FILTERXML(E823,"//latitude"),1)</f>
        <v>#VALUE!</v>
      </c>
      <c r="G823" t="e" cm="1">
        <f t="array" ref="G823">INDEX(_xlfn.FILTERXML(E823,"//longitude"),1)</f>
        <v>#VALUE!</v>
      </c>
      <c r="H823">
        <v>35.693890000000003</v>
      </c>
      <c r="I823">
        <v>139.703461</v>
      </c>
    </row>
    <row r="824" spans="3:9" x14ac:dyDescent="0.4">
      <c r="C824" t="str">
        <f t="shared" si="47"/>
        <v/>
      </c>
      <c r="D824" s="2" t="str">
        <f t="shared" si="48"/>
        <v>http://geocode.csis.u-tokyo.ac.jp/cgi-bin/simple_geocode.cgi?charset=UTF8&amp;addr=</v>
      </c>
      <c r="E824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4" t="e" cm="1">
        <f t="array" ref="F824">INDEX(_xlfn.FILTERXML(E824,"//latitude"),1)</f>
        <v>#VALUE!</v>
      </c>
      <c r="G824" t="e" cm="1">
        <f t="array" ref="G824">INDEX(_xlfn.FILTERXML(E824,"//longitude"),1)</f>
        <v>#VALUE!</v>
      </c>
      <c r="H824">
        <v>34.717697000000001</v>
      </c>
      <c r="I824">
        <v>135.337479</v>
      </c>
    </row>
    <row r="825" spans="3:9" x14ac:dyDescent="0.4">
      <c r="C825" t="str">
        <f t="shared" si="47"/>
        <v/>
      </c>
      <c r="D825" s="2" t="str">
        <f t="shared" si="48"/>
        <v>http://geocode.csis.u-tokyo.ac.jp/cgi-bin/simple_geocode.cgi?charset=UTF8&amp;addr=</v>
      </c>
      <c r="E825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5" t="e" cm="1">
        <f t="array" ref="F825">INDEX(_xlfn.FILTERXML(E825,"//latitude"),1)</f>
        <v>#VALUE!</v>
      </c>
      <c r="G825" t="e" cm="1">
        <f t="array" ref="G825">INDEX(_xlfn.FILTERXML(E825,"//longitude"),1)</f>
        <v>#VALUE!</v>
      </c>
      <c r="H825">
        <v>35.697764999999997</v>
      </c>
      <c r="I825">
        <v>140.039276</v>
      </c>
    </row>
    <row r="826" spans="3:9" x14ac:dyDescent="0.4">
      <c r="C826" t="str">
        <f t="shared" si="47"/>
        <v/>
      </c>
      <c r="D826" s="2" t="str">
        <f t="shared" si="48"/>
        <v>http://geocode.csis.u-tokyo.ac.jp/cgi-bin/simple_geocode.cgi?charset=UTF8&amp;addr=</v>
      </c>
      <c r="E826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6" t="e" cm="1">
        <f t="array" ref="F826">INDEX(_xlfn.FILTERXML(E826,"//latitude"),1)</f>
        <v>#VALUE!</v>
      </c>
      <c r="G826" t="e" cm="1">
        <f t="array" ref="G826">INDEX(_xlfn.FILTERXML(E826,"//longitude"),1)</f>
        <v>#VALUE!</v>
      </c>
      <c r="H826">
        <v>35.783633999999999</v>
      </c>
      <c r="I826">
        <v>139.669983</v>
      </c>
    </row>
    <row r="827" spans="3:9" x14ac:dyDescent="0.4">
      <c r="C827" t="str">
        <f t="shared" si="47"/>
        <v/>
      </c>
      <c r="D827" s="2" t="str">
        <f t="shared" si="48"/>
        <v>http://geocode.csis.u-tokyo.ac.jp/cgi-bin/simple_geocode.cgi?charset=UTF8&amp;addr=</v>
      </c>
      <c r="E827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7" t="e" cm="1">
        <f t="array" ref="F827">INDEX(_xlfn.FILTERXML(E827,"//latitude"),1)</f>
        <v>#VALUE!</v>
      </c>
      <c r="G827" t="e" cm="1">
        <f t="array" ref="G827">INDEX(_xlfn.FILTERXML(E827,"//longitude"),1)</f>
        <v>#VALUE!</v>
      </c>
      <c r="H827">
        <v>35.687916000000001</v>
      </c>
      <c r="I827">
        <v>140.04724100000001</v>
      </c>
    </row>
    <row r="828" spans="3:9" x14ac:dyDescent="0.4">
      <c r="C828" t="str">
        <f t="shared" si="47"/>
        <v/>
      </c>
      <c r="D828" s="2" t="str">
        <f t="shared" si="48"/>
        <v>http://geocode.csis.u-tokyo.ac.jp/cgi-bin/simple_geocode.cgi?charset=UTF8&amp;addr=</v>
      </c>
      <c r="E828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8" t="e" cm="1">
        <f t="array" ref="F828">INDEX(_xlfn.FILTERXML(E828,"//latitude"),1)</f>
        <v>#VALUE!</v>
      </c>
      <c r="G828" t="e" cm="1">
        <f t="array" ref="G828">INDEX(_xlfn.FILTERXML(E828,"//longitude"),1)</f>
        <v>#VALUE!</v>
      </c>
      <c r="H828">
        <v>36.053843999999998</v>
      </c>
      <c r="I828">
        <v>139.27153000000001</v>
      </c>
    </row>
    <row r="829" spans="3:9" x14ac:dyDescent="0.4">
      <c r="C829" t="str">
        <f t="shared" si="47"/>
        <v/>
      </c>
      <c r="D829" s="2" t="str">
        <f t="shared" si="48"/>
        <v>http://geocode.csis.u-tokyo.ac.jp/cgi-bin/simple_geocode.cgi?charset=UTF8&amp;addr=</v>
      </c>
      <c r="E829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29" t="e" cm="1">
        <f t="array" ref="F829">INDEX(_xlfn.FILTERXML(E829,"//latitude"),1)</f>
        <v>#VALUE!</v>
      </c>
      <c r="G829" t="e" cm="1">
        <f t="array" ref="G829">INDEX(_xlfn.FILTERXML(E829,"//longitude"),1)</f>
        <v>#VALUE!</v>
      </c>
      <c r="H829">
        <v>35.179237000000001</v>
      </c>
      <c r="I829">
        <v>136.93071</v>
      </c>
    </row>
    <row r="830" spans="3:9" x14ac:dyDescent="0.4">
      <c r="C830" t="str">
        <f t="shared" si="47"/>
        <v/>
      </c>
      <c r="D830" s="2" t="str">
        <f t="shared" si="48"/>
        <v>http://geocode.csis.u-tokyo.ac.jp/cgi-bin/simple_geocode.cgi?charset=UTF8&amp;addr=</v>
      </c>
      <c r="E830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0" t="e" cm="1">
        <f t="array" ref="F830">INDEX(_xlfn.FILTERXML(E830,"//latitude"),1)</f>
        <v>#VALUE!</v>
      </c>
      <c r="G830" t="e" cm="1">
        <f t="array" ref="G830">INDEX(_xlfn.FILTERXML(E830,"//longitude"),1)</f>
        <v>#VALUE!</v>
      </c>
      <c r="H830">
        <v>35.661064000000003</v>
      </c>
      <c r="I830">
        <v>139.37876900000001</v>
      </c>
    </row>
    <row r="831" spans="3:9" x14ac:dyDescent="0.4">
      <c r="C831" t="str">
        <f t="shared" si="47"/>
        <v/>
      </c>
      <c r="D831" s="2" t="str">
        <f t="shared" si="48"/>
        <v>http://geocode.csis.u-tokyo.ac.jp/cgi-bin/simple_geocode.cgi?charset=UTF8&amp;addr=</v>
      </c>
      <c r="E831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1" t="e" cm="1">
        <f t="array" ref="F831">INDEX(_xlfn.FILTERXML(E831,"//latitude"),1)</f>
        <v>#VALUE!</v>
      </c>
      <c r="G831" t="e" cm="1">
        <f t="array" ref="G831">INDEX(_xlfn.FILTERXML(E831,"//longitude"),1)</f>
        <v>#VALUE!</v>
      </c>
      <c r="H831">
        <v>35.727226000000002</v>
      </c>
      <c r="I831">
        <v>139.94253499999999</v>
      </c>
    </row>
    <row r="832" spans="3:9" x14ac:dyDescent="0.4">
      <c r="C832" t="str">
        <f t="shared" si="47"/>
        <v/>
      </c>
      <c r="D832" s="2" t="str">
        <f t="shared" si="48"/>
        <v>http://geocode.csis.u-tokyo.ac.jp/cgi-bin/simple_geocode.cgi?charset=UTF8&amp;addr=</v>
      </c>
      <c r="E832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2" t="e" cm="1">
        <f t="array" ref="F832">INDEX(_xlfn.FILTERXML(E832,"//latitude"),1)</f>
        <v>#VALUE!</v>
      </c>
      <c r="G832" t="e" cm="1">
        <f t="array" ref="G832">INDEX(_xlfn.FILTERXML(E832,"//longitude"),1)</f>
        <v>#VALUE!</v>
      </c>
      <c r="H832">
        <v>35.682167</v>
      </c>
      <c r="I832">
        <v>138.662262</v>
      </c>
    </row>
    <row r="833" spans="3:9" x14ac:dyDescent="0.4">
      <c r="C833" t="str">
        <f t="shared" si="47"/>
        <v/>
      </c>
      <c r="D833" s="2" t="str">
        <f t="shared" si="48"/>
        <v>http://geocode.csis.u-tokyo.ac.jp/cgi-bin/simple_geocode.cgi?charset=UTF8&amp;addr=</v>
      </c>
      <c r="E833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3" t="e" cm="1">
        <f t="array" ref="F833">INDEX(_xlfn.FILTERXML(E833,"//latitude"),1)</f>
        <v>#VALUE!</v>
      </c>
      <c r="G833" t="e" cm="1">
        <f t="array" ref="G833">INDEX(_xlfn.FILTERXML(E833,"//longitude"),1)</f>
        <v>#VALUE!</v>
      </c>
      <c r="H833">
        <v>34.620139999999999</v>
      </c>
      <c r="I833">
        <v>133.882126</v>
      </c>
    </row>
    <row r="834" spans="3:9" x14ac:dyDescent="0.4">
      <c r="C834" t="str">
        <f t="shared" si="47"/>
        <v/>
      </c>
      <c r="D834" s="2" t="str">
        <f t="shared" si="48"/>
        <v>http://geocode.csis.u-tokyo.ac.jp/cgi-bin/simple_geocode.cgi?charset=UTF8&amp;addr=</v>
      </c>
      <c r="E834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4" t="e" cm="1">
        <f t="array" ref="F834">INDEX(_xlfn.FILTERXML(E834,"//latitude"),1)</f>
        <v>#VALUE!</v>
      </c>
      <c r="G834" t="e" cm="1">
        <f t="array" ref="G834">INDEX(_xlfn.FILTERXML(E834,"//longitude"),1)</f>
        <v>#VALUE!</v>
      </c>
      <c r="H834">
        <v>35.274521</v>
      </c>
      <c r="I834">
        <v>139.18678299999999</v>
      </c>
    </row>
    <row r="835" spans="3:9" x14ac:dyDescent="0.4">
      <c r="C835" t="str">
        <f t="shared" ref="C835:C883" si="50">+A835&amp;B835</f>
        <v/>
      </c>
      <c r="D835" s="2" t="str">
        <f t="shared" si="48"/>
        <v>http://geocode.csis.u-tokyo.ac.jp/cgi-bin/simple_geocode.cgi?charset=UTF8&amp;addr=</v>
      </c>
      <c r="E835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5" t="e" cm="1">
        <f t="array" ref="F835">INDEX(_xlfn.FILTERXML(E835,"//latitude"),1)</f>
        <v>#VALUE!</v>
      </c>
      <c r="G835" t="e" cm="1">
        <f t="array" ref="G835">INDEX(_xlfn.FILTERXML(E835,"//longitude"),1)</f>
        <v>#VALUE!</v>
      </c>
      <c r="H835">
        <v>34.662028999999997</v>
      </c>
      <c r="I835">
        <v>135.06809999999999</v>
      </c>
    </row>
    <row r="836" spans="3:9" x14ac:dyDescent="0.4">
      <c r="C836" t="str">
        <f t="shared" si="50"/>
        <v/>
      </c>
      <c r="D836" s="2" t="str">
        <f t="shared" si="48"/>
        <v>http://geocode.csis.u-tokyo.ac.jp/cgi-bin/simple_geocode.cgi?charset=UTF8&amp;addr=</v>
      </c>
      <c r="E836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6" t="e" cm="1">
        <f t="array" ref="F836">INDEX(_xlfn.FILTERXML(E836,"//latitude"),1)</f>
        <v>#VALUE!</v>
      </c>
      <c r="G836" t="e" cm="1">
        <f t="array" ref="G836">INDEX(_xlfn.FILTERXML(E836,"//longitude"),1)</f>
        <v>#VALUE!</v>
      </c>
      <c r="H836">
        <v>35.048580000000001</v>
      </c>
      <c r="I836">
        <v>135.77858000000001</v>
      </c>
    </row>
    <row r="837" spans="3:9" x14ac:dyDescent="0.4">
      <c r="C837" t="str">
        <f t="shared" si="50"/>
        <v/>
      </c>
      <c r="D837" s="2" t="str">
        <f t="shared" si="48"/>
        <v>http://geocode.csis.u-tokyo.ac.jp/cgi-bin/simple_geocode.cgi?charset=UTF8&amp;addr=</v>
      </c>
      <c r="E837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7" t="e" cm="1">
        <f t="array" ref="F837">INDEX(_xlfn.FILTERXML(E837,"//latitude"),1)</f>
        <v>#VALUE!</v>
      </c>
      <c r="G837" t="e" cm="1">
        <f t="array" ref="G837">INDEX(_xlfn.FILTERXML(E837,"//longitude"),1)</f>
        <v>#VALUE!</v>
      </c>
      <c r="H837">
        <v>34.834816000000004</v>
      </c>
      <c r="I837">
        <v>135.36199999999999</v>
      </c>
    </row>
    <row r="838" spans="3:9" x14ac:dyDescent="0.4">
      <c r="C838" t="str">
        <f t="shared" si="50"/>
        <v/>
      </c>
      <c r="D838" s="2" t="str">
        <f t="shared" si="48"/>
        <v>http://geocode.csis.u-tokyo.ac.jp/cgi-bin/simple_geocode.cgi?charset=UTF8&amp;addr=</v>
      </c>
      <c r="E838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8" t="e" cm="1">
        <f t="array" ref="F838">INDEX(_xlfn.FILTERXML(E838,"//latitude"),1)</f>
        <v>#VALUE!</v>
      </c>
      <c r="G838" t="e" cm="1">
        <f t="array" ref="G838">INDEX(_xlfn.FILTERXML(E838,"//longitude"),1)</f>
        <v>#VALUE!</v>
      </c>
      <c r="H838">
        <v>33.569552999999999</v>
      </c>
      <c r="I838">
        <v>130.429474</v>
      </c>
    </row>
    <row r="839" spans="3:9" x14ac:dyDescent="0.4">
      <c r="C839" t="str">
        <f t="shared" si="50"/>
        <v/>
      </c>
      <c r="D839" s="2" t="str">
        <f t="shared" si="48"/>
        <v>http://geocode.csis.u-tokyo.ac.jp/cgi-bin/simple_geocode.cgi?charset=UTF8&amp;addr=</v>
      </c>
      <c r="E839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39" t="e" cm="1">
        <f t="array" ref="F839">INDEX(_xlfn.FILTERXML(E839,"//latitude"),1)</f>
        <v>#VALUE!</v>
      </c>
      <c r="G839" t="e" cm="1">
        <f t="array" ref="G839">INDEX(_xlfn.FILTERXML(E839,"//longitude"),1)</f>
        <v>#VALUE!</v>
      </c>
      <c r="H839">
        <v>34.920527999999997</v>
      </c>
      <c r="I839">
        <v>136.94160500000001</v>
      </c>
    </row>
    <row r="840" spans="3:9" x14ac:dyDescent="0.4">
      <c r="C840" t="str">
        <f t="shared" si="50"/>
        <v/>
      </c>
      <c r="D840" s="2" t="str">
        <f t="shared" si="48"/>
        <v>http://geocode.csis.u-tokyo.ac.jp/cgi-bin/simple_geocode.cgi?charset=UTF8&amp;addr=</v>
      </c>
      <c r="E840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0" t="e" cm="1">
        <f t="array" ref="F840">INDEX(_xlfn.FILTERXML(E840,"//latitude"),1)</f>
        <v>#VALUE!</v>
      </c>
      <c r="G840" t="e" cm="1">
        <f t="array" ref="G840">INDEX(_xlfn.FILTERXML(E840,"//longitude"),1)</f>
        <v>#VALUE!</v>
      </c>
      <c r="H840">
        <v>35.739821999999997</v>
      </c>
      <c r="I840">
        <v>139.70192</v>
      </c>
    </row>
    <row r="841" spans="3:9" x14ac:dyDescent="0.4">
      <c r="C841" t="str">
        <f t="shared" si="50"/>
        <v/>
      </c>
      <c r="D841" s="2" t="str">
        <f t="shared" si="48"/>
        <v>http://geocode.csis.u-tokyo.ac.jp/cgi-bin/simple_geocode.cgi?charset=UTF8&amp;addr=</v>
      </c>
      <c r="E841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1" t="e" cm="1">
        <f t="array" ref="F841">INDEX(_xlfn.FILTERXML(E841,"//latitude"),1)</f>
        <v>#VALUE!</v>
      </c>
      <c r="G841" t="e" cm="1">
        <f t="array" ref="G841">INDEX(_xlfn.FILTERXML(E841,"//longitude"),1)</f>
        <v>#VALUE!</v>
      </c>
      <c r="H841">
        <v>35.699547000000003</v>
      </c>
      <c r="I841">
        <v>139.636414</v>
      </c>
    </row>
    <row r="842" spans="3:9" x14ac:dyDescent="0.4">
      <c r="C842" t="str">
        <f t="shared" si="50"/>
        <v/>
      </c>
      <c r="D842" s="2" t="str">
        <f t="shared" si="48"/>
        <v>http://geocode.csis.u-tokyo.ac.jp/cgi-bin/simple_geocode.cgi?charset=UTF8&amp;addr=</v>
      </c>
      <c r="E842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2" t="e" cm="1">
        <f t="array" ref="F842">INDEX(_xlfn.FILTERXML(E842,"//latitude"),1)</f>
        <v>#VALUE!</v>
      </c>
      <c r="G842" t="e" cm="1">
        <f t="array" ref="G842">INDEX(_xlfn.FILTERXML(E842,"//longitude"),1)</f>
        <v>#VALUE!</v>
      </c>
      <c r="H842">
        <v>35.725498000000002</v>
      </c>
      <c r="I842">
        <v>139.538162</v>
      </c>
    </row>
    <row r="843" spans="3:9" x14ac:dyDescent="0.4">
      <c r="C843" t="str">
        <f t="shared" si="50"/>
        <v/>
      </c>
      <c r="D843" s="2" t="str">
        <f t="shared" si="48"/>
        <v>http://geocode.csis.u-tokyo.ac.jp/cgi-bin/simple_geocode.cgi?charset=UTF8&amp;addr=</v>
      </c>
      <c r="E843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3" t="e" cm="1">
        <f t="array" ref="F843">INDEX(_xlfn.FILTERXML(E843,"//latitude"),1)</f>
        <v>#VALUE!</v>
      </c>
      <c r="G843" t="e" cm="1">
        <f t="array" ref="G843">INDEX(_xlfn.FILTERXML(E843,"//longitude"),1)</f>
        <v>#VALUE!</v>
      </c>
      <c r="H843">
        <v>35.517364999999998</v>
      </c>
      <c r="I843">
        <v>139.509109</v>
      </c>
    </row>
    <row r="844" spans="3:9" x14ac:dyDescent="0.4">
      <c r="C844" t="str">
        <f t="shared" si="50"/>
        <v/>
      </c>
      <c r="D844" s="2" t="str">
        <f t="shared" si="48"/>
        <v>http://geocode.csis.u-tokyo.ac.jp/cgi-bin/simple_geocode.cgi?charset=UTF8&amp;addr=</v>
      </c>
      <c r="E844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4" t="e" cm="1">
        <f t="array" ref="F844">INDEX(_xlfn.FILTERXML(E844,"//latitude"),1)</f>
        <v>#VALUE!</v>
      </c>
      <c r="G844" t="e" cm="1">
        <f t="array" ref="G844">INDEX(_xlfn.FILTERXML(E844,"//longitude"),1)</f>
        <v>#VALUE!</v>
      </c>
      <c r="H844">
        <v>34.720505000000003</v>
      </c>
      <c r="I844">
        <v>137.49040199999999</v>
      </c>
    </row>
    <row r="845" spans="3:9" x14ac:dyDescent="0.4">
      <c r="C845" t="str">
        <f t="shared" si="50"/>
        <v/>
      </c>
      <c r="D845" s="2" t="str">
        <f t="shared" si="48"/>
        <v>http://geocode.csis.u-tokyo.ac.jp/cgi-bin/simple_geocode.cgi?charset=UTF8&amp;addr=</v>
      </c>
      <c r="E845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5" t="e" cm="1">
        <f t="array" ref="F845">INDEX(_xlfn.FILTERXML(E845,"//latitude"),1)</f>
        <v>#VALUE!</v>
      </c>
      <c r="G845" t="e" cm="1">
        <f t="array" ref="G845">INDEX(_xlfn.FILTERXML(E845,"//longitude"),1)</f>
        <v>#VALUE!</v>
      </c>
      <c r="H845">
        <v>34.502276999999999</v>
      </c>
      <c r="I845">
        <v>133.388138</v>
      </c>
    </row>
    <row r="846" spans="3:9" x14ac:dyDescent="0.4">
      <c r="C846" t="str">
        <f t="shared" si="50"/>
        <v/>
      </c>
      <c r="D846" s="2" t="str">
        <f t="shared" si="48"/>
        <v>http://geocode.csis.u-tokyo.ac.jp/cgi-bin/simple_geocode.cgi?charset=UTF8&amp;addr=</v>
      </c>
      <c r="E846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6" t="e" cm="1">
        <f t="array" ref="F846">INDEX(_xlfn.FILTERXML(E846,"//latitude"),1)</f>
        <v>#VALUE!</v>
      </c>
      <c r="G846" t="e" cm="1">
        <f t="array" ref="G846">INDEX(_xlfn.FILTERXML(E846,"//longitude"),1)</f>
        <v>#VALUE!</v>
      </c>
      <c r="H846">
        <v>35.545077999999997</v>
      </c>
      <c r="I846">
        <v>139.670151</v>
      </c>
    </row>
    <row r="847" spans="3:9" x14ac:dyDescent="0.4">
      <c r="C847" t="str">
        <f t="shared" si="50"/>
        <v/>
      </c>
      <c r="D847" s="2" t="str">
        <f t="shared" si="48"/>
        <v>http://geocode.csis.u-tokyo.ac.jp/cgi-bin/simple_geocode.cgi?charset=UTF8&amp;addr=</v>
      </c>
      <c r="E847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7" t="e" cm="1">
        <f t="array" ref="F847">INDEX(_xlfn.FILTERXML(E847,"//latitude"),1)</f>
        <v>#VALUE!</v>
      </c>
      <c r="G847" t="e" cm="1">
        <f t="array" ref="G847">INDEX(_xlfn.FILTERXML(E847,"//longitude"),1)</f>
        <v>#VALUE!</v>
      </c>
      <c r="H847">
        <v>34.982532999999997</v>
      </c>
      <c r="I847">
        <v>135.728058</v>
      </c>
    </row>
    <row r="848" spans="3:9" x14ac:dyDescent="0.4">
      <c r="C848" t="str">
        <f t="shared" si="50"/>
        <v/>
      </c>
      <c r="D848" s="2" t="str">
        <f t="shared" si="48"/>
        <v>http://geocode.csis.u-tokyo.ac.jp/cgi-bin/simple_geocode.cgi?charset=UTF8&amp;addr=</v>
      </c>
      <c r="E848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8" t="e" cm="1">
        <f t="array" ref="F848">INDEX(_xlfn.FILTERXML(E848,"//latitude"),1)</f>
        <v>#VALUE!</v>
      </c>
      <c r="G848" t="e" cm="1">
        <f t="array" ref="G848">INDEX(_xlfn.FILTERXML(E848,"//longitude"),1)</f>
        <v>#VALUE!</v>
      </c>
      <c r="H848">
        <v>34.663113000000003</v>
      </c>
      <c r="I848">
        <v>135.04757699999999</v>
      </c>
    </row>
    <row r="849" spans="3:9" x14ac:dyDescent="0.4">
      <c r="C849" t="str">
        <f t="shared" si="50"/>
        <v/>
      </c>
      <c r="D849" s="2" t="str">
        <f t="shared" si="48"/>
        <v>http://geocode.csis.u-tokyo.ac.jp/cgi-bin/simple_geocode.cgi?charset=UTF8&amp;addr=</v>
      </c>
      <c r="E849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49" t="e" cm="1">
        <f t="array" ref="F849">INDEX(_xlfn.FILTERXML(E849,"//latitude"),1)</f>
        <v>#VALUE!</v>
      </c>
      <c r="G849" t="e" cm="1">
        <f t="array" ref="G849">INDEX(_xlfn.FILTERXML(E849,"//longitude"),1)</f>
        <v>#VALUE!</v>
      </c>
      <c r="H849">
        <v>39.734737000000003</v>
      </c>
      <c r="I849">
        <v>141.07707199999999</v>
      </c>
    </row>
    <row r="850" spans="3:9" x14ac:dyDescent="0.4">
      <c r="C850" t="str">
        <f t="shared" si="50"/>
        <v/>
      </c>
      <c r="D850" s="2" t="str">
        <f t="shared" si="48"/>
        <v>http://geocode.csis.u-tokyo.ac.jp/cgi-bin/simple_geocode.cgi?charset=UTF8&amp;addr=</v>
      </c>
      <c r="E850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0" t="e" cm="1">
        <f t="array" ref="F850">INDEX(_xlfn.FILTERXML(E850,"//latitude"),1)</f>
        <v>#VALUE!</v>
      </c>
      <c r="G850" t="e" cm="1">
        <f t="array" ref="G850">INDEX(_xlfn.FILTERXML(E850,"//longitude"),1)</f>
        <v>#VALUE!</v>
      </c>
      <c r="H850">
        <v>35.377170999999997</v>
      </c>
      <c r="I850">
        <v>139.62434400000001</v>
      </c>
    </row>
    <row r="851" spans="3:9" x14ac:dyDescent="0.4">
      <c r="C851" t="str">
        <f t="shared" si="50"/>
        <v/>
      </c>
      <c r="D851" s="2" t="str">
        <f t="shared" si="48"/>
        <v>http://geocode.csis.u-tokyo.ac.jp/cgi-bin/simple_geocode.cgi?charset=UTF8&amp;addr=</v>
      </c>
      <c r="E851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1" t="e" cm="1">
        <f t="array" ref="F851">INDEX(_xlfn.FILTERXML(E851,"//latitude"),1)</f>
        <v>#VALUE!</v>
      </c>
      <c r="G851" t="e" cm="1">
        <f t="array" ref="G851">INDEX(_xlfn.FILTERXML(E851,"//longitude"),1)</f>
        <v>#VALUE!</v>
      </c>
      <c r="H851">
        <v>36.328525999999997</v>
      </c>
      <c r="I851">
        <v>139.20744300000001</v>
      </c>
    </row>
    <row r="852" spans="3:9" x14ac:dyDescent="0.4">
      <c r="C852" t="str">
        <f t="shared" si="50"/>
        <v/>
      </c>
      <c r="D852" s="2" t="str">
        <f t="shared" si="48"/>
        <v>http://geocode.csis.u-tokyo.ac.jp/cgi-bin/simple_geocode.cgi?charset=UTF8&amp;addr=</v>
      </c>
      <c r="E852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2" t="e" cm="1">
        <f t="array" ref="F852">INDEX(_xlfn.FILTERXML(E852,"//latitude"),1)</f>
        <v>#VALUE!</v>
      </c>
      <c r="G852" t="e" cm="1">
        <f t="array" ref="G852">INDEX(_xlfn.FILTERXML(E852,"//longitude"),1)</f>
        <v>#VALUE!</v>
      </c>
      <c r="H852">
        <v>36.651736999999997</v>
      </c>
      <c r="I852">
        <v>136.94191000000001</v>
      </c>
    </row>
    <row r="853" spans="3:9" x14ac:dyDescent="0.4">
      <c r="C853" t="str">
        <f t="shared" si="50"/>
        <v/>
      </c>
      <c r="D853" s="2" t="str">
        <f t="shared" si="48"/>
        <v>http://geocode.csis.u-tokyo.ac.jp/cgi-bin/simple_geocode.cgi?charset=UTF8&amp;addr=</v>
      </c>
      <c r="E853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3" t="e" cm="1">
        <f t="array" ref="F853">INDEX(_xlfn.FILTERXML(E853,"//latitude"),1)</f>
        <v>#VALUE!</v>
      </c>
      <c r="G853" t="e" cm="1">
        <f t="array" ref="G853">INDEX(_xlfn.FILTERXML(E853,"//longitude"),1)</f>
        <v>#VALUE!</v>
      </c>
      <c r="H853">
        <v>35.652493</v>
      </c>
      <c r="I853">
        <v>139.58866900000001</v>
      </c>
    </row>
    <row r="854" spans="3:9" x14ac:dyDescent="0.4">
      <c r="C854" t="str">
        <f t="shared" si="50"/>
        <v/>
      </c>
      <c r="D854" s="2" t="str">
        <f t="shared" si="48"/>
        <v>http://geocode.csis.u-tokyo.ac.jp/cgi-bin/simple_geocode.cgi?charset=UTF8&amp;addr=</v>
      </c>
      <c r="E854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4" t="e" cm="1">
        <f t="array" ref="F854">INDEX(_xlfn.FILTERXML(E854,"//latitude"),1)</f>
        <v>#VALUE!</v>
      </c>
      <c r="G854" t="e" cm="1">
        <f t="array" ref="G854">INDEX(_xlfn.FILTERXML(E854,"//longitude"),1)</f>
        <v>#VALUE!</v>
      </c>
      <c r="H854">
        <v>36.389361999999998</v>
      </c>
      <c r="I854">
        <v>140.55647300000001</v>
      </c>
    </row>
    <row r="855" spans="3:9" x14ac:dyDescent="0.4">
      <c r="C855" t="str">
        <f t="shared" si="50"/>
        <v/>
      </c>
      <c r="D855" s="2" t="str">
        <f t="shared" si="48"/>
        <v>http://geocode.csis.u-tokyo.ac.jp/cgi-bin/simple_geocode.cgi?charset=UTF8&amp;addr=</v>
      </c>
      <c r="E855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5" t="e" cm="1">
        <f t="array" ref="F855">INDEX(_xlfn.FILTERXML(E855,"//latitude"),1)</f>
        <v>#VALUE!</v>
      </c>
      <c r="G855" t="e" cm="1">
        <f t="array" ref="G855">INDEX(_xlfn.FILTERXML(E855,"//longitude"),1)</f>
        <v>#VALUE!</v>
      </c>
      <c r="H855">
        <v>34.698768999999999</v>
      </c>
      <c r="I855">
        <v>135.77294900000001</v>
      </c>
    </row>
    <row r="856" spans="3:9" x14ac:dyDescent="0.4">
      <c r="C856" t="str">
        <f t="shared" si="50"/>
        <v/>
      </c>
      <c r="D856" s="2" t="str">
        <f t="shared" si="48"/>
        <v>http://geocode.csis.u-tokyo.ac.jp/cgi-bin/simple_geocode.cgi?charset=UTF8&amp;addr=</v>
      </c>
      <c r="E856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6" t="e" cm="1">
        <f t="array" ref="F856">INDEX(_xlfn.FILTERXML(E856,"//latitude"),1)</f>
        <v>#VALUE!</v>
      </c>
      <c r="G856" t="e" cm="1">
        <f t="array" ref="G856">INDEX(_xlfn.FILTERXML(E856,"//longitude"),1)</f>
        <v>#VALUE!</v>
      </c>
      <c r="H856">
        <v>35.546557999999997</v>
      </c>
      <c r="I856">
        <v>139.43852200000001</v>
      </c>
    </row>
    <row r="857" spans="3:9" x14ac:dyDescent="0.4">
      <c r="C857" t="str">
        <f t="shared" si="50"/>
        <v/>
      </c>
      <c r="D857" s="2" t="str">
        <f t="shared" si="48"/>
        <v>http://geocode.csis.u-tokyo.ac.jp/cgi-bin/simple_geocode.cgi?charset=UTF8&amp;addr=</v>
      </c>
      <c r="E857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7" t="e" cm="1">
        <f t="array" ref="F857">INDEX(_xlfn.FILTERXML(E857,"//latitude"),1)</f>
        <v>#VALUE!</v>
      </c>
      <c r="G857" t="e" cm="1">
        <f t="array" ref="G857">INDEX(_xlfn.FILTERXML(E857,"//longitude"),1)</f>
        <v>#VALUE!</v>
      </c>
      <c r="H857">
        <v>35.760455999999998</v>
      </c>
      <c r="I857">
        <v>139.64588900000001</v>
      </c>
    </row>
    <row r="858" spans="3:9" x14ac:dyDescent="0.4">
      <c r="C858" t="str">
        <f t="shared" si="50"/>
        <v/>
      </c>
      <c r="D858" s="2" t="str">
        <f t="shared" si="48"/>
        <v>http://geocode.csis.u-tokyo.ac.jp/cgi-bin/simple_geocode.cgi?charset=UTF8&amp;addr=</v>
      </c>
      <c r="E858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8" t="e" cm="1">
        <f t="array" ref="F858">INDEX(_xlfn.FILTERXML(E858,"//latitude"),1)</f>
        <v>#VALUE!</v>
      </c>
      <c r="G858" t="e" cm="1">
        <f t="array" ref="G858">INDEX(_xlfn.FILTERXML(E858,"//longitude"),1)</f>
        <v>#VALUE!</v>
      </c>
      <c r="H858">
        <v>34.917529999999999</v>
      </c>
      <c r="I858">
        <v>135.730301</v>
      </c>
    </row>
    <row r="859" spans="3:9" x14ac:dyDescent="0.4">
      <c r="C859" t="str">
        <f t="shared" si="50"/>
        <v/>
      </c>
      <c r="D859" s="2" t="str">
        <f t="shared" si="48"/>
        <v>http://geocode.csis.u-tokyo.ac.jp/cgi-bin/simple_geocode.cgi?charset=UTF8&amp;addr=</v>
      </c>
      <c r="E859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59" t="e" cm="1">
        <f t="array" ref="F859">INDEX(_xlfn.FILTERXML(E859,"//latitude"),1)</f>
        <v>#VALUE!</v>
      </c>
      <c r="G859" t="e" cm="1">
        <f t="array" ref="G859">INDEX(_xlfn.FILTERXML(E859,"//longitude"),1)</f>
        <v>#VALUE!</v>
      </c>
      <c r="H859">
        <v>34.904015000000001</v>
      </c>
      <c r="I859">
        <v>135.44091800000001</v>
      </c>
    </row>
    <row r="860" spans="3:9" x14ac:dyDescent="0.4">
      <c r="C860" t="str">
        <f t="shared" si="50"/>
        <v/>
      </c>
      <c r="D860" s="2" t="str">
        <f t="shared" si="48"/>
        <v>http://geocode.csis.u-tokyo.ac.jp/cgi-bin/simple_geocode.cgi?charset=UTF8&amp;addr=</v>
      </c>
      <c r="E860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0" t="e" cm="1">
        <f t="array" ref="F860">INDEX(_xlfn.FILTERXML(E860,"//latitude"),1)</f>
        <v>#VALUE!</v>
      </c>
      <c r="G860" t="e" cm="1">
        <f t="array" ref="G860">INDEX(_xlfn.FILTERXML(E860,"//longitude"),1)</f>
        <v>#VALUE!</v>
      </c>
      <c r="H860">
        <v>35.662768999999997</v>
      </c>
      <c r="I860">
        <v>139.67283599999999</v>
      </c>
    </row>
    <row r="861" spans="3:9" x14ac:dyDescent="0.4">
      <c r="C861" t="str">
        <f t="shared" si="50"/>
        <v/>
      </c>
      <c r="D861" s="2" t="str">
        <f t="shared" si="48"/>
        <v>http://geocode.csis.u-tokyo.ac.jp/cgi-bin/simple_geocode.cgi?charset=UTF8&amp;addr=</v>
      </c>
      <c r="E861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1" t="e" cm="1">
        <f t="array" ref="F861">INDEX(_xlfn.FILTERXML(E861,"//latitude"),1)</f>
        <v>#VALUE!</v>
      </c>
      <c r="G861" t="e" cm="1">
        <f t="array" ref="G861">INDEX(_xlfn.FILTERXML(E861,"//longitude"),1)</f>
        <v>#VALUE!</v>
      </c>
      <c r="H861">
        <v>35.755862999999998</v>
      </c>
      <c r="I861">
        <v>139.41888399999999</v>
      </c>
    </row>
    <row r="862" spans="3:9" x14ac:dyDescent="0.4">
      <c r="C862" t="str">
        <f t="shared" si="50"/>
        <v/>
      </c>
      <c r="D862" s="2" t="str">
        <f t="shared" si="48"/>
        <v>http://geocode.csis.u-tokyo.ac.jp/cgi-bin/simple_geocode.cgi?charset=UTF8&amp;addr=</v>
      </c>
      <c r="E862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2" t="e" cm="1">
        <f t="array" ref="F862">INDEX(_xlfn.FILTERXML(E862,"//latitude"),1)</f>
        <v>#VALUE!</v>
      </c>
      <c r="G862" t="e" cm="1">
        <f t="array" ref="G862">INDEX(_xlfn.FILTERXML(E862,"//longitude"),1)</f>
        <v>#VALUE!</v>
      </c>
      <c r="H862">
        <v>34.867348</v>
      </c>
      <c r="I862">
        <v>138.257553</v>
      </c>
    </row>
    <row r="863" spans="3:9" x14ac:dyDescent="0.4">
      <c r="C863" t="str">
        <f t="shared" si="50"/>
        <v/>
      </c>
      <c r="D863" s="2" t="str">
        <f t="shared" si="48"/>
        <v>http://geocode.csis.u-tokyo.ac.jp/cgi-bin/simple_geocode.cgi?charset=UTF8&amp;addr=</v>
      </c>
      <c r="E863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3" t="e" cm="1">
        <f t="array" ref="F863">INDEX(_xlfn.FILTERXML(E863,"//latitude"),1)</f>
        <v>#VALUE!</v>
      </c>
      <c r="G863" t="e" cm="1">
        <f t="array" ref="G863">INDEX(_xlfn.FILTERXML(E863,"//longitude"),1)</f>
        <v>#VALUE!</v>
      </c>
      <c r="H863">
        <v>26.324286000000001</v>
      </c>
      <c r="I863">
        <v>127.905663</v>
      </c>
    </row>
    <row r="864" spans="3:9" x14ac:dyDescent="0.4">
      <c r="C864" t="str">
        <f t="shared" si="50"/>
        <v/>
      </c>
      <c r="D864" s="2" t="str">
        <f t="shared" si="48"/>
        <v>http://geocode.csis.u-tokyo.ac.jp/cgi-bin/simple_geocode.cgi?charset=UTF8&amp;addr=</v>
      </c>
      <c r="E864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4" t="e" cm="1">
        <f t="array" ref="F864">INDEX(_xlfn.FILTERXML(E864,"//latitude"),1)</f>
        <v>#VALUE!</v>
      </c>
      <c r="G864" t="e" cm="1">
        <f t="array" ref="G864">INDEX(_xlfn.FILTERXML(E864,"//longitude"),1)</f>
        <v>#VALUE!</v>
      </c>
      <c r="H864">
        <v>34.747020999999997</v>
      </c>
      <c r="I864">
        <v>135.317871</v>
      </c>
    </row>
    <row r="865" spans="3:9" x14ac:dyDescent="0.4">
      <c r="C865" t="str">
        <f t="shared" si="50"/>
        <v/>
      </c>
      <c r="D865" s="2" t="str">
        <f t="shared" si="48"/>
        <v>http://geocode.csis.u-tokyo.ac.jp/cgi-bin/simple_geocode.cgi?charset=UTF8&amp;addr=</v>
      </c>
      <c r="E865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5" t="e" cm="1">
        <f t="array" ref="F865">INDEX(_xlfn.FILTERXML(E865,"//latitude"),1)</f>
        <v>#VALUE!</v>
      </c>
      <c r="G865" t="e" cm="1">
        <f t="array" ref="G865">INDEX(_xlfn.FILTERXML(E865,"//longitude"),1)</f>
        <v>#VALUE!</v>
      </c>
      <c r="H865">
        <v>35.658070000000002</v>
      </c>
      <c r="I865">
        <v>139.75160199999999</v>
      </c>
    </row>
    <row r="866" spans="3:9" x14ac:dyDescent="0.4">
      <c r="C866" t="str">
        <f t="shared" si="50"/>
        <v/>
      </c>
      <c r="D866" s="2" t="str">
        <f t="shared" si="48"/>
        <v>http://geocode.csis.u-tokyo.ac.jp/cgi-bin/simple_geocode.cgi?charset=UTF8&amp;addr=</v>
      </c>
      <c r="E866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6" t="e" cm="1">
        <f t="array" ref="F866">INDEX(_xlfn.FILTERXML(E866,"//latitude"),1)</f>
        <v>#VALUE!</v>
      </c>
      <c r="G866" t="e" cm="1">
        <f t="array" ref="G866">INDEX(_xlfn.FILTERXML(E866,"//longitude"),1)</f>
        <v>#VALUE!</v>
      </c>
      <c r="H866">
        <v>35.256908000000003</v>
      </c>
      <c r="I866">
        <v>136.263443</v>
      </c>
    </row>
    <row r="867" spans="3:9" x14ac:dyDescent="0.4">
      <c r="C867" t="str">
        <f t="shared" si="50"/>
        <v/>
      </c>
      <c r="D867" s="2" t="str">
        <f t="shared" si="48"/>
        <v>http://geocode.csis.u-tokyo.ac.jp/cgi-bin/simple_geocode.cgi?charset=UTF8&amp;addr=</v>
      </c>
      <c r="E867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7" t="e" cm="1">
        <f t="array" ref="F867">INDEX(_xlfn.FILTERXML(E867,"//latitude"),1)</f>
        <v>#VALUE!</v>
      </c>
      <c r="G867" t="e" cm="1">
        <f t="array" ref="G867">INDEX(_xlfn.FILTERXML(E867,"//longitude"),1)</f>
        <v>#VALUE!</v>
      </c>
      <c r="H867">
        <v>35.710723999999999</v>
      </c>
      <c r="I867">
        <v>139.80149800000001</v>
      </c>
    </row>
    <row r="868" spans="3:9" x14ac:dyDescent="0.4">
      <c r="C868" t="str">
        <f t="shared" si="50"/>
        <v/>
      </c>
      <c r="D868" s="2" t="str">
        <f t="shared" si="48"/>
        <v>http://geocode.csis.u-tokyo.ac.jp/cgi-bin/simple_geocode.cgi?charset=UTF8&amp;addr=</v>
      </c>
      <c r="E868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8" t="e" cm="1">
        <f t="array" ref="F868">INDEX(_xlfn.FILTERXML(E868,"//latitude"),1)</f>
        <v>#VALUE!</v>
      </c>
      <c r="G868" t="e" cm="1">
        <f t="array" ref="G868">INDEX(_xlfn.FILTERXML(E868,"//longitude"),1)</f>
        <v>#VALUE!</v>
      </c>
      <c r="H868">
        <v>35.181435</v>
      </c>
      <c r="I868">
        <v>136.906418</v>
      </c>
    </row>
    <row r="869" spans="3:9" x14ac:dyDescent="0.4">
      <c r="C869" t="str">
        <f t="shared" si="50"/>
        <v/>
      </c>
      <c r="D869" s="2" t="str">
        <f t="shared" si="48"/>
        <v>http://geocode.csis.u-tokyo.ac.jp/cgi-bin/simple_geocode.cgi?charset=UTF8&amp;addr=</v>
      </c>
      <c r="E869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69" t="e" cm="1">
        <f t="array" ref="F869">INDEX(_xlfn.FILTERXML(E869,"//latitude"),1)</f>
        <v>#VALUE!</v>
      </c>
      <c r="G869" t="e" cm="1">
        <f t="array" ref="G869">INDEX(_xlfn.FILTERXML(E869,"//longitude"),1)</f>
        <v>#VALUE!</v>
      </c>
      <c r="H869">
        <v>35.717838</v>
      </c>
      <c r="I869">
        <v>139.565933</v>
      </c>
    </row>
    <row r="870" spans="3:9" x14ac:dyDescent="0.4">
      <c r="C870" t="str">
        <f t="shared" si="50"/>
        <v/>
      </c>
      <c r="D870" s="2" t="str">
        <f t="shared" si="48"/>
        <v>http://geocode.csis.u-tokyo.ac.jp/cgi-bin/simple_geocode.cgi?charset=UTF8&amp;addr=</v>
      </c>
      <c r="E870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0" t="e" cm="1">
        <f t="array" ref="F870">INDEX(_xlfn.FILTERXML(E870,"//latitude"),1)</f>
        <v>#VALUE!</v>
      </c>
      <c r="G870" t="e" cm="1">
        <f t="array" ref="G870">INDEX(_xlfn.FILTERXML(E870,"//longitude"),1)</f>
        <v>#VALUE!</v>
      </c>
      <c r="H870">
        <v>35.721912000000003</v>
      </c>
      <c r="I870">
        <v>139.931015</v>
      </c>
    </row>
    <row r="871" spans="3:9" x14ac:dyDescent="0.4">
      <c r="C871" t="str">
        <f t="shared" si="50"/>
        <v/>
      </c>
      <c r="D871" s="2" t="str">
        <f t="shared" si="48"/>
        <v>http://geocode.csis.u-tokyo.ac.jp/cgi-bin/simple_geocode.cgi?charset=UTF8&amp;addr=</v>
      </c>
      <c r="E871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1" t="e" cm="1">
        <f t="array" ref="F871">INDEX(_xlfn.FILTERXML(E871,"//latitude"),1)</f>
        <v>#VALUE!</v>
      </c>
      <c r="G871" t="e" cm="1">
        <f t="array" ref="G871">INDEX(_xlfn.FILTERXML(E871,"//longitude"),1)</f>
        <v>#VALUE!</v>
      </c>
      <c r="H871">
        <v>35.615791000000002</v>
      </c>
      <c r="I871">
        <v>139.743256</v>
      </c>
    </row>
    <row r="872" spans="3:9" x14ac:dyDescent="0.4">
      <c r="C872" t="str">
        <f t="shared" si="50"/>
        <v/>
      </c>
      <c r="D872" s="2" t="str">
        <f t="shared" si="48"/>
        <v>http://geocode.csis.u-tokyo.ac.jp/cgi-bin/simple_geocode.cgi?charset=UTF8&amp;addr=</v>
      </c>
      <c r="E872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2" t="e" cm="1">
        <f t="array" ref="F872">INDEX(_xlfn.FILTERXML(E872,"//latitude"),1)</f>
        <v>#VALUE!</v>
      </c>
      <c r="G872" t="e" cm="1">
        <f t="array" ref="G872">INDEX(_xlfn.FILTERXML(E872,"//longitude"),1)</f>
        <v>#VALUE!</v>
      </c>
      <c r="H872">
        <v>35.670836999999999</v>
      </c>
      <c r="I872">
        <v>139.758118</v>
      </c>
    </row>
    <row r="873" spans="3:9" x14ac:dyDescent="0.4">
      <c r="C873" t="str">
        <f t="shared" si="50"/>
        <v/>
      </c>
      <c r="D873" s="2" t="str">
        <f t="shared" si="48"/>
        <v>http://geocode.csis.u-tokyo.ac.jp/cgi-bin/simple_geocode.cgi?charset=UTF8&amp;addr=</v>
      </c>
      <c r="E873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3" t="e" cm="1">
        <f t="array" ref="F873">INDEX(_xlfn.FILTERXML(E873,"//latitude"),1)</f>
        <v>#VALUE!</v>
      </c>
      <c r="G873" t="e" cm="1">
        <f t="array" ref="G873">INDEX(_xlfn.FILTERXML(E873,"//longitude"),1)</f>
        <v>#VALUE!</v>
      </c>
      <c r="H873">
        <v>35.464432000000002</v>
      </c>
      <c r="I873">
        <v>139.60762</v>
      </c>
    </row>
    <row r="874" spans="3:9" x14ac:dyDescent="0.4">
      <c r="C874" t="str">
        <f t="shared" si="50"/>
        <v/>
      </c>
      <c r="D874" s="2" t="str">
        <f t="shared" si="48"/>
        <v>http://geocode.csis.u-tokyo.ac.jp/cgi-bin/simple_geocode.cgi?charset=UTF8&amp;addr=</v>
      </c>
      <c r="E874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4" t="e" cm="1">
        <f t="array" ref="F874">INDEX(_xlfn.FILTERXML(E874,"//latitude"),1)</f>
        <v>#VALUE!</v>
      </c>
      <c r="G874" t="e" cm="1">
        <f t="array" ref="G874">INDEX(_xlfn.FILTERXML(E874,"//longitude"),1)</f>
        <v>#VALUE!</v>
      </c>
      <c r="H874">
        <v>36.555115000000001</v>
      </c>
      <c r="I874">
        <v>139.882812</v>
      </c>
    </row>
    <row r="875" spans="3:9" x14ac:dyDescent="0.4">
      <c r="C875" t="str">
        <f t="shared" si="50"/>
        <v/>
      </c>
      <c r="D875" s="2" t="str">
        <f t="shared" si="48"/>
        <v>http://geocode.csis.u-tokyo.ac.jp/cgi-bin/simple_geocode.cgi?charset=UTF8&amp;addr=</v>
      </c>
      <c r="E875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5" t="e" cm="1">
        <f t="array" ref="F875">INDEX(_xlfn.FILTERXML(E875,"//latitude"),1)</f>
        <v>#VALUE!</v>
      </c>
      <c r="G875" t="e" cm="1">
        <f t="array" ref="G875">INDEX(_xlfn.FILTERXML(E875,"//longitude"),1)</f>
        <v>#VALUE!</v>
      </c>
      <c r="H875">
        <v>35.249766999999999</v>
      </c>
      <c r="I875">
        <v>139.15849299999999</v>
      </c>
    </row>
    <row r="876" spans="3:9" x14ac:dyDescent="0.4">
      <c r="C876" t="str">
        <f t="shared" si="50"/>
        <v/>
      </c>
      <c r="D876" s="2" t="str">
        <f t="shared" si="48"/>
        <v>http://geocode.csis.u-tokyo.ac.jp/cgi-bin/simple_geocode.cgi?charset=UTF8&amp;addr=</v>
      </c>
      <c r="E876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6" t="e" cm="1">
        <f t="array" ref="F876">INDEX(_xlfn.FILTERXML(E876,"//latitude"),1)</f>
        <v>#VALUE!</v>
      </c>
      <c r="G876" t="e" cm="1">
        <f t="array" ref="G876">INDEX(_xlfn.FILTERXML(E876,"//longitude"),1)</f>
        <v>#VALUE!</v>
      </c>
      <c r="H876">
        <v>35.638106999999998</v>
      </c>
      <c r="I876">
        <v>139.688828</v>
      </c>
    </row>
    <row r="877" spans="3:9" x14ac:dyDescent="0.4">
      <c r="C877" t="str">
        <f t="shared" si="50"/>
        <v/>
      </c>
      <c r="D877" s="2" t="str">
        <f t="shared" si="48"/>
        <v>http://geocode.csis.u-tokyo.ac.jp/cgi-bin/simple_geocode.cgi?charset=UTF8&amp;addr=</v>
      </c>
      <c r="E877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7" t="e" cm="1">
        <f t="array" ref="F877">INDEX(_xlfn.FILTERXML(E877,"//latitude"),1)</f>
        <v>#VALUE!</v>
      </c>
      <c r="G877" t="e" cm="1">
        <f t="array" ref="G877">INDEX(_xlfn.FILTERXML(E877,"//longitude"),1)</f>
        <v>#VALUE!</v>
      </c>
      <c r="H877">
        <v>35.701411999999998</v>
      </c>
      <c r="I877">
        <v>139.76461800000001</v>
      </c>
    </row>
    <row r="878" spans="3:9" x14ac:dyDescent="0.4">
      <c r="C878" t="str">
        <f t="shared" si="50"/>
        <v/>
      </c>
      <c r="D878" s="2" t="str">
        <f t="shared" si="48"/>
        <v>http://geocode.csis.u-tokyo.ac.jp/cgi-bin/simple_geocode.cgi?charset=UTF8&amp;addr=</v>
      </c>
      <c r="E878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8" t="e" cm="1">
        <f t="array" ref="F878">INDEX(_xlfn.FILTERXML(E878,"//latitude"),1)</f>
        <v>#VALUE!</v>
      </c>
      <c r="G878" t="e" cm="1">
        <f t="array" ref="G878">INDEX(_xlfn.FILTERXML(E878,"//longitude"),1)</f>
        <v>#VALUE!</v>
      </c>
      <c r="H878">
        <v>35.543315999999997</v>
      </c>
      <c r="I878">
        <v>139.62115499999999</v>
      </c>
    </row>
    <row r="879" spans="3:9" x14ac:dyDescent="0.4">
      <c r="C879" t="str">
        <f t="shared" si="50"/>
        <v/>
      </c>
      <c r="D879" s="2" t="str">
        <f t="shared" si="48"/>
        <v>http://geocode.csis.u-tokyo.ac.jp/cgi-bin/simple_geocode.cgi?charset=UTF8&amp;addr=</v>
      </c>
      <c r="E879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79" t="e" cm="1">
        <f t="array" ref="F879">INDEX(_xlfn.FILTERXML(E879,"//latitude"),1)</f>
        <v>#VALUE!</v>
      </c>
      <c r="G879" t="e" cm="1">
        <f t="array" ref="G879">INDEX(_xlfn.FILTERXML(E879,"//longitude"),1)</f>
        <v>#VALUE!</v>
      </c>
      <c r="H879">
        <v>35.803482000000002</v>
      </c>
      <c r="I879">
        <v>140.15748600000001</v>
      </c>
    </row>
    <row r="880" spans="3:9" x14ac:dyDescent="0.4">
      <c r="C880" t="str">
        <f t="shared" si="50"/>
        <v/>
      </c>
      <c r="D880" s="2" t="str">
        <f t="shared" si="48"/>
        <v>http://geocode.csis.u-tokyo.ac.jp/cgi-bin/simple_geocode.cgi?charset=UTF8&amp;addr=</v>
      </c>
      <c r="E880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0" t="e" cm="1">
        <f t="array" ref="F880">INDEX(_xlfn.FILTERXML(E880,"//latitude"),1)</f>
        <v>#VALUE!</v>
      </c>
      <c r="G880" t="e" cm="1">
        <f t="array" ref="G880">INDEX(_xlfn.FILTERXML(E880,"//longitude"),1)</f>
        <v>#VALUE!</v>
      </c>
      <c r="H880">
        <v>35.717064000000001</v>
      </c>
      <c r="I880">
        <v>139.732788</v>
      </c>
    </row>
    <row r="881" spans="3:9" x14ac:dyDescent="0.4">
      <c r="C881" t="str">
        <f t="shared" si="50"/>
        <v/>
      </c>
      <c r="D881" s="2" t="str">
        <f t="shared" si="48"/>
        <v>http://geocode.csis.u-tokyo.ac.jp/cgi-bin/simple_geocode.cgi?charset=UTF8&amp;addr=</v>
      </c>
      <c r="E881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1" t="e" cm="1">
        <f t="array" ref="F881">INDEX(_xlfn.FILTERXML(E881,"//latitude"),1)</f>
        <v>#VALUE!</v>
      </c>
      <c r="G881" t="e" cm="1">
        <f t="array" ref="G881">INDEX(_xlfn.FILTERXML(E881,"//longitude"),1)</f>
        <v>#VALUE!</v>
      </c>
      <c r="H881">
        <v>35.632187000000002</v>
      </c>
      <c r="I881">
        <v>139.450684</v>
      </c>
    </row>
    <row r="882" spans="3:9" x14ac:dyDescent="0.4">
      <c r="C882" t="str">
        <f t="shared" si="50"/>
        <v/>
      </c>
      <c r="D882" s="2" t="str">
        <f t="shared" si="48"/>
        <v>http://geocode.csis.u-tokyo.ac.jp/cgi-bin/simple_geocode.cgi?charset=UTF8&amp;addr=</v>
      </c>
      <c r="E882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2" t="e" cm="1">
        <f t="array" ref="F882">INDEX(_xlfn.FILTERXML(E882,"//latitude"),1)</f>
        <v>#VALUE!</v>
      </c>
      <c r="G882" t="e" cm="1">
        <f t="array" ref="G882">INDEX(_xlfn.FILTERXML(E882,"//longitude"),1)</f>
        <v>#VALUE!</v>
      </c>
      <c r="H882">
        <v>34.884841999999999</v>
      </c>
      <c r="I882">
        <v>135.42190600000001</v>
      </c>
    </row>
    <row r="883" spans="3:9" x14ac:dyDescent="0.4">
      <c r="C883" t="str">
        <f t="shared" si="50"/>
        <v/>
      </c>
      <c r="D883" s="2" t="str">
        <f t="shared" si="48"/>
        <v>http://geocode.csis.u-tokyo.ac.jp/cgi-bin/simple_geocode.cgi?charset=UTF8&amp;addr=</v>
      </c>
      <c r="E883" t="str">
        <f t="shared" si="49"/>
        <v xml:space="preserve">&lt;?xml version="1.0" encoding="UTF-8" ?&gt;
&lt;results&gt;
&lt;query&gt;&lt;/query&gt;
&lt;geodetic&gt;wgs1984&lt;/geodetic&gt;
&lt;iConf&gt;0&lt;/iConf&gt;
&lt;converted&gt;&lt;/converted&gt;
&lt;/results&gt;
</v>
      </c>
      <c r="F883" t="e" cm="1">
        <f t="array" ref="F883">INDEX(_xlfn.FILTERXML(E883,"//latitude"),1)</f>
        <v>#VALUE!</v>
      </c>
      <c r="G883" t="e" cm="1">
        <f t="array" ref="G883">INDEX(_xlfn.FILTERXML(E883,"//longitude"),1)</f>
        <v>#VALUE!</v>
      </c>
      <c r="H883">
        <v>34.810214999999999</v>
      </c>
      <c r="I883">
        <v>135.50968900000001</v>
      </c>
    </row>
    <row r="884" spans="3:9" x14ac:dyDescent="0.4">
      <c r="D884" s="2"/>
    </row>
    <row r="885" spans="3:9" x14ac:dyDescent="0.4">
      <c r="D885" s="2"/>
    </row>
    <row r="886" spans="3:9" x14ac:dyDescent="0.4">
      <c r="D886" s="2"/>
    </row>
    <row r="887" spans="3:9" x14ac:dyDescent="0.4">
      <c r="D887" s="2"/>
    </row>
    <row r="888" spans="3:9" x14ac:dyDescent="0.4">
      <c r="D888" s="2"/>
    </row>
    <row r="889" spans="3:9" x14ac:dyDescent="0.4">
      <c r="D889" s="2"/>
    </row>
    <row r="890" spans="3:9" x14ac:dyDescent="0.4">
      <c r="D890" s="2"/>
    </row>
    <row r="891" spans="3:9" x14ac:dyDescent="0.4">
      <c r="D891" s="2"/>
    </row>
    <row r="892" spans="3:9" x14ac:dyDescent="0.4">
      <c r="D892" s="2"/>
    </row>
    <row r="893" spans="3:9" x14ac:dyDescent="0.4">
      <c r="D893" s="2"/>
    </row>
    <row r="894" spans="3:9" x14ac:dyDescent="0.4">
      <c r="D894" s="2"/>
    </row>
    <row r="895" spans="3:9" x14ac:dyDescent="0.4">
      <c r="D895" s="2"/>
    </row>
    <row r="896" spans="3:9" x14ac:dyDescent="0.4">
      <c r="D896" s="2"/>
    </row>
    <row r="897" spans="4:4" x14ac:dyDescent="0.4">
      <c r="D897" s="2"/>
    </row>
    <row r="898" spans="4:4" x14ac:dyDescent="0.4">
      <c r="D898" s="2"/>
    </row>
    <row r="899" spans="4:4" x14ac:dyDescent="0.4">
      <c r="D899" s="2"/>
    </row>
    <row r="900" spans="4:4" x14ac:dyDescent="0.4">
      <c r="D900" s="2"/>
    </row>
    <row r="901" spans="4:4" x14ac:dyDescent="0.4">
      <c r="D901" s="2"/>
    </row>
    <row r="902" spans="4:4" x14ac:dyDescent="0.4">
      <c r="D902" s="2"/>
    </row>
    <row r="903" spans="4:4" x14ac:dyDescent="0.4">
      <c r="D903" s="2"/>
    </row>
    <row r="904" spans="4:4" x14ac:dyDescent="0.4">
      <c r="D904" s="2"/>
    </row>
    <row r="905" spans="4:4" x14ac:dyDescent="0.4">
      <c r="D905" s="2"/>
    </row>
    <row r="906" spans="4:4" x14ac:dyDescent="0.4">
      <c r="D906" s="2"/>
    </row>
    <row r="907" spans="4:4" x14ac:dyDescent="0.4">
      <c r="D907" s="2"/>
    </row>
    <row r="908" spans="4:4" x14ac:dyDescent="0.4">
      <c r="D908" s="2"/>
    </row>
    <row r="909" spans="4:4" x14ac:dyDescent="0.4">
      <c r="D909" s="2"/>
    </row>
    <row r="910" spans="4:4" x14ac:dyDescent="0.4">
      <c r="D910" s="2"/>
    </row>
    <row r="911" spans="4:4" x14ac:dyDescent="0.4">
      <c r="D911" s="2"/>
    </row>
    <row r="912" spans="4:4" x14ac:dyDescent="0.4">
      <c r="D912" s="2"/>
    </row>
    <row r="913" spans="4:4" x14ac:dyDescent="0.4">
      <c r="D913" s="2"/>
    </row>
    <row r="914" spans="4:4" x14ac:dyDescent="0.4">
      <c r="D914" s="2"/>
    </row>
    <row r="915" spans="4:4" x14ac:dyDescent="0.4">
      <c r="D915" s="2"/>
    </row>
    <row r="916" spans="4:4" x14ac:dyDescent="0.4">
      <c r="D916" s="2"/>
    </row>
    <row r="917" spans="4:4" x14ac:dyDescent="0.4">
      <c r="D917" s="2"/>
    </row>
    <row r="918" spans="4:4" x14ac:dyDescent="0.4">
      <c r="D918" s="2"/>
    </row>
    <row r="919" spans="4:4" x14ac:dyDescent="0.4">
      <c r="D919" s="2"/>
    </row>
    <row r="920" spans="4:4" x14ac:dyDescent="0.4">
      <c r="D920" s="2"/>
    </row>
    <row r="921" spans="4:4" x14ac:dyDescent="0.4">
      <c r="D921" s="2"/>
    </row>
    <row r="922" spans="4:4" x14ac:dyDescent="0.4">
      <c r="D922" s="2"/>
    </row>
    <row r="923" spans="4:4" x14ac:dyDescent="0.4">
      <c r="D923" s="2"/>
    </row>
    <row r="924" spans="4:4" x14ac:dyDescent="0.4">
      <c r="D924" s="2"/>
    </row>
    <row r="925" spans="4:4" x14ac:dyDescent="0.4">
      <c r="D925" s="2"/>
    </row>
    <row r="926" spans="4:4" x14ac:dyDescent="0.4">
      <c r="D926" s="2"/>
    </row>
    <row r="927" spans="4:4" x14ac:dyDescent="0.4">
      <c r="D927" s="2"/>
    </row>
    <row r="928" spans="4:4" x14ac:dyDescent="0.4">
      <c r="D928" s="2"/>
    </row>
    <row r="929" spans="4:4" x14ac:dyDescent="0.4">
      <c r="D929" s="2"/>
    </row>
    <row r="930" spans="4:4" x14ac:dyDescent="0.4">
      <c r="D930" s="2"/>
    </row>
    <row r="931" spans="4:4" x14ac:dyDescent="0.4">
      <c r="D931" s="2"/>
    </row>
    <row r="932" spans="4:4" x14ac:dyDescent="0.4">
      <c r="D932" s="2"/>
    </row>
    <row r="933" spans="4:4" x14ac:dyDescent="0.4">
      <c r="D933" s="2"/>
    </row>
    <row r="934" spans="4:4" x14ac:dyDescent="0.4">
      <c r="D934" s="2"/>
    </row>
    <row r="935" spans="4:4" x14ac:dyDescent="0.4">
      <c r="D935" s="2"/>
    </row>
    <row r="936" spans="4:4" x14ac:dyDescent="0.4">
      <c r="D936" s="2"/>
    </row>
    <row r="937" spans="4:4" x14ac:dyDescent="0.4">
      <c r="D937" s="2"/>
    </row>
    <row r="938" spans="4:4" x14ac:dyDescent="0.4">
      <c r="D938" s="2"/>
    </row>
    <row r="939" spans="4:4" x14ac:dyDescent="0.4">
      <c r="D939" s="2"/>
    </row>
    <row r="940" spans="4:4" x14ac:dyDescent="0.4">
      <c r="D940" s="2"/>
    </row>
    <row r="941" spans="4:4" x14ac:dyDescent="0.4">
      <c r="D941" s="2"/>
    </row>
    <row r="942" spans="4:4" x14ac:dyDescent="0.4">
      <c r="D942" s="2"/>
    </row>
    <row r="943" spans="4:4" x14ac:dyDescent="0.4">
      <c r="D943" s="2"/>
    </row>
    <row r="944" spans="4:4" x14ac:dyDescent="0.4">
      <c r="D944" s="2"/>
    </row>
    <row r="945" spans="4:9" x14ac:dyDescent="0.4">
      <c r="D945" s="2"/>
    </row>
    <row r="946" spans="4:9" x14ac:dyDescent="0.4">
      <c r="D946" s="2"/>
    </row>
    <row r="947" spans="4:9" x14ac:dyDescent="0.4">
      <c r="D947" s="2"/>
    </row>
    <row r="948" spans="4:9" x14ac:dyDescent="0.4">
      <c r="D948" s="2"/>
    </row>
    <row r="949" spans="4:9" x14ac:dyDescent="0.4">
      <c r="D949" s="2"/>
      <c r="H949" s="3"/>
      <c r="I949" s="3"/>
    </row>
    <row r="950" spans="4:9" x14ac:dyDescent="0.4">
      <c r="D950" s="2"/>
    </row>
    <row r="951" spans="4:9" x14ac:dyDescent="0.4">
      <c r="D951" s="2"/>
    </row>
    <row r="952" spans="4:9" x14ac:dyDescent="0.4">
      <c r="D952" s="2"/>
    </row>
    <row r="953" spans="4:9" x14ac:dyDescent="0.4">
      <c r="D953" s="2"/>
    </row>
    <row r="954" spans="4:9" x14ac:dyDescent="0.4">
      <c r="D954" s="2"/>
    </row>
    <row r="955" spans="4:9" x14ac:dyDescent="0.4">
      <c r="D955" s="2"/>
    </row>
    <row r="956" spans="4:9" x14ac:dyDescent="0.4">
      <c r="D956" s="2"/>
    </row>
    <row r="957" spans="4:9" x14ac:dyDescent="0.4">
      <c r="D957" s="2"/>
    </row>
    <row r="958" spans="4:9" x14ac:dyDescent="0.4">
      <c r="D958" s="2"/>
    </row>
    <row r="959" spans="4:9" x14ac:dyDescent="0.4">
      <c r="D959" s="2"/>
    </row>
    <row r="960" spans="4:9" x14ac:dyDescent="0.4">
      <c r="D960" s="2"/>
    </row>
    <row r="961" spans="4:9" x14ac:dyDescent="0.4">
      <c r="D961" s="2"/>
    </row>
    <row r="962" spans="4:9" x14ac:dyDescent="0.4">
      <c r="D962" s="2"/>
    </row>
    <row r="963" spans="4:9" x14ac:dyDescent="0.4">
      <c r="D963" s="2"/>
    </row>
    <row r="964" spans="4:9" x14ac:dyDescent="0.4">
      <c r="D964" s="2"/>
    </row>
    <row r="965" spans="4:9" x14ac:dyDescent="0.4">
      <c r="D965" s="2"/>
    </row>
    <row r="966" spans="4:9" x14ac:dyDescent="0.4">
      <c r="D966" s="2"/>
    </row>
    <row r="967" spans="4:9" x14ac:dyDescent="0.4">
      <c r="D967" s="2"/>
    </row>
    <row r="968" spans="4:9" x14ac:dyDescent="0.4">
      <c r="D968" s="2"/>
    </row>
    <row r="969" spans="4:9" x14ac:dyDescent="0.4">
      <c r="D969" s="2"/>
    </row>
    <row r="970" spans="4:9" x14ac:dyDescent="0.4">
      <c r="D970" s="2"/>
    </row>
    <row r="971" spans="4:9" x14ac:dyDescent="0.4">
      <c r="D971" s="2"/>
      <c r="H971" s="3"/>
      <c r="I971" s="3"/>
    </row>
    <row r="972" spans="4:9" x14ac:dyDescent="0.4">
      <c r="D972" s="2"/>
    </row>
    <row r="973" spans="4:9" x14ac:dyDescent="0.4">
      <c r="D973" s="2"/>
    </row>
    <row r="974" spans="4:9" x14ac:dyDescent="0.4">
      <c r="D974" s="2"/>
    </row>
    <row r="975" spans="4:9" x14ac:dyDescent="0.4">
      <c r="D975" s="2"/>
    </row>
    <row r="976" spans="4:9" x14ac:dyDescent="0.4">
      <c r="D976" s="2"/>
    </row>
    <row r="977" spans="4:4" x14ac:dyDescent="0.4">
      <c r="D977" s="2"/>
    </row>
    <row r="978" spans="4:4" x14ac:dyDescent="0.4">
      <c r="D978" s="2"/>
    </row>
    <row r="979" spans="4:4" x14ac:dyDescent="0.4">
      <c r="D979" s="2"/>
    </row>
    <row r="980" spans="4:4" x14ac:dyDescent="0.4">
      <c r="D980" s="2"/>
    </row>
    <row r="981" spans="4:4" x14ac:dyDescent="0.4">
      <c r="D981" s="2"/>
    </row>
    <row r="982" spans="4:4" x14ac:dyDescent="0.4">
      <c r="D982" s="2"/>
    </row>
    <row r="983" spans="4:4" x14ac:dyDescent="0.4">
      <c r="D983" s="2"/>
    </row>
    <row r="984" spans="4:4" x14ac:dyDescent="0.4">
      <c r="D984" s="2"/>
    </row>
    <row r="985" spans="4:4" x14ac:dyDescent="0.4">
      <c r="D985" s="2"/>
    </row>
    <row r="986" spans="4:4" x14ac:dyDescent="0.4">
      <c r="D986" s="2"/>
    </row>
    <row r="987" spans="4:4" x14ac:dyDescent="0.4">
      <c r="D987" s="2"/>
    </row>
    <row r="988" spans="4:4" x14ac:dyDescent="0.4">
      <c r="D988" s="2"/>
    </row>
    <row r="989" spans="4:4" x14ac:dyDescent="0.4">
      <c r="D989" s="2"/>
    </row>
    <row r="990" spans="4:4" x14ac:dyDescent="0.4">
      <c r="D990" s="2"/>
    </row>
    <row r="991" spans="4:4" x14ac:dyDescent="0.4">
      <c r="D991" s="2"/>
    </row>
    <row r="992" spans="4:4" x14ac:dyDescent="0.4">
      <c r="D992" s="2"/>
    </row>
    <row r="993" spans="4:4" x14ac:dyDescent="0.4">
      <c r="D993" s="2"/>
    </row>
    <row r="994" spans="4:4" x14ac:dyDescent="0.4">
      <c r="D994" s="2"/>
    </row>
    <row r="995" spans="4:4" x14ac:dyDescent="0.4">
      <c r="D995" s="2"/>
    </row>
    <row r="996" spans="4:4" x14ac:dyDescent="0.4">
      <c r="D996" s="2"/>
    </row>
    <row r="997" spans="4:4" x14ac:dyDescent="0.4">
      <c r="D997" s="2"/>
    </row>
    <row r="998" spans="4:4" x14ac:dyDescent="0.4">
      <c r="D998" s="2"/>
    </row>
    <row r="999" spans="4:4" x14ac:dyDescent="0.4">
      <c r="D999" s="2"/>
    </row>
    <row r="1000" spans="4:4" x14ac:dyDescent="0.4">
      <c r="D1000" s="2"/>
    </row>
    <row r="1001" spans="4:4" x14ac:dyDescent="0.4">
      <c r="D1001" s="2"/>
    </row>
    <row r="1002" spans="4:4" x14ac:dyDescent="0.4">
      <c r="D1002" s="2"/>
    </row>
    <row r="1003" spans="4:4" x14ac:dyDescent="0.4">
      <c r="D1003" s="2"/>
    </row>
    <row r="1004" spans="4:4" x14ac:dyDescent="0.4">
      <c r="D1004" s="2"/>
    </row>
    <row r="1005" spans="4:4" x14ac:dyDescent="0.4">
      <c r="D1005" s="2"/>
    </row>
    <row r="1006" spans="4:4" x14ac:dyDescent="0.4">
      <c r="D1006" s="2"/>
    </row>
    <row r="1007" spans="4:4" x14ac:dyDescent="0.4">
      <c r="D1007" s="2"/>
    </row>
    <row r="1008" spans="4:4" x14ac:dyDescent="0.4">
      <c r="D1008" s="2"/>
    </row>
    <row r="1009" spans="4:4" x14ac:dyDescent="0.4">
      <c r="D1009" s="2"/>
    </row>
    <row r="1010" spans="4:4" x14ac:dyDescent="0.4">
      <c r="D1010" s="2"/>
    </row>
    <row r="1011" spans="4:4" x14ac:dyDescent="0.4">
      <c r="D1011" s="2"/>
    </row>
    <row r="1012" spans="4:4" x14ac:dyDescent="0.4">
      <c r="D1012" s="2"/>
    </row>
    <row r="1013" spans="4:4" x14ac:dyDescent="0.4">
      <c r="D1013" s="2"/>
    </row>
    <row r="1014" spans="4:4" x14ac:dyDescent="0.4">
      <c r="D1014" s="2"/>
    </row>
    <row r="1015" spans="4:4" x14ac:dyDescent="0.4">
      <c r="D1015" s="2"/>
    </row>
    <row r="1016" spans="4:4" x14ac:dyDescent="0.4">
      <c r="D1016" s="2"/>
    </row>
    <row r="1017" spans="4:4" x14ac:dyDescent="0.4">
      <c r="D1017" s="2"/>
    </row>
    <row r="1018" spans="4:4" x14ac:dyDescent="0.4">
      <c r="D1018" s="2"/>
    </row>
    <row r="1019" spans="4:4" x14ac:dyDescent="0.4">
      <c r="D1019" s="2"/>
    </row>
    <row r="1020" spans="4:4" x14ac:dyDescent="0.4">
      <c r="D1020" s="2"/>
    </row>
    <row r="1021" spans="4:4" x14ac:dyDescent="0.4">
      <c r="D1021" s="2"/>
    </row>
    <row r="1022" spans="4:4" x14ac:dyDescent="0.4">
      <c r="D1022" s="2"/>
    </row>
    <row r="1023" spans="4:4" x14ac:dyDescent="0.4">
      <c r="D1023" s="2"/>
    </row>
    <row r="1024" spans="4:4" x14ac:dyDescent="0.4">
      <c r="D1024" s="2"/>
    </row>
    <row r="1025" spans="4:4" x14ac:dyDescent="0.4">
      <c r="D1025" s="2"/>
    </row>
    <row r="1026" spans="4:4" x14ac:dyDescent="0.4">
      <c r="D1026" s="2"/>
    </row>
    <row r="1027" spans="4:4" x14ac:dyDescent="0.4">
      <c r="D1027" s="2"/>
    </row>
    <row r="1028" spans="4:4" x14ac:dyDescent="0.4">
      <c r="D1028" s="2"/>
    </row>
    <row r="1029" spans="4:4" x14ac:dyDescent="0.4">
      <c r="D1029" s="2"/>
    </row>
    <row r="1030" spans="4:4" x14ac:dyDescent="0.4">
      <c r="D1030" s="2"/>
    </row>
    <row r="1031" spans="4:4" x14ac:dyDescent="0.4">
      <c r="D1031" s="2"/>
    </row>
    <row r="1032" spans="4:4" x14ac:dyDescent="0.4">
      <c r="D1032" s="2"/>
    </row>
    <row r="1033" spans="4:4" x14ac:dyDescent="0.4">
      <c r="D1033" s="2"/>
    </row>
    <row r="1034" spans="4:4" x14ac:dyDescent="0.4">
      <c r="D1034" s="2"/>
    </row>
    <row r="1035" spans="4:4" x14ac:dyDescent="0.4">
      <c r="D1035" s="2"/>
    </row>
    <row r="1036" spans="4:4" x14ac:dyDescent="0.4">
      <c r="D1036" s="2"/>
    </row>
    <row r="1037" spans="4:4" x14ac:dyDescent="0.4">
      <c r="D1037" s="2"/>
    </row>
    <row r="1038" spans="4:4" x14ac:dyDescent="0.4">
      <c r="D1038" s="2"/>
    </row>
    <row r="1039" spans="4:4" x14ac:dyDescent="0.4">
      <c r="D1039" s="2"/>
    </row>
    <row r="1040" spans="4:4" x14ac:dyDescent="0.4">
      <c r="D1040" s="2"/>
    </row>
    <row r="1041" spans="4:9" x14ac:dyDescent="0.4">
      <c r="D1041" s="2"/>
    </row>
    <row r="1042" spans="4:9" x14ac:dyDescent="0.4">
      <c r="D1042" s="2"/>
    </row>
    <row r="1043" spans="4:9" x14ac:dyDescent="0.4">
      <c r="D1043" s="2"/>
    </row>
    <row r="1044" spans="4:9" x14ac:dyDescent="0.4">
      <c r="D1044" s="2"/>
    </row>
    <row r="1045" spans="4:9" x14ac:dyDescent="0.4">
      <c r="D1045" s="2"/>
    </row>
    <row r="1046" spans="4:9" x14ac:dyDescent="0.4">
      <c r="D1046" s="2"/>
    </row>
    <row r="1047" spans="4:9" x14ac:dyDescent="0.4">
      <c r="D1047" s="2"/>
    </row>
    <row r="1048" spans="4:9" x14ac:dyDescent="0.4">
      <c r="D1048" s="2"/>
      <c r="H1048" s="3"/>
      <c r="I1048" s="3"/>
    </row>
    <row r="1049" spans="4:9" x14ac:dyDescent="0.4">
      <c r="D1049" s="2"/>
    </row>
    <row r="1050" spans="4:9" x14ac:dyDescent="0.4">
      <c r="D1050" s="2"/>
      <c r="H1050" s="3"/>
      <c r="I1050" s="3"/>
    </row>
    <row r="1051" spans="4:9" x14ac:dyDescent="0.4">
      <c r="D1051" s="2"/>
    </row>
    <row r="1052" spans="4:9" x14ac:dyDescent="0.4">
      <c r="D1052" s="2"/>
    </row>
    <row r="1053" spans="4:9" x14ac:dyDescent="0.4">
      <c r="D1053" s="2"/>
    </row>
    <row r="1054" spans="4:9" x14ac:dyDescent="0.4">
      <c r="D1054" s="2"/>
    </row>
    <row r="1055" spans="4:9" x14ac:dyDescent="0.4">
      <c r="D1055" s="2"/>
    </row>
    <row r="1056" spans="4:9" x14ac:dyDescent="0.4">
      <c r="D1056" s="2"/>
    </row>
    <row r="1057" spans="4:4" x14ac:dyDescent="0.4">
      <c r="D1057" s="2"/>
    </row>
    <row r="1058" spans="4:4" x14ac:dyDescent="0.4">
      <c r="D1058" s="2"/>
    </row>
    <row r="1059" spans="4:4" x14ac:dyDescent="0.4">
      <c r="D1059" s="2"/>
    </row>
    <row r="1060" spans="4:4" x14ac:dyDescent="0.4">
      <c r="D1060" s="2"/>
    </row>
    <row r="1061" spans="4:4" x14ac:dyDescent="0.4">
      <c r="D1061" s="2"/>
    </row>
    <row r="1062" spans="4:4" x14ac:dyDescent="0.4">
      <c r="D1062" s="2"/>
    </row>
    <row r="1063" spans="4:4" x14ac:dyDescent="0.4">
      <c r="D1063" s="2"/>
    </row>
    <row r="1064" spans="4:4" x14ac:dyDescent="0.4">
      <c r="D1064" s="2"/>
    </row>
    <row r="1065" spans="4:4" x14ac:dyDescent="0.4">
      <c r="D1065" s="2"/>
    </row>
    <row r="1066" spans="4:4" x14ac:dyDescent="0.4">
      <c r="D1066" s="2"/>
    </row>
    <row r="1067" spans="4:4" x14ac:dyDescent="0.4">
      <c r="D1067" s="2"/>
    </row>
    <row r="1068" spans="4:4" x14ac:dyDescent="0.4">
      <c r="D1068" s="2"/>
    </row>
    <row r="1069" spans="4:4" x14ac:dyDescent="0.4">
      <c r="D1069" s="2"/>
    </row>
    <row r="1070" spans="4:4" x14ac:dyDescent="0.4">
      <c r="D1070" s="2"/>
    </row>
    <row r="1071" spans="4:4" x14ac:dyDescent="0.4">
      <c r="D1071" s="2"/>
    </row>
    <row r="1072" spans="4:4" x14ac:dyDescent="0.4">
      <c r="D1072" s="2"/>
    </row>
    <row r="1073" spans="4:4" x14ac:dyDescent="0.4">
      <c r="D1073" s="2"/>
    </row>
    <row r="1074" spans="4:4" x14ac:dyDescent="0.4">
      <c r="D1074" s="2"/>
    </row>
    <row r="1075" spans="4:4" x14ac:dyDescent="0.4">
      <c r="D1075" s="2"/>
    </row>
    <row r="1076" spans="4:4" x14ac:dyDescent="0.4">
      <c r="D1076" s="2"/>
    </row>
    <row r="1077" spans="4:4" x14ac:dyDescent="0.4">
      <c r="D1077" s="2"/>
    </row>
    <row r="1078" spans="4:4" x14ac:dyDescent="0.4">
      <c r="D1078" s="2"/>
    </row>
    <row r="1079" spans="4:4" x14ac:dyDescent="0.4">
      <c r="D1079" s="2"/>
    </row>
    <row r="1080" spans="4:4" x14ac:dyDescent="0.4">
      <c r="D1080" s="2"/>
    </row>
    <row r="1081" spans="4:4" x14ac:dyDescent="0.4">
      <c r="D1081" s="2"/>
    </row>
    <row r="1082" spans="4:4" x14ac:dyDescent="0.4">
      <c r="D1082" s="2"/>
    </row>
    <row r="1083" spans="4:4" x14ac:dyDescent="0.4">
      <c r="D1083" s="2"/>
    </row>
    <row r="1084" spans="4:4" x14ac:dyDescent="0.4">
      <c r="D1084" s="2"/>
    </row>
    <row r="1085" spans="4:4" x14ac:dyDescent="0.4">
      <c r="D1085" s="2"/>
    </row>
    <row r="1086" spans="4:4" x14ac:dyDescent="0.4">
      <c r="D1086" s="2"/>
    </row>
    <row r="1087" spans="4:4" x14ac:dyDescent="0.4">
      <c r="D1087" s="2"/>
    </row>
    <row r="1088" spans="4:4" x14ac:dyDescent="0.4">
      <c r="D1088" s="2"/>
    </row>
    <row r="1089" spans="4:4" x14ac:dyDescent="0.4">
      <c r="D1089" s="2"/>
    </row>
    <row r="1090" spans="4:4" x14ac:dyDescent="0.4">
      <c r="D1090" s="2"/>
    </row>
    <row r="1091" spans="4:4" x14ac:dyDescent="0.4">
      <c r="D1091" s="2"/>
    </row>
    <row r="1092" spans="4:4" x14ac:dyDescent="0.4">
      <c r="D1092" s="2"/>
    </row>
    <row r="1093" spans="4:4" x14ac:dyDescent="0.4">
      <c r="D1093" s="2"/>
    </row>
    <row r="1094" spans="4:4" x14ac:dyDescent="0.4">
      <c r="D1094" s="2"/>
    </row>
    <row r="1095" spans="4:4" x14ac:dyDescent="0.4">
      <c r="D1095" s="2"/>
    </row>
    <row r="1096" spans="4:4" x14ac:dyDescent="0.4">
      <c r="D1096" s="2"/>
    </row>
    <row r="1097" spans="4:4" x14ac:dyDescent="0.4">
      <c r="D1097" s="2"/>
    </row>
    <row r="1098" spans="4:4" x14ac:dyDescent="0.4">
      <c r="D1098" s="2"/>
    </row>
    <row r="1099" spans="4:4" x14ac:dyDescent="0.4">
      <c r="D1099" s="2"/>
    </row>
    <row r="1100" spans="4:4" x14ac:dyDescent="0.4">
      <c r="D1100" s="2"/>
    </row>
    <row r="1101" spans="4:4" x14ac:dyDescent="0.4">
      <c r="D1101" s="2"/>
    </row>
    <row r="1102" spans="4:4" x14ac:dyDescent="0.4">
      <c r="D1102" s="2"/>
    </row>
    <row r="1103" spans="4:4" x14ac:dyDescent="0.4">
      <c r="D1103" s="2"/>
    </row>
    <row r="1104" spans="4:4" x14ac:dyDescent="0.4">
      <c r="D1104" s="2"/>
    </row>
    <row r="1105" spans="4:4" x14ac:dyDescent="0.4">
      <c r="D1105" s="2"/>
    </row>
    <row r="1106" spans="4:4" x14ac:dyDescent="0.4">
      <c r="D1106" s="2"/>
    </row>
    <row r="1107" spans="4:4" x14ac:dyDescent="0.4">
      <c r="D1107" s="2"/>
    </row>
    <row r="1108" spans="4:4" x14ac:dyDescent="0.4">
      <c r="D1108" s="2"/>
    </row>
    <row r="1109" spans="4:4" x14ac:dyDescent="0.4">
      <c r="D1109" s="2"/>
    </row>
    <row r="1110" spans="4:4" x14ac:dyDescent="0.4">
      <c r="D1110" s="2"/>
    </row>
    <row r="1111" spans="4:4" x14ac:dyDescent="0.4">
      <c r="D1111" s="2"/>
    </row>
    <row r="1112" spans="4:4" x14ac:dyDescent="0.4">
      <c r="D1112" s="2"/>
    </row>
    <row r="1113" spans="4:4" x14ac:dyDescent="0.4">
      <c r="D1113" s="2"/>
    </row>
    <row r="1114" spans="4:4" x14ac:dyDescent="0.4">
      <c r="D1114" s="2"/>
    </row>
    <row r="1115" spans="4:4" x14ac:dyDescent="0.4">
      <c r="D1115" s="2"/>
    </row>
    <row r="1116" spans="4:4" x14ac:dyDescent="0.4">
      <c r="D1116" s="2"/>
    </row>
    <row r="1117" spans="4:4" x14ac:dyDescent="0.4">
      <c r="D1117" s="2"/>
    </row>
    <row r="1118" spans="4:4" x14ac:dyDescent="0.4">
      <c r="D1118" s="2"/>
    </row>
    <row r="1119" spans="4:4" x14ac:dyDescent="0.4">
      <c r="D1119" s="2"/>
    </row>
    <row r="1120" spans="4:4" x14ac:dyDescent="0.4">
      <c r="D1120" s="2"/>
    </row>
    <row r="1121" spans="4:4" x14ac:dyDescent="0.4">
      <c r="D1121" s="2"/>
    </row>
    <row r="1122" spans="4:4" x14ac:dyDescent="0.4">
      <c r="D1122" s="2"/>
    </row>
    <row r="1123" spans="4:4" x14ac:dyDescent="0.4">
      <c r="D1123" s="2"/>
    </row>
    <row r="1124" spans="4:4" x14ac:dyDescent="0.4">
      <c r="D1124" s="2"/>
    </row>
    <row r="1125" spans="4:4" x14ac:dyDescent="0.4">
      <c r="D1125" s="2"/>
    </row>
    <row r="1126" spans="4:4" x14ac:dyDescent="0.4">
      <c r="D1126" s="2"/>
    </row>
    <row r="1127" spans="4:4" x14ac:dyDescent="0.4">
      <c r="D1127" s="2"/>
    </row>
    <row r="1128" spans="4:4" x14ac:dyDescent="0.4">
      <c r="D1128" s="2"/>
    </row>
    <row r="1129" spans="4:4" x14ac:dyDescent="0.4">
      <c r="D1129" s="2"/>
    </row>
    <row r="1130" spans="4:4" x14ac:dyDescent="0.4">
      <c r="D1130" s="2"/>
    </row>
    <row r="1131" spans="4:4" x14ac:dyDescent="0.4">
      <c r="D1131" s="2"/>
    </row>
    <row r="1132" spans="4:4" x14ac:dyDescent="0.4">
      <c r="D1132" s="2"/>
    </row>
    <row r="1133" spans="4:4" x14ac:dyDescent="0.4">
      <c r="D1133" s="2"/>
    </row>
    <row r="1134" spans="4:4" x14ac:dyDescent="0.4">
      <c r="D1134" s="2"/>
    </row>
    <row r="1135" spans="4:4" x14ac:dyDescent="0.4">
      <c r="D1135" s="2"/>
    </row>
    <row r="1136" spans="4:4" x14ac:dyDescent="0.4">
      <c r="D1136" s="2"/>
    </row>
    <row r="1137" spans="4:4" x14ac:dyDescent="0.4">
      <c r="D1137" s="2"/>
    </row>
    <row r="1138" spans="4:4" x14ac:dyDescent="0.4">
      <c r="D1138" s="2"/>
    </row>
    <row r="1139" spans="4:4" x14ac:dyDescent="0.4">
      <c r="D1139" s="2"/>
    </row>
    <row r="1140" spans="4:4" x14ac:dyDescent="0.4">
      <c r="D1140" s="2"/>
    </row>
    <row r="1141" spans="4:4" x14ac:dyDescent="0.4">
      <c r="D1141" s="2"/>
    </row>
    <row r="1142" spans="4:4" x14ac:dyDescent="0.4">
      <c r="D1142" s="2"/>
    </row>
    <row r="1143" spans="4:4" x14ac:dyDescent="0.4">
      <c r="D1143" s="2"/>
    </row>
    <row r="1144" spans="4:4" x14ac:dyDescent="0.4">
      <c r="D1144" s="2"/>
    </row>
    <row r="1145" spans="4:4" x14ac:dyDescent="0.4">
      <c r="D1145" s="2"/>
    </row>
    <row r="1146" spans="4:4" x14ac:dyDescent="0.4">
      <c r="D1146" s="2"/>
    </row>
    <row r="1147" spans="4:4" x14ac:dyDescent="0.4">
      <c r="D1147" s="2"/>
    </row>
    <row r="1148" spans="4:4" x14ac:dyDescent="0.4">
      <c r="D1148" s="2"/>
    </row>
    <row r="1149" spans="4:4" x14ac:dyDescent="0.4">
      <c r="D1149" s="2"/>
    </row>
    <row r="1150" spans="4:4" x14ac:dyDescent="0.4">
      <c r="D1150" s="2"/>
    </row>
    <row r="1151" spans="4:4" x14ac:dyDescent="0.4">
      <c r="D1151" s="2"/>
    </row>
    <row r="1152" spans="4:4" x14ac:dyDescent="0.4">
      <c r="D1152" s="2"/>
    </row>
    <row r="1153" spans="4:4" x14ac:dyDescent="0.4">
      <c r="D1153" s="2"/>
    </row>
    <row r="1154" spans="4:4" x14ac:dyDescent="0.4">
      <c r="D1154" s="2"/>
    </row>
    <row r="1155" spans="4:4" x14ac:dyDescent="0.4">
      <c r="D1155" s="2"/>
    </row>
    <row r="1156" spans="4:4" x14ac:dyDescent="0.4">
      <c r="D1156" s="2"/>
    </row>
    <row r="1157" spans="4:4" x14ac:dyDescent="0.4">
      <c r="D1157" s="2"/>
    </row>
    <row r="1158" spans="4:4" x14ac:dyDescent="0.4">
      <c r="D1158" s="2"/>
    </row>
    <row r="1159" spans="4:4" x14ac:dyDescent="0.4">
      <c r="D1159" s="2"/>
    </row>
    <row r="1160" spans="4:4" x14ac:dyDescent="0.4">
      <c r="D1160" s="2"/>
    </row>
    <row r="1161" spans="4:4" x14ac:dyDescent="0.4">
      <c r="D1161" s="2"/>
    </row>
    <row r="1162" spans="4:4" x14ac:dyDescent="0.4">
      <c r="D1162" s="2"/>
    </row>
    <row r="1163" spans="4:4" x14ac:dyDescent="0.4">
      <c r="D1163" s="2"/>
    </row>
    <row r="1164" spans="4:4" x14ac:dyDescent="0.4">
      <c r="D1164" s="2"/>
    </row>
    <row r="1165" spans="4:4" x14ac:dyDescent="0.4">
      <c r="D1165" s="2"/>
    </row>
    <row r="1166" spans="4:4" x14ac:dyDescent="0.4">
      <c r="D1166" s="2"/>
    </row>
    <row r="1167" spans="4:4" x14ac:dyDescent="0.4">
      <c r="D1167" s="2"/>
    </row>
    <row r="1168" spans="4:4" x14ac:dyDescent="0.4">
      <c r="D1168" s="2"/>
    </row>
    <row r="1169" spans="4:4" x14ac:dyDescent="0.4">
      <c r="D1169" s="2"/>
    </row>
    <row r="1170" spans="4:4" x14ac:dyDescent="0.4">
      <c r="D1170" s="2"/>
    </row>
    <row r="1171" spans="4:4" x14ac:dyDescent="0.4">
      <c r="D1171" s="2"/>
    </row>
    <row r="1172" spans="4:4" x14ac:dyDescent="0.4">
      <c r="D1172" s="2"/>
    </row>
    <row r="1173" spans="4:4" x14ac:dyDescent="0.4">
      <c r="D1173" s="2"/>
    </row>
    <row r="1174" spans="4:4" x14ac:dyDescent="0.4">
      <c r="D1174" s="2"/>
    </row>
    <row r="1175" spans="4:4" x14ac:dyDescent="0.4">
      <c r="D1175" s="2"/>
    </row>
    <row r="1176" spans="4:4" x14ac:dyDescent="0.4">
      <c r="D1176" s="2"/>
    </row>
    <row r="1177" spans="4:4" x14ac:dyDescent="0.4">
      <c r="D1177" s="2"/>
    </row>
    <row r="1178" spans="4:4" x14ac:dyDescent="0.4">
      <c r="D1178" s="2"/>
    </row>
    <row r="1179" spans="4:4" x14ac:dyDescent="0.4">
      <c r="D1179" s="2"/>
    </row>
    <row r="1180" spans="4:4" x14ac:dyDescent="0.4">
      <c r="D1180" s="2"/>
    </row>
    <row r="1181" spans="4:4" x14ac:dyDescent="0.4">
      <c r="D1181" s="2"/>
    </row>
    <row r="1182" spans="4:4" x14ac:dyDescent="0.4">
      <c r="D1182" s="2"/>
    </row>
    <row r="1183" spans="4:4" x14ac:dyDescent="0.4">
      <c r="D1183" s="2"/>
    </row>
    <row r="1184" spans="4:4" x14ac:dyDescent="0.4">
      <c r="D1184" s="2"/>
    </row>
    <row r="1185" spans="4:4" x14ac:dyDescent="0.4">
      <c r="D1185" s="2"/>
    </row>
    <row r="1186" spans="4:4" x14ac:dyDescent="0.4">
      <c r="D1186" s="2"/>
    </row>
    <row r="1187" spans="4:4" x14ac:dyDescent="0.4">
      <c r="D1187" s="2"/>
    </row>
    <row r="1188" spans="4:4" x14ac:dyDescent="0.4">
      <c r="D1188" s="2"/>
    </row>
    <row r="1189" spans="4:4" x14ac:dyDescent="0.4">
      <c r="D1189" s="2"/>
    </row>
    <row r="1190" spans="4:4" x14ac:dyDescent="0.4">
      <c r="D1190" s="2"/>
    </row>
    <row r="1191" spans="4:4" x14ac:dyDescent="0.4">
      <c r="D1191" s="2"/>
    </row>
    <row r="1192" spans="4:4" x14ac:dyDescent="0.4">
      <c r="D1192" s="2"/>
    </row>
    <row r="1193" spans="4:4" x14ac:dyDescent="0.4">
      <c r="D1193" s="2"/>
    </row>
    <row r="1194" spans="4:4" x14ac:dyDescent="0.4">
      <c r="D1194" s="2"/>
    </row>
    <row r="1195" spans="4:4" x14ac:dyDescent="0.4">
      <c r="D1195" s="2"/>
    </row>
    <row r="1196" spans="4:4" x14ac:dyDescent="0.4">
      <c r="D1196" s="2"/>
    </row>
    <row r="1197" spans="4:4" x14ac:dyDescent="0.4">
      <c r="D1197" s="2"/>
    </row>
    <row r="1198" spans="4:4" x14ac:dyDescent="0.4">
      <c r="D1198" s="2"/>
    </row>
    <row r="1199" spans="4:4" x14ac:dyDescent="0.4">
      <c r="D1199" s="2"/>
    </row>
    <row r="1200" spans="4:4" x14ac:dyDescent="0.4">
      <c r="D1200" s="2"/>
    </row>
    <row r="1201" spans="4:9" x14ac:dyDescent="0.4">
      <c r="D1201" s="2"/>
    </row>
    <row r="1202" spans="4:9" x14ac:dyDescent="0.4">
      <c r="D1202" s="2"/>
    </row>
    <row r="1203" spans="4:9" x14ac:dyDescent="0.4">
      <c r="D1203" s="2"/>
    </row>
    <row r="1204" spans="4:9" x14ac:dyDescent="0.4">
      <c r="D1204" s="2"/>
    </row>
    <row r="1205" spans="4:9" x14ac:dyDescent="0.4">
      <c r="D1205" s="2"/>
      <c r="H1205" s="3"/>
      <c r="I1205" s="3"/>
    </row>
    <row r="1206" spans="4:9" x14ac:dyDescent="0.4">
      <c r="D1206" s="2"/>
    </row>
    <row r="1207" spans="4:9" x14ac:dyDescent="0.4">
      <c r="D1207" s="2"/>
    </row>
    <row r="1208" spans="4:9" x14ac:dyDescent="0.4">
      <c r="D1208" s="2"/>
    </row>
    <row r="1209" spans="4:9" x14ac:dyDescent="0.4">
      <c r="D1209" s="2"/>
    </row>
    <row r="1210" spans="4:9" x14ac:dyDescent="0.4">
      <c r="D1210" s="2"/>
    </row>
    <row r="1211" spans="4:9" x14ac:dyDescent="0.4">
      <c r="D1211" s="2"/>
    </row>
    <row r="1212" spans="4:9" x14ac:dyDescent="0.4">
      <c r="D1212" s="2"/>
    </row>
    <row r="1213" spans="4:9" x14ac:dyDescent="0.4">
      <c r="D1213" s="2"/>
    </row>
    <row r="1214" spans="4:9" x14ac:dyDescent="0.4">
      <c r="D1214" s="2"/>
    </row>
    <row r="1215" spans="4:9" x14ac:dyDescent="0.4">
      <c r="D1215" s="2"/>
    </row>
    <row r="1216" spans="4:9" x14ac:dyDescent="0.4">
      <c r="D1216" s="2"/>
    </row>
    <row r="1217" spans="4:9" x14ac:dyDescent="0.4">
      <c r="D1217" s="2"/>
    </row>
    <row r="1218" spans="4:9" x14ac:dyDescent="0.4">
      <c r="D1218" s="2"/>
    </row>
    <row r="1219" spans="4:9" x14ac:dyDescent="0.4">
      <c r="D1219" s="2"/>
    </row>
    <row r="1220" spans="4:9" x14ac:dyDescent="0.4">
      <c r="D1220" s="2"/>
    </row>
    <row r="1221" spans="4:9" x14ac:dyDescent="0.4">
      <c r="D1221" s="2"/>
    </row>
    <row r="1222" spans="4:9" x14ac:dyDescent="0.4">
      <c r="D1222" s="2"/>
    </row>
    <row r="1223" spans="4:9" x14ac:dyDescent="0.4">
      <c r="D1223" s="2"/>
    </row>
    <row r="1224" spans="4:9" x14ac:dyDescent="0.4">
      <c r="D1224" s="2"/>
    </row>
    <row r="1225" spans="4:9" x14ac:dyDescent="0.4">
      <c r="D1225" s="2"/>
    </row>
    <row r="1226" spans="4:9" x14ac:dyDescent="0.4">
      <c r="D1226" s="2"/>
    </row>
    <row r="1227" spans="4:9" x14ac:dyDescent="0.4">
      <c r="D1227" s="2"/>
    </row>
    <row r="1228" spans="4:9" x14ac:dyDescent="0.4">
      <c r="D1228" s="2"/>
    </row>
    <row r="1229" spans="4:9" x14ac:dyDescent="0.4">
      <c r="D1229" s="2"/>
    </row>
    <row r="1230" spans="4:9" x14ac:dyDescent="0.4">
      <c r="D1230" s="2"/>
    </row>
    <row r="1231" spans="4:9" x14ac:dyDescent="0.4">
      <c r="D1231" s="2"/>
      <c r="H1231" s="3"/>
      <c r="I1231" s="3"/>
    </row>
    <row r="1232" spans="4:9" x14ac:dyDescent="0.4">
      <c r="D1232" s="2"/>
    </row>
    <row r="1233" spans="4:4" x14ac:dyDescent="0.4">
      <c r="D1233" s="2"/>
    </row>
    <row r="1234" spans="4:4" x14ac:dyDescent="0.4">
      <c r="D1234" s="2"/>
    </row>
    <row r="1235" spans="4:4" x14ac:dyDescent="0.4">
      <c r="D1235" s="2"/>
    </row>
    <row r="1236" spans="4:4" x14ac:dyDescent="0.4">
      <c r="D1236" s="2"/>
    </row>
    <row r="1237" spans="4:4" x14ac:dyDescent="0.4">
      <c r="D1237" s="2"/>
    </row>
    <row r="1238" spans="4:4" x14ac:dyDescent="0.4">
      <c r="D1238" s="2"/>
    </row>
    <row r="1239" spans="4:4" x14ac:dyDescent="0.4">
      <c r="D1239" s="2"/>
    </row>
    <row r="1240" spans="4:4" x14ac:dyDescent="0.4">
      <c r="D1240" s="2"/>
    </row>
    <row r="1241" spans="4:4" x14ac:dyDescent="0.4">
      <c r="D1241" s="2"/>
    </row>
    <row r="1242" spans="4:4" x14ac:dyDescent="0.4">
      <c r="D1242" s="2"/>
    </row>
    <row r="1243" spans="4:4" x14ac:dyDescent="0.4">
      <c r="D1243" s="2"/>
    </row>
    <row r="1244" spans="4:4" x14ac:dyDescent="0.4">
      <c r="D1244" s="2"/>
    </row>
    <row r="1245" spans="4:4" x14ac:dyDescent="0.4">
      <c r="D1245" s="2"/>
    </row>
    <row r="1246" spans="4:4" x14ac:dyDescent="0.4">
      <c r="D1246" s="2"/>
    </row>
    <row r="1247" spans="4:4" x14ac:dyDescent="0.4">
      <c r="D1247" s="2"/>
    </row>
    <row r="1248" spans="4:4" x14ac:dyDescent="0.4">
      <c r="D1248" s="2"/>
    </row>
    <row r="1249" spans="4:9" x14ac:dyDescent="0.4">
      <c r="D1249" s="2"/>
    </row>
    <row r="1250" spans="4:9" x14ac:dyDescent="0.4">
      <c r="D1250" s="2"/>
    </row>
    <row r="1251" spans="4:9" x14ac:dyDescent="0.4">
      <c r="D1251" s="2"/>
    </row>
    <row r="1252" spans="4:9" x14ac:dyDescent="0.4">
      <c r="D1252" s="2"/>
    </row>
    <row r="1253" spans="4:9" x14ac:dyDescent="0.4">
      <c r="D1253" s="2"/>
    </row>
    <row r="1254" spans="4:9" x14ac:dyDescent="0.4">
      <c r="D1254" s="2"/>
    </row>
    <row r="1255" spans="4:9" x14ac:dyDescent="0.4">
      <c r="D1255" s="2"/>
    </row>
    <row r="1256" spans="4:9" x14ac:dyDescent="0.4">
      <c r="D1256" s="2"/>
    </row>
    <row r="1257" spans="4:9" x14ac:dyDescent="0.4">
      <c r="D1257" s="2"/>
    </row>
    <row r="1258" spans="4:9" x14ac:dyDescent="0.4">
      <c r="D1258" s="2"/>
      <c r="H1258" s="3"/>
      <c r="I1258" s="3"/>
    </row>
    <row r="1259" spans="4:9" x14ac:dyDescent="0.4">
      <c r="D1259" s="2"/>
    </row>
    <row r="1260" spans="4:9" x14ac:dyDescent="0.4">
      <c r="D1260" s="2"/>
    </row>
    <row r="1261" spans="4:9" x14ac:dyDescent="0.4">
      <c r="D1261" s="2"/>
    </row>
    <row r="1262" spans="4:9" x14ac:dyDescent="0.4">
      <c r="D1262" s="2"/>
    </row>
    <row r="1263" spans="4:9" x14ac:dyDescent="0.4">
      <c r="D1263" s="2"/>
    </row>
    <row r="1264" spans="4:9" x14ac:dyDescent="0.4">
      <c r="D1264" s="2"/>
    </row>
    <row r="1265" spans="4:4" x14ac:dyDescent="0.4">
      <c r="D1265" s="2"/>
    </row>
    <row r="1266" spans="4:4" x14ac:dyDescent="0.4">
      <c r="D1266" s="2"/>
    </row>
    <row r="1267" spans="4:4" x14ac:dyDescent="0.4">
      <c r="D1267" s="2"/>
    </row>
    <row r="1268" spans="4:4" x14ac:dyDescent="0.4">
      <c r="D1268" s="2"/>
    </row>
    <row r="1269" spans="4:4" x14ac:dyDescent="0.4">
      <c r="D1269" s="2"/>
    </row>
    <row r="1270" spans="4:4" x14ac:dyDescent="0.4">
      <c r="D1270" s="2"/>
    </row>
    <row r="1271" spans="4:4" x14ac:dyDescent="0.4">
      <c r="D1271" s="2"/>
    </row>
    <row r="1272" spans="4:4" x14ac:dyDescent="0.4">
      <c r="D1272" s="2"/>
    </row>
    <row r="1273" spans="4:4" x14ac:dyDescent="0.4">
      <c r="D1273" s="2"/>
    </row>
    <row r="1274" spans="4:4" x14ac:dyDescent="0.4">
      <c r="D1274" s="2"/>
    </row>
    <row r="1275" spans="4:4" x14ac:dyDescent="0.4">
      <c r="D1275" s="2"/>
    </row>
    <row r="1276" spans="4:4" x14ac:dyDescent="0.4">
      <c r="D1276" s="2"/>
    </row>
    <row r="1277" spans="4:4" x14ac:dyDescent="0.4">
      <c r="D1277" s="2"/>
    </row>
    <row r="1278" spans="4:4" x14ac:dyDescent="0.4">
      <c r="D1278" s="2"/>
    </row>
    <row r="1279" spans="4:4" x14ac:dyDescent="0.4">
      <c r="D1279" s="2"/>
    </row>
    <row r="1280" spans="4:4" x14ac:dyDescent="0.4">
      <c r="D1280" s="2"/>
    </row>
    <row r="1281" spans="4:4" x14ac:dyDescent="0.4">
      <c r="D1281" s="2"/>
    </row>
    <row r="1282" spans="4:4" x14ac:dyDescent="0.4">
      <c r="D1282" s="2"/>
    </row>
    <row r="1283" spans="4:4" x14ac:dyDescent="0.4">
      <c r="D1283" s="2"/>
    </row>
    <row r="1284" spans="4:4" x14ac:dyDescent="0.4">
      <c r="D1284" s="2"/>
    </row>
    <row r="1285" spans="4:4" x14ac:dyDescent="0.4">
      <c r="D1285" s="2"/>
    </row>
    <row r="1286" spans="4:4" x14ac:dyDescent="0.4">
      <c r="D1286" s="2"/>
    </row>
    <row r="1287" spans="4:4" x14ac:dyDescent="0.4">
      <c r="D1287" s="2"/>
    </row>
    <row r="1288" spans="4:4" x14ac:dyDescent="0.4">
      <c r="D1288" s="2"/>
    </row>
    <row r="1289" spans="4:4" x14ac:dyDescent="0.4">
      <c r="D1289" s="2"/>
    </row>
    <row r="1290" spans="4:4" x14ac:dyDescent="0.4">
      <c r="D1290" s="2"/>
    </row>
    <row r="1291" spans="4:4" x14ac:dyDescent="0.4">
      <c r="D1291" s="2"/>
    </row>
    <row r="1292" spans="4:4" x14ac:dyDescent="0.4">
      <c r="D1292" s="2"/>
    </row>
    <row r="1293" spans="4:4" x14ac:dyDescent="0.4">
      <c r="D1293" s="2"/>
    </row>
    <row r="1294" spans="4:4" x14ac:dyDescent="0.4">
      <c r="D1294" s="2"/>
    </row>
    <row r="1295" spans="4:4" x14ac:dyDescent="0.4">
      <c r="D1295" s="2"/>
    </row>
    <row r="1296" spans="4:4" x14ac:dyDescent="0.4">
      <c r="D1296" s="2"/>
    </row>
    <row r="1297" spans="4:4" x14ac:dyDescent="0.4">
      <c r="D1297" s="2"/>
    </row>
    <row r="1298" spans="4:4" x14ac:dyDescent="0.4">
      <c r="D1298" s="2"/>
    </row>
    <row r="1299" spans="4:4" x14ac:dyDescent="0.4">
      <c r="D1299" s="2"/>
    </row>
    <row r="1300" spans="4:4" x14ac:dyDescent="0.4">
      <c r="D1300" s="2"/>
    </row>
    <row r="1301" spans="4:4" x14ac:dyDescent="0.4">
      <c r="D1301" s="2"/>
    </row>
    <row r="1302" spans="4:4" x14ac:dyDescent="0.4">
      <c r="D1302" s="2"/>
    </row>
    <row r="1303" spans="4:4" x14ac:dyDescent="0.4">
      <c r="D1303" s="2"/>
    </row>
    <row r="1304" spans="4:4" x14ac:dyDescent="0.4">
      <c r="D1304" s="2"/>
    </row>
    <row r="1305" spans="4:4" x14ac:dyDescent="0.4">
      <c r="D1305" s="2"/>
    </row>
    <row r="1306" spans="4:4" x14ac:dyDescent="0.4">
      <c r="D1306" s="2"/>
    </row>
    <row r="1307" spans="4:4" x14ac:dyDescent="0.4">
      <c r="D1307" s="2"/>
    </row>
    <row r="1308" spans="4:4" x14ac:dyDescent="0.4">
      <c r="D1308" s="2"/>
    </row>
    <row r="1309" spans="4:4" x14ac:dyDescent="0.4">
      <c r="D1309" s="2"/>
    </row>
    <row r="1310" spans="4:4" x14ac:dyDescent="0.4">
      <c r="D1310" s="2"/>
    </row>
    <row r="1311" spans="4:4" x14ac:dyDescent="0.4">
      <c r="D1311" s="2"/>
    </row>
    <row r="1312" spans="4:4" x14ac:dyDescent="0.4">
      <c r="D1312" s="2"/>
    </row>
    <row r="1313" spans="4:9" x14ac:dyDescent="0.4">
      <c r="D1313" s="2"/>
    </row>
    <row r="1314" spans="4:9" x14ac:dyDescent="0.4">
      <c r="D1314" s="2"/>
    </row>
    <row r="1315" spans="4:9" x14ac:dyDescent="0.4">
      <c r="D1315" s="2"/>
    </row>
    <row r="1316" spans="4:9" x14ac:dyDescent="0.4">
      <c r="D1316" s="2"/>
    </row>
    <row r="1317" spans="4:9" x14ac:dyDescent="0.4">
      <c r="D1317" s="2"/>
    </row>
    <row r="1318" spans="4:9" x14ac:dyDescent="0.4">
      <c r="D1318" s="2"/>
    </row>
    <row r="1319" spans="4:9" x14ac:dyDescent="0.4">
      <c r="D1319" s="2"/>
    </row>
    <row r="1320" spans="4:9" x14ac:dyDescent="0.4">
      <c r="D1320" s="2"/>
    </row>
    <row r="1321" spans="4:9" x14ac:dyDescent="0.4">
      <c r="D1321" s="2"/>
    </row>
    <row r="1322" spans="4:9" x14ac:dyDescent="0.4">
      <c r="D1322" s="2"/>
    </row>
    <row r="1323" spans="4:9" x14ac:dyDescent="0.4">
      <c r="D1323" s="2"/>
    </row>
    <row r="1324" spans="4:9" x14ac:dyDescent="0.4">
      <c r="D1324" s="2"/>
      <c r="H1324" s="3"/>
      <c r="I1324" s="3"/>
    </row>
    <row r="1325" spans="4:9" x14ac:dyDescent="0.4">
      <c r="D1325" s="2"/>
    </row>
    <row r="1326" spans="4:9" x14ac:dyDescent="0.4">
      <c r="D1326" s="2"/>
    </row>
    <row r="1327" spans="4:9" x14ac:dyDescent="0.4">
      <c r="D1327" s="2"/>
    </row>
    <row r="1328" spans="4:9" x14ac:dyDescent="0.4">
      <c r="D1328" s="2"/>
    </row>
    <row r="1329" spans="4:9" x14ac:dyDescent="0.4">
      <c r="D1329" s="2"/>
    </row>
    <row r="1330" spans="4:9" x14ac:dyDescent="0.4">
      <c r="D1330" s="2"/>
    </row>
    <row r="1331" spans="4:9" x14ac:dyDescent="0.4">
      <c r="D1331" s="2"/>
    </row>
    <row r="1332" spans="4:9" x14ac:dyDescent="0.4">
      <c r="D1332" s="2"/>
    </row>
    <row r="1333" spans="4:9" x14ac:dyDescent="0.4">
      <c r="D1333" s="2"/>
    </row>
    <row r="1334" spans="4:9" x14ac:dyDescent="0.4">
      <c r="D1334" s="2"/>
    </row>
    <row r="1335" spans="4:9" x14ac:dyDescent="0.4">
      <c r="D1335" s="2"/>
    </row>
    <row r="1336" spans="4:9" x14ac:dyDescent="0.4">
      <c r="D1336" s="2"/>
    </row>
    <row r="1337" spans="4:9" x14ac:dyDescent="0.4">
      <c r="D1337" s="2"/>
    </row>
    <row r="1338" spans="4:9" x14ac:dyDescent="0.4">
      <c r="D1338" s="2"/>
    </row>
    <row r="1339" spans="4:9" x14ac:dyDescent="0.4">
      <c r="D1339" s="2"/>
    </row>
    <row r="1340" spans="4:9" x14ac:dyDescent="0.4">
      <c r="D1340" s="2"/>
    </row>
    <row r="1341" spans="4:9" x14ac:dyDescent="0.4">
      <c r="D1341" s="2"/>
    </row>
    <row r="1342" spans="4:9" x14ac:dyDescent="0.4">
      <c r="D1342" s="2"/>
      <c r="H1342" s="3"/>
      <c r="I1342" s="3"/>
    </row>
    <row r="1343" spans="4:9" x14ac:dyDescent="0.4">
      <c r="D1343" s="2"/>
    </row>
    <row r="1344" spans="4:9" x14ac:dyDescent="0.4">
      <c r="D1344" s="2"/>
    </row>
    <row r="1345" spans="4:9" x14ac:dyDescent="0.4">
      <c r="D1345" s="2"/>
    </row>
    <row r="1346" spans="4:9" x14ac:dyDescent="0.4">
      <c r="D1346" s="2"/>
    </row>
    <row r="1347" spans="4:9" x14ac:dyDescent="0.4">
      <c r="D1347" s="2"/>
    </row>
    <row r="1348" spans="4:9" x14ac:dyDescent="0.4">
      <c r="D1348" s="2"/>
    </row>
    <row r="1349" spans="4:9" x14ac:dyDescent="0.4">
      <c r="D1349" s="2"/>
    </row>
    <row r="1350" spans="4:9" x14ac:dyDescent="0.4">
      <c r="D1350" s="2"/>
    </row>
    <row r="1351" spans="4:9" x14ac:dyDescent="0.4">
      <c r="D1351" s="2"/>
    </row>
    <row r="1352" spans="4:9" x14ac:dyDescent="0.4">
      <c r="D1352" s="2"/>
    </row>
    <row r="1353" spans="4:9" x14ac:dyDescent="0.4">
      <c r="D1353" s="2"/>
    </row>
    <row r="1354" spans="4:9" x14ac:dyDescent="0.4">
      <c r="D1354" s="2"/>
      <c r="H1354" s="3"/>
      <c r="I1354" s="3"/>
    </row>
    <row r="1355" spans="4:9" x14ac:dyDescent="0.4">
      <c r="D1355" s="2"/>
    </row>
    <row r="1356" spans="4:9" x14ac:dyDescent="0.4">
      <c r="D1356" s="2"/>
    </row>
    <row r="1357" spans="4:9" x14ac:dyDescent="0.4">
      <c r="D1357" s="2"/>
    </row>
    <row r="1358" spans="4:9" x14ac:dyDescent="0.4">
      <c r="D1358" s="2"/>
    </row>
    <row r="1359" spans="4:9" x14ac:dyDescent="0.4">
      <c r="D1359" s="2"/>
    </row>
    <row r="1360" spans="4:9" x14ac:dyDescent="0.4">
      <c r="D1360" s="2"/>
    </row>
    <row r="1361" spans="4:4" x14ac:dyDescent="0.4">
      <c r="D1361" s="2"/>
    </row>
    <row r="1362" spans="4:4" x14ac:dyDescent="0.4">
      <c r="D1362" s="2"/>
    </row>
    <row r="1363" spans="4:4" x14ac:dyDescent="0.4">
      <c r="D1363" s="2"/>
    </row>
    <row r="1364" spans="4:4" x14ac:dyDescent="0.4">
      <c r="D1364" s="2"/>
    </row>
    <row r="1365" spans="4:4" x14ac:dyDescent="0.4">
      <c r="D1365" s="2"/>
    </row>
    <row r="1366" spans="4:4" x14ac:dyDescent="0.4">
      <c r="D1366" s="2"/>
    </row>
    <row r="1367" spans="4:4" x14ac:dyDescent="0.4">
      <c r="D1367" s="2"/>
    </row>
    <row r="1368" spans="4:4" x14ac:dyDescent="0.4">
      <c r="D1368" s="2"/>
    </row>
    <row r="1369" spans="4:4" x14ac:dyDescent="0.4">
      <c r="D1369" s="2"/>
    </row>
    <row r="1370" spans="4:4" x14ac:dyDescent="0.4">
      <c r="D1370" s="2"/>
    </row>
    <row r="1371" spans="4:4" x14ac:dyDescent="0.4">
      <c r="D1371" s="2"/>
    </row>
    <row r="1372" spans="4:4" x14ac:dyDescent="0.4">
      <c r="D1372" s="2"/>
    </row>
    <row r="1373" spans="4:4" x14ac:dyDescent="0.4">
      <c r="D1373" s="2"/>
    </row>
    <row r="1374" spans="4:4" x14ac:dyDescent="0.4">
      <c r="D1374" s="2"/>
    </row>
    <row r="1375" spans="4:4" x14ac:dyDescent="0.4">
      <c r="D1375" s="2"/>
    </row>
    <row r="1376" spans="4:4" x14ac:dyDescent="0.4">
      <c r="D1376" s="2"/>
    </row>
    <row r="1377" spans="4:9" x14ac:dyDescent="0.4">
      <c r="D1377" s="2"/>
    </row>
    <row r="1378" spans="4:9" x14ac:dyDescent="0.4">
      <c r="D1378" s="2"/>
      <c r="H1378" s="3"/>
      <c r="I1378" s="3"/>
    </row>
    <row r="1379" spans="4:9" x14ac:dyDescent="0.4">
      <c r="D1379" s="2"/>
    </row>
    <row r="1380" spans="4:9" x14ac:dyDescent="0.4">
      <c r="D1380" s="2"/>
    </row>
    <row r="1381" spans="4:9" x14ac:dyDescent="0.4">
      <c r="D1381" s="2"/>
    </row>
    <row r="1382" spans="4:9" x14ac:dyDescent="0.4">
      <c r="D1382" s="2"/>
    </row>
    <row r="1383" spans="4:9" x14ac:dyDescent="0.4">
      <c r="D1383" s="2"/>
    </row>
    <row r="1384" spans="4:9" x14ac:dyDescent="0.4">
      <c r="D1384" s="2"/>
    </row>
    <row r="1385" spans="4:9" x14ac:dyDescent="0.4">
      <c r="D1385" s="2"/>
    </row>
    <row r="1386" spans="4:9" x14ac:dyDescent="0.4">
      <c r="D1386" s="2"/>
    </row>
    <row r="1387" spans="4:9" x14ac:dyDescent="0.4">
      <c r="D1387" s="2"/>
    </row>
    <row r="1388" spans="4:9" x14ac:dyDescent="0.4">
      <c r="D1388" s="2"/>
    </row>
    <row r="1389" spans="4:9" x14ac:dyDescent="0.4">
      <c r="D1389" s="2"/>
    </row>
    <row r="1390" spans="4:9" x14ac:dyDescent="0.4">
      <c r="D1390" s="2"/>
    </row>
    <row r="1391" spans="4:9" x14ac:dyDescent="0.4">
      <c r="D1391" s="2"/>
    </row>
    <row r="1392" spans="4:9" x14ac:dyDescent="0.4">
      <c r="D1392" s="2"/>
    </row>
    <row r="1393" spans="4:4" x14ac:dyDescent="0.4">
      <c r="D1393" s="2"/>
    </row>
    <row r="1394" spans="4:4" x14ac:dyDescent="0.4">
      <c r="D1394" s="2"/>
    </row>
    <row r="1395" spans="4:4" x14ac:dyDescent="0.4">
      <c r="D1395" s="2"/>
    </row>
    <row r="1396" spans="4:4" x14ac:dyDescent="0.4">
      <c r="D1396" s="2"/>
    </row>
    <row r="1397" spans="4:4" x14ac:dyDescent="0.4">
      <c r="D1397" s="2"/>
    </row>
    <row r="1398" spans="4:4" x14ac:dyDescent="0.4">
      <c r="D1398" s="2"/>
    </row>
    <row r="1399" spans="4:4" x14ac:dyDescent="0.4">
      <c r="D1399" s="2"/>
    </row>
    <row r="1400" spans="4:4" x14ac:dyDescent="0.4">
      <c r="D1400" s="2"/>
    </row>
    <row r="1401" spans="4:4" x14ac:dyDescent="0.4">
      <c r="D1401" s="2"/>
    </row>
    <row r="1402" spans="4:4" x14ac:dyDescent="0.4">
      <c r="D1402" s="2"/>
    </row>
    <row r="1403" spans="4:4" x14ac:dyDescent="0.4">
      <c r="D1403" s="2"/>
    </row>
    <row r="1404" spans="4:4" x14ac:dyDescent="0.4">
      <c r="D1404" s="2"/>
    </row>
    <row r="1405" spans="4:4" x14ac:dyDescent="0.4">
      <c r="D1405" s="2"/>
    </row>
    <row r="1406" spans="4:4" x14ac:dyDescent="0.4">
      <c r="D1406" s="2"/>
    </row>
    <row r="1407" spans="4:4" x14ac:dyDescent="0.4">
      <c r="D1407" s="2"/>
    </row>
    <row r="1408" spans="4:4" x14ac:dyDescent="0.4">
      <c r="D1408" s="2"/>
    </row>
    <row r="1409" spans="4:9" x14ac:dyDescent="0.4">
      <c r="D1409" s="2"/>
      <c r="H1409" s="3"/>
      <c r="I1409" s="3"/>
    </row>
    <row r="1410" spans="4:9" x14ac:dyDescent="0.4">
      <c r="D1410" s="2"/>
    </row>
    <row r="1411" spans="4:9" x14ac:dyDescent="0.4">
      <c r="D1411" s="2"/>
    </row>
    <row r="1412" spans="4:9" x14ac:dyDescent="0.4">
      <c r="D1412" s="2"/>
    </row>
    <row r="1413" spans="4:9" x14ac:dyDescent="0.4">
      <c r="D1413" s="2"/>
    </row>
    <row r="1414" spans="4:9" x14ac:dyDescent="0.4">
      <c r="D1414" s="2"/>
    </row>
    <row r="1415" spans="4:9" x14ac:dyDescent="0.4">
      <c r="D1415" s="2"/>
    </row>
    <row r="1416" spans="4:9" x14ac:dyDescent="0.4">
      <c r="D1416" s="2"/>
    </row>
    <row r="1417" spans="4:9" x14ac:dyDescent="0.4">
      <c r="D1417" s="2"/>
    </row>
    <row r="1418" spans="4:9" x14ac:dyDescent="0.4">
      <c r="D1418" s="2"/>
    </row>
    <row r="1419" spans="4:9" x14ac:dyDescent="0.4">
      <c r="D1419" s="2"/>
    </row>
    <row r="1420" spans="4:9" x14ac:dyDescent="0.4">
      <c r="D1420" s="2"/>
    </row>
    <row r="1421" spans="4:9" x14ac:dyDescent="0.4">
      <c r="D1421" s="2"/>
    </row>
    <row r="1422" spans="4:9" x14ac:dyDescent="0.4">
      <c r="D1422" s="2"/>
    </row>
    <row r="1423" spans="4:9" x14ac:dyDescent="0.4">
      <c r="D1423" s="2"/>
    </row>
    <row r="1424" spans="4:9" x14ac:dyDescent="0.4">
      <c r="D1424" s="2"/>
    </row>
    <row r="1425" spans="4:4" x14ac:dyDescent="0.4">
      <c r="D1425" s="2"/>
    </row>
    <row r="1426" spans="4:4" x14ac:dyDescent="0.4">
      <c r="D1426" s="2"/>
    </row>
    <row r="1427" spans="4:4" x14ac:dyDescent="0.4">
      <c r="D1427" s="2"/>
    </row>
    <row r="1428" spans="4:4" x14ac:dyDescent="0.4">
      <c r="D1428" s="2"/>
    </row>
    <row r="1429" spans="4:4" x14ac:dyDescent="0.4">
      <c r="D1429" s="2"/>
    </row>
    <row r="1430" spans="4:4" x14ac:dyDescent="0.4">
      <c r="D1430" s="2"/>
    </row>
    <row r="1431" spans="4:4" x14ac:dyDescent="0.4">
      <c r="D1431" s="2"/>
    </row>
    <row r="1432" spans="4:4" x14ac:dyDescent="0.4">
      <c r="D1432" s="2"/>
    </row>
    <row r="1433" spans="4:4" x14ac:dyDescent="0.4">
      <c r="D1433" s="2"/>
    </row>
    <row r="1434" spans="4:4" x14ac:dyDescent="0.4">
      <c r="D1434" s="2"/>
    </row>
    <row r="1435" spans="4:4" x14ac:dyDescent="0.4">
      <c r="D1435" s="2"/>
    </row>
    <row r="1436" spans="4:4" x14ac:dyDescent="0.4">
      <c r="D1436" s="2"/>
    </row>
    <row r="1437" spans="4:4" x14ac:dyDescent="0.4">
      <c r="D1437" s="2"/>
    </row>
    <row r="1438" spans="4:4" x14ac:dyDescent="0.4">
      <c r="D1438" s="2"/>
    </row>
    <row r="1439" spans="4:4" x14ac:dyDescent="0.4">
      <c r="D1439" s="2"/>
    </row>
    <row r="1440" spans="4:4" x14ac:dyDescent="0.4">
      <c r="D1440" s="2"/>
    </row>
    <row r="1441" spans="4:4" x14ac:dyDescent="0.4">
      <c r="D1441" s="2"/>
    </row>
    <row r="1442" spans="4:4" x14ac:dyDescent="0.4">
      <c r="D1442" s="2"/>
    </row>
    <row r="1443" spans="4:4" x14ac:dyDescent="0.4">
      <c r="D1443" s="2"/>
    </row>
    <row r="1444" spans="4:4" x14ac:dyDescent="0.4">
      <c r="D1444" s="2"/>
    </row>
    <row r="1445" spans="4:4" x14ac:dyDescent="0.4">
      <c r="D1445" s="2"/>
    </row>
    <row r="1446" spans="4:4" x14ac:dyDescent="0.4">
      <c r="D1446" s="2"/>
    </row>
    <row r="1447" spans="4:4" x14ac:dyDescent="0.4">
      <c r="D1447" s="2"/>
    </row>
    <row r="1448" spans="4:4" x14ac:dyDescent="0.4">
      <c r="D1448" s="2"/>
    </row>
    <row r="1449" spans="4:4" x14ac:dyDescent="0.4">
      <c r="D1449" s="2"/>
    </row>
    <row r="1450" spans="4:4" x14ac:dyDescent="0.4">
      <c r="D1450" s="2"/>
    </row>
    <row r="1451" spans="4:4" x14ac:dyDescent="0.4">
      <c r="D1451" s="2"/>
    </row>
    <row r="1452" spans="4:4" x14ac:dyDescent="0.4">
      <c r="D1452" s="2"/>
    </row>
    <row r="1453" spans="4:4" x14ac:dyDescent="0.4">
      <c r="D1453" s="2"/>
    </row>
    <row r="1454" spans="4:4" x14ac:dyDescent="0.4">
      <c r="D1454" s="2"/>
    </row>
    <row r="1455" spans="4:4" x14ac:dyDescent="0.4">
      <c r="D1455" s="2"/>
    </row>
    <row r="1456" spans="4:4" x14ac:dyDescent="0.4">
      <c r="D1456" s="2"/>
    </row>
    <row r="1457" spans="4:4" x14ac:dyDescent="0.4">
      <c r="D1457" s="2"/>
    </row>
    <row r="1458" spans="4:4" x14ac:dyDescent="0.4">
      <c r="D1458" s="2"/>
    </row>
    <row r="1459" spans="4:4" x14ac:dyDescent="0.4">
      <c r="D1459" s="2"/>
    </row>
    <row r="1460" spans="4:4" x14ac:dyDescent="0.4">
      <c r="D1460" s="2"/>
    </row>
    <row r="1461" spans="4:4" x14ac:dyDescent="0.4">
      <c r="D1461" s="2"/>
    </row>
    <row r="1462" spans="4:4" x14ac:dyDescent="0.4">
      <c r="D1462" s="2"/>
    </row>
    <row r="1463" spans="4:4" x14ac:dyDescent="0.4">
      <c r="D1463" s="2"/>
    </row>
    <row r="1464" spans="4:4" x14ac:dyDescent="0.4">
      <c r="D1464" s="2"/>
    </row>
    <row r="1465" spans="4:4" x14ac:dyDescent="0.4">
      <c r="D1465" s="2"/>
    </row>
    <row r="1466" spans="4:4" x14ac:dyDescent="0.4">
      <c r="D1466" s="2"/>
    </row>
    <row r="1467" spans="4:4" x14ac:dyDescent="0.4">
      <c r="D1467" s="2"/>
    </row>
    <row r="1468" spans="4:4" x14ac:dyDescent="0.4">
      <c r="D1468" s="2"/>
    </row>
    <row r="1469" spans="4:4" x14ac:dyDescent="0.4">
      <c r="D1469" s="2"/>
    </row>
    <row r="1470" spans="4:4" x14ac:dyDescent="0.4">
      <c r="D1470" s="2"/>
    </row>
    <row r="1471" spans="4:4" x14ac:dyDescent="0.4">
      <c r="D1471" s="2"/>
    </row>
    <row r="1472" spans="4:4" x14ac:dyDescent="0.4">
      <c r="D1472" s="2"/>
    </row>
    <row r="1473" spans="4:4" x14ac:dyDescent="0.4">
      <c r="D1473" s="2"/>
    </row>
    <row r="1474" spans="4:4" x14ac:dyDescent="0.4">
      <c r="D1474" s="2"/>
    </row>
    <row r="1475" spans="4:4" x14ac:dyDescent="0.4">
      <c r="D1475" s="2"/>
    </row>
    <row r="1476" spans="4:4" x14ac:dyDescent="0.4">
      <c r="D1476" s="2"/>
    </row>
    <row r="1477" spans="4:4" x14ac:dyDescent="0.4">
      <c r="D1477" s="2"/>
    </row>
    <row r="1478" spans="4:4" x14ac:dyDescent="0.4">
      <c r="D1478" s="2"/>
    </row>
    <row r="1479" spans="4:4" x14ac:dyDescent="0.4">
      <c r="D1479" s="2"/>
    </row>
    <row r="1480" spans="4:4" x14ac:dyDescent="0.4">
      <c r="D1480" s="2"/>
    </row>
    <row r="1481" spans="4:4" x14ac:dyDescent="0.4">
      <c r="D1481" s="2"/>
    </row>
    <row r="1482" spans="4:4" x14ac:dyDescent="0.4">
      <c r="D1482" s="2"/>
    </row>
    <row r="1483" spans="4:4" x14ac:dyDescent="0.4">
      <c r="D1483" s="2"/>
    </row>
    <row r="1484" spans="4:4" x14ac:dyDescent="0.4">
      <c r="D1484" s="2"/>
    </row>
    <row r="1485" spans="4:4" x14ac:dyDescent="0.4">
      <c r="D1485" s="2"/>
    </row>
    <row r="1486" spans="4:4" x14ac:dyDescent="0.4">
      <c r="D1486" s="2"/>
    </row>
    <row r="1487" spans="4:4" x14ac:dyDescent="0.4">
      <c r="D1487" s="2"/>
    </row>
    <row r="1488" spans="4:4" x14ac:dyDescent="0.4">
      <c r="D1488" s="2"/>
    </row>
    <row r="1489" spans="4:9" x14ac:dyDescent="0.4">
      <c r="D1489" s="2"/>
    </row>
    <row r="1490" spans="4:9" x14ac:dyDescent="0.4">
      <c r="D1490" s="2"/>
    </row>
    <row r="1491" spans="4:9" x14ac:dyDescent="0.4">
      <c r="D1491" s="2"/>
      <c r="H1491" s="3"/>
      <c r="I1491" s="3"/>
    </row>
    <row r="1492" spans="4:9" x14ac:dyDescent="0.4">
      <c r="D1492" s="2"/>
    </row>
    <row r="1493" spans="4:9" x14ac:dyDescent="0.4">
      <c r="D1493" s="2"/>
    </row>
    <row r="1494" spans="4:9" x14ac:dyDescent="0.4">
      <c r="D1494" s="2"/>
    </row>
    <row r="1495" spans="4:9" x14ac:dyDescent="0.4">
      <c r="D1495" s="2"/>
    </row>
    <row r="1496" spans="4:9" x14ac:dyDescent="0.4">
      <c r="D1496" s="2"/>
    </row>
    <row r="1497" spans="4:9" x14ac:dyDescent="0.4">
      <c r="D1497" s="2"/>
    </row>
    <row r="1498" spans="4:9" x14ac:dyDescent="0.4">
      <c r="D1498" s="2"/>
    </row>
    <row r="1499" spans="4:9" x14ac:dyDescent="0.4">
      <c r="D1499" s="2"/>
    </row>
    <row r="1500" spans="4:9" x14ac:dyDescent="0.4">
      <c r="D1500" s="2"/>
    </row>
    <row r="1501" spans="4:9" x14ac:dyDescent="0.4">
      <c r="D1501" s="2"/>
    </row>
    <row r="1502" spans="4:9" x14ac:dyDescent="0.4">
      <c r="D1502" s="2"/>
    </row>
    <row r="1503" spans="4:9" x14ac:dyDescent="0.4">
      <c r="D1503" s="2"/>
    </row>
    <row r="1504" spans="4:9" x14ac:dyDescent="0.4">
      <c r="D1504" s="2"/>
    </row>
    <row r="1505" spans="4:4" x14ac:dyDescent="0.4">
      <c r="D1505" s="2"/>
    </row>
    <row r="1506" spans="4:4" x14ac:dyDescent="0.4">
      <c r="D1506" s="2"/>
    </row>
    <row r="1507" spans="4:4" x14ac:dyDescent="0.4">
      <c r="D1507" s="2"/>
    </row>
    <row r="1508" spans="4:4" x14ac:dyDescent="0.4">
      <c r="D1508" s="2"/>
    </row>
    <row r="1509" spans="4:4" x14ac:dyDescent="0.4">
      <c r="D1509" s="2"/>
    </row>
    <row r="1510" spans="4:4" x14ac:dyDescent="0.4">
      <c r="D1510" s="2"/>
    </row>
    <row r="1511" spans="4:4" x14ac:dyDescent="0.4">
      <c r="D1511" s="2"/>
    </row>
    <row r="1512" spans="4:4" x14ac:dyDescent="0.4">
      <c r="D1512" s="2"/>
    </row>
    <row r="1513" spans="4:4" x14ac:dyDescent="0.4">
      <c r="D1513" s="2"/>
    </row>
    <row r="1514" spans="4:4" x14ac:dyDescent="0.4">
      <c r="D1514" s="2"/>
    </row>
    <row r="1515" spans="4:4" x14ac:dyDescent="0.4">
      <c r="D1515" s="2"/>
    </row>
    <row r="1516" spans="4:4" x14ac:dyDescent="0.4">
      <c r="D1516" s="2"/>
    </row>
    <row r="1517" spans="4:4" x14ac:dyDescent="0.4">
      <c r="D1517" s="2"/>
    </row>
    <row r="1518" spans="4:4" x14ac:dyDescent="0.4">
      <c r="D1518" s="2"/>
    </row>
    <row r="1519" spans="4:4" x14ac:dyDescent="0.4">
      <c r="D1519" s="2"/>
    </row>
    <row r="1520" spans="4:4" x14ac:dyDescent="0.4">
      <c r="D1520" s="2"/>
    </row>
    <row r="1521" spans="4:4" x14ac:dyDescent="0.4">
      <c r="D1521" s="2"/>
    </row>
    <row r="1522" spans="4:4" x14ac:dyDescent="0.4">
      <c r="D1522" s="2"/>
    </row>
    <row r="1523" spans="4:4" x14ac:dyDescent="0.4">
      <c r="D1523" s="2"/>
    </row>
    <row r="1524" spans="4:4" x14ac:dyDescent="0.4">
      <c r="D1524" s="2"/>
    </row>
    <row r="1525" spans="4:4" x14ac:dyDescent="0.4">
      <c r="D1525" s="2"/>
    </row>
    <row r="1526" spans="4:4" x14ac:dyDescent="0.4">
      <c r="D1526" s="2"/>
    </row>
    <row r="1527" spans="4:4" x14ac:dyDescent="0.4">
      <c r="D1527" s="2"/>
    </row>
    <row r="1528" spans="4:4" x14ac:dyDescent="0.4">
      <c r="D1528" s="2"/>
    </row>
    <row r="1529" spans="4:4" x14ac:dyDescent="0.4">
      <c r="D1529" s="2"/>
    </row>
    <row r="1530" spans="4:4" x14ac:dyDescent="0.4">
      <c r="D1530" s="2"/>
    </row>
    <row r="1531" spans="4:4" x14ac:dyDescent="0.4">
      <c r="D1531" s="2"/>
    </row>
    <row r="1532" spans="4:4" x14ac:dyDescent="0.4">
      <c r="D1532" s="2"/>
    </row>
    <row r="1533" spans="4:4" x14ac:dyDescent="0.4">
      <c r="D1533" s="2"/>
    </row>
    <row r="1534" spans="4:4" x14ac:dyDescent="0.4">
      <c r="D1534" s="2"/>
    </row>
    <row r="1535" spans="4:4" x14ac:dyDescent="0.4">
      <c r="D1535" s="2"/>
    </row>
    <row r="1536" spans="4:4" x14ac:dyDescent="0.4">
      <c r="D1536" s="2"/>
    </row>
    <row r="1537" spans="4:4" x14ac:dyDescent="0.4">
      <c r="D1537" s="2"/>
    </row>
    <row r="1538" spans="4:4" x14ac:dyDescent="0.4">
      <c r="D1538" s="2"/>
    </row>
    <row r="1539" spans="4:4" x14ac:dyDescent="0.4">
      <c r="D1539" s="2"/>
    </row>
    <row r="1540" spans="4:4" x14ac:dyDescent="0.4">
      <c r="D1540" s="2"/>
    </row>
    <row r="1541" spans="4:4" x14ac:dyDescent="0.4">
      <c r="D1541" s="2"/>
    </row>
    <row r="1542" spans="4:4" x14ac:dyDescent="0.4">
      <c r="D1542" s="2"/>
    </row>
    <row r="1543" spans="4:4" x14ac:dyDescent="0.4">
      <c r="D1543" s="2"/>
    </row>
    <row r="1544" spans="4:4" x14ac:dyDescent="0.4">
      <c r="D1544" s="2"/>
    </row>
    <row r="1545" spans="4:4" x14ac:dyDescent="0.4">
      <c r="D1545" s="2"/>
    </row>
    <row r="1546" spans="4:4" x14ac:dyDescent="0.4">
      <c r="D1546" s="2"/>
    </row>
    <row r="1547" spans="4:4" x14ac:dyDescent="0.4">
      <c r="D1547" s="2"/>
    </row>
    <row r="1548" spans="4:4" x14ac:dyDescent="0.4">
      <c r="D1548" s="2"/>
    </row>
    <row r="1549" spans="4:4" x14ac:dyDescent="0.4">
      <c r="D1549" s="2"/>
    </row>
    <row r="1550" spans="4:4" x14ac:dyDescent="0.4">
      <c r="D1550" s="2"/>
    </row>
    <row r="1551" spans="4:4" x14ac:dyDescent="0.4">
      <c r="D1551" s="2"/>
    </row>
    <row r="1552" spans="4:4" x14ac:dyDescent="0.4">
      <c r="D1552" s="2"/>
    </row>
    <row r="1553" spans="4:9" x14ac:dyDescent="0.4">
      <c r="D1553" s="2"/>
    </row>
    <row r="1554" spans="4:9" x14ac:dyDescent="0.4">
      <c r="D1554" s="2"/>
    </row>
    <row r="1555" spans="4:9" x14ac:dyDescent="0.4">
      <c r="D1555" s="2"/>
    </row>
    <row r="1556" spans="4:9" x14ac:dyDescent="0.4">
      <c r="D1556" s="2"/>
    </row>
    <row r="1557" spans="4:9" x14ac:dyDescent="0.4">
      <c r="D1557" s="2"/>
    </row>
    <row r="1558" spans="4:9" x14ac:dyDescent="0.4">
      <c r="D1558" s="2"/>
    </row>
    <row r="1559" spans="4:9" x14ac:dyDescent="0.4">
      <c r="D1559" s="2"/>
    </row>
    <row r="1560" spans="4:9" x14ac:dyDescent="0.4">
      <c r="D1560" s="2"/>
    </row>
    <row r="1561" spans="4:9" x14ac:dyDescent="0.4">
      <c r="D1561" s="2"/>
    </row>
    <row r="1562" spans="4:9" x14ac:dyDescent="0.4">
      <c r="D1562" s="2"/>
    </row>
    <row r="1563" spans="4:9" x14ac:dyDescent="0.4">
      <c r="D1563" s="2"/>
      <c r="H1563" s="3"/>
      <c r="I1563" s="3"/>
    </row>
    <row r="1564" spans="4:9" x14ac:dyDescent="0.4">
      <c r="D1564" s="2"/>
    </row>
    <row r="1565" spans="4:9" x14ac:dyDescent="0.4">
      <c r="D1565" s="2"/>
    </row>
    <row r="1566" spans="4:9" x14ac:dyDescent="0.4">
      <c r="D1566" s="2"/>
    </row>
    <row r="1567" spans="4:9" x14ac:dyDescent="0.4">
      <c r="D1567" s="2"/>
    </row>
    <row r="1568" spans="4:9" x14ac:dyDescent="0.4">
      <c r="D1568" s="2"/>
    </row>
    <row r="1569" spans="4:9" x14ac:dyDescent="0.4">
      <c r="D1569" s="2"/>
    </row>
    <row r="1570" spans="4:9" x14ac:dyDescent="0.4">
      <c r="D1570" s="2"/>
    </row>
    <row r="1571" spans="4:9" x14ac:dyDescent="0.4">
      <c r="D1571" s="2"/>
    </row>
    <row r="1572" spans="4:9" x14ac:dyDescent="0.4">
      <c r="D1572" s="2"/>
    </row>
    <row r="1573" spans="4:9" x14ac:dyDescent="0.4">
      <c r="D1573" s="2"/>
    </row>
    <row r="1574" spans="4:9" x14ac:dyDescent="0.4">
      <c r="D1574" s="2"/>
    </row>
    <row r="1575" spans="4:9" x14ac:dyDescent="0.4">
      <c r="D1575" s="2"/>
    </row>
    <row r="1576" spans="4:9" x14ac:dyDescent="0.4">
      <c r="D1576" s="2"/>
    </row>
    <row r="1577" spans="4:9" x14ac:dyDescent="0.4">
      <c r="D1577" s="2"/>
    </row>
    <row r="1578" spans="4:9" x14ac:dyDescent="0.4">
      <c r="D1578" s="2"/>
    </row>
    <row r="1579" spans="4:9" x14ac:dyDescent="0.4">
      <c r="D1579" s="2"/>
    </row>
    <row r="1580" spans="4:9" x14ac:dyDescent="0.4">
      <c r="D1580" s="2"/>
      <c r="H1580" s="3"/>
      <c r="I1580" s="3"/>
    </row>
    <row r="1581" spans="4:9" x14ac:dyDescent="0.4">
      <c r="D1581" s="2"/>
    </row>
    <row r="1582" spans="4:9" x14ac:dyDescent="0.4">
      <c r="D1582" s="2"/>
    </row>
    <row r="1583" spans="4:9" x14ac:dyDescent="0.4">
      <c r="D1583" s="2"/>
    </row>
    <row r="1584" spans="4:9" x14ac:dyDescent="0.4">
      <c r="D1584" s="2"/>
    </row>
    <row r="1585" spans="4:4" x14ac:dyDescent="0.4">
      <c r="D1585" s="2"/>
    </row>
    <row r="1586" spans="4:4" x14ac:dyDescent="0.4">
      <c r="D1586" s="2"/>
    </row>
    <row r="1587" spans="4:4" x14ac:dyDescent="0.4">
      <c r="D1587" s="2"/>
    </row>
    <row r="1588" spans="4:4" x14ac:dyDescent="0.4">
      <c r="D1588" s="2"/>
    </row>
    <row r="1589" spans="4:4" x14ac:dyDescent="0.4">
      <c r="D1589" s="2"/>
    </row>
    <row r="1590" spans="4:4" x14ac:dyDescent="0.4">
      <c r="D1590" s="2"/>
    </row>
    <row r="1591" spans="4:4" x14ac:dyDescent="0.4">
      <c r="D1591" s="2"/>
    </row>
    <row r="1592" spans="4:4" x14ac:dyDescent="0.4">
      <c r="D1592" s="2"/>
    </row>
    <row r="1593" spans="4:4" x14ac:dyDescent="0.4">
      <c r="D1593" s="2"/>
    </row>
    <row r="1594" spans="4:4" x14ac:dyDescent="0.4">
      <c r="D1594" s="2"/>
    </row>
    <row r="1595" spans="4:4" x14ac:dyDescent="0.4">
      <c r="D1595" s="2"/>
    </row>
    <row r="1596" spans="4:4" x14ac:dyDescent="0.4">
      <c r="D1596" s="2"/>
    </row>
    <row r="1597" spans="4:4" x14ac:dyDescent="0.4">
      <c r="D1597" s="2"/>
    </row>
    <row r="1598" spans="4:4" x14ac:dyDescent="0.4">
      <c r="D1598" s="2"/>
    </row>
    <row r="1599" spans="4:4" x14ac:dyDescent="0.4">
      <c r="D1599" s="2"/>
    </row>
    <row r="1600" spans="4:4" x14ac:dyDescent="0.4">
      <c r="D1600" s="2"/>
    </row>
    <row r="1601" spans="4:9" x14ac:dyDescent="0.4">
      <c r="D1601" s="2"/>
    </row>
    <row r="1602" spans="4:9" x14ac:dyDescent="0.4">
      <c r="D1602" s="2"/>
    </row>
    <row r="1603" spans="4:9" x14ac:dyDescent="0.4">
      <c r="D1603" s="2"/>
      <c r="H1603" s="3"/>
      <c r="I1603" s="3"/>
    </row>
    <row r="1604" spans="4:9" x14ac:dyDescent="0.4">
      <c r="D1604" s="2"/>
    </row>
    <row r="1605" spans="4:9" x14ac:dyDescent="0.4">
      <c r="D1605" s="2"/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2025-12-10T03:45:30Z</dcterms:modified>
</cp:coreProperties>
</file>